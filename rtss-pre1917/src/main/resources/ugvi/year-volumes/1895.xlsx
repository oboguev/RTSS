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DCC9A474-F093-4362-9CBB-72FE98882D18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5" i="1" s="1"/>
  <c r="D11" i="1" s="1"/>
  <c r="C8" i="1"/>
  <c r="AC8" i="1" s="1"/>
  <c r="B8" i="1"/>
  <c r="AB8" i="1" s="1"/>
  <c r="AK282" i="1"/>
  <c r="AN282" i="1" s="1"/>
  <c r="AJ282" i="1"/>
  <c r="AM282" i="1" s="1"/>
  <c r="AK281" i="1"/>
  <c r="AN281" i="1" s="1"/>
  <c r="AJ281" i="1"/>
  <c r="AM281" i="1" s="1"/>
  <c r="AK253" i="1"/>
  <c r="AN253" i="1" s="1"/>
  <c r="AJ253" i="1"/>
  <c r="AM253" i="1" s="1"/>
  <c r="AK227" i="1"/>
  <c r="AN227" i="1" s="1"/>
  <c r="AJ227" i="1"/>
  <c r="AM227" i="1" s="1"/>
  <c r="AK195" i="1"/>
  <c r="AN195" i="1" s="1"/>
  <c r="AJ195" i="1"/>
  <c r="AM195" i="1" s="1"/>
  <c r="AK191" i="1"/>
  <c r="AN191" i="1" s="1"/>
  <c r="AJ191" i="1"/>
  <c r="AM191" i="1" s="1"/>
  <c r="AK84" i="1"/>
  <c r="AN84" i="1" s="1"/>
  <c r="AJ84" i="1"/>
  <c r="AM84" i="1" s="1"/>
  <c r="AK74" i="1"/>
  <c r="AN74" i="1" s="1"/>
  <c r="AJ74" i="1"/>
  <c r="AM74" i="1" s="1"/>
  <c r="AK42" i="1"/>
  <c r="AN42" i="1" s="1"/>
  <c r="AJ42" i="1"/>
  <c r="AM42" i="1" s="1"/>
  <c r="AK228" i="1"/>
  <c r="AN228" i="1" s="1"/>
  <c r="AJ228" i="1"/>
  <c r="AM228" i="1" s="1"/>
  <c r="AD228" i="1"/>
  <c r="AC228" i="1"/>
  <c r="AB228" i="1"/>
  <c r="AK202" i="1"/>
  <c r="AJ202" i="1"/>
  <c r="AD202" i="1"/>
  <c r="AC202" i="1"/>
  <c r="AB202" i="1"/>
  <c r="AK183" i="1"/>
  <c r="AJ183" i="1"/>
  <c r="AK184" i="1"/>
  <c r="AN184" i="1" s="1"/>
  <c r="AJ184" i="1"/>
  <c r="AM184" i="1" s="1"/>
  <c r="AD184" i="1"/>
  <c r="AC184" i="1"/>
  <c r="AB184" i="1"/>
  <c r="AD183" i="1"/>
  <c r="AC183" i="1"/>
  <c r="AB183" i="1"/>
  <c r="AK149" i="1"/>
  <c r="AN149" i="1" s="1"/>
  <c r="AJ149" i="1"/>
  <c r="AM149" i="1" s="1"/>
  <c r="AD149" i="1"/>
  <c r="AC149" i="1"/>
  <c r="AB149" i="1"/>
  <c r="AK118" i="1"/>
  <c r="AN118" i="1" s="1"/>
  <c r="AJ118" i="1"/>
  <c r="AM118" i="1" s="1"/>
  <c r="AD118" i="1"/>
  <c r="AC118" i="1"/>
  <c r="AB118" i="1"/>
  <c r="AK43" i="1"/>
  <c r="AN43" i="1" s="1"/>
  <c r="AJ43" i="1"/>
  <c r="AM43" i="1" s="1"/>
  <c r="AD43" i="1"/>
  <c r="AC43" i="1"/>
  <c r="AB43" i="1"/>
  <c r="AK278" i="1"/>
  <c r="AN278" i="1" s="1"/>
  <c r="AJ278" i="1"/>
  <c r="AM278" i="1" s="1"/>
  <c r="AD278" i="1"/>
  <c r="AH278" i="1" s="1"/>
  <c r="AC278" i="1"/>
  <c r="AG278" i="1" s="1"/>
  <c r="AB278" i="1"/>
  <c r="AF278" i="1" s="1"/>
  <c r="AK275" i="1"/>
  <c r="AJ275" i="1"/>
  <c r="AD275" i="1"/>
  <c r="AH275" i="1" s="1"/>
  <c r="AC275" i="1"/>
  <c r="AG275" i="1" s="1"/>
  <c r="AB275" i="1"/>
  <c r="AF275" i="1" s="1"/>
  <c r="AK272" i="1"/>
  <c r="AJ272" i="1"/>
  <c r="AD272" i="1"/>
  <c r="AH272" i="1" s="1"/>
  <c r="AC272" i="1"/>
  <c r="AG272" i="1" s="1"/>
  <c r="AB272" i="1"/>
  <c r="AF272" i="1" s="1"/>
  <c r="AK269" i="1"/>
  <c r="AN269" i="1" s="1"/>
  <c r="AJ269" i="1"/>
  <c r="AM269" i="1" s="1"/>
  <c r="AD269" i="1"/>
  <c r="AH269" i="1" s="1"/>
  <c r="AC269" i="1"/>
  <c r="AG269" i="1" s="1"/>
  <c r="AB269" i="1"/>
  <c r="AF269" i="1" s="1"/>
  <c r="AK266" i="1"/>
  <c r="AJ266" i="1"/>
  <c r="AD266" i="1"/>
  <c r="AH266" i="1" s="1"/>
  <c r="AC266" i="1"/>
  <c r="AG266" i="1" s="1"/>
  <c r="AB266" i="1"/>
  <c r="AF266" i="1" s="1"/>
  <c r="AK263" i="1"/>
  <c r="AJ263" i="1"/>
  <c r="AD263" i="1"/>
  <c r="AH263" i="1" s="1"/>
  <c r="AC263" i="1"/>
  <c r="AG263" i="1" s="1"/>
  <c r="AB263" i="1"/>
  <c r="AF263" i="1" s="1"/>
  <c r="AK260" i="1"/>
  <c r="AJ260" i="1"/>
  <c r="AD260" i="1"/>
  <c r="AH260" i="1" s="1"/>
  <c r="AC260" i="1"/>
  <c r="AG260" i="1" s="1"/>
  <c r="AB260" i="1"/>
  <c r="AF260" i="1" s="1"/>
  <c r="AK257" i="1"/>
  <c r="AJ257" i="1"/>
  <c r="AD257" i="1"/>
  <c r="AH257" i="1" s="1"/>
  <c r="AC257" i="1"/>
  <c r="AG257" i="1" s="1"/>
  <c r="AK254" i="1"/>
  <c r="AJ254" i="1"/>
  <c r="AD254" i="1"/>
  <c r="AC254" i="1"/>
  <c r="AG254" i="1" s="1"/>
  <c r="AB254" i="1"/>
  <c r="AF254" i="1" s="1"/>
  <c r="AK250" i="1"/>
  <c r="AJ250" i="1"/>
  <c r="AD250" i="1"/>
  <c r="AH250" i="1" s="1"/>
  <c r="AC250" i="1"/>
  <c r="AG250" i="1" s="1"/>
  <c r="AB250" i="1"/>
  <c r="AF250" i="1" s="1"/>
  <c r="AK247" i="1"/>
  <c r="AN247" i="1" s="1"/>
  <c r="AJ247" i="1"/>
  <c r="AM247" i="1" s="1"/>
  <c r="AD247" i="1"/>
  <c r="AH247" i="1" s="1"/>
  <c r="AC247" i="1"/>
  <c r="AG247" i="1" s="1"/>
  <c r="AB247" i="1"/>
  <c r="AF247" i="1" s="1"/>
  <c r="AK244" i="1"/>
  <c r="AN244" i="1" s="1"/>
  <c r="AJ244" i="1"/>
  <c r="AM244" i="1" s="1"/>
  <c r="AD244" i="1"/>
  <c r="AH244" i="1" s="1"/>
  <c r="AC244" i="1"/>
  <c r="AG244" i="1" s="1"/>
  <c r="AB244" i="1"/>
  <c r="AF244" i="1" s="1"/>
  <c r="AK241" i="1"/>
  <c r="AN241" i="1" s="1"/>
  <c r="AJ241" i="1"/>
  <c r="AM241" i="1" s="1"/>
  <c r="AD241" i="1"/>
  <c r="AH241" i="1" s="1"/>
  <c r="AC241" i="1"/>
  <c r="AG241" i="1" s="1"/>
  <c r="AB241" i="1"/>
  <c r="AF241" i="1" s="1"/>
  <c r="AK238" i="1"/>
  <c r="AJ238" i="1"/>
  <c r="AD238" i="1"/>
  <c r="AH238" i="1" s="1"/>
  <c r="AC238" i="1"/>
  <c r="AG238" i="1" s="1"/>
  <c r="AB238" i="1"/>
  <c r="AF238" i="1" s="1"/>
  <c r="AK235" i="1"/>
  <c r="AN235" i="1" s="1"/>
  <c r="AJ235" i="1"/>
  <c r="AM235" i="1" s="1"/>
  <c r="AD235" i="1"/>
  <c r="AH235" i="1" s="1"/>
  <c r="AC235" i="1"/>
  <c r="AG235" i="1" s="1"/>
  <c r="AB235" i="1"/>
  <c r="AF235" i="1" s="1"/>
  <c r="AK232" i="1"/>
  <c r="AN232" i="1" s="1"/>
  <c r="AJ232" i="1"/>
  <c r="AM232" i="1" s="1"/>
  <c r="AK229" i="1"/>
  <c r="AN229" i="1" s="1"/>
  <c r="AJ229" i="1"/>
  <c r="AM229" i="1" s="1"/>
  <c r="AD229" i="1"/>
  <c r="AH229" i="1" s="1"/>
  <c r="AC229" i="1"/>
  <c r="AG229" i="1" s="1"/>
  <c r="AB229" i="1"/>
  <c r="AF229" i="1" s="1"/>
  <c r="AK224" i="1"/>
  <c r="AN224" i="1" s="1"/>
  <c r="AJ224" i="1"/>
  <c r="AM224" i="1" s="1"/>
  <c r="AD224" i="1"/>
  <c r="AH224" i="1" s="1"/>
  <c r="AC224" i="1"/>
  <c r="AG224" i="1" s="1"/>
  <c r="AB224" i="1"/>
  <c r="AF224" i="1" s="1"/>
  <c r="AK221" i="1"/>
  <c r="AN221" i="1" s="1"/>
  <c r="AJ221" i="1"/>
  <c r="AM221" i="1" s="1"/>
  <c r="AD221" i="1"/>
  <c r="AH221" i="1" s="1"/>
  <c r="AC221" i="1"/>
  <c r="AG221" i="1" s="1"/>
  <c r="AB221" i="1"/>
  <c r="AF221" i="1" s="1"/>
  <c r="AK218" i="1"/>
  <c r="AN218" i="1" s="1"/>
  <c r="AJ218" i="1"/>
  <c r="AM218" i="1" s="1"/>
  <c r="AD218" i="1"/>
  <c r="AH218" i="1" s="1"/>
  <c r="AC218" i="1"/>
  <c r="AG218" i="1" s="1"/>
  <c r="AB218" i="1"/>
  <c r="AF218" i="1" s="1"/>
  <c r="AK215" i="1"/>
  <c r="AN215" i="1" s="1"/>
  <c r="AJ215" i="1"/>
  <c r="AM215" i="1" s="1"/>
  <c r="AD215" i="1"/>
  <c r="AH215" i="1" s="1"/>
  <c r="AC215" i="1"/>
  <c r="AG215" i="1" s="1"/>
  <c r="AB215" i="1"/>
  <c r="AF215" i="1" s="1"/>
  <c r="AK212" i="1"/>
  <c r="AN212" i="1" s="1"/>
  <c r="AJ212" i="1"/>
  <c r="AM212" i="1" s="1"/>
  <c r="AD212" i="1"/>
  <c r="AH212" i="1" s="1"/>
  <c r="AC212" i="1"/>
  <c r="AG212" i="1" s="1"/>
  <c r="AB212" i="1"/>
  <c r="AF212" i="1" s="1"/>
  <c r="AK209" i="1"/>
  <c r="AN209" i="1" s="1"/>
  <c r="AJ209" i="1"/>
  <c r="AM209" i="1" s="1"/>
  <c r="AD209" i="1"/>
  <c r="AH209" i="1" s="1"/>
  <c r="AC209" i="1"/>
  <c r="AG209" i="1" s="1"/>
  <c r="AB209" i="1"/>
  <c r="AF209" i="1" s="1"/>
  <c r="AK206" i="1"/>
  <c r="AJ206" i="1"/>
  <c r="AD206" i="1"/>
  <c r="AH206" i="1" s="1"/>
  <c r="AC206" i="1"/>
  <c r="AG206" i="1" s="1"/>
  <c r="AB206" i="1"/>
  <c r="AF206" i="1" s="1"/>
  <c r="AK203" i="1"/>
  <c r="AN203" i="1" s="1"/>
  <c r="AJ203" i="1"/>
  <c r="AM203" i="1" s="1"/>
  <c r="AD203" i="1"/>
  <c r="AH203" i="1" s="1"/>
  <c r="AC203" i="1"/>
  <c r="AG203" i="1" s="1"/>
  <c r="AB203" i="1"/>
  <c r="AF203" i="1" s="1"/>
  <c r="AK199" i="1"/>
  <c r="AJ199" i="1"/>
  <c r="AD199" i="1"/>
  <c r="AH199" i="1" s="1"/>
  <c r="AC199" i="1"/>
  <c r="AG199" i="1" s="1"/>
  <c r="AB199" i="1"/>
  <c r="AF199" i="1" s="1"/>
  <c r="AK196" i="1"/>
  <c r="AN196" i="1" s="1"/>
  <c r="AJ196" i="1"/>
  <c r="AM196" i="1" s="1"/>
  <c r="AD196" i="1"/>
  <c r="AH196" i="1" s="1"/>
  <c r="AC196" i="1"/>
  <c r="AB196" i="1"/>
  <c r="AF196" i="1" s="1"/>
  <c r="AK192" i="1"/>
  <c r="AN192" i="1" s="1"/>
  <c r="AJ192" i="1"/>
  <c r="AM192" i="1" s="1"/>
  <c r="AD192" i="1"/>
  <c r="AH192" i="1" s="1"/>
  <c r="AC192" i="1"/>
  <c r="AG192" i="1" s="1"/>
  <c r="AB192" i="1"/>
  <c r="AF192" i="1" s="1"/>
  <c r="AK188" i="1"/>
  <c r="AN188" i="1" s="1"/>
  <c r="AJ188" i="1"/>
  <c r="AM188" i="1" s="1"/>
  <c r="AD188" i="1"/>
  <c r="AH188" i="1" s="1"/>
  <c r="AC188" i="1"/>
  <c r="AG188" i="1" s="1"/>
  <c r="AB188" i="1"/>
  <c r="AF188" i="1" s="1"/>
  <c r="AK185" i="1"/>
  <c r="AN185" i="1" s="1"/>
  <c r="AJ185" i="1"/>
  <c r="AM185" i="1" s="1"/>
  <c r="AD185" i="1"/>
  <c r="AH185" i="1" s="1"/>
  <c r="AC185" i="1"/>
  <c r="AG185" i="1" s="1"/>
  <c r="AB185" i="1"/>
  <c r="AF185" i="1" s="1"/>
  <c r="AK180" i="1"/>
  <c r="AN180" i="1" s="1"/>
  <c r="AJ180" i="1"/>
  <c r="AM180" i="1" s="1"/>
  <c r="AD180" i="1"/>
  <c r="AH180" i="1" s="1"/>
  <c r="AC180" i="1"/>
  <c r="AG180" i="1" s="1"/>
  <c r="AB180" i="1"/>
  <c r="AF180" i="1" s="1"/>
  <c r="AK177" i="1"/>
  <c r="AN177" i="1" s="1"/>
  <c r="AJ177" i="1"/>
  <c r="AM177" i="1" s="1"/>
  <c r="AD177" i="1"/>
  <c r="AH177" i="1" s="1"/>
  <c r="AC177" i="1"/>
  <c r="AG177" i="1" s="1"/>
  <c r="AB177" i="1"/>
  <c r="AF177" i="1" s="1"/>
  <c r="AK174" i="1"/>
  <c r="AN174" i="1" s="1"/>
  <c r="AJ174" i="1"/>
  <c r="AM174" i="1" s="1"/>
  <c r="AD174" i="1"/>
  <c r="AH174" i="1" s="1"/>
  <c r="AC174" i="1"/>
  <c r="AG174" i="1" s="1"/>
  <c r="AB174" i="1"/>
  <c r="AF174" i="1" s="1"/>
  <c r="AK171" i="1"/>
  <c r="AN171" i="1" s="1"/>
  <c r="AJ171" i="1"/>
  <c r="AM171" i="1" s="1"/>
  <c r="AD171" i="1"/>
  <c r="AH171" i="1" s="1"/>
  <c r="AC171" i="1"/>
  <c r="AG171" i="1" s="1"/>
  <c r="AB171" i="1"/>
  <c r="AF171" i="1" s="1"/>
  <c r="AK168" i="1"/>
  <c r="AN168" i="1" s="1"/>
  <c r="AJ168" i="1"/>
  <c r="AM168" i="1" s="1"/>
  <c r="AD168" i="1"/>
  <c r="AH168" i="1" s="1"/>
  <c r="AC168" i="1"/>
  <c r="AG168" i="1" s="1"/>
  <c r="AB168" i="1"/>
  <c r="AF168" i="1" s="1"/>
  <c r="AK165" i="1"/>
  <c r="AN165" i="1" s="1"/>
  <c r="AJ165" i="1"/>
  <c r="AM165" i="1" s="1"/>
  <c r="AD165" i="1"/>
  <c r="AH165" i="1" s="1"/>
  <c r="AC165" i="1"/>
  <c r="AG165" i="1" s="1"/>
  <c r="AB165" i="1"/>
  <c r="AF165" i="1" s="1"/>
  <c r="AK162" i="1"/>
  <c r="AN162" i="1" s="1"/>
  <c r="AJ162" i="1"/>
  <c r="AM162" i="1" s="1"/>
  <c r="AD162" i="1"/>
  <c r="AH162" i="1" s="1"/>
  <c r="AC162" i="1"/>
  <c r="AG162" i="1" s="1"/>
  <c r="AB162" i="1"/>
  <c r="AF162" i="1" s="1"/>
  <c r="AK159" i="1"/>
  <c r="AN159" i="1" s="1"/>
  <c r="AJ159" i="1"/>
  <c r="AM159" i="1" s="1"/>
  <c r="AD159" i="1"/>
  <c r="AH159" i="1" s="1"/>
  <c r="AC159" i="1"/>
  <c r="AG159" i="1" s="1"/>
  <c r="AB159" i="1"/>
  <c r="AF159" i="1" s="1"/>
  <c r="AK156" i="1"/>
  <c r="AN156" i="1" s="1"/>
  <c r="AJ156" i="1"/>
  <c r="AM156" i="1" s="1"/>
  <c r="AD156" i="1"/>
  <c r="AH156" i="1" s="1"/>
  <c r="AC156" i="1"/>
  <c r="AG156" i="1" s="1"/>
  <c r="AB156" i="1"/>
  <c r="AF156" i="1" s="1"/>
  <c r="AK153" i="1"/>
  <c r="AN153" i="1" s="1"/>
  <c r="AJ153" i="1"/>
  <c r="AM153" i="1" s="1"/>
  <c r="AD153" i="1"/>
  <c r="AH153" i="1" s="1"/>
  <c r="AC153" i="1"/>
  <c r="AG153" i="1" s="1"/>
  <c r="AB153" i="1"/>
  <c r="AF153" i="1" s="1"/>
  <c r="AK150" i="1"/>
  <c r="AN150" i="1" s="1"/>
  <c r="AJ150" i="1"/>
  <c r="AM150" i="1" s="1"/>
  <c r="AD150" i="1"/>
  <c r="AH150" i="1" s="1"/>
  <c r="AC150" i="1"/>
  <c r="AG150" i="1" s="1"/>
  <c r="AB150" i="1"/>
  <c r="AF150" i="1" s="1"/>
  <c r="AK146" i="1"/>
  <c r="AN146" i="1" s="1"/>
  <c r="AJ146" i="1"/>
  <c r="AM146" i="1" s="1"/>
  <c r="AD146" i="1"/>
  <c r="AH146" i="1" s="1"/>
  <c r="AC146" i="1"/>
  <c r="AG146" i="1" s="1"/>
  <c r="AB146" i="1"/>
  <c r="AF146" i="1" s="1"/>
  <c r="AK143" i="1"/>
  <c r="AN143" i="1" s="1"/>
  <c r="AJ143" i="1"/>
  <c r="AM143" i="1" s="1"/>
  <c r="AD143" i="1"/>
  <c r="AH143" i="1" s="1"/>
  <c r="AC143" i="1"/>
  <c r="AG143" i="1" s="1"/>
  <c r="AB143" i="1"/>
  <c r="AF143" i="1" s="1"/>
  <c r="AK140" i="1"/>
  <c r="AN140" i="1" s="1"/>
  <c r="AJ140" i="1"/>
  <c r="AM140" i="1" s="1"/>
  <c r="AD140" i="1"/>
  <c r="AH140" i="1" s="1"/>
  <c r="AC140" i="1"/>
  <c r="AG140" i="1" s="1"/>
  <c r="AB140" i="1"/>
  <c r="AF140" i="1" s="1"/>
  <c r="AK137" i="1"/>
  <c r="AN137" i="1" s="1"/>
  <c r="AJ137" i="1"/>
  <c r="AM137" i="1" s="1"/>
  <c r="AD137" i="1"/>
  <c r="AH137" i="1" s="1"/>
  <c r="AC137" i="1"/>
  <c r="AG137" i="1" s="1"/>
  <c r="AB137" i="1"/>
  <c r="AF137" i="1" s="1"/>
  <c r="AK134" i="1"/>
  <c r="AN134" i="1" s="1"/>
  <c r="AJ134" i="1"/>
  <c r="AM134" i="1" s="1"/>
  <c r="AD134" i="1"/>
  <c r="AH134" i="1" s="1"/>
  <c r="AC134" i="1"/>
  <c r="AG134" i="1" s="1"/>
  <c r="AB134" i="1"/>
  <c r="AF134" i="1" s="1"/>
  <c r="AK131" i="1"/>
  <c r="AN131" i="1" s="1"/>
  <c r="AJ131" i="1"/>
  <c r="AM131" i="1" s="1"/>
  <c r="AD131" i="1"/>
  <c r="AH131" i="1" s="1"/>
  <c r="AC131" i="1"/>
  <c r="AG131" i="1" s="1"/>
  <c r="AB131" i="1"/>
  <c r="AF131" i="1" s="1"/>
  <c r="AK128" i="1"/>
  <c r="AN128" i="1" s="1"/>
  <c r="AJ128" i="1"/>
  <c r="AM128" i="1" s="1"/>
  <c r="AD128" i="1"/>
  <c r="AH128" i="1" s="1"/>
  <c r="AC128" i="1"/>
  <c r="AG128" i="1" s="1"/>
  <c r="AB128" i="1"/>
  <c r="AF128" i="1" s="1"/>
  <c r="AK125" i="1"/>
  <c r="AN125" i="1" s="1"/>
  <c r="AJ125" i="1"/>
  <c r="AM125" i="1" s="1"/>
  <c r="AD125" i="1"/>
  <c r="AH125" i="1" s="1"/>
  <c r="AC125" i="1"/>
  <c r="AG125" i="1" s="1"/>
  <c r="AB125" i="1"/>
  <c r="AF125" i="1" s="1"/>
  <c r="AK122" i="1"/>
  <c r="AN122" i="1" s="1"/>
  <c r="AJ122" i="1"/>
  <c r="AM122" i="1" s="1"/>
  <c r="AD122" i="1"/>
  <c r="AH122" i="1" s="1"/>
  <c r="AC122" i="1"/>
  <c r="AG122" i="1" s="1"/>
  <c r="AB122" i="1"/>
  <c r="AF122" i="1" s="1"/>
  <c r="AK119" i="1"/>
  <c r="AN119" i="1" s="1"/>
  <c r="AJ119" i="1"/>
  <c r="AM119" i="1" s="1"/>
  <c r="AD119" i="1"/>
  <c r="AH119" i="1" s="1"/>
  <c r="AC119" i="1"/>
  <c r="AG119" i="1" s="1"/>
  <c r="AB119" i="1"/>
  <c r="AF119" i="1" s="1"/>
  <c r="AK115" i="1"/>
  <c r="AN115" i="1" s="1"/>
  <c r="AJ115" i="1"/>
  <c r="AM115" i="1" s="1"/>
  <c r="AD115" i="1"/>
  <c r="AH115" i="1" s="1"/>
  <c r="AC115" i="1"/>
  <c r="AG115" i="1" s="1"/>
  <c r="AB115" i="1"/>
  <c r="AF115" i="1" s="1"/>
  <c r="AK112" i="1"/>
  <c r="AN112" i="1" s="1"/>
  <c r="AJ112" i="1"/>
  <c r="AM112" i="1" s="1"/>
  <c r="AD112" i="1"/>
  <c r="AH112" i="1" s="1"/>
  <c r="AC112" i="1"/>
  <c r="AG112" i="1" s="1"/>
  <c r="AB112" i="1"/>
  <c r="AF112" i="1" s="1"/>
  <c r="AK109" i="1"/>
  <c r="AN109" i="1" s="1"/>
  <c r="AJ109" i="1"/>
  <c r="AM109" i="1" s="1"/>
  <c r="AD109" i="1"/>
  <c r="AH109" i="1" s="1"/>
  <c r="AC109" i="1"/>
  <c r="AG109" i="1" s="1"/>
  <c r="AB109" i="1"/>
  <c r="AF109" i="1" s="1"/>
  <c r="AK106" i="1"/>
  <c r="AN106" i="1" s="1"/>
  <c r="AJ106" i="1"/>
  <c r="AM106" i="1" s="1"/>
  <c r="AD106" i="1"/>
  <c r="AH106" i="1" s="1"/>
  <c r="AC106" i="1"/>
  <c r="AG106" i="1" s="1"/>
  <c r="AB106" i="1"/>
  <c r="AF106" i="1" s="1"/>
  <c r="AK103" i="1"/>
  <c r="AN103" i="1" s="1"/>
  <c r="AJ103" i="1"/>
  <c r="AM103" i="1" s="1"/>
  <c r="AD103" i="1"/>
  <c r="AH103" i="1" s="1"/>
  <c r="AC103" i="1"/>
  <c r="AG103" i="1" s="1"/>
  <c r="AB103" i="1"/>
  <c r="AF103" i="1" s="1"/>
  <c r="AK100" i="1"/>
  <c r="AN100" i="1" s="1"/>
  <c r="AJ100" i="1"/>
  <c r="AM100" i="1" s="1"/>
  <c r="AD100" i="1"/>
  <c r="AH100" i="1" s="1"/>
  <c r="AC100" i="1"/>
  <c r="AG100" i="1" s="1"/>
  <c r="AB100" i="1"/>
  <c r="AF100" i="1" s="1"/>
  <c r="AK97" i="1"/>
  <c r="AN97" i="1" s="1"/>
  <c r="AJ97" i="1"/>
  <c r="AM97" i="1" s="1"/>
  <c r="AD97" i="1"/>
  <c r="AH97" i="1" s="1"/>
  <c r="AC97" i="1"/>
  <c r="AG97" i="1" s="1"/>
  <c r="AB97" i="1"/>
  <c r="AF97" i="1" s="1"/>
  <c r="AK94" i="1"/>
  <c r="AN94" i="1" s="1"/>
  <c r="AJ94" i="1"/>
  <c r="AM94" i="1" s="1"/>
  <c r="AD94" i="1"/>
  <c r="AC94" i="1"/>
  <c r="AG94" i="1" s="1"/>
  <c r="AB94" i="1"/>
  <c r="AF94" i="1" s="1"/>
  <c r="AK91" i="1"/>
  <c r="AN91" i="1" s="1"/>
  <c r="AJ91" i="1"/>
  <c r="AM91" i="1" s="1"/>
  <c r="AD91" i="1"/>
  <c r="AH91" i="1" s="1"/>
  <c r="AC91" i="1"/>
  <c r="AG91" i="1" s="1"/>
  <c r="AB91" i="1"/>
  <c r="AF91" i="1" s="1"/>
  <c r="AK88" i="1"/>
  <c r="AN88" i="1" s="1"/>
  <c r="AJ88" i="1"/>
  <c r="AM88" i="1" s="1"/>
  <c r="AD88" i="1"/>
  <c r="AH88" i="1" s="1"/>
  <c r="AC88" i="1"/>
  <c r="AG88" i="1" s="1"/>
  <c r="AB88" i="1"/>
  <c r="AF88" i="1" s="1"/>
  <c r="AK85" i="1"/>
  <c r="AN85" i="1" s="1"/>
  <c r="AJ85" i="1"/>
  <c r="AM85" i="1" s="1"/>
  <c r="AD85" i="1"/>
  <c r="AH85" i="1" s="1"/>
  <c r="AC85" i="1"/>
  <c r="AG85" i="1" s="1"/>
  <c r="AB85" i="1"/>
  <c r="AF85" i="1" s="1"/>
  <c r="AK81" i="1"/>
  <c r="AN81" i="1" s="1"/>
  <c r="AJ81" i="1"/>
  <c r="AM81" i="1" s="1"/>
  <c r="AD81" i="1"/>
  <c r="AH81" i="1" s="1"/>
  <c r="AC81" i="1"/>
  <c r="AG81" i="1" s="1"/>
  <c r="AB81" i="1"/>
  <c r="AF81" i="1" s="1"/>
  <c r="AK78" i="1"/>
  <c r="AN78" i="1" s="1"/>
  <c r="AJ78" i="1"/>
  <c r="AM78" i="1" s="1"/>
  <c r="AD78" i="1"/>
  <c r="AH78" i="1" s="1"/>
  <c r="AC78" i="1"/>
  <c r="AG78" i="1" s="1"/>
  <c r="AB78" i="1"/>
  <c r="AF78" i="1" s="1"/>
  <c r="AK75" i="1"/>
  <c r="AN75" i="1" s="1"/>
  <c r="AJ75" i="1"/>
  <c r="AM75" i="1" s="1"/>
  <c r="AD75" i="1"/>
  <c r="AH75" i="1" s="1"/>
  <c r="AC75" i="1"/>
  <c r="AB75" i="1"/>
  <c r="AF75" i="1" s="1"/>
  <c r="AK71" i="1"/>
  <c r="AN71" i="1" s="1"/>
  <c r="AJ71" i="1"/>
  <c r="AM71" i="1" s="1"/>
  <c r="AD71" i="1"/>
  <c r="AH71" i="1" s="1"/>
  <c r="AC71" i="1"/>
  <c r="AG71" i="1" s="1"/>
  <c r="AB71" i="1"/>
  <c r="AF71" i="1" s="1"/>
  <c r="AK68" i="1"/>
  <c r="AN68" i="1" s="1"/>
  <c r="AJ68" i="1"/>
  <c r="AM68" i="1" s="1"/>
  <c r="AD68" i="1"/>
  <c r="AH68" i="1" s="1"/>
  <c r="AC68" i="1"/>
  <c r="AG68" i="1" s="1"/>
  <c r="AB68" i="1"/>
  <c r="AF68" i="1" s="1"/>
  <c r="AK65" i="1"/>
  <c r="AN65" i="1" s="1"/>
  <c r="AJ65" i="1"/>
  <c r="AM65" i="1" s="1"/>
  <c r="AD65" i="1"/>
  <c r="AH65" i="1" s="1"/>
  <c r="AC65" i="1"/>
  <c r="AG65" i="1" s="1"/>
  <c r="AB65" i="1"/>
  <c r="AF65" i="1" s="1"/>
  <c r="AK62" i="1"/>
  <c r="AN62" i="1" s="1"/>
  <c r="AJ62" i="1"/>
  <c r="AM62" i="1" s="1"/>
  <c r="AD62" i="1"/>
  <c r="AH62" i="1" s="1"/>
  <c r="AC62" i="1"/>
  <c r="AG62" i="1" s="1"/>
  <c r="AB62" i="1"/>
  <c r="AF62" i="1" s="1"/>
  <c r="AK59" i="1"/>
  <c r="AN59" i="1" s="1"/>
  <c r="AJ59" i="1"/>
  <c r="AM59" i="1" s="1"/>
  <c r="AD59" i="1"/>
  <c r="AH59" i="1" s="1"/>
  <c r="AC59" i="1"/>
  <c r="AG59" i="1" s="1"/>
  <c r="AB59" i="1"/>
  <c r="AF59" i="1" s="1"/>
  <c r="AK56" i="1"/>
  <c r="AN56" i="1" s="1"/>
  <c r="AJ56" i="1"/>
  <c r="AM56" i="1" s="1"/>
  <c r="AD56" i="1"/>
  <c r="AH56" i="1" s="1"/>
  <c r="AC56" i="1"/>
  <c r="AG56" i="1" s="1"/>
  <c r="AB56" i="1"/>
  <c r="AF56" i="1" s="1"/>
  <c r="AK53" i="1"/>
  <c r="AN53" i="1" s="1"/>
  <c r="AJ53" i="1"/>
  <c r="AM53" i="1" s="1"/>
  <c r="AD53" i="1"/>
  <c r="AH53" i="1" s="1"/>
  <c r="AC53" i="1"/>
  <c r="AG53" i="1" s="1"/>
  <c r="AB53" i="1"/>
  <c r="AF53" i="1" s="1"/>
  <c r="AK50" i="1"/>
  <c r="AN50" i="1" s="1"/>
  <c r="AJ50" i="1"/>
  <c r="AM50" i="1" s="1"/>
  <c r="AD50" i="1"/>
  <c r="AH50" i="1" s="1"/>
  <c r="AC50" i="1"/>
  <c r="AG50" i="1" s="1"/>
  <c r="AB50" i="1"/>
  <c r="AF50" i="1" s="1"/>
  <c r="AK47" i="1"/>
  <c r="AN47" i="1" s="1"/>
  <c r="AJ47" i="1"/>
  <c r="AM47" i="1" s="1"/>
  <c r="AD47" i="1"/>
  <c r="AH47" i="1" s="1"/>
  <c r="AC47" i="1"/>
  <c r="AG47" i="1" s="1"/>
  <c r="AB47" i="1"/>
  <c r="AF47" i="1" s="1"/>
  <c r="AK44" i="1"/>
  <c r="AN44" i="1" s="1"/>
  <c r="AJ44" i="1"/>
  <c r="AM44" i="1" s="1"/>
  <c r="AD44" i="1"/>
  <c r="AH44" i="1" s="1"/>
  <c r="AC44" i="1"/>
  <c r="AG44" i="1" s="1"/>
  <c r="AB44" i="1"/>
  <c r="AF44" i="1" s="1"/>
  <c r="AK39" i="1"/>
  <c r="AN39" i="1" s="1"/>
  <c r="AJ39" i="1"/>
  <c r="AM39" i="1" s="1"/>
  <c r="AD39" i="1"/>
  <c r="AH39" i="1" s="1"/>
  <c r="AC39" i="1"/>
  <c r="AG39" i="1" s="1"/>
  <c r="AB39" i="1"/>
  <c r="AF39" i="1" s="1"/>
  <c r="AK36" i="1"/>
  <c r="AN36" i="1" s="1"/>
  <c r="AJ36" i="1"/>
  <c r="AM36" i="1" s="1"/>
  <c r="AD36" i="1"/>
  <c r="AH36" i="1" s="1"/>
  <c r="AC36" i="1"/>
  <c r="AG36" i="1" s="1"/>
  <c r="AB36" i="1"/>
  <c r="AF36" i="1" s="1"/>
  <c r="AK33" i="1"/>
  <c r="AN33" i="1" s="1"/>
  <c r="AJ33" i="1"/>
  <c r="AM33" i="1" s="1"/>
  <c r="AD33" i="1"/>
  <c r="AH33" i="1" s="1"/>
  <c r="AC33" i="1"/>
  <c r="AG33" i="1" s="1"/>
  <c r="AB33" i="1"/>
  <c r="AF33" i="1" s="1"/>
  <c r="AK30" i="1"/>
  <c r="AN30" i="1" s="1"/>
  <c r="AJ30" i="1"/>
  <c r="AM30" i="1" s="1"/>
  <c r="AD30" i="1"/>
  <c r="AH30" i="1" s="1"/>
  <c r="AC30" i="1"/>
  <c r="AG30" i="1" s="1"/>
  <c r="AB30" i="1"/>
  <c r="AF30" i="1" s="1"/>
  <c r="AK27" i="1"/>
  <c r="AN27" i="1" s="1"/>
  <c r="AJ27" i="1"/>
  <c r="AM27" i="1" s="1"/>
  <c r="AD27" i="1"/>
  <c r="AH27" i="1" s="1"/>
  <c r="AC27" i="1"/>
  <c r="AG27" i="1" s="1"/>
  <c r="AB27" i="1"/>
  <c r="AF27" i="1" s="1"/>
  <c r="AK24" i="1"/>
  <c r="AN24" i="1" s="1"/>
  <c r="AJ24" i="1"/>
  <c r="AM24" i="1" s="1"/>
  <c r="AD24" i="1"/>
  <c r="AH24" i="1" s="1"/>
  <c r="AC24" i="1"/>
  <c r="AG24" i="1" s="1"/>
  <c r="AB24" i="1"/>
  <c r="AK21" i="1"/>
  <c r="AN21" i="1" s="1"/>
  <c r="AJ21" i="1"/>
  <c r="AM21" i="1" s="1"/>
  <c r="AD21" i="1"/>
  <c r="AH21" i="1" s="1"/>
  <c r="AC21" i="1"/>
  <c r="AG21" i="1" s="1"/>
  <c r="AB21" i="1"/>
  <c r="AF21" i="1" s="1"/>
  <c r="AK18" i="1"/>
  <c r="AN18" i="1" s="1"/>
  <c r="AJ18" i="1"/>
  <c r="AM18" i="1" s="1"/>
  <c r="AD18" i="1"/>
  <c r="AH18" i="1" s="1"/>
  <c r="AC18" i="1"/>
  <c r="AG18" i="1" s="1"/>
  <c r="AB18" i="1"/>
  <c r="AF18" i="1" s="1"/>
  <c r="AK15" i="1"/>
  <c r="AN15" i="1" s="1"/>
  <c r="AJ15" i="1"/>
  <c r="AM15" i="1" s="1"/>
  <c r="AD15" i="1"/>
  <c r="AH15" i="1" s="1"/>
  <c r="AC15" i="1"/>
  <c r="AG15" i="1" s="1"/>
  <c r="AB15" i="1"/>
  <c r="AF15" i="1" s="1"/>
  <c r="AK12" i="1"/>
  <c r="AN12" i="1" s="1"/>
  <c r="AJ12" i="1"/>
  <c r="AM12" i="1" s="1"/>
  <c r="AD12" i="1"/>
  <c r="AH12" i="1" s="1"/>
  <c r="AC12" i="1"/>
  <c r="AG12" i="1" s="1"/>
  <c r="AB12" i="1"/>
  <c r="AF12" i="1" s="1"/>
  <c r="AD5" i="1"/>
  <c r="AC5" i="1"/>
  <c r="AB5" i="1"/>
  <c r="AK2" i="1"/>
  <c r="AN2" i="1" s="1"/>
  <c r="AJ2" i="1"/>
  <c r="AM2" i="1" s="1"/>
  <c r="AD2" i="1"/>
  <c r="AC2" i="1"/>
  <c r="AB2" i="1"/>
  <c r="AF2" i="1" s="1"/>
  <c r="AG5" i="1" l="1"/>
  <c r="C5" i="1"/>
  <c r="C11" i="1" s="1"/>
  <c r="AH5" i="1"/>
  <c r="B5" i="1"/>
  <c r="AD8" i="1"/>
  <c r="AD42" i="1" s="1"/>
  <c r="AH42" i="1" s="1"/>
  <c r="AC84" i="1"/>
  <c r="AG84" i="1" s="1"/>
  <c r="AD281" i="1"/>
  <c r="AH281" i="1" s="1"/>
  <c r="AC227" i="1"/>
  <c r="AG227" i="1" s="1"/>
  <c r="AH254" i="1"/>
  <c r="AB74" i="1"/>
  <c r="AF74" i="1" s="1"/>
  <c r="AD253" i="1"/>
  <c r="AH253" i="1" s="1"/>
  <c r="AD191" i="1"/>
  <c r="AH191" i="1" s="1"/>
  <c r="AG196" i="1"/>
  <c r="AD74" i="1"/>
  <c r="AH74" i="1" s="1"/>
  <c r="AC42" i="1"/>
  <c r="AG42" i="1" s="1"/>
  <c r="AB42" i="1"/>
  <c r="AF42" i="1" s="1"/>
  <c r="AH2" i="1"/>
  <c r="AC195" i="1"/>
  <c r="AF24" i="1"/>
  <c r="AC281" i="1"/>
  <c r="AG281" i="1" s="1"/>
  <c r="AC74" i="1"/>
  <c r="AG74" i="1" s="1"/>
  <c r="AD227" i="1"/>
  <c r="AH227" i="1" s="1"/>
  <c r="AC191" i="1"/>
  <c r="AG191" i="1" s="1"/>
  <c r="AG75" i="1"/>
  <c r="AB84" i="1"/>
  <c r="AF84" i="1" s="1"/>
  <c r="AG2" i="1"/>
  <c r="AD84" i="1"/>
  <c r="AH84" i="1" s="1"/>
  <c r="AB253" i="1"/>
  <c r="AF253" i="1" s="1"/>
  <c r="AC253" i="1"/>
  <c r="AG253" i="1" s="1"/>
  <c r="AH94" i="1"/>
  <c r="AB191" i="1"/>
  <c r="AF191" i="1" s="1"/>
  <c r="AB227" i="1"/>
  <c r="AF227" i="1" s="1"/>
  <c r="AB281" i="1"/>
  <c r="AF281" i="1" s="1"/>
  <c r="AJ5" i="1" l="1"/>
  <c r="AM5" i="1" s="1"/>
  <c r="B11" i="1"/>
  <c r="AK5" i="1"/>
  <c r="AN5" i="1" s="1"/>
  <c r="AF5" i="1"/>
  <c r="AD195" i="1"/>
  <c r="AC282" i="1"/>
  <c r="AG282" i="1" s="1"/>
  <c r="AG195" i="1"/>
  <c r="AB195" i="1"/>
  <c r="AF195" i="1" l="1"/>
  <c r="AB282" i="1"/>
  <c r="AF282" i="1" s="1"/>
  <c r="AD282" i="1"/>
  <c r="AH282" i="1" s="1"/>
  <c r="AH195" i="1"/>
</calcChain>
</file>

<file path=xl/sharedStrings.xml><?xml version="1.0" encoding="utf-8"?>
<sst xmlns="http://schemas.openxmlformats.org/spreadsheetml/2006/main" count="772" uniqueCount="304">
  <si>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</si>
  <si>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</si>
  <si>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</si>
  <si>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</si>
  <si>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</si>
  <si>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</si>
  <si>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</si>
  <si>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</si>
  <si>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</si>
  <si>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</si>
  <si>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</si>
  <si>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</si>
  <si>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</si>
  <si>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</si>
  <si>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</si>
  <si>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</si>
  <si>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</si>
  <si>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</si>
  <si>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</si>
  <si>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</si>
  <si>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</si>
  <si>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</si>
  <si>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</si>
  <si>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</si>
  <si>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</si>
  <si>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</si>
  <si>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</si>
  <si>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</si>
  <si>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</si>
  <si>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</si>
  <si>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</si>
  <si>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</si>
  <si>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</si>
  <si>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</si>
  <si>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</si>
  <si>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</si>
  <si>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</si>
  <si>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</si>
  <si>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</si>
  <si>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</si>
  <si>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</si>
  <si>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</si>
  <si>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</si>
  <si>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</si>
  <si>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</si>
  <si>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</si>
  <si>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</si>
  <si>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</si>
  <si>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</si>
  <si>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</si>
  <si>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</si>
  <si>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</si>
  <si>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</si>
  <si>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</si>
  <si>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</si>
  <si>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</si>
  <si>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</si>
  <si>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</si>
  <si>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</si>
  <si>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</si>
  <si>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</si>
  <si>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</si>
  <si>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</si>
  <si>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</si>
  <si>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</si>
  <si>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</si>
  <si>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</si>
  <si>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</si>
  <si>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</si>
  <si>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</si>
  <si>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</si>
  <si>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</si>
  <si>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</si>
  <si>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</si>
  <si>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</si>
  <si>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</si>
  <si>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</si>
  <si>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</si>
  <si>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</si>
  <si>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</si>
  <si>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</si>
  <si>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</si>
  <si>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</si>
  <si>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</si>
  <si>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</si>
  <si>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</si>
  <si>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</si>
  <si>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</si>
  <si>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</si>
  <si>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</si>
  <si>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</si>
  <si>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</si>
  <si>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</si>
  <si>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</si>
  <si>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</si>
  <si>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</si>
  <si>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</si>
  <si>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</si>
  <si>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</si>
  <si>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</si>
  <si>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</si>
  <si>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</si>
  <si>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</si>
  <si>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</si>
  <si>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</si>
  <si>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</si>
  <si>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</si>
  <si>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</si>
  <si>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</si>
  <si>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</si>
  <si>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</si>
  <si>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</si>
  <si>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</si>
  <si>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</si>
  <si>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</si>
  <si>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</si>
  <si>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</si>
  <si>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</si>
  <si>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</si>
  <si>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</si>
  <si>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</si>
  <si>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</si>
  <si>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</si>
  <si>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</si>
  <si>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</si>
  <si>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</si>
  <si>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</si>
  <si>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</si>
  <si>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</si>
  <si>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</si>
  <si>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</si>
  <si>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</si>
  <si>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</si>
  <si>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</si>
  <si>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</si>
  <si>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</si>
  <si>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</si>
  <si>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</si>
  <si>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</si>
  <si>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</si>
  <si>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</si>
  <si>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</si>
  <si>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</si>
  <si>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</si>
  <si>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</si>
  <si>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</si>
  <si>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</si>
  <si>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</si>
  <si>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</si>
  <si>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</si>
  <si>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</si>
  <si>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</si>
  <si>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</si>
  <si>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</si>
  <si>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</si>
  <si>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</si>
  <si>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</si>
  <si>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</si>
  <si>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</si>
  <si>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</si>
  <si>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</si>
  <si>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</si>
  <si>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</si>
  <si>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</si>
  <si>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</si>
  <si>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</si>
  <si>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</si>
  <si>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</si>
  <si>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</si>
  <si>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</si>
  <si>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</si>
  <si>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</si>
  <si>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</si>
  <si>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</si>
  <si>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</si>
  <si>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</si>
  <si>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</si>
  <si>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</si>
  <si>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</si>
  <si>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</si>
  <si>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</si>
  <si>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</si>
  <si>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</si>
  <si>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</si>
  <si>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</si>
  <si>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</si>
  <si>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</si>
  <si>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</si>
  <si>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</si>
  <si>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</si>
  <si>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</si>
  <si>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</si>
  <si>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</si>
  <si>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</si>
  <si>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</si>
  <si>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</si>
  <si>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</si>
  <si>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</si>
  <si>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</si>
  <si>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</si>
  <si>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</si>
  <si>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</si>
  <si>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Закатальский округ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</si>
  <si>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</si>
  <si>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</si>
  <si>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</si>
  <si>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</si>
  <si>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[Карсская область род.]</t>
  </si>
  <si>
    <t>[Карсская область ум.]</t>
  </si>
  <si>
    <t>Кубанская область</t>
  </si>
  <si>
    <t>[Кубанская область род.]</t>
  </si>
  <si>
    <t>[Кубанская область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</si>
  <si>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</si>
  <si>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</si>
  <si>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</si>
  <si>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</si>
  <si>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</si>
  <si>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</si>
  <si>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область</t>
  </si>
  <si>
    <t>[Терская область род.]</t>
  </si>
  <si>
    <t>[Терская область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</si>
  <si>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</si>
  <si>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</si>
  <si>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</si>
  <si>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</si>
  <si>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</si>
  <si>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</si>
  <si>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</si>
  <si>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обл.</t>
  </si>
  <si>
    <t>Енисейская</t>
  </si>
  <si>
    <t>[Енисейская род.]</t>
  </si>
  <si>
    <t>[Енисейская ум.]</t>
  </si>
  <si>
    <t>Забайкальская область</t>
  </si>
  <si>
    <t>[Забайкальская область род.]</t>
  </si>
  <si>
    <t>[Забайкальская область ум.]</t>
  </si>
  <si>
    <t>Иркутская</t>
  </si>
  <si>
    <t>[Иркутская род.]</t>
  </si>
  <si>
    <t>[Иркутская ум.]</t>
  </si>
  <si>
    <t>Приморская область</t>
  </si>
  <si>
    <t>[Приморская область род.]</t>
  </si>
  <si>
    <t>[Приморская область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</si>
  <si>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</si>
  <si>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</si>
  <si>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</si>
  <si>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</si>
  <si>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</si>
  <si>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</si>
  <si>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область</t>
  </si>
  <si>
    <t>[Якутская область род.]</t>
  </si>
  <si>
    <t>[Якутская область ум.]</t>
  </si>
  <si>
    <t>о. Сахалин</t>
  </si>
  <si>
    <t>[о. Сахалин род.]</t>
  </si>
  <si>
    <t>[о. Сахалин ум.]</t>
  </si>
  <si>
    <t>Итого в Сибири</t>
  </si>
  <si>
    <t>Акмолинская область</t>
  </si>
  <si>
    <t>[Акмолинская область род.]</t>
  </si>
  <si>
    <t>[Акмолинская область ум.]</t>
  </si>
  <si>
    <t>Закаспийская область</t>
  </si>
  <si>
    <t>[Закаспийская область род.]</t>
  </si>
  <si>
    <t>[Закаспийская область ум.]</t>
  </si>
  <si>
    <t>Самаркандская область</t>
  </si>
  <si>
    <t>[Самаркандская область род.]</t>
  </si>
  <si>
    <t>[Самаркандская область ум.]</t>
  </si>
  <si>
    <t>Семипалатинская область</t>
  </si>
  <si>
    <t>[Семипалатинская область род.]</t>
  </si>
  <si>
    <t>[Семипалатинская область ум.]</t>
  </si>
  <si>
    <t>Семиреченская область</t>
  </si>
  <si>
    <t>[Семиреченская область род.]</t>
  </si>
  <si>
    <t>[Семиреченская область ум.]</t>
  </si>
  <si>
    <t>Сыр-Дарьинская область</t>
  </si>
  <si>
    <t>[Сыр-Дарьинская область род.]</t>
  </si>
  <si>
    <t>[Сыр-Дарьинская область ум.]</t>
  </si>
  <si>
    <t>Тургайская область</t>
  </si>
  <si>
    <t>[Тургайская область род.]</t>
  </si>
  <si>
    <t>[Тургайская область ум.]</t>
  </si>
  <si>
    <t>Уральская область</t>
  </si>
  <si>
    <t>[Уральская область род.]</t>
  </si>
  <si>
    <t>[Уральская область ум.]</t>
  </si>
  <si>
    <t>Ферганская область</t>
  </si>
  <si>
    <t>[Ферганская область род.]</t>
  </si>
  <si>
    <t>[Ферганская область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</si>
  <si>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</si>
  <si>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</si>
  <si>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</si>
  <si>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</si>
  <si>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</si>
  <si>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</si>
  <si>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</si>
  <si>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</si>
  <si>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</si>
  <si>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</si>
  <si>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</si>
  <si>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</si>
  <si>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</si>
  <si>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</si>
  <si>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</si>
  <si>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</si>
  <si>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</si>
  <si>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</si>
  <si>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</si>
  <si>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</si>
  <si>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</si>
  <si>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Петербург без пригородов</t>
  </si>
  <si>
    <t>добавить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</si>
</sst>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9" borderId="0" xfId="0" applyFont="1" applyFill="1" applyAlignment="1">
      <alignment horizontal="center" vertical="center" wrapText="1"/>
    </xf>
    <xf numFmtId="3" fontId="1" fillId="9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3" fontId="2" fillId="6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3" fontId="2" fillId="7" borderId="0" xfId="0" applyNumberFormat="1" applyFont="1" applyFill="1" applyAlignment="1">
      <alignment horizontal="right" vertical="center"/>
    </xf>
    <xf numFmtId="164" fontId="2" fillId="7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left" vertical="center"/>
    </xf>
    <xf numFmtId="3" fontId="2" fillId="8" borderId="0" xfId="0" applyNumberFormat="1" applyFont="1" applyFill="1" applyAlignment="1">
      <alignment horizontal="right" vertical="center"/>
    </xf>
    <xf numFmtId="164" fontId="2" fillId="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vertical="center"/>
    </xf>
    <xf numFmtId="164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3" fontId="2" fillId="11" borderId="0" xfId="0" applyNumberFormat="1" applyFont="1" applyFill="1" applyAlignment="1">
      <alignment horizontal="right" vertical="center"/>
    </xf>
    <xf numFmtId="164" fontId="2" fillId="11" borderId="0" xfId="0" applyNumberFormat="1" applyFont="1" applyFill="1" applyAlignment="1">
      <alignment horizontal="right" vertical="center"/>
    </xf>
    <xf numFmtId="3" fontId="2" fillId="11" borderId="0" xfId="0" applyNumberFormat="1" applyFont="1" applyFill="1" applyAlignment="1">
      <alignment vertical="center"/>
    </xf>
    <xf numFmtId="164" fontId="2" fillId="11" borderId="0" xfId="0" applyNumberFormat="1" applyFont="1" applyFill="1" applyAlignment="1">
      <alignment vertical="center"/>
    </xf>
    <xf numFmtId="3" fontId="3" fillId="11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3" fontId="2" fillId="10" borderId="0" xfId="0" applyNumberFormat="1" applyFont="1" applyFill="1" applyAlignment="1">
      <alignment horizontal="right" vertical="center"/>
    </xf>
    <xf numFmtId="164" fontId="2" fillId="10" borderId="0" xfId="0" applyNumberFormat="1" applyFont="1" applyFill="1" applyAlignment="1">
      <alignment horizontal="right" vertical="center"/>
    </xf>
    <xf numFmtId="3" fontId="2" fillId="10" borderId="0" xfId="0" applyNumberFormat="1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right" vertical="center"/>
    </xf>
    <xf numFmtId="3" fontId="1" fillId="9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904B-D71C-4790-8B63-1651C1F38481}">
  <dimension ref="A2"/>
  <sheetViews>
    <sheetView workbookViewId="0">
      <selection activeCell="A3" sqref="A3"/>
    </sheetView>
  </sheetViews>
  <sheetFormatPr defaultRowHeight="15"/>
  <sheetData>
    <row r="2" spans="1:1">
      <c r="A2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2"/>
  <sheetViews>
    <sheetView tabSelected="1" workbookViewId="0">
      <selection activeCell="L1" sqref="L1:Z1"/>
    </sheetView>
  </sheetViews>
  <sheetFormatPr defaultColWidth="8.875" defaultRowHeight="15"/>
  <cols>
    <col min="1" max="1" width="29.625" style="16" bestFit="1" customWidth="1"/>
    <col min="2" max="2" width="9.75" style="16" bestFit="1" customWidth="1"/>
    <col min="3" max="4" width="8" style="16" bestFit="1" customWidth="1"/>
    <col min="5" max="5" width="10" style="16" bestFit="1" customWidth="1"/>
    <col min="6" max="6" width="8.375" style="16" bestFit="1" customWidth="1"/>
    <col min="7" max="7" width="8.25" style="16" bestFit="1" customWidth="1"/>
    <col min="8" max="8" width="4.25" style="16" bestFit="1" customWidth="1"/>
    <col min="9" max="9" width="4" style="16" bestFit="1" customWidth="1"/>
    <col min="10" max="10" width="10" style="16" bestFit="1" customWidth="1"/>
    <col min="11" max="11" width="2.5" style="16" customWidth="1"/>
    <col min="12" max="26" width="6.625" style="16" bestFit="1" customWidth="1"/>
    <col min="27" max="27" width="2.75" style="16" customWidth="1"/>
    <col min="28" max="28" width="9.75" style="16" bestFit="1" customWidth="1"/>
    <col min="29" max="30" width="8" style="16" bestFit="1" customWidth="1"/>
    <col min="31" max="31" width="2.75" style="16" customWidth="1"/>
    <col min="32" max="32" width="8.625" style="16" bestFit="1" customWidth="1"/>
    <col min="33" max="33" width="6.625" style="16" bestFit="1" customWidth="1"/>
    <col min="34" max="34" width="6.375" style="16" bestFit="1" customWidth="1"/>
    <col min="35" max="35" width="2.25" style="16" customWidth="1"/>
    <col min="36" max="37" width="4" style="16" bestFit="1" customWidth="1"/>
    <col min="38" max="38" width="2.5" style="16" customWidth="1"/>
    <col min="39" max="39" width="4.625" style="16" bestFit="1" customWidth="1"/>
    <col min="40" max="40" width="4.125" style="16" bestFit="1" customWidth="1"/>
    <col min="41" max="16384" width="8.875" style="16"/>
  </cols>
  <sheetData>
    <row r="1" spans="1:40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283</v>
      </c>
      <c r="I1" s="2" t="s">
        <v>284</v>
      </c>
      <c r="J1" s="2" t="s">
        <v>303</v>
      </c>
      <c r="K1" s="3"/>
      <c r="L1" s="51" t="s">
        <v>7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B1" s="36" t="s">
        <v>285</v>
      </c>
      <c r="AC1" s="36" t="s">
        <v>286</v>
      </c>
      <c r="AD1" s="36" t="s">
        <v>287</v>
      </c>
      <c r="AE1" s="35"/>
      <c r="AF1" s="36" t="s">
        <v>288</v>
      </c>
      <c r="AG1" s="36" t="s">
        <v>289</v>
      </c>
      <c r="AH1" s="36" t="s">
        <v>290</v>
      </c>
      <c r="AI1" s="35"/>
      <c r="AJ1" s="36" t="s">
        <v>291</v>
      </c>
      <c r="AK1" s="36" t="s">
        <v>292</v>
      </c>
      <c r="AL1" s="35"/>
      <c r="AM1" s="36" t="s">
        <v>293</v>
      </c>
      <c r="AN1" s="36" t="s">
        <v>294</v>
      </c>
    </row>
    <row r="2" spans="1:40">
      <c r="A2" s="7" t="s">
        <v>8</v>
      </c>
      <c r="B2" s="8">
        <v>359206</v>
      </c>
      <c r="C2" s="8">
        <v>14184</v>
      </c>
      <c r="D2" s="8">
        <v>8581</v>
      </c>
      <c r="E2" s="9" t="s">
        <v>9</v>
      </c>
      <c r="F2" s="9" t="s">
        <v>9</v>
      </c>
      <c r="G2" s="9" t="s">
        <v>9</v>
      </c>
      <c r="H2" s="10">
        <v>39.5</v>
      </c>
      <c r="I2" s="10">
        <v>23</v>
      </c>
      <c r="J2" s="10"/>
      <c r="K2" s="11"/>
      <c r="L2" s="8">
        <v>54471</v>
      </c>
      <c r="M2" s="8">
        <v>37538</v>
      </c>
      <c r="N2" s="8">
        <v>8785</v>
      </c>
      <c r="O2" s="8">
        <v>25916</v>
      </c>
      <c r="P2" s="8">
        <v>41442</v>
      </c>
      <c r="Q2" s="8">
        <v>30978</v>
      </c>
      <c r="R2" s="8">
        <v>31063</v>
      </c>
      <c r="S2" s="8">
        <v>41817</v>
      </c>
      <c r="T2" s="8">
        <v>87196</v>
      </c>
      <c r="U2" s="8"/>
      <c r="V2" s="8"/>
      <c r="W2" s="8"/>
      <c r="X2" s="8"/>
      <c r="Y2" s="8"/>
      <c r="Z2" s="8"/>
      <c r="AB2" s="37">
        <f>SUM(L2:Z2)</f>
        <v>359206</v>
      </c>
      <c r="AC2" s="37">
        <f>SUM(L3:Z3)</f>
        <v>14184</v>
      </c>
      <c r="AD2" s="37">
        <f>SUM(L4:Z4)</f>
        <v>8581</v>
      </c>
      <c r="AF2" s="37">
        <f>AB2-B2</f>
        <v>0</v>
      </c>
      <c r="AG2" s="37">
        <f>AC2-C2</f>
        <v>0</v>
      </c>
      <c r="AH2" s="37">
        <f>AD2-D2</f>
        <v>0</v>
      </c>
      <c r="AJ2" s="38">
        <f>C2/B2*1000</f>
        <v>39.487090972867932</v>
      </c>
      <c r="AK2" s="38">
        <f>D2/B2*1000</f>
        <v>23.888799184868848</v>
      </c>
      <c r="AM2" s="38">
        <f>AJ2-H2</f>
        <v>-1.2909027132067763E-2</v>
      </c>
      <c r="AN2" s="38">
        <f>AK2-I2</f>
        <v>0.8887991848688479</v>
      </c>
    </row>
    <row r="3" spans="1:40">
      <c r="A3" s="4" t="s">
        <v>10</v>
      </c>
      <c r="B3" s="5"/>
      <c r="C3" s="5"/>
      <c r="D3" s="5"/>
      <c r="E3" s="5"/>
      <c r="F3" s="5"/>
      <c r="G3" s="5"/>
      <c r="H3" s="6" t="s">
        <v>9</v>
      </c>
      <c r="I3" s="6" t="s">
        <v>9</v>
      </c>
      <c r="J3" s="6"/>
      <c r="K3" s="5"/>
      <c r="L3" s="5">
        <v>2191</v>
      </c>
      <c r="M3" s="5">
        <v>1248</v>
      </c>
      <c r="N3" s="5">
        <v>283</v>
      </c>
      <c r="O3" s="5">
        <v>1099</v>
      </c>
      <c r="P3" s="5">
        <v>1595</v>
      </c>
      <c r="Q3" s="5">
        <v>1448</v>
      </c>
      <c r="R3" s="5">
        <v>1326</v>
      </c>
      <c r="S3" s="5">
        <v>1581</v>
      </c>
      <c r="T3" s="5">
        <v>3413</v>
      </c>
      <c r="U3" s="5"/>
      <c r="V3" s="5"/>
      <c r="W3" s="5"/>
      <c r="X3" s="5"/>
      <c r="Y3" s="5"/>
      <c r="Z3" s="5"/>
    </row>
    <row r="4" spans="1:40">
      <c r="A4" s="4" t="s">
        <v>11</v>
      </c>
      <c r="B4" s="5"/>
      <c r="C4" s="5"/>
      <c r="D4" s="5"/>
      <c r="E4" s="5"/>
      <c r="F4" s="5"/>
      <c r="G4" s="5"/>
      <c r="H4" s="6" t="s">
        <v>9</v>
      </c>
      <c r="I4" s="6" t="s">
        <v>9</v>
      </c>
      <c r="J4" s="6"/>
      <c r="K4" s="5"/>
      <c r="L4" s="5">
        <v>1634</v>
      </c>
      <c r="M4" s="5">
        <v>638</v>
      </c>
      <c r="N4" s="5">
        <v>176</v>
      </c>
      <c r="O4" s="5">
        <v>651</v>
      </c>
      <c r="P4" s="5">
        <v>1177</v>
      </c>
      <c r="Q4" s="5">
        <v>770</v>
      </c>
      <c r="R4" s="5">
        <v>704</v>
      </c>
      <c r="S4" s="5">
        <v>991</v>
      </c>
      <c r="T4" s="5">
        <v>1840</v>
      </c>
      <c r="U4" s="5"/>
      <c r="V4" s="5"/>
      <c r="W4" s="5"/>
      <c r="X4" s="5"/>
      <c r="Y4" s="5"/>
      <c r="Z4" s="5"/>
    </row>
    <row r="5" spans="1:40">
      <c r="A5" s="7" t="s">
        <v>295</v>
      </c>
      <c r="B5" s="8">
        <f>979538-B8</f>
        <v>571715</v>
      </c>
      <c r="C5" s="8">
        <f>34469-C8</f>
        <v>32340</v>
      </c>
      <c r="D5" s="8">
        <f>24373-D8</f>
        <v>23323</v>
      </c>
      <c r="E5" s="8">
        <v>140241</v>
      </c>
      <c r="F5" s="8">
        <v>6190</v>
      </c>
      <c r="G5" s="8">
        <v>4788</v>
      </c>
      <c r="H5" s="12">
        <v>56.5</v>
      </c>
      <c r="I5" s="12">
        <v>40.799999999999997</v>
      </c>
      <c r="J5" s="12"/>
      <c r="K5" s="5"/>
      <c r="L5" s="8">
        <v>178195</v>
      </c>
      <c r="M5" s="8">
        <v>68068</v>
      </c>
      <c r="N5" s="8">
        <v>36557</v>
      </c>
      <c r="O5" s="8">
        <v>98198</v>
      </c>
      <c r="P5" s="8">
        <v>190697</v>
      </c>
      <c r="Q5" s="8"/>
      <c r="R5" s="8"/>
      <c r="S5" s="8"/>
      <c r="T5" s="8"/>
      <c r="U5" s="8"/>
      <c r="V5" s="8"/>
      <c r="W5" s="8"/>
      <c r="X5" s="8"/>
      <c r="Y5" s="8"/>
      <c r="Z5" s="8"/>
      <c r="AB5" s="37">
        <f>SUM(L5:Z5)</f>
        <v>571715</v>
      </c>
      <c r="AC5" s="37">
        <f>SUM(L6:Z6)</f>
        <v>32340</v>
      </c>
      <c r="AD5" s="37">
        <f>SUM(L7:Z7)</f>
        <v>23323</v>
      </c>
      <c r="AF5" s="37">
        <f>AB5-B5</f>
        <v>0</v>
      </c>
      <c r="AG5" s="37">
        <f>AC5-C5</f>
        <v>0</v>
      </c>
      <c r="AH5" s="37">
        <f>AD5-D5</f>
        <v>0</v>
      </c>
      <c r="AJ5" s="38">
        <f>C5/B5*1000</f>
        <v>56.56664596870818</v>
      </c>
      <c r="AK5" s="38">
        <f>D5/B5*1000</f>
        <v>40.794801605695149</v>
      </c>
      <c r="AM5" s="38">
        <f>AJ5-H5</f>
        <v>6.6645968708179737E-2</v>
      </c>
      <c r="AN5" s="38">
        <f>AK5-I5</f>
        <v>-5.1983943048483638E-3</v>
      </c>
    </row>
    <row r="6" spans="1:40">
      <c r="A6" s="4" t="s">
        <v>296</v>
      </c>
      <c r="B6" s="5"/>
      <c r="C6" s="5"/>
      <c r="D6" s="5"/>
      <c r="E6" s="5"/>
      <c r="F6" s="5"/>
      <c r="G6" s="5"/>
      <c r="H6" s="6" t="s">
        <v>9</v>
      </c>
      <c r="I6" s="6" t="s">
        <v>9</v>
      </c>
      <c r="J6" s="6"/>
      <c r="K6" s="5"/>
      <c r="L6" s="5">
        <v>9547</v>
      </c>
      <c r="M6" s="5">
        <v>3839</v>
      </c>
      <c r="N6" s="5">
        <v>2157</v>
      </c>
      <c r="O6" s="5">
        <v>5975</v>
      </c>
      <c r="P6" s="5">
        <v>10822</v>
      </c>
      <c r="Q6" s="11"/>
      <c r="R6" s="5"/>
      <c r="S6" s="5"/>
      <c r="T6" s="5"/>
      <c r="U6" s="5"/>
      <c r="V6" s="5"/>
      <c r="W6" s="5"/>
      <c r="X6" s="5"/>
      <c r="Y6" s="5"/>
      <c r="Z6" s="5"/>
    </row>
    <row r="7" spans="1:40">
      <c r="A7" s="4" t="s">
        <v>297</v>
      </c>
      <c r="B7" s="5"/>
      <c r="C7" s="5"/>
      <c r="D7" s="5"/>
      <c r="E7" s="5"/>
      <c r="F7" s="5"/>
      <c r="G7" s="5"/>
      <c r="H7" s="6" t="s">
        <v>9</v>
      </c>
      <c r="I7" s="6" t="s">
        <v>9</v>
      </c>
      <c r="J7" s="6"/>
      <c r="K7" s="5"/>
      <c r="L7" s="5">
        <v>6766</v>
      </c>
      <c r="M7" s="5">
        <v>2175</v>
      </c>
      <c r="N7" s="5">
        <v>1571</v>
      </c>
      <c r="O7" s="5">
        <v>3674</v>
      </c>
      <c r="P7" s="5">
        <v>9137</v>
      </c>
      <c r="Q7" s="11"/>
      <c r="R7" s="5"/>
      <c r="S7" s="5"/>
      <c r="T7" s="5"/>
      <c r="U7" s="5"/>
      <c r="V7" s="5"/>
      <c r="W7" s="5"/>
      <c r="X7" s="5"/>
      <c r="Y7" s="5"/>
      <c r="Z7" s="5"/>
    </row>
    <row r="8" spans="1:40">
      <c r="A8" s="46" t="s">
        <v>298</v>
      </c>
      <c r="B8" s="47">
        <f>SUM(L8:M8)</f>
        <v>407823</v>
      </c>
      <c r="C8" s="47">
        <f>SUM(L9:M9)</f>
        <v>2129</v>
      </c>
      <c r="D8" s="47">
        <f>SUM(L10:M10)</f>
        <v>1050</v>
      </c>
      <c r="E8" s="47"/>
      <c r="F8" s="47"/>
      <c r="G8" s="47"/>
      <c r="H8" s="48"/>
      <c r="I8" s="48"/>
      <c r="J8" s="48"/>
      <c r="K8" s="5"/>
      <c r="L8" s="8">
        <v>140161</v>
      </c>
      <c r="M8" s="8">
        <v>267662</v>
      </c>
      <c r="N8" s="47"/>
      <c r="O8" s="47"/>
      <c r="P8" s="47"/>
      <c r="Q8" s="49"/>
      <c r="R8" s="47"/>
      <c r="S8" s="47"/>
      <c r="T8" s="47"/>
      <c r="U8" s="47"/>
      <c r="V8" s="47"/>
      <c r="W8" s="47"/>
      <c r="X8" s="47"/>
      <c r="Y8" s="47"/>
      <c r="Z8" s="47"/>
      <c r="AB8" s="37">
        <f>B8</f>
        <v>407823</v>
      </c>
      <c r="AC8" s="37">
        <f>C8</f>
        <v>2129</v>
      </c>
      <c r="AD8" s="37">
        <f>D8</f>
        <v>1050</v>
      </c>
      <c r="AF8" s="39"/>
      <c r="AG8" s="39"/>
      <c r="AH8" s="39"/>
      <c r="AJ8" s="39"/>
      <c r="AK8" s="39"/>
      <c r="AM8" s="39"/>
      <c r="AN8" s="39"/>
    </row>
    <row r="9" spans="1:40">
      <c r="A9" s="4" t="s">
        <v>299</v>
      </c>
      <c r="B9" s="5"/>
      <c r="C9" s="5"/>
      <c r="D9" s="5"/>
      <c r="E9" s="5"/>
      <c r="F9" s="5"/>
      <c r="G9" s="5"/>
      <c r="H9" s="6"/>
      <c r="I9" s="6"/>
      <c r="J9" s="6"/>
      <c r="K9" s="5"/>
      <c r="L9" s="11" t="s">
        <v>9</v>
      </c>
      <c r="M9" s="5">
        <v>2129</v>
      </c>
      <c r="N9" s="5"/>
      <c r="O9" s="5"/>
      <c r="P9" s="5"/>
      <c r="Q9" s="11"/>
      <c r="R9" s="5"/>
      <c r="S9" s="5"/>
      <c r="T9" s="5"/>
      <c r="U9" s="5"/>
      <c r="V9" s="5"/>
      <c r="W9" s="5"/>
      <c r="X9" s="5"/>
      <c r="Y9" s="5"/>
      <c r="Z9" s="5"/>
    </row>
    <row r="10" spans="1:40">
      <c r="A10" s="4" t="s">
        <v>300</v>
      </c>
      <c r="B10" s="5"/>
      <c r="C10" s="5"/>
      <c r="D10" s="5"/>
      <c r="E10" s="5"/>
      <c r="F10" s="5"/>
      <c r="G10" s="5"/>
      <c r="H10" s="6"/>
      <c r="I10" s="6"/>
      <c r="J10" s="6"/>
      <c r="K10" s="5"/>
      <c r="L10" s="11" t="s">
        <v>9</v>
      </c>
      <c r="M10" s="5">
        <v>1050</v>
      </c>
      <c r="N10" s="5"/>
      <c r="O10" s="5"/>
      <c r="P10" s="5"/>
      <c r="Q10" s="11"/>
      <c r="R10" s="5"/>
      <c r="S10" s="5"/>
      <c r="T10" s="5"/>
      <c r="U10" s="5"/>
      <c r="V10" s="5"/>
      <c r="W10" s="5"/>
      <c r="X10" s="5"/>
      <c r="Y10" s="5"/>
      <c r="Z10" s="5"/>
    </row>
    <row r="11" spans="1:40">
      <c r="A11" s="4" t="s">
        <v>301</v>
      </c>
      <c r="B11" s="5">
        <f>SUM(B5:B10)</f>
        <v>979538</v>
      </c>
      <c r="C11" s="5">
        <f>SUM(C5:C10)</f>
        <v>34469</v>
      </c>
      <c r="D11" s="5">
        <f>SUM(D5:D10)</f>
        <v>24373</v>
      </c>
      <c r="E11" s="5"/>
      <c r="F11" s="5"/>
      <c r="G11" s="5"/>
      <c r="H11" s="6"/>
      <c r="I11" s="6"/>
      <c r="J11" s="6"/>
      <c r="K11" s="5"/>
      <c r="L11" s="11"/>
      <c r="M11" s="5"/>
      <c r="N11" s="5"/>
      <c r="O11" s="5"/>
      <c r="P11" s="5"/>
      <c r="Q11" s="11"/>
      <c r="R11" s="5"/>
      <c r="S11" s="5"/>
      <c r="T11" s="5"/>
      <c r="U11" s="5"/>
      <c r="V11" s="5"/>
      <c r="W11" s="5"/>
      <c r="X11" s="5"/>
      <c r="Y11" s="5"/>
      <c r="Z11" s="5"/>
    </row>
    <row r="12" spans="1:40">
      <c r="A12" s="7" t="s">
        <v>12</v>
      </c>
      <c r="B12" s="8">
        <v>1449457</v>
      </c>
      <c r="C12" s="8">
        <v>62312</v>
      </c>
      <c r="D12" s="8">
        <v>33373</v>
      </c>
      <c r="E12" s="8">
        <v>148761</v>
      </c>
      <c r="F12" s="8">
        <v>5508</v>
      </c>
      <c r="G12" s="8">
        <v>4194</v>
      </c>
      <c r="H12" s="12">
        <v>48</v>
      </c>
      <c r="I12" s="12">
        <v>23</v>
      </c>
      <c r="J12" s="12"/>
      <c r="K12" s="5"/>
      <c r="L12" s="8">
        <v>315965</v>
      </c>
      <c r="M12" s="8">
        <v>212179</v>
      </c>
      <c r="N12" s="8">
        <v>192482</v>
      </c>
      <c r="O12" s="8">
        <v>188427</v>
      </c>
      <c r="P12" s="8">
        <v>221985</v>
      </c>
      <c r="Q12" s="8">
        <v>168894</v>
      </c>
      <c r="R12" s="8">
        <v>149425</v>
      </c>
      <c r="S12" s="8"/>
      <c r="T12" s="8"/>
      <c r="U12" s="8"/>
      <c r="V12" s="8"/>
      <c r="W12" s="8"/>
      <c r="X12" s="8"/>
      <c r="Y12" s="8"/>
      <c r="Z12" s="8"/>
      <c r="AB12" s="37">
        <f>SUM(L12:Z12)</f>
        <v>1449357</v>
      </c>
      <c r="AC12" s="37">
        <f>SUM(L13:Z13)</f>
        <v>62312</v>
      </c>
      <c r="AD12" s="37">
        <f>SUM(L14:Z14)</f>
        <v>33373</v>
      </c>
      <c r="AF12" s="37">
        <f>AB12-B12</f>
        <v>-100</v>
      </c>
      <c r="AG12" s="37">
        <f>AC12-C12</f>
        <v>0</v>
      </c>
      <c r="AH12" s="37">
        <f>AD12-D12</f>
        <v>0</v>
      </c>
      <c r="AJ12" s="38">
        <f>C12/B12*1000</f>
        <v>42.98989207682601</v>
      </c>
      <c r="AK12" s="38">
        <f>D12/B12*1000</f>
        <v>23.024484341377494</v>
      </c>
      <c r="AM12" s="38">
        <f>AJ12-H12</f>
        <v>-5.0101079231739902</v>
      </c>
      <c r="AN12" s="38">
        <f>AK12-I12</f>
        <v>2.4484341377494445E-2</v>
      </c>
    </row>
    <row r="13" spans="1:40">
      <c r="A13" s="4" t="s">
        <v>13</v>
      </c>
      <c r="B13" s="5"/>
      <c r="C13" s="5"/>
      <c r="D13" s="5"/>
      <c r="E13" s="5"/>
      <c r="F13" s="5"/>
      <c r="G13" s="5"/>
      <c r="H13" s="6" t="s">
        <v>9</v>
      </c>
      <c r="I13" s="6" t="s">
        <v>9</v>
      </c>
      <c r="J13" s="6"/>
      <c r="K13" s="5"/>
      <c r="L13" s="5">
        <v>12601</v>
      </c>
      <c r="M13" s="5">
        <v>8835</v>
      </c>
      <c r="N13" s="5">
        <v>7952</v>
      </c>
      <c r="O13" s="5">
        <v>8333</v>
      </c>
      <c r="P13" s="5">
        <v>9774</v>
      </c>
      <c r="Q13" s="5">
        <v>6677</v>
      </c>
      <c r="R13" s="5">
        <v>8140</v>
      </c>
      <c r="S13" s="5"/>
      <c r="T13" s="5"/>
      <c r="U13" s="5"/>
      <c r="V13" s="5"/>
      <c r="W13" s="5"/>
      <c r="X13" s="5"/>
      <c r="Y13" s="5"/>
      <c r="Z13" s="5"/>
    </row>
    <row r="14" spans="1:40">
      <c r="A14" s="4" t="s">
        <v>14</v>
      </c>
      <c r="B14" s="5"/>
      <c r="C14" s="5"/>
      <c r="D14" s="5"/>
      <c r="E14" s="5"/>
      <c r="F14" s="5"/>
      <c r="G14" s="5"/>
      <c r="H14" s="6" t="s">
        <v>9</v>
      </c>
      <c r="I14" s="6" t="s">
        <v>9</v>
      </c>
      <c r="J14" s="6"/>
      <c r="K14" s="5"/>
      <c r="L14" s="5">
        <v>7550</v>
      </c>
      <c r="M14" s="5">
        <v>4103</v>
      </c>
      <c r="N14" s="5">
        <v>4325</v>
      </c>
      <c r="O14" s="5">
        <v>4444</v>
      </c>
      <c r="P14" s="5">
        <v>4313</v>
      </c>
      <c r="Q14" s="5">
        <v>3853</v>
      </c>
      <c r="R14" s="5">
        <v>4785</v>
      </c>
      <c r="S14" s="5"/>
      <c r="T14" s="5"/>
      <c r="U14" s="5"/>
      <c r="V14" s="5"/>
      <c r="W14" s="5"/>
      <c r="X14" s="5"/>
      <c r="Y14" s="5"/>
      <c r="Z14" s="5"/>
    </row>
    <row r="15" spans="1:40">
      <c r="A15" s="7" t="s">
        <v>15</v>
      </c>
      <c r="B15" s="8">
        <v>1434022</v>
      </c>
      <c r="C15" s="8">
        <v>60630</v>
      </c>
      <c r="D15" s="8">
        <v>33819</v>
      </c>
      <c r="E15" s="8">
        <v>245034</v>
      </c>
      <c r="F15" s="8">
        <v>6529</v>
      </c>
      <c r="G15" s="8">
        <v>4012</v>
      </c>
      <c r="H15" s="12">
        <v>41.3</v>
      </c>
      <c r="I15" s="12">
        <v>23.1</v>
      </c>
      <c r="J15" s="12"/>
      <c r="K15" s="5"/>
      <c r="L15" s="8">
        <v>160746</v>
      </c>
      <c r="M15" s="8">
        <v>94427</v>
      </c>
      <c r="N15" s="8">
        <v>108316</v>
      </c>
      <c r="O15" s="8">
        <v>234316</v>
      </c>
      <c r="P15" s="8">
        <v>88274</v>
      </c>
      <c r="Q15" s="8">
        <v>151152</v>
      </c>
      <c r="R15" s="8">
        <v>121422</v>
      </c>
      <c r="S15" s="8">
        <v>103191</v>
      </c>
      <c r="T15" s="8">
        <v>131434</v>
      </c>
      <c r="U15" s="8">
        <v>150342</v>
      </c>
      <c r="V15" s="8">
        <v>87594</v>
      </c>
      <c r="W15" s="8"/>
      <c r="X15" s="8"/>
      <c r="Y15" s="8"/>
      <c r="Z15" s="8"/>
      <c r="AB15" s="37">
        <f>SUM(L15:Z15)</f>
        <v>1431214</v>
      </c>
      <c r="AC15" s="37">
        <f>SUM(L16:Z16)</f>
        <v>60630</v>
      </c>
      <c r="AD15" s="37">
        <f>SUM(L17:Z17)</f>
        <v>33819</v>
      </c>
      <c r="AF15" s="37">
        <f>AB15-B15</f>
        <v>-2808</v>
      </c>
      <c r="AG15" s="37">
        <f>AC15-C15</f>
        <v>0</v>
      </c>
      <c r="AH15" s="37">
        <f>AD15-D15</f>
        <v>0</v>
      </c>
      <c r="AJ15" s="38">
        <f>C15/B15*1000</f>
        <v>42.27968608570859</v>
      </c>
      <c r="AK15" s="38">
        <f>D15/B15*1000</f>
        <v>23.583320200108506</v>
      </c>
      <c r="AM15" s="38">
        <f>AJ15-H15</f>
        <v>0.97968608570859317</v>
      </c>
      <c r="AN15" s="38">
        <f>AK15-I15</f>
        <v>0.48332020010850485</v>
      </c>
    </row>
    <row r="16" spans="1:40">
      <c r="A16" s="4" t="s">
        <v>16</v>
      </c>
      <c r="B16" s="5"/>
      <c r="C16" s="5"/>
      <c r="D16" s="5"/>
      <c r="E16" s="5"/>
      <c r="F16" s="5"/>
      <c r="G16" s="5"/>
      <c r="H16" s="6" t="s">
        <v>9</v>
      </c>
      <c r="I16" s="6" t="s">
        <v>9</v>
      </c>
      <c r="J16" s="6"/>
      <c r="K16" s="5"/>
      <c r="L16" s="5">
        <v>7118</v>
      </c>
      <c r="M16" s="5">
        <v>5294</v>
      </c>
      <c r="N16" s="5">
        <v>4978</v>
      </c>
      <c r="O16" s="5">
        <v>7513</v>
      </c>
      <c r="P16" s="5">
        <v>4218</v>
      </c>
      <c r="Q16" s="5">
        <v>6840</v>
      </c>
      <c r="R16" s="5">
        <v>5095</v>
      </c>
      <c r="S16" s="5">
        <v>5106</v>
      </c>
      <c r="T16" s="5">
        <v>5938</v>
      </c>
      <c r="U16" s="5">
        <v>4343</v>
      </c>
      <c r="V16" s="5">
        <v>4187</v>
      </c>
      <c r="W16" s="5"/>
      <c r="X16" s="5"/>
      <c r="Y16" s="5"/>
      <c r="Z16" s="5"/>
    </row>
    <row r="17" spans="1:40">
      <c r="A17" s="4" t="s">
        <v>17</v>
      </c>
      <c r="B17" s="5"/>
      <c r="C17" s="5"/>
      <c r="D17" s="5"/>
      <c r="E17" s="5"/>
      <c r="F17" s="5"/>
      <c r="G17" s="5"/>
      <c r="H17" s="6" t="s">
        <v>9</v>
      </c>
      <c r="I17" s="6" t="s">
        <v>9</v>
      </c>
      <c r="J17" s="6"/>
      <c r="K17" s="5"/>
      <c r="L17" s="5">
        <v>3764</v>
      </c>
      <c r="M17" s="5">
        <v>2896</v>
      </c>
      <c r="N17" s="5">
        <v>3013</v>
      </c>
      <c r="O17" s="5">
        <v>4298</v>
      </c>
      <c r="P17" s="5">
        <v>2630</v>
      </c>
      <c r="Q17" s="5">
        <v>3586</v>
      </c>
      <c r="R17" s="5">
        <v>2517</v>
      </c>
      <c r="S17" s="5">
        <v>3407</v>
      </c>
      <c r="T17" s="5">
        <v>3102</v>
      </c>
      <c r="U17" s="5">
        <v>2298</v>
      </c>
      <c r="V17" s="5">
        <v>2308</v>
      </c>
      <c r="W17" s="5"/>
      <c r="X17" s="5"/>
      <c r="Y17" s="5"/>
      <c r="Z17" s="5"/>
    </row>
    <row r="18" spans="1:40">
      <c r="A18" s="7" t="s">
        <v>18</v>
      </c>
      <c r="B18" s="8">
        <v>2623128</v>
      </c>
      <c r="C18" s="8">
        <v>137322</v>
      </c>
      <c r="D18" s="8">
        <v>104125</v>
      </c>
      <c r="E18" s="8">
        <v>199119</v>
      </c>
      <c r="F18" s="8">
        <v>7538</v>
      </c>
      <c r="G18" s="8">
        <v>6196</v>
      </c>
      <c r="H18" s="12">
        <v>52.4</v>
      </c>
      <c r="I18" s="12">
        <v>32.700000000000003</v>
      </c>
      <c r="J18" s="12"/>
      <c r="K18" s="5"/>
      <c r="L18" s="8">
        <v>364187</v>
      </c>
      <c r="M18" s="8">
        <v>231477</v>
      </c>
      <c r="N18" s="8">
        <v>177372</v>
      </c>
      <c r="O18" s="8">
        <v>183529</v>
      </c>
      <c r="P18" s="8">
        <v>199124</v>
      </c>
      <c r="Q18" s="8">
        <v>197024</v>
      </c>
      <c r="R18" s="8">
        <v>207893</v>
      </c>
      <c r="S18" s="8">
        <v>287127</v>
      </c>
      <c r="T18" s="8">
        <v>196315</v>
      </c>
      <c r="U18" s="8">
        <v>163190</v>
      </c>
      <c r="V18" s="8">
        <v>233138</v>
      </c>
      <c r="W18" s="8">
        <v>182752</v>
      </c>
      <c r="X18" s="8"/>
      <c r="Y18" s="8"/>
      <c r="Z18" s="8"/>
      <c r="AB18" s="37">
        <f>SUM(L18:Z18)</f>
        <v>2623128</v>
      </c>
      <c r="AC18" s="37">
        <f>SUM(L19:Z19)</f>
        <v>137322</v>
      </c>
      <c r="AD18" s="37">
        <f>SUM(L20:Z20)</f>
        <v>104125</v>
      </c>
      <c r="AF18" s="37">
        <f>AB18-B18</f>
        <v>0</v>
      </c>
      <c r="AG18" s="37">
        <f>AC18-C18</f>
        <v>0</v>
      </c>
      <c r="AH18" s="37">
        <f>AD18-D18</f>
        <v>0</v>
      </c>
      <c r="AJ18" s="38">
        <f>C18/B18*1000</f>
        <v>52.350476225330979</v>
      </c>
      <c r="AK18" s="38">
        <f>D18/B18*1000</f>
        <v>39.694974854448581</v>
      </c>
      <c r="AM18" s="38">
        <f>AJ18-H18</f>
        <v>-4.952377466901936E-2</v>
      </c>
      <c r="AN18" s="38">
        <f>AK18-I18</f>
        <v>6.9949748544485786</v>
      </c>
    </row>
    <row r="19" spans="1:40">
      <c r="A19" s="4" t="s">
        <v>19</v>
      </c>
      <c r="B19" s="5"/>
      <c r="C19" s="5"/>
      <c r="D19" s="5"/>
      <c r="E19" s="5"/>
      <c r="F19" s="5"/>
      <c r="G19" s="5"/>
      <c r="H19" s="6" t="s">
        <v>9</v>
      </c>
      <c r="I19" s="6" t="s">
        <v>9</v>
      </c>
      <c r="J19" s="6"/>
      <c r="K19" s="5"/>
      <c r="L19" s="5">
        <v>19120</v>
      </c>
      <c r="M19" s="5">
        <v>12721</v>
      </c>
      <c r="N19" s="5">
        <v>9044</v>
      </c>
      <c r="O19" s="5">
        <v>9978</v>
      </c>
      <c r="P19" s="5">
        <v>9379</v>
      </c>
      <c r="Q19" s="5">
        <v>10563</v>
      </c>
      <c r="R19" s="5">
        <v>11338</v>
      </c>
      <c r="S19" s="5">
        <v>15958</v>
      </c>
      <c r="T19" s="5">
        <v>9861</v>
      </c>
      <c r="U19" s="5">
        <v>8120</v>
      </c>
      <c r="V19" s="5">
        <v>12480</v>
      </c>
      <c r="W19" s="5">
        <v>8760</v>
      </c>
      <c r="X19" s="5"/>
      <c r="Y19" s="5"/>
      <c r="Z19" s="5"/>
    </row>
    <row r="20" spans="1:40">
      <c r="A20" s="4" t="s">
        <v>20</v>
      </c>
      <c r="B20" s="5"/>
      <c r="C20" s="5"/>
      <c r="D20" s="5"/>
      <c r="E20" s="5"/>
      <c r="F20" s="5"/>
      <c r="G20" s="5"/>
      <c r="H20" s="6" t="s">
        <v>9</v>
      </c>
      <c r="I20" s="6" t="s">
        <v>9</v>
      </c>
      <c r="J20" s="6"/>
      <c r="K20" s="5"/>
      <c r="L20" s="5">
        <v>11648</v>
      </c>
      <c r="M20" s="5">
        <v>8927</v>
      </c>
      <c r="N20" s="5">
        <v>7938</v>
      </c>
      <c r="O20" s="5">
        <v>10187</v>
      </c>
      <c r="P20" s="5">
        <v>7019</v>
      </c>
      <c r="Q20" s="5">
        <v>9291</v>
      </c>
      <c r="R20" s="5">
        <v>8752</v>
      </c>
      <c r="S20" s="5">
        <v>10106</v>
      </c>
      <c r="T20" s="5">
        <v>5756</v>
      </c>
      <c r="U20" s="5">
        <v>8152</v>
      </c>
      <c r="V20" s="5">
        <v>8880</v>
      </c>
      <c r="W20" s="5">
        <v>7469</v>
      </c>
      <c r="X20" s="5"/>
      <c r="Y20" s="5"/>
      <c r="Z20" s="5"/>
    </row>
    <row r="21" spans="1:40">
      <c r="A21" s="7" t="s">
        <v>21</v>
      </c>
      <c r="B21" s="8">
        <v>1625550</v>
      </c>
      <c r="C21" s="8">
        <v>67220</v>
      </c>
      <c r="D21" s="8">
        <v>43774</v>
      </c>
      <c r="E21" s="8">
        <v>244338</v>
      </c>
      <c r="F21" s="8">
        <v>6402</v>
      </c>
      <c r="G21" s="8">
        <v>3977</v>
      </c>
      <c r="H21" s="12">
        <v>41.3</v>
      </c>
      <c r="I21" s="12">
        <v>27</v>
      </c>
      <c r="J21" s="12"/>
      <c r="K21" s="5"/>
      <c r="L21" s="8">
        <v>203807</v>
      </c>
      <c r="M21" s="8">
        <v>208742</v>
      </c>
      <c r="N21" s="8">
        <v>201643</v>
      </c>
      <c r="O21" s="8">
        <v>198738</v>
      </c>
      <c r="P21" s="8">
        <v>149560</v>
      </c>
      <c r="Q21" s="8">
        <v>173129</v>
      </c>
      <c r="R21" s="8">
        <v>140463</v>
      </c>
      <c r="S21" s="8">
        <v>228031</v>
      </c>
      <c r="T21" s="8">
        <v>121337</v>
      </c>
      <c r="U21" s="8"/>
      <c r="V21" s="8"/>
      <c r="W21" s="8"/>
      <c r="X21" s="8"/>
      <c r="Y21" s="8"/>
      <c r="Z21" s="8"/>
      <c r="AB21" s="37">
        <f>SUM(L21:Z21)</f>
        <v>1625450</v>
      </c>
      <c r="AC21" s="37">
        <f>SUM(L22:Z22)</f>
        <v>67220</v>
      </c>
      <c r="AD21" s="37">
        <f>SUM(L23:Z23)</f>
        <v>43774</v>
      </c>
      <c r="AF21" s="37">
        <f>AB21-B21</f>
        <v>-100</v>
      </c>
      <c r="AG21" s="37">
        <f>AC21-C21</f>
        <v>0</v>
      </c>
      <c r="AH21" s="37">
        <f>AD21-D21</f>
        <v>0</v>
      </c>
      <c r="AJ21" s="38">
        <f>C21/B21*1000</f>
        <v>41.352157731229433</v>
      </c>
      <c r="AK21" s="38">
        <f>D21/B21*1000</f>
        <v>26.928731813847623</v>
      </c>
      <c r="AM21" s="38">
        <f>AJ21-H21</f>
        <v>5.2157731229435456E-2</v>
      </c>
      <c r="AN21" s="38">
        <f>AK21-I21</f>
        <v>-7.1268186152376956E-2</v>
      </c>
    </row>
    <row r="22" spans="1:40">
      <c r="A22" s="4" t="s">
        <v>22</v>
      </c>
      <c r="B22" s="5"/>
      <c r="C22" s="5"/>
      <c r="D22" s="5"/>
      <c r="E22" s="5"/>
      <c r="F22" s="5"/>
      <c r="G22" s="5"/>
      <c r="H22" s="6" t="s">
        <v>9</v>
      </c>
      <c r="I22" s="6" t="s">
        <v>9</v>
      </c>
      <c r="J22" s="6"/>
      <c r="K22" s="5"/>
      <c r="L22" s="5">
        <v>6857</v>
      </c>
      <c r="M22" s="5">
        <v>9625</v>
      </c>
      <c r="N22" s="5">
        <v>7256</v>
      </c>
      <c r="O22" s="5">
        <v>6998</v>
      </c>
      <c r="P22" s="5">
        <v>7239</v>
      </c>
      <c r="Q22" s="5">
        <v>8203</v>
      </c>
      <c r="R22" s="5">
        <v>7014</v>
      </c>
      <c r="S22" s="5">
        <v>10044</v>
      </c>
      <c r="T22" s="5">
        <v>3984</v>
      </c>
      <c r="U22" s="5"/>
      <c r="V22" s="5"/>
      <c r="W22" s="5"/>
      <c r="X22" s="5"/>
      <c r="Y22" s="5"/>
      <c r="Z22" s="5"/>
    </row>
    <row r="23" spans="1:40">
      <c r="A23" s="4" t="s">
        <v>23</v>
      </c>
      <c r="B23" s="5"/>
      <c r="C23" s="5"/>
      <c r="D23" s="5"/>
      <c r="E23" s="5"/>
      <c r="F23" s="5"/>
      <c r="G23" s="5"/>
      <c r="H23" s="6" t="s">
        <v>9</v>
      </c>
      <c r="I23" s="6" t="s">
        <v>9</v>
      </c>
      <c r="J23" s="6"/>
      <c r="K23" s="5"/>
      <c r="L23" s="5">
        <v>4392</v>
      </c>
      <c r="M23" s="5">
        <v>6426</v>
      </c>
      <c r="N23" s="5">
        <v>4243</v>
      </c>
      <c r="O23" s="5">
        <v>4795</v>
      </c>
      <c r="P23" s="5">
        <v>4634</v>
      </c>
      <c r="Q23" s="5">
        <v>5539</v>
      </c>
      <c r="R23" s="5">
        <v>4680</v>
      </c>
      <c r="S23" s="5">
        <v>6427</v>
      </c>
      <c r="T23" s="5">
        <v>2638</v>
      </c>
      <c r="U23" s="5"/>
      <c r="V23" s="5"/>
      <c r="W23" s="5"/>
      <c r="X23" s="5"/>
      <c r="Y23" s="5"/>
      <c r="Z23" s="5"/>
    </row>
    <row r="24" spans="1:40">
      <c r="A24" s="7" t="s">
        <v>24</v>
      </c>
      <c r="B24" s="8">
        <v>3543067</v>
      </c>
      <c r="C24" s="8">
        <v>166115</v>
      </c>
      <c r="D24" s="8">
        <v>119332</v>
      </c>
      <c r="E24" s="8">
        <v>483787</v>
      </c>
      <c r="F24" s="8">
        <v>17815</v>
      </c>
      <c r="G24" s="8">
        <v>12088</v>
      </c>
      <c r="H24" s="12">
        <v>46.3</v>
      </c>
      <c r="I24" s="12">
        <v>33.200000000000003</v>
      </c>
      <c r="J24" s="12"/>
      <c r="K24" s="5"/>
      <c r="L24" s="8">
        <v>517606</v>
      </c>
      <c r="M24" s="8">
        <v>278173</v>
      </c>
      <c r="N24" s="8">
        <v>349077</v>
      </c>
      <c r="O24" s="8">
        <v>277563</v>
      </c>
      <c r="P24" s="8">
        <v>272064</v>
      </c>
      <c r="Q24" s="8">
        <v>226327</v>
      </c>
      <c r="R24" s="8">
        <v>279933</v>
      </c>
      <c r="S24" s="8">
        <v>253713</v>
      </c>
      <c r="T24" s="8">
        <v>248445</v>
      </c>
      <c r="U24" s="8">
        <v>305739</v>
      </c>
      <c r="V24" s="8">
        <v>295784</v>
      </c>
      <c r="W24" s="8">
        <v>238643</v>
      </c>
      <c r="X24" s="8"/>
      <c r="Y24" s="8"/>
      <c r="Z24" s="8"/>
      <c r="AB24" s="37">
        <f>SUM(L24:Z24)</f>
        <v>3543067</v>
      </c>
      <c r="AC24" s="37">
        <f>SUM(L25:Z25)</f>
        <v>166115</v>
      </c>
      <c r="AD24" s="37">
        <f>SUM(L26:Z26)</f>
        <v>119332</v>
      </c>
      <c r="AF24" s="37">
        <f>AB24-B24</f>
        <v>0</v>
      </c>
      <c r="AG24" s="37">
        <f>AC24-C24</f>
        <v>0</v>
      </c>
      <c r="AH24" s="37">
        <f>AD24-D24</f>
        <v>0</v>
      </c>
      <c r="AJ24" s="38">
        <f>C24/B24*1000</f>
        <v>46.884521235415534</v>
      </c>
      <c r="AK24" s="38">
        <f>D24/B24*1000</f>
        <v>33.680424332929633</v>
      </c>
      <c r="AM24" s="38">
        <f>AJ24-H24</f>
        <v>0.58452123541553647</v>
      </c>
      <c r="AN24" s="38">
        <f>AK24-I24</f>
        <v>0.48042433292962983</v>
      </c>
    </row>
    <row r="25" spans="1:40">
      <c r="A25" s="4" t="s">
        <v>25</v>
      </c>
      <c r="B25" s="5"/>
      <c r="C25" s="5"/>
      <c r="D25" s="5"/>
      <c r="E25" s="5"/>
      <c r="F25" s="5"/>
      <c r="G25" s="5"/>
      <c r="H25" s="6" t="s">
        <v>9</v>
      </c>
      <c r="I25" s="6" t="s">
        <v>9</v>
      </c>
      <c r="J25" s="6"/>
      <c r="K25" s="5"/>
      <c r="L25" s="5">
        <v>22811</v>
      </c>
      <c r="M25" s="5">
        <v>12611</v>
      </c>
      <c r="N25" s="5">
        <v>15230</v>
      </c>
      <c r="O25" s="5">
        <v>12656</v>
      </c>
      <c r="P25" s="5">
        <v>12846</v>
      </c>
      <c r="Q25" s="5">
        <v>9587</v>
      </c>
      <c r="R25" s="5">
        <v>15536</v>
      </c>
      <c r="S25" s="5">
        <v>11618</v>
      </c>
      <c r="T25" s="5">
        <v>11206</v>
      </c>
      <c r="U25" s="5">
        <v>15177</v>
      </c>
      <c r="V25" s="5">
        <v>15216</v>
      </c>
      <c r="W25" s="5">
        <v>11621</v>
      </c>
      <c r="X25" s="5"/>
      <c r="Y25" s="5"/>
      <c r="Z25" s="5"/>
    </row>
    <row r="26" spans="1:40">
      <c r="A26" s="4" t="s">
        <v>26</v>
      </c>
      <c r="B26" s="5"/>
      <c r="C26" s="5"/>
      <c r="D26" s="5"/>
      <c r="E26" s="5"/>
      <c r="F26" s="5"/>
      <c r="G26" s="5"/>
      <c r="H26" s="6" t="s">
        <v>9</v>
      </c>
      <c r="I26" s="6" t="s">
        <v>9</v>
      </c>
      <c r="J26" s="6"/>
      <c r="K26" s="5"/>
      <c r="L26" s="5">
        <v>15534</v>
      </c>
      <c r="M26" s="5">
        <v>10297</v>
      </c>
      <c r="N26" s="5">
        <v>12573</v>
      </c>
      <c r="O26" s="5">
        <v>8237</v>
      </c>
      <c r="P26" s="5">
        <v>9043</v>
      </c>
      <c r="Q26" s="5">
        <v>8384</v>
      </c>
      <c r="R26" s="5">
        <v>8542</v>
      </c>
      <c r="S26" s="5">
        <v>8614</v>
      </c>
      <c r="T26" s="5">
        <v>9615</v>
      </c>
      <c r="U26" s="5">
        <v>11570</v>
      </c>
      <c r="V26" s="5">
        <v>9914</v>
      </c>
      <c r="W26" s="5">
        <v>7009</v>
      </c>
      <c r="X26" s="5"/>
      <c r="Y26" s="5"/>
      <c r="Z26" s="5"/>
    </row>
    <row r="27" spans="1:40">
      <c r="A27" s="7" t="s">
        <v>27</v>
      </c>
      <c r="B27" s="8">
        <v>1680468</v>
      </c>
      <c r="C27" s="8">
        <v>56731</v>
      </c>
      <c r="D27" s="8">
        <v>35276</v>
      </c>
      <c r="E27" s="8">
        <v>164844</v>
      </c>
      <c r="F27" s="8">
        <v>4196</v>
      </c>
      <c r="G27" s="8">
        <v>3182</v>
      </c>
      <c r="H27" s="12">
        <v>33.700000000000003</v>
      </c>
      <c r="I27" s="12">
        <v>22</v>
      </c>
      <c r="J27" s="12"/>
      <c r="K27" s="5"/>
      <c r="L27" s="8">
        <v>245980</v>
      </c>
      <c r="M27" s="8">
        <v>250665</v>
      </c>
      <c r="N27" s="8">
        <v>221818</v>
      </c>
      <c r="O27" s="8">
        <v>235820</v>
      </c>
      <c r="P27" s="8">
        <v>257640</v>
      </c>
      <c r="Q27" s="8">
        <v>203662</v>
      </c>
      <c r="R27" s="8">
        <v>264783</v>
      </c>
      <c r="S27" s="8"/>
      <c r="T27" s="8"/>
      <c r="U27" s="8"/>
      <c r="V27" s="8"/>
      <c r="W27" s="8"/>
      <c r="X27" s="8"/>
      <c r="Y27" s="8"/>
      <c r="Z27" s="8"/>
      <c r="AB27" s="37">
        <f>SUM(L27:Z27)</f>
        <v>1680368</v>
      </c>
      <c r="AC27" s="37">
        <f>SUM(L28:Z28)</f>
        <v>56731</v>
      </c>
      <c r="AD27" s="37">
        <f>SUM(L29:Z29)</f>
        <v>35276</v>
      </c>
      <c r="AF27" s="37">
        <f>AB27-B27</f>
        <v>-100</v>
      </c>
      <c r="AG27" s="37">
        <f>AC27-C27</f>
        <v>0</v>
      </c>
      <c r="AH27" s="37">
        <f>AD27-D27</f>
        <v>0</v>
      </c>
      <c r="AJ27" s="38">
        <f>C27/B27*1000</f>
        <v>33.759048074703003</v>
      </c>
      <c r="AK27" s="38">
        <f>D27/B27*1000</f>
        <v>20.991771339888651</v>
      </c>
      <c r="AM27" s="38">
        <f>AJ27-H27</f>
        <v>5.9048074702999997E-2</v>
      </c>
      <c r="AN27" s="38">
        <f>AK27-I27</f>
        <v>-1.0082286601113495</v>
      </c>
    </row>
    <row r="28" spans="1:40">
      <c r="A28" s="4" t="s">
        <v>28</v>
      </c>
      <c r="B28" s="5"/>
      <c r="C28" s="5"/>
      <c r="D28" s="5"/>
      <c r="E28" s="5"/>
      <c r="F28" s="5"/>
      <c r="G28" s="5"/>
      <c r="H28" s="6" t="s">
        <v>9</v>
      </c>
      <c r="I28" s="6" t="s">
        <v>9</v>
      </c>
      <c r="J28" s="6"/>
      <c r="K28" s="5"/>
      <c r="L28" s="5">
        <v>8329</v>
      </c>
      <c r="M28" s="5">
        <v>8576</v>
      </c>
      <c r="N28" s="5">
        <v>7142</v>
      </c>
      <c r="O28" s="5">
        <v>7805</v>
      </c>
      <c r="P28" s="5">
        <v>9182</v>
      </c>
      <c r="Q28" s="5">
        <v>7202</v>
      </c>
      <c r="R28" s="5">
        <v>8495</v>
      </c>
      <c r="S28" s="5"/>
      <c r="T28" s="5"/>
      <c r="U28" s="5"/>
      <c r="V28" s="5"/>
      <c r="W28" s="5"/>
      <c r="X28" s="5"/>
      <c r="Y28" s="5"/>
      <c r="Z28" s="5"/>
    </row>
    <row r="29" spans="1:40">
      <c r="A29" s="4" t="s">
        <v>29</v>
      </c>
      <c r="B29" s="5"/>
      <c r="C29" s="5"/>
      <c r="D29" s="5"/>
      <c r="E29" s="5"/>
      <c r="F29" s="5"/>
      <c r="G29" s="5"/>
      <c r="H29" s="6" t="s">
        <v>9</v>
      </c>
      <c r="I29" s="6" t="s">
        <v>9</v>
      </c>
      <c r="J29" s="6"/>
      <c r="K29" s="5"/>
      <c r="L29" s="5">
        <v>5313</v>
      </c>
      <c r="M29" s="5">
        <v>5357</v>
      </c>
      <c r="N29" s="5">
        <v>4652</v>
      </c>
      <c r="O29" s="5">
        <v>4638</v>
      </c>
      <c r="P29" s="5">
        <v>5168</v>
      </c>
      <c r="Q29" s="5">
        <v>4551</v>
      </c>
      <c r="R29" s="5">
        <v>5597</v>
      </c>
      <c r="S29" s="5"/>
      <c r="T29" s="5"/>
      <c r="U29" s="5"/>
      <c r="V29" s="5"/>
      <c r="W29" s="5"/>
      <c r="X29" s="5"/>
      <c r="Y29" s="5"/>
      <c r="Z29" s="5"/>
    </row>
    <row r="30" spans="1:40">
      <c r="A30" s="7" t="s">
        <v>30</v>
      </c>
      <c r="B30" s="8">
        <v>2007235</v>
      </c>
      <c r="C30" s="8">
        <v>95607</v>
      </c>
      <c r="D30" s="8">
        <v>52947</v>
      </c>
      <c r="E30" s="8">
        <v>286316</v>
      </c>
      <c r="F30" s="8">
        <v>7223</v>
      </c>
      <c r="G30" s="8">
        <v>4159</v>
      </c>
      <c r="H30" s="12">
        <v>47.6</v>
      </c>
      <c r="I30" s="12">
        <v>26.4</v>
      </c>
      <c r="J30" s="12"/>
      <c r="K30" s="5"/>
      <c r="L30" s="8">
        <v>261560</v>
      </c>
      <c r="M30" s="8">
        <v>251043</v>
      </c>
      <c r="N30" s="8">
        <v>199101</v>
      </c>
      <c r="O30" s="8">
        <v>209979</v>
      </c>
      <c r="P30" s="8">
        <v>152883</v>
      </c>
      <c r="Q30" s="8">
        <v>232206</v>
      </c>
      <c r="R30" s="8">
        <v>211023</v>
      </c>
      <c r="S30" s="8">
        <v>183421</v>
      </c>
      <c r="T30" s="8">
        <v>247519</v>
      </c>
      <c r="U30" s="8"/>
      <c r="V30" s="8"/>
      <c r="W30" s="8"/>
      <c r="X30" s="8"/>
      <c r="Y30" s="8"/>
      <c r="Z30" s="8"/>
      <c r="AB30" s="37">
        <f>SUM(L30:Z30)</f>
        <v>1948735</v>
      </c>
      <c r="AC30" s="37">
        <f>SUM(L31:Z31)</f>
        <v>95607</v>
      </c>
      <c r="AD30" s="37">
        <f>SUM(L32:Z32)</f>
        <v>52949</v>
      </c>
      <c r="AF30" s="37">
        <f>AB30-B30</f>
        <v>-58500</v>
      </c>
      <c r="AG30" s="37">
        <f>AC30-C30</f>
        <v>0</v>
      </c>
      <c r="AH30" s="37">
        <f>AD30-D30</f>
        <v>2</v>
      </c>
      <c r="AJ30" s="38">
        <f>C30/B30*1000</f>
        <v>47.631194155143767</v>
      </c>
      <c r="AK30" s="38">
        <f>D30/B30*1000</f>
        <v>26.378077305347905</v>
      </c>
      <c r="AM30" s="38">
        <f>AJ30-H30</f>
        <v>3.1194155143765556E-2</v>
      </c>
      <c r="AN30" s="38">
        <f>AK30-I30</f>
        <v>-2.1922694652094066E-2</v>
      </c>
    </row>
    <row r="31" spans="1:40">
      <c r="A31" s="4" t="s">
        <v>31</v>
      </c>
      <c r="B31" s="5"/>
      <c r="C31" s="5"/>
      <c r="D31" s="5"/>
      <c r="E31" s="5"/>
      <c r="F31" s="5"/>
      <c r="G31" s="5"/>
      <c r="H31" s="6" t="s">
        <v>9</v>
      </c>
      <c r="I31" s="6" t="s">
        <v>9</v>
      </c>
      <c r="J31" s="6"/>
      <c r="K31" s="5"/>
      <c r="L31" s="5">
        <v>10036</v>
      </c>
      <c r="M31" s="5">
        <v>11339</v>
      </c>
      <c r="N31" s="5">
        <v>10159</v>
      </c>
      <c r="O31" s="5">
        <v>10943</v>
      </c>
      <c r="P31" s="5">
        <v>8514</v>
      </c>
      <c r="Q31" s="5">
        <v>10882</v>
      </c>
      <c r="R31" s="5">
        <v>10841</v>
      </c>
      <c r="S31" s="5">
        <v>11197</v>
      </c>
      <c r="T31" s="5">
        <v>11696</v>
      </c>
      <c r="U31" s="5"/>
      <c r="V31" s="5"/>
      <c r="W31" s="5"/>
      <c r="X31" s="5"/>
      <c r="Y31" s="5"/>
      <c r="Z31" s="5"/>
    </row>
    <row r="32" spans="1:40">
      <c r="A32" s="4" t="s">
        <v>32</v>
      </c>
      <c r="B32" s="5"/>
      <c r="C32" s="5"/>
      <c r="D32" s="5"/>
      <c r="E32" s="5"/>
      <c r="F32" s="5"/>
      <c r="G32" s="5"/>
      <c r="H32" s="6" t="s">
        <v>9</v>
      </c>
      <c r="I32" s="6" t="s">
        <v>9</v>
      </c>
      <c r="J32" s="6"/>
      <c r="K32" s="5"/>
      <c r="L32" s="5">
        <v>4887</v>
      </c>
      <c r="M32" s="5">
        <v>7249</v>
      </c>
      <c r="N32" s="5">
        <v>4613</v>
      </c>
      <c r="O32" s="5">
        <v>5463</v>
      </c>
      <c r="P32" s="5">
        <v>5438</v>
      </c>
      <c r="Q32" s="5">
        <v>6077</v>
      </c>
      <c r="R32" s="5">
        <v>6319</v>
      </c>
      <c r="S32" s="5">
        <v>6328</v>
      </c>
      <c r="T32" s="5">
        <v>6575</v>
      </c>
      <c r="U32" s="5"/>
      <c r="V32" s="5"/>
      <c r="W32" s="5"/>
      <c r="X32" s="5"/>
      <c r="Y32" s="5"/>
      <c r="Z32" s="5"/>
    </row>
    <row r="33" spans="1:40">
      <c r="A33" s="7" t="s">
        <v>33</v>
      </c>
      <c r="B33" s="8">
        <v>1550586</v>
      </c>
      <c r="C33" s="8">
        <v>79451</v>
      </c>
      <c r="D33" s="8">
        <v>40233</v>
      </c>
      <c r="E33" s="8">
        <v>140508</v>
      </c>
      <c r="F33" s="8">
        <v>4848</v>
      </c>
      <c r="G33" s="8">
        <v>2654</v>
      </c>
      <c r="H33" s="12">
        <v>51.2</v>
      </c>
      <c r="I33" s="12">
        <v>26</v>
      </c>
      <c r="J33" s="12"/>
      <c r="K33" s="5"/>
      <c r="L33" s="8">
        <v>159949</v>
      </c>
      <c r="M33" s="8">
        <v>111675</v>
      </c>
      <c r="N33" s="8">
        <v>223090</v>
      </c>
      <c r="O33" s="8">
        <v>111741</v>
      </c>
      <c r="P33" s="8">
        <v>135729</v>
      </c>
      <c r="Q33" s="8">
        <v>92289</v>
      </c>
      <c r="R33" s="8">
        <v>140937</v>
      </c>
      <c r="S33" s="8">
        <v>198876</v>
      </c>
      <c r="T33" s="8">
        <v>148928</v>
      </c>
      <c r="U33" s="8">
        <v>84512</v>
      </c>
      <c r="V33" s="8">
        <v>142860</v>
      </c>
      <c r="W33" s="8"/>
      <c r="X33" s="8"/>
      <c r="Y33" s="8"/>
      <c r="Z33" s="8"/>
      <c r="AB33" s="37">
        <f>SUM(L33:Z33)</f>
        <v>1550586</v>
      </c>
      <c r="AC33" s="37">
        <f>SUM(L34:Z34)</f>
        <v>79451</v>
      </c>
      <c r="AD33" s="37">
        <f>SUM(L35:Z35)</f>
        <v>40191</v>
      </c>
      <c r="AF33" s="37">
        <f>AB33-B33</f>
        <v>0</v>
      </c>
      <c r="AG33" s="37">
        <f>AC33-C33</f>
        <v>0</v>
      </c>
      <c r="AH33" s="37">
        <f>AD33-D33</f>
        <v>-42</v>
      </c>
      <c r="AJ33" s="38">
        <f>C33/B33*1000</f>
        <v>51.239337901928685</v>
      </c>
      <c r="AK33" s="38">
        <f>D33/B33*1000</f>
        <v>25.94696456694437</v>
      </c>
      <c r="AM33" s="38">
        <f>AJ33-H33</f>
        <v>3.9337901928682584E-2</v>
      </c>
      <c r="AN33" s="38">
        <f>AK33-I33</f>
        <v>-5.3035433055629966E-2</v>
      </c>
    </row>
    <row r="34" spans="1:40">
      <c r="A34" s="4" t="s">
        <v>34</v>
      </c>
      <c r="B34" s="5"/>
      <c r="C34" s="5"/>
      <c r="D34" s="5"/>
      <c r="E34" s="5"/>
      <c r="F34" s="5"/>
      <c r="G34" s="5"/>
      <c r="H34" s="6" t="s">
        <v>9</v>
      </c>
      <c r="I34" s="6" t="s">
        <v>9</v>
      </c>
      <c r="J34" s="6"/>
      <c r="K34" s="5"/>
      <c r="L34" s="5">
        <v>6740</v>
      </c>
      <c r="M34" s="5">
        <v>6189</v>
      </c>
      <c r="N34" s="5">
        <v>11289</v>
      </c>
      <c r="O34" s="5">
        <v>5740</v>
      </c>
      <c r="P34" s="5">
        <v>6781</v>
      </c>
      <c r="Q34" s="5">
        <v>4555</v>
      </c>
      <c r="R34" s="5">
        <v>8233</v>
      </c>
      <c r="S34" s="5">
        <v>11393</v>
      </c>
      <c r="T34" s="5">
        <v>7179</v>
      </c>
      <c r="U34" s="5">
        <v>4262</v>
      </c>
      <c r="V34" s="5">
        <v>7090</v>
      </c>
      <c r="W34" s="5"/>
      <c r="X34" s="5"/>
      <c r="Y34" s="5"/>
      <c r="Z34" s="5"/>
    </row>
    <row r="35" spans="1:40">
      <c r="A35" s="4" t="s">
        <v>35</v>
      </c>
      <c r="B35" s="5"/>
      <c r="C35" s="5"/>
      <c r="D35" s="5"/>
      <c r="E35" s="5"/>
      <c r="F35" s="5"/>
      <c r="G35" s="5"/>
      <c r="H35" s="6" t="s">
        <v>9</v>
      </c>
      <c r="I35" s="6" t="s">
        <v>9</v>
      </c>
      <c r="J35" s="6"/>
      <c r="K35" s="5"/>
      <c r="L35" s="5">
        <v>2927</v>
      </c>
      <c r="M35" s="5">
        <v>3416</v>
      </c>
      <c r="N35" s="5">
        <v>6300</v>
      </c>
      <c r="O35" s="5">
        <v>2627</v>
      </c>
      <c r="P35" s="5">
        <v>3979</v>
      </c>
      <c r="Q35" s="5">
        <v>2088</v>
      </c>
      <c r="R35" s="5">
        <v>3737</v>
      </c>
      <c r="S35" s="5">
        <v>6398</v>
      </c>
      <c r="T35" s="5">
        <v>3468</v>
      </c>
      <c r="U35" s="5">
        <v>1827</v>
      </c>
      <c r="V35" s="5">
        <v>3424</v>
      </c>
      <c r="W35" s="5"/>
      <c r="X35" s="5"/>
      <c r="Y35" s="5"/>
      <c r="Z35" s="5"/>
    </row>
    <row r="36" spans="1:40">
      <c r="A36" s="7" t="s">
        <v>36</v>
      </c>
      <c r="B36" s="8">
        <v>1520036</v>
      </c>
      <c r="C36" s="8">
        <v>86614</v>
      </c>
      <c r="D36" s="8">
        <v>55994</v>
      </c>
      <c r="E36" s="8">
        <v>142054</v>
      </c>
      <c r="F36" s="8">
        <v>7196</v>
      </c>
      <c r="G36" s="8">
        <v>5497</v>
      </c>
      <c r="H36" s="12">
        <v>57</v>
      </c>
      <c r="I36" s="12">
        <v>36.799999999999997</v>
      </c>
      <c r="J36" s="12"/>
      <c r="K36" s="5"/>
      <c r="L36" s="8">
        <v>504631</v>
      </c>
      <c r="M36" s="8">
        <v>216285</v>
      </c>
      <c r="N36" s="8">
        <v>216613</v>
      </c>
      <c r="O36" s="8">
        <v>177967</v>
      </c>
      <c r="P36" s="8">
        <v>405540</v>
      </c>
      <c r="Q36" s="8"/>
      <c r="R36" s="8"/>
      <c r="S36" s="8"/>
      <c r="T36" s="8"/>
      <c r="U36" s="8"/>
      <c r="V36" s="8"/>
      <c r="W36" s="8"/>
      <c r="X36" s="8"/>
      <c r="Y36" s="8"/>
      <c r="Z36" s="8"/>
      <c r="AB36" s="37">
        <f>SUM(L36:Z36)</f>
        <v>1521036</v>
      </c>
      <c r="AC36" s="37">
        <f>SUM(L37:Z37)</f>
        <v>86614</v>
      </c>
      <c r="AD36" s="37">
        <f>SUM(L38:Z38)</f>
        <v>55994</v>
      </c>
      <c r="AF36" s="37">
        <f>AB36-B36</f>
        <v>1000</v>
      </c>
      <c r="AG36" s="37">
        <f>AC36-C36</f>
        <v>0</v>
      </c>
      <c r="AH36" s="37">
        <f>AD36-D36</f>
        <v>0</v>
      </c>
      <c r="AJ36" s="38">
        <f>C36/B36*1000</f>
        <v>56.981545173930094</v>
      </c>
      <c r="AK36" s="38">
        <f>D36/B36*1000</f>
        <v>36.837285432713436</v>
      </c>
      <c r="AM36" s="38">
        <f>AJ36-H36</f>
        <v>-1.8454826069906005E-2</v>
      </c>
      <c r="AN36" s="38">
        <f>AK36-I36</f>
        <v>3.7285432713439093E-2</v>
      </c>
    </row>
    <row r="37" spans="1:40">
      <c r="A37" s="4" t="s">
        <v>37</v>
      </c>
      <c r="B37" s="5"/>
      <c r="C37" s="5"/>
      <c r="D37" s="5"/>
      <c r="E37" s="5"/>
      <c r="F37" s="5"/>
      <c r="G37" s="5"/>
      <c r="H37" s="6" t="s">
        <v>9</v>
      </c>
      <c r="I37" s="6" t="s">
        <v>9</v>
      </c>
      <c r="J37" s="6"/>
      <c r="K37" s="5"/>
      <c r="L37" s="5">
        <v>30387</v>
      </c>
      <c r="M37" s="5">
        <v>11535</v>
      </c>
      <c r="N37" s="5">
        <v>10495</v>
      </c>
      <c r="O37" s="5">
        <v>11382</v>
      </c>
      <c r="P37" s="5">
        <v>22815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40">
      <c r="A38" s="4" t="s">
        <v>38</v>
      </c>
      <c r="B38" s="5"/>
      <c r="C38" s="5"/>
      <c r="D38" s="5"/>
      <c r="E38" s="5"/>
      <c r="F38" s="5"/>
      <c r="G38" s="5"/>
      <c r="H38" s="6" t="s">
        <v>9</v>
      </c>
      <c r="I38" s="6" t="s">
        <v>9</v>
      </c>
      <c r="J38" s="6"/>
      <c r="K38" s="5"/>
      <c r="L38" s="5">
        <v>20418</v>
      </c>
      <c r="M38" s="5">
        <v>6486</v>
      </c>
      <c r="N38" s="5">
        <v>6021</v>
      </c>
      <c r="O38" s="5">
        <v>6618</v>
      </c>
      <c r="P38" s="5">
        <v>16451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40">
      <c r="A39" s="7" t="s">
        <v>39</v>
      </c>
      <c r="B39" s="8">
        <v>2804786</v>
      </c>
      <c r="C39" s="8">
        <v>133211</v>
      </c>
      <c r="D39" s="8">
        <v>95329</v>
      </c>
      <c r="E39" s="9" t="s">
        <v>9</v>
      </c>
      <c r="F39" s="9" t="s">
        <v>9</v>
      </c>
      <c r="G39" s="9" t="s">
        <v>9</v>
      </c>
      <c r="H39" s="10">
        <v>47.5</v>
      </c>
      <c r="I39" s="10">
        <v>34</v>
      </c>
      <c r="J39" s="10"/>
      <c r="K39" s="11"/>
      <c r="L39" s="8">
        <v>241008</v>
      </c>
      <c r="M39" s="8">
        <v>364365</v>
      </c>
      <c r="N39" s="8">
        <v>215390</v>
      </c>
      <c r="O39" s="8">
        <v>230818</v>
      </c>
      <c r="P39" s="8">
        <v>246342</v>
      </c>
      <c r="Q39" s="8">
        <v>156654</v>
      </c>
      <c r="R39" s="8">
        <v>191999</v>
      </c>
      <c r="S39" s="8">
        <v>218534</v>
      </c>
      <c r="T39" s="8">
        <v>233062</v>
      </c>
      <c r="U39" s="8">
        <v>259053</v>
      </c>
      <c r="V39" s="8">
        <v>202166</v>
      </c>
      <c r="W39" s="8">
        <v>245395</v>
      </c>
      <c r="X39" s="8"/>
      <c r="Y39" s="8"/>
      <c r="Z39" s="8"/>
      <c r="AB39" s="37">
        <f>SUM(L39:Z39)</f>
        <v>2804786</v>
      </c>
      <c r="AC39" s="37">
        <f>SUM(L40:Z40)</f>
        <v>133211</v>
      </c>
      <c r="AD39" s="37">
        <f>SUM(L41:Z41)</f>
        <v>95239</v>
      </c>
      <c r="AF39" s="37">
        <f>AB39-B39</f>
        <v>0</v>
      </c>
      <c r="AG39" s="37">
        <f>AC39-C39</f>
        <v>0</v>
      </c>
      <c r="AH39" s="37">
        <f>AD39-D39</f>
        <v>-90</v>
      </c>
      <c r="AJ39" s="38">
        <f>C39/B39*1000</f>
        <v>47.494176026263681</v>
      </c>
      <c r="AK39" s="38">
        <f>D39/B39*1000</f>
        <v>33.98797626628199</v>
      </c>
      <c r="AM39" s="38">
        <f>AJ39-H39</f>
        <v>-5.8239737363194877E-3</v>
      </c>
      <c r="AN39" s="38">
        <f>AK39-I39</f>
        <v>-1.2023733718010021E-2</v>
      </c>
    </row>
    <row r="40" spans="1:40">
      <c r="A40" s="4" t="s">
        <v>40</v>
      </c>
      <c r="B40" s="5"/>
      <c r="C40" s="5"/>
      <c r="D40" s="5"/>
      <c r="E40" s="5"/>
      <c r="F40" s="5"/>
      <c r="G40" s="5"/>
      <c r="H40" s="6" t="s">
        <v>9</v>
      </c>
      <c r="I40" s="6" t="s">
        <v>9</v>
      </c>
      <c r="J40" s="6"/>
      <c r="K40" s="5"/>
      <c r="L40" s="5">
        <v>10523</v>
      </c>
      <c r="M40" s="5">
        <v>17974</v>
      </c>
      <c r="N40" s="5">
        <v>10445</v>
      </c>
      <c r="O40" s="5">
        <v>10366</v>
      </c>
      <c r="P40" s="5">
        <v>11215</v>
      </c>
      <c r="Q40" s="5">
        <v>7622</v>
      </c>
      <c r="R40" s="5">
        <v>9469</v>
      </c>
      <c r="S40" s="5">
        <v>10579</v>
      </c>
      <c r="T40" s="5">
        <v>10013</v>
      </c>
      <c r="U40" s="5">
        <v>12879</v>
      </c>
      <c r="V40" s="5">
        <v>9969</v>
      </c>
      <c r="W40" s="5">
        <v>12157</v>
      </c>
      <c r="X40" s="5"/>
      <c r="Y40" s="5"/>
      <c r="Z40" s="5"/>
    </row>
    <row r="41" spans="1:40">
      <c r="A41" s="4" t="s">
        <v>41</v>
      </c>
      <c r="B41" s="5"/>
      <c r="C41" s="5"/>
      <c r="D41" s="5"/>
      <c r="E41" s="5"/>
      <c r="F41" s="5"/>
      <c r="G41" s="5"/>
      <c r="H41" s="6" t="s">
        <v>9</v>
      </c>
      <c r="I41" s="6" t="s">
        <v>9</v>
      </c>
      <c r="J41" s="6"/>
      <c r="K41" s="5"/>
      <c r="L41" s="5">
        <v>6569</v>
      </c>
      <c r="M41" s="5">
        <v>12764</v>
      </c>
      <c r="N41" s="5">
        <v>8777</v>
      </c>
      <c r="O41" s="5">
        <v>8563</v>
      </c>
      <c r="P41" s="5">
        <v>7605</v>
      </c>
      <c r="Q41" s="5">
        <v>5297</v>
      </c>
      <c r="R41" s="5">
        <v>6980</v>
      </c>
      <c r="S41" s="5">
        <v>6555</v>
      </c>
      <c r="T41" s="5">
        <v>6624</v>
      </c>
      <c r="U41" s="5">
        <v>10276</v>
      </c>
      <c r="V41" s="5">
        <v>6896</v>
      </c>
      <c r="W41" s="5">
        <v>8333</v>
      </c>
      <c r="X41" s="5"/>
      <c r="Y41" s="5"/>
      <c r="Z41" s="5"/>
    </row>
    <row r="42" spans="1:40">
      <c r="A42" s="40" t="s">
        <v>42</v>
      </c>
      <c r="B42" s="41">
        <v>21577379</v>
      </c>
      <c r="C42" s="41">
        <v>993866</v>
      </c>
      <c r="D42" s="41">
        <v>647156</v>
      </c>
      <c r="E42" s="41"/>
      <c r="F42" s="41"/>
      <c r="G42" s="41"/>
      <c r="H42" s="42">
        <v>46.7</v>
      </c>
      <c r="I42" s="42">
        <v>30.4</v>
      </c>
      <c r="J42" s="42"/>
      <c r="K42" s="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B42" s="43">
        <f>SUM(AB2:AB41)</f>
        <v>21516471</v>
      </c>
      <c r="AC42" s="43">
        <f>SUM(AC2:AC41)</f>
        <v>993866</v>
      </c>
      <c r="AD42" s="43">
        <f>SUM(AD2:AD41)</f>
        <v>647026</v>
      </c>
      <c r="AF42" s="43">
        <f>AB42-B42</f>
        <v>-60908</v>
      </c>
      <c r="AG42" s="43">
        <f>AC42-C42</f>
        <v>0</v>
      </c>
      <c r="AH42" s="43">
        <f>AD42-D42</f>
        <v>-130</v>
      </c>
      <c r="AJ42" s="44">
        <f>C42/B42*1000</f>
        <v>46.060552581478966</v>
      </c>
      <c r="AK42" s="44">
        <f>D42/B42*1000</f>
        <v>29.992335955168606</v>
      </c>
      <c r="AM42" s="44">
        <f>AJ42-H42</f>
        <v>-0.63944741852103704</v>
      </c>
      <c r="AN42" s="44">
        <f>AK42-I42</f>
        <v>-0.4076640448313924</v>
      </c>
    </row>
    <row r="43" spans="1:40">
      <c r="A43" s="7" t="s">
        <v>43</v>
      </c>
      <c r="B43" s="8">
        <v>545006</v>
      </c>
      <c r="C43" s="8">
        <v>23200</v>
      </c>
      <c r="D43" s="8">
        <v>13259</v>
      </c>
      <c r="E43" s="8"/>
      <c r="F43" s="8"/>
      <c r="G43" s="8"/>
      <c r="H43" s="12">
        <v>41</v>
      </c>
      <c r="I43" s="12">
        <v>24.4</v>
      </c>
      <c r="J43" s="12"/>
      <c r="K43" s="5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B43" s="37">
        <f>B43</f>
        <v>545006</v>
      </c>
      <c r="AC43" s="37">
        <f>C43</f>
        <v>23200</v>
      </c>
      <c r="AD43" s="37">
        <f>D43</f>
        <v>13259</v>
      </c>
      <c r="AF43" s="39"/>
      <c r="AG43" s="39"/>
      <c r="AH43" s="39"/>
      <c r="AJ43" s="38">
        <f>C43/B43*1000</f>
        <v>42.568338697188658</v>
      </c>
      <c r="AK43" s="38">
        <f>D43/B43*1000</f>
        <v>24.328172533880362</v>
      </c>
      <c r="AM43" s="38">
        <f>AJ43-H43</f>
        <v>1.5683386971886577</v>
      </c>
      <c r="AN43" s="38">
        <f>AK43-I43</f>
        <v>-7.1827466119636085E-2</v>
      </c>
    </row>
    <row r="44" spans="1:40">
      <c r="A44" s="7" t="s">
        <v>44</v>
      </c>
      <c r="B44" s="8">
        <v>1282799</v>
      </c>
      <c r="C44" s="8">
        <v>56921</v>
      </c>
      <c r="D44" s="8">
        <v>31272</v>
      </c>
      <c r="E44" s="8">
        <v>101883</v>
      </c>
      <c r="F44" s="8">
        <v>3594</v>
      </c>
      <c r="G44" s="8">
        <v>2163</v>
      </c>
      <c r="H44" s="12">
        <v>41.2</v>
      </c>
      <c r="I44" s="12">
        <v>22.6</v>
      </c>
      <c r="J44" s="12"/>
      <c r="K44" s="5"/>
      <c r="L44" s="8">
        <v>142083</v>
      </c>
      <c r="M44" s="8">
        <v>86143</v>
      </c>
      <c r="N44" s="8">
        <v>87998</v>
      </c>
      <c r="O44" s="8">
        <v>88602</v>
      </c>
      <c r="P44" s="8">
        <v>110442</v>
      </c>
      <c r="Q44" s="8">
        <v>97184</v>
      </c>
      <c r="R44" s="8">
        <v>75172</v>
      </c>
      <c r="S44" s="8">
        <v>84974</v>
      </c>
      <c r="T44" s="8">
        <v>90311</v>
      </c>
      <c r="U44" s="8">
        <v>112308</v>
      </c>
      <c r="V44" s="8">
        <v>104088</v>
      </c>
      <c r="W44" s="8">
        <v>68532</v>
      </c>
      <c r="X44" s="8">
        <v>53300</v>
      </c>
      <c r="Y44" s="8">
        <v>91662</v>
      </c>
      <c r="Z44" s="8"/>
      <c r="AB44" s="37">
        <f>SUM(L44:Z44)</f>
        <v>1292799</v>
      </c>
      <c r="AC44" s="37">
        <f>SUM(L45:Z45)</f>
        <v>56821</v>
      </c>
      <c r="AD44" s="37">
        <f>SUM(L46:Z46)</f>
        <v>31272</v>
      </c>
      <c r="AF44" s="37">
        <f>AB44-B44</f>
        <v>10000</v>
      </c>
      <c r="AG44" s="37">
        <f>AC44-C44</f>
        <v>-100</v>
      </c>
      <c r="AH44" s="37">
        <f>AD44-D44</f>
        <v>0</v>
      </c>
      <c r="AJ44" s="38">
        <f>C44/B44*1000</f>
        <v>44.372501069925995</v>
      </c>
      <c r="AK44" s="38">
        <f>D44/B44*1000</f>
        <v>24.377942296493838</v>
      </c>
      <c r="AM44" s="38">
        <f>AJ44-H44</f>
        <v>3.1725010699259926</v>
      </c>
      <c r="AN44" s="38">
        <f>AK44-I44</f>
        <v>1.7779422964938369</v>
      </c>
    </row>
    <row r="45" spans="1:40">
      <c r="A45" s="4" t="s">
        <v>45</v>
      </c>
      <c r="B45" s="5"/>
      <c r="C45" s="5"/>
      <c r="D45" s="5"/>
      <c r="E45" s="5"/>
      <c r="F45" s="5"/>
      <c r="G45" s="5"/>
      <c r="H45" s="6" t="s">
        <v>9</v>
      </c>
      <c r="I45" s="6" t="s">
        <v>9</v>
      </c>
      <c r="J45" s="6"/>
      <c r="K45" s="5"/>
      <c r="L45" s="5">
        <v>4877</v>
      </c>
      <c r="M45" s="5">
        <v>4492</v>
      </c>
      <c r="N45" s="5">
        <v>3558</v>
      </c>
      <c r="O45" s="5">
        <v>5150</v>
      </c>
      <c r="P45" s="5">
        <v>4747</v>
      </c>
      <c r="Q45" s="5">
        <v>4274</v>
      </c>
      <c r="R45" s="5">
        <v>3773</v>
      </c>
      <c r="S45" s="5">
        <v>4002</v>
      </c>
      <c r="T45" s="5">
        <v>3626</v>
      </c>
      <c r="U45" s="5">
        <v>4000</v>
      </c>
      <c r="V45" s="5">
        <v>4492</v>
      </c>
      <c r="W45" s="5">
        <v>3255</v>
      </c>
      <c r="X45" s="5">
        <v>2726</v>
      </c>
      <c r="Y45" s="5">
        <v>3849</v>
      </c>
      <c r="Z45" s="5"/>
    </row>
    <row r="46" spans="1:40">
      <c r="A46" s="4" t="s">
        <v>46</v>
      </c>
      <c r="B46" s="5"/>
      <c r="C46" s="5"/>
      <c r="D46" s="5"/>
      <c r="E46" s="5"/>
      <c r="F46" s="5"/>
      <c r="G46" s="5"/>
      <c r="H46" s="6" t="s">
        <v>9</v>
      </c>
      <c r="I46" s="6" t="s">
        <v>9</v>
      </c>
      <c r="J46" s="6"/>
      <c r="K46" s="5"/>
      <c r="L46" s="5">
        <v>3451</v>
      </c>
      <c r="M46" s="5">
        <v>2679</v>
      </c>
      <c r="N46" s="5">
        <v>1826</v>
      </c>
      <c r="O46" s="5">
        <v>2796</v>
      </c>
      <c r="P46" s="5">
        <v>2854</v>
      </c>
      <c r="Q46" s="5">
        <v>2119</v>
      </c>
      <c r="R46" s="5">
        <v>2008</v>
      </c>
      <c r="S46" s="5">
        <v>2389</v>
      </c>
      <c r="T46" s="5">
        <v>1718</v>
      </c>
      <c r="U46" s="5">
        <v>1896</v>
      </c>
      <c r="V46" s="5">
        <v>2590</v>
      </c>
      <c r="W46" s="5">
        <v>1883</v>
      </c>
      <c r="X46" s="5">
        <v>1398</v>
      </c>
      <c r="Y46" s="5">
        <v>1665</v>
      </c>
      <c r="Z46" s="5"/>
    </row>
    <row r="47" spans="1:40">
      <c r="A47" s="7" t="s">
        <v>47</v>
      </c>
      <c r="B47" s="8">
        <v>948433</v>
      </c>
      <c r="C47" s="8">
        <v>37771</v>
      </c>
      <c r="D47" s="8">
        <v>21322</v>
      </c>
      <c r="E47" s="8">
        <v>69018</v>
      </c>
      <c r="F47" s="8">
        <v>1697</v>
      </c>
      <c r="G47" s="8">
        <v>959</v>
      </c>
      <c r="H47" s="12">
        <v>39.799999999999997</v>
      </c>
      <c r="I47" s="12">
        <v>22.5</v>
      </c>
      <c r="J47" s="12"/>
      <c r="K47" s="5"/>
      <c r="L47" s="8">
        <v>126783</v>
      </c>
      <c r="M47" s="8">
        <v>149834</v>
      </c>
      <c r="N47" s="8">
        <v>114322</v>
      </c>
      <c r="O47" s="8">
        <v>95925</v>
      </c>
      <c r="P47" s="8">
        <v>126072</v>
      </c>
      <c r="Q47" s="8">
        <v>92884</v>
      </c>
      <c r="R47" s="8">
        <v>136029</v>
      </c>
      <c r="S47" s="8">
        <v>107284</v>
      </c>
      <c r="T47" s="8"/>
      <c r="U47" s="8"/>
      <c r="V47" s="8"/>
      <c r="W47" s="8"/>
      <c r="X47" s="8"/>
      <c r="Y47" s="8"/>
      <c r="Z47" s="8"/>
      <c r="AB47" s="37">
        <f>SUM(L47:Z47)</f>
        <v>949133</v>
      </c>
      <c r="AC47" s="37">
        <f>SUM(L48:Z48)</f>
        <v>37771</v>
      </c>
      <c r="AD47" s="37">
        <f>SUM(L49:Z49)</f>
        <v>21322</v>
      </c>
      <c r="AF47" s="37">
        <f>AB47-B47</f>
        <v>700</v>
      </c>
      <c r="AG47" s="37">
        <f>AC47-C47</f>
        <v>0</v>
      </c>
      <c r="AH47" s="37">
        <f>AD47-D47</f>
        <v>0</v>
      </c>
      <c r="AJ47" s="38">
        <f>C47/B47*1000</f>
        <v>39.824637059233496</v>
      </c>
      <c r="AK47" s="38">
        <f>D47/B47*1000</f>
        <v>22.481292827221324</v>
      </c>
      <c r="AM47" s="38">
        <f>AJ47-H47</f>
        <v>2.4637059233498348E-2</v>
      </c>
      <c r="AN47" s="38">
        <f>AK47-I47</f>
        <v>-1.870717277867584E-2</v>
      </c>
    </row>
    <row r="48" spans="1:40">
      <c r="A48" s="4" t="s">
        <v>48</v>
      </c>
      <c r="B48" s="5"/>
      <c r="C48" s="5"/>
      <c r="D48" s="5"/>
      <c r="E48" s="5"/>
      <c r="F48" s="5"/>
      <c r="G48" s="5"/>
      <c r="H48" s="6" t="s">
        <v>9</v>
      </c>
      <c r="I48" s="6" t="s">
        <v>9</v>
      </c>
      <c r="J48" s="6"/>
      <c r="K48" s="5"/>
      <c r="L48" s="5">
        <v>4837</v>
      </c>
      <c r="M48" s="5">
        <v>6710</v>
      </c>
      <c r="N48" s="5">
        <v>4852</v>
      </c>
      <c r="O48" s="5">
        <v>3611</v>
      </c>
      <c r="P48" s="5">
        <v>4724</v>
      </c>
      <c r="Q48" s="5">
        <v>3915</v>
      </c>
      <c r="R48" s="5">
        <v>4969</v>
      </c>
      <c r="S48" s="5">
        <v>4153</v>
      </c>
      <c r="T48" s="5"/>
      <c r="U48" s="5"/>
      <c r="V48" s="5"/>
      <c r="W48" s="5"/>
      <c r="X48" s="5"/>
      <c r="Y48" s="5"/>
      <c r="Z48" s="5"/>
    </row>
    <row r="49" spans="1:40">
      <c r="A49" s="4" t="s">
        <v>49</v>
      </c>
      <c r="B49" s="5"/>
      <c r="C49" s="5"/>
      <c r="D49" s="5"/>
      <c r="E49" s="5"/>
      <c r="F49" s="5"/>
      <c r="G49" s="5"/>
      <c r="H49" s="6" t="s">
        <v>9</v>
      </c>
      <c r="I49" s="6" t="s">
        <v>9</v>
      </c>
      <c r="J49" s="6"/>
      <c r="K49" s="5"/>
      <c r="L49" s="5">
        <v>2904</v>
      </c>
      <c r="M49" s="5">
        <v>2918</v>
      </c>
      <c r="N49" s="5">
        <v>2361</v>
      </c>
      <c r="O49" s="5">
        <v>2248</v>
      </c>
      <c r="P49" s="5">
        <v>2634</v>
      </c>
      <c r="Q49" s="5">
        <v>3189</v>
      </c>
      <c r="R49" s="5">
        <v>2478</v>
      </c>
      <c r="S49" s="5">
        <v>2590</v>
      </c>
      <c r="T49" s="5"/>
      <c r="U49" s="5"/>
      <c r="V49" s="5"/>
      <c r="W49" s="5"/>
      <c r="X49" s="5"/>
      <c r="Y49" s="5"/>
      <c r="Z49" s="5"/>
    </row>
    <row r="50" spans="1:40">
      <c r="A50" s="7" t="s">
        <v>50</v>
      </c>
      <c r="B50" s="8">
        <v>841463</v>
      </c>
      <c r="C50" s="8">
        <v>33824</v>
      </c>
      <c r="D50" s="8">
        <v>18739</v>
      </c>
      <c r="E50" s="8">
        <v>60619</v>
      </c>
      <c r="F50" s="8">
        <v>1668</v>
      </c>
      <c r="G50" s="8">
        <v>906</v>
      </c>
      <c r="H50" s="12">
        <v>40.200000000000003</v>
      </c>
      <c r="I50" s="12">
        <v>22.3</v>
      </c>
      <c r="J50" s="12"/>
      <c r="K50" s="5"/>
      <c r="L50" s="8">
        <v>144729</v>
      </c>
      <c r="M50" s="8">
        <v>89729</v>
      </c>
      <c r="N50" s="8">
        <v>93405</v>
      </c>
      <c r="O50" s="8">
        <v>126710</v>
      </c>
      <c r="P50" s="8">
        <v>127339</v>
      </c>
      <c r="Q50" s="8">
        <v>116520</v>
      </c>
      <c r="R50" s="8">
        <v>142635</v>
      </c>
      <c r="S50" s="8"/>
      <c r="T50" s="8"/>
      <c r="U50" s="8"/>
      <c r="V50" s="8"/>
      <c r="W50" s="8"/>
      <c r="X50" s="8"/>
      <c r="Y50" s="8"/>
      <c r="Z50" s="8"/>
      <c r="AB50" s="37">
        <f>SUM(L50:Z50)</f>
        <v>841067</v>
      </c>
      <c r="AC50" s="37">
        <f>SUM(L51:Z51)</f>
        <v>33824</v>
      </c>
      <c r="AD50" s="37">
        <f>SUM(L52:Z52)</f>
        <v>18712</v>
      </c>
      <c r="AF50" s="37">
        <f>AB50-B50</f>
        <v>-396</v>
      </c>
      <c r="AG50" s="37">
        <f>AC50-C50</f>
        <v>0</v>
      </c>
      <c r="AH50" s="37">
        <f>AD50-D50</f>
        <v>-27</v>
      </c>
      <c r="AJ50" s="38">
        <f>C50/B50*1000</f>
        <v>40.196657488208039</v>
      </c>
      <c r="AK50" s="38">
        <f>D50/B50*1000</f>
        <v>22.26954720528413</v>
      </c>
      <c r="AM50" s="38">
        <f>AJ50-H50</f>
        <v>-3.3425117919634317E-3</v>
      </c>
      <c r="AN50" s="38">
        <f>AK50-I50</f>
        <v>-3.0452794715870368E-2</v>
      </c>
    </row>
    <row r="51" spans="1:40">
      <c r="A51" s="4" t="s">
        <v>51</v>
      </c>
      <c r="B51" s="5"/>
      <c r="C51" s="5"/>
      <c r="D51" s="5"/>
      <c r="E51" s="5"/>
      <c r="F51" s="5"/>
      <c r="G51" s="5"/>
      <c r="H51" s="6" t="s">
        <v>9</v>
      </c>
      <c r="I51" s="6" t="s">
        <v>9</v>
      </c>
      <c r="J51" s="6"/>
      <c r="K51" s="5"/>
      <c r="L51" s="5">
        <v>5539</v>
      </c>
      <c r="M51" s="5">
        <v>3768</v>
      </c>
      <c r="N51" s="5">
        <v>3515</v>
      </c>
      <c r="O51" s="5">
        <v>5146</v>
      </c>
      <c r="P51" s="5">
        <v>5651</v>
      </c>
      <c r="Q51" s="5">
        <v>4553</v>
      </c>
      <c r="R51" s="5">
        <v>5652</v>
      </c>
      <c r="S51" s="5"/>
      <c r="T51" s="5"/>
      <c r="U51" s="5"/>
      <c r="V51" s="5"/>
      <c r="W51" s="5"/>
      <c r="X51" s="5"/>
      <c r="Y51" s="5"/>
      <c r="Z51" s="5"/>
    </row>
    <row r="52" spans="1:40">
      <c r="A52" s="4" t="s">
        <v>52</v>
      </c>
      <c r="B52" s="5"/>
      <c r="C52" s="5"/>
      <c r="D52" s="5"/>
      <c r="E52" s="5"/>
      <c r="F52" s="5"/>
      <c r="G52" s="5"/>
      <c r="H52" s="6" t="s">
        <v>9</v>
      </c>
      <c r="I52" s="6" t="s">
        <v>9</v>
      </c>
      <c r="J52" s="6"/>
      <c r="K52" s="5"/>
      <c r="L52" s="5">
        <v>2979</v>
      </c>
      <c r="M52" s="5">
        <v>2117</v>
      </c>
      <c r="N52" s="5">
        <v>1787</v>
      </c>
      <c r="O52" s="5">
        <v>2809</v>
      </c>
      <c r="P52" s="5">
        <v>3544</v>
      </c>
      <c r="Q52" s="5">
        <v>2762</v>
      </c>
      <c r="R52" s="5">
        <v>2714</v>
      </c>
      <c r="S52" s="5"/>
      <c r="T52" s="5"/>
      <c r="U52" s="5"/>
      <c r="V52" s="5"/>
      <c r="W52" s="5"/>
      <c r="X52" s="5"/>
      <c r="Y52" s="5"/>
      <c r="Z52" s="5"/>
    </row>
    <row r="53" spans="1:40">
      <c r="A53" s="7" t="s">
        <v>53</v>
      </c>
      <c r="B53" s="8">
        <v>605630</v>
      </c>
      <c r="C53" s="8">
        <v>22863</v>
      </c>
      <c r="D53" s="8">
        <v>13646</v>
      </c>
      <c r="E53" s="8">
        <v>64698</v>
      </c>
      <c r="F53" s="8">
        <v>1876</v>
      </c>
      <c r="G53" s="8">
        <v>1391</v>
      </c>
      <c r="H53" s="12">
        <v>37.700000000000003</v>
      </c>
      <c r="I53" s="12">
        <v>22.5</v>
      </c>
      <c r="J53" s="12"/>
      <c r="K53" s="5"/>
      <c r="L53" s="8">
        <v>115825</v>
      </c>
      <c r="M53" s="8">
        <v>82002</v>
      </c>
      <c r="N53" s="8">
        <v>82138</v>
      </c>
      <c r="O53" s="8">
        <v>68239</v>
      </c>
      <c r="P53" s="8">
        <v>100841</v>
      </c>
      <c r="Q53" s="8">
        <v>84123</v>
      </c>
      <c r="R53" s="8">
        <v>72462</v>
      </c>
      <c r="S53" s="8"/>
      <c r="T53" s="8"/>
      <c r="U53" s="8"/>
      <c r="V53" s="8"/>
      <c r="W53" s="8"/>
      <c r="X53" s="8"/>
      <c r="Y53" s="8"/>
      <c r="Z53" s="8"/>
      <c r="AB53" s="37">
        <f>SUM(L53:Z53)</f>
        <v>605630</v>
      </c>
      <c r="AC53" s="37">
        <f>SUM(L54:Z54)</f>
        <v>22863</v>
      </c>
      <c r="AD53" s="37">
        <f>SUM(L55:Z55)</f>
        <v>13646</v>
      </c>
      <c r="AF53" s="37">
        <f>AB53-B53</f>
        <v>0</v>
      </c>
      <c r="AG53" s="37">
        <f>AC53-C53</f>
        <v>0</v>
      </c>
      <c r="AH53" s="37">
        <f>AD53-D53</f>
        <v>0</v>
      </c>
      <c r="AJ53" s="38">
        <f>C53/B53*1000</f>
        <v>37.750771923451609</v>
      </c>
      <c r="AK53" s="38">
        <f>D53/B53*1000</f>
        <v>22.531908921288576</v>
      </c>
      <c r="AM53" s="38">
        <f>AJ53-H53</f>
        <v>5.0771923451605971E-2</v>
      </c>
      <c r="AN53" s="38">
        <f>AK53-I53</f>
        <v>3.1908921288575698E-2</v>
      </c>
    </row>
    <row r="54" spans="1:40">
      <c r="A54" s="4" t="s">
        <v>54</v>
      </c>
      <c r="B54" s="5"/>
      <c r="C54" s="5"/>
      <c r="D54" s="5"/>
      <c r="E54" s="5"/>
      <c r="F54" s="5"/>
      <c r="G54" s="5"/>
      <c r="H54" s="6" t="s">
        <v>9</v>
      </c>
      <c r="I54" s="6" t="s">
        <v>9</v>
      </c>
      <c r="J54" s="6"/>
      <c r="K54" s="5"/>
      <c r="L54" s="5">
        <v>4263</v>
      </c>
      <c r="M54" s="5">
        <v>3260</v>
      </c>
      <c r="N54" s="5">
        <v>2673</v>
      </c>
      <c r="O54" s="5">
        <v>2687</v>
      </c>
      <c r="P54" s="5">
        <v>3835</v>
      </c>
      <c r="Q54" s="5">
        <v>3515</v>
      </c>
      <c r="R54" s="5">
        <v>2630</v>
      </c>
      <c r="S54" s="5"/>
      <c r="T54" s="5"/>
      <c r="U54" s="5"/>
      <c r="V54" s="5"/>
      <c r="W54" s="5"/>
      <c r="X54" s="5"/>
      <c r="Y54" s="5"/>
      <c r="Z54" s="5"/>
    </row>
    <row r="55" spans="1:40">
      <c r="A55" s="4" t="s">
        <v>55</v>
      </c>
      <c r="B55" s="5"/>
      <c r="C55" s="5"/>
      <c r="D55" s="5"/>
      <c r="E55" s="5"/>
      <c r="F55" s="5"/>
      <c r="G55" s="5"/>
      <c r="H55" s="6" t="s">
        <v>9</v>
      </c>
      <c r="I55" s="6" t="s">
        <v>9</v>
      </c>
      <c r="J55" s="6"/>
      <c r="K55" s="5"/>
      <c r="L55" s="5">
        <v>2539</v>
      </c>
      <c r="M55" s="5">
        <v>2270</v>
      </c>
      <c r="N55" s="5">
        <v>1796</v>
      </c>
      <c r="O55" s="5">
        <v>1370</v>
      </c>
      <c r="P55" s="5">
        <v>2079</v>
      </c>
      <c r="Q55" s="5">
        <v>1936</v>
      </c>
      <c r="R55" s="5">
        <v>1656</v>
      </c>
      <c r="S55" s="5"/>
      <c r="T55" s="5"/>
      <c r="U55" s="5"/>
      <c r="V55" s="5"/>
      <c r="W55" s="5"/>
      <c r="X55" s="5"/>
      <c r="Y55" s="5"/>
      <c r="Z55" s="5"/>
    </row>
    <row r="56" spans="1:40">
      <c r="A56" s="7" t="s">
        <v>56</v>
      </c>
      <c r="B56" s="8">
        <v>1176389</v>
      </c>
      <c r="C56" s="8">
        <v>44537</v>
      </c>
      <c r="D56" s="8">
        <v>26711</v>
      </c>
      <c r="E56" s="8">
        <v>127539</v>
      </c>
      <c r="F56" s="8">
        <v>4429</v>
      </c>
      <c r="G56" s="8">
        <v>2801</v>
      </c>
      <c r="H56" s="12">
        <v>37.9</v>
      </c>
      <c r="I56" s="12">
        <v>22.7</v>
      </c>
      <c r="J56" s="12"/>
      <c r="K56" s="5"/>
      <c r="L56" s="8">
        <v>169011</v>
      </c>
      <c r="M56" s="8">
        <v>107504</v>
      </c>
      <c r="N56" s="8">
        <v>108108</v>
      </c>
      <c r="O56" s="8">
        <v>114336</v>
      </c>
      <c r="P56" s="8">
        <v>102352</v>
      </c>
      <c r="Q56" s="8">
        <v>97815</v>
      </c>
      <c r="R56" s="8">
        <v>131689</v>
      </c>
      <c r="S56" s="8">
        <v>97042</v>
      </c>
      <c r="T56" s="8">
        <v>133965</v>
      </c>
      <c r="U56" s="8">
        <v>114567</v>
      </c>
      <c r="V56" s="8"/>
      <c r="W56" s="8"/>
      <c r="X56" s="8"/>
      <c r="Y56" s="8"/>
      <c r="Z56" s="8"/>
      <c r="AB56" s="37">
        <f>SUM(L56:Z56)</f>
        <v>1176389</v>
      </c>
      <c r="AC56" s="37">
        <f>SUM(L57:Z57)</f>
        <v>44537</v>
      </c>
      <c r="AD56" s="37">
        <f>SUM(L58:Z58)</f>
        <v>26711</v>
      </c>
      <c r="AF56" s="37">
        <f>AB56-B56</f>
        <v>0</v>
      </c>
      <c r="AG56" s="37">
        <f>AC56-C56</f>
        <v>0</v>
      </c>
      <c r="AH56" s="37">
        <f>AD56-D56</f>
        <v>0</v>
      </c>
      <c r="AJ56" s="38">
        <f>C56/B56*1000</f>
        <v>37.859075526887793</v>
      </c>
      <c r="AK56" s="38">
        <f>D56/B56*1000</f>
        <v>22.705924655874885</v>
      </c>
      <c r="AM56" s="38">
        <f>AJ56-H56</f>
        <v>-4.0924473112205817E-2</v>
      </c>
      <c r="AN56" s="38">
        <f>AK56-I56</f>
        <v>5.9246558748853317E-3</v>
      </c>
    </row>
    <row r="57" spans="1:40">
      <c r="A57" s="4" t="s">
        <v>57</v>
      </c>
      <c r="B57" s="5"/>
      <c r="C57" s="5"/>
      <c r="D57" s="5"/>
      <c r="E57" s="5"/>
      <c r="F57" s="5"/>
      <c r="G57" s="5"/>
      <c r="H57" s="6" t="s">
        <v>9</v>
      </c>
      <c r="I57" s="6" t="s">
        <v>9</v>
      </c>
      <c r="J57" s="6"/>
      <c r="K57" s="5"/>
      <c r="L57" s="5">
        <v>6308</v>
      </c>
      <c r="M57" s="5">
        <v>4212</v>
      </c>
      <c r="N57" s="5">
        <v>3780</v>
      </c>
      <c r="O57" s="5">
        <v>3860</v>
      </c>
      <c r="P57" s="5">
        <v>3606</v>
      </c>
      <c r="Q57" s="5">
        <v>4121</v>
      </c>
      <c r="R57" s="5">
        <v>5740</v>
      </c>
      <c r="S57" s="5">
        <v>4300</v>
      </c>
      <c r="T57" s="5">
        <v>2326</v>
      </c>
      <c r="U57" s="5">
        <v>6284</v>
      </c>
      <c r="V57" s="5"/>
      <c r="W57" s="5"/>
      <c r="X57" s="5"/>
      <c r="Y57" s="5"/>
      <c r="Z57" s="5"/>
    </row>
    <row r="58" spans="1:40">
      <c r="A58" s="4" t="s">
        <v>58</v>
      </c>
      <c r="B58" s="5"/>
      <c r="C58" s="5"/>
      <c r="D58" s="5"/>
      <c r="E58" s="5"/>
      <c r="F58" s="5"/>
      <c r="G58" s="5"/>
      <c r="H58" s="6" t="s">
        <v>9</v>
      </c>
      <c r="I58" s="6" t="s">
        <v>9</v>
      </c>
      <c r="J58" s="6"/>
      <c r="K58" s="5"/>
      <c r="L58" s="5">
        <v>3535</v>
      </c>
      <c r="M58" s="5">
        <v>2770</v>
      </c>
      <c r="N58" s="5">
        <v>2666</v>
      </c>
      <c r="O58" s="5">
        <v>2325</v>
      </c>
      <c r="P58" s="5">
        <v>1948</v>
      </c>
      <c r="Q58" s="5">
        <v>2000</v>
      </c>
      <c r="R58" s="5">
        <v>2634</v>
      </c>
      <c r="S58" s="5">
        <v>2696</v>
      </c>
      <c r="T58" s="5">
        <v>2489</v>
      </c>
      <c r="U58" s="5">
        <v>3648</v>
      </c>
      <c r="V58" s="5"/>
      <c r="W58" s="5"/>
      <c r="X58" s="5"/>
      <c r="Y58" s="5"/>
      <c r="Z58" s="5"/>
    </row>
    <row r="59" spans="1:40">
      <c r="A59" s="7" t="s">
        <v>59</v>
      </c>
      <c r="B59" s="8">
        <v>1534649</v>
      </c>
      <c r="C59" s="8">
        <v>60496</v>
      </c>
      <c r="D59" s="8">
        <v>34135</v>
      </c>
      <c r="E59" s="9" t="s">
        <v>9</v>
      </c>
      <c r="F59" s="9" t="s">
        <v>9</v>
      </c>
      <c r="G59" s="9" t="s">
        <v>9</v>
      </c>
      <c r="H59" s="10">
        <v>42.2</v>
      </c>
      <c r="I59" s="10">
        <v>23.8</v>
      </c>
      <c r="J59" s="10"/>
      <c r="K59" s="11"/>
      <c r="L59" s="8">
        <v>191055</v>
      </c>
      <c r="M59" s="8">
        <v>246492</v>
      </c>
      <c r="N59" s="8">
        <v>133191</v>
      </c>
      <c r="O59" s="8">
        <v>153907</v>
      </c>
      <c r="P59" s="8">
        <v>348100</v>
      </c>
      <c r="Q59" s="8">
        <v>168070</v>
      </c>
      <c r="R59" s="8">
        <v>93685</v>
      </c>
      <c r="S59" s="8">
        <v>200149</v>
      </c>
      <c r="T59" s="8"/>
      <c r="U59" s="8"/>
      <c r="V59" s="8"/>
      <c r="W59" s="8"/>
      <c r="X59" s="8"/>
      <c r="Y59" s="8"/>
      <c r="Z59" s="8"/>
      <c r="AB59" s="37">
        <f>SUM(L59:Z59)</f>
        <v>1534649</v>
      </c>
      <c r="AC59" s="37">
        <f>SUM(L60:Z60)</f>
        <v>60496</v>
      </c>
      <c r="AD59" s="37">
        <f>SUM(L61:Z61)</f>
        <v>34135</v>
      </c>
      <c r="AF59" s="37">
        <f>AB59-B59</f>
        <v>0</v>
      </c>
      <c r="AG59" s="37">
        <f>AC59-C59</f>
        <v>0</v>
      </c>
      <c r="AH59" s="37">
        <f>AD59-D59</f>
        <v>0</v>
      </c>
      <c r="AJ59" s="38">
        <f>C59/B59*1000</f>
        <v>39.420088893290902</v>
      </c>
      <c r="AK59" s="38">
        <f>D59/B59*1000</f>
        <v>22.242871171192892</v>
      </c>
      <c r="AM59" s="38">
        <f>AJ59-H59</f>
        <v>-2.7799111067091005</v>
      </c>
      <c r="AN59" s="38">
        <f>AK59-I59</f>
        <v>-1.5571288288071088</v>
      </c>
    </row>
    <row r="60" spans="1:40">
      <c r="A60" s="4" t="s">
        <v>60</v>
      </c>
      <c r="B60" s="5"/>
      <c r="C60" s="5"/>
      <c r="D60" s="5"/>
      <c r="E60" s="5"/>
      <c r="F60" s="5"/>
      <c r="G60" s="5"/>
      <c r="H60" s="6" t="s">
        <v>9</v>
      </c>
      <c r="I60" s="6" t="s">
        <v>9</v>
      </c>
      <c r="J60" s="6"/>
      <c r="K60" s="5"/>
      <c r="L60" s="5">
        <v>6278</v>
      </c>
      <c r="M60" s="5">
        <v>11593</v>
      </c>
      <c r="N60" s="5">
        <v>4311</v>
      </c>
      <c r="O60" s="5">
        <v>5687</v>
      </c>
      <c r="P60" s="5">
        <v>14206</v>
      </c>
      <c r="Q60" s="5">
        <v>6313</v>
      </c>
      <c r="R60" s="5">
        <v>3306</v>
      </c>
      <c r="S60" s="5">
        <v>8802</v>
      </c>
      <c r="T60" s="5"/>
      <c r="U60" s="5"/>
      <c r="V60" s="5"/>
      <c r="W60" s="5"/>
      <c r="X60" s="5"/>
      <c r="Y60" s="5"/>
      <c r="Z60" s="5"/>
    </row>
    <row r="61" spans="1:40">
      <c r="A61" s="4" t="s">
        <v>61</v>
      </c>
      <c r="B61" s="5"/>
      <c r="C61" s="5"/>
      <c r="D61" s="5"/>
      <c r="E61" s="5"/>
      <c r="F61" s="5"/>
      <c r="G61" s="5"/>
      <c r="H61" s="6" t="s">
        <v>9</v>
      </c>
      <c r="I61" s="6" t="s">
        <v>9</v>
      </c>
      <c r="J61" s="6"/>
      <c r="K61" s="5"/>
      <c r="L61" s="5">
        <v>3213</v>
      </c>
      <c r="M61" s="5">
        <v>5940</v>
      </c>
      <c r="N61" s="5">
        <v>2295</v>
      </c>
      <c r="O61" s="5">
        <v>2714</v>
      </c>
      <c r="P61" s="5">
        <v>9389</v>
      </c>
      <c r="Q61" s="5">
        <v>3214</v>
      </c>
      <c r="R61" s="5">
        <v>2344</v>
      </c>
      <c r="S61" s="5">
        <v>5026</v>
      </c>
      <c r="T61" s="5"/>
      <c r="U61" s="5"/>
      <c r="V61" s="5"/>
      <c r="W61" s="5"/>
      <c r="X61" s="5"/>
      <c r="Y61" s="5"/>
      <c r="Z61" s="5"/>
    </row>
    <row r="62" spans="1:40">
      <c r="A62" s="7" t="s">
        <v>62</v>
      </c>
      <c r="B62" s="8">
        <v>650733</v>
      </c>
      <c r="C62" s="8">
        <v>22470</v>
      </c>
      <c r="D62" s="8">
        <v>12727</v>
      </c>
      <c r="E62" s="9" t="s">
        <v>9</v>
      </c>
      <c r="F62" s="9" t="s">
        <v>9</v>
      </c>
      <c r="G62" s="9" t="s">
        <v>9</v>
      </c>
      <c r="H62" s="10">
        <v>34.6</v>
      </c>
      <c r="I62" s="10">
        <v>19.5</v>
      </c>
      <c r="J62" s="10"/>
      <c r="K62" s="11"/>
      <c r="L62" s="8">
        <v>104638</v>
      </c>
      <c r="M62" s="8">
        <v>105040</v>
      </c>
      <c r="N62" s="8">
        <v>99200</v>
      </c>
      <c r="O62" s="8">
        <v>75984</v>
      </c>
      <c r="P62" s="8">
        <v>82113</v>
      </c>
      <c r="Q62" s="8">
        <v>77873</v>
      </c>
      <c r="R62" s="8">
        <v>84402</v>
      </c>
      <c r="S62" s="8"/>
      <c r="T62" s="8"/>
      <c r="U62" s="8"/>
      <c r="V62" s="8"/>
      <c r="W62" s="8"/>
      <c r="X62" s="8"/>
      <c r="Y62" s="8"/>
      <c r="Z62" s="8"/>
      <c r="AB62" s="37">
        <f>SUM(L62:Z62)</f>
        <v>629250</v>
      </c>
      <c r="AC62" s="37">
        <f>SUM(L63:Z63)</f>
        <v>22440</v>
      </c>
      <c r="AD62" s="37">
        <f>SUM(L64:Z64)</f>
        <v>12727</v>
      </c>
      <c r="AF62" s="37">
        <f>AB62-B62</f>
        <v>-21483</v>
      </c>
      <c r="AG62" s="37">
        <f>AC62-C62</f>
        <v>-30</v>
      </c>
      <c r="AH62" s="37">
        <f>AD62-D62</f>
        <v>0</v>
      </c>
      <c r="AJ62" s="38">
        <f>C62/B62*1000</f>
        <v>34.530291225433473</v>
      </c>
      <c r="AK62" s="38">
        <f>D62/B62*1000</f>
        <v>19.557944656256865</v>
      </c>
      <c r="AM62" s="38">
        <f>AJ62-H62</f>
        <v>-6.9708774566528575E-2</v>
      </c>
      <c r="AN62" s="38">
        <f>AK62-I62</f>
        <v>5.7944656256864846E-2</v>
      </c>
    </row>
    <row r="63" spans="1:40">
      <c r="A63" s="4" t="s">
        <v>63</v>
      </c>
      <c r="B63" s="5"/>
      <c r="C63" s="5"/>
      <c r="D63" s="5"/>
      <c r="E63" s="5"/>
      <c r="F63" s="5"/>
      <c r="G63" s="5"/>
      <c r="H63" s="6" t="s">
        <v>9</v>
      </c>
      <c r="I63" s="6" t="s">
        <v>9</v>
      </c>
      <c r="J63" s="6"/>
      <c r="K63" s="5"/>
      <c r="L63" s="5">
        <v>4085</v>
      </c>
      <c r="M63" s="5">
        <v>3869</v>
      </c>
      <c r="N63" s="5">
        <v>3611</v>
      </c>
      <c r="O63" s="5">
        <v>2919</v>
      </c>
      <c r="P63" s="5">
        <v>3180</v>
      </c>
      <c r="Q63" s="5">
        <v>2773</v>
      </c>
      <c r="R63" s="5">
        <v>2003</v>
      </c>
      <c r="S63" s="5"/>
      <c r="T63" s="5"/>
      <c r="U63" s="5"/>
      <c r="V63" s="5"/>
      <c r="W63" s="5"/>
      <c r="X63" s="5"/>
      <c r="Y63" s="5"/>
      <c r="Z63" s="5"/>
    </row>
    <row r="64" spans="1:40">
      <c r="A64" s="4" t="s">
        <v>64</v>
      </c>
      <c r="B64" s="5"/>
      <c r="C64" s="5"/>
      <c r="D64" s="5"/>
      <c r="E64" s="5"/>
      <c r="F64" s="5"/>
      <c r="G64" s="5"/>
      <c r="H64" s="6" t="s">
        <v>9</v>
      </c>
      <c r="I64" s="6" t="s">
        <v>9</v>
      </c>
      <c r="J64" s="6"/>
      <c r="K64" s="5"/>
      <c r="L64" s="5">
        <v>2149</v>
      </c>
      <c r="M64" s="5">
        <v>2075</v>
      </c>
      <c r="N64" s="5">
        <v>1833</v>
      </c>
      <c r="O64" s="5">
        <v>1572</v>
      </c>
      <c r="P64" s="5">
        <v>1689</v>
      </c>
      <c r="Q64" s="5">
        <v>1830</v>
      </c>
      <c r="R64" s="5">
        <v>1579</v>
      </c>
      <c r="S64" s="5"/>
      <c r="T64" s="5"/>
      <c r="U64" s="5"/>
      <c r="V64" s="5"/>
      <c r="W64" s="5"/>
      <c r="X64" s="5"/>
      <c r="Y64" s="5"/>
      <c r="Z64" s="5"/>
    </row>
    <row r="65" spans="1:40">
      <c r="A65" s="7" t="s">
        <v>65</v>
      </c>
      <c r="B65" s="8">
        <v>874393</v>
      </c>
      <c r="C65" s="8">
        <v>35109</v>
      </c>
      <c r="D65" s="8">
        <v>21512</v>
      </c>
      <c r="E65" s="8">
        <v>61270</v>
      </c>
      <c r="F65" s="8">
        <v>1632</v>
      </c>
      <c r="G65" s="8">
        <v>1294</v>
      </c>
      <c r="H65" s="12">
        <v>40.200000000000003</v>
      </c>
      <c r="I65" s="12">
        <v>24.6</v>
      </c>
      <c r="J65" s="12"/>
      <c r="K65" s="5"/>
      <c r="L65" s="8">
        <v>154415</v>
      </c>
      <c r="M65" s="8">
        <v>114978</v>
      </c>
      <c r="N65" s="8">
        <v>117775</v>
      </c>
      <c r="O65" s="8">
        <v>130102</v>
      </c>
      <c r="P65" s="8">
        <v>130959</v>
      </c>
      <c r="Q65" s="8">
        <v>115327</v>
      </c>
      <c r="R65" s="8">
        <v>110837</v>
      </c>
      <c r="S65" s="8"/>
      <c r="T65" s="8"/>
      <c r="U65" s="8"/>
      <c r="V65" s="8"/>
      <c r="W65" s="8"/>
      <c r="X65" s="8"/>
      <c r="Y65" s="8"/>
      <c r="Z65" s="8"/>
      <c r="AB65" s="37">
        <f>SUM(L65:Z65)</f>
        <v>874393</v>
      </c>
      <c r="AC65" s="37">
        <f>SUM(L66:Z66)</f>
        <v>35109</v>
      </c>
      <c r="AD65" s="37">
        <f>SUM(L67:Z67)</f>
        <v>21512</v>
      </c>
      <c r="AF65" s="37">
        <f>AB65-B65</f>
        <v>0</v>
      </c>
      <c r="AG65" s="37">
        <f>AC65-C65</f>
        <v>0</v>
      </c>
      <c r="AH65" s="37">
        <f>AD65-D65</f>
        <v>0</v>
      </c>
      <c r="AJ65" s="38">
        <f>C65/B65*1000</f>
        <v>40.152425739913291</v>
      </c>
      <c r="AK65" s="38">
        <f>D65/B65*1000</f>
        <v>24.602209761514558</v>
      </c>
      <c r="AM65" s="38">
        <f>AJ65-H65</f>
        <v>-4.7574260086712172E-2</v>
      </c>
      <c r="AN65" s="38">
        <f>AK65-I65</f>
        <v>2.2097615145568739E-3</v>
      </c>
    </row>
    <row r="66" spans="1:40">
      <c r="A66" s="4" t="s">
        <v>66</v>
      </c>
      <c r="B66" s="5"/>
      <c r="C66" s="5"/>
      <c r="D66" s="5"/>
      <c r="E66" s="5"/>
      <c r="F66" s="5"/>
      <c r="G66" s="5"/>
      <c r="H66" s="6" t="s">
        <v>9</v>
      </c>
      <c r="I66" s="6" t="s">
        <v>9</v>
      </c>
      <c r="J66" s="6"/>
      <c r="K66" s="5"/>
      <c r="L66" s="5">
        <v>5908</v>
      </c>
      <c r="M66" s="5">
        <v>4268</v>
      </c>
      <c r="N66" s="5">
        <v>4820</v>
      </c>
      <c r="O66" s="5">
        <v>4910</v>
      </c>
      <c r="P66" s="5">
        <v>5914</v>
      </c>
      <c r="Q66" s="5">
        <v>5285</v>
      </c>
      <c r="R66" s="5">
        <v>4004</v>
      </c>
      <c r="S66" s="5"/>
      <c r="T66" s="5"/>
      <c r="U66" s="5"/>
      <c r="V66" s="5"/>
      <c r="W66" s="5"/>
      <c r="X66" s="5"/>
      <c r="Y66" s="5"/>
      <c r="Z66" s="5"/>
    </row>
    <row r="67" spans="1:40">
      <c r="A67" s="4" t="s">
        <v>67</v>
      </c>
      <c r="B67" s="5"/>
      <c r="C67" s="5"/>
      <c r="D67" s="5"/>
      <c r="E67" s="5"/>
      <c r="F67" s="5"/>
      <c r="G67" s="5"/>
      <c r="H67" s="6" t="s">
        <v>9</v>
      </c>
      <c r="I67" s="6" t="s">
        <v>9</v>
      </c>
      <c r="J67" s="6"/>
      <c r="K67" s="5"/>
      <c r="L67" s="5">
        <v>3528</v>
      </c>
      <c r="M67" s="5">
        <v>2600</v>
      </c>
      <c r="N67" s="5">
        <v>3110</v>
      </c>
      <c r="O67" s="5">
        <v>2815</v>
      </c>
      <c r="P67" s="5">
        <v>3195</v>
      </c>
      <c r="Q67" s="5">
        <v>3347</v>
      </c>
      <c r="R67" s="5">
        <v>2917</v>
      </c>
      <c r="S67" s="5"/>
      <c r="T67" s="5"/>
      <c r="U67" s="5"/>
      <c r="V67" s="5"/>
      <c r="W67" s="5"/>
      <c r="X67" s="5"/>
      <c r="Y67" s="5"/>
      <c r="Z67" s="5"/>
    </row>
    <row r="68" spans="1:40">
      <c r="A68" s="7" t="s">
        <v>68</v>
      </c>
      <c r="B68" s="8">
        <v>699245</v>
      </c>
      <c r="C68" s="8">
        <v>21124</v>
      </c>
      <c r="D68" s="8">
        <v>15650</v>
      </c>
      <c r="E68" s="8">
        <v>69242</v>
      </c>
      <c r="F68" s="8">
        <v>957</v>
      </c>
      <c r="G68" s="8">
        <v>859</v>
      </c>
      <c r="H68" s="12">
        <v>30.4</v>
      </c>
      <c r="I68" s="12">
        <v>22.6</v>
      </c>
      <c r="J68" s="12"/>
      <c r="K68" s="5"/>
      <c r="L68" s="8">
        <v>111780</v>
      </c>
      <c r="M68" s="8">
        <v>86563</v>
      </c>
      <c r="N68" s="8">
        <v>78094</v>
      </c>
      <c r="O68" s="8">
        <v>109627</v>
      </c>
      <c r="P68" s="8">
        <v>88720</v>
      </c>
      <c r="Q68" s="8">
        <v>118545</v>
      </c>
      <c r="R68" s="8">
        <v>105916</v>
      </c>
      <c r="S68" s="8"/>
      <c r="T68" s="8"/>
      <c r="U68" s="8"/>
      <c r="V68" s="8"/>
      <c r="W68" s="8"/>
      <c r="X68" s="8"/>
      <c r="Y68" s="8"/>
      <c r="Z68" s="8"/>
      <c r="AB68" s="37">
        <f>SUM(L68:Z68)</f>
        <v>699245</v>
      </c>
      <c r="AC68" s="37">
        <f>SUM(L69:Z69)</f>
        <v>21124</v>
      </c>
      <c r="AD68" s="37">
        <f>SUM(L70:Z70)</f>
        <v>15652</v>
      </c>
      <c r="AF68" s="37">
        <f>AB68-B68</f>
        <v>0</v>
      </c>
      <c r="AG68" s="37">
        <f>AC68-C68</f>
        <v>0</v>
      </c>
      <c r="AH68" s="37">
        <f>AD68-D68</f>
        <v>2</v>
      </c>
      <c r="AJ68" s="38">
        <f>C68/B68*1000</f>
        <v>30.209726204692203</v>
      </c>
      <c r="AK68" s="38">
        <f>D68/B68*1000</f>
        <v>22.381282669164598</v>
      </c>
      <c r="AM68" s="38">
        <f>AJ68-H68</f>
        <v>-0.19027379530779598</v>
      </c>
      <c r="AN68" s="38">
        <f>AK68-I68</f>
        <v>-0.21871733083540335</v>
      </c>
    </row>
    <row r="69" spans="1:40">
      <c r="A69" s="4" t="s">
        <v>69</v>
      </c>
      <c r="B69" s="5"/>
      <c r="C69" s="5"/>
      <c r="D69" s="5"/>
      <c r="E69" s="5"/>
      <c r="F69" s="5"/>
      <c r="G69" s="5"/>
      <c r="H69" s="6" t="s">
        <v>9</v>
      </c>
      <c r="I69" s="6" t="s">
        <v>9</v>
      </c>
      <c r="J69" s="6"/>
      <c r="K69" s="5"/>
      <c r="L69" s="5">
        <v>3033</v>
      </c>
      <c r="M69" s="5">
        <v>1261</v>
      </c>
      <c r="N69" s="5">
        <v>2863</v>
      </c>
      <c r="O69" s="5">
        <v>3323</v>
      </c>
      <c r="P69" s="5">
        <v>3456</v>
      </c>
      <c r="Q69" s="5">
        <v>3820</v>
      </c>
      <c r="R69" s="5">
        <v>3368</v>
      </c>
      <c r="S69" s="5"/>
      <c r="T69" s="5"/>
      <c r="U69" s="5"/>
      <c r="V69" s="5"/>
      <c r="W69" s="5"/>
      <c r="X69" s="5"/>
      <c r="Y69" s="5"/>
      <c r="Z69" s="5"/>
    </row>
    <row r="70" spans="1:40">
      <c r="A70" s="4" t="s">
        <v>70</v>
      </c>
      <c r="B70" s="5"/>
      <c r="C70" s="5"/>
      <c r="D70" s="5"/>
      <c r="E70" s="5"/>
      <c r="F70" s="5"/>
      <c r="G70" s="5"/>
      <c r="H70" s="6" t="s">
        <v>9</v>
      </c>
      <c r="I70" s="6" t="s">
        <v>9</v>
      </c>
      <c r="J70" s="6"/>
      <c r="K70" s="5"/>
      <c r="L70" s="5">
        <v>1928</v>
      </c>
      <c r="M70" s="5">
        <v>1510</v>
      </c>
      <c r="N70" s="5">
        <v>1810</v>
      </c>
      <c r="O70" s="5">
        <v>2246</v>
      </c>
      <c r="P70" s="5">
        <v>2677</v>
      </c>
      <c r="Q70" s="5">
        <v>2606</v>
      </c>
      <c r="R70" s="5">
        <v>2875</v>
      </c>
      <c r="S70" s="5"/>
      <c r="T70" s="5"/>
      <c r="U70" s="5"/>
      <c r="V70" s="5"/>
      <c r="W70" s="5"/>
      <c r="X70" s="5"/>
      <c r="Y70" s="5"/>
      <c r="Z70" s="5"/>
    </row>
    <row r="71" spans="1:40">
      <c r="A71" s="7" t="s">
        <v>71</v>
      </c>
      <c r="B71" s="8">
        <v>800603</v>
      </c>
      <c r="C71" s="8">
        <v>32961</v>
      </c>
      <c r="D71" s="8">
        <v>17486</v>
      </c>
      <c r="E71" s="8">
        <v>77265</v>
      </c>
      <c r="F71" s="8">
        <v>2141</v>
      </c>
      <c r="G71" s="8">
        <v>1130</v>
      </c>
      <c r="H71" s="12">
        <v>40.9</v>
      </c>
      <c r="I71" s="12">
        <v>21.7</v>
      </c>
      <c r="J71" s="12"/>
      <c r="K71" s="5"/>
      <c r="L71" s="8">
        <v>84655</v>
      </c>
      <c r="M71" s="8">
        <v>83329</v>
      </c>
      <c r="N71" s="8">
        <v>80136</v>
      </c>
      <c r="O71" s="8">
        <v>96487</v>
      </c>
      <c r="P71" s="8">
        <v>126761</v>
      </c>
      <c r="Q71" s="8">
        <v>67078</v>
      </c>
      <c r="R71" s="8">
        <v>106476</v>
      </c>
      <c r="S71" s="8">
        <v>85232</v>
      </c>
      <c r="T71" s="8">
        <v>71209</v>
      </c>
      <c r="U71" s="8"/>
      <c r="V71" s="8"/>
      <c r="W71" s="8"/>
      <c r="X71" s="8"/>
      <c r="Y71" s="8"/>
      <c r="Z71" s="8"/>
      <c r="AB71" s="37">
        <f>SUM(L71:Z71)</f>
        <v>801363</v>
      </c>
      <c r="AC71" s="37">
        <f>SUM(L72:Z72)</f>
        <v>32931</v>
      </c>
      <c r="AD71" s="37">
        <f>SUM(L73:Z73)</f>
        <v>17486</v>
      </c>
      <c r="AF71" s="37">
        <f>AB71-B71</f>
        <v>760</v>
      </c>
      <c r="AG71" s="37">
        <f>AC71-C71</f>
        <v>-30</v>
      </c>
      <c r="AH71" s="37">
        <f>AD71-D71</f>
        <v>0</v>
      </c>
      <c r="AJ71" s="38">
        <f>C71/B71*1000</f>
        <v>41.170217948221534</v>
      </c>
      <c r="AK71" s="38">
        <f>D71/B71*1000</f>
        <v>21.841037318121469</v>
      </c>
      <c r="AM71" s="38">
        <f>AJ71-H71</f>
        <v>0.27021794822153566</v>
      </c>
      <c r="AN71" s="38">
        <f>AK71-I71</f>
        <v>0.14103731812146947</v>
      </c>
    </row>
    <row r="72" spans="1:40">
      <c r="A72" s="4" t="s">
        <v>72</v>
      </c>
      <c r="B72" s="5"/>
      <c r="C72" s="5"/>
      <c r="D72" s="5"/>
      <c r="E72" s="5"/>
      <c r="F72" s="5"/>
      <c r="G72" s="5"/>
      <c r="H72" s="6" t="s">
        <v>9</v>
      </c>
      <c r="I72" s="6" t="s">
        <v>9</v>
      </c>
      <c r="J72" s="6"/>
      <c r="K72" s="5"/>
      <c r="L72" s="5">
        <v>3505</v>
      </c>
      <c r="M72" s="5">
        <v>4038</v>
      </c>
      <c r="N72" s="5">
        <v>3625</v>
      </c>
      <c r="O72" s="5">
        <v>4196</v>
      </c>
      <c r="P72" s="5">
        <v>5310</v>
      </c>
      <c r="Q72" s="5">
        <v>2170</v>
      </c>
      <c r="R72" s="5">
        <v>4308</v>
      </c>
      <c r="S72" s="5">
        <v>3570</v>
      </c>
      <c r="T72" s="5">
        <v>2209</v>
      </c>
      <c r="U72" s="5"/>
      <c r="V72" s="5"/>
      <c r="W72" s="5"/>
      <c r="X72" s="5"/>
      <c r="Y72" s="5"/>
      <c r="Z72" s="5"/>
    </row>
    <row r="73" spans="1:40">
      <c r="A73" s="4" t="s">
        <v>73</v>
      </c>
      <c r="B73" s="5"/>
      <c r="C73" s="5"/>
      <c r="D73" s="5"/>
      <c r="E73" s="5"/>
      <c r="F73" s="5"/>
      <c r="G73" s="5"/>
      <c r="H73" s="6" t="s">
        <v>9</v>
      </c>
      <c r="I73" s="6" t="s">
        <v>9</v>
      </c>
      <c r="J73" s="6"/>
      <c r="K73" s="5"/>
      <c r="L73" s="5">
        <v>1557</v>
      </c>
      <c r="M73" s="5">
        <v>1987</v>
      </c>
      <c r="N73" s="5">
        <v>1442</v>
      </c>
      <c r="O73" s="5">
        <v>2872</v>
      </c>
      <c r="P73" s="5">
        <v>2828</v>
      </c>
      <c r="Q73" s="5">
        <v>1172</v>
      </c>
      <c r="R73" s="5">
        <v>2330</v>
      </c>
      <c r="S73" s="5">
        <v>1946</v>
      </c>
      <c r="T73" s="5">
        <v>1352</v>
      </c>
      <c r="U73" s="5"/>
      <c r="V73" s="5"/>
      <c r="W73" s="5"/>
      <c r="X73" s="5"/>
      <c r="Y73" s="5"/>
      <c r="Z73" s="5"/>
    </row>
    <row r="74" spans="1:40">
      <c r="A74" s="13" t="s">
        <v>74</v>
      </c>
      <c r="B74" s="14">
        <v>9959343</v>
      </c>
      <c r="C74" s="14">
        <v>392276</v>
      </c>
      <c r="D74" s="14">
        <v>226459</v>
      </c>
      <c r="E74" s="14"/>
      <c r="F74" s="14"/>
      <c r="G74" s="14"/>
      <c r="H74" s="15">
        <v>39.6</v>
      </c>
      <c r="I74" s="15">
        <v>23</v>
      </c>
      <c r="J74" s="15"/>
      <c r="K74" s="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B74" s="43">
        <f>SUM(AB43:AB73)</f>
        <v>9948924</v>
      </c>
      <c r="AC74" s="43">
        <f>SUM(AC43:AC73)</f>
        <v>391116</v>
      </c>
      <c r="AD74" s="43">
        <f>SUM(AD43:AD73)</f>
        <v>226434</v>
      </c>
      <c r="AF74" s="43">
        <f>AB74-B74</f>
        <v>-10419</v>
      </c>
      <c r="AG74" s="43">
        <f>AC74-C74</f>
        <v>-1160</v>
      </c>
      <c r="AH74" s="43">
        <f>AD74-D74</f>
        <v>-25</v>
      </c>
      <c r="AJ74" s="44">
        <f>C74/B74*1000</f>
        <v>39.387738729351923</v>
      </c>
      <c r="AK74" s="44">
        <f>D74/B74*1000</f>
        <v>22.738347298611966</v>
      </c>
      <c r="AM74" s="44">
        <f>AJ74-H74</f>
        <v>-0.21226127064807798</v>
      </c>
      <c r="AN74" s="44">
        <f>AK74-I74</f>
        <v>-0.26165270138803365</v>
      </c>
    </row>
    <row r="75" spans="1:40">
      <c r="A75" s="7" t="s">
        <v>75</v>
      </c>
      <c r="B75" s="8">
        <v>743862</v>
      </c>
      <c r="C75" s="8">
        <v>19226</v>
      </c>
      <c r="D75" s="8">
        <v>13080</v>
      </c>
      <c r="E75" s="8">
        <v>179335</v>
      </c>
      <c r="F75" s="8">
        <v>4046</v>
      </c>
      <c r="G75" s="8">
        <v>3120</v>
      </c>
      <c r="H75" s="12">
        <v>26.6</v>
      </c>
      <c r="I75" s="12">
        <v>17.5</v>
      </c>
      <c r="J75" s="12"/>
      <c r="K75" s="5"/>
      <c r="L75" s="8">
        <v>101703</v>
      </c>
      <c r="M75" s="50">
        <v>67589</v>
      </c>
      <c r="N75" s="8">
        <v>52793</v>
      </c>
      <c r="O75" s="8">
        <v>64137</v>
      </c>
      <c r="P75" s="8">
        <v>77073</v>
      </c>
      <c r="Q75" s="8">
        <v>97835</v>
      </c>
      <c r="R75" s="8">
        <v>81121</v>
      </c>
      <c r="S75" s="8">
        <v>73276</v>
      </c>
      <c r="T75" s="8">
        <v>55688</v>
      </c>
      <c r="U75" s="8">
        <v>72647</v>
      </c>
      <c r="V75" s="8"/>
      <c r="W75" s="8"/>
      <c r="X75" s="8"/>
      <c r="Y75" s="8"/>
      <c r="Z75" s="8"/>
      <c r="AB75" s="37">
        <f>SUM(L75:Z75)</f>
        <v>743862</v>
      </c>
      <c r="AC75" s="37">
        <f>SUM(L76:Z76)</f>
        <v>19226</v>
      </c>
      <c r="AD75" s="37">
        <f>SUM(L77:Z77)</f>
        <v>13080</v>
      </c>
      <c r="AF75" s="37">
        <f>AB75-B75</f>
        <v>0</v>
      </c>
      <c r="AG75" s="37">
        <f>AC75-C75</f>
        <v>0</v>
      </c>
      <c r="AH75" s="37">
        <f>AD75-D75</f>
        <v>0</v>
      </c>
      <c r="AJ75" s="38">
        <f>C75/B75*1000</f>
        <v>25.846191901185975</v>
      </c>
      <c r="AK75" s="38">
        <f>D75/B75*1000</f>
        <v>17.583906692370359</v>
      </c>
      <c r="AM75" s="38">
        <f>AJ75-H75</f>
        <v>-0.75380809881402655</v>
      </c>
      <c r="AN75" s="38">
        <f>AK75-I75</f>
        <v>8.3906692370359082E-2</v>
      </c>
    </row>
    <row r="76" spans="1:40">
      <c r="A76" s="4" t="s">
        <v>76</v>
      </c>
      <c r="B76" s="5"/>
      <c r="C76" s="5"/>
      <c r="D76" s="5"/>
      <c r="E76" s="5"/>
      <c r="F76" s="5"/>
      <c r="G76" s="5"/>
      <c r="H76" s="6" t="s">
        <v>9</v>
      </c>
      <c r="I76" s="6" t="s">
        <v>9</v>
      </c>
      <c r="J76" s="6"/>
      <c r="K76" s="5"/>
      <c r="L76" s="5">
        <v>2480</v>
      </c>
      <c r="M76" s="5">
        <v>1330</v>
      </c>
      <c r="N76" s="5">
        <v>1336</v>
      </c>
      <c r="O76" s="5">
        <v>1630</v>
      </c>
      <c r="P76" s="5">
        <v>2030</v>
      </c>
      <c r="Q76" s="5">
        <v>3690</v>
      </c>
      <c r="R76" s="5">
        <v>2040</v>
      </c>
      <c r="S76" s="5">
        <v>1660</v>
      </c>
      <c r="T76" s="5">
        <v>1240</v>
      </c>
      <c r="U76" s="5">
        <v>1790</v>
      </c>
      <c r="V76" s="5"/>
      <c r="W76" s="5"/>
      <c r="X76" s="5"/>
      <c r="Y76" s="5"/>
      <c r="Z76" s="5"/>
    </row>
    <row r="77" spans="1:40">
      <c r="A77" s="4" t="s">
        <v>77</v>
      </c>
      <c r="B77" s="5"/>
      <c r="C77" s="5"/>
      <c r="D77" s="5"/>
      <c r="E77" s="5"/>
      <c r="F77" s="5"/>
      <c r="G77" s="5"/>
      <c r="H77" s="6" t="s">
        <v>9</v>
      </c>
      <c r="I77" s="6" t="s">
        <v>9</v>
      </c>
      <c r="J77" s="6"/>
      <c r="K77" s="5"/>
      <c r="L77" s="5">
        <v>1940</v>
      </c>
      <c r="M77" s="5">
        <v>990</v>
      </c>
      <c r="N77" s="5">
        <v>1030</v>
      </c>
      <c r="O77" s="5">
        <v>390</v>
      </c>
      <c r="P77" s="5">
        <v>1440</v>
      </c>
      <c r="Q77" s="5">
        <v>2560</v>
      </c>
      <c r="R77" s="5">
        <v>1420</v>
      </c>
      <c r="S77" s="5">
        <v>1120</v>
      </c>
      <c r="T77" s="5">
        <v>830</v>
      </c>
      <c r="U77" s="5">
        <v>1360</v>
      </c>
      <c r="V77" s="5"/>
      <c r="W77" s="5"/>
      <c r="X77" s="5"/>
      <c r="Y77" s="5"/>
      <c r="Z77" s="5"/>
    </row>
    <row r="78" spans="1:40">
      <c r="A78" s="7" t="s">
        <v>78</v>
      </c>
      <c r="B78" s="8">
        <v>1329271</v>
      </c>
      <c r="C78" s="8">
        <v>37204</v>
      </c>
      <c r="D78" s="8">
        <v>25773</v>
      </c>
      <c r="E78" s="8">
        <v>260035</v>
      </c>
      <c r="F78" s="8">
        <v>8487</v>
      </c>
      <c r="G78" s="8">
        <v>6653</v>
      </c>
      <c r="H78" s="12">
        <v>28.2</v>
      </c>
      <c r="I78" s="12">
        <v>19.600000000000001</v>
      </c>
      <c r="J78" s="12"/>
      <c r="K78" s="5"/>
      <c r="L78" s="8">
        <v>335145</v>
      </c>
      <c r="M78" s="8">
        <v>127856</v>
      </c>
      <c r="N78" s="8">
        <v>138780</v>
      </c>
      <c r="O78" s="8">
        <v>117880</v>
      </c>
      <c r="P78" s="8">
        <v>128942</v>
      </c>
      <c r="Q78" s="8">
        <v>107269</v>
      </c>
      <c r="R78" s="8">
        <v>105675</v>
      </c>
      <c r="S78" s="8">
        <v>63659</v>
      </c>
      <c r="T78" s="8">
        <v>204077</v>
      </c>
      <c r="U78" s="8"/>
      <c r="V78" s="8"/>
      <c r="W78" s="8"/>
      <c r="X78" s="8"/>
      <c r="Y78" s="8"/>
      <c r="Z78" s="8"/>
      <c r="AB78" s="37">
        <f>SUM(L78:Z78)</f>
        <v>1329283</v>
      </c>
      <c r="AC78" s="37">
        <f>SUM(L79:Z79)</f>
        <v>37204</v>
      </c>
      <c r="AD78" s="37">
        <f>SUM(L80:Z80)</f>
        <v>25773</v>
      </c>
      <c r="AF78" s="37">
        <f>AB78-B78</f>
        <v>12</v>
      </c>
      <c r="AG78" s="37">
        <f>AC78-C78</f>
        <v>0</v>
      </c>
      <c r="AH78" s="37">
        <f>AD78-D78</f>
        <v>0</v>
      </c>
      <c r="AJ78" s="38">
        <f>C78/B78*1000</f>
        <v>27.988273271590216</v>
      </c>
      <c r="AK78" s="38">
        <f>D78/B78*1000</f>
        <v>19.388822896158874</v>
      </c>
      <c r="AM78" s="38">
        <f>AJ78-H78</f>
        <v>-0.21172672840978279</v>
      </c>
      <c r="AN78" s="38">
        <f>AK78-I78</f>
        <v>-0.21117710384112698</v>
      </c>
    </row>
    <row r="79" spans="1:40">
      <c r="A79" s="4" t="s">
        <v>79</v>
      </c>
      <c r="B79" s="5"/>
      <c r="C79" s="5"/>
      <c r="D79" s="5"/>
      <c r="E79" s="5"/>
      <c r="F79" s="5"/>
      <c r="G79" s="5"/>
      <c r="H79" s="6" t="s">
        <v>9</v>
      </c>
      <c r="I79" s="6" t="s">
        <v>9</v>
      </c>
      <c r="J79" s="6"/>
      <c r="K79" s="5"/>
      <c r="L79" s="5">
        <v>10571</v>
      </c>
      <c r="M79" s="5">
        <v>3697</v>
      </c>
      <c r="N79" s="5">
        <v>3053</v>
      </c>
      <c r="O79" s="5">
        <v>3317</v>
      </c>
      <c r="P79" s="5">
        <v>3640</v>
      </c>
      <c r="Q79" s="5">
        <v>2716</v>
      </c>
      <c r="R79" s="5">
        <v>2695</v>
      </c>
      <c r="S79" s="5">
        <v>1828</v>
      </c>
      <c r="T79" s="5">
        <v>5687</v>
      </c>
      <c r="U79" s="5"/>
      <c r="V79" s="5"/>
      <c r="W79" s="5"/>
      <c r="X79" s="5"/>
      <c r="Y79" s="5"/>
      <c r="Z79" s="5"/>
    </row>
    <row r="80" spans="1:40">
      <c r="A80" s="4" t="s">
        <v>80</v>
      </c>
      <c r="B80" s="5"/>
      <c r="C80" s="5"/>
      <c r="D80" s="5"/>
      <c r="E80" s="5"/>
      <c r="F80" s="5"/>
      <c r="G80" s="5"/>
      <c r="H80" s="6" t="s">
        <v>9</v>
      </c>
      <c r="I80" s="6" t="s">
        <v>9</v>
      </c>
      <c r="J80" s="6"/>
      <c r="K80" s="5"/>
      <c r="L80" s="5">
        <v>7787</v>
      </c>
      <c r="M80" s="5">
        <v>2404</v>
      </c>
      <c r="N80" s="5">
        <v>2244</v>
      </c>
      <c r="O80" s="5">
        <v>2184</v>
      </c>
      <c r="P80" s="5">
        <v>2132</v>
      </c>
      <c r="Q80" s="5">
        <v>1819</v>
      </c>
      <c r="R80" s="5">
        <v>1833</v>
      </c>
      <c r="S80" s="5">
        <v>1487</v>
      </c>
      <c r="T80" s="5">
        <v>3883</v>
      </c>
      <c r="U80" s="5"/>
      <c r="V80" s="5"/>
      <c r="W80" s="5"/>
      <c r="X80" s="5"/>
      <c r="Y80" s="5"/>
      <c r="Z80" s="5"/>
    </row>
    <row r="81" spans="1:40">
      <c r="A81" s="7" t="s">
        <v>81</v>
      </c>
      <c r="B81" s="8">
        <v>421431</v>
      </c>
      <c r="C81" s="8">
        <v>11922</v>
      </c>
      <c r="D81" s="8">
        <v>8694</v>
      </c>
      <c r="E81" s="9" t="s">
        <v>9</v>
      </c>
      <c r="F81" s="9" t="s">
        <v>9</v>
      </c>
      <c r="G81" s="9" t="s">
        <v>9</v>
      </c>
      <c r="H81" s="10">
        <v>28.3</v>
      </c>
      <c r="I81" s="10">
        <v>20.7</v>
      </c>
      <c r="J81" s="10"/>
      <c r="K81" s="11"/>
      <c r="L81" s="8">
        <v>151969</v>
      </c>
      <c r="M81" s="8">
        <v>126788</v>
      </c>
      <c r="N81" s="8">
        <v>55807</v>
      </c>
      <c r="O81" s="8">
        <v>86867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B81" s="37">
        <f>SUM(L81:Z81)</f>
        <v>421431</v>
      </c>
      <c r="AC81" s="37">
        <f>SUM(L82:Z82)</f>
        <v>11922</v>
      </c>
      <c r="AD81" s="37">
        <f>SUM(L83:Z83)</f>
        <v>8694</v>
      </c>
      <c r="AF81" s="37">
        <f>AB81-B81</f>
        <v>0</v>
      </c>
      <c r="AG81" s="37">
        <f>AC81-C81</f>
        <v>0</v>
      </c>
      <c r="AH81" s="37">
        <f>AD81-D81</f>
        <v>0</v>
      </c>
      <c r="AJ81" s="38">
        <f>C81/B81*1000</f>
        <v>28.289328502174733</v>
      </c>
      <c r="AK81" s="38">
        <f>D81/B81*1000</f>
        <v>20.629711625390634</v>
      </c>
      <c r="AM81" s="38">
        <f>AJ81-H81</f>
        <v>-1.0671497825267551E-2</v>
      </c>
      <c r="AN81" s="38">
        <f>AK81-I81</f>
        <v>-7.0288374609365434E-2</v>
      </c>
    </row>
    <row r="82" spans="1:40">
      <c r="A82" s="4" t="s">
        <v>82</v>
      </c>
      <c r="B82" s="5"/>
      <c r="C82" s="5"/>
      <c r="D82" s="5"/>
      <c r="E82" s="5"/>
      <c r="F82" s="5"/>
      <c r="G82" s="5"/>
      <c r="H82" s="6" t="s">
        <v>9</v>
      </c>
      <c r="I82" s="6" t="s">
        <v>9</v>
      </c>
      <c r="J82" s="6"/>
      <c r="K82" s="5"/>
      <c r="L82" s="5">
        <v>4294</v>
      </c>
      <c r="M82" s="5">
        <v>3889</v>
      </c>
      <c r="N82" s="5">
        <v>1561</v>
      </c>
      <c r="O82" s="5">
        <v>2178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40">
      <c r="A83" s="4" t="s">
        <v>83</v>
      </c>
      <c r="B83" s="5"/>
      <c r="C83" s="5"/>
      <c r="D83" s="5"/>
      <c r="E83" s="5"/>
      <c r="F83" s="5"/>
      <c r="G83" s="5"/>
      <c r="H83" s="6" t="s">
        <v>9</v>
      </c>
      <c r="I83" s="6" t="s">
        <v>9</v>
      </c>
      <c r="J83" s="6"/>
      <c r="K83" s="5"/>
      <c r="L83" s="5">
        <v>3547</v>
      </c>
      <c r="M83" s="5">
        <v>2275</v>
      </c>
      <c r="N83" s="5">
        <v>1226</v>
      </c>
      <c r="O83" s="5">
        <v>1646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40">
      <c r="A84" s="13" t="s">
        <v>84</v>
      </c>
      <c r="B84" s="14">
        <v>2494567</v>
      </c>
      <c r="C84" s="14">
        <v>53172</v>
      </c>
      <c r="D84" s="14">
        <v>47587</v>
      </c>
      <c r="E84" s="14"/>
      <c r="F84" s="14"/>
      <c r="G84" s="14"/>
      <c r="H84" s="15">
        <v>27.5</v>
      </c>
      <c r="I84" s="15">
        <v>19.2</v>
      </c>
      <c r="J84" s="15"/>
      <c r="K84" s="5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B84" s="43">
        <f>SUM(AB75:AB83)</f>
        <v>2494576</v>
      </c>
      <c r="AC84" s="43">
        <f>SUM(AC75:AC83)</f>
        <v>68352</v>
      </c>
      <c r="AD84" s="43">
        <f>SUM(AD75:AD83)</f>
        <v>47547</v>
      </c>
      <c r="AF84" s="43">
        <f>AB84-B84</f>
        <v>9</v>
      </c>
      <c r="AG84" s="43">
        <f>AC84-C84</f>
        <v>15180</v>
      </c>
      <c r="AH84" s="43">
        <f>AD84-D84</f>
        <v>-40</v>
      </c>
      <c r="AJ84" s="44">
        <f>C84/B84*1000</f>
        <v>21.315122023180777</v>
      </c>
      <c r="AK84" s="44">
        <f>D84/B84*1000</f>
        <v>19.076256520670722</v>
      </c>
      <c r="AM84" s="44">
        <f>AJ84-H84</f>
        <v>-6.184877976819223</v>
      </c>
      <c r="AN84" s="44">
        <f>AK84-I84</f>
        <v>-0.12374347932927776</v>
      </c>
    </row>
    <row r="85" spans="1:40">
      <c r="A85" s="7" t="s">
        <v>85</v>
      </c>
      <c r="B85" s="8">
        <v>1827194</v>
      </c>
      <c r="C85" s="8">
        <v>80492</v>
      </c>
      <c r="D85" s="8">
        <v>49718</v>
      </c>
      <c r="E85" s="8">
        <v>303579</v>
      </c>
      <c r="F85" s="8">
        <v>9049</v>
      </c>
      <c r="G85" s="8">
        <v>6308</v>
      </c>
      <c r="H85" s="12">
        <v>44.1</v>
      </c>
      <c r="I85" s="12">
        <v>27.2</v>
      </c>
      <c r="J85" s="12"/>
      <c r="K85" s="5"/>
      <c r="L85" s="8">
        <v>272395</v>
      </c>
      <c r="M85" s="8">
        <v>300192</v>
      </c>
      <c r="N85" s="8">
        <v>183630</v>
      </c>
      <c r="O85" s="8">
        <v>191237</v>
      </c>
      <c r="P85" s="8">
        <v>219133</v>
      </c>
      <c r="Q85" s="8">
        <v>185733</v>
      </c>
      <c r="R85" s="8">
        <v>193404</v>
      </c>
      <c r="S85" s="8">
        <v>281470</v>
      </c>
      <c r="T85" s="8"/>
      <c r="U85" s="8"/>
      <c r="V85" s="8"/>
      <c r="W85" s="8"/>
      <c r="X85" s="8"/>
      <c r="Y85" s="8"/>
      <c r="Z85" s="8"/>
      <c r="AB85" s="37">
        <f>SUM(L85:Z85)</f>
        <v>1827194</v>
      </c>
      <c r="AC85" s="37">
        <f>SUM(L86:Z86)</f>
        <v>80692</v>
      </c>
      <c r="AD85" s="37">
        <f>SUM(L87:Z87)</f>
        <v>49718</v>
      </c>
      <c r="AF85" s="37">
        <f>AB85-B85</f>
        <v>0</v>
      </c>
      <c r="AG85" s="37">
        <f>AC85-C85</f>
        <v>200</v>
      </c>
      <c r="AH85" s="37">
        <f>AD85-D85</f>
        <v>0</v>
      </c>
      <c r="AJ85" s="38">
        <f>C85/B85*1000</f>
        <v>44.052246231106274</v>
      </c>
      <c r="AK85" s="38">
        <f>D85/B85*1000</f>
        <v>27.210028053945013</v>
      </c>
      <c r="AM85" s="38">
        <f>AJ85-H85</f>
        <v>-4.7753768893727511E-2</v>
      </c>
      <c r="AN85" s="38">
        <f>AK85-I85</f>
        <v>1.0028053945013937E-2</v>
      </c>
    </row>
    <row r="86" spans="1:40">
      <c r="A86" s="4" t="s">
        <v>86</v>
      </c>
      <c r="B86" s="5"/>
      <c r="C86" s="5"/>
      <c r="D86" s="5"/>
      <c r="E86" s="5"/>
      <c r="F86" s="5"/>
      <c r="G86" s="5"/>
      <c r="H86" s="6" t="s">
        <v>9</v>
      </c>
      <c r="I86" s="6" t="s">
        <v>9</v>
      </c>
      <c r="J86" s="6"/>
      <c r="K86" s="5"/>
      <c r="L86" s="5">
        <v>10572</v>
      </c>
      <c r="M86" s="5">
        <v>13681</v>
      </c>
      <c r="N86" s="5">
        <v>9016</v>
      </c>
      <c r="O86" s="5">
        <v>8442</v>
      </c>
      <c r="P86" s="5">
        <v>10430</v>
      </c>
      <c r="Q86" s="5">
        <v>8648</v>
      </c>
      <c r="R86" s="5">
        <v>8009</v>
      </c>
      <c r="S86" s="5">
        <v>11894</v>
      </c>
      <c r="T86" s="5"/>
      <c r="U86" s="5"/>
      <c r="V86" s="5"/>
      <c r="W86" s="5"/>
      <c r="X86" s="5"/>
      <c r="Y86" s="5"/>
      <c r="Z86" s="5"/>
    </row>
    <row r="87" spans="1:40">
      <c r="A87" s="4" t="s">
        <v>87</v>
      </c>
      <c r="B87" s="5"/>
      <c r="C87" s="5"/>
      <c r="D87" s="5"/>
      <c r="E87" s="5"/>
      <c r="F87" s="5"/>
      <c r="G87" s="5"/>
      <c r="H87" s="6" t="s">
        <v>9</v>
      </c>
      <c r="I87" s="6" t="s">
        <v>9</v>
      </c>
      <c r="J87" s="6"/>
      <c r="K87" s="5"/>
      <c r="L87" s="5">
        <v>7538</v>
      </c>
      <c r="M87" s="5">
        <v>7998</v>
      </c>
      <c r="N87" s="5">
        <v>5231</v>
      </c>
      <c r="O87" s="5">
        <v>4525</v>
      </c>
      <c r="P87" s="5">
        <v>6072</v>
      </c>
      <c r="Q87" s="5">
        <v>6142</v>
      </c>
      <c r="R87" s="5">
        <v>5397</v>
      </c>
      <c r="S87" s="5">
        <v>6815</v>
      </c>
      <c r="T87" s="5"/>
      <c r="U87" s="5"/>
      <c r="V87" s="5"/>
      <c r="W87" s="5"/>
      <c r="X87" s="5"/>
      <c r="Y87" s="5"/>
      <c r="Z87" s="5"/>
    </row>
    <row r="88" spans="1:40">
      <c r="A88" s="7" t="s">
        <v>88</v>
      </c>
      <c r="B88" s="8">
        <v>1566856</v>
      </c>
      <c r="C88" s="8">
        <v>76083</v>
      </c>
      <c r="D88" s="8">
        <v>63677</v>
      </c>
      <c r="E88" s="8">
        <v>151894</v>
      </c>
      <c r="F88" s="8">
        <v>6480</v>
      </c>
      <c r="G88" s="8">
        <v>6047</v>
      </c>
      <c r="H88" s="12">
        <v>48.5</v>
      </c>
      <c r="I88" s="12">
        <v>40.6</v>
      </c>
      <c r="J88" s="12"/>
      <c r="K88" s="5"/>
      <c r="L88" s="8">
        <v>175518</v>
      </c>
      <c r="M88" s="8">
        <v>116250</v>
      </c>
      <c r="N88" s="8">
        <v>84968</v>
      </c>
      <c r="O88" s="8">
        <v>109624</v>
      </c>
      <c r="P88" s="8">
        <v>125976</v>
      </c>
      <c r="Q88" s="8">
        <v>140833</v>
      </c>
      <c r="R88" s="8">
        <v>121823</v>
      </c>
      <c r="S88" s="8">
        <v>93425</v>
      </c>
      <c r="T88" s="8">
        <v>118638</v>
      </c>
      <c r="U88" s="8">
        <v>97530</v>
      </c>
      <c r="V88" s="8">
        <v>116728</v>
      </c>
      <c r="W88" s="8">
        <v>156334</v>
      </c>
      <c r="X88" s="8">
        <v>109219</v>
      </c>
      <c r="Y88" s="8"/>
      <c r="Z88" s="8"/>
      <c r="AB88" s="37">
        <f>SUM(L88:Z88)</f>
        <v>1566866</v>
      </c>
      <c r="AC88" s="37">
        <f>SUM(L89:Z89)</f>
        <v>76083</v>
      </c>
      <c r="AD88" s="37">
        <f>SUM(L90:Z90)</f>
        <v>63677</v>
      </c>
      <c r="AF88" s="37">
        <f>AB88-B88</f>
        <v>10</v>
      </c>
      <c r="AG88" s="37">
        <f>AC88-C88</f>
        <v>0</v>
      </c>
      <c r="AH88" s="37">
        <f>AD88-D88</f>
        <v>0</v>
      </c>
      <c r="AJ88" s="38">
        <f>C88/B88*1000</f>
        <v>48.557748765681083</v>
      </c>
      <c r="AK88" s="38">
        <f>D88/B88*1000</f>
        <v>40.639982231934525</v>
      </c>
      <c r="AM88" s="38">
        <f>AJ88-H88</f>
        <v>5.7748765681083114E-2</v>
      </c>
      <c r="AN88" s="38">
        <f>AK88-I88</f>
        <v>3.9982231934523327E-2</v>
      </c>
    </row>
    <row r="89" spans="1:40">
      <c r="A89" s="4" t="s">
        <v>89</v>
      </c>
      <c r="B89" s="5"/>
      <c r="C89" s="5"/>
      <c r="D89" s="5"/>
      <c r="E89" s="5"/>
      <c r="F89" s="5"/>
      <c r="G89" s="5"/>
      <c r="H89" s="6" t="s">
        <v>9</v>
      </c>
      <c r="I89" s="6" t="s">
        <v>9</v>
      </c>
      <c r="J89" s="6"/>
      <c r="K89" s="5"/>
      <c r="L89" s="5">
        <v>7025</v>
      </c>
      <c r="M89" s="5">
        <v>4687</v>
      </c>
      <c r="N89" s="5">
        <v>4211</v>
      </c>
      <c r="O89" s="5">
        <v>4731</v>
      </c>
      <c r="P89" s="5">
        <v>5854</v>
      </c>
      <c r="Q89" s="5">
        <v>7726</v>
      </c>
      <c r="R89" s="5">
        <v>5899</v>
      </c>
      <c r="S89" s="5">
        <v>4539</v>
      </c>
      <c r="T89" s="5">
        <v>8225</v>
      </c>
      <c r="U89" s="5">
        <v>4782</v>
      </c>
      <c r="V89" s="5">
        <v>6154</v>
      </c>
      <c r="W89" s="5">
        <v>6739</v>
      </c>
      <c r="X89" s="5">
        <v>5511</v>
      </c>
      <c r="Y89" s="5"/>
      <c r="Z89" s="5"/>
    </row>
    <row r="90" spans="1:40">
      <c r="A90" s="4" t="s">
        <v>90</v>
      </c>
      <c r="B90" s="5"/>
      <c r="C90" s="5"/>
      <c r="D90" s="5"/>
      <c r="E90" s="5"/>
      <c r="F90" s="5"/>
      <c r="G90" s="5"/>
      <c r="H90" s="6" t="s">
        <v>9</v>
      </c>
      <c r="I90" s="6" t="s">
        <v>9</v>
      </c>
      <c r="J90" s="6"/>
      <c r="K90" s="5"/>
      <c r="L90" s="5">
        <v>6007</v>
      </c>
      <c r="M90" s="5">
        <v>3934</v>
      </c>
      <c r="N90" s="5">
        <v>3228</v>
      </c>
      <c r="O90" s="5">
        <v>3366</v>
      </c>
      <c r="P90" s="5">
        <v>4351</v>
      </c>
      <c r="Q90" s="5">
        <v>5156</v>
      </c>
      <c r="R90" s="5">
        <v>5681</v>
      </c>
      <c r="S90" s="5">
        <v>4215</v>
      </c>
      <c r="T90" s="5">
        <v>7222</v>
      </c>
      <c r="U90" s="5">
        <v>4116</v>
      </c>
      <c r="V90" s="5">
        <v>5054</v>
      </c>
      <c r="W90" s="5">
        <v>6361</v>
      </c>
      <c r="X90" s="5">
        <v>4986</v>
      </c>
      <c r="Y90" s="5"/>
      <c r="Z90" s="5"/>
    </row>
    <row r="91" spans="1:40">
      <c r="A91" s="7" t="s">
        <v>91</v>
      </c>
      <c r="B91" s="8">
        <v>1383875</v>
      </c>
      <c r="C91" s="8">
        <v>60292</v>
      </c>
      <c r="D91" s="8">
        <v>38427</v>
      </c>
      <c r="E91" s="8">
        <v>47632</v>
      </c>
      <c r="F91" s="8">
        <v>1722</v>
      </c>
      <c r="G91" s="8">
        <v>1428</v>
      </c>
      <c r="H91" s="12">
        <v>45.2</v>
      </c>
      <c r="I91" s="12">
        <v>28.8</v>
      </c>
      <c r="J91" s="12"/>
      <c r="K91" s="5"/>
      <c r="L91" s="8">
        <v>176354</v>
      </c>
      <c r="M91" s="8">
        <v>109359</v>
      </c>
      <c r="N91" s="8">
        <v>111862</v>
      </c>
      <c r="O91" s="8">
        <v>192959</v>
      </c>
      <c r="P91" s="8">
        <v>200412</v>
      </c>
      <c r="Q91" s="8">
        <v>128039</v>
      </c>
      <c r="R91" s="8">
        <v>158252</v>
      </c>
      <c r="S91" s="8">
        <v>108876</v>
      </c>
      <c r="T91" s="8">
        <v>146201</v>
      </c>
      <c r="U91" s="8">
        <v>51559</v>
      </c>
      <c r="V91" s="8"/>
      <c r="W91" s="8"/>
      <c r="X91" s="8"/>
      <c r="Y91" s="8"/>
      <c r="Z91" s="8"/>
      <c r="AB91" s="37">
        <f>SUM(L91:Z91)</f>
        <v>1383873</v>
      </c>
      <c r="AC91" s="37">
        <f>SUM(L92:Z92)</f>
        <v>60292</v>
      </c>
      <c r="AD91" s="37">
        <f>SUM(L93:Z93)</f>
        <v>38427</v>
      </c>
      <c r="AF91" s="37">
        <f>AB91-B91</f>
        <v>-2</v>
      </c>
      <c r="AG91" s="37">
        <f>AC91-C91</f>
        <v>0</v>
      </c>
      <c r="AH91" s="37">
        <f>AD91-D91</f>
        <v>0</v>
      </c>
      <c r="AJ91" s="38">
        <f>C91/B91*1000</f>
        <v>43.567518742661008</v>
      </c>
      <c r="AK91" s="38">
        <f>D91/B91*1000</f>
        <v>27.767681329599856</v>
      </c>
      <c r="AM91" s="38">
        <f>AJ91-H91</f>
        <v>-1.6324812573389949</v>
      </c>
      <c r="AN91" s="38">
        <f>AK91-I91</f>
        <v>-1.0323186704001444</v>
      </c>
    </row>
    <row r="92" spans="1:40">
      <c r="A92" s="4" t="s">
        <v>92</v>
      </c>
      <c r="B92" s="5"/>
      <c r="C92" s="5"/>
      <c r="D92" s="5"/>
      <c r="E92" s="5"/>
      <c r="F92" s="5"/>
      <c r="G92" s="5"/>
      <c r="H92" s="6" t="s">
        <v>9</v>
      </c>
      <c r="I92" s="6" t="s">
        <v>9</v>
      </c>
      <c r="J92" s="6"/>
      <c r="K92" s="5"/>
      <c r="L92" s="5">
        <v>6803</v>
      </c>
      <c r="M92" s="5">
        <v>4319</v>
      </c>
      <c r="N92" s="5">
        <v>4760</v>
      </c>
      <c r="O92" s="5">
        <v>8189</v>
      </c>
      <c r="P92" s="5">
        <v>10220</v>
      </c>
      <c r="Q92" s="5">
        <v>5591</v>
      </c>
      <c r="R92" s="5">
        <v>6890</v>
      </c>
      <c r="S92" s="5">
        <v>4542</v>
      </c>
      <c r="T92" s="5">
        <v>6875</v>
      </c>
      <c r="U92" s="5">
        <v>2103</v>
      </c>
      <c r="V92" s="5"/>
      <c r="W92" s="5"/>
      <c r="X92" s="5"/>
      <c r="Y92" s="5"/>
      <c r="Z92" s="5"/>
    </row>
    <row r="93" spans="1:40">
      <c r="A93" s="4" t="s">
        <v>93</v>
      </c>
      <c r="B93" s="5"/>
      <c r="C93" s="5"/>
      <c r="D93" s="5"/>
      <c r="E93" s="5"/>
      <c r="F93" s="5"/>
      <c r="G93" s="5"/>
      <c r="H93" s="6" t="s">
        <v>9</v>
      </c>
      <c r="I93" s="6" t="s">
        <v>9</v>
      </c>
      <c r="J93" s="6"/>
      <c r="K93" s="5"/>
      <c r="L93" s="5">
        <v>5080</v>
      </c>
      <c r="M93" s="5">
        <v>2522</v>
      </c>
      <c r="N93" s="5">
        <v>3719</v>
      </c>
      <c r="O93" s="5">
        <v>6017</v>
      </c>
      <c r="P93" s="5">
        <v>5490</v>
      </c>
      <c r="Q93" s="5">
        <v>3337</v>
      </c>
      <c r="R93" s="5">
        <v>4535</v>
      </c>
      <c r="S93" s="5">
        <v>2072</v>
      </c>
      <c r="T93" s="5">
        <v>4627</v>
      </c>
      <c r="U93" s="5">
        <v>1028</v>
      </c>
      <c r="V93" s="5"/>
      <c r="W93" s="5"/>
      <c r="X93" s="5"/>
      <c r="Y93" s="5"/>
      <c r="Z93" s="5"/>
    </row>
    <row r="94" spans="1:40">
      <c r="A94" s="7" t="s">
        <v>94</v>
      </c>
      <c r="B94" s="8">
        <v>2764765</v>
      </c>
      <c r="C94" s="8">
        <v>142665</v>
      </c>
      <c r="D94" s="8">
        <v>119761</v>
      </c>
      <c r="E94" s="8">
        <v>114667</v>
      </c>
      <c r="F94" s="8">
        <v>4799</v>
      </c>
      <c r="G94" s="8">
        <v>4493</v>
      </c>
      <c r="H94" s="12">
        <v>52</v>
      </c>
      <c r="I94" s="12">
        <v>43.7</v>
      </c>
      <c r="J94" s="12"/>
      <c r="K94" s="5"/>
      <c r="L94" s="8">
        <v>263715</v>
      </c>
      <c r="M94" s="8">
        <v>270050</v>
      </c>
      <c r="N94" s="8">
        <v>322642</v>
      </c>
      <c r="O94" s="8">
        <v>293571</v>
      </c>
      <c r="P94" s="8">
        <v>223419</v>
      </c>
      <c r="Q94" s="8">
        <v>153101</v>
      </c>
      <c r="R94" s="8">
        <v>220283</v>
      </c>
      <c r="S94" s="8">
        <v>165769</v>
      </c>
      <c r="T94" s="8">
        <v>185209</v>
      </c>
      <c r="U94" s="8">
        <v>195366</v>
      </c>
      <c r="V94" s="8">
        <v>281913</v>
      </c>
      <c r="W94" s="8">
        <v>189726</v>
      </c>
      <c r="X94" s="8"/>
      <c r="Y94" s="8"/>
      <c r="Z94" s="8"/>
      <c r="AB94" s="37">
        <f>SUM(L94:Z94)</f>
        <v>2764764</v>
      </c>
      <c r="AC94" s="37">
        <f>SUM(L95:Z95)</f>
        <v>142665</v>
      </c>
      <c r="AD94" s="37">
        <f>SUM(L96:Z96)</f>
        <v>119761</v>
      </c>
      <c r="AF94" s="37">
        <f>AB94-B94</f>
        <v>-1</v>
      </c>
      <c r="AG94" s="37">
        <f>AC94-C94</f>
        <v>0</v>
      </c>
      <c r="AH94" s="37">
        <f>AD94-D94</f>
        <v>0</v>
      </c>
      <c r="AJ94" s="38">
        <f>C94/B94*1000</f>
        <v>51.601130656674258</v>
      </c>
      <c r="AK94" s="38">
        <f>D94/B94*1000</f>
        <v>43.316882266666425</v>
      </c>
      <c r="AM94" s="38">
        <f>AJ94-H94</f>
        <v>-0.39886934332574242</v>
      </c>
      <c r="AN94" s="38">
        <f>AK94-I94</f>
        <v>-0.38311773333357735</v>
      </c>
    </row>
    <row r="95" spans="1:40">
      <c r="A95" s="4" t="s">
        <v>95</v>
      </c>
      <c r="B95" s="5"/>
      <c r="C95" s="5"/>
      <c r="D95" s="5"/>
      <c r="E95" s="5"/>
      <c r="F95" s="5"/>
      <c r="G95" s="5"/>
      <c r="H95" s="6" t="s">
        <v>9</v>
      </c>
      <c r="I95" s="6" t="s">
        <v>9</v>
      </c>
      <c r="J95" s="6"/>
      <c r="K95" s="5"/>
      <c r="L95" s="5">
        <v>14183</v>
      </c>
      <c r="M95" s="5">
        <v>11300</v>
      </c>
      <c r="N95" s="5">
        <v>16908</v>
      </c>
      <c r="O95" s="5">
        <v>16030</v>
      </c>
      <c r="P95" s="5">
        <v>8978</v>
      </c>
      <c r="Q95" s="5">
        <v>9254</v>
      </c>
      <c r="R95" s="5">
        <v>12114</v>
      </c>
      <c r="S95" s="5">
        <v>9172</v>
      </c>
      <c r="T95" s="5">
        <v>10233</v>
      </c>
      <c r="U95" s="5">
        <v>11122</v>
      </c>
      <c r="V95" s="5">
        <v>14094</v>
      </c>
      <c r="W95" s="5">
        <v>9277</v>
      </c>
      <c r="X95" s="5"/>
      <c r="Y95" s="5"/>
      <c r="Z95" s="5"/>
    </row>
    <row r="96" spans="1:40">
      <c r="A96" s="4" t="s">
        <v>96</v>
      </c>
      <c r="B96" s="5"/>
      <c r="C96" s="5"/>
      <c r="D96" s="5"/>
      <c r="E96" s="5"/>
      <c r="F96" s="5"/>
      <c r="G96" s="5"/>
      <c r="H96" s="6" t="s">
        <v>9</v>
      </c>
      <c r="I96" s="6" t="s">
        <v>9</v>
      </c>
      <c r="J96" s="6"/>
      <c r="K96" s="5"/>
      <c r="L96" s="5">
        <v>13037</v>
      </c>
      <c r="M96" s="5">
        <v>9479</v>
      </c>
      <c r="N96" s="5">
        <v>13614</v>
      </c>
      <c r="O96" s="5">
        <v>15236</v>
      </c>
      <c r="P96" s="5">
        <v>8095</v>
      </c>
      <c r="Q96" s="5">
        <v>5547</v>
      </c>
      <c r="R96" s="5">
        <v>10185</v>
      </c>
      <c r="S96" s="5">
        <v>6987</v>
      </c>
      <c r="T96" s="5">
        <v>8168</v>
      </c>
      <c r="U96" s="5">
        <v>11222</v>
      </c>
      <c r="V96" s="5">
        <v>11493</v>
      </c>
      <c r="W96" s="5">
        <v>6698</v>
      </c>
      <c r="X96" s="5"/>
      <c r="Y96" s="5"/>
      <c r="Z96" s="5"/>
    </row>
    <row r="97" spans="1:40">
      <c r="A97" s="7" t="s">
        <v>97</v>
      </c>
      <c r="B97" s="8">
        <v>3042950</v>
      </c>
      <c r="C97" s="8">
        <v>167172</v>
      </c>
      <c r="D97" s="8">
        <v>109279</v>
      </c>
      <c r="E97" s="8">
        <v>90765</v>
      </c>
      <c r="F97" s="8">
        <v>2670</v>
      </c>
      <c r="G97" s="8">
        <v>2171</v>
      </c>
      <c r="H97" s="12">
        <v>53.2</v>
      </c>
      <c r="I97" s="12">
        <v>34.799999999999997</v>
      </c>
      <c r="J97" s="12"/>
      <c r="K97" s="5"/>
      <c r="L97" s="8">
        <v>219297</v>
      </c>
      <c r="M97" s="8">
        <v>387165</v>
      </c>
      <c r="N97" s="8">
        <v>225315</v>
      </c>
      <c r="O97" s="8">
        <v>303477</v>
      </c>
      <c r="P97" s="8">
        <v>275360</v>
      </c>
      <c r="Q97" s="8">
        <v>221089</v>
      </c>
      <c r="R97" s="8">
        <v>224777</v>
      </c>
      <c r="S97" s="8">
        <v>292226</v>
      </c>
      <c r="T97" s="8">
        <v>217281</v>
      </c>
      <c r="U97" s="8">
        <v>292508</v>
      </c>
      <c r="V97" s="8">
        <v>384455</v>
      </c>
      <c r="W97" s="8"/>
      <c r="X97" s="8"/>
      <c r="Y97" s="8"/>
      <c r="Z97" s="8"/>
      <c r="AB97" s="37">
        <f>SUM(L97:Z97)</f>
        <v>3042950</v>
      </c>
      <c r="AC97" s="37">
        <f>SUM(L98:Z98)</f>
        <v>167172</v>
      </c>
      <c r="AD97" s="37">
        <f>SUM(L99:Z99)</f>
        <v>109279</v>
      </c>
      <c r="AF97" s="37">
        <f>AB97-B97</f>
        <v>0</v>
      </c>
      <c r="AG97" s="37">
        <f>AC97-C97</f>
        <v>0</v>
      </c>
      <c r="AH97" s="37">
        <f>AD97-D97</f>
        <v>0</v>
      </c>
      <c r="AJ97" s="38">
        <f>C97/B97*1000</f>
        <v>54.937478433756716</v>
      </c>
      <c r="AK97" s="38">
        <f>D97/B97*1000</f>
        <v>35.912190473060683</v>
      </c>
      <c r="AM97" s="38">
        <f>AJ97-H97</f>
        <v>1.7374784337567135</v>
      </c>
      <c r="AN97" s="38">
        <f>AK97-I97</f>
        <v>1.1121904730606857</v>
      </c>
    </row>
    <row r="98" spans="1:40">
      <c r="A98" s="4" t="s">
        <v>98</v>
      </c>
      <c r="B98" s="5"/>
      <c r="C98" s="5"/>
      <c r="D98" s="5"/>
      <c r="E98" s="5"/>
      <c r="F98" s="5"/>
      <c r="G98" s="5"/>
      <c r="H98" s="6" t="s">
        <v>9</v>
      </c>
      <c r="I98" s="6" t="s">
        <v>9</v>
      </c>
      <c r="J98" s="6"/>
      <c r="K98" s="5"/>
      <c r="L98" s="5">
        <v>10876</v>
      </c>
      <c r="M98" s="5">
        <v>20261</v>
      </c>
      <c r="N98" s="5">
        <v>12346</v>
      </c>
      <c r="O98" s="5">
        <v>14968</v>
      </c>
      <c r="P98" s="5">
        <v>15119</v>
      </c>
      <c r="Q98" s="5">
        <v>11118</v>
      </c>
      <c r="R98" s="5">
        <v>12096</v>
      </c>
      <c r="S98" s="5">
        <v>22652</v>
      </c>
      <c r="T98" s="5">
        <v>11921</v>
      </c>
      <c r="U98" s="5">
        <v>15519</v>
      </c>
      <c r="V98" s="5">
        <v>20296</v>
      </c>
      <c r="W98" s="5"/>
      <c r="X98" s="5"/>
      <c r="Y98" s="5"/>
      <c r="Z98" s="5"/>
    </row>
    <row r="99" spans="1:40">
      <c r="A99" s="4" t="s">
        <v>99</v>
      </c>
      <c r="B99" s="5"/>
      <c r="C99" s="5"/>
      <c r="D99" s="5"/>
      <c r="E99" s="5"/>
      <c r="F99" s="5"/>
      <c r="G99" s="5"/>
      <c r="H99" s="6" t="s">
        <v>9</v>
      </c>
      <c r="I99" s="6" t="s">
        <v>9</v>
      </c>
      <c r="J99" s="6"/>
      <c r="K99" s="5"/>
      <c r="L99" s="5">
        <v>7311</v>
      </c>
      <c r="M99" s="5">
        <v>13135</v>
      </c>
      <c r="N99" s="5">
        <v>7860</v>
      </c>
      <c r="O99" s="5">
        <v>7671</v>
      </c>
      <c r="P99" s="5">
        <v>9584</v>
      </c>
      <c r="Q99" s="5">
        <v>8196</v>
      </c>
      <c r="R99" s="5">
        <v>6939</v>
      </c>
      <c r="S99" s="5">
        <v>15992</v>
      </c>
      <c r="T99" s="5">
        <v>7334</v>
      </c>
      <c r="U99" s="5">
        <v>10777</v>
      </c>
      <c r="V99" s="5">
        <v>14480</v>
      </c>
      <c r="W99" s="5"/>
      <c r="X99" s="5"/>
      <c r="Y99" s="5"/>
      <c r="Z99" s="5"/>
    </row>
    <row r="100" spans="1:40">
      <c r="A100" s="7" t="s">
        <v>100</v>
      </c>
      <c r="B100" s="8">
        <v>2020002</v>
      </c>
      <c r="C100" s="8">
        <v>115254</v>
      </c>
      <c r="D100" s="8">
        <v>65850</v>
      </c>
      <c r="E100" s="8">
        <v>291350</v>
      </c>
      <c r="F100" s="8">
        <v>10805</v>
      </c>
      <c r="G100" s="8">
        <v>6829</v>
      </c>
      <c r="H100" s="12">
        <v>58</v>
      </c>
      <c r="I100" s="12">
        <v>33.299999999999997</v>
      </c>
      <c r="J100" s="12"/>
      <c r="K100" s="5"/>
      <c r="L100" s="8">
        <v>339279</v>
      </c>
      <c r="M100" s="8">
        <v>259735</v>
      </c>
      <c r="N100" s="8">
        <v>274886</v>
      </c>
      <c r="O100" s="8">
        <v>189023</v>
      </c>
      <c r="P100" s="8">
        <v>247008</v>
      </c>
      <c r="Q100" s="8">
        <v>234617</v>
      </c>
      <c r="R100" s="8">
        <v>259817</v>
      </c>
      <c r="S100" s="8">
        <v>215637</v>
      </c>
      <c r="T100" s="8"/>
      <c r="U100" s="8"/>
      <c r="V100" s="8"/>
      <c r="W100" s="8"/>
      <c r="X100" s="8"/>
      <c r="Y100" s="8"/>
      <c r="Z100" s="8"/>
      <c r="AB100" s="37">
        <f>SUM(L100:Z100)</f>
        <v>2020002</v>
      </c>
      <c r="AC100" s="37">
        <f>SUM(L101:Z101)</f>
        <v>115254</v>
      </c>
      <c r="AD100" s="37">
        <f>SUM(L102:Z102)</f>
        <v>65850</v>
      </c>
      <c r="AF100" s="37">
        <f>AB100-B100</f>
        <v>0</v>
      </c>
      <c r="AG100" s="37">
        <f>AC100-C100</f>
        <v>0</v>
      </c>
      <c r="AH100" s="37">
        <f>AD100-D100</f>
        <v>0</v>
      </c>
      <c r="AJ100" s="38">
        <f>C100/B100*1000</f>
        <v>57.056379152099851</v>
      </c>
      <c r="AK100" s="38">
        <f>D100/B100*1000</f>
        <v>32.598977624774626</v>
      </c>
      <c r="AM100" s="38">
        <f>AJ100-H100</f>
        <v>-0.94362084790014933</v>
      </c>
      <c r="AN100" s="38">
        <f>AK100-I100</f>
        <v>-0.70102237522537081</v>
      </c>
    </row>
    <row r="101" spans="1:40">
      <c r="A101" s="4" t="s">
        <v>101</v>
      </c>
      <c r="B101" s="5"/>
      <c r="C101" s="5"/>
      <c r="D101" s="5"/>
      <c r="E101" s="5"/>
      <c r="F101" s="5"/>
      <c r="G101" s="5"/>
      <c r="H101" s="6" t="s">
        <v>9</v>
      </c>
      <c r="I101" s="6" t="s">
        <v>9</v>
      </c>
      <c r="J101" s="6"/>
      <c r="K101" s="5"/>
      <c r="L101" s="5">
        <v>17048</v>
      </c>
      <c r="M101" s="5">
        <v>13698</v>
      </c>
      <c r="N101" s="5">
        <v>17971</v>
      </c>
      <c r="O101" s="5">
        <v>11631</v>
      </c>
      <c r="P101" s="5">
        <v>15635</v>
      </c>
      <c r="Q101" s="5">
        <v>14968</v>
      </c>
      <c r="R101" s="5">
        <v>14908</v>
      </c>
      <c r="S101" s="5">
        <v>9395</v>
      </c>
      <c r="T101" s="5"/>
      <c r="U101" s="5"/>
      <c r="V101" s="5"/>
      <c r="W101" s="5"/>
      <c r="X101" s="5"/>
      <c r="Y101" s="5"/>
      <c r="Z101" s="5"/>
    </row>
    <row r="102" spans="1:40">
      <c r="A102" s="4" t="s">
        <v>102</v>
      </c>
      <c r="B102" s="5"/>
      <c r="C102" s="5"/>
      <c r="D102" s="5"/>
      <c r="E102" s="5"/>
      <c r="F102" s="5"/>
      <c r="G102" s="5"/>
      <c r="H102" s="6" t="s">
        <v>9</v>
      </c>
      <c r="I102" s="6" t="s">
        <v>9</v>
      </c>
      <c r="J102" s="6"/>
      <c r="K102" s="5"/>
      <c r="L102" s="5">
        <v>9302</v>
      </c>
      <c r="M102" s="5">
        <v>7175</v>
      </c>
      <c r="N102" s="5">
        <v>10233</v>
      </c>
      <c r="O102" s="5">
        <v>6638</v>
      </c>
      <c r="P102" s="5">
        <v>7939</v>
      </c>
      <c r="Q102" s="5">
        <v>9247</v>
      </c>
      <c r="R102" s="5">
        <v>9978</v>
      </c>
      <c r="S102" s="5">
        <v>5338</v>
      </c>
      <c r="T102" s="5"/>
      <c r="U102" s="5"/>
      <c r="V102" s="5"/>
      <c r="W102" s="5"/>
      <c r="X102" s="5"/>
      <c r="Y102" s="5"/>
      <c r="Z102" s="5"/>
    </row>
    <row r="103" spans="1:40">
      <c r="A103" s="7" t="s">
        <v>103</v>
      </c>
      <c r="B103" s="8">
        <v>2235336</v>
      </c>
      <c r="C103" s="8">
        <v>104609</v>
      </c>
      <c r="D103" s="8">
        <v>76702</v>
      </c>
      <c r="E103" s="8">
        <v>179257</v>
      </c>
      <c r="F103" s="8">
        <v>6381</v>
      </c>
      <c r="G103" s="8">
        <v>6087</v>
      </c>
      <c r="H103" s="12">
        <v>47.1</v>
      </c>
      <c r="I103" s="12">
        <v>34.6</v>
      </c>
      <c r="J103" s="12"/>
      <c r="K103" s="5"/>
      <c r="L103" s="8">
        <v>354715</v>
      </c>
      <c r="M103" s="8">
        <v>100793</v>
      </c>
      <c r="N103" s="8">
        <v>186261</v>
      </c>
      <c r="O103" s="8">
        <v>200474</v>
      </c>
      <c r="P103" s="8">
        <v>136825</v>
      </c>
      <c r="Q103" s="8">
        <v>187387</v>
      </c>
      <c r="R103" s="8">
        <v>199291</v>
      </c>
      <c r="S103" s="8">
        <v>116423</v>
      </c>
      <c r="T103" s="8">
        <v>161182</v>
      </c>
      <c r="U103" s="8">
        <v>127025</v>
      </c>
      <c r="V103" s="8">
        <v>316635</v>
      </c>
      <c r="W103" s="8">
        <v>148635</v>
      </c>
      <c r="X103" s="8"/>
      <c r="Y103" s="8"/>
      <c r="Z103" s="8"/>
      <c r="AB103" s="37">
        <f>SUM(L103:Z103)</f>
        <v>2235646</v>
      </c>
      <c r="AC103" s="37">
        <f>SUM(L104:Z104)</f>
        <v>104609</v>
      </c>
      <c r="AD103" s="37">
        <f>SUM(L105:Z105)</f>
        <v>76702</v>
      </c>
      <c r="AF103" s="37">
        <f>AB103-B103</f>
        <v>310</v>
      </c>
      <c r="AG103" s="37">
        <f>AC103-C103</f>
        <v>0</v>
      </c>
      <c r="AH103" s="37">
        <f>AD103-D103</f>
        <v>0</v>
      </c>
      <c r="AJ103" s="38">
        <f>C103/B103*1000</f>
        <v>46.797886313288025</v>
      </c>
      <c r="AK103" s="38">
        <f>D103/B103*1000</f>
        <v>34.313409706639177</v>
      </c>
      <c r="AM103" s="38">
        <f>AJ103-H103</f>
        <v>-0.30211368671197647</v>
      </c>
      <c r="AN103" s="38">
        <f>AK103-I103</f>
        <v>-0.28659029336082398</v>
      </c>
    </row>
    <row r="104" spans="1:40">
      <c r="A104" s="4" t="s">
        <v>104</v>
      </c>
      <c r="B104" s="5"/>
      <c r="C104" s="5"/>
      <c r="D104" s="5"/>
      <c r="E104" s="5"/>
      <c r="F104" s="5"/>
      <c r="G104" s="5"/>
      <c r="H104" s="6" t="s">
        <v>9</v>
      </c>
      <c r="I104" s="6" t="s">
        <v>9</v>
      </c>
      <c r="J104" s="6"/>
      <c r="K104" s="5"/>
      <c r="L104" s="5">
        <v>15565</v>
      </c>
      <c r="M104" s="5">
        <v>4537</v>
      </c>
      <c r="N104" s="5">
        <v>8892</v>
      </c>
      <c r="O104" s="5">
        <v>8956</v>
      </c>
      <c r="P104" s="5">
        <v>6732</v>
      </c>
      <c r="Q104" s="5">
        <v>9201</v>
      </c>
      <c r="R104" s="5">
        <v>9479</v>
      </c>
      <c r="S104" s="5">
        <v>5410</v>
      </c>
      <c r="T104" s="5">
        <v>7556</v>
      </c>
      <c r="U104" s="5">
        <v>6002</v>
      </c>
      <c r="V104" s="5">
        <v>15295</v>
      </c>
      <c r="W104" s="5">
        <v>6984</v>
      </c>
      <c r="X104" s="5"/>
      <c r="Y104" s="5"/>
      <c r="Z104" s="5"/>
    </row>
    <row r="105" spans="1:40">
      <c r="A105" s="4" t="s">
        <v>105</v>
      </c>
      <c r="B105" s="5"/>
      <c r="C105" s="5"/>
      <c r="D105" s="5"/>
      <c r="E105" s="5"/>
      <c r="F105" s="5"/>
      <c r="G105" s="5"/>
      <c r="H105" s="6" t="s">
        <v>9</v>
      </c>
      <c r="I105" s="6" t="s">
        <v>9</v>
      </c>
      <c r="J105" s="6"/>
      <c r="K105" s="5"/>
      <c r="L105" s="5">
        <v>11914</v>
      </c>
      <c r="M105" s="5">
        <v>3463</v>
      </c>
      <c r="N105" s="5">
        <v>6293</v>
      </c>
      <c r="O105" s="5">
        <v>6050</v>
      </c>
      <c r="P105" s="5">
        <v>5368</v>
      </c>
      <c r="Q105" s="5">
        <v>7475</v>
      </c>
      <c r="R105" s="5">
        <v>7419</v>
      </c>
      <c r="S105" s="5">
        <v>3825</v>
      </c>
      <c r="T105" s="5">
        <v>5591</v>
      </c>
      <c r="U105" s="5">
        <v>4183</v>
      </c>
      <c r="V105" s="5">
        <v>10308</v>
      </c>
      <c r="W105" s="5">
        <v>4813</v>
      </c>
      <c r="X105" s="5"/>
      <c r="Y105" s="5"/>
      <c r="Z105" s="5"/>
    </row>
    <row r="106" spans="1:40">
      <c r="A106" s="7" t="s">
        <v>106</v>
      </c>
      <c r="B106" s="8">
        <v>1341444</v>
      </c>
      <c r="C106" s="8">
        <v>64942</v>
      </c>
      <c r="D106" s="8">
        <v>50121</v>
      </c>
      <c r="E106" s="8">
        <v>114387</v>
      </c>
      <c r="F106" s="8">
        <v>3008</v>
      </c>
      <c r="G106" s="8">
        <v>2893</v>
      </c>
      <c r="H106" s="12">
        <v>48.9</v>
      </c>
      <c r="I106" s="12">
        <v>38</v>
      </c>
      <c r="J106" s="12"/>
      <c r="K106" s="5"/>
      <c r="L106" s="8">
        <v>133313</v>
      </c>
      <c r="M106" s="8">
        <v>78167</v>
      </c>
      <c r="N106" s="8">
        <v>251857</v>
      </c>
      <c r="O106" s="8">
        <v>140545</v>
      </c>
      <c r="P106" s="8">
        <v>98157</v>
      </c>
      <c r="Q106" s="8">
        <v>50514</v>
      </c>
      <c r="R106" s="8">
        <v>129999</v>
      </c>
      <c r="S106" s="8">
        <v>125153</v>
      </c>
      <c r="T106" s="8">
        <v>173505</v>
      </c>
      <c r="U106" s="8">
        <v>74092</v>
      </c>
      <c r="V106" s="8">
        <v>86142</v>
      </c>
      <c r="W106" s="8"/>
      <c r="X106" s="8"/>
      <c r="Y106" s="8"/>
      <c r="Z106" s="8"/>
      <c r="AB106" s="37">
        <f>SUM(L106:Z106)</f>
        <v>1341444</v>
      </c>
      <c r="AC106" s="37">
        <f>SUM(L107:Z107)</f>
        <v>64932</v>
      </c>
      <c r="AD106" s="37">
        <f>SUM(L108:Z108)</f>
        <v>50121</v>
      </c>
      <c r="AF106" s="37">
        <f>AB106-B106</f>
        <v>0</v>
      </c>
      <c r="AG106" s="37">
        <f>AC106-C106</f>
        <v>-10</v>
      </c>
      <c r="AH106" s="37">
        <f>AD106-D106</f>
        <v>0</v>
      </c>
      <c r="AJ106" s="38">
        <f>C106/B106*1000</f>
        <v>48.412009744722852</v>
      </c>
      <c r="AK106" s="38">
        <f>D106/B106*1000</f>
        <v>37.363468024009954</v>
      </c>
      <c r="AM106" s="38">
        <f>AJ106-H106</f>
        <v>-0.4879902552771469</v>
      </c>
      <c r="AN106" s="38">
        <f>AK106-I106</f>
        <v>-0.63653197599004585</v>
      </c>
    </row>
    <row r="107" spans="1:40">
      <c r="A107" s="4" t="s">
        <v>107</v>
      </c>
      <c r="B107" s="5"/>
      <c r="C107" s="5"/>
      <c r="D107" s="5"/>
      <c r="E107" s="5"/>
      <c r="F107" s="5"/>
      <c r="G107" s="5"/>
      <c r="H107" s="6" t="s">
        <v>9</v>
      </c>
      <c r="I107" s="6" t="s">
        <v>9</v>
      </c>
      <c r="J107" s="6"/>
      <c r="K107" s="5"/>
      <c r="L107" s="5">
        <v>5299</v>
      </c>
      <c r="M107" s="5">
        <v>3017</v>
      </c>
      <c r="N107" s="5">
        <v>15315</v>
      </c>
      <c r="O107" s="5">
        <v>7051</v>
      </c>
      <c r="P107" s="5">
        <v>5106</v>
      </c>
      <c r="Q107" s="5">
        <v>2334</v>
      </c>
      <c r="R107" s="5">
        <v>6857</v>
      </c>
      <c r="S107" s="5">
        <v>4882</v>
      </c>
      <c r="T107" s="5">
        <v>8843</v>
      </c>
      <c r="U107" s="5">
        <v>3268</v>
      </c>
      <c r="V107" s="5">
        <v>2960</v>
      </c>
      <c r="W107" s="5"/>
      <c r="X107" s="5"/>
      <c r="Y107" s="5"/>
      <c r="Z107" s="5"/>
    </row>
    <row r="108" spans="1:40">
      <c r="A108" s="4" t="s">
        <v>108</v>
      </c>
      <c r="B108" s="5"/>
      <c r="C108" s="5"/>
      <c r="D108" s="5"/>
      <c r="E108" s="5"/>
      <c r="F108" s="5"/>
      <c r="G108" s="5"/>
      <c r="H108" s="6" t="s">
        <v>9</v>
      </c>
      <c r="I108" s="6" t="s">
        <v>9</v>
      </c>
      <c r="J108" s="6"/>
      <c r="K108" s="5"/>
      <c r="L108" s="5">
        <v>4177</v>
      </c>
      <c r="M108" s="5">
        <v>3068</v>
      </c>
      <c r="N108" s="5">
        <v>9335</v>
      </c>
      <c r="O108" s="5">
        <v>5303</v>
      </c>
      <c r="P108" s="5">
        <v>3496</v>
      </c>
      <c r="Q108" s="5">
        <v>2639</v>
      </c>
      <c r="R108" s="5">
        <v>6543</v>
      </c>
      <c r="S108" s="5">
        <v>4162</v>
      </c>
      <c r="T108" s="5">
        <v>6032</v>
      </c>
      <c r="U108" s="5">
        <v>2778</v>
      </c>
      <c r="V108" s="5">
        <v>2588</v>
      </c>
      <c r="W108" s="5"/>
      <c r="X108" s="5"/>
      <c r="Y108" s="5"/>
      <c r="Z108" s="5"/>
    </row>
    <row r="109" spans="1:40">
      <c r="A109" s="7" t="s">
        <v>109</v>
      </c>
      <c r="B109" s="8">
        <v>1486314</v>
      </c>
      <c r="C109" s="8">
        <v>69552</v>
      </c>
      <c r="D109" s="8">
        <v>49585</v>
      </c>
      <c r="E109" s="8">
        <v>70956</v>
      </c>
      <c r="F109" s="8">
        <v>3219</v>
      </c>
      <c r="G109" s="8">
        <v>2900</v>
      </c>
      <c r="H109" s="12">
        <v>46.8</v>
      </c>
      <c r="I109" s="12">
        <v>33.4</v>
      </c>
      <c r="J109" s="12"/>
      <c r="K109" s="5"/>
      <c r="L109" s="8">
        <v>184653</v>
      </c>
      <c r="M109" s="8">
        <v>79356</v>
      </c>
      <c r="N109" s="8">
        <v>124757</v>
      </c>
      <c r="O109" s="8">
        <v>119581</v>
      </c>
      <c r="P109" s="8">
        <v>120970</v>
      </c>
      <c r="Q109" s="8">
        <v>142818</v>
      </c>
      <c r="R109" s="8">
        <v>118085</v>
      </c>
      <c r="S109" s="8">
        <v>153657</v>
      </c>
      <c r="T109" s="8">
        <v>173144</v>
      </c>
      <c r="U109" s="8">
        <v>69246</v>
      </c>
      <c r="V109" s="8">
        <v>60489</v>
      </c>
      <c r="W109" s="8">
        <v>139558</v>
      </c>
      <c r="X109" s="8"/>
      <c r="Y109" s="8"/>
      <c r="Z109" s="8"/>
      <c r="AB109" s="37">
        <f>SUM(L109:Z109)</f>
        <v>1486314</v>
      </c>
      <c r="AC109" s="37">
        <f>SUM(L110:Z110)</f>
        <v>69552</v>
      </c>
      <c r="AD109" s="37">
        <f>SUM(L111:Z111)</f>
        <v>49585</v>
      </c>
      <c r="AF109" s="37">
        <f>AB109-B109</f>
        <v>0</v>
      </c>
      <c r="AG109" s="37">
        <f>AC109-C109</f>
        <v>0</v>
      </c>
      <c r="AH109" s="37">
        <f>AD109-D109</f>
        <v>0</v>
      </c>
      <c r="AJ109" s="38">
        <f>C109/B109*1000</f>
        <v>46.794957189396051</v>
      </c>
      <c r="AK109" s="38">
        <f>D109/B109*1000</f>
        <v>33.361052913448979</v>
      </c>
      <c r="AM109" s="38">
        <f>AJ109-H109</f>
        <v>-5.0428106039461795E-3</v>
      </c>
      <c r="AN109" s="38">
        <f>AK109-I109</f>
        <v>-3.8947086551019083E-2</v>
      </c>
    </row>
    <row r="110" spans="1:40">
      <c r="A110" s="4" t="s">
        <v>110</v>
      </c>
      <c r="B110" s="5"/>
      <c r="C110" s="5"/>
      <c r="D110" s="5"/>
      <c r="E110" s="5"/>
      <c r="F110" s="5"/>
      <c r="G110" s="5"/>
      <c r="H110" s="6" t="s">
        <v>9</v>
      </c>
      <c r="I110" s="6" t="s">
        <v>9</v>
      </c>
      <c r="J110" s="6"/>
      <c r="K110" s="5"/>
      <c r="L110" s="5">
        <v>8253</v>
      </c>
      <c r="M110" s="5">
        <v>3711</v>
      </c>
      <c r="N110" s="5">
        <v>5091</v>
      </c>
      <c r="O110" s="5">
        <v>7131</v>
      </c>
      <c r="P110" s="5">
        <v>4996</v>
      </c>
      <c r="Q110" s="5">
        <v>7169</v>
      </c>
      <c r="R110" s="5">
        <v>5499</v>
      </c>
      <c r="S110" s="5">
        <v>7343</v>
      </c>
      <c r="T110" s="5">
        <v>8258</v>
      </c>
      <c r="U110" s="5">
        <v>2716</v>
      </c>
      <c r="V110" s="5">
        <v>2494</v>
      </c>
      <c r="W110" s="5">
        <v>6891</v>
      </c>
      <c r="X110" s="5"/>
      <c r="Y110" s="5"/>
      <c r="Z110" s="5"/>
    </row>
    <row r="111" spans="1:40">
      <c r="A111" s="4" t="s">
        <v>111</v>
      </c>
      <c r="B111" s="5"/>
      <c r="C111" s="5"/>
      <c r="D111" s="5"/>
      <c r="E111" s="5"/>
      <c r="F111" s="5"/>
      <c r="G111" s="5"/>
      <c r="H111" s="6" t="s">
        <v>9</v>
      </c>
      <c r="I111" s="6" t="s">
        <v>9</v>
      </c>
      <c r="J111" s="6"/>
      <c r="K111" s="5"/>
      <c r="L111" s="5">
        <v>6547</v>
      </c>
      <c r="M111" s="5">
        <v>2429</v>
      </c>
      <c r="N111" s="5">
        <v>3216</v>
      </c>
      <c r="O111" s="5">
        <v>4386</v>
      </c>
      <c r="P111" s="5">
        <v>3271</v>
      </c>
      <c r="Q111" s="5">
        <v>5390</v>
      </c>
      <c r="R111" s="5">
        <v>3245</v>
      </c>
      <c r="S111" s="5">
        <v>5349</v>
      </c>
      <c r="T111" s="5">
        <v>6829</v>
      </c>
      <c r="U111" s="5">
        <v>1775</v>
      </c>
      <c r="V111" s="5">
        <v>1601</v>
      </c>
      <c r="W111" s="5">
        <v>5547</v>
      </c>
      <c r="X111" s="5"/>
      <c r="Y111" s="5"/>
      <c r="Z111" s="5"/>
    </row>
    <row r="112" spans="1:40">
      <c r="A112" s="7" t="s">
        <v>112</v>
      </c>
      <c r="B112" s="8">
        <v>2646743</v>
      </c>
      <c r="C112" s="8">
        <v>126446</v>
      </c>
      <c r="D112" s="8">
        <v>88322</v>
      </c>
      <c r="E112" s="8">
        <v>174201</v>
      </c>
      <c r="F112" s="8">
        <v>7354</v>
      </c>
      <c r="G112" s="8">
        <v>6445</v>
      </c>
      <c r="H112" s="12">
        <v>47.8</v>
      </c>
      <c r="I112" s="12">
        <v>33.4</v>
      </c>
      <c r="J112" s="12"/>
      <c r="K112" s="5"/>
      <c r="L112" s="8">
        <v>246933</v>
      </c>
      <c r="M112" s="8">
        <v>202298</v>
      </c>
      <c r="N112" s="8">
        <v>197176</v>
      </c>
      <c r="O112" s="8">
        <v>126574</v>
      </c>
      <c r="P112" s="8">
        <v>185012</v>
      </c>
      <c r="Q112" s="8">
        <v>136429</v>
      </c>
      <c r="R112" s="8">
        <v>188361</v>
      </c>
      <c r="S112" s="8">
        <v>206811</v>
      </c>
      <c r="T112" s="50">
        <v>183627</v>
      </c>
      <c r="U112" s="8">
        <v>161997</v>
      </c>
      <c r="V112" s="8">
        <v>169820</v>
      </c>
      <c r="W112" s="8">
        <v>175450</v>
      </c>
      <c r="X112" s="8">
        <v>154915</v>
      </c>
      <c r="Y112" s="8">
        <v>132744</v>
      </c>
      <c r="Z112" s="8">
        <v>178596</v>
      </c>
      <c r="AB112" s="37">
        <f>SUM(L112:Z112)</f>
        <v>2646743</v>
      </c>
      <c r="AC112" s="37">
        <f>SUM(L113:Z113)</f>
        <v>126446</v>
      </c>
      <c r="AD112" s="37">
        <f>SUM(L114:Z114)</f>
        <v>88322</v>
      </c>
      <c r="AF112" s="37">
        <f>AB112-B112</f>
        <v>0</v>
      </c>
      <c r="AG112" s="37">
        <f>AC112-C112</f>
        <v>0</v>
      </c>
      <c r="AH112" s="37">
        <f>AD112-D112</f>
        <v>0</v>
      </c>
      <c r="AJ112" s="38">
        <f>C112/B112*1000</f>
        <v>47.774188880446651</v>
      </c>
      <c r="AK112" s="38">
        <f>D112/B112*1000</f>
        <v>33.370070309055315</v>
      </c>
      <c r="AM112" s="38">
        <f>AJ112-H112</f>
        <v>-2.5811119553345918E-2</v>
      </c>
      <c r="AN112" s="38">
        <f>AK112-I112</f>
        <v>-2.9929690944683784E-2</v>
      </c>
    </row>
    <row r="113" spans="1:40">
      <c r="A113" s="4" t="s">
        <v>113</v>
      </c>
      <c r="B113" s="5"/>
      <c r="C113" s="5"/>
      <c r="D113" s="5"/>
      <c r="E113" s="5"/>
      <c r="F113" s="5"/>
      <c r="G113" s="5"/>
      <c r="H113" s="6" t="s">
        <v>9</v>
      </c>
      <c r="I113" s="6" t="s">
        <v>9</v>
      </c>
      <c r="J113" s="6"/>
      <c r="K113" s="5"/>
      <c r="L113" s="5">
        <v>10463</v>
      </c>
      <c r="M113" s="5">
        <v>9433</v>
      </c>
      <c r="N113" s="5">
        <v>8821</v>
      </c>
      <c r="O113" s="5">
        <v>7235</v>
      </c>
      <c r="P113" s="5">
        <v>8700</v>
      </c>
      <c r="Q113" s="5">
        <v>7109</v>
      </c>
      <c r="R113" s="5">
        <v>8047</v>
      </c>
      <c r="S113" s="5">
        <v>10466</v>
      </c>
      <c r="T113" s="5">
        <v>8553</v>
      </c>
      <c r="U113" s="5">
        <v>9019</v>
      </c>
      <c r="V113" s="5">
        <v>7958</v>
      </c>
      <c r="W113" s="5">
        <v>8259</v>
      </c>
      <c r="X113" s="5">
        <v>7503</v>
      </c>
      <c r="Y113" s="5">
        <v>6999</v>
      </c>
      <c r="Z113" s="5">
        <v>7881</v>
      </c>
    </row>
    <row r="114" spans="1:40">
      <c r="A114" s="4" t="s">
        <v>114</v>
      </c>
      <c r="B114" s="5"/>
      <c r="C114" s="5"/>
      <c r="D114" s="5"/>
      <c r="E114" s="5"/>
      <c r="F114" s="5"/>
      <c r="G114" s="5"/>
      <c r="H114" s="6" t="s">
        <v>9</v>
      </c>
      <c r="I114" s="6" t="s">
        <v>9</v>
      </c>
      <c r="J114" s="6"/>
      <c r="K114" s="5"/>
      <c r="L114" s="5">
        <v>8190</v>
      </c>
      <c r="M114" s="5">
        <v>7350</v>
      </c>
      <c r="N114" s="5">
        <v>6745</v>
      </c>
      <c r="O114" s="5">
        <v>4822</v>
      </c>
      <c r="P114" s="5">
        <v>5248</v>
      </c>
      <c r="Q114" s="5">
        <v>4490</v>
      </c>
      <c r="R114" s="5">
        <v>5926</v>
      </c>
      <c r="S114" s="5">
        <v>7250</v>
      </c>
      <c r="T114" s="5">
        <v>5621</v>
      </c>
      <c r="U114" s="5">
        <v>5573</v>
      </c>
      <c r="V114" s="5">
        <v>5791</v>
      </c>
      <c r="W114" s="5">
        <v>5310</v>
      </c>
      <c r="X114" s="5">
        <v>5314</v>
      </c>
      <c r="Y114" s="5">
        <v>4380</v>
      </c>
      <c r="Z114" s="5">
        <v>6312</v>
      </c>
    </row>
    <row r="115" spans="1:40">
      <c r="A115" s="7" t="s">
        <v>115</v>
      </c>
      <c r="B115" s="8">
        <v>1541936</v>
      </c>
      <c r="C115" s="8">
        <v>72005</v>
      </c>
      <c r="D115" s="8">
        <v>64703</v>
      </c>
      <c r="E115" s="8">
        <v>157448</v>
      </c>
      <c r="F115" s="8">
        <v>3957</v>
      </c>
      <c r="G115" s="8">
        <v>3672</v>
      </c>
      <c r="H115" s="12">
        <v>46.3</v>
      </c>
      <c r="I115" s="12">
        <v>41.6</v>
      </c>
      <c r="J115" s="12"/>
      <c r="K115" s="5"/>
      <c r="L115" s="8">
        <v>170627</v>
      </c>
      <c r="M115" s="8">
        <v>195671</v>
      </c>
      <c r="N115" s="8">
        <v>157978</v>
      </c>
      <c r="O115" s="8">
        <v>62891</v>
      </c>
      <c r="P115" s="8">
        <v>101042</v>
      </c>
      <c r="Q115" s="8">
        <v>141569</v>
      </c>
      <c r="R115" s="8">
        <v>95202</v>
      </c>
      <c r="S115" s="8">
        <v>127187</v>
      </c>
      <c r="T115" s="8">
        <v>118168</v>
      </c>
      <c r="U115" s="8">
        <v>73152</v>
      </c>
      <c r="V115" s="8">
        <v>101034</v>
      </c>
      <c r="W115" s="8">
        <v>72638</v>
      </c>
      <c r="X115" s="8">
        <v>124777</v>
      </c>
      <c r="Y115" s="8"/>
      <c r="Z115" s="8"/>
      <c r="AB115" s="37">
        <f>SUM(L115:Z115)</f>
        <v>1541936</v>
      </c>
      <c r="AC115" s="37">
        <f>SUM(L116:Z116)</f>
        <v>72105</v>
      </c>
      <c r="AD115" s="37">
        <f>SUM(L117:Z117)</f>
        <v>64703</v>
      </c>
      <c r="AF115" s="37">
        <f>AB115-B115</f>
        <v>0</v>
      </c>
      <c r="AG115" s="37">
        <f>AC115-C115</f>
        <v>100</v>
      </c>
      <c r="AH115" s="37">
        <f>AD115-D115</f>
        <v>0</v>
      </c>
      <c r="AJ115" s="38">
        <f>C115/B115*1000</f>
        <v>46.697787716221683</v>
      </c>
      <c r="AK115" s="38">
        <f>D115/B115*1000</f>
        <v>41.962182606800795</v>
      </c>
      <c r="AM115" s="38">
        <f>AJ115-H115</f>
        <v>0.39778771622168563</v>
      </c>
      <c r="AN115" s="38">
        <f>AK115-I115</f>
        <v>0.36218260680079339</v>
      </c>
    </row>
    <row r="116" spans="1:40">
      <c r="A116" s="4" t="s">
        <v>116</v>
      </c>
      <c r="B116" s="5"/>
      <c r="C116" s="5"/>
      <c r="D116" s="5"/>
      <c r="E116" s="5"/>
      <c r="F116" s="5"/>
      <c r="G116" s="5"/>
      <c r="H116" s="6" t="s">
        <v>9</v>
      </c>
      <c r="I116" s="6" t="s">
        <v>9</v>
      </c>
      <c r="J116" s="6"/>
      <c r="K116" s="5"/>
      <c r="L116" s="5">
        <v>9852</v>
      </c>
      <c r="M116" s="5">
        <v>10326</v>
      </c>
      <c r="N116" s="5">
        <v>6744</v>
      </c>
      <c r="O116" s="5">
        <v>2934</v>
      </c>
      <c r="P116" s="5">
        <v>4104</v>
      </c>
      <c r="Q116" s="5">
        <v>6235</v>
      </c>
      <c r="R116" s="5">
        <v>4635</v>
      </c>
      <c r="S116" s="5">
        <v>6058</v>
      </c>
      <c r="T116" s="5">
        <v>5117</v>
      </c>
      <c r="U116" s="5">
        <v>3146</v>
      </c>
      <c r="V116" s="5">
        <v>4420</v>
      </c>
      <c r="W116" s="5">
        <v>3394</v>
      </c>
      <c r="X116" s="5">
        <v>5140</v>
      </c>
      <c r="Y116" s="5"/>
      <c r="Z116" s="5"/>
    </row>
    <row r="117" spans="1:40">
      <c r="A117" s="4" t="s">
        <v>117</v>
      </c>
      <c r="B117" s="5"/>
      <c r="C117" s="5"/>
      <c r="D117" s="5"/>
      <c r="E117" s="5"/>
      <c r="F117" s="5"/>
      <c r="G117" s="5"/>
      <c r="H117" s="6" t="s">
        <v>9</v>
      </c>
      <c r="I117" s="6" t="s">
        <v>9</v>
      </c>
      <c r="J117" s="6"/>
      <c r="K117" s="5"/>
      <c r="L117" s="5">
        <v>8516</v>
      </c>
      <c r="M117" s="5">
        <v>8425</v>
      </c>
      <c r="N117" s="5">
        <v>5180</v>
      </c>
      <c r="O117" s="5">
        <v>3214</v>
      </c>
      <c r="P117" s="5">
        <v>3727</v>
      </c>
      <c r="Q117" s="5">
        <v>5963</v>
      </c>
      <c r="R117" s="5">
        <v>4240</v>
      </c>
      <c r="S117" s="50">
        <v>4824</v>
      </c>
      <c r="T117" s="5">
        <v>5024</v>
      </c>
      <c r="U117" s="5">
        <v>3609</v>
      </c>
      <c r="V117" s="5">
        <v>3715</v>
      </c>
      <c r="W117" s="5">
        <v>3843</v>
      </c>
      <c r="X117" s="5">
        <v>4423</v>
      </c>
      <c r="Y117" s="5"/>
      <c r="Z117" s="5"/>
    </row>
    <row r="118" spans="1:40">
      <c r="A118" s="7" t="s">
        <v>118</v>
      </c>
      <c r="B118" s="8">
        <v>982321</v>
      </c>
      <c r="C118" s="8">
        <v>30220</v>
      </c>
      <c r="D118" s="8">
        <v>26884</v>
      </c>
      <c r="E118" s="8"/>
      <c r="F118" s="8"/>
      <c r="G118" s="8"/>
      <c r="H118" s="12">
        <v>30.8</v>
      </c>
      <c r="I118" s="12">
        <v>27.4</v>
      </c>
      <c r="J118" s="12"/>
      <c r="K118" s="5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B118" s="37">
        <f>B118</f>
        <v>982321</v>
      </c>
      <c r="AC118" s="37">
        <f>C118</f>
        <v>30220</v>
      </c>
      <c r="AD118" s="37">
        <f>D118</f>
        <v>26884</v>
      </c>
      <c r="AF118" s="39"/>
      <c r="AG118" s="39"/>
      <c r="AH118" s="39"/>
      <c r="AJ118" s="38">
        <f>C118/B118*1000</f>
        <v>30.763874537956532</v>
      </c>
      <c r="AK118" s="38">
        <f>D118/B118*1000</f>
        <v>27.367835972151667</v>
      </c>
      <c r="AM118" s="38">
        <f>AJ118-H118</f>
        <v>-3.6125462043468559E-2</v>
      </c>
      <c r="AN118" s="38">
        <f>AK118-I118</f>
        <v>-3.21640278483315E-2</v>
      </c>
    </row>
    <row r="119" spans="1:40">
      <c r="A119" s="7" t="s">
        <v>119</v>
      </c>
      <c r="B119" s="8">
        <v>1647571</v>
      </c>
      <c r="C119" s="8">
        <v>85262</v>
      </c>
      <c r="D119" s="8">
        <v>66709</v>
      </c>
      <c r="E119" s="8">
        <v>110226</v>
      </c>
      <c r="F119" s="8">
        <v>4678</v>
      </c>
      <c r="G119" s="8">
        <v>4541</v>
      </c>
      <c r="H119" s="12">
        <v>52.3</v>
      </c>
      <c r="I119" s="12">
        <v>41</v>
      </c>
      <c r="J119" s="12"/>
      <c r="K119" s="5"/>
      <c r="L119" s="8">
        <v>222766</v>
      </c>
      <c r="M119" s="8">
        <v>150548</v>
      </c>
      <c r="N119" s="8">
        <v>150061</v>
      </c>
      <c r="O119" s="8">
        <v>116988</v>
      </c>
      <c r="P119" s="8">
        <v>135470</v>
      </c>
      <c r="Q119" s="8">
        <v>141564</v>
      </c>
      <c r="R119" s="8">
        <v>120384</v>
      </c>
      <c r="S119" s="50">
        <v>207611</v>
      </c>
      <c r="T119" s="8">
        <v>111605</v>
      </c>
      <c r="U119" s="8">
        <v>112222</v>
      </c>
      <c r="V119" s="50">
        <v>178352</v>
      </c>
      <c r="W119" s="8"/>
      <c r="X119" s="8"/>
      <c r="Y119" s="8"/>
      <c r="Z119" s="8"/>
      <c r="AB119" s="37">
        <f>SUM(L119:Z119)</f>
        <v>1647571</v>
      </c>
      <c r="AC119" s="37">
        <f>SUM(L120:Z120)</f>
        <v>85262</v>
      </c>
      <c r="AD119" s="37">
        <f>SUM(L121:Z121)</f>
        <v>66709</v>
      </c>
      <c r="AF119" s="37">
        <f>AB119-B119</f>
        <v>0</v>
      </c>
      <c r="AG119" s="37">
        <f>AC119-C119</f>
        <v>0</v>
      </c>
      <c r="AH119" s="37">
        <f>AD119-D119</f>
        <v>0</v>
      </c>
      <c r="AJ119" s="38">
        <f>C119/B119*1000</f>
        <v>51.750121846038802</v>
      </c>
      <c r="AK119" s="38">
        <f>D119/B119*1000</f>
        <v>40.489302130226861</v>
      </c>
      <c r="AM119" s="38">
        <f>AJ119-H119</f>
        <v>-0.54987815396119544</v>
      </c>
      <c r="AN119" s="38">
        <f>AK119-I119</f>
        <v>-0.51069786977313925</v>
      </c>
    </row>
    <row r="120" spans="1:40">
      <c r="A120" s="4" t="s">
        <v>120</v>
      </c>
      <c r="B120" s="5"/>
      <c r="C120" s="5"/>
      <c r="D120" s="5"/>
      <c r="E120" s="5"/>
      <c r="F120" s="5"/>
      <c r="G120" s="5"/>
      <c r="H120" s="6" t="s">
        <v>9</v>
      </c>
      <c r="I120" s="6" t="s">
        <v>9</v>
      </c>
      <c r="J120" s="6"/>
      <c r="K120" s="5"/>
      <c r="L120" s="5">
        <v>10942</v>
      </c>
      <c r="M120" s="5">
        <v>8815</v>
      </c>
      <c r="N120" s="5">
        <v>8439</v>
      </c>
      <c r="O120" s="5">
        <v>6713</v>
      </c>
      <c r="P120" s="5">
        <v>6877</v>
      </c>
      <c r="Q120" s="5">
        <v>6408</v>
      </c>
      <c r="R120" s="5">
        <v>6265</v>
      </c>
      <c r="S120" s="5">
        <v>11261</v>
      </c>
      <c r="T120" s="5">
        <v>5667</v>
      </c>
      <c r="U120" s="5">
        <v>5078</v>
      </c>
      <c r="V120" s="5">
        <v>8797</v>
      </c>
      <c r="W120" s="5"/>
      <c r="X120" s="5"/>
      <c r="Y120" s="5"/>
      <c r="Z120" s="5"/>
    </row>
    <row r="121" spans="1:40">
      <c r="A121" s="4" t="s">
        <v>121</v>
      </c>
      <c r="B121" s="5"/>
      <c r="C121" s="5"/>
      <c r="D121" s="5"/>
      <c r="E121" s="5"/>
      <c r="F121" s="5"/>
      <c r="G121" s="5"/>
      <c r="H121" s="6" t="s">
        <v>9</v>
      </c>
      <c r="I121" s="6" t="s">
        <v>9</v>
      </c>
      <c r="J121" s="6"/>
      <c r="K121" s="5"/>
      <c r="L121" s="5">
        <v>9776</v>
      </c>
      <c r="M121" s="5">
        <v>6549</v>
      </c>
      <c r="N121" s="5">
        <v>7434</v>
      </c>
      <c r="O121" s="5">
        <v>5507</v>
      </c>
      <c r="P121" s="5">
        <v>4980</v>
      </c>
      <c r="Q121" s="5">
        <v>4912</v>
      </c>
      <c r="R121" s="5">
        <v>5502</v>
      </c>
      <c r="S121" s="5">
        <v>8918</v>
      </c>
      <c r="T121" s="5">
        <v>3969</v>
      </c>
      <c r="U121" s="5">
        <v>2707</v>
      </c>
      <c r="V121" s="5">
        <v>6455</v>
      </c>
      <c r="W121" s="5"/>
      <c r="X121" s="5"/>
      <c r="Y121" s="5"/>
      <c r="Z121" s="5"/>
    </row>
    <row r="122" spans="1:40">
      <c r="A122" s="7" t="s">
        <v>122</v>
      </c>
      <c r="B122" s="8">
        <v>1364216</v>
      </c>
      <c r="C122" s="8">
        <v>57057</v>
      </c>
      <c r="D122" s="8">
        <v>43006</v>
      </c>
      <c r="E122" s="8">
        <v>91833</v>
      </c>
      <c r="F122" s="8">
        <v>2581</v>
      </c>
      <c r="G122" s="8">
        <v>2616</v>
      </c>
      <c r="H122" s="12">
        <v>42.1</v>
      </c>
      <c r="I122" s="12">
        <v>31.8</v>
      </c>
      <c r="J122" s="12"/>
      <c r="K122" s="5"/>
      <c r="L122" s="8">
        <v>178137</v>
      </c>
      <c r="M122" s="8">
        <v>153908</v>
      </c>
      <c r="N122" s="8">
        <v>86481</v>
      </c>
      <c r="O122" s="8">
        <v>102144</v>
      </c>
      <c r="P122" s="8">
        <v>74672</v>
      </c>
      <c r="Q122" s="8">
        <v>125218</v>
      </c>
      <c r="R122" s="8">
        <v>86728</v>
      </c>
      <c r="S122" s="8">
        <v>202881</v>
      </c>
      <c r="T122" s="8">
        <v>102582</v>
      </c>
      <c r="U122" s="8">
        <v>93031</v>
      </c>
      <c r="V122" s="8">
        <v>158136</v>
      </c>
      <c r="W122" s="8"/>
      <c r="X122" s="8"/>
      <c r="Y122" s="8"/>
      <c r="Z122" s="8"/>
      <c r="AB122" s="37">
        <f>SUM(L122:Z122)</f>
        <v>1363918</v>
      </c>
      <c r="AC122" s="37">
        <f>SUM(L123:Z123)</f>
        <v>57057</v>
      </c>
      <c r="AD122" s="37">
        <f>SUM(L124:Z124)</f>
        <v>43006</v>
      </c>
      <c r="AF122" s="37">
        <f>AB122-B122</f>
        <v>-298</v>
      </c>
      <c r="AG122" s="37">
        <f>AC122-C122</f>
        <v>0</v>
      </c>
      <c r="AH122" s="37">
        <f>AD122-D122</f>
        <v>0</v>
      </c>
      <c r="AJ122" s="38">
        <f>C122/B122*1000</f>
        <v>41.824022002380858</v>
      </c>
      <c r="AK122" s="38">
        <f>D122/B122*1000</f>
        <v>31.524333390020352</v>
      </c>
      <c r="AM122" s="38">
        <f>AJ122-H122</f>
        <v>-0.27597799761914388</v>
      </c>
      <c r="AN122" s="38">
        <f>AK122-I122</f>
        <v>-0.27566660997964831</v>
      </c>
    </row>
    <row r="123" spans="1:40">
      <c r="A123" s="4" t="s">
        <v>123</v>
      </c>
      <c r="B123" s="5"/>
      <c r="C123" s="5"/>
      <c r="D123" s="5"/>
      <c r="E123" s="5"/>
      <c r="F123" s="5"/>
      <c r="G123" s="5"/>
      <c r="H123" s="6" t="s">
        <v>9</v>
      </c>
      <c r="I123" s="6" t="s">
        <v>9</v>
      </c>
      <c r="J123" s="6"/>
      <c r="K123" s="5"/>
      <c r="L123" s="5">
        <v>6231</v>
      </c>
      <c r="M123" s="5">
        <v>6384</v>
      </c>
      <c r="N123" s="5">
        <v>3881</v>
      </c>
      <c r="O123" s="5">
        <v>3830</v>
      </c>
      <c r="P123" s="5">
        <v>3571</v>
      </c>
      <c r="Q123" s="5">
        <v>5965</v>
      </c>
      <c r="R123" s="5">
        <v>4160</v>
      </c>
      <c r="S123" s="5">
        <v>6989</v>
      </c>
      <c r="T123" s="5">
        <v>4295</v>
      </c>
      <c r="U123" s="5">
        <v>4478</v>
      </c>
      <c r="V123" s="5">
        <v>7273</v>
      </c>
      <c r="W123" s="5"/>
      <c r="X123" s="5"/>
      <c r="Y123" s="5"/>
      <c r="Z123" s="5"/>
    </row>
    <row r="124" spans="1:40">
      <c r="A124" s="4" t="s">
        <v>124</v>
      </c>
      <c r="B124" s="5"/>
      <c r="C124" s="5"/>
      <c r="D124" s="5"/>
      <c r="E124" s="5"/>
      <c r="F124" s="5"/>
      <c r="G124" s="5"/>
      <c r="H124" s="6" t="s">
        <v>9</v>
      </c>
      <c r="I124" s="6" t="s">
        <v>9</v>
      </c>
      <c r="J124" s="6"/>
      <c r="K124" s="5"/>
      <c r="L124" s="5">
        <v>5797</v>
      </c>
      <c r="M124" s="5">
        <v>4981</v>
      </c>
      <c r="N124" s="5">
        <v>2144</v>
      </c>
      <c r="O124" s="5">
        <v>3191</v>
      </c>
      <c r="P124" s="5">
        <v>2967</v>
      </c>
      <c r="Q124" s="5">
        <v>3565</v>
      </c>
      <c r="R124" s="5">
        <v>3480</v>
      </c>
      <c r="S124" s="5">
        <v>6360</v>
      </c>
      <c r="T124" s="5">
        <v>2741</v>
      </c>
      <c r="U124" s="5">
        <v>3432</v>
      </c>
      <c r="V124" s="5">
        <v>4348</v>
      </c>
      <c r="W124" s="5"/>
      <c r="X124" s="5"/>
      <c r="Y124" s="5"/>
      <c r="Z124" s="5"/>
    </row>
    <row r="125" spans="1:40">
      <c r="A125" s="7" t="s">
        <v>125</v>
      </c>
      <c r="B125" s="8">
        <v>376102</v>
      </c>
      <c r="C125" s="8">
        <v>16686</v>
      </c>
      <c r="D125" s="8">
        <v>11628</v>
      </c>
      <c r="E125" s="8">
        <v>25882</v>
      </c>
      <c r="F125" s="8">
        <v>926</v>
      </c>
      <c r="G125" s="8">
        <v>881</v>
      </c>
      <c r="H125" s="12">
        <v>44.4</v>
      </c>
      <c r="I125" s="12">
        <v>31</v>
      </c>
      <c r="J125" s="12"/>
      <c r="K125" s="5"/>
      <c r="L125" s="8">
        <v>86064</v>
      </c>
      <c r="M125" s="8">
        <v>54275</v>
      </c>
      <c r="N125" s="8">
        <v>82631</v>
      </c>
      <c r="O125" s="8">
        <v>46454</v>
      </c>
      <c r="P125" s="8">
        <v>27785</v>
      </c>
      <c r="Q125" s="8">
        <v>42180</v>
      </c>
      <c r="R125" s="8">
        <v>36713</v>
      </c>
      <c r="S125" s="8"/>
      <c r="T125" s="8"/>
      <c r="U125" s="8"/>
      <c r="V125" s="8"/>
      <c r="W125" s="8"/>
      <c r="X125" s="8"/>
      <c r="Y125" s="8"/>
      <c r="Z125" s="8"/>
      <c r="AB125" s="37">
        <f>SUM(L125:Z125)</f>
        <v>376102</v>
      </c>
      <c r="AC125" s="37">
        <f>SUM(L126:Z126)</f>
        <v>16685</v>
      </c>
      <c r="AD125" s="37">
        <f>SUM(L127:Z127)</f>
        <v>11628</v>
      </c>
      <c r="AF125" s="37">
        <f>AB125-B125</f>
        <v>0</v>
      </c>
      <c r="AG125" s="37">
        <f>AC125-C125</f>
        <v>-1</v>
      </c>
      <c r="AH125" s="37">
        <f>AD125-D125</f>
        <v>0</v>
      </c>
      <c r="AJ125" s="38">
        <f>C125/B125*1000</f>
        <v>44.365624218961877</v>
      </c>
      <c r="AK125" s="38">
        <f>D125/B125*1000</f>
        <v>30.917144817097491</v>
      </c>
      <c r="AM125" s="38">
        <f>AJ125-H125</f>
        <v>-3.4375781038122E-2</v>
      </c>
      <c r="AN125" s="38">
        <f>AK125-I125</f>
        <v>-8.2855182902509483E-2</v>
      </c>
    </row>
    <row r="126" spans="1:40">
      <c r="A126" s="4" t="s">
        <v>126</v>
      </c>
      <c r="B126" s="5"/>
      <c r="C126" s="5"/>
      <c r="D126" s="5"/>
      <c r="E126" s="5"/>
      <c r="F126" s="5"/>
      <c r="G126" s="5"/>
      <c r="H126" s="6" t="s">
        <v>9</v>
      </c>
      <c r="I126" s="6" t="s">
        <v>9</v>
      </c>
      <c r="J126" s="6"/>
      <c r="K126" s="5"/>
      <c r="L126" s="5">
        <v>3826</v>
      </c>
      <c r="M126" s="5">
        <v>2470</v>
      </c>
      <c r="N126" s="5">
        <v>3767</v>
      </c>
      <c r="O126" s="5">
        <v>2090</v>
      </c>
      <c r="P126" s="5">
        <v>1100</v>
      </c>
      <c r="Q126" s="5">
        <v>1762</v>
      </c>
      <c r="R126" s="5">
        <v>1670</v>
      </c>
      <c r="S126" s="5"/>
      <c r="T126" s="5"/>
      <c r="U126" s="5"/>
      <c r="V126" s="5"/>
      <c r="W126" s="5"/>
      <c r="X126" s="5"/>
      <c r="Y126" s="5"/>
      <c r="Z126" s="5"/>
    </row>
    <row r="127" spans="1:40">
      <c r="A127" s="4" t="s">
        <v>127</v>
      </c>
      <c r="B127" s="5"/>
      <c r="C127" s="5"/>
      <c r="D127" s="5"/>
      <c r="E127" s="5"/>
      <c r="F127" s="5"/>
      <c r="G127" s="5"/>
      <c r="H127" s="6" t="s">
        <v>9</v>
      </c>
      <c r="I127" s="6" t="s">
        <v>9</v>
      </c>
      <c r="J127" s="6"/>
      <c r="K127" s="5"/>
      <c r="L127" s="5">
        <v>2979</v>
      </c>
      <c r="M127" s="5">
        <v>1708</v>
      </c>
      <c r="N127" s="5">
        <v>2247</v>
      </c>
      <c r="O127" s="5">
        <v>1559</v>
      </c>
      <c r="P127" s="5">
        <v>736</v>
      </c>
      <c r="Q127" s="5">
        <v>1313</v>
      </c>
      <c r="R127" s="5">
        <v>1086</v>
      </c>
      <c r="S127" s="5"/>
      <c r="T127" s="5"/>
      <c r="U127" s="5"/>
      <c r="V127" s="5"/>
      <c r="W127" s="5"/>
      <c r="X127" s="5"/>
      <c r="Y127" s="5"/>
      <c r="Z127" s="5"/>
    </row>
    <row r="128" spans="1:40">
      <c r="A128" s="7" t="s">
        <v>128</v>
      </c>
      <c r="B128" s="8">
        <v>2235047</v>
      </c>
      <c r="C128" s="8">
        <v>111099</v>
      </c>
      <c r="D128" s="8">
        <v>79614</v>
      </c>
      <c r="E128" s="8">
        <v>245442</v>
      </c>
      <c r="F128" s="8">
        <v>7486</v>
      </c>
      <c r="G128" s="8">
        <v>6060</v>
      </c>
      <c r="H128" s="12">
        <v>49.7</v>
      </c>
      <c r="I128" s="12">
        <v>35.6</v>
      </c>
      <c r="J128" s="12"/>
      <c r="K128" s="5"/>
      <c r="L128" s="8">
        <v>233390</v>
      </c>
      <c r="M128" s="8">
        <v>158960</v>
      </c>
      <c r="N128" s="8">
        <v>178335</v>
      </c>
      <c r="O128" s="8">
        <v>111769</v>
      </c>
      <c r="P128" s="8">
        <v>305410</v>
      </c>
      <c r="Q128" s="8">
        <v>140781</v>
      </c>
      <c r="R128" s="8">
        <v>122368</v>
      </c>
      <c r="S128" s="8">
        <v>367309</v>
      </c>
      <c r="T128" s="8">
        <v>195765</v>
      </c>
      <c r="U128" s="8">
        <v>111415</v>
      </c>
      <c r="V128" s="8">
        <v>167038</v>
      </c>
      <c r="W128" s="8">
        <v>142508</v>
      </c>
      <c r="X128" s="8"/>
      <c r="Y128" s="8"/>
      <c r="Z128" s="8"/>
      <c r="AB128" s="37">
        <f>SUM(L128:Z128)</f>
        <v>2235048</v>
      </c>
      <c r="AC128" s="37">
        <f>SUM(L129:Z129)</f>
        <v>111099</v>
      </c>
      <c r="AD128" s="37">
        <f>SUM(L130:Z130)</f>
        <v>80614</v>
      </c>
      <c r="AF128" s="37">
        <f>AB128-B128</f>
        <v>1</v>
      </c>
      <c r="AG128" s="37">
        <f>AC128-C128</f>
        <v>0</v>
      </c>
      <c r="AH128" s="37">
        <f>AD128-D128</f>
        <v>1000</v>
      </c>
      <c r="AJ128" s="38">
        <f>C128/B128*1000</f>
        <v>49.707679525307526</v>
      </c>
      <c r="AK128" s="38">
        <f>D128/B128*1000</f>
        <v>35.620727438841328</v>
      </c>
      <c r="AM128" s="38">
        <f>AJ128-H128</f>
        <v>7.6795253075232495E-3</v>
      </c>
      <c r="AN128" s="38">
        <f>AK128-I128</f>
        <v>2.0727438841326773E-2</v>
      </c>
    </row>
    <row r="129" spans="1:40">
      <c r="A129" s="4" t="s">
        <v>129</v>
      </c>
      <c r="B129" s="5"/>
      <c r="C129" s="5"/>
      <c r="D129" s="5"/>
      <c r="E129" s="5"/>
      <c r="F129" s="5"/>
      <c r="G129" s="5"/>
      <c r="H129" s="6" t="s">
        <v>9</v>
      </c>
      <c r="I129" s="6" t="s">
        <v>9</v>
      </c>
      <c r="J129" s="6"/>
      <c r="K129" s="5"/>
      <c r="L129" s="5">
        <v>10622</v>
      </c>
      <c r="M129" s="5">
        <v>8733</v>
      </c>
      <c r="N129" s="5">
        <v>10479</v>
      </c>
      <c r="O129" s="5">
        <v>5758</v>
      </c>
      <c r="P129" s="5">
        <v>15663</v>
      </c>
      <c r="Q129" s="5">
        <v>7954</v>
      </c>
      <c r="R129" s="5">
        <v>5852</v>
      </c>
      <c r="S129" s="5">
        <v>16699</v>
      </c>
      <c r="T129" s="5">
        <v>7138</v>
      </c>
      <c r="U129" s="5">
        <v>5529</v>
      </c>
      <c r="V129" s="5">
        <v>8706</v>
      </c>
      <c r="W129" s="5">
        <v>7966</v>
      </c>
      <c r="X129" s="5"/>
      <c r="Y129" s="5"/>
      <c r="Z129" s="5"/>
    </row>
    <row r="130" spans="1:40">
      <c r="A130" s="4" t="s">
        <v>130</v>
      </c>
      <c r="B130" s="5"/>
      <c r="C130" s="5"/>
      <c r="D130" s="5"/>
      <c r="E130" s="5"/>
      <c r="F130" s="5"/>
      <c r="G130" s="5"/>
      <c r="H130" s="6" t="s">
        <v>9</v>
      </c>
      <c r="I130" s="6" t="s">
        <v>9</v>
      </c>
      <c r="J130" s="6"/>
      <c r="K130" s="5"/>
      <c r="L130" s="5">
        <v>8023</v>
      </c>
      <c r="M130" s="5">
        <v>6588</v>
      </c>
      <c r="N130" s="5">
        <v>5722</v>
      </c>
      <c r="O130" s="5">
        <v>3865</v>
      </c>
      <c r="P130" s="5">
        <v>12646</v>
      </c>
      <c r="Q130" s="5">
        <v>5301</v>
      </c>
      <c r="R130" s="5">
        <v>3897</v>
      </c>
      <c r="S130" s="5">
        <v>12977</v>
      </c>
      <c r="T130" s="5">
        <v>7394</v>
      </c>
      <c r="U130" s="5">
        <v>4399</v>
      </c>
      <c r="V130" s="5">
        <v>4967</v>
      </c>
      <c r="W130" s="5">
        <v>4835</v>
      </c>
      <c r="X130" s="5"/>
      <c r="Y130" s="5"/>
      <c r="Z130" s="5"/>
    </row>
    <row r="131" spans="1:40">
      <c r="A131" s="7" t="s">
        <v>131</v>
      </c>
      <c r="B131" s="8">
        <v>1617454</v>
      </c>
      <c r="C131" s="8">
        <v>83327</v>
      </c>
      <c r="D131" s="8">
        <v>68718</v>
      </c>
      <c r="E131" s="8">
        <v>138874</v>
      </c>
      <c r="F131" s="8">
        <v>6768</v>
      </c>
      <c r="G131" s="8">
        <v>6223</v>
      </c>
      <c r="H131" s="12">
        <v>51.5</v>
      </c>
      <c r="I131" s="12">
        <v>42.5</v>
      </c>
      <c r="J131" s="12"/>
      <c r="K131" s="5"/>
      <c r="L131" s="8">
        <v>164393</v>
      </c>
      <c r="M131" s="8">
        <v>179700</v>
      </c>
      <c r="N131" s="8">
        <v>212014</v>
      </c>
      <c r="O131" s="8">
        <v>131132</v>
      </c>
      <c r="P131" s="8">
        <v>190653</v>
      </c>
      <c r="Q131" s="8">
        <v>116503</v>
      </c>
      <c r="R131" s="8">
        <v>134363</v>
      </c>
      <c r="S131" s="8">
        <v>170684</v>
      </c>
      <c r="T131" s="8">
        <v>159405</v>
      </c>
      <c r="U131" s="8">
        <v>158607</v>
      </c>
      <c r="V131" s="8"/>
      <c r="W131" s="8"/>
      <c r="X131" s="8"/>
      <c r="Y131" s="8"/>
      <c r="Z131" s="8"/>
      <c r="AB131" s="37">
        <f>SUM(L131:Z131)</f>
        <v>1617454</v>
      </c>
      <c r="AC131" s="37">
        <f>SUM(L132:Z132)</f>
        <v>83344</v>
      </c>
      <c r="AD131" s="37">
        <f>SUM(L133:Z133)</f>
        <v>68718</v>
      </c>
      <c r="AF131" s="37">
        <f>AB131-B131</f>
        <v>0</v>
      </c>
      <c r="AG131" s="37">
        <f>AC131-C131</f>
        <v>17</v>
      </c>
      <c r="AH131" s="37">
        <f>AD131-D131</f>
        <v>0</v>
      </c>
      <c r="AJ131" s="38">
        <f>C131/B131*1000</f>
        <v>51.517384729333877</v>
      </c>
      <c r="AK131" s="38">
        <f>D131/B131*1000</f>
        <v>42.485288607898589</v>
      </c>
      <c r="AM131" s="38">
        <f>AJ131-H131</f>
        <v>1.7384729333876692E-2</v>
      </c>
      <c r="AN131" s="38">
        <f>AK131-I131</f>
        <v>-1.4711392101411036E-2</v>
      </c>
    </row>
    <row r="132" spans="1:40">
      <c r="A132" s="4" t="s">
        <v>132</v>
      </c>
      <c r="B132" s="5"/>
      <c r="C132" s="5"/>
      <c r="D132" s="5"/>
      <c r="E132" s="5"/>
      <c r="F132" s="5"/>
      <c r="G132" s="5"/>
      <c r="H132" s="6" t="s">
        <v>9</v>
      </c>
      <c r="I132" s="6" t="s">
        <v>9</v>
      </c>
      <c r="J132" s="6"/>
      <c r="K132" s="5"/>
      <c r="L132" s="5">
        <v>8636</v>
      </c>
      <c r="M132" s="5">
        <v>9833</v>
      </c>
      <c r="N132" s="5">
        <v>10753</v>
      </c>
      <c r="O132" s="5">
        <v>5940</v>
      </c>
      <c r="P132" s="5">
        <v>9507</v>
      </c>
      <c r="Q132" s="5">
        <v>6807</v>
      </c>
      <c r="R132" s="5">
        <v>6992</v>
      </c>
      <c r="S132" s="5">
        <v>8211</v>
      </c>
      <c r="T132" s="5">
        <v>7879</v>
      </c>
      <c r="U132" s="5">
        <v>8786</v>
      </c>
      <c r="V132" s="5"/>
      <c r="W132" s="5"/>
      <c r="X132" s="5"/>
      <c r="Y132" s="5"/>
      <c r="Z132" s="5"/>
    </row>
    <row r="133" spans="1:40">
      <c r="A133" s="4" t="s">
        <v>133</v>
      </c>
      <c r="B133" s="5"/>
      <c r="C133" s="5"/>
      <c r="D133" s="5"/>
      <c r="E133" s="5"/>
      <c r="F133" s="5"/>
      <c r="G133" s="5"/>
      <c r="H133" s="6" t="s">
        <v>9</v>
      </c>
      <c r="I133" s="6" t="s">
        <v>9</v>
      </c>
      <c r="J133" s="6"/>
      <c r="K133" s="5"/>
      <c r="L133" s="5">
        <v>8316</v>
      </c>
      <c r="M133" s="5">
        <v>6998</v>
      </c>
      <c r="N133" s="5">
        <v>8344</v>
      </c>
      <c r="O133" s="5">
        <v>4965</v>
      </c>
      <c r="P133" s="5">
        <v>6254</v>
      </c>
      <c r="Q133" s="5">
        <v>6468</v>
      </c>
      <c r="R133" s="5">
        <v>5772</v>
      </c>
      <c r="S133" s="5">
        <v>7453</v>
      </c>
      <c r="T133" s="5">
        <v>5596</v>
      </c>
      <c r="U133" s="5">
        <v>8552</v>
      </c>
      <c r="V133" s="5"/>
      <c r="W133" s="5"/>
      <c r="X133" s="5"/>
      <c r="Y133" s="5"/>
      <c r="Z133" s="5"/>
    </row>
    <row r="134" spans="1:40">
      <c r="A134" s="7" t="s">
        <v>134</v>
      </c>
      <c r="B134" s="8">
        <v>2956375</v>
      </c>
      <c r="C134" s="8">
        <v>169088</v>
      </c>
      <c r="D134" s="8">
        <v>121294</v>
      </c>
      <c r="E134" s="8">
        <v>158331</v>
      </c>
      <c r="F134" s="8">
        <v>5928</v>
      </c>
      <c r="G134" s="8">
        <v>4977</v>
      </c>
      <c r="H134" s="12">
        <v>57.2</v>
      </c>
      <c r="I134" s="12">
        <v>41</v>
      </c>
      <c r="J134" s="12"/>
      <c r="K134" s="5"/>
      <c r="L134" s="8">
        <v>252271</v>
      </c>
      <c r="M134" s="8">
        <v>246651</v>
      </c>
      <c r="N134" s="8">
        <v>414919</v>
      </c>
      <c r="O134" s="8">
        <v>154845</v>
      </c>
      <c r="P134" s="8">
        <v>263544</v>
      </c>
      <c r="Q134" s="8">
        <v>254068</v>
      </c>
      <c r="R134" s="8">
        <v>134405</v>
      </c>
      <c r="S134" s="8">
        <v>299543</v>
      </c>
      <c r="T134" s="8">
        <v>272592</v>
      </c>
      <c r="U134" s="8">
        <v>223957</v>
      </c>
      <c r="V134" s="8">
        <v>102924</v>
      </c>
      <c r="W134" s="8">
        <v>336656</v>
      </c>
      <c r="X134" s="8"/>
      <c r="Y134" s="8"/>
      <c r="Z134" s="8"/>
      <c r="AB134" s="37">
        <f>SUM(L134:Z134)</f>
        <v>2956375</v>
      </c>
      <c r="AC134" s="37">
        <f>SUM(L135:Z135)</f>
        <v>169088</v>
      </c>
      <c r="AD134" s="37">
        <f>SUM(L136:Z136)</f>
        <v>121294</v>
      </c>
      <c r="AF134" s="37">
        <f>AB134-B134</f>
        <v>0</v>
      </c>
      <c r="AG134" s="37">
        <f>AC134-C134</f>
        <v>0</v>
      </c>
      <c r="AH134" s="37">
        <f>AD134-D134</f>
        <v>0</v>
      </c>
      <c r="AJ134" s="38">
        <f>C134/B134*1000</f>
        <v>57.194368102828633</v>
      </c>
      <c r="AK134" s="38">
        <f>D134/B134*1000</f>
        <v>41.027948078305357</v>
      </c>
      <c r="AM134" s="38">
        <f>AJ134-H134</f>
        <v>-5.63189717136936E-3</v>
      </c>
      <c r="AN134" s="38">
        <f>AK134-I134</f>
        <v>2.7948078305357171E-2</v>
      </c>
    </row>
    <row r="135" spans="1:40">
      <c r="A135" s="4" t="s">
        <v>135</v>
      </c>
      <c r="B135" s="5"/>
      <c r="C135" s="5"/>
      <c r="D135" s="5"/>
      <c r="E135" s="5"/>
      <c r="F135" s="5"/>
      <c r="G135" s="5"/>
      <c r="H135" s="6" t="s">
        <v>9</v>
      </c>
      <c r="I135" s="6" t="s">
        <v>9</v>
      </c>
      <c r="J135" s="6"/>
      <c r="K135" s="5"/>
      <c r="L135" s="5">
        <v>14466</v>
      </c>
      <c r="M135" s="5">
        <v>14159</v>
      </c>
      <c r="N135" s="5">
        <v>22824</v>
      </c>
      <c r="O135" s="5">
        <v>9182</v>
      </c>
      <c r="P135" s="5">
        <v>14912</v>
      </c>
      <c r="Q135" s="5">
        <v>14394</v>
      </c>
      <c r="R135" s="5">
        <v>8384</v>
      </c>
      <c r="S135" s="5">
        <v>18501</v>
      </c>
      <c r="T135" s="5">
        <v>14556</v>
      </c>
      <c r="U135" s="5">
        <v>13606</v>
      </c>
      <c r="V135" s="5">
        <v>6463</v>
      </c>
      <c r="W135" s="5">
        <v>17641</v>
      </c>
      <c r="X135" s="5"/>
      <c r="Y135" s="5"/>
      <c r="Z135" s="5"/>
    </row>
    <row r="136" spans="1:40">
      <c r="A136" s="4" t="s">
        <v>136</v>
      </c>
      <c r="B136" s="5"/>
      <c r="C136" s="5"/>
      <c r="D136" s="5"/>
      <c r="E136" s="5"/>
      <c r="F136" s="5"/>
      <c r="G136" s="5"/>
      <c r="H136" s="6" t="s">
        <v>9</v>
      </c>
      <c r="I136" s="6" t="s">
        <v>9</v>
      </c>
      <c r="J136" s="6"/>
      <c r="K136" s="5"/>
      <c r="L136" s="5">
        <v>11353</v>
      </c>
      <c r="M136" s="5">
        <v>9651</v>
      </c>
      <c r="N136" s="5">
        <v>16603</v>
      </c>
      <c r="O136" s="5">
        <v>6995</v>
      </c>
      <c r="P136" s="5">
        <v>11100</v>
      </c>
      <c r="Q136" s="5">
        <v>8924</v>
      </c>
      <c r="R136" s="5">
        <v>6729</v>
      </c>
      <c r="S136" s="5">
        <v>12125</v>
      </c>
      <c r="T136" s="5">
        <v>10922</v>
      </c>
      <c r="U136" s="5">
        <v>10264</v>
      </c>
      <c r="V136" s="5">
        <v>3454</v>
      </c>
      <c r="W136" s="5">
        <v>13174</v>
      </c>
      <c r="X136" s="5"/>
      <c r="Y136" s="5"/>
      <c r="Z136" s="5"/>
    </row>
    <row r="137" spans="1:40">
      <c r="A137" s="7" t="s">
        <v>137</v>
      </c>
      <c r="B137" s="8">
        <v>3144051</v>
      </c>
      <c r="C137" s="8">
        <v>132033</v>
      </c>
      <c r="D137" s="8">
        <v>90570</v>
      </c>
      <c r="E137" s="8">
        <v>264987</v>
      </c>
      <c r="F137" s="8">
        <v>10967</v>
      </c>
      <c r="G137" s="8">
        <v>7694</v>
      </c>
      <c r="H137" s="12">
        <v>42</v>
      </c>
      <c r="I137" s="12">
        <v>28.8</v>
      </c>
      <c r="J137" s="12"/>
      <c r="K137" s="5"/>
      <c r="L137" s="8">
        <v>250379</v>
      </c>
      <c r="M137" s="8">
        <v>184491</v>
      </c>
      <c r="N137" s="8">
        <v>255859</v>
      </c>
      <c r="O137" s="8">
        <v>161884</v>
      </c>
      <c r="P137" s="8">
        <v>268610</v>
      </c>
      <c r="Q137" s="8">
        <v>219044</v>
      </c>
      <c r="R137" s="8">
        <v>275082</v>
      </c>
      <c r="S137" s="8">
        <v>162065</v>
      </c>
      <c r="T137" s="8">
        <v>145780</v>
      </c>
      <c r="U137" s="8">
        <v>175143</v>
      </c>
      <c r="V137" s="8">
        <v>216868</v>
      </c>
      <c r="W137" s="8">
        <v>184123</v>
      </c>
      <c r="X137" s="50">
        <v>231455</v>
      </c>
      <c r="Y137" s="8">
        <v>224772</v>
      </c>
      <c r="Z137" s="8">
        <v>188496</v>
      </c>
      <c r="AB137" s="37">
        <f>SUM(L137:Z137)</f>
        <v>3144051</v>
      </c>
      <c r="AC137" s="37">
        <f>SUM(L138:Z138)</f>
        <v>132033</v>
      </c>
      <c r="AD137" s="37">
        <f>SUM(L139:Z139)</f>
        <v>90567</v>
      </c>
      <c r="AF137" s="37">
        <f>AB137-B137</f>
        <v>0</v>
      </c>
      <c r="AG137" s="37">
        <f>AC137-C137</f>
        <v>0</v>
      </c>
      <c r="AH137" s="37">
        <f>AD137-D137</f>
        <v>-3</v>
      </c>
      <c r="AJ137" s="38">
        <f>C137/B137*1000</f>
        <v>41.994547798365865</v>
      </c>
      <c r="AK137" s="38">
        <f>D137/B137*1000</f>
        <v>28.806784622768522</v>
      </c>
      <c r="AM137" s="38">
        <f>AJ137-H137</f>
        <v>-5.4522016341351787E-3</v>
      </c>
      <c r="AN137" s="38">
        <f>AK137-I137</f>
        <v>6.784622768520876E-3</v>
      </c>
    </row>
    <row r="138" spans="1:40">
      <c r="A138" s="4" t="s">
        <v>138</v>
      </c>
      <c r="B138" s="5"/>
      <c r="C138" s="5"/>
      <c r="D138" s="5"/>
      <c r="E138" s="5"/>
      <c r="F138" s="5"/>
      <c r="G138" s="5"/>
      <c r="H138" s="6" t="s">
        <v>9</v>
      </c>
      <c r="I138" s="6" t="s">
        <v>9</v>
      </c>
      <c r="J138" s="6"/>
      <c r="K138" s="5"/>
      <c r="L138" s="5">
        <v>10250</v>
      </c>
      <c r="M138" s="5">
        <v>6498</v>
      </c>
      <c r="N138" s="5">
        <v>11614</v>
      </c>
      <c r="O138" s="5">
        <v>6657</v>
      </c>
      <c r="P138" s="5">
        <v>10054</v>
      </c>
      <c r="Q138" s="5">
        <v>12457</v>
      </c>
      <c r="R138" s="5">
        <v>10793</v>
      </c>
      <c r="S138" s="5">
        <v>6728</v>
      </c>
      <c r="T138" s="5">
        <v>6944</v>
      </c>
      <c r="U138" s="5">
        <v>7053</v>
      </c>
      <c r="V138" s="5">
        <v>9053</v>
      </c>
      <c r="W138" s="5">
        <v>8097</v>
      </c>
      <c r="X138" s="5">
        <v>9221</v>
      </c>
      <c r="Y138" s="5">
        <v>8060</v>
      </c>
      <c r="Z138" s="5">
        <v>8554</v>
      </c>
    </row>
    <row r="139" spans="1:40">
      <c r="A139" s="4" t="s">
        <v>139</v>
      </c>
      <c r="B139" s="5"/>
      <c r="C139" s="5"/>
      <c r="D139" s="5"/>
      <c r="E139" s="5"/>
      <c r="F139" s="5"/>
      <c r="G139" s="5"/>
      <c r="H139" s="6" t="s">
        <v>9</v>
      </c>
      <c r="I139" s="6" t="s">
        <v>9</v>
      </c>
      <c r="J139" s="6"/>
      <c r="K139" s="5"/>
      <c r="L139" s="5">
        <v>6482</v>
      </c>
      <c r="M139" s="5">
        <v>4611</v>
      </c>
      <c r="N139" s="5">
        <v>7532</v>
      </c>
      <c r="O139" s="5">
        <v>4631</v>
      </c>
      <c r="P139" s="5">
        <v>6107</v>
      </c>
      <c r="Q139" s="5">
        <v>8139</v>
      </c>
      <c r="R139" s="5">
        <v>6972</v>
      </c>
      <c r="S139" s="5">
        <v>5186</v>
      </c>
      <c r="T139" s="5">
        <v>5411</v>
      </c>
      <c r="U139" s="5">
        <v>6181</v>
      </c>
      <c r="V139" s="5">
        <v>7169</v>
      </c>
      <c r="W139" s="5">
        <v>5431</v>
      </c>
      <c r="X139" s="5">
        <v>6256</v>
      </c>
      <c r="Y139" s="5">
        <v>5117</v>
      </c>
      <c r="Z139" s="5">
        <v>5342</v>
      </c>
    </row>
    <row r="140" spans="1:40">
      <c r="A140" s="7" t="s">
        <v>140</v>
      </c>
      <c r="B140" s="8">
        <v>1095829</v>
      </c>
      <c r="C140" s="8">
        <v>47490</v>
      </c>
      <c r="D140" s="8">
        <v>33822</v>
      </c>
      <c r="E140" s="9" t="s">
        <v>9</v>
      </c>
      <c r="F140" s="9" t="s">
        <v>9</v>
      </c>
      <c r="G140" s="9" t="s">
        <v>9</v>
      </c>
      <c r="H140" s="10">
        <v>42.8</v>
      </c>
      <c r="I140" s="10">
        <v>30.5</v>
      </c>
      <c r="J140" s="10"/>
      <c r="K140" s="11"/>
      <c r="L140" s="8">
        <v>228849</v>
      </c>
      <c r="M140" s="8">
        <v>118283</v>
      </c>
      <c r="N140" s="8">
        <v>110476</v>
      </c>
      <c r="O140" s="8">
        <v>136268</v>
      </c>
      <c r="P140" s="8">
        <v>168515</v>
      </c>
      <c r="Q140" s="8">
        <v>173610</v>
      </c>
      <c r="R140" s="8">
        <v>81397</v>
      </c>
      <c r="S140" s="8">
        <v>78455</v>
      </c>
      <c r="T140" s="8"/>
      <c r="U140" s="8"/>
      <c r="V140" s="8"/>
      <c r="W140" s="8"/>
      <c r="X140" s="8"/>
      <c r="Y140" s="8"/>
      <c r="Z140" s="8"/>
      <c r="AB140" s="37">
        <f>SUM(L140:Z140)</f>
        <v>1095853</v>
      </c>
      <c r="AC140" s="37">
        <f>SUM(L141:Z141)</f>
        <v>47490</v>
      </c>
      <c r="AD140" s="37">
        <f>SUM(L142:Z142)</f>
        <v>36291</v>
      </c>
      <c r="AF140" s="37">
        <f>AB140-B140</f>
        <v>24</v>
      </c>
      <c r="AG140" s="37">
        <f>AC140-C140</f>
        <v>0</v>
      </c>
      <c r="AH140" s="37">
        <f>AD140-D140</f>
        <v>2469</v>
      </c>
      <c r="AJ140" s="38">
        <f>C140/B140*1000</f>
        <v>43.337053500135518</v>
      </c>
      <c r="AK140" s="38">
        <f>D140/B140*1000</f>
        <v>30.864304558466696</v>
      </c>
      <c r="AM140" s="38">
        <f>AJ140-H140</f>
        <v>0.53705350013552078</v>
      </c>
      <c r="AN140" s="38">
        <f>AK140-I140</f>
        <v>0.36430455846669574</v>
      </c>
    </row>
    <row r="141" spans="1:40">
      <c r="A141" s="4" t="s">
        <v>141</v>
      </c>
      <c r="B141" s="5"/>
      <c r="C141" s="5"/>
      <c r="D141" s="5"/>
      <c r="E141" s="5"/>
      <c r="F141" s="5"/>
      <c r="G141" s="5"/>
      <c r="H141" s="6" t="s">
        <v>9</v>
      </c>
      <c r="I141" s="6" t="s">
        <v>9</v>
      </c>
      <c r="J141" s="6"/>
      <c r="K141" s="5"/>
      <c r="L141" s="5">
        <v>9168</v>
      </c>
      <c r="M141" s="5">
        <v>5934</v>
      </c>
      <c r="N141" s="5">
        <v>4776</v>
      </c>
      <c r="O141" s="5">
        <v>5940</v>
      </c>
      <c r="P141" s="5">
        <v>6749</v>
      </c>
      <c r="Q141" s="5">
        <v>6587</v>
      </c>
      <c r="R141" s="5">
        <v>4215</v>
      </c>
      <c r="S141" s="5">
        <v>4121</v>
      </c>
      <c r="T141" s="5"/>
      <c r="U141" s="5"/>
      <c r="V141" s="5"/>
      <c r="W141" s="5"/>
      <c r="X141" s="5"/>
      <c r="Y141" s="5"/>
      <c r="Z141" s="5"/>
    </row>
    <row r="142" spans="1:40">
      <c r="A142" s="4" t="s">
        <v>142</v>
      </c>
      <c r="B142" s="5"/>
      <c r="C142" s="5"/>
      <c r="D142" s="5"/>
      <c r="E142" s="5"/>
      <c r="F142" s="5"/>
      <c r="G142" s="5"/>
      <c r="H142" s="6" t="s">
        <v>9</v>
      </c>
      <c r="I142" s="6" t="s">
        <v>9</v>
      </c>
      <c r="J142" s="6"/>
      <c r="K142" s="5"/>
      <c r="L142" s="5">
        <v>7094</v>
      </c>
      <c r="M142" s="5">
        <v>4475</v>
      </c>
      <c r="N142" s="5">
        <v>3200</v>
      </c>
      <c r="O142" s="5">
        <v>3699</v>
      </c>
      <c r="P142" s="5">
        <v>4347</v>
      </c>
      <c r="Q142" s="5">
        <v>6587</v>
      </c>
      <c r="R142" s="5">
        <v>2768</v>
      </c>
      <c r="S142" s="5">
        <v>4121</v>
      </c>
      <c r="T142" s="5"/>
      <c r="U142" s="5"/>
      <c r="V142" s="5"/>
      <c r="W142" s="5"/>
      <c r="X142" s="5"/>
      <c r="Y142" s="5"/>
      <c r="Z142" s="5"/>
    </row>
    <row r="143" spans="1:40">
      <c r="A143" s="7" t="s">
        <v>143</v>
      </c>
      <c r="B143" s="8">
        <v>1983222</v>
      </c>
      <c r="C143" s="8">
        <v>95943</v>
      </c>
      <c r="D143" s="8">
        <v>67860</v>
      </c>
      <c r="E143" s="8">
        <v>123053</v>
      </c>
      <c r="F143" s="8">
        <v>6053</v>
      </c>
      <c r="G143" s="8">
        <v>5554</v>
      </c>
      <c r="H143" s="12">
        <v>48.4</v>
      </c>
      <c r="I143" s="12">
        <v>34.200000000000003</v>
      </c>
      <c r="J143" s="12"/>
      <c r="K143" s="5"/>
      <c r="L143" s="8">
        <v>229394</v>
      </c>
      <c r="M143" s="8">
        <v>113851</v>
      </c>
      <c r="N143" s="8">
        <v>163520</v>
      </c>
      <c r="O143" s="8">
        <v>151130</v>
      </c>
      <c r="P143" s="8">
        <v>188614</v>
      </c>
      <c r="Q143" s="8">
        <v>166965</v>
      </c>
      <c r="R143" s="8">
        <v>125782</v>
      </c>
      <c r="S143" s="8">
        <v>159586</v>
      </c>
      <c r="T143" s="8">
        <v>148996</v>
      </c>
      <c r="U143" s="8">
        <v>171424</v>
      </c>
      <c r="V143" s="8">
        <v>191773</v>
      </c>
      <c r="W143" s="8">
        <v>172157</v>
      </c>
      <c r="X143" s="8"/>
      <c r="Y143" s="8"/>
      <c r="Z143" s="8"/>
      <c r="AB143" s="37">
        <f>SUM(L143:Z143)</f>
        <v>1983192</v>
      </c>
      <c r="AC143" s="37">
        <f>SUM(L144:Z144)</f>
        <v>95843</v>
      </c>
      <c r="AD143" s="37">
        <f>SUM(L145:Z145)</f>
        <v>65550</v>
      </c>
      <c r="AF143" s="37">
        <f>AB143-B143</f>
        <v>-30</v>
      </c>
      <c r="AG143" s="37">
        <f>AC143-C143</f>
        <v>-100</v>
      </c>
      <c r="AH143" s="37">
        <f>AD143-D143</f>
        <v>-2310</v>
      </c>
      <c r="AJ143" s="38">
        <f>C143/B143*1000</f>
        <v>48.377337484154573</v>
      </c>
      <c r="AK143" s="38">
        <f>D143/B143*1000</f>
        <v>34.217046805652622</v>
      </c>
      <c r="AM143" s="38">
        <f>AJ143-H143</f>
        <v>-2.2662515845425446E-2</v>
      </c>
      <c r="AN143" s="38">
        <f>AK143-I143</f>
        <v>1.7046805652618957E-2</v>
      </c>
    </row>
    <row r="144" spans="1:40">
      <c r="A144" s="4" t="s">
        <v>144</v>
      </c>
      <c r="B144" s="5"/>
      <c r="C144" s="5"/>
      <c r="D144" s="5"/>
      <c r="E144" s="5"/>
      <c r="F144" s="5"/>
      <c r="G144" s="5"/>
      <c r="H144" s="6" t="s">
        <v>9</v>
      </c>
      <c r="I144" s="6" t="s">
        <v>9</v>
      </c>
      <c r="J144" s="6"/>
      <c r="K144" s="5"/>
      <c r="L144" s="5">
        <v>10205</v>
      </c>
      <c r="M144" s="5">
        <v>5818</v>
      </c>
      <c r="N144" s="5">
        <v>8299</v>
      </c>
      <c r="O144" s="5">
        <v>5752</v>
      </c>
      <c r="P144" s="5">
        <v>8433</v>
      </c>
      <c r="Q144" s="5">
        <v>8352</v>
      </c>
      <c r="R144" s="5">
        <v>6172</v>
      </c>
      <c r="S144" s="5">
        <v>8547</v>
      </c>
      <c r="T144" s="5">
        <v>7950</v>
      </c>
      <c r="U144" s="5">
        <v>9118</v>
      </c>
      <c r="V144" s="5">
        <v>9870</v>
      </c>
      <c r="W144" s="5">
        <v>7327</v>
      </c>
      <c r="X144" s="5"/>
      <c r="Y144" s="5"/>
      <c r="Z144" s="5"/>
    </row>
    <row r="145" spans="1:40">
      <c r="A145" s="4" t="s">
        <v>145</v>
      </c>
      <c r="B145" s="5"/>
      <c r="C145" s="5"/>
      <c r="D145" s="5"/>
      <c r="E145" s="5"/>
      <c r="F145" s="5"/>
      <c r="G145" s="5"/>
      <c r="H145" s="6" t="s">
        <v>9</v>
      </c>
      <c r="I145" s="6" t="s">
        <v>9</v>
      </c>
      <c r="J145" s="6"/>
      <c r="K145" s="5"/>
      <c r="L145" s="5">
        <v>7554</v>
      </c>
      <c r="M145" s="5">
        <v>4056</v>
      </c>
      <c r="N145" s="5">
        <v>5638</v>
      </c>
      <c r="O145" s="5">
        <v>3944</v>
      </c>
      <c r="P145" s="5">
        <v>4635</v>
      </c>
      <c r="Q145" s="5">
        <v>5102</v>
      </c>
      <c r="R145" s="5">
        <v>3910</v>
      </c>
      <c r="S145" s="5">
        <v>6653</v>
      </c>
      <c r="T145" s="5">
        <v>5889</v>
      </c>
      <c r="U145" s="5">
        <v>5936</v>
      </c>
      <c r="V145" s="5">
        <v>6652</v>
      </c>
      <c r="W145" s="5">
        <v>5581</v>
      </c>
      <c r="X145" s="5"/>
      <c r="Y145" s="5"/>
      <c r="Z145" s="5"/>
    </row>
    <row r="146" spans="1:40">
      <c r="A146" s="7" t="s">
        <v>146</v>
      </c>
      <c r="B146" s="8">
        <v>2739528</v>
      </c>
      <c r="C146" s="8">
        <v>155503</v>
      </c>
      <c r="D146" s="8">
        <v>120020</v>
      </c>
      <c r="E146" s="8">
        <v>188828</v>
      </c>
      <c r="F146" s="8">
        <v>7399</v>
      </c>
      <c r="G146" s="8">
        <v>6669</v>
      </c>
      <c r="H146" s="12">
        <v>56.7</v>
      </c>
      <c r="I146" s="12">
        <v>44</v>
      </c>
      <c r="J146" s="12"/>
      <c r="K146" s="5"/>
      <c r="L146" s="8">
        <v>329623</v>
      </c>
      <c r="M146" s="8">
        <v>303234</v>
      </c>
      <c r="N146" s="50">
        <v>406235</v>
      </c>
      <c r="O146" s="8">
        <v>473512</v>
      </c>
      <c r="P146" s="8">
        <v>542195</v>
      </c>
      <c r="Q146" s="8">
        <v>416372</v>
      </c>
      <c r="R146" s="8">
        <v>268357</v>
      </c>
      <c r="S146" s="8"/>
      <c r="T146" s="8"/>
      <c r="U146" s="8"/>
      <c r="V146" s="8"/>
      <c r="W146" s="8"/>
      <c r="X146" s="8"/>
      <c r="Y146" s="8"/>
      <c r="Z146" s="8"/>
      <c r="AB146" s="37">
        <f>SUM(L146:Z146)</f>
        <v>2739528</v>
      </c>
      <c r="AC146" s="37">
        <f>SUM(L147:Z147)</f>
        <v>155503</v>
      </c>
      <c r="AD146" s="37">
        <f>SUM(L148:Z148)</f>
        <v>120020</v>
      </c>
      <c r="AF146" s="37">
        <f>AB146-B146</f>
        <v>0</v>
      </c>
      <c r="AG146" s="37">
        <f>AC146-C146</f>
        <v>0</v>
      </c>
      <c r="AH146" s="37">
        <f>AD146-D146</f>
        <v>0</v>
      </c>
      <c r="AJ146" s="38">
        <f>C146/B146*1000</f>
        <v>56.762697807797544</v>
      </c>
      <c r="AK146" s="38">
        <f>D146/B146*1000</f>
        <v>43.810466620527329</v>
      </c>
      <c r="AM146" s="38">
        <f>AJ146-H146</f>
        <v>6.2697807797540861E-2</v>
      </c>
      <c r="AN146" s="38">
        <f>AK146-I146</f>
        <v>-0.18953337947267102</v>
      </c>
    </row>
    <row r="147" spans="1:40">
      <c r="A147" s="4" t="s">
        <v>147</v>
      </c>
      <c r="B147" s="5"/>
      <c r="C147" s="5"/>
      <c r="D147" s="5"/>
      <c r="E147" s="5"/>
      <c r="F147" s="5"/>
      <c r="G147" s="5"/>
      <c r="H147" s="6" t="s">
        <v>9</v>
      </c>
      <c r="I147" s="6" t="s">
        <v>9</v>
      </c>
      <c r="J147" s="6"/>
      <c r="K147" s="5"/>
      <c r="L147" s="5">
        <v>19269</v>
      </c>
      <c r="M147" s="5">
        <v>14845</v>
      </c>
      <c r="N147" s="5">
        <v>22959</v>
      </c>
      <c r="O147" s="5">
        <v>28918</v>
      </c>
      <c r="P147" s="5">
        <v>30686</v>
      </c>
      <c r="Q147" s="5">
        <v>23661</v>
      </c>
      <c r="R147" s="5">
        <v>15165</v>
      </c>
      <c r="S147" s="5"/>
      <c r="T147" s="5"/>
      <c r="U147" s="5"/>
      <c r="V147" s="5"/>
      <c r="W147" s="5"/>
      <c r="X147" s="5"/>
      <c r="Y147" s="5"/>
      <c r="Z147" s="5"/>
    </row>
    <row r="148" spans="1:40">
      <c r="A148" s="4" t="s">
        <v>148</v>
      </c>
      <c r="B148" s="5"/>
      <c r="C148" s="5"/>
      <c r="D148" s="5"/>
      <c r="E148" s="5"/>
      <c r="F148" s="5"/>
      <c r="G148" s="5"/>
      <c r="H148" s="6" t="s">
        <v>9</v>
      </c>
      <c r="I148" s="6" t="s">
        <v>9</v>
      </c>
      <c r="J148" s="6"/>
      <c r="K148" s="5"/>
      <c r="L148" s="5">
        <v>15763</v>
      </c>
      <c r="M148" s="5">
        <v>8145</v>
      </c>
      <c r="N148" s="5">
        <v>14787</v>
      </c>
      <c r="O148" s="5">
        <v>24339</v>
      </c>
      <c r="P148" s="5">
        <v>25220</v>
      </c>
      <c r="Q148" s="5">
        <v>18375</v>
      </c>
      <c r="R148" s="5">
        <v>13391</v>
      </c>
      <c r="S148" s="5"/>
      <c r="T148" s="5"/>
      <c r="U148" s="5"/>
      <c r="V148" s="5"/>
      <c r="W148" s="5"/>
      <c r="X148" s="5"/>
      <c r="Y148" s="5"/>
      <c r="Z148" s="5"/>
    </row>
    <row r="149" spans="1:40">
      <c r="A149" s="7" t="s">
        <v>149</v>
      </c>
      <c r="B149" s="8">
        <v>956226</v>
      </c>
      <c r="C149" s="8">
        <v>31404</v>
      </c>
      <c r="D149" s="8">
        <v>27789</v>
      </c>
      <c r="E149" s="8"/>
      <c r="F149" s="8"/>
      <c r="G149" s="8"/>
      <c r="H149" s="12">
        <v>30.3</v>
      </c>
      <c r="I149" s="12">
        <v>30.4</v>
      </c>
      <c r="J149" s="12"/>
      <c r="K149" s="5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B149" s="37">
        <f>B149</f>
        <v>956226</v>
      </c>
      <c r="AC149" s="37">
        <f>C149</f>
        <v>31404</v>
      </c>
      <c r="AD149" s="37">
        <f>D149</f>
        <v>27789</v>
      </c>
      <c r="AF149" s="39"/>
      <c r="AG149" s="39"/>
      <c r="AH149" s="39"/>
      <c r="AJ149" s="38">
        <f>C149/B149*1000</f>
        <v>32.841608573705379</v>
      </c>
      <c r="AK149" s="38">
        <f>D149/B149*1000</f>
        <v>29.061121534030658</v>
      </c>
      <c r="AM149" s="38">
        <f>AJ149-H149</f>
        <v>2.5416085737053784</v>
      </c>
      <c r="AN149" s="38">
        <f>AK149-I149</f>
        <v>-1.3388784659693407</v>
      </c>
    </row>
    <row r="150" spans="1:40">
      <c r="A150" s="7" t="s">
        <v>150</v>
      </c>
      <c r="B150" s="8">
        <v>833544</v>
      </c>
      <c r="C150" s="8">
        <v>30615</v>
      </c>
      <c r="D150" s="8">
        <v>25035</v>
      </c>
      <c r="E150" s="8">
        <v>90596</v>
      </c>
      <c r="F150" s="8">
        <v>3541</v>
      </c>
      <c r="G150" s="8">
        <v>2824</v>
      </c>
      <c r="H150" s="12">
        <v>36.700000000000003</v>
      </c>
      <c r="I150" s="12">
        <v>30</v>
      </c>
      <c r="J150" s="12"/>
      <c r="K150" s="5"/>
      <c r="L150" s="8">
        <v>131998</v>
      </c>
      <c r="M150" s="8">
        <v>144628</v>
      </c>
      <c r="N150" s="8">
        <v>115813</v>
      </c>
      <c r="O150" s="8">
        <v>93253</v>
      </c>
      <c r="P150" s="8">
        <v>72297</v>
      </c>
      <c r="Q150" s="8">
        <v>139751</v>
      </c>
      <c r="R150" s="8">
        <v>51582</v>
      </c>
      <c r="S150" s="8">
        <v>84222</v>
      </c>
      <c r="T150" s="8"/>
      <c r="U150" s="8"/>
      <c r="V150" s="8"/>
      <c r="W150" s="8"/>
      <c r="X150" s="8"/>
      <c r="Y150" s="8"/>
      <c r="Z150" s="8"/>
      <c r="AB150" s="37">
        <f>SUM(L150:Z150)</f>
        <v>833544</v>
      </c>
      <c r="AC150" s="37">
        <f>SUM(L151:Z151)</f>
        <v>30615</v>
      </c>
      <c r="AD150" s="37">
        <f>SUM(L152:Z152)</f>
        <v>25035</v>
      </c>
      <c r="AF150" s="37">
        <f>AB150-B150</f>
        <v>0</v>
      </c>
      <c r="AG150" s="37">
        <f>AC150-C150</f>
        <v>0</v>
      </c>
      <c r="AH150" s="37">
        <f>AD150-D150</f>
        <v>0</v>
      </c>
      <c r="AJ150" s="38">
        <f>C150/B150*1000</f>
        <v>36.728714980852843</v>
      </c>
      <c r="AK150" s="38">
        <f>D150/B150*1000</f>
        <v>30.034407301834094</v>
      </c>
      <c r="AM150" s="38">
        <f>AJ150-H150</f>
        <v>2.8714980852839744E-2</v>
      </c>
      <c r="AN150" s="38">
        <f>AK150-I150</f>
        <v>3.4407301834093573E-2</v>
      </c>
    </row>
    <row r="151" spans="1:40">
      <c r="A151" s="4" t="s">
        <v>151</v>
      </c>
      <c r="B151" s="5"/>
      <c r="C151" s="5"/>
      <c r="D151" s="5"/>
      <c r="E151" s="5"/>
      <c r="F151" s="5"/>
      <c r="G151" s="5"/>
      <c r="H151" s="6" t="s">
        <v>9</v>
      </c>
      <c r="I151" s="6" t="s">
        <v>9</v>
      </c>
      <c r="J151" s="6"/>
      <c r="K151" s="5"/>
      <c r="L151" s="5">
        <v>4631</v>
      </c>
      <c r="M151" s="5">
        <v>4564</v>
      </c>
      <c r="N151" s="5">
        <v>4336</v>
      </c>
      <c r="O151" s="5">
        <v>4070</v>
      </c>
      <c r="P151" s="5">
        <v>2780</v>
      </c>
      <c r="Q151" s="5">
        <v>5205</v>
      </c>
      <c r="R151" s="5">
        <v>2170</v>
      </c>
      <c r="S151" s="5">
        <v>2859</v>
      </c>
      <c r="T151" s="5"/>
      <c r="U151" s="5"/>
      <c r="V151" s="5"/>
      <c r="W151" s="5"/>
      <c r="X151" s="5"/>
      <c r="Y151" s="5"/>
      <c r="Z151" s="5"/>
    </row>
    <row r="152" spans="1:40">
      <c r="A152" s="4" t="s">
        <v>152</v>
      </c>
      <c r="B152" s="5"/>
      <c r="C152" s="5"/>
      <c r="D152" s="5"/>
      <c r="E152" s="5"/>
      <c r="F152" s="5"/>
      <c r="G152" s="5"/>
      <c r="H152" s="6" t="s">
        <v>9</v>
      </c>
      <c r="I152" s="6" t="s">
        <v>9</v>
      </c>
      <c r="J152" s="6"/>
      <c r="K152" s="5"/>
      <c r="L152" s="5">
        <v>3809</v>
      </c>
      <c r="M152" s="5">
        <v>3766</v>
      </c>
      <c r="N152" s="5">
        <v>3508</v>
      </c>
      <c r="O152" s="5">
        <v>3084</v>
      </c>
      <c r="P152" s="5">
        <v>2478</v>
      </c>
      <c r="Q152" s="5">
        <v>4395</v>
      </c>
      <c r="R152" s="5">
        <v>1809</v>
      </c>
      <c r="S152" s="5">
        <v>2186</v>
      </c>
      <c r="T152" s="5"/>
      <c r="U152" s="5"/>
      <c r="V152" s="5"/>
      <c r="W152" s="5"/>
      <c r="X152" s="5"/>
      <c r="Y152" s="5"/>
      <c r="Z152" s="5"/>
    </row>
    <row r="153" spans="1:40">
      <c r="A153" s="7" t="s">
        <v>153</v>
      </c>
      <c r="B153" s="8">
        <v>2545394</v>
      </c>
      <c r="C153" s="8">
        <v>135478</v>
      </c>
      <c r="D153" s="8">
        <v>110799</v>
      </c>
      <c r="E153" s="8">
        <v>320976</v>
      </c>
      <c r="F153" s="8">
        <v>15842</v>
      </c>
      <c r="G153" s="8">
        <v>13361</v>
      </c>
      <c r="H153" s="12">
        <v>53.2</v>
      </c>
      <c r="I153" s="12">
        <v>43.5</v>
      </c>
      <c r="J153" s="12"/>
      <c r="K153" s="5"/>
      <c r="L153" s="8">
        <v>339838</v>
      </c>
      <c r="M153" s="8">
        <v>310136</v>
      </c>
      <c r="N153" s="8">
        <v>303223</v>
      </c>
      <c r="O153" s="8">
        <v>209997</v>
      </c>
      <c r="P153" s="8">
        <v>364130</v>
      </c>
      <c r="Q153" s="8">
        <v>189053</v>
      </c>
      <c r="R153" s="8">
        <v>231973</v>
      </c>
      <c r="S153" s="8">
        <v>226623</v>
      </c>
      <c r="T153" s="8">
        <v>161058</v>
      </c>
      <c r="U153" s="8">
        <v>209373</v>
      </c>
      <c r="V153" s="8"/>
      <c r="W153" s="8"/>
      <c r="X153" s="8"/>
      <c r="Y153" s="8"/>
      <c r="Z153" s="8"/>
      <c r="AB153" s="37">
        <f>SUM(L153:Z153)</f>
        <v>2545404</v>
      </c>
      <c r="AC153" s="37">
        <f>SUM(L154:Z154)</f>
        <v>135475</v>
      </c>
      <c r="AD153" s="37">
        <f>SUM(L155:Z155)</f>
        <v>110799</v>
      </c>
      <c r="AF153" s="37">
        <f>AB153-B153</f>
        <v>10</v>
      </c>
      <c r="AG153" s="37">
        <f>AC153-C153</f>
        <v>-3</v>
      </c>
      <c r="AH153" s="37">
        <f>AD153-D153</f>
        <v>0</v>
      </c>
      <c r="AJ153" s="38">
        <f>C153/B153*1000</f>
        <v>53.224765989076737</v>
      </c>
      <c r="AK153" s="38">
        <f>D153/B153*1000</f>
        <v>43.529213944874542</v>
      </c>
      <c r="AM153" s="38">
        <f>AJ153-H153</f>
        <v>2.4765989076733774E-2</v>
      </c>
      <c r="AN153" s="38">
        <f>AK153-I153</f>
        <v>2.9213944874541653E-2</v>
      </c>
    </row>
    <row r="154" spans="1:40">
      <c r="A154" s="4" t="s">
        <v>154</v>
      </c>
      <c r="B154" s="5"/>
      <c r="C154" s="5"/>
      <c r="D154" s="5"/>
      <c r="E154" s="5"/>
      <c r="F154" s="5"/>
      <c r="G154" s="5"/>
      <c r="H154" s="6" t="s">
        <v>9</v>
      </c>
      <c r="I154" s="6" t="s">
        <v>9</v>
      </c>
      <c r="J154" s="6"/>
      <c r="K154" s="5"/>
      <c r="L154" s="5">
        <v>17294</v>
      </c>
      <c r="M154" s="5">
        <v>16853</v>
      </c>
      <c r="N154" s="5">
        <v>17361</v>
      </c>
      <c r="O154" s="5">
        <v>9906</v>
      </c>
      <c r="P154" s="5">
        <v>18770</v>
      </c>
      <c r="Q154" s="5">
        <v>10214</v>
      </c>
      <c r="R154" s="5">
        <v>12602</v>
      </c>
      <c r="S154" s="5">
        <v>12636</v>
      </c>
      <c r="T154" s="5">
        <v>9051</v>
      </c>
      <c r="U154" s="5">
        <v>10788</v>
      </c>
      <c r="V154" s="5"/>
      <c r="W154" s="5"/>
      <c r="X154" s="5"/>
      <c r="Y154" s="5"/>
      <c r="Z154" s="5"/>
    </row>
    <row r="155" spans="1:40">
      <c r="A155" s="4" t="s">
        <v>155</v>
      </c>
      <c r="B155" s="5"/>
      <c r="C155" s="5"/>
      <c r="D155" s="5"/>
      <c r="E155" s="5"/>
      <c r="F155" s="5"/>
      <c r="G155" s="5"/>
      <c r="H155" s="6" t="s">
        <v>9</v>
      </c>
      <c r="I155" s="6" t="s">
        <v>9</v>
      </c>
      <c r="J155" s="6"/>
      <c r="K155" s="5"/>
      <c r="L155" s="5">
        <v>14049</v>
      </c>
      <c r="M155" s="5">
        <v>13279</v>
      </c>
      <c r="N155" s="5">
        <v>16073</v>
      </c>
      <c r="O155" s="5">
        <v>8077</v>
      </c>
      <c r="P155" s="5">
        <v>14829</v>
      </c>
      <c r="Q155" s="5">
        <v>7584</v>
      </c>
      <c r="R155" s="5">
        <v>9451</v>
      </c>
      <c r="S155" s="5">
        <v>12510</v>
      </c>
      <c r="T155" s="5">
        <v>6712</v>
      </c>
      <c r="U155" s="5">
        <v>8235</v>
      </c>
      <c r="V155" s="5"/>
      <c r="W155" s="5"/>
      <c r="X155" s="5"/>
      <c r="Y155" s="5"/>
      <c r="Z155" s="5"/>
    </row>
    <row r="156" spans="1:40">
      <c r="A156" s="7" t="s">
        <v>156</v>
      </c>
      <c r="B156" s="8">
        <v>1544997</v>
      </c>
      <c r="C156" s="8">
        <v>79159</v>
      </c>
      <c r="D156" s="8">
        <v>64462</v>
      </c>
      <c r="E156" s="9" t="s">
        <v>9</v>
      </c>
      <c r="F156" s="9" t="s">
        <v>9</v>
      </c>
      <c r="G156" s="9" t="s">
        <v>9</v>
      </c>
      <c r="H156" s="10">
        <v>50.4</v>
      </c>
      <c r="I156" s="10">
        <v>41</v>
      </c>
      <c r="J156" s="10"/>
      <c r="K156" s="11"/>
      <c r="L156" s="8">
        <v>228635</v>
      </c>
      <c r="M156" s="8">
        <v>171124</v>
      </c>
      <c r="N156" s="8">
        <v>193308</v>
      </c>
      <c r="O156" s="8">
        <v>182417</v>
      </c>
      <c r="P156" s="8">
        <v>216759</v>
      </c>
      <c r="Q156" s="8">
        <v>167198</v>
      </c>
      <c r="R156" s="8">
        <v>153718</v>
      </c>
      <c r="S156" s="8">
        <v>231838</v>
      </c>
      <c r="T156" s="8"/>
      <c r="U156" s="8"/>
      <c r="V156" s="8"/>
      <c r="W156" s="8"/>
      <c r="X156" s="8"/>
      <c r="Y156" s="8"/>
      <c r="Z156" s="8"/>
      <c r="AB156" s="37">
        <f>SUM(L156:Z156)</f>
        <v>1544997</v>
      </c>
      <c r="AC156" s="37">
        <f>SUM(L157:Z157)</f>
        <v>79159</v>
      </c>
      <c r="AD156" s="37">
        <f>SUM(L158:Z158)</f>
        <v>64462</v>
      </c>
      <c r="AF156" s="37">
        <f>AB156-B156</f>
        <v>0</v>
      </c>
      <c r="AG156" s="37">
        <f>AC156-C156</f>
        <v>0</v>
      </c>
      <c r="AH156" s="37">
        <f>AD156-D156</f>
        <v>0</v>
      </c>
      <c r="AJ156" s="38">
        <f>C156/B156*1000</f>
        <v>51.235698192294223</v>
      </c>
      <c r="AK156" s="38">
        <f>D156/B156*1000</f>
        <v>41.723058361925624</v>
      </c>
      <c r="AM156" s="38">
        <f>AJ156-H156</f>
        <v>0.83569819229422393</v>
      </c>
      <c r="AN156" s="38">
        <f>AK156-I156</f>
        <v>0.72305836192562367</v>
      </c>
    </row>
    <row r="157" spans="1:40">
      <c r="A157" s="4" t="s">
        <v>157</v>
      </c>
      <c r="B157" s="5"/>
      <c r="C157" s="5"/>
      <c r="D157" s="5"/>
      <c r="E157" s="5"/>
      <c r="F157" s="5"/>
      <c r="G157" s="5"/>
      <c r="H157" s="6" t="s">
        <v>9</v>
      </c>
      <c r="I157" s="6" t="s">
        <v>9</v>
      </c>
      <c r="J157" s="6"/>
      <c r="K157" s="5"/>
      <c r="L157" s="5">
        <v>10974</v>
      </c>
      <c r="M157" s="5">
        <v>7761</v>
      </c>
      <c r="N157" s="5">
        <v>10371</v>
      </c>
      <c r="O157" s="5">
        <v>9479</v>
      </c>
      <c r="P157" s="5">
        <v>11527</v>
      </c>
      <c r="Q157" s="5">
        <v>8139</v>
      </c>
      <c r="R157" s="5">
        <v>8594</v>
      </c>
      <c r="S157" s="5">
        <v>12314</v>
      </c>
      <c r="T157" s="5"/>
      <c r="U157" s="5"/>
      <c r="V157" s="5"/>
      <c r="W157" s="5"/>
      <c r="X157" s="5"/>
      <c r="Y157" s="5"/>
      <c r="Z157" s="5"/>
    </row>
    <row r="158" spans="1:40">
      <c r="A158" s="4" t="s">
        <v>158</v>
      </c>
      <c r="B158" s="5"/>
      <c r="C158" s="5"/>
      <c r="D158" s="5"/>
      <c r="E158" s="5"/>
      <c r="F158" s="5"/>
      <c r="G158" s="5"/>
      <c r="H158" s="6" t="s">
        <v>9</v>
      </c>
      <c r="I158" s="6" t="s">
        <v>9</v>
      </c>
      <c r="J158" s="6"/>
      <c r="K158" s="5"/>
      <c r="L158" s="5">
        <v>9649</v>
      </c>
      <c r="M158" s="5">
        <v>6334</v>
      </c>
      <c r="N158" s="5">
        <v>7079</v>
      </c>
      <c r="O158" s="5">
        <v>7325</v>
      </c>
      <c r="P158" s="5">
        <v>9275</v>
      </c>
      <c r="Q158" s="5">
        <v>5486</v>
      </c>
      <c r="R158" s="5">
        <v>7166</v>
      </c>
      <c r="S158" s="5">
        <v>12148</v>
      </c>
      <c r="T158" s="5"/>
      <c r="U158" s="5"/>
      <c r="V158" s="5"/>
      <c r="W158" s="5"/>
      <c r="X158" s="5"/>
      <c r="Y158" s="5"/>
      <c r="Z158" s="5"/>
    </row>
    <row r="159" spans="1:40">
      <c r="A159" s="7" t="s">
        <v>159</v>
      </c>
      <c r="B159" s="8">
        <v>1606686</v>
      </c>
      <c r="C159" s="8">
        <v>81771</v>
      </c>
      <c r="D159" s="8">
        <v>57209</v>
      </c>
      <c r="E159" s="8">
        <v>146320</v>
      </c>
      <c r="F159" s="8">
        <v>3701</v>
      </c>
      <c r="G159" s="8">
        <v>3127</v>
      </c>
      <c r="H159" s="12">
        <v>50.9</v>
      </c>
      <c r="I159" s="12">
        <v>35.6</v>
      </c>
      <c r="J159" s="12"/>
      <c r="K159" s="5"/>
      <c r="L159" s="8">
        <v>144924</v>
      </c>
      <c r="M159" s="8">
        <v>125961</v>
      </c>
      <c r="N159" s="8">
        <v>117360</v>
      </c>
      <c r="O159" s="8">
        <v>138458</v>
      </c>
      <c r="P159" s="8">
        <v>110256</v>
      </c>
      <c r="Q159" s="8">
        <v>98644</v>
      </c>
      <c r="R159" s="8">
        <v>138205</v>
      </c>
      <c r="S159" s="8">
        <v>105211</v>
      </c>
      <c r="T159" s="8">
        <v>121453</v>
      </c>
      <c r="U159" s="8">
        <v>191009</v>
      </c>
      <c r="V159" s="8">
        <v>122600</v>
      </c>
      <c r="W159" s="8">
        <v>192535</v>
      </c>
      <c r="X159" s="8"/>
      <c r="Y159" s="8"/>
      <c r="Z159" s="8"/>
      <c r="AB159" s="37">
        <f>SUM(L159:Z159)</f>
        <v>1606616</v>
      </c>
      <c r="AC159" s="37">
        <f>SUM(L160:Z160)</f>
        <v>81769</v>
      </c>
      <c r="AD159" s="37">
        <f>SUM(L161:Z161)</f>
        <v>57209</v>
      </c>
      <c r="AF159" s="37">
        <f>AB159-B159</f>
        <v>-70</v>
      </c>
      <c r="AG159" s="37">
        <f>AC159-C159</f>
        <v>-2</v>
      </c>
      <c r="AH159" s="37">
        <f>AD159-D159</f>
        <v>0</v>
      </c>
      <c r="AJ159" s="38">
        <f>C159/B159*1000</f>
        <v>50.894200858163948</v>
      </c>
      <c r="AK159" s="38">
        <f>D159/B159*1000</f>
        <v>35.606832946823467</v>
      </c>
      <c r="AM159" s="38">
        <f>AJ159-H159</f>
        <v>-5.7991418360501257E-3</v>
      </c>
      <c r="AN159" s="38">
        <f>AK159-I159</f>
        <v>6.8329468234651358E-3</v>
      </c>
    </row>
    <row r="160" spans="1:40">
      <c r="A160" s="4" t="s">
        <v>160</v>
      </c>
      <c r="B160" s="5"/>
      <c r="C160" s="5"/>
      <c r="D160" s="5"/>
      <c r="E160" s="5"/>
      <c r="F160" s="5"/>
      <c r="G160" s="5"/>
      <c r="H160" s="6" t="s">
        <v>9</v>
      </c>
      <c r="I160" s="6" t="s">
        <v>9</v>
      </c>
      <c r="J160" s="6"/>
      <c r="K160" s="5"/>
      <c r="L160" s="5">
        <v>6543</v>
      </c>
      <c r="M160" s="5">
        <v>8803</v>
      </c>
      <c r="N160" s="5">
        <v>5737</v>
      </c>
      <c r="O160" s="5">
        <v>5422</v>
      </c>
      <c r="P160" s="5">
        <v>6077</v>
      </c>
      <c r="Q160" s="5">
        <v>6819</v>
      </c>
      <c r="R160" s="5">
        <v>7715</v>
      </c>
      <c r="S160" s="5">
        <v>5225</v>
      </c>
      <c r="T160" s="5">
        <v>7338</v>
      </c>
      <c r="U160" s="5">
        <v>10048</v>
      </c>
      <c r="V160" s="5">
        <v>5384</v>
      </c>
      <c r="W160" s="5">
        <v>6658</v>
      </c>
      <c r="X160" s="5"/>
      <c r="Y160" s="5"/>
      <c r="Z160" s="5"/>
    </row>
    <row r="161" spans="1:40">
      <c r="A161" s="4" t="s">
        <v>161</v>
      </c>
      <c r="B161" s="5"/>
      <c r="C161" s="5"/>
      <c r="D161" s="5"/>
      <c r="E161" s="5"/>
      <c r="F161" s="5"/>
      <c r="G161" s="5"/>
      <c r="H161" s="6" t="s">
        <v>9</v>
      </c>
      <c r="I161" s="6" t="s">
        <v>9</v>
      </c>
      <c r="J161" s="6"/>
      <c r="K161" s="5"/>
      <c r="L161" s="5">
        <v>4696</v>
      </c>
      <c r="M161" s="5">
        <v>6734</v>
      </c>
      <c r="N161" s="5">
        <v>4496</v>
      </c>
      <c r="O161" s="5">
        <v>5175</v>
      </c>
      <c r="P161" s="5">
        <v>3673</v>
      </c>
      <c r="Q161" s="5">
        <v>4439</v>
      </c>
      <c r="R161" s="5">
        <v>4883</v>
      </c>
      <c r="S161" s="5">
        <v>3156</v>
      </c>
      <c r="T161" s="5">
        <v>4368</v>
      </c>
      <c r="U161" s="5">
        <v>5644</v>
      </c>
      <c r="V161" s="5">
        <v>4664</v>
      </c>
      <c r="W161" s="5">
        <v>5281</v>
      </c>
      <c r="X161" s="5"/>
      <c r="Y161" s="5"/>
      <c r="Z161" s="5"/>
    </row>
    <row r="162" spans="1:40">
      <c r="A162" s="7" t="s">
        <v>162</v>
      </c>
      <c r="B162" s="8">
        <v>1308382</v>
      </c>
      <c r="C162" s="8">
        <v>65813</v>
      </c>
      <c r="D162" s="8">
        <v>36137</v>
      </c>
      <c r="E162" s="8">
        <v>239782</v>
      </c>
      <c r="F162" s="8">
        <v>11361</v>
      </c>
      <c r="G162" s="8">
        <v>6781</v>
      </c>
      <c r="H162" s="12">
        <v>48.8</v>
      </c>
      <c r="I162" s="12">
        <v>26.2</v>
      </c>
      <c r="J162" s="12"/>
      <c r="K162" s="5"/>
      <c r="L162" s="8">
        <v>145798</v>
      </c>
      <c r="M162" s="8">
        <v>318813</v>
      </c>
      <c r="N162" s="8">
        <v>216322</v>
      </c>
      <c r="O162" s="8">
        <v>52638</v>
      </c>
      <c r="P162" s="8">
        <v>362091</v>
      </c>
      <c r="Q162" s="8">
        <v>31640</v>
      </c>
      <c r="R162" s="8">
        <v>94676</v>
      </c>
      <c r="S162" s="8">
        <v>51838</v>
      </c>
      <c r="T162" s="8">
        <v>34566</v>
      </c>
      <c r="U162" s="8"/>
      <c r="V162" s="8"/>
      <c r="W162" s="8"/>
      <c r="X162" s="8"/>
      <c r="Y162" s="8"/>
      <c r="Z162" s="8"/>
      <c r="AB162" s="37">
        <f>SUM(L162:Z162)</f>
        <v>1308382</v>
      </c>
      <c r="AC162" s="37">
        <f>SUM(L163:Z163)</f>
        <v>65813</v>
      </c>
      <c r="AD162" s="37">
        <f>SUM(L164:Z164)</f>
        <v>35327</v>
      </c>
      <c r="AF162" s="37">
        <f>AB162-B162</f>
        <v>0</v>
      </c>
      <c r="AG162" s="37">
        <f>AC162-C162</f>
        <v>0</v>
      </c>
      <c r="AH162" s="37">
        <f>AD162-D162</f>
        <v>-810</v>
      </c>
      <c r="AJ162" s="38">
        <f>C162/B162*1000</f>
        <v>50.301058865071518</v>
      </c>
      <c r="AK162" s="38">
        <f>D162/B162*1000</f>
        <v>27.619609563567828</v>
      </c>
      <c r="AM162" s="38">
        <f>AJ162-H162</f>
        <v>1.5010588650715206</v>
      </c>
      <c r="AN162" s="38">
        <f>AK162-I162</f>
        <v>1.4196095635678283</v>
      </c>
    </row>
    <row r="163" spans="1:40">
      <c r="A163" s="4" t="s">
        <v>163</v>
      </c>
      <c r="B163" s="5"/>
      <c r="C163" s="5"/>
      <c r="D163" s="5"/>
      <c r="E163" s="5"/>
      <c r="F163" s="5"/>
      <c r="G163" s="5"/>
      <c r="H163" s="6" t="s">
        <v>9</v>
      </c>
      <c r="I163" s="6" t="s">
        <v>9</v>
      </c>
      <c r="J163" s="6"/>
      <c r="K163" s="5"/>
      <c r="L163" s="5">
        <v>6300</v>
      </c>
      <c r="M163" s="5">
        <v>15893</v>
      </c>
      <c r="N163" s="5">
        <v>10737</v>
      </c>
      <c r="O163" s="5">
        <v>2796</v>
      </c>
      <c r="P163" s="5">
        <v>19244</v>
      </c>
      <c r="Q163" s="5">
        <v>1696</v>
      </c>
      <c r="R163" s="5">
        <v>4855</v>
      </c>
      <c r="S163" s="5">
        <v>2309</v>
      </c>
      <c r="T163" s="5">
        <v>1983</v>
      </c>
      <c r="U163" s="5"/>
      <c r="V163" s="5"/>
      <c r="W163" s="5"/>
      <c r="X163" s="5"/>
      <c r="Y163" s="5"/>
      <c r="Z163" s="5"/>
    </row>
    <row r="164" spans="1:40">
      <c r="A164" s="4" t="s">
        <v>164</v>
      </c>
      <c r="B164" s="5"/>
      <c r="C164" s="5"/>
      <c r="D164" s="5"/>
      <c r="E164" s="5"/>
      <c r="F164" s="5"/>
      <c r="G164" s="5"/>
      <c r="H164" s="6" t="s">
        <v>9</v>
      </c>
      <c r="I164" s="6" t="s">
        <v>9</v>
      </c>
      <c r="J164" s="6"/>
      <c r="K164" s="5"/>
      <c r="L164" s="5">
        <v>4036</v>
      </c>
      <c r="M164" s="5">
        <v>7765</v>
      </c>
      <c r="N164" s="5">
        <v>5068</v>
      </c>
      <c r="O164" s="5">
        <v>1559</v>
      </c>
      <c r="P164" s="5">
        <v>10501</v>
      </c>
      <c r="Q164" s="5">
        <v>761</v>
      </c>
      <c r="R164" s="5">
        <v>3135</v>
      </c>
      <c r="S164" s="5">
        <v>1412</v>
      </c>
      <c r="T164" s="5">
        <v>1090</v>
      </c>
      <c r="U164" s="5"/>
      <c r="V164" s="5"/>
      <c r="W164" s="5"/>
      <c r="X164" s="5"/>
      <c r="Y164" s="5"/>
      <c r="Z164" s="5"/>
    </row>
    <row r="165" spans="1:40">
      <c r="A165" s="7" t="s">
        <v>165</v>
      </c>
      <c r="B165" s="8">
        <v>2987710</v>
      </c>
      <c r="C165" s="8">
        <v>145453</v>
      </c>
      <c r="D165" s="8">
        <v>122006</v>
      </c>
      <c r="E165" s="8">
        <v>195108</v>
      </c>
      <c r="F165" s="8">
        <v>6120</v>
      </c>
      <c r="G165" s="8">
        <v>5764</v>
      </c>
      <c r="H165" s="12">
        <v>49.1</v>
      </c>
      <c r="I165" s="12">
        <v>41.2</v>
      </c>
      <c r="J165" s="12"/>
      <c r="K165" s="5"/>
      <c r="L165" s="8">
        <v>425842</v>
      </c>
      <c r="M165" s="8">
        <v>309683</v>
      </c>
      <c r="N165" s="8">
        <v>217736</v>
      </c>
      <c r="O165" s="8">
        <v>295584</v>
      </c>
      <c r="P165" s="8">
        <v>369603</v>
      </c>
      <c r="Q165" s="8">
        <v>166724</v>
      </c>
      <c r="R165" s="8">
        <v>195266</v>
      </c>
      <c r="S165" s="8">
        <v>289048</v>
      </c>
      <c r="T165" s="8">
        <v>145248</v>
      </c>
      <c r="U165" s="8">
        <v>164985</v>
      </c>
      <c r="V165" s="50">
        <v>226697</v>
      </c>
      <c r="W165" s="8">
        <v>181294</v>
      </c>
      <c r="X165" s="8"/>
      <c r="Y165" s="8"/>
      <c r="Z165" s="8"/>
      <c r="AB165" s="37">
        <f>SUM(L165:Z165)</f>
        <v>2987710</v>
      </c>
      <c r="AC165" s="37">
        <f>SUM(L166:Z166)</f>
        <v>145453</v>
      </c>
      <c r="AD165" s="37">
        <f>SUM(L167:Z167)</f>
        <v>122006</v>
      </c>
      <c r="AF165" s="37">
        <f>AB165-B165</f>
        <v>0</v>
      </c>
      <c r="AG165" s="37">
        <f>AC165-C165</f>
        <v>0</v>
      </c>
      <c r="AH165" s="37">
        <f>AD165-D165</f>
        <v>0</v>
      </c>
      <c r="AJ165" s="38">
        <f>C165/B165*1000</f>
        <v>48.683774529656489</v>
      </c>
      <c r="AK165" s="38">
        <f>D165/B165*1000</f>
        <v>40.835957974502215</v>
      </c>
      <c r="AM165" s="38">
        <f>AJ165-H165</f>
        <v>-0.41622547034351243</v>
      </c>
      <c r="AN165" s="38">
        <f>AK165-I165</f>
        <v>-0.3640420254977883</v>
      </c>
    </row>
    <row r="166" spans="1:40">
      <c r="A166" s="4" t="s">
        <v>166</v>
      </c>
      <c r="B166" s="5"/>
      <c r="C166" s="5"/>
      <c r="D166" s="5"/>
      <c r="E166" s="5"/>
      <c r="F166" s="5"/>
      <c r="G166" s="5"/>
      <c r="H166" s="6" t="s">
        <v>9</v>
      </c>
      <c r="I166" s="6" t="s">
        <v>9</v>
      </c>
      <c r="J166" s="6"/>
      <c r="K166" s="5"/>
      <c r="L166" s="5">
        <v>22236</v>
      </c>
      <c r="M166" s="5">
        <v>16998</v>
      </c>
      <c r="N166" s="5">
        <v>7382</v>
      </c>
      <c r="O166" s="5">
        <v>14658</v>
      </c>
      <c r="P166" s="5">
        <v>18129</v>
      </c>
      <c r="Q166" s="5">
        <v>7772</v>
      </c>
      <c r="R166" s="5">
        <v>8623</v>
      </c>
      <c r="S166" s="5">
        <v>14717</v>
      </c>
      <c r="T166" s="5">
        <v>6628</v>
      </c>
      <c r="U166" s="5">
        <v>7641</v>
      </c>
      <c r="V166" s="5">
        <v>11976</v>
      </c>
      <c r="W166" s="5">
        <v>8693</v>
      </c>
      <c r="X166" s="5"/>
      <c r="Y166" s="5"/>
      <c r="Z166" s="5"/>
    </row>
    <row r="167" spans="1:40">
      <c r="A167" s="4" t="s">
        <v>167</v>
      </c>
      <c r="B167" s="5"/>
      <c r="C167" s="5"/>
      <c r="D167" s="5"/>
      <c r="E167" s="5"/>
      <c r="F167" s="5"/>
      <c r="G167" s="5"/>
      <c r="H167" s="6" t="s">
        <v>9</v>
      </c>
      <c r="I167" s="6" t="s">
        <v>9</v>
      </c>
      <c r="J167" s="6"/>
      <c r="K167" s="5"/>
      <c r="L167" s="5">
        <v>19710</v>
      </c>
      <c r="M167" s="5">
        <v>16201</v>
      </c>
      <c r="N167" s="5">
        <v>5507</v>
      </c>
      <c r="O167" s="5">
        <v>13582</v>
      </c>
      <c r="P167" s="5">
        <v>14280</v>
      </c>
      <c r="Q167" s="5">
        <v>5350</v>
      </c>
      <c r="R167" s="5">
        <v>7033</v>
      </c>
      <c r="S167" s="5">
        <v>11032</v>
      </c>
      <c r="T167" s="5">
        <v>4965</v>
      </c>
      <c r="U167" s="5">
        <v>5546</v>
      </c>
      <c r="V167" s="5">
        <v>13492</v>
      </c>
      <c r="W167" s="5">
        <v>5308</v>
      </c>
      <c r="X167" s="5"/>
      <c r="Y167" s="5"/>
      <c r="Z167" s="5"/>
    </row>
    <row r="168" spans="1:40">
      <c r="A168" s="7" t="s">
        <v>168</v>
      </c>
      <c r="B168" s="8">
        <v>1970123</v>
      </c>
      <c r="C168" s="8">
        <v>86314</v>
      </c>
      <c r="D168" s="8">
        <v>71094</v>
      </c>
      <c r="E168" s="8">
        <v>155821</v>
      </c>
      <c r="F168" s="8">
        <v>3929</v>
      </c>
      <c r="G168" s="8">
        <v>3310</v>
      </c>
      <c r="H168" s="12">
        <v>43.8</v>
      </c>
      <c r="I168" s="12">
        <v>36.1</v>
      </c>
      <c r="J168" s="12"/>
      <c r="K168" s="5"/>
      <c r="L168" s="8">
        <v>176793</v>
      </c>
      <c r="M168" s="8">
        <v>265053</v>
      </c>
      <c r="N168" s="8">
        <v>163986</v>
      </c>
      <c r="O168" s="8">
        <v>185656</v>
      </c>
      <c r="P168" s="8">
        <v>123322</v>
      </c>
      <c r="Q168" s="8">
        <v>144396</v>
      </c>
      <c r="R168" s="8">
        <v>146928</v>
      </c>
      <c r="S168" s="8">
        <v>138221</v>
      </c>
      <c r="T168" s="8">
        <v>131749</v>
      </c>
      <c r="U168" s="8">
        <v>150808</v>
      </c>
      <c r="V168" s="8">
        <v>168024</v>
      </c>
      <c r="W168" s="8">
        <v>175187</v>
      </c>
      <c r="X168" s="8"/>
      <c r="Y168" s="8"/>
      <c r="Z168" s="8"/>
      <c r="AB168" s="37">
        <f>SUM(L168:Z168)</f>
        <v>1970123</v>
      </c>
      <c r="AC168" s="37">
        <f>SUM(L169:Z169)</f>
        <v>86314</v>
      </c>
      <c r="AD168" s="37">
        <f>SUM(L170:Z170)</f>
        <v>71094</v>
      </c>
      <c r="AF168" s="37">
        <f>AB168-B168</f>
        <v>0</v>
      </c>
      <c r="AG168" s="37">
        <f>AC168-C168</f>
        <v>0</v>
      </c>
      <c r="AH168" s="37">
        <f>AD168-D168</f>
        <v>0</v>
      </c>
      <c r="AJ168" s="38">
        <f>C168/B168*1000</f>
        <v>43.811477760525612</v>
      </c>
      <c r="AK168" s="38">
        <f>D168/B168*1000</f>
        <v>36.086071783335349</v>
      </c>
      <c r="AM168" s="38">
        <f>AJ168-H168</f>
        <v>1.1477760525615111E-2</v>
      </c>
      <c r="AN168" s="38">
        <f>AK168-I168</f>
        <v>-1.3928216664652382E-2</v>
      </c>
    </row>
    <row r="169" spans="1:40">
      <c r="A169" s="4" t="s">
        <v>169</v>
      </c>
      <c r="B169" s="5"/>
      <c r="C169" s="5"/>
      <c r="D169" s="5"/>
      <c r="E169" s="5"/>
      <c r="F169" s="5"/>
      <c r="G169" s="5"/>
      <c r="H169" s="6" t="s">
        <v>9</v>
      </c>
      <c r="I169" s="6" t="s">
        <v>9</v>
      </c>
      <c r="J169" s="6"/>
      <c r="K169" s="5"/>
      <c r="L169" s="5">
        <v>7860</v>
      </c>
      <c r="M169" s="5">
        <v>12711</v>
      </c>
      <c r="N169" s="5">
        <v>7338</v>
      </c>
      <c r="O169" s="5">
        <v>8047</v>
      </c>
      <c r="P169" s="5">
        <v>5039</v>
      </c>
      <c r="Q169" s="5">
        <v>6147</v>
      </c>
      <c r="R169" s="5">
        <v>5769</v>
      </c>
      <c r="S169" s="5">
        <v>6240</v>
      </c>
      <c r="T169" s="5">
        <v>5956</v>
      </c>
      <c r="U169" s="5">
        <v>7334</v>
      </c>
      <c r="V169" s="5">
        <v>7105</v>
      </c>
      <c r="W169" s="5">
        <v>6768</v>
      </c>
      <c r="X169" s="5"/>
      <c r="Y169" s="5"/>
      <c r="Z169" s="5"/>
    </row>
    <row r="170" spans="1:40">
      <c r="A170" s="4" t="s">
        <v>170</v>
      </c>
      <c r="B170" s="5"/>
      <c r="C170" s="5"/>
      <c r="D170" s="5"/>
      <c r="E170" s="5"/>
      <c r="F170" s="5"/>
      <c r="G170" s="5"/>
      <c r="H170" s="6" t="s">
        <v>9</v>
      </c>
      <c r="I170" s="6" t="s">
        <v>9</v>
      </c>
      <c r="J170" s="6"/>
      <c r="K170" s="5"/>
      <c r="L170" s="5">
        <v>6798</v>
      </c>
      <c r="M170" s="5">
        <v>9500</v>
      </c>
      <c r="N170" s="5">
        <v>5387</v>
      </c>
      <c r="O170" s="5">
        <v>5885</v>
      </c>
      <c r="P170" s="5">
        <v>4675</v>
      </c>
      <c r="Q170" s="5">
        <v>5371</v>
      </c>
      <c r="R170" s="5">
        <v>5071</v>
      </c>
      <c r="S170" s="5">
        <v>5314</v>
      </c>
      <c r="T170" s="5">
        <v>5076</v>
      </c>
      <c r="U170" s="5">
        <v>6110</v>
      </c>
      <c r="V170" s="5">
        <v>6454</v>
      </c>
      <c r="W170" s="5">
        <v>5453</v>
      </c>
      <c r="X170" s="5"/>
      <c r="Y170" s="5"/>
      <c r="Z170" s="5"/>
    </row>
    <row r="171" spans="1:40">
      <c r="A171" s="7" t="s">
        <v>171</v>
      </c>
      <c r="B171" s="8">
        <v>1592451</v>
      </c>
      <c r="C171" s="8">
        <v>82389</v>
      </c>
      <c r="D171" s="8">
        <v>64291</v>
      </c>
      <c r="E171" s="8">
        <v>153027</v>
      </c>
      <c r="F171" s="8">
        <v>6432</v>
      </c>
      <c r="G171" s="8">
        <v>5485</v>
      </c>
      <c r="H171" s="12">
        <v>51.7</v>
      </c>
      <c r="I171" s="12">
        <v>40.4</v>
      </c>
      <c r="J171" s="12"/>
      <c r="K171" s="5"/>
      <c r="L171" s="8">
        <v>189468</v>
      </c>
      <c r="M171" s="8">
        <v>93139</v>
      </c>
      <c r="N171" s="8">
        <v>178614</v>
      </c>
      <c r="O171" s="8">
        <v>89454</v>
      </c>
      <c r="P171" s="8">
        <v>127881</v>
      </c>
      <c r="Q171" s="8">
        <v>142618</v>
      </c>
      <c r="R171" s="8">
        <v>188829</v>
      </c>
      <c r="S171" s="8">
        <v>85788</v>
      </c>
      <c r="T171" s="8">
        <v>117359</v>
      </c>
      <c r="U171" s="8">
        <v>152494</v>
      </c>
      <c r="V171" s="8">
        <v>107952</v>
      </c>
      <c r="W171" s="8">
        <v>118855</v>
      </c>
      <c r="X171" s="8"/>
      <c r="Y171" s="8"/>
      <c r="Z171" s="8"/>
      <c r="AB171" s="37">
        <f>SUM(L171:Z171)</f>
        <v>1592451</v>
      </c>
      <c r="AC171" s="37">
        <f>SUM(L172:Z172)</f>
        <v>82389</v>
      </c>
      <c r="AD171" s="37">
        <f>SUM(L173:Z173)</f>
        <v>64291</v>
      </c>
      <c r="AF171" s="37">
        <f>AB171-B171</f>
        <v>0</v>
      </c>
      <c r="AG171" s="37">
        <f>AC171-C171</f>
        <v>0</v>
      </c>
      <c r="AH171" s="37">
        <f>AD171-D171</f>
        <v>0</v>
      </c>
      <c r="AJ171" s="38">
        <f>C171/B171*1000</f>
        <v>51.737227707477345</v>
      </c>
      <c r="AK171" s="38">
        <f>D171/B171*1000</f>
        <v>40.372356826049909</v>
      </c>
      <c r="AM171" s="38">
        <f>AJ171-H171</f>
        <v>3.7227707477342165E-2</v>
      </c>
      <c r="AN171" s="38">
        <f>AK171-I171</f>
        <v>-2.7643173950089306E-2</v>
      </c>
    </row>
    <row r="172" spans="1:40">
      <c r="A172" s="4" t="s">
        <v>172</v>
      </c>
      <c r="B172" s="5"/>
      <c r="C172" s="5"/>
      <c r="D172" s="5"/>
      <c r="E172" s="5"/>
      <c r="F172" s="5"/>
      <c r="G172" s="5"/>
      <c r="H172" s="6" t="s">
        <v>9</v>
      </c>
      <c r="I172" s="6" t="s">
        <v>9</v>
      </c>
      <c r="J172" s="6"/>
      <c r="K172" s="5"/>
      <c r="L172" s="5">
        <v>10268</v>
      </c>
      <c r="M172" s="5">
        <v>4335</v>
      </c>
      <c r="N172" s="5">
        <v>9946</v>
      </c>
      <c r="O172" s="5">
        <v>4063</v>
      </c>
      <c r="P172" s="5">
        <v>5900</v>
      </c>
      <c r="Q172" s="5">
        <v>6931</v>
      </c>
      <c r="R172" s="5">
        <v>9875</v>
      </c>
      <c r="S172" s="5">
        <v>3956</v>
      </c>
      <c r="T172" s="5">
        <v>6251</v>
      </c>
      <c r="U172" s="5">
        <v>8874</v>
      </c>
      <c r="V172" s="5">
        <v>5486</v>
      </c>
      <c r="W172" s="5">
        <v>6504</v>
      </c>
      <c r="X172" s="5"/>
      <c r="Y172" s="5"/>
      <c r="Z172" s="5"/>
    </row>
    <row r="173" spans="1:40">
      <c r="A173" s="4" t="s">
        <v>173</v>
      </c>
      <c r="B173" s="5"/>
      <c r="C173" s="5"/>
      <c r="D173" s="5"/>
      <c r="E173" s="5"/>
      <c r="F173" s="5"/>
      <c r="G173" s="5"/>
      <c r="H173" s="6" t="s">
        <v>9</v>
      </c>
      <c r="I173" s="6" t="s">
        <v>9</v>
      </c>
      <c r="J173" s="6"/>
      <c r="K173" s="5"/>
      <c r="L173" s="5">
        <v>8811</v>
      </c>
      <c r="M173" s="5">
        <v>3303</v>
      </c>
      <c r="N173" s="5">
        <v>7507</v>
      </c>
      <c r="O173" s="5">
        <v>2673</v>
      </c>
      <c r="P173" s="5">
        <v>5258</v>
      </c>
      <c r="Q173" s="5">
        <v>5300</v>
      </c>
      <c r="R173" s="5">
        <v>7218</v>
      </c>
      <c r="S173" s="5">
        <v>3690</v>
      </c>
      <c r="T173" s="5">
        <v>4742</v>
      </c>
      <c r="U173" s="5">
        <v>6685</v>
      </c>
      <c r="V173" s="5">
        <v>4047</v>
      </c>
      <c r="W173" s="5">
        <v>5057</v>
      </c>
      <c r="X173" s="5"/>
      <c r="Y173" s="5"/>
      <c r="Z173" s="5"/>
    </row>
    <row r="174" spans="1:40">
      <c r="A174" s="7" t="s">
        <v>174</v>
      </c>
      <c r="B174" s="8">
        <v>2234262</v>
      </c>
      <c r="C174" s="8">
        <v>111080</v>
      </c>
      <c r="D174" s="8">
        <v>62696</v>
      </c>
      <c r="E174" s="8">
        <v>98835</v>
      </c>
      <c r="F174" s="8">
        <v>4807</v>
      </c>
      <c r="G174" s="8">
        <v>3629</v>
      </c>
      <c r="H174" s="12">
        <v>48.7</v>
      </c>
      <c r="I174" s="12">
        <v>27.5</v>
      </c>
      <c r="J174" s="12"/>
      <c r="K174" s="5"/>
      <c r="L174" s="8">
        <v>370391</v>
      </c>
      <c r="M174" s="8">
        <v>437156</v>
      </c>
      <c r="N174" s="8">
        <v>493622</v>
      </c>
      <c r="O174" s="8">
        <v>192782</v>
      </c>
      <c r="P174" s="8">
        <v>391927</v>
      </c>
      <c r="Q174" s="8">
        <v>348344</v>
      </c>
      <c r="R174" s="8"/>
      <c r="S174" s="8"/>
      <c r="T174" s="8"/>
      <c r="U174" s="8"/>
      <c r="V174" s="8"/>
      <c r="W174" s="8"/>
      <c r="X174" s="8"/>
      <c r="Y174" s="8"/>
      <c r="Z174" s="8"/>
      <c r="AB174" s="37">
        <f>SUM(L174:Z174)</f>
        <v>2234222</v>
      </c>
      <c r="AC174" s="37">
        <f>SUM(L175:Z175)</f>
        <v>111080</v>
      </c>
      <c r="AD174" s="37">
        <f>SUM(L176:Z176)</f>
        <v>62696</v>
      </c>
      <c r="AF174" s="37">
        <f>AB174-B174</f>
        <v>-40</v>
      </c>
      <c r="AG174" s="37">
        <f>AC174-C174</f>
        <v>0</v>
      </c>
      <c r="AH174" s="37">
        <f>AD174-D174</f>
        <v>0</v>
      </c>
      <c r="AJ174" s="38">
        <f>C174/B174*1000</f>
        <v>49.716640214979265</v>
      </c>
      <c r="AK174" s="38">
        <f>D174/B174*1000</f>
        <v>28.061167401137379</v>
      </c>
      <c r="AM174" s="38">
        <f>AJ174-H174</f>
        <v>1.0166402149792617</v>
      </c>
      <c r="AN174" s="38">
        <f>AK174-I174</f>
        <v>0.56116740113737862</v>
      </c>
    </row>
    <row r="175" spans="1:40">
      <c r="A175" s="4" t="s">
        <v>175</v>
      </c>
      <c r="B175" s="5"/>
      <c r="C175" s="5"/>
      <c r="D175" s="5"/>
      <c r="E175" s="5"/>
      <c r="F175" s="5"/>
      <c r="G175" s="5"/>
      <c r="H175" s="6" t="s">
        <v>9</v>
      </c>
      <c r="I175" s="6" t="s">
        <v>9</v>
      </c>
      <c r="J175" s="6"/>
      <c r="K175" s="5"/>
      <c r="L175" s="5">
        <v>19624</v>
      </c>
      <c r="M175" s="5">
        <v>21643</v>
      </c>
      <c r="N175" s="5">
        <v>24091</v>
      </c>
      <c r="O175" s="5">
        <v>10529</v>
      </c>
      <c r="P175" s="5">
        <v>18577</v>
      </c>
      <c r="Q175" s="5">
        <v>16616</v>
      </c>
      <c r="R175" s="5"/>
      <c r="S175" s="5"/>
      <c r="T175" s="5"/>
      <c r="U175" s="5"/>
      <c r="V175" s="5"/>
      <c r="W175" s="5"/>
      <c r="X175" s="5"/>
      <c r="Y175" s="5"/>
      <c r="Z175" s="5"/>
    </row>
    <row r="176" spans="1:40">
      <c r="A176" s="4" t="s">
        <v>176</v>
      </c>
      <c r="B176" s="5"/>
      <c r="C176" s="5"/>
      <c r="D176" s="5"/>
      <c r="E176" s="5"/>
      <c r="F176" s="5"/>
      <c r="G176" s="5"/>
      <c r="H176" s="6" t="s">
        <v>9</v>
      </c>
      <c r="I176" s="6" t="s">
        <v>9</v>
      </c>
      <c r="J176" s="6"/>
      <c r="K176" s="5"/>
      <c r="L176" s="5">
        <v>11442</v>
      </c>
      <c r="M176" s="5">
        <v>12734</v>
      </c>
      <c r="N176" s="5">
        <v>12856</v>
      </c>
      <c r="O176" s="5">
        <v>5543</v>
      </c>
      <c r="P176" s="5">
        <v>11300</v>
      </c>
      <c r="Q176" s="5">
        <v>8821</v>
      </c>
      <c r="R176" s="5"/>
      <c r="S176" s="5"/>
      <c r="T176" s="5"/>
      <c r="U176" s="5"/>
      <c r="V176" s="5"/>
      <c r="W176" s="5"/>
      <c r="X176" s="5"/>
      <c r="Y176" s="5"/>
      <c r="Z176" s="5"/>
    </row>
    <row r="177" spans="1:40">
      <c r="A177" s="17" t="s">
        <v>177</v>
      </c>
      <c r="B177" s="18">
        <v>2678159</v>
      </c>
      <c r="C177" s="18">
        <v>135444</v>
      </c>
      <c r="D177" s="18">
        <v>92121</v>
      </c>
      <c r="E177" s="18">
        <v>343558</v>
      </c>
      <c r="F177" s="18">
        <v>12666</v>
      </c>
      <c r="G177" s="18">
        <v>9520</v>
      </c>
      <c r="H177" s="19">
        <v>50.6</v>
      </c>
      <c r="I177" s="19">
        <v>34.4</v>
      </c>
      <c r="J177" s="19"/>
      <c r="K177" s="5"/>
      <c r="L177" s="18">
        <v>401847</v>
      </c>
      <c r="M177" s="18">
        <v>163234</v>
      </c>
      <c r="N177" s="18">
        <v>155216</v>
      </c>
      <c r="O177" s="18">
        <v>151048</v>
      </c>
      <c r="P177" s="18">
        <v>163699</v>
      </c>
      <c r="Q177" s="18">
        <v>235341</v>
      </c>
      <c r="R177" s="18">
        <v>334907</v>
      </c>
      <c r="S177" s="18">
        <v>245315</v>
      </c>
      <c r="T177" s="18">
        <v>170810</v>
      </c>
      <c r="U177" s="18">
        <v>403571</v>
      </c>
      <c r="V177" s="18">
        <v>252171</v>
      </c>
      <c r="W177" s="18"/>
      <c r="X177" s="18"/>
      <c r="Y177" s="18"/>
      <c r="Z177" s="18"/>
      <c r="AB177" s="37">
        <f>SUM(L177:Z177)</f>
        <v>2677159</v>
      </c>
      <c r="AC177" s="37">
        <f>SUM(L178:Z178)</f>
        <v>135444</v>
      </c>
      <c r="AD177" s="37">
        <f>SUM(L179:Z179)</f>
        <v>92121</v>
      </c>
      <c r="AF177" s="37">
        <f>AB177-B177</f>
        <v>-1000</v>
      </c>
      <c r="AG177" s="37">
        <f>AC177-C177</f>
        <v>0</v>
      </c>
      <c r="AH177" s="37">
        <f>AD177-D177</f>
        <v>0</v>
      </c>
      <c r="AJ177" s="38">
        <f>C177/B177*1000</f>
        <v>50.573546977606632</v>
      </c>
      <c r="AK177" s="38">
        <f>D177/B177*1000</f>
        <v>34.397136241724262</v>
      </c>
      <c r="AM177" s="38">
        <f>AJ177-H177</f>
        <v>-2.6453022393368997E-2</v>
      </c>
      <c r="AN177" s="38">
        <f>AK177-I177</f>
        <v>-2.8637582757369273E-3</v>
      </c>
    </row>
    <row r="178" spans="1:40">
      <c r="A178" s="20" t="s">
        <v>178</v>
      </c>
      <c r="B178" s="5"/>
      <c r="C178" s="5"/>
      <c r="D178" s="5"/>
      <c r="E178" s="5"/>
      <c r="F178" s="5"/>
      <c r="G178" s="5"/>
      <c r="H178" s="6" t="s">
        <v>9</v>
      </c>
      <c r="I178" s="6" t="s">
        <v>9</v>
      </c>
      <c r="J178" s="6"/>
      <c r="K178" s="5"/>
      <c r="L178" s="5">
        <v>16088</v>
      </c>
      <c r="M178" s="50">
        <v>8221</v>
      </c>
      <c r="N178" s="5">
        <v>8019</v>
      </c>
      <c r="O178" s="5">
        <v>7095</v>
      </c>
      <c r="P178" s="5">
        <v>10164</v>
      </c>
      <c r="Q178" s="5">
        <v>12784</v>
      </c>
      <c r="R178" s="5">
        <v>17240</v>
      </c>
      <c r="S178" s="5">
        <v>13506</v>
      </c>
      <c r="T178" s="5">
        <v>9252</v>
      </c>
      <c r="U178" s="5">
        <v>21772</v>
      </c>
      <c r="V178" s="5">
        <v>11303</v>
      </c>
      <c r="W178" s="5"/>
      <c r="X178" s="5"/>
      <c r="Y178" s="5"/>
      <c r="Z178" s="5"/>
    </row>
    <row r="179" spans="1:40">
      <c r="A179" s="20" t="s">
        <v>179</v>
      </c>
      <c r="B179" s="5"/>
      <c r="C179" s="5"/>
      <c r="D179" s="5"/>
      <c r="E179" s="5"/>
      <c r="F179" s="5"/>
      <c r="G179" s="5"/>
      <c r="H179" s="6" t="s">
        <v>9</v>
      </c>
      <c r="I179" s="6" t="s">
        <v>9</v>
      </c>
      <c r="J179" s="6"/>
      <c r="K179" s="5"/>
      <c r="L179" s="5">
        <v>11196</v>
      </c>
      <c r="M179" s="5">
        <v>6312</v>
      </c>
      <c r="N179" s="5">
        <v>5910</v>
      </c>
      <c r="O179" s="5">
        <v>5284</v>
      </c>
      <c r="P179" s="5">
        <v>6620</v>
      </c>
      <c r="Q179" s="5">
        <v>8630</v>
      </c>
      <c r="R179" s="5">
        <v>10548</v>
      </c>
      <c r="S179" s="5">
        <v>8424</v>
      </c>
      <c r="T179" s="5">
        <v>6144</v>
      </c>
      <c r="U179" s="5">
        <v>15810</v>
      </c>
      <c r="V179" s="5">
        <v>7243</v>
      </c>
      <c r="W179" s="5"/>
      <c r="X179" s="5"/>
      <c r="Y179" s="5"/>
      <c r="Z179" s="5"/>
    </row>
    <row r="180" spans="1:40">
      <c r="A180" s="17" t="s">
        <v>180</v>
      </c>
      <c r="B180" s="50">
        <v>2038325</v>
      </c>
      <c r="C180" s="18">
        <v>109047</v>
      </c>
      <c r="D180" s="18">
        <v>61309</v>
      </c>
      <c r="E180" s="18">
        <v>190731</v>
      </c>
      <c r="F180" s="18">
        <v>16480</v>
      </c>
      <c r="G180" s="18">
        <v>9775</v>
      </c>
      <c r="H180" s="19">
        <v>53.7</v>
      </c>
      <c r="I180" s="19">
        <v>30.2</v>
      </c>
      <c r="J180" s="19"/>
      <c r="K180" s="5"/>
      <c r="L180" s="18">
        <v>464513</v>
      </c>
      <c r="M180" s="18">
        <v>403985</v>
      </c>
      <c r="N180" s="18">
        <v>215646</v>
      </c>
      <c r="O180" s="18">
        <v>547927</v>
      </c>
      <c r="P180" s="18">
        <v>183617</v>
      </c>
      <c r="Q180" s="18">
        <v>222637</v>
      </c>
      <c r="R180" s="18"/>
      <c r="S180" s="18"/>
      <c r="T180" s="18"/>
      <c r="U180" s="18"/>
      <c r="V180" s="18"/>
      <c r="W180" s="18"/>
      <c r="X180" s="18"/>
      <c r="Y180" s="18"/>
      <c r="Z180" s="18"/>
      <c r="AB180" s="37">
        <f>SUM(L180:Z180)</f>
        <v>2038325</v>
      </c>
      <c r="AC180" s="37">
        <f>SUM(L181:Z181)</f>
        <v>109047</v>
      </c>
      <c r="AD180" s="37">
        <f>SUM(L182:Z182)</f>
        <v>61309</v>
      </c>
      <c r="AF180" s="37">
        <f>AB180-B180</f>
        <v>0</v>
      </c>
      <c r="AG180" s="37">
        <f>AC180-C180</f>
        <v>0</v>
      </c>
      <c r="AH180" s="37">
        <f>AD180-D180</f>
        <v>0</v>
      </c>
      <c r="AJ180" s="38">
        <f>C180/B180*1000</f>
        <v>53.498338096230974</v>
      </c>
      <c r="AK180" s="38">
        <f>D180/B180*1000</f>
        <v>30.07812787460292</v>
      </c>
      <c r="AM180" s="38">
        <f>AJ180-H180</f>
        <v>-0.20166190376902904</v>
      </c>
      <c r="AN180" s="38">
        <f>AK180-I180</f>
        <v>-0.12187212539707915</v>
      </c>
    </row>
    <row r="181" spans="1:40">
      <c r="A181" s="20" t="s">
        <v>181</v>
      </c>
      <c r="B181" s="5"/>
      <c r="C181" s="5"/>
      <c r="D181" s="5"/>
      <c r="E181" s="5"/>
      <c r="F181" s="5"/>
      <c r="G181" s="5"/>
      <c r="H181" s="6" t="s">
        <v>9</v>
      </c>
      <c r="I181" s="6" t="s">
        <v>9</v>
      </c>
      <c r="J181" s="6"/>
      <c r="K181" s="5"/>
      <c r="L181" s="5">
        <v>23848</v>
      </c>
      <c r="M181" s="5">
        <v>21750</v>
      </c>
      <c r="N181" s="5">
        <v>12352</v>
      </c>
      <c r="O181" s="5">
        <v>30637</v>
      </c>
      <c r="P181" s="5">
        <v>10983</v>
      </c>
      <c r="Q181" s="5">
        <v>9477</v>
      </c>
      <c r="R181" s="5"/>
      <c r="S181" s="5"/>
      <c r="T181" s="5"/>
      <c r="U181" s="5"/>
      <c r="V181" s="5"/>
      <c r="W181" s="5"/>
      <c r="X181" s="5"/>
      <c r="Y181" s="5"/>
      <c r="Z181" s="5"/>
    </row>
    <row r="182" spans="1:40">
      <c r="A182" s="20" t="s">
        <v>182</v>
      </c>
      <c r="B182" s="5"/>
      <c r="C182" s="5"/>
      <c r="D182" s="5"/>
      <c r="E182" s="5"/>
      <c r="F182" s="5"/>
      <c r="G182" s="5"/>
      <c r="H182" s="6" t="s">
        <v>9</v>
      </c>
      <c r="I182" s="6" t="s">
        <v>9</v>
      </c>
      <c r="J182" s="6"/>
      <c r="K182" s="5"/>
      <c r="L182" s="5">
        <v>12851</v>
      </c>
      <c r="M182" s="5">
        <v>12862</v>
      </c>
      <c r="N182" s="5">
        <v>7111</v>
      </c>
      <c r="O182" s="5">
        <v>17579</v>
      </c>
      <c r="P182" s="5">
        <v>5614</v>
      </c>
      <c r="Q182" s="5">
        <v>5292</v>
      </c>
      <c r="R182" s="5"/>
      <c r="S182" s="5"/>
      <c r="T182" s="5"/>
      <c r="U182" s="5"/>
      <c r="V182" s="5"/>
      <c r="W182" s="5"/>
      <c r="X182" s="5"/>
      <c r="Y182" s="5"/>
      <c r="Z182" s="5"/>
    </row>
    <row r="183" spans="1:40">
      <c r="A183" s="17" t="s">
        <v>183</v>
      </c>
      <c r="B183" s="18">
        <v>78483</v>
      </c>
      <c r="C183" s="18">
        <v>3486</v>
      </c>
      <c r="D183" s="18">
        <v>2355</v>
      </c>
      <c r="E183" s="18"/>
      <c r="F183" s="18"/>
      <c r="G183" s="18"/>
      <c r="H183" s="19" t="s">
        <v>9</v>
      </c>
      <c r="I183" s="19" t="s">
        <v>9</v>
      </c>
      <c r="J183" s="19"/>
      <c r="K183" s="5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B183" s="37">
        <f>B183</f>
        <v>78483</v>
      </c>
      <c r="AC183" s="37">
        <f>C183</f>
        <v>3486</v>
      </c>
      <c r="AD183" s="37">
        <f>D183</f>
        <v>2355</v>
      </c>
      <c r="AF183" s="39"/>
      <c r="AG183" s="39"/>
      <c r="AH183" s="39"/>
      <c r="AJ183" s="38">
        <f>C183/B183*1000</f>
        <v>44.417262337066624</v>
      </c>
      <c r="AK183" s="38">
        <f>D183/B183*1000</f>
        <v>30.006498222545009</v>
      </c>
      <c r="AM183" s="38"/>
      <c r="AN183" s="38"/>
    </row>
    <row r="184" spans="1:40">
      <c r="A184" s="17" t="s">
        <v>184</v>
      </c>
      <c r="B184" s="18">
        <v>357365</v>
      </c>
      <c r="C184" s="18">
        <v>11937</v>
      </c>
      <c r="D184" s="18">
        <v>8253</v>
      </c>
      <c r="E184" s="18"/>
      <c r="F184" s="18"/>
      <c r="G184" s="18"/>
      <c r="H184" s="19">
        <v>33.4</v>
      </c>
      <c r="I184" s="19">
        <v>23.1</v>
      </c>
      <c r="J184" s="19"/>
      <c r="K184" s="5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B184" s="37">
        <f>B184</f>
        <v>357365</v>
      </c>
      <c r="AC184" s="37">
        <f>C184</f>
        <v>11937</v>
      </c>
      <c r="AD184" s="37">
        <f>D184</f>
        <v>8253</v>
      </c>
      <c r="AF184" s="39"/>
      <c r="AG184" s="39"/>
      <c r="AH184" s="39"/>
      <c r="AJ184" s="38">
        <f>C184/B184*1000</f>
        <v>33.402823443817944</v>
      </c>
      <c r="AK184" s="38">
        <f>D184/B184*1000</f>
        <v>23.094035509912832</v>
      </c>
      <c r="AM184" s="38">
        <f>AJ184-H184</f>
        <v>2.8234438179453036E-3</v>
      </c>
      <c r="AN184" s="38">
        <f>AK184-I184</f>
        <v>-5.9644900871695938E-3</v>
      </c>
    </row>
    <row r="185" spans="1:40">
      <c r="A185" s="17" t="s">
        <v>185</v>
      </c>
      <c r="B185" s="18">
        <v>2381697</v>
      </c>
      <c r="C185" s="18">
        <v>112080</v>
      </c>
      <c r="D185" s="18">
        <v>72617</v>
      </c>
      <c r="E185" s="18">
        <v>229909</v>
      </c>
      <c r="F185" s="18">
        <v>7276</v>
      </c>
      <c r="G185" s="18">
        <v>5129</v>
      </c>
      <c r="H185" s="19">
        <v>47.1</v>
      </c>
      <c r="I185" s="19">
        <v>30.5</v>
      </c>
      <c r="J185" s="19"/>
      <c r="K185" s="5"/>
      <c r="L185" s="18">
        <v>173519</v>
      </c>
      <c r="M185" s="18">
        <v>145687</v>
      </c>
      <c r="N185" s="18">
        <v>142098</v>
      </c>
      <c r="O185" s="18">
        <v>143199</v>
      </c>
      <c r="P185" s="18">
        <v>133825</v>
      </c>
      <c r="Q185" s="18">
        <v>164735</v>
      </c>
      <c r="R185" s="18">
        <v>139928</v>
      </c>
      <c r="S185" s="18">
        <v>141100</v>
      </c>
      <c r="T185" s="18">
        <v>144210</v>
      </c>
      <c r="U185" s="18">
        <v>183446</v>
      </c>
      <c r="V185" s="18">
        <v>183092</v>
      </c>
      <c r="W185" s="18">
        <v>144254</v>
      </c>
      <c r="X185" s="18">
        <v>165154</v>
      </c>
      <c r="Y185" s="18">
        <v>181101</v>
      </c>
      <c r="Z185" s="18">
        <v>196349</v>
      </c>
      <c r="AB185" s="37">
        <f>SUM(L185:Z185)</f>
        <v>2381697</v>
      </c>
      <c r="AC185" s="37">
        <f>SUM(L186:Z186)</f>
        <v>112082</v>
      </c>
      <c r="AD185" s="37">
        <f>SUM(L187:Z187)</f>
        <v>72617</v>
      </c>
      <c r="AF185" s="37">
        <f>AB185-B185</f>
        <v>0</v>
      </c>
      <c r="AG185" s="37">
        <f>AC185-C185</f>
        <v>2</v>
      </c>
      <c r="AH185" s="37">
        <f>AD185-D185</f>
        <v>0</v>
      </c>
      <c r="AJ185" s="38">
        <f>C185/B185*1000</f>
        <v>47.058882804991569</v>
      </c>
      <c r="AK185" s="38">
        <f>D185/B185*1000</f>
        <v>30.489604681032052</v>
      </c>
      <c r="AM185" s="38">
        <f>AJ185-H185</f>
        <v>-4.1117195008432361E-2</v>
      </c>
      <c r="AN185" s="38">
        <f>AK185-I185</f>
        <v>-1.0395318967947986E-2</v>
      </c>
    </row>
    <row r="186" spans="1:40">
      <c r="A186" s="20" t="s">
        <v>186</v>
      </c>
      <c r="B186" s="5"/>
      <c r="C186" s="5"/>
      <c r="D186" s="5"/>
      <c r="E186" s="5"/>
      <c r="F186" s="5"/>
      <c r="G186" s="5"/>
      <c r="H186" s="6" t="s">
        <v>9</v>
      </c>
      <c r="I186" s="6" t="s">
        <v>9</v>
      </c>
      <c r="J186" s="6"/>
      <c r="K186" s="5"/>
      <c r="L186" s="5">
        <v>7104</v>
      </c>
      <c r="M186" s="5">
        <v>7198</v>
      </c>
      <c r="N186" s="5">
        <v>6327</v>
      </c>
      <c r="O186" s="5">
        <v>7747</v>
      </c>
      <c r="P186" s="5">
        <v>6172</v>
      </c>
      <c r="Q186" s="5">
        <v>7559</v>
      </c>
      <c r="R186" s="5">
        <v>6137</v>
      </c>
      <c r="S186" s="5">
        <v>7531</v>
      </c>
      <c r="T186" s="5">
        <v>6379</v>
      </c>
      <c r="U186" s="5">
        <v>8701</v>
      </c>
      <c r="V186" s="5">
        <v>8021</v>
      </c>
      <c r="W186" s="5">
        <v>7965</v>
      </c>
      <c r="X186" s="5">
        <v>7758</v>
      </c>
      <c r="Y186" s="5">
        <v>7432</v>
      </c>
      <c r="Z186" s="5">
        <v>10051</v>
      </c>
    </row>
    <row r="187" spans="1:40">
      <c r="A187" s="20" t="s">
        <v>187</v>
      </c>
      <c r="B187" s="5"/>
      <c r="C187" s="5"/>
      <c r="D187" s="5"/>
      <c r="E187" s="5"/>
      <c r="F187" s="5"/>
      <c r="G187" s="5"/>
      <c r="H187" s="6" t="s">
        <v>9</v>
      </c>
      <c r="I187" s="6" t="s">
        <v>9</v>
      </c>
      <c r="J187" s="6"/>
      <c r="K187" s="5"/>
      <c r="L187" s="5">
        <v>4924</v>
      </c>
      <c r="M187" s="5">
        <v>5380</v>
      </c>
      <c r="N187" s="5">
        <v>4777</v>
      </c>
      <c r="O187" s="5">
        <v>4301</v>
      </c>
      <c r="P187" s="5">
        <v>4515</v>
      </c>
      <c r="Q187" s="5">
        <v>4935</v>
      </c>
      <c r="R187" s="5">
        <v>4322</v>
      </c>
      <c r="S187" s="5">
        <v>3928</v>
      </c>
      <c r="T187" s="5">
        <v>4673</v>
      </c>
      <c r="U187" s="5">
        <v>4873</v>
      </c>
      <c r="V187" s="5">
        <v>5197</v>
      </c>
      <c r="W187" s="5">
        <v>5113</v>
      </c>
      <c r="X187" s="5">
        <v>5278</v>
      </c>
      <c r="Y187" s="5">
        <v>4606</v>
      </c>
      <c r="Z187" s="5">
        <v>5795</v>
      </c>
    </row>
    <row r="188" spans="1:40">
      <c r="A188" s="17" t="s">
        <v>188</v>
      </c>
      <c r="B188" s="18">
        <v>1191644</v>
      </c>
      <c r="C188" s="18">
        <v>45809</v>
      </c>
      <c r="D188" s="18">
        <v>39259</v>
      </c>
      <c r="E188" s="18">
        <v>159315</v>
      </c>
      <c r="F188" s="18">
        <v>5377</v>
      </c>
      <c r="G188" s="18">
        <v>5216</v>
      </c>
      <c r="H188" s="19">
        <v>38.6</v>
      </c>
      <c r="I188" s="19">
        <v>33.200000000000003</v>
      </c>
      <c r="J188" s="19"/>
      <c r="K188" s="5"/>
      <c r="L188" s="18">
        <v>236017</v>
      </c>
      <c r="M188" s="18">
        <v>68404</v>
      </c>
      <c r="N188" s="18">
        <v>69071</v>
      </c>
      <c r="O188" s="18">
        <v>134399</v>
      </c>
      <c r="P188" s="18">
        <v>97179</v>
      </c>
      <c r="Q188" s="18">
        <v>118337</v>
      </c>
      <c r="R188" s="18">
        <v>80205</v>
      </c>
      <c r="S188" s="18">
        <v>170669</v>
      </c>
      <c r="T188" s="18">
        <v>101153</v>
      </c>
      <c r="U188" s="18">
        <v>116200</v>
      </c>
      <c r="V188" s="18"/>
      <c r="W188" s="18"/>
      <c r="X188" s="18"/>
      <c r="Y188" s="18"/>
      <c r="Z188" s="18"/>
      <c r="AB188" s="37">
        <f>SUM(L188:Z188)</f>
        <v>1191634</v>
      </c>
      <c r="AC188" s="37">
        <f>SUM(L189:Z189)</f>
        <v>45809</v>
      </c>
      <c r="AD188" s="37">
        <f>SUM(L190:Z190)</f>
        <v>39259</v>
      </c>
      <c r="AF188" s="37">
        <f>AB188-B188</f>
        <v>-10</v>
      </c>
      <c r="AG188" s="37">
        <f>AC188-C188</f>
        <v>0</v>
      </c>
      <c r="AH188" s="37">
        <f>AD188-D188</f>
        <v>0</v>
      </c>
      <c r="AJ188" s="38">
        <f>C188/B188*1000</f>
        <v>38.441850082742832</v>
      </c>
      <c r="AK188" s="38">
        <f>D188/B188*1000</f>
        <v>32.945242035372985</v>
      </c>
      <c r="AM188" s="38">
        <f>AJ188-H188</f>
        <v>-0.15814991725716965</v>
      </c>
      <c r="AN188" s="38">
        <f>AK188-I188</f>
        <v>-0.25475796462701794</v>
      </c>
    </row>
    <row r="189" spans="1:40">
      <c r="A189" s="20" t="s">
        <v>189</v>
      </c>
      <c r="B189" s="5"/>
      <c r="C189" s="5"/>
      <c r="D189" s="5"/>
      <c r="E189" s="5"/>
      <c r="F189" s="5"/>
      <c r="G189" s="5"/>
      <c r="H189" s="6" t="s">
        <v>9</v>
      </c>
      <c r="I189" s="6" t="s">
        <v>9</v>
      </c>
      <c r="J189" s="6"/>
      <c r="K189" s="5"/>
      <c r="L189" s="5">
        <v>8982</v>
      </c>
      <c r="M189" s="5">
        <v>2575</v>
      </c>
      <c r="N189" s="5">
        <v>2490</v>
      </c>
      <c r="O189" s="5">
        <v>5749</v>
      </c>
      <c r="P189" s="5">
        <v>3834</v>
      </c>
      <c r="Q189" s="5">
        <v>4515</v>
      </c>
      <c r="R189" s="5">
        <v>3007</v>
      </c>
      <c r="S189" s="5">
        <v>6857</v>
      </c>
      <c r="T189" s="5">
        <v>3686</v>
      </c>
      <c r="U189" s="5">
        <v>4114</v>
      </c>
      <c r="V189" s="5"/>
      <c r="W189" s="5"/>
      <c r="X189" s="5"/>
      <c r="Y189" s="5"/>
      <c r="Z189" s="5"/>
    </row>
    <row r="190" spans="1:40">
      <c r="A190" s="20" t="s">
        <v>190</v>
      </c>
      <c r="B190" s="5"/>
      <c r="C190" s="5"/>
      <c r="D190" s="5"/>
      <c r="E190" s="5"/>
      <c r="F190" s="5"/>
      <c r="G190" s="5"/>
      <c r="H190" s="6" t="s">
        <v>9</v>
      </c>
      <c r="I190" s="6" t="s">
        <v>9</v>
      </c>
      <c r="J190" s="6"/>
      <c r="K190" s="5"/>
      <c r="L190" s="5">
        <v>7776</v>
      </c>
      <c r="M190" s="5">
        <v>2372</v>
      </c>
      <c r="N190" s="5">
        <v>2124</v>
      </c>
      <c r="O190" s="5">
        <v>4393</v>
      </c>
      <c r="P190" s="5">
        <v>3308</v>
      </c>
      <c r="Q190" s="5">
        <v>3514</v>
      </c>
      <c r="R190" s="5">
        <v>2875</v>
      </c>
      <c r="S190" s="5">
        <v>6382</v>
      </c>
      <c r="T190" s="5">
        <v>3032</v>
      </c>
      <c r="U190" s="5">
        <v>3483</v>
      </c>
      <c r="V190" s="5"/>
      <c r="W190" s="5"/>
      <c r="X190" s="5"/>
      <c r="Y190" s="5"/>
      <c r="Z190" s="5"/>
    </row>
    <row r="191" spans="1:40">
      <c r="A191" s="21" t="s">
        <v>191</v>
      </c>
      <c r="B191" s="22">
        <v>68207644</v>
      </c>
      <c r="C191" s="22">
        <v>3341449</v>
      </c>
      <c r="D191" s="22">
        <v>2385917</v>
      </c>
      <c r="E191" s="22"/>
      <c r="F191" s="22"/>
      <c r="G191" s="22"/>
      <c r="H191" s="23">
        <v>48.5</v>
      </c>
      <c r="I191" s="23">
        <v>34.700000000000003</v>
      </c>
      <c r="J191" s="23"/>
      <c r="K191" s="5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B191" s="43">
        <f>SUM(AB85:AB190)</f>
        <v>68303483</v>
      </c>
      <c r="AC191" s="43">
        <f>SUM(AC85:AC190)</f>
        <v>3330702</v>
      </c>
      <c r="AD191" s="43">
        <f>SUM(AD85:AD190)</f>
        <v>2424048</v>
      </c>
      <c r="AF191" s="43">
        <f>AB191-B191</f>
        <v>95839</v>
      </c>
      <c r="AG191" s="43">
        <f>AC191-C191</f>
        <v>-10747</v>
      </c>
      <c r="AH191" s="43">
        <f>AD191-D191</f>
        <v>38131</v>
      </c>
      <c r="AJ191" s="44">
        <f>C191/B191*1000</f>
        <v>48.98936254124245</v>
      </c>
      <c r="AK191" s="44">
        <f>D191/B191*1000</f>
        <v>34.980199579976698</v>
      </c>
      <c r="AM191" s="44">
        <f>AJ191-H191</f>
        <v>0.48936254124244982</v>
      </c>
      <c r="AN191" s="44">
        <f>AK191-I191</f>
        <v>0.28019957997669565</v>
      </c>
    </row>
    <row r="192" spans="1:40">
      <c r="A192" s="17" t="s">
        <v>192</v>
      </c>
      <c r="B192" s="18">
        <v>2267947</v>
      </c>
      <c r="C192" s="18">
        <v>135496</v>
      </c>
      <c r="D192" s="18">
        <v>88366</v>
      </c>
      <c r="E192" s="24" t="s">
        <v>9</v>
      </c>
      <c r="F192" s="24" t="s">
        <v>9</v>
      </c>
      <c r="G192" s="24" t="s">
        <v>9</v>
      </c>
      <c r="H192" s="25">
        <v>59.7</v>
      </c>
      <c r="I192" s="25">
        <v>39</v>
      </c>
      <c r="J192" s="25"/>
      <c r="K192" s="11"/>
      <c r="L192" s="18">
        <v>184733</v>
      </c>
      <c r="M192" s="18">
        <v>241056</v>
      </c>
      <c r="N192" s="18">
        <v>203709</v>
      </c>
      <c r="O192" s="18">
        <v>419262</v>
      </c>
      <c r="P192" s="18">
        <v>330769</v>
      </c>
      <c r="Q192" s="18">
        <v>56503</v>
      </c>
      <c r="R192" s="18">
        <v>395246</v>
      </c>
      <c r="S192" s="18">
        <v>222288</v>
      </c>
      <c r="T192" s="18">
        <v>214381</v>
      </c>
      <c r="U192" s="18"/>
      <c r="V192" s="18"/>
      <c r="W192" s="18"/>
      <c r="X192" s="18"/>
      <c r="Y192" s="18"/>
      <c r="Z192" s="18"/>
      <c r="AB192" s="37">
        <f>SUM(L192:Z192)</f>
        <v>2267947</v>
      </c>
      <c r="AC192" s="37">
        <f>SUM(L193:Z193)</f>
        <v>135496</v>
      </c>
      <c r="AD192" s="37">
        <f>SUM(L194:Z194)</f>
        <v>88366</v>
      </c>
      <c r="AF192" s="37">
        <f>AB192-B192</f>
        <v>0</v>
      </c>
      <c r="AG192" s="37">
        <f>AC192-C192</f>
        <v>0</v>
      </c>
      <c r="AH192" s="37">
        <f>AD192-D192</f>
        <v>0</v>
      </c>
      <c r="AJ192" s="38">
        <f>C192/B192*1000</f>
        <v>59.743900540885662</v>
      </c>
      <c r="AK192" s="38">
        <f>D192/B192*1000</f>
        <v>38.962991639575357</v>
      </c>
      <c r="AM192" s="38">
        <f>AJ192-H192</f>
        <v>4.3900540885658756E-2</v>
      </c>
      <c r="AN192" s="38">
        <f>AK192-I192</f>
        <v>-3.7008360424643172E-2</v>
      </c>
    </row>
    <row r="193" spans="1:40">
      <c r="A193" s="20" t="s">
        <v>193</v>
      </c>
      <c r="B193" s="5"/>
      <c r="C193" s="5"/>
      <c r="D193" s="5"/>
      <c r="E193" s="5"/>
      <c r="F193" s="5"/>
      <c r="G193" s="5"/>
      <c r="H193" s="6" t="s">
        <v>9</v>
      </c>
      <c r="I193" s="6" t="s">
        <v>9</v>
      </c>
      <c r="J193" s="6"/>
      <c r="K193" s="5"/>
      <c r="L193" s="5">
        <v>14025</v>
      </c>
      <c r="M193" s="5">
        <v>15761</v>
      </c>
      <c r="N193" s="5">
        <v>10397</v>
      </c>
      <c r="O193" s="5">
        <v>27099</v>
      </c>
      <c r="P193" s="5">
        <v>18859</v>
      </c>
      <c r="Q193" s="5">
        <v>2992</v>
      </c>
      <c r="R193" s="5">
        <v>22237</v>
      </c>
      <c r="S193" s="5">
        <v>11859</v>
      </c>
      <c r="T193" s="5">
        <v>12267</v>
      </c>
      <c r="U193" s="5"/>
      <c r="V193" s="5"/>
      <c r="W193" s="5"/>
      <c r="X193" s="5"/>
      <c r="Y193" s="5"/>
      <c r="Z193" s="5"/>
    </row>
    <row r="194" spans="1:40">
      <c r="A194" s="20" t="s">
        <v>194</v>
      </c>
      <c r="B194" s="5"/>
      <c r="C194" s="5"/>
      <c r="D194" s="5"/>
      <c r="E194" s="5"/>
      <c r="F194" s="5"/>
      <c r="G194" s="5"/>
      <c r="H194" s="6" t="s">
        <v>9</v>
      </c>
      <c r="I194" s="6" t="s">
        <v>9</v>
      </c>
      <c r="J194" s="6"/>
      <c r="K194" s="5"/>
      <c r="L194" s="5">
        <v>9885</v>
      </c>
      <c r="M194" s="5">
        <v>8264</v>
      </c>
      <c r="N194" s="5">
        <v>5900</v>
      </c>
      <c r="O194" s="5">
        <v>16937</v>
      </c>
      <c r="P194" s="5">
        <v>13024</v>
      </c>
      <c r="Q194" s="5">
        <v>1889</v>
      </c>
      <c r="R194" s="5">
        <v>15096</v>
      </c>
      <c r="S194" s="5">
        <v>6876</v>
      </c>
      <c r="T194" s="5">
        <v>10495</v>
      </c>
      <c r="U194" s="5"/>
      <c r="V194" s="5"/>
      <c r="W194" s="5"/>
      <c r="X194" s="5"/>
      <c r="Y194" s="5"/>
      <c r="Z194" s="5"/>
    </row>
    <row r="195" spans="1:40">
      <c r="A195" s="21" t="s">
        <v>195</v>
      </c>
      <c r="B195" s="22">
        <v>104506880</v>
      </c>
      <c r="C195" s="22">
        <v>4196259</v>
      </c>
      <c r="D195" s="22">
        <v>3385485</v>
      </c>
      <c r="E195" s="22"/>
      <c r="F195" s="22"/>
      <c r="G195" s="22"/>
      <c r="H195" s="23">
        <v>47.1</v>
      </c>
      <c r="I195" s="23">
        <v>32.5</v>
      </c>
      <c r="J195" s="23"/>
      <c r="K195" s="5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B195" s="45">
        <f>SUM(AB42, AB84, AB74, AB191, AB192)</f>
        <v>104531401</v>
      </c>
      <c r="AC195" s="45">
        <f>SUM(AC42, AC84, AC74, AC191, AC192)</f>
        <v>4919532</v>
      </c>
      <c r="AD195" s="45">
        <f>SUM(AD42, AD84, AD74, AD191, AD192)</f>
        <v>3433421</v>
      </c>
      <c r="AF195" s="43">
        <f>AB195-B195</f>
        <v>24521</v>
      </c>
      <c r="AG195" s="43">
        <f>AC195-C195</f>
        <v>723273</v>
      </c>
      <c r="AH195" s="43">
        <f>AD195-D195</f>
        <v>47936</v>
      </c>
      <c r="AJ195" s="44">
        <f>C195/B195*1000</f>
        <v>40.152944954437451</v>
      </c>
      <c r="AK195" s="44">
        <f>D195/B195*1000</f>
        <v>32.394852855620606</v>
      </c>
      <c r="AM195" s="44">
        <f>AJ195-H195</f>
        <v>-6.9470550455625499</v>
      </c>
      <c r="AN195" s="44">
        <f>AK195-I195</f>
        <v>-0.10514714437939432</v>
      </c>
    </row>
    <row r="196" spans="1:40">
      <c r="A196" s="17" t="s">
        <v>196</v>
      </c>
      <c r="B196" s="18">
        <v>817571</v>
      </c>
      <c r="C196" s="18">
        <v>17107</v>
      </c>
      <c r="D196" s="18">
        <v>12644</v>
      </c>
      <c r="E196" s="18">
        <v>172851</v>
      </c>
      <c r="F196" s="18">
        <v>3433</v>
      </c>
      <c r="G196" s="18">
        <v>2814</v>
      </c>
      <c r="H196" s="19">
        <v>21</v>
      </c>
      <c r="I196" s="19">
        <v>16</v>
      </c>
      <c r="J196" s="19"/>
      <c r="K196" s="5"/>
      <c r="L196" s="18">
        <v>198447</v>
      </c>
      <c r="M196" s="18">
        <v>81508</v>
      </c>
      <c r="N196" s="18">
        <v>102728</v>
      </c>
      <c r="O196" s="18">
        <v>184584</v>
      </c>
      <c r="P196" s="18">
        <v>129816</v>
      </c>
      <c r="Q196" s="18">
        <v>120488</v>
      </c>
      <c r="R196" s="18"/>
      <c r="S196" s="18"/>
      <c r="T196" s="18"/>
      <c r="U196" s="18"/>
      <c r="V196" s="18"/>
      <c r="W196" s="18"/>
      <c r="X196" s="18"/>
      <c r="Y196" s="18"/>
      <c r="Z196" s="18"/>
      <c r="AB196" s="37">
        <f>SUM(L196:Z196)</f>
        <v>817571</v>
      </c>
      <c r="AC196" s="37">
        <f>SUM(L197:Z197)</f>
        <v>17107</v>
      </c>
      <c r="AD196" s="37">
        <f>SUM(L198:Z198)</f>
        <v>12644</v>
      </c>
      <c r="AF196" s="37">
        <f>AB196-B196</f>
        <v>0</v>
      </c>
      <c r="AG196" s="37">
        <f>AC196-C196</f>
        <v>0</v>
      </c>
      <c r="AH196" s="37">
        <f>AD196-D196</f>
        <v>0</v>
      </c>
      <c r="AJ196" s="38">
        <f>C196/B196*1000</f>
        <v>20.924176615853547</v>
      </c>
      <c r="AK196" s="38">
        <f>D196/B196*1000</f>
        <v>15.465323500955881</v>
      </c>
      <c r="AM196" s="38">
        <f>AJ196-H196</f>
        <v>-7.5823384146453066E-2</v>
      </c>
      <c r="AN196" s="38">
        <f>AK196-I196</f>
        <v>-0.53467649904411907</v>
      </c>
    </row>
    <row r="197" spans="1:40">
      <c r="A197" s="20" t="s">
        <v>197</v>
      </c>
      <c r="B197" s="5"/>
      <c r="C197" s="5"/>
      <c r="D197" s="5"/>
      <c r="E197" s="5"/>
      <c r="F197" s="5"/>
      <c r="G197" s="5"/>
      <c r="H197" s="6" t="s">
        <v>9</v>
      </c>
      <c r="I197" s="6" t="s">
        <v>9</v>
      </c>
      <c r="J197" s="6"/>
      <c r="K197" s="5"/>
      <c r="L197" s="5">
        <v>3190</v>
      </c>
      <c r="M197" s="5">
        <v>2901</v>
      </c>
      <c r="N197" s="5">
        <v>1157</v>
      </c>
      <c r="O197" s="5">
        <v>4929</v>
      </c>
      <c r="P197" s="5">
        <v>1616</v>
      </c>
      <c r="Q197" s="5">
        <v>3314</v>
      </c>
      <c r="R197" s="5"/>
      <c r="S197" s="5"/>
      <c r="T197" s="5"/>
      <c r="U197" s="5"/>
      <c r="V197" s="5"/>
      <c r="W197" s="5"/>
      <c r="X197" s="5"/>
      <c r="Y197" s="5"/>
      <c r="Z197" s="5"/>
    </row>
    <row r="198" spans="1:40">
      <c r="A198" s="20" t="s">
        <v>198</v>
      </c>
      <c r="B198" s="5"/>
      <c r="C198" s="5"/>
      <c r="D198" s="5"/>
      <c r="E198" s="5"/>
      <c r="F198" s="5"/>
      <c r="G198" s="5"/>
      <c r="H198" s="6" t="s">
        <v>9</v>
      </c>
      <c r="I198" s="6" t="s">
        <v>9</v>
      </c>
      <c r="J198" s="6"/>
      <c r="K198" s="5"/>
      <c r="L198" s="5">
        <v>2479</v>
      </c>
      <c r="M198" s="5">
        <v>2163</v>
      </c>
      <c r="N198" s="5">
        <v>765</v>
      </c>
      <c r="O198" s="5">
        <v>4351</v>
      </c>
      <c r="P198" s="5">
        <v>1038</v>
      </c>
      <c r="Q198" s="5">
        <v>1848</v>
      </c>
      <c r="R198" s="5"/>
      <c r="S198" s="5"/>
      <c r="T198" s="5"/>
      <c r="U198" s="5"/>
      <c r="V198" s="5"/>
      <c r="W198" s="5"/>
      <c r="X198" s="5"/>
      <c r="Y198" s="5"/>
      <c r="Z198" s="5"/>
    </row>
    <row r="199" spans="1:40">
      <c r="A199" s="17" t="s">
        <v>199</v>
      </c>
      <c r="B199" s="18">
        <v>598915</v>
      </c>
      <c r="C199" s="18">
        <v>14596</v>
      </c>
      <c r="D199" s="18">
        <v>11377</v>
      </c>
      <c r="E199" s="18">
        <v>19671</v>
      </c>
      <c r="F199" s="18">
        <v>850</v>
      </c>
      <c r="G199" s="18">
        <v>644</v>
      </c>
      <c r="H199" s="19" t="s">
        <v>9</v>
      </c>
      <c r="I199" s="19" t="s">
        <v>9</v>
      </c>
      <c r="J199" s="19"/>
      <c r="K199" s="5"/>
      <c r="L199" s="18">
        <v>82018</v>
      </c>
      <c r="M199" s="18">
        <v>34903</v>
      </c>
      <c r="N199" s="18">
        <v>50240</v>
      </c>
      <c r="O199" s="18">
        <v>60766</v>
      </c>
      <c r="P199" s="18">
        <v>80440</v>
      </c>
      <c r="Q199" s="18">
        <v>52563</v>
      </c>
      <c r="R199" s="18">
        <v>76458</v>
      </c>
      <c r="S199" s="18">
        <v>79612</v>
      </c>
      <c r="T199" s="18">
        <v>81915</v>
      </c>
      <c r="U199" s="18"/>
      <c r="V199" s="18"/>
      <c r="W199" s="18"/>
      <c r="X199" s="18"/>
      <c r="Y199" s="18"/>
      <c r="Z199" s="18"/>
      <c r="AB199" s="37">
        <f>SUM(L199:Z199)</f>
        <v>598915</v>
      </c>
      <c r="AC199" s="37">
        <f>SUM(L200:Z200)</f>
        <v>14596</v>
      </c>
      <c r="AD199" s="37">
        <f>SUM(L201:Z201)</f>
        <v>11377</v>
      </c>
      <c r="AF199" s="37">
        <f>AB199-B199</f>
        <v>0</v>
      </c>
      <c r="AG199" s="37">
        <f>AC199-C199</f>
        <v>0</v>
      </c>
      <c r="AH199" s="37">
        <f>AD199-D199</f>
        <v>0</v>
      </c>
      <c r="AJ199" s="38">
        <f>C199/B199*1000</f>
        <v>24.370737082891562</v>
      </c>
      <c r="AK199" s="38">
        <f>D199/B199*1000</f>
        <v>18.996017798852925</v>
      </c>
      <c r="AM199" s="38"/>
      <c r="AN199" s="38"/>
    </row>
    <row r="200" spans="1:40">
      <c r="A200" s="20" t="s">
        <v>200</v>
      </c>
      <c r="B200" s="5"/>
      <c r="C200" s="5"/>
      <c r="D200" s="5"/>
      <c r="E200" s="5"/>
      <c r="F200" s="5"/>
      <c r="G200" s="5"/>
      <c r="H200" s="6" t="s">
        <v>9</v>
      </c>
      <c r="I200" s="6" t="s">
        <v>9</v>
      </c>
      <c r="J200" s="6"/>
      <c r="K200" s="5"/>
      <c r="L200" s="5">
        <v>2153</v>
      </c>
      <c r="M200" s="5">
        <v>596</v>
      </c>
      <c r="N200" s="5">
        <v>1538</v>
      </c>
      <c r="O200" s="5">
        <v>1358</v>
      </c>
      <c r="P200" s="5">
        <v>1857</v>
      </c>
      <c r="Q200" s="5">
        <v>1627</v>
      </c>
      <c r="R200" s="5">
        <v>1610</v>
      </c>
      <c r="S200" s="5">
        <v>2016</v>
      </c>
      <c r="T200" s="5">
        <v>1841</v>
      </c>
      <c r="U200" s="5"/>
      <c r="V200" s="5"/>
      <c r="W200" s="5"/>
      <c r="X200" s="5"/>
      <c r="Y200" s="5"/>
      <c r="Z200" s="5"/>
    </row>
    <row r="201" spans="1:40">
      <c r="A201" s="20" t="s">
        <v>201</v>
      </c>
      <c r="B201" s="5"/>
      <c r="C201" s="5"/>
      <c r="D201" s="5"/>
      <c r="E201" s="5"/>
      <c r="F201" s="5"/>
      <c r="G201" s="5"/>
      <c r="H201" s="6" t="s">
        <v>9</v>
      </c>
      <c r="I201" s="6" t="s">
        <v>9</v>
      </c>
      <c r="J201" s="6"/>
      <c r="K201" s="5"/>
      <c r="L201" s="5">
        <v>1676</v>
      </c>
      <c r="M201" s="5">
        <v>474</v>
      </c>
      <c r="N201" s="5">
        <v>972</v>
      </c>
      <c r="O201" s="5">
        <v>945</v>
      </c>
      <c r="P201" s="5">
        <v>1671</v>
      </c>
      <c r="Q201" s="5">
        <v>1124</v>
      </c>
      <c r="R201" s="5">
        <v>1469</v>
      </c>
      <c r="S201" s="5">
        <v>1148</v>
      </c>
      <c r="T201" s="5">
        <v>1898</v>
      </c>
      <c r="U201" s="5"/>
      <c r="V201" s="5"/>
      <c r="W201" s="5"/>
      <c r="X201" s="5"/>
      <c r="Y201" s="5"/>
      <c r="Z201" s="5"/>
    </row>
    <row r="202" spans="1:40">
      <c r="A202" s="26" t="s">
        <v>202</v>
      </c>
      <c r="B202" s="27">
        <v>70892</v>
      </c>
      <c r="C202" s="27">
        <v>3752</v>
      </c>
      <c r="D202" s="27">
        <v>3320</v>
      </c>
      <c r="E202" s="27">
        <v>2517</v>
      </c>
      <c r="F202" s="27">
        <v>108</v>
      </c>
      <c r="G202" s="27">
        <v>47</v>
      </c>
      <c r="H202" s="28" t="s">
        <v>9</v>
      </c>
      <c r="I202" s="28" t="s">
        <v>9</v>
      </c>
      <c r="J202" s="28" t="s">
        <v>221</v>
      </c>
      <c r="K202" s="5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B202" s="37">
        <f>B202</f>
        <v>70892</v>
      </c>
      <c r="AC202" s="37">
        <f>C202</f>
        <v>3752</v>
      </c>
      <c r="AD202" s="37">
        <f>D202</f>
        <v>3320</v>
      </c>
      <c r="AF202" s="39"/>
      <c r="AG202" s="39"/>
      <c r="AH202" s="39"/>
      <c r="AJ202" s="38">
        <f>C202/B202*1000</f>
        <v>52.925576933927665</v>
      </c>
      <c r="AK202" s="38">
        <f>D202/B202*1000</f>
        <v>46.831800485245161</v>
      </c>
      <c r="AM202" s="38"/>
      <c r="AN202" s="38"/>
    </row>
    <row r="203" spans="1:40">
      <c r="A203" s="26" t="s">
        <v>203</v>
      </c>
      <c r="B203" s="27">
        <v>827879</v>
      </c>
      <c r="C203" s="27">
        <v>21773</v>
      </c>
      <c r="D203" s="27">
        <v>12900</v>
      </c>
      <c r="E203" s="27">
        <v>88111</v>
      </c>
      <c r="F203" s="27">
        <v>2439</v>
      </c>
      <c r="G203" s="27">
        <v>1558</v>
      </c>
      <c r="H203" s="28">
        <v>23.4</v>
      </c>
      <c r="I203" s="28">
        <v>14</v>
      </c>
      <c r="J203" s="28"/>
      <c r="K203" s="5"/>
      <c r="L203" s="27">
        <v>144597</v>
      </c>
      <c r="M203" s="27">
        <v>60092</v>
      </c>
      <c r="N203" s="27">
        <v>54757</v>
      </c>
      <c r="O203" s="27">
        <v>61486</v>
      </c>
      <c r="P203" s="27">
        <v>138486</v>
      </c>
      <c r="Q203" s="27">
        <v>99948</v>
      </c>
      <c r="R203" s="27">
        <v>120749</v>
      </c>
      <c r="S203" s="27">
        <v>147764</v>
      </c>
      <c r="T203" s="27"/>
      <c r="U203" s="27"/>
      <c r="V203" s="27"/>
      <c r="W203" s="27"/>
      <c r="X203" s="27"/>
      <c r="Y203" s="27"/>
      <c r="Z203" s="27"/>
      <c r="AB203" s="37">
        <f>SUM(L203:Z203)</f>
        <v>827879</v>
      </c>
      <c r="AC203" s="37">
        <f>SUM(L204:Z204)</f>
        <v>21773</v>
      </c>
      <c r="AD203" s="37">
        <f>SUM(L205:Z205)</f>
        <v>12898</v>
      </c>
      <c r="AF203" s="37">
        <f>AB203-B203</f>
        <v>0</v>
      </c>
      <c r="AG203" s="37">
        <f>AC203-C203</f>
        <v>0</v>
      </c>
      <c r="AH203" s="37">
        <f>AD203-D203</f>
        <v>-2</v>
      </c>
      <c r="AJ203" s="38">
        <f>C203/B203*1000</f>
        <v>26.299737038866791</v>
      </c>
      <c r="AK203" s="38">
        <f>D203/B203*1000</f>
        <v>15.581987222770477</v>
      </c>
      <c r="AM203" s="38">
        <f>AJ203-H203</f>
        <v>2.8997370388667925</v>
      </c>
      <c r="AN203" s="38">
        <f>AK203-I203</f>
        <v>1.5819872227704774</v>
      </c>
    </row>
    <row r="204" spans="1:40">
      <c r="A204" s="4" t="s">
        <v>204</v>
      </c>
      <c r="B204" s="5"/>
      <c r="C204" s="5"/>
      <c r="D204" s="5"/>
      <c r="E204" s="5"/>
      <c r="F204" s="5"/>
      <c r="G204" s="5"/>
      <c r="H204" s="6" t="s">
        <v>9</v>
      </c>
      <c r="I204" s="6" t="s">
        <v>9</v>
      </c>
      <c r="J204" s="6"/>
      <c r="K204" s="5"/>
      <c r="L204" s="5">
        <v>3207</v>
      </c>
      <c r="M204" s="5">
        <v>1850</v>
      </c>
      <c r="N204" s="5">
        <v>1203</v>
      </c>
      <c r="O204" s="5">
        <v>1318</v>
      </c>
      <c r="P204" s="5">
        <v>3485</v>
      </c>
      <c r="Q204" s="5">
        <v>3624</v>
      </c>
      <c r="R204" s="5">
        <v>3946</v>
      </c>
      <c r="S204" s="5">
        <v>3140</v>
      </c>
      <c r="T204" s="5"/>
      <c r="U204" s="5"/>
      <c r="V204" s="5"/>
      <c r="W204" s="5"/>
      <c r="X204" s="5"/>
      <c r="Y204" s="5"/>
      <c r="Z204" s="5"/>
    </row>
    <row r="205" spans="1:40">
      <c r="A205" s="4" t="s">
        <v>205</v>
      </c>
      <c r="B205" s="5"/>
      <c r="C205" s="5"/>
      <c r="D205" s="5"/>
      <c r="E205" s="5"/>
      <c r="F205" s="5"/>
      <c r="G205" s="5"/>
      <c r="H205" s="6" t="s">
        <v>9</v>
      </c>
      <c r="I205" s="6" t="s">
        <v>9</v>
      </c>
      <c r="J205" s="6"/>
      <c r="K205" s="5"/>
      <c r="L205" s="5">
        <v>1548</v>
      </c>
      <c r="M205" s="5">
        <v>1325</v>
      </c>
      <c r="N205" s="5">
        <v>585</v>
      </c>
      <c r="O205" s="5">
        <v>901</v>
      </c>
      <c r="P205" s="5">
        <v>1535</v>
      </c>
      <c r="Q205" s="5">
        <v>1809</v>
      </c>
      <c r="R205" s="5">
        <v>3579</v>
      </c>
      <c r="S205" s="5">
        <v>1616</v>
      </c>
      <c r="T205" s="5"/>
      <c r="U205" s="5"/>
      <c r="V205" s="5"/>
      <c r="W205" s="5"/>
      <c r="X205" s="5"/>
      <c r="Y205" s="5"/>
      <c r="Z205" s="5"/>
    </row>
    <row r="206" spans="1:40">
      <c r="A206" s="26" t="s">
        <v>206</v>
      </c>
      <c r="B206" s="27">
        <v>216249</v>
      </c>
      <c r="C206" s="27">
        <v>7715</v>
      </c>
      <c r="D206" s="27">
        <v>3561</v>
      </c>
      <c r="E206" s="27">
        <v>4710</v>
      </c>
      <c r="F206" s="27">
        <v>211</v>
      </c>
      <c r="G206" s="27">
        <v>150</v>
      </c>
      <c r="H206" s="28" t="s">
        <v>9</v>
      </c>
      <c r="I206" s="28" t="s">
        <v>9</v>
      </c>
      <c r="J206" s="28"/>
      <c r="K206" s="5"/>
      <c r="L206" s="27">
        <v>99355</v>
      </c>
      <c r="M206" s="27">
        <v>51021</v>
      </c>
      <c r="N206" s="27">
        <v>41830</v>
      </c>
      <c r="O206" s="27">
        <v>24043</v>
      </c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B206" s="37">
        <f>SUM(L206:Z206)</f>
        <v>216249</v>
      </c>
      <c r="AC206" s="37">
        <f>SUM(L207:Z207)</f>
        <v>7715</v>
      </c>
      <c r="AD206" s="37">
        <f>SUM(L208:Z208)</f>
        <v>3561</v>
      </c>
      <c r="AF206" s="37">
        <f>AB206-B206</f>
        <v>0</v>
      </c>
      <c r="AG206" s="37">
        <f>AC206-C206</f>
        <v>0</v>
      </c>
      <c r="AH206" s="37">
        <f>AD206-D206</f>
        <v>0</v>
      </c>
      <c r="AJ206" s="38">
        <f>C206/B206*1000</f>
        <v>35.676465555910085</v>
      </c>
      <c r="AK206" s="38">
        <f>D206/B206*1000</f>
        <v>16.46712817169097</v>
      </c>
      <c r="AM206" s="38"/>
      <c r="AN206" s="38"/>
    </row>
    <row r="207" spans="1:40">
      <c r="A207" s="4" t="s">
        <v>207</v>
      </c>
      <c r="B207" s="5"/>
      <c r="C207" s="5"/>
      <c r="D207" s="5"/>
      <c r="E207" s="5"/>
      <c r="F207" s="5"/>
      <c r="G207" s="5"/>
      <c r="H207" s="6" t="s">
        <v>9</v>
      </c>
      <c r="I207" s="6" t="s">
        <v>9</v>
      </c>
      <c r="J207" s="6"/>
      <c r="K207" s="5"/>
      <c r="L207" s="5">
        <v>3697</v>
      </c>
      <c r="M207" s="5">
        <v>1604</v>
      </c>
      <c r="N207" s="5">
        <v>1557</v>
      </c>
      <c r="O207" s="5">
        <v>857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40">
      <c r="A208" s="4" t="s">
        <v>208</v>
      </c>
      <c r="B208" s="5"/>
      <c r="C208" s="5"/>
      <c r="D208" s="5"/>
      <c r="E208" s="5"/>
      <c r="F208" s="5"/>
      <c r="G208" s="5"/>
      <c r="H208" s="6" t="s">
        <v>9</v>
      </c>
      <c r="I208" s="6" t="s">
        <v>9</v>
      </c>
      <c r="J208" s="6"/>
      <c r="K208" s="5"/>
      <c r="L208" s="5">
        <v>1647</v>
      </c>
      <c r="M208" s="5">
        <v>641</v>
      </c>
      <c r="N208" s="5">
        <v>851</v>
      </c>
      <c r="O208" s="5">
        <v>422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40">
      <c r="A209" s="26" t="s">
        <v>209</v>
      </c>
      <c r="B209" s="27">
        <v>1693581</v>
      </c>
      <c r="C209" s="27">
        <v>110986</v>
      </c>
      <c r="D209" s="27">
        <v>74990</v>
      </c>
      <c r="E209" s="27">
        <v>202201</v>
      </c>
      <c r="F209" s="27">
        <v>7852</v>
      </c>
      <c r="G209" s="27">
        <v>5127</v>
      </c>
      <c r="H209" s="28">
        <v>55.3</v>
      </c>
      <c r="I209" s="28">
        <v>41.8</v>
      </c>
      <c r="J209" s="28"/>
      <c r="K209" s="5"/>
      <c r="L209" s="27">
        <v>235735</v>
      </c>
      <c r="M209" s="27">
        <v>184372</v>
      </c>
      <c r="N209" s="27">
        <v>248388</v>
      </c>
      <c r="O209" s="27">
        <v>208530</v>
      </c>
      <c r="P209" s="27">
        <v>227234</v>
      </c>
      <c r="Q209" s="27">
        <v>258697</v>
      </c>
      <c r="R209" s="27">
        <v>270274</v>
      </c>
      <c r="S209" s="27">
        <v>60851</v>
      </c>
      <c r="T209" s="27"/>
      <c r="U209" s="27"/>
      <c r="V209" s="27"/>
      <c r="W209" s="27"/>
      <c r="X209" s="27"/>
      <c r="Y209" s="27"/>
      <c r="Z209" s="27"/>
      <c r="AB209" s="37">
        <f>SUM(L209:Z209)</f>
        <v>1694081</v>
      </c>
      <c r="AC209" s="37">
        <f>SUM(L210:Z210)</f>
        <v>110986</v>
      </c>
      <c r="AD209" s="37">
        <f>SUM(L211:Z211)</f>
        <v>74990</v>
      </c>
      <c r="AF209" s="37">
        <f>AB209-B209</f>
        <v>500</v>
      </c>
      <c r="AG209" s="37">
        <f>AC209-C209</f>
        <v>0</v>
      </c>
      <c r="AH209" s="37">
        <f>AD209-D209</f>
        <v>0</v>
      </c>
      <c r="AJ209" s="38">
        <f>C209/B209*1000</f>
        <v>65.533328491521814</v>
      </c>
      <c r="AK209" s="38">
        <f>D209/B209*1000</f>
        <v>44.278956837612135</v>
      </c>
      <c r="AM209" s="38">
        <f>AJ209-H209</f>
        <v>10.233328491521817</v>
      </c>
      <c r="AN209" s="38">
        <f>AK209-I209</f>
        <v>2.478956837612138</v>
      </c>
    </row>
    <row r="210" spans="1:40">
      <c r="A210" s="4" t="s">
        <v>210</v>
      </c>
      <c r="B210" s="5"/>
      <c r="C210" s="5"/>
      <c r="D210" s="5"/>
      <c r="E210" s="5"/>
      <c r="F210" s="5"/>
      <c r="G210" s="5"/>
      <c r="H210" s="6" t="s">
        <v>9</v>
      </c>
      <c r="I210" s="6" t="s">
        <v>9</v>
      </c>
      <c r="J210" s="6"/>
      <c r="K210" s="5"/>
      <c r="L210" s="5">
        <v>13496</v>
      </c>
      <c r="M210" s="5">
        <v>11454</v>
      </c>
      <c r="N210" s="5">
        <v>15722</v>
      </c>
      <c r="O210" s="5">
        <v>15787</v>
      </c>
      <c r="P210" s="5">
        <v>20314</v>
      </c>
      <c r="Q210" s="5">
        <v>13688</v>
      </c>
      <c r="R210" s="5">
        <v>18487</v>
      </c>
      <c r="S210" s="5">
        <v>2038</v>
      </c>
      <c r="T210" s="5"/>
      <c r="U210" s="5"/>
      <c r="V210" s="5"/>
      <c r="W210" s="5"/>
      <c r="X210" s="5"/>
      <c r="Y210" s="5"/>
      <c r="Z210" s="5"/>
    </row>
    <row r="211" spans="1:40">
      <c r="A211" s="4" t="s">
        <v>211</v>
      </c>
      <c r="B211" s="5"/>
      <c r="C211" s="5"/>
      <c r="D211" s="5"/>
      <c r="E211" s="5"/>
      <c r="F211" s="5"/>
      <c r="G211" s="5"/>
      <c r="H211" s="6" t="s">
        <v>9</v>
      </c>
      <c r="I211" s="6" t="s">
        <v>9</v>
      </c>
      <c r="J211" s="6"/>
      <c r="K211" s="5"/>
      <c r="L211" s="5">
        <v>9604</v>
      </c>
      <c r="M211" s="5">
        <v>6611</v>
      </c>
      <c r="N211" s="5">
        <v>9415</v>
      </c>
      <c r="O211" s="5">
        <v>11154</v>
      </c>
      <c r="P211" s="5">
        <v>17087</v>
      </c>
      <c r="Q211" s="5">
        <v>10649</v>
      </c>
      <c r="R211" s="5">
        <v>9038</v>
      </c>
      <c r="S211" s="5">
        <v>1432</v>
      </c>
      <c r="T211" s="5"/>
      <c r="U211" s="5"/>
      <c r="V211" s="5"/>
      <c r="W211" s="5"/>
      <c r="X211" s="5"/>
      <c r="Y211" s="5"/>
      <c r="Z211" s="5"/>
    </row>
    <row r="212" spans="1:40">
      <c r="A212" s="26" t="s">
        <v>212</v>
      </c>
      <c r="B212" s="27">
        <v>1088321</v>
      </c>
      <c r="C212" s="27">
        <v>32163</v>
      </c>
      <c r="D212" s="27">
        <v>17530</v>
      </c>
      <c r="E212" s="27">
        <v>49684</v>
      </c>
      <c r="F212" s="27">
        <v>1645</v>
      </c>
      <c r="G212" s="27">
        <v>952</v>
      </c>
      <c r="H212" s="28">
        <v>29.6</v>
      </c>
      <c r="I212" s="28">
        <v>16.100000000000001</v>
      </c>
      <c r="J212" s="28"/>
      <c r="K212" s="5"/>
      <c r="L212" s="27">
        <v>204164</v>
      </c>
      <c r="M212" s="27">
        <v>54715</v>
      </c>
      <c r="N212" s="27">
        <v>73335</v>
      </c>
      <c r="O212" s="27">
        <v>110913</v>
      </c>
      <c r="P212" s="27">
        <v>51910</v>
      </c>
      <c r="Q212" s="27">
        <v>87230</v>
      </c>
      <c r="R212" s="27">
        <v>75155</v>
      </c>
      <c r="S212" s="27">
        <v>113930</v>
      </c>
      <c r="T212" s="27">
        <v>130019</v>
      </c>
      <c r="U212" s="27">
        <v>186950</v>
      </c>
      <c r="V212" s="27"/>
      <c r="W212" s="27"/>
      <c r="X212" s="27"/>
      <c r="Y212" s="27"/>
      <c r="Z212" s="27"/>
      <c r="AB212" s="37">
        <f>SUM(L212:Z212)</f>
        <v>1088321</v>
      </c>
      <c r="AC212" s="37">
        <f>SUM(L213:Z213)</f>
        <v>32163</v>
      </c>
      <c r="AD212" s="37">
        <f>SUM(L214:Z214)</f>
        <v>17530</v>
      </c>
      <c r="AF212" s="37">
        <f>AB212-B212</f>
        <v>0</v>
      </c>
      <c r="AG212" s="37">
        <f>AC212-C212</f>
        <v>0</v>
      </c>
      <c r="AH212" s="37">
        <f>AD212-D212</f>
        <v>0</v>
      </c>
      <c r="AJ212" s="38">
        <f>C212/B212*1000</f>
        <v>29.552861701648688</v>
      </c>
      <c r="AK212" s="38">
        <f>D212/B212*1000</f>
        <v>16.107380083633412</v>
      </c>
      <c r="AM212" s="38">
        <f>AJ212-H212</f>
        <v>-4.7138298351313779E-2</v>
      </c>
      <c r="AN212" s="38">
        <f>AK212-I212</f>
        <v>7.3800836334108055E-3</v>
      </c>
    </row>
    <row r="213" spans="1:40">
      <c r="A213" s="4" t="s">
        <v>213</v>
      </c>
      <c r="B213" s="5"/>
      <c r="C213" s="5"/>
      <c r="D213" s="5"/>
      <c r="E213" s="5"/>
      <c r="F213" s="5"/>
      <c r="G213" s="5"/>
      <c r="H213" s="6" t="s">
        <v>9</v>
      </c>
      <c r="I213" s="6" t="s">
        <v>9</v>
      </c>
      <c r="J213" s="6"/>
      <c r="K213" s="5"/>
      <c r="L213" s="5">
        <v>6518</v>
      </c>
      <c r="M213" s="5">
        <v>1926</v>
      </c>
      <c r="N213" s="5">
        <v>1633</v>
      </c>
      <c r="O213" s="5">
        <v>3177</v>
      </c>
      <c r="P213" s="5">
        <v>1503</v>
      </c>
      <c r="Q213" s="5">
        <v>3195</v>
      </c>
      <c r="R213" s="5">
        <v>2368</v>
      </c>
      <c r="S213" s="5">
        <v>3674</v>
      </c>
      <c r="T213" s="5">
        <v>3174</v>
      </c>
      <c r="U213" s="5">
        <v>4995</v>
      </c>
      <c r="V213" s="5"/>
      <c r="W213" s="5"/>
      <c r="X213" s="5"/>
      <c r="Y213" s="5"/>
      <c r="Z213" s="5"/>
    </row>
    <row r="214" spans="1:40">
      <c r="A214" s="4" t="s">
        <v>214</v>
      </c>
      <c r="B214" s="5"/>
      <c r="C214" s="5"/>
      <c r="D214" s="5"/>
      <c r="E214" s="5"/>
      <c r="F214" s="5"/>
      <c r="G214" s="5"/>
      <c r="H214" s="6" t="s">
        <v>9</v>
      </c>
      <c r="I214" s="6" t="s">
        <v>9</v>
      </c>
      <c r="J214" s="6"/>
      <c r="K214" s="5"/>
      <c r="L214" s="5">
        <v>3048</v>
      </c>
      <c r="M214" s="5">
        <v>1743</v>
      </c>
      <c r="N214" s="5">
        <v>958</v>
      </c>
      <c r="O214" s="5">
        <v>1888</v>
      </c>
      <c r="P214" s="5">
        <v>838</v>
      </c>
      <c r="Q214" s="5">
        <v>1371</v>
      </c>
      <c r="R214" s="5">
        <v>1134</v>
      </c>
      <c r="S214" s="5">
        <v>2004</v>
      </c>
      <c r="T214" s="5">
        <v>2199</v>
      </c>
      <c r="U214" s="5">
        <v>2347</v>
      </c>
      <c r="V214" s="5"/>
      <c r="W214" s="5"/>
      <c r="X214" s="5"/>
      <c r="Y214" s="5"/>
      <c r="Z214" s="5"/>
    </row>
    <row r="215" spans="1:40">
      <c r="A215" s="26" t="s">
        <v>215</v>
      </c>
      <c r="B215" s="27">
        <v>753355</v>
      </c>
      <c r="C215" s="27">
        <v>53625</v>
      </c>
      <c r="D215" s="27">
        <v>34085</v>
      </c>
      <c r="E215" s="27">
        <v>40690</v>
      </c>
      <c r="F215" s="27">
        <v>3140</v>
      </c>
      <c r="G215" s="27">
        <v>2286</v>
      </c>
      <c r="H215" s="28">
        <v>71.2</v>
      </c>
      <c r="I215" s="28">
        <v>43.8</v>
      </c>
      <c r="J215" s="28"/>
      <c r="K215" s="5"/>
      <c r="L215" s="27">
        <v>149120</v>
      </c>
      <c r="M215" s="27">
        <v>154257</v>
      </c>
      <c r="N215" s="27">
        <v>185340</v>
      </c>
      <c r="O215" s="27">
        <v>215726</v>
      </c>
      <c r="P215" s="27">
        <v>48912</v>
      </c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B215" s="37">
        <f>SUM(L215:Z215)</f>
        <v>753355</v>
      </c>
      <c r="AC215" s="37">
        <f>SUM(L216:Z216)</f>
        <v>53625</v>
      </c>
      <c r="AD215" s="37">
        <f>SUM(L217:Z217)</f>
        <v>34085</v>
      </c>
      <c r="AF215" s="37">
        <f>AB215-B215</f>
        <v>0</v>
      </c>
      <c r="AG215" s="37">
        <f>AC215-C215</f>
        <v>0</v>
      </c>
      <c r="AH215" s="37">
        <f>AD215-D215</f>
        <v>0</v>
      </c>
      <c r="AJ215" s="38">
        <f>C215/B215*1000</f>
        <v>71.181581060721697</v>
      </c>
      <c r="AK215" s="38">
        <f>D215/B215*1000</f>
        <v>45.244273947873175</v>
      </c>
      <c r="AM215" s="38">
        <f>AJ215-H215</f>
        <v>-1.8418939278305402E-2</v>
      </c>
      <c r="AN215" s="38">
        <f>AK215-I215</f>
        <v>1.4442739478731781</v>
      </c>
    </row>
    <row r="216" spans="1:40">
      <c r="A216" s="4" t="s">
        <v>216</v>
      </c>
      <c r="B216" s="5"/>
      <c r="C216" s="5"/>
      <c r="D216" s="5"/>
      <c r="E216" s="5"/>
      <c r="F216" s="5"/>
      <c r="G216" s="5"/>
      <c r="H216" s="6" t="s">
        <v>9</v>
      </c>
      <c r="I216" s="6" t="s">
        <v>9</v>
      </c>
      <c r="J216" s="6"/>
      <c r="K216" s="5"/>
      <c r="L216" s="5">
        <v>10891</v>
      </c>
      <c r="M216" s="5">
        <v>10346</v>
      </c>
      <c r="N216" s="5">
        <v>15815</v>
      </c>
      <c r="O216" s="5">
        <v>15407</v>
      </c>
      <c r="P216" s="5">
        <v>1166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40">
      <c r="A217" s="4" t="s">
        <v>217</v>
      </c>
      <c r="B217" s="5"/>
      <c r="C217" s="5"/>
      <c r="D217" s="5"/>
      <c r="E217" s="5"/>
      <c r="F217" s="5"/>
      <c r="G217" s="5"/>
      <c r="H217" s="6" t="s">
        <v>9</v>
      </c>
      <c r="I217" s="6" t="s">
        <v>9</v>
      </c>
      <c r="J217" s="6"/>
      <c r="K217" s="5"/>
      <c r="L217" s="5">
        <v>7158</v>
      </c>
      <c r="M217" s="5">
        <v>6612</v>
      </c>
      <c r="N217" s="5">
        <v>10301</v>
      </c>
      <c r="O217" s="5">
        <v>9160</v>
      </c>
      <c r="P217" s="5">
        <v>854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40">
      <c r="A218" s="26" t="s">
        <v>218</v>
      </c>
      <c r="B218" s="27">
        <v>845083</v>
      </c>
      <c r="C218" s="27">
        <v>30200</v>
      </c>
      <c r="D218" s="27">
        <v>18409</v>
      </c>
      <c r="E218" s="27">
        <v>106491</v>
      </c>
      <c r="F218" s="27">
        <v>4175</v>
      </c>
      <c r="G218" s="27">
        <v>2617</v>
      </c>
      <c r="H218" s="28">
        <v>36.1</v>
      </c>
      <c r="I218" s="28">
        <v>22</v>
      </c>
      <c r="J218" s="28"/>
      <c r="K218" s="5"/>
      <c r="L218" s="27">
        <v>134098</v>
      </c>
      <c r="M218" s="27">
        <v>197892</v>
      </c>
      <c r="N218" s="27">
        <v>86838</v>
      </c>
      <c r="O218" s="27">
        <v>113364</v>
      </c>
      <c r="P218" s="27">
        <v>130450</v>
      </c>
      <c r="Q218" s="27">
        <v>109707</v>
      </c>
      <c r="R218" s="27">
        <v>72734</v>
      </c>
      <c r="S218" s="27"/>
      <c r="T218" s="27"/>
      <c r="U218" s="27"/>
      <c r="V218" s="27"/>
      <c r="W218" s="27"/>
      <c r="X218" s="27"/>
      <c r="Y218" s="27"/>
      <c r="Z218" s="27"/>
      <c r="AB218" s="37">
        <f>SUM(L218:Z218)</f>
        <v>845083</v>
      </c>
      <c r="AC218" s="37">
        <f>SUM(L219:Z219)</f>
        <v>30200</v>
      </c>
      <c r="AD218" s="37">
        <f>SUM(L220:Z220)</f>
        <v>18409</v>
      </c>
      <c r="AF218" s="37">
        <f>AB218-B218</f>
        <v>0</v>
      </c>
      <c r="AG218" s="37">
        <f>AC218-C218</f>
        <v>0</v>
      </c>
      <c r="AH218" s="37">
        <f>AD218-D218</f>
        <v>0</v>
      </c>
      <c r="AJ218" s="38">
        <f>C218/B218*1000</f>
        <v>35.736134793860487</v>
      </c>
      <c r="AK218" s="38">
        <f>D218/B218*1000</f>
        <v>21.78365911987343</v>
      </c>
      <c r="AM218" s="38">
        <f>AJ218-H218</f>
        <v>-0.3638652061395149</v>
      </c>
      <c r="AN218" s="38">
        <f>AK218-I218</f>
        <v>-0.2163408801265696</v>
      </c>
    </row>
    <row r="219" spans="1:40">
      <c r="A219" s="4" t="s">
        <v>219</v>
      </c>
      <c r="B219" s="5"/>
      <c r="C219" s="5"/>
      <c r="D219" s="5"/>
      <c r="E219" s="5"/>
      <c r="F219" s="5"/>
      <c r="G219" s="5"/>
      <c r="H219" s="6" t="s">
        <v>9</v>
      </c>
      <c r="I219" s="6" t="s">
        <v>9</v>
      </c>
      <c r="J219" s="6"/>
      <c r="K219" s="5"/>
      <c r="L219" s="5">
        <v>4566</v>
      </c>
      <c r="M219" s="5">
        <v>4080</v>
      </c>
      <c r="N219" s="5">
        <v>3726</v>
      </c>
      <c r="O219" s="5">
        <v>3301</v>
      </c>
      <c r="P219" s="5">
        <v>7868</v>
      </c>
      <c r="Q219" s="5">
        <v>4147</v>
      </c>
      <c r="R219" s="5">
        <v>2512</v>
      </c>
      <c r="S219" s="5"/>
      <c r="T219" s="5"/>
      <c r="U219" s="5"/>
      <c r="V219" s="5"/>
      <c r="W219" s="5"/>
      <c r="X219" s="5"/>
      <c r="Y219" s="5"/>
      <c r="Z219" s="5"/>
    </row>
    <row r="220" spans="1:40">
      <c r="A220" s="4" t="s">
        <v>220</v>
      </c>
      <c r="B220" s="5"/>
      <c r="C220" s="5"/>
      <c r="D220" s="5"/>
      <c r="E220" s="5"/>
      <c r="F220" s="5"/>
      <c r="G220" s="5"/>
      <c r="H220" s="6" t="s">
        <v>9</v>
      </c>
      <c r="I220" s="6" t="s">
        <v>9</v>
      </c>
      <c r="J220" s="6"/>
      <c r="K220" s="5"/>
      <c r="L220" s="5">
        <v>2336</v>
      </c>
      <c r="M220" s="5">
        <v>2937</v>
      </c>
      <c r="N220" s="5">
        <v>2209</v>
      </c>
      <c r="O220" s="5">
        <v>1598</v>
      </c>
      <c r="P220" s="5">
        <v>5092</v>
      </c>
      <c r="Q220" s="5">
        <v>2566</v>
      </c>
      <c r="R220" s="5">
        <v>1671</v>
      </c>
      <c r="S220" s="5"/>
      <c r="T220" s="5"/>
      <c r="U220" s="5"/>
      <c r="V220" s="5"/>
      <c r="W220" s="5"/>
      <c r="X220" s="5"/>
      <c r="Y220" s="5"/>
      <c r="Z220" s="5"/>
    </row>
    <row r="221" spans="1:40">
      <c r="A221" s="26" t="s">
        <v>221</v>
      </c>
      <c r="B221" s="27">
        <v>986247</v>
      </c>
      <c r="C221" s="27">
        <v>32288</v>
      </c>
      <c r="D221" s="27">
        <v>20396</v>
      </c>
      <c r="E221" s="27">
        <v>162351</v>
      </c>
      <c r="F221" s="27">
        <v>4122</v>
      </c>
      <c r="G221" s="27">
        <v>3102</v>
      </c>
      <c r="H221" s="28">
        <v>32.700000000000003</v>
      </c>
      <c r="I221" s="28">
        <v>20.7</v>
      </c>
      <c r="J221" s="28"/>
      <c r="K221" s="5"/>
      <c r="L221" s="27">
        <v>252072</v>
      </c>
      <c r="M221" s="27">
        <v>68958</v>
      </c>
      <c r="N221" s="27">
        <v>65183</v>
      </c>
      <c r="O221" s="27">
        <v>135766</v>
      </c>
      <c r="P221" s="27">
        <v>174987</v>
      </c>
      <c r="Q221" s="27">
        <v>74988</v>
      </c>
      <c r="R221" s="27">
        <v>107095</v>
      </c>
      <c r="S221" s="27">
        <v>71564</v>
      </c>
      <c r="T221" s="27">
        <v>35634</v>
      </c>
      <c r="U221" s="27"/>
      <c r="V221" s="27"/>
      <c r="W221" s="27"/>
      <c r="X221" s="27"/>
      <c r="Y221" s="27"/>
      <c r="Z221" s="27"/>
      <c r="AB221" s="37">
        <f>SUM(L221:Z221)</f>
        <v>986247</v>
      </c>
      <c r="AC221" s="37">
        <f>SUM(L222:Z222)</f>
        <v>32288</v>
      </c>
      <c r="AD221" s="37">
        <f>SUM(L223:Z223)</f>
        <v>20396</v>
      </c>
      <c r="AF221" s="37">
        <f>AB221-B221</f>
        <v>0</v>
      </c>
      <c r="AG221" s="37">
        <f>AC221-C221</f>
        <v>0</v>
      </c>
      <c r="AH221" s="37">
        <f>AD221-D221</f>
        <v>0</v>
      </c>
      <c r="AJ221" s="38">
        <f>C221/B221*1000</f>
        <v>32.738249140428309</v>
      </c>
      <c r="AK221" s="38">
        <f>D221/B221*1000</f>
        <v>20.680417785808221</v>
      </c>
      <c r="AM221" s="38">
        <f>AJ221-H221</f>
        <v>3.824914042830585E-2</v>
      </c>
      <c r="AN221" s="38">
        <f>AK221-I221</f>
        <v>-1.9582214191778746E-2</v>
      </c>
    </row>
    <row r="222" spans="1:40">
      <c r="A222" s="4" t="s">
        <v>222</v>
      </c>
      <c r="B222" s="5"/>
      <c r="C222" s="5"/>
      <c r="D222" s="5"/>
      <c r="E222" s="5"/>
      <c r="F222" s="5"/>
      <c r="G222" s="5"/>
      <c r="H222" s="6" t="s">
        <v>9</v>
      </c>
      <c r="I222" s="6" t="s">
        <v>9</v>
      </c>
      <c r="J222" s="6"/>
      <c r="K222" s="5"/>
      <c r="L222" s="5">
        <v>5761</v>
      </c>
      <c r="M222" s="5">
        <v>3135</v>
      </c>
      <c r="N222" s="5">
        <v>2333</v>
      </c>
      <c r="O222" s="5">
        <v>3857</v>
      </c>
      <c r="P222" s="5">
        <v>7003</v>
      </c>
      <c r="Q222" s="5">
        <v>2621</v>
      </c>
      <c r="R222" s="5">
        <v>3901</v>
      </c>
      <c r="S222" s="5">
        <v>2599</v>
      </c>
      <c r="T222" s="5">
        <v>1078</v>
      </c>
      <c r="U222" s="5"/>
      <c r="V222" s="5"/>
      <c r="W222" s="5"/>
      <c r="X222" s="5"/>
      <c r="Y222" s="5"/>
      <c r="Z222" s="5"/>
    </row>
    <row r="223" spans="1:40">
      <c r="A223" s="4" t="s">
        <v>223</v>
      </c>
      <c r="B223" s="5"/>
      <c r="C223" s="5"/>
      <c r="D223" s="5"/>
      <c r="E223" s="5"/>
      <c r="F223" s="5"/>
      <c r="G223" s="5"/>
      <c r="H223" s="6" t="s">
        <v>9</v>
      </c>
      <c r="I223" s="6" t="s">
        <v>9</v>
      </c>
      <c r="J223" s="6"/>
      <c r="K223" s="5"/>
      <c r="L223" s="5">
        <v>4096</v>
      </c>
      <c r="M223" s="5">
        <v>1982</v>
      </c>
      <c r="N223" s="5">
        <v>1209</v>
      </c>
      <c r="O223" s="5">
        <v>2191</v>
      </c>
      <c r="P223" s="5">
        <v>3900</v>
      </c>
      <c r="Q223" s="5">
        <v>1582</v>
      </c>
      <c r="R223" s="5">
        <v>2757</v>
      </c>
      <c r="S223" s="5">
        <v>1716</v>
      </c>
      <c r="T223" s="5">
        <v>963</v>
      </c>
      <c r="U223" s="5"/>
      <c r="V223" s="5"/>
      <c r="W223" s="5"/>
      <c r="X223" s="5"/>
      <c r="Y223" s="5"/>
      <c r="Z223" s="5"/>
    </row>
    <row r="224" spans="1:40">
      <c r="A224" s="26" t="s">
        <v>224</v>
      </c>
      <c r="B224" s="27">
        <v>741690</v>
      </c>
      <c r="C224" s="27">
        <v>29619</v>
      </c>
      <c r="D224" s="27">
        <v>16257</v>
      </c>
      <c r="E224" s="27">
        <v>61048</v>
      </c>
      <c r="F224" s="27">
        <v>3578</v>
      </c>
      <c r="G224" s="27">
        <v>2149</v>
      </c>
      <c r="H224" s="28">
        <v>35.1</v>
      </c>
      <c r="I224" s="28">
        <v>19</v>
      </c>
      <c r="J224" s="28"/>
      <c r="K224" s="5"/>
      <c r="L224" s="27">
        <v>118951</v>
      </c>
      <c r="M224" s="27">
        <v>155415</v>
      </c>
      <c r="N224" s="27">
        <v>95137</v>
      </c>
      <c r="O224" s="27">
        <v>120123</v>
      </c>
      <c r="P224" s="27">
        <v>68253</v>
      </c>
      <c r="Q224" s="27">
        <v>79023</v>
      </c>
      <c r="R224" s="27">
        <v>104788</v>
      </c>
      <c r="S224" s="27"/>
      <c r="T224" s="27"/>
      <c r="U224" s="27"/>
      <c r="V224" s="27"/>
      <c r="W224" s="27"/>
      <c r="X224" s="27"/>
      <c r="Y224" s="27"/>
      <c r="Z224" s="27"/>
      <c r="AB224" s="37">
        <f>SUM(L224:Z224)</f>
        <v>741690</v>
      </c>
      <c r="AC224" s="37">
        <f>SUM(L225:Z225)</f>
        <v>29619</v>
      </c>
      <c r="AD224" s="37">
        <f>SUM(L226:Z226)</f>
        <v>16257</v>
      </c>
      <c r="AF224" s="37">
        <f>AB224-B224</f>
        <v>0</v>
      </c>
      <c r="AG224" s="37">
        <f>AC224-C224</f>
        <v>0</v>
      </c>
      <c r="AH224" s="37">
        <f>AD224-D224</f>
        <v>0</v>
      </c>
      <c r="AJ224" s="38">
        <f>C224/B224*1000</f>
        <v>39.934473971605385</v>
      </c>
      <c r="AK224" s="38">
        <f>D224/B224*1000</f>
        <v>21.918860979654571</v>
      </c>
      <c r="AM224" s="38">
        <f>AJ224-H224</f>
        <v>4.8344739716053837</v>
      </c>
      <c r="AN224" s="38">
        <f>AK224-I224</f>
        <v>2.9188609796545713</v>
      </c>
    </row>
    <row r="225" spans="1:40">
      <c r="A225" s="4" t="s">
        <v>225</v>
      </c>
      <c r="B225" s="5"/>
      <c r="C225" s="5"/>
      <c r="D225" s="5"/>
      <c r="E225" s="5"/>
      <c r="F225" s="5"/>
      <c r="G225" s="5"/>
      <c r="H225" s="6" t="s">
        <v>9</v>
      </c>
      <c r="I225" s="6" t="s">
        <v>9</v>
      </c>
      <c r="J225" s="6"/>
      <c r="K225" s="5"/>
      <c r="L225" s="5">
        <v>4078</v>
      </c>
      <c r="M225" s="5">
        <v>6141</v>
      </c>
      <c r="N225" s="5">
        <v>4767</v>
      </c>
      <c r="O225" s="5">
        <v>5584</v>
      </c>
      <c r="P225" s="5">
        <v>1318</v>
      </c>
      <c r="Q225" s="5">
        <v>2881</v>
      </c>
      <c r="R225" s="5">
        <v>4850</v>
      </c>
      <c r="S225" s="5"/>
      <c r="T225" s="5"/>
      <c r="U225" s="5"/>
      <c r="V225" s="5"/>
      <c r="W225" s="5"/>
      <c r="X225" s="5"/>
      <c r="Y225" s="5"/>
      <c r="Z225" s="5"/>
    </row>
    <row r="226" spans="1:40">
      <c r="A226" s="4" t="s">
        <v>226</v>
      </c>
      <c r="B226" s="5"/>
      <c r="C226" s="5"/>
      <c r="D226" s="5"/>
      <c r="E226" s="5"/>
      <c r="F226" s="5"/>
      <c r="G226" s="5"/>
      <c r="H226" s="6" t="s">
        <v>9</v>
      </c>
      <c r="I226" s="6" t="s">
        <v>9</v>
      </c>
      <c r="J226" s="6"/>
      <c r="K226" s="5"/>
      <c r="L226" s="5">
        <v>3058</v>
      </c>
      <c r="M226" s="5">
        <v>3524</v>
      </c>
      <c r="N226" s="5">
        <v>2453</v>
      </c>
      <c r="O226" s="5">
        <v>1972</v>
      </c>
      <c r="P226" s="5">
        <v>577</v>
      </c>
      <c r="Q226" s="5">
        <v>1537</v>
      </c>
      <c r="R226" s="5">
        <v>3136</v>
      </c>
      <c r="S226" s="5"/>
      <c r="T226" s="5"/>
      <c r="U226" s="5"/>
      <c r="V226" s="5"/>
      <c r="W226" s="5"/>
      <c r="X226" s="5"/>
      <c r="Y226" s="5"/>
      <c r="Z226" s="5"/>
    </row>
    <row r="227" spans="1:40">
      <c r="A227" s="29" t="s">
        <v>227</v>
      </c>
      <c r="B227" s="30">
        <v>8599593</v>
      </c>
      <c r="C227" s="30">
        <v>347817</v>
      </c>
      <c r="D227" s="30">
        <v>221762</v>
      </c>
      <c r="E227" s="30"/>
      <c r="F227" s="30"/>
      <c r="G227" s="30"/>
      <c r="H227" s="31">
        <v>41.3</v>
      </c>
      <c r="I227" s="31">
        <v>26.1</v>
      </c>
      <c r="J227" s="31"/>
      <c r="K227" s="5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B227" s="43">
        <f>SUM(AB196:AB226)</f>
        <v>8640283</v>
      </c>
      <c r="AC227" s="43">
        <f>SUM(AC196:AC226)</f>
        <v>353824</v>
      </c>
      <c r="AD227" s="43">
        <f>SUM(AD196:AD226)</f>
        <v>225467</v>
      </c>
      <c r="AF227" s="43">
        <f>AB227-B227</f>
        <v>40690</v>
      </c>
      <c r="AG227" s="43">
        <f>AC227-C227</f>
        <v>6007</v>
      </c>
      <c r="AH227" s="43">
        <f>AD227-D227</f>
        <v>3705</v>
      </c>
      <c r="AJ227" s="44">
        <f>C227/B227*1000</f>
        <v>40.445751327998892</v>
      </c>
      <c r="AK227" s="44">
        <f>D227/B227*1000</f>
        <v>25.787499478172979</v>
      </c>
      <c r="AM227" s="44">
        <f>AJ227-H227</f>
        <v>-0.85424867200110555</v>
      </c>
      <c r="AN227" s="44">
        <f>AK227-I227</f>
        <v>-0.31250052182702248</v>
      </c>
    </row>
    <row r="228" spans="1:40">
      <c r="A228" s="32" t="s">
        <v>228</v>
      </c>
      <c r="B228" s="33">
        <v>81356</v>
      </c>
      <c r="C228" s="33">
        <v>3883</v>
      </c>
      <c r="D228" s="33">
        <v>2078</v>
      </c>
      <c r="E228" s="33" t="s">
        <v>9</v>
      </c>
      <c r="F228" s="33" t="s">
        <v>9</v>
      </c>
      <c r="G228" s="33" t="s">
        <v>9</v>
      </c>
      <c r="H228" s="34">
        <v>48.5</v>
      </c>
      <c r="I228" s="34">
        <v>26</v>
      </c>
      <c r="J228" s="34"/>
      <c r="K228" s="5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B228" s="37">
        <f>B228</f>
        <v>81356</v>
      </c>
      <c r="AC228" s="37">
        <f>C228</f>
        <v>3883</v>
      </c>
      <c r="AD228" s="37">
        <f>D228</f>
        <v>2078</v>
      </c>
      <c r="AF228" s="39"/>
      <c r="AG228" s="39"/>
      <c r="AH228" s="39"/>
      <c r="AJ228" s="38">
        <f>C228/B228*1000</f>
        <v>47.728501892915091</v>
      </c>
      <c r="AK228" s="38">
        <f>D228/B228*1000</f>
        <v>25.542062048281625</v>
      </c>
      <c r="AM228" s="38">
        <f>AJ228-H228</f>
        <v>-0.77149810708490918</v>
      </c>
      <c r="AN228" s="38">
        <f>AK228-I228</f>
        <v>-0.45793795171837459</v>
      </c>
    </row>
    <row r="229" spans="1:40">
      <c r="A229" s="32" t="s">
        <v>229</v>
      </c>
      <c r="B229" s="33">
        <v>547633</v>
      </c>
      <c r="C229" s="33">
        <v>28171</v>
      </c>
      <c r="D229" s="33">
        <v>22551</v>
      </c>
      <c r="E229" s="33">
        <v>55086</v>
      </c>
      <c r="F229" s="33">
        <v>2194</v>
      </c>
      <c r="G229" s="33">
        <v>2625</v>
      </c>
      <c r="H229" s="34">
        <v>52</v>
      </c>
      <c r="I229" s="34">
        <v>41.6</v>
      </c>
      <c r="J229" s="34"/>
      <c r="K229" s="5"/>
      <c r="L229" s="33">
        <v>97562</v>
      </c>
      <c r="M229" s="33">
        <v>104964</v>
      </c>
      <c r="N229" s="33">
        <v>76804</v>
      </c>
      <c r="O229" s="33">
        <v>85678</v>
      </c>
      <c r="P229" s="33">
        <v>169961</v>
      </c>
      <c r="Q229" s="33">
        <v>12664</v>
      </c>
      <c r="R229" s="33"/>
      <c r="S229" s="33"/>
      <c r="T229" s="33"/>
      <c r="U229" s="33"/>
      <c r="V229" s="33"/>
      <c r="W229" s="33"/>
      <c r="X229" s="33"/>
      <c r="Y229" s="33"/>
      <c r="Z229" s="33"/>
      <c r="AB229" s="37">
        <f>SUM(L229:Z229)</f>
        <v>547633</v>
      </c>
      <c r="AC229" s="37">
        <f>SUM(L230:Z230)</f>
        <v>28171</v>
      </c>
      <c r="AD229" s="37">
        <f>SUM(L231:Z231)</f>
        <v>22551</v>
      </c>
      <c r="AF229" s="37">
        <f>AB229-B229</f>
        <v>0</v>
      </c>
      <c r="AG229" s="37">
        <f>AC229-C229</f>
        <v>0</v>
      </c>
      <c r="AH229" s="37">
        <f>AD229-D229</f>
        <v>0</v>
      </c>
      <c r="AJ229" s="38">
        <f>C229/B229*1000</f>
        <v>51.441385015147006</v>
      </c>
      <c r="AK229" s="38">
        <f>D229/B229*1000</f>
        <v>41.179037786254661</v>
      </c>
      <c r="AM229" s="38">
        <f>AJ229-H229</f>
        <v>-0.55861498485299421</v>
      </c>
      <c r="AN229" s="38">
        <f>AK229-I229</f>
        <v>-0.42096221374534082</v>
      </c>
    </row>
    <row r="230" spans="1:40">
      <c r="A230" s="4" t="s">
        <v>230</v>
      </c>
      <c r="B230" s="5"/>
      <c r="C230" s="5"/>
      <c r="D230" s="5"/>
      <c r="E230" s="5"/>
      <c r="F230" s="5"/>
      <c r="G230" s="5"/>
      <c r="H230" s="6" t="s">
        <v>9</v>
      </c>
      <c r="I230" s="6" t="s">
        <v>9</v>
      </c>
      <c r="J230" s="6"/>
      <c r="K230" s="5"/>
      <c r="L230" s="5">
        <v>4412</v>
      </c>
      <c r="M230" s="5">
        <v>5505</v>
      </c>
      <c r="N230" s="5">
        <v>3163</v>
      </c>
      <c r="O230" s="5">
        <v>4674</v>
      </c>
      <c r="P230" s="5">
        <v>10027</v>
      </c>
      <c r="Q230" s="5">
        <v>390</v>
      </c>
      <c r="R230" s="5"/>
      <c r="S230" s="5"/>
      <c r="T230" s="5"/>
      <c r="U230" s="5"/>
      <c r="V230" s="5"/>
      <c r="W230" s="5"/>
      <c r="X230" s="5"/>
      <c r="Y230" s="5"/>
      <c r="Z230" s="5"/>
    </row>
    <row r="231" spans="1:40">
      <c r="A231" s="4" t="s">
        <v>231</v>
      </c>
      <c r="B231" s="5"/>
      <c r="C231" s="5"/>
      <c r="D231" s="5"/>
      <c r="E231" s="5"/>
      <c r="F231" s="5"/>
      <c r="G231" s="5"/>
      <c r="H231" s="6" t="s">
        <v>9</v>
      </c>
      <c r="I231" s="6" t="s">
        <v>9</v>
      </c>
      <c r="J231" s="6"/>
      <c r="K231" s="5"/>
      <c r="L231" s="5">
        <v>4385</v>
      </c>
      <c r="M231" s="5">
        <v>4285</v>
      </c>
      <c r="N231" s="5">
        <v>2883</v>
      </c>
      <c r="O231" s="5">
        <v>3838</v>
      </c>
      <c r="P231" s="5">
        <v>6922</v>
      </c>
      <c r="Q231" s="5">
        <v>238</v>
      </c>
      <c r="R231" s="5"/>
      <c r="S231" s="5"/>
      <c r="T231" s="5"/>
      <c r="U231" s="5"/>
      <c r="V231" s="5"/>
      <c r="W231" s="5"/>
      <c r="X231" s="5"/>
      <c r="Y231" s="5"/>
      <c r="Z231" s="5"/>
    </row>
    <row r="232" spans="1:40">
      <c r="A232" s="32" t="s">
        <v>232</v>
      </c>
      <c r="B232" s="33">
        <v>609748</v>
      </c>
      <c r="C232" s="33">
        <v>24504</v>
      </c>
      <c r="D232" s="33">
        <v>15653</v>
      </c>
      <c r="E232" s="33" t="s">
        <v>9</v>
      </c>
      <c r="F232" s="33" t="s">
        <v>9</v>
      </c>
      <c r="G232" s="33" t="s">
        <v>9</v>
      </c>
      <c r="H232" s="34">
        <v>39.200000000000003</v>
      </c>
      <c r="I232" s="34">
        <v>23.6</v>
      </c>
      <c r="J232" s="34"/>
      <c r="K232" s="5"/>
      <c r="L232" s="33" t="s">
        <v>9</v>
      </c>
      <c r="M232" s="33" t="s">
        <v>9</v>
      </c>
      <c r="N232" s="33" t="s">
        <v>9</v>
      </c>
      <c r="O232" s="33" t="s">
        <v>9</v>
      </c>
      <c r="P232" s="33" t="s">
        <v>9</v>
      </c>
      <c r="Q232" s="33" t="s">
        <v>9</v>
      </c>
      <c r="R232" s="33" t="s">
        <v>9</v>
      </c>
      <c r="S232" s="33" t="s">
        <v>9</v>
      </c>
      <c r="T232" s="33"/>
      <c r="U232" s="33"/>
      <c r="V232" s="33"/>
      <c r="W232" s="33"/>
      <c r="X232" s="33"/>
      <c r="Y232" s="33"/>
      <c r="Z232" s="33"/>
      <c r="AB232" s="37"/>
      <c r="AC232" s="37"/>
      <c r="AD232" s="37"/>
      <c r="AF232" s="37"/>
      <c r="AG232" s="37"/>
      <c r="AH232" s="37"/>
      <c r="AJ232" s="38">
        <f>C232/B232*1000</f>
        <v>40.187093684604129</v>
      </c>
      <c r="AK232" s="38">
        <f>D232/B232*1000</f>
        <v>25.671260914344941</v>
      </c>
      <c r="AM232" s="38">
        <f>AJ232-H232</f>
        <v>0.98709368460412605</v>
      </c>
      <c r="AN232" s="38">
        <f>AK232-I232</f>
        <v>2.0712609143449399</v>
      </c>
    </row>
    <row r="233" spans="1:40">
      <c r="A233" s="4" t="s">
        <v>233</v>
      </c>
      <c r="B233" s="5"/>
      <c r="C233" s="5"/>
      <c r="D233" s="5"/>
      <c r="E233" s="5"/>
      <c r="F233" s="5"/>
      <c r="G233" s="5"/>
      <c r="H233" s="6" t="s">
        <v>9</v>
      </c>
      <c r="I233" s="6" t="s">
        <v>9</v>
      </c>
      <c r="J233" s="6"/>
      <c r="K233" s="5"/>
      <c r="L233" s="5" t="s">
        <v>9</v>
      </c>
      <c r="M233" s="5" t="s">
        <v>9</v>
      </c>
      <c r="N233" s="5" t="s">
        <v>9</v>
      </c>
      <c r="O233" s="5" t="s">
        <v>9</v>
      </c>
      <c r="P233" s="5" t="s">
        <v>9</v>
      </c>
      <c r="Q233" s="5" t="s">
        <v>9</v>
      </c>
      <c r="R233" s="5" t="s">
        <v>9</v>
      </c>
      <c r="S233" s="5" t="s">
        <v>9</v>
      </c>
      <c r="T233" s="5"/>
      <c r="U233" s="5"/>
      <c r="V233" s="5"/>
      <c r="W233" s="5"/>
      <c r="X233" s="5"/>
      <c r="Y233" s="5"/>
      <c r="Z233" s="5"/>
    </row>
    <row r="234" spans="1:40">
      <c r="A234" s="4" t="s">
        <v>234</v>
      </c>
      <c r="B234" s="5"/>
      <c r="C234" s="5"/>
      <c r="D234" s="5"/>
      <c r="E234" s="5"/>
      <c r="F234" s="5"/>
      <c r="G234" s="5"/>
      <c r="H234" s="6" t="s">
        <v>9</v>
      </c>
      <c r="I234" s="6" t="s">
        <v>9</v>
      </c>
      <c r="J234" s="6"/>
      <c r="K234" s="5"/>
      <c r="L234" s="5" t="s">
        <v>9</v>
      </c>
      <c r="M234" s="5" t="s">
        <v>9</v>
      </c>
      <c r="N234" s="5" t="s">
        <v>9</v>
      </c>
      <c r="O234" s="5" t="s">
        <v>9</v>
      </c>
      <c r="P234" s="5" t="s">
        <v>9</v>
      </c>
      <c r="Q234" s="5" t="s">
        <v>9</v>
      </c>
      <c r="R234" s="5" t="s">
        <v>9</v>
      </c>
      <c r="S234" s="5" t="s">
        <v>9</v>
      </c>
      <c r="T234" s="5"/>
      <c r="U234" s="5"/>
      <c r="V234" s="5"/>
      <c r="W234" s="5"/>
      <c r="X234" s="5"/>
      <c r="Y234" s="5"/>
      <c r="Z234" s="5"/>
    </row>
    <row r="235" spans="1:40">
      <c r="A235" s="32" t="s">
        <v>235</v>
      </c>
      <c r="B235" s="33">
        <v>469417</v>
      </c>
      <c r="C235" s="33">
        <v>23045</v>
      </c>
      <c r="D235" s="33">
        <v>18172</v>
      </c>
      <c r="E235" s="33">
        <v>56896</v>
      </c>
      <c r="F235" s="33">
        <v>2739</v>
      </c>
      <c r="G235" s="33">
        <v>2090</v>
      </c>
      <c r="H235" s="34">
        <v>47.1</v>
      </c>
      <c r="I235" s="34">
        <v>37.200000000000003</v>
      </c>
      <c r="J235" s="34"/>
      <c r="K235" s="5"/>
      <c r="L235" s="33">
        <v>151571</v>
      </c>
      <c r="M235" s="33">
        <v>137006</v>
      </c>
      <c r="N235" s="33">
        <v>70813</v>
      </c>
      <c r="O235" s="33">
        <v>50064</v>
      </c>
      <c r="P235" s="33">
        <v>59963</v>
      </c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B235" s="37">
        <f>SUM(L235:Z235)</f>
        <v>469417</v>
      </c>
      <c r="AC235" s="37">
        <f>SUM(L236:Z236)</f>
        <v>23045</v>
      </c>
      <c r="AD235" s="37">
        <f>SUM(L237:Z237)</f>
        <v>18172</v>
      </c>
      <c r="AF235" s="37">
        <f>AB235-B235</f>
        <v>0</v>
      </c>
      <c r="AG235" s="37">
        <f>AC235-C235</f>
        <v>0</v>
      </c>
      <c r="AH235" s="37">
        <f>AD235-D235</f>
        <v>0</v>
      </c>
      <c r="AJ235" s="38">
        <f>C235/B235*1000</f>
        <v>49.092810869653214</v>
      </c>
      <c r="AK235" s="38">
        <f>D235/B235*1000</f>
        <v>38.711848953063054</v>
      </c>
      <c r="AM235" s="38">
        <f>AJ235-H235</f>
        <v>1.9928108696532121</v>
      </c>
      <c r="AN235" s="38">
        <f>AK235-I235</f>
        <v>1.5118489530630512</v>
      </c>
    </row>
    <row r="236" spans="1:40">
      <c r="A236" s="4" t="s">
        <v>236</v>
      </c>
      <c r="B236" s="5"/>
      <c r="C236" s="5"/>
      <c r="D236" s="5"/>
      <c r="E236" s="5"/>
      <c r="F236" s="5"/>
      <c r="G236" s="5"/>
      <c r="H236" s="6" t="s">
        <v>9</v>
      </c>
      <c r="I236" s="6" t="s">
        <v>9</v>
      </c>
      <c r="J236" s="6"/>
      <c r="K236" s="5"/>
      <c r="L236" s="5">
        <v>6686</v>
      </c>
      <c r="M236" s="5">
        <v>6335</v>
      </c>
      <c r="N236" s="5">
        <v>3477</v>
      </c>
      <c r="O236" s="5">
        <v>2590</v>
      </c>
      <c r="P236" s="5">
        <v>3957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40">
      <c r="A237" s="4" t="s">
        <v>237</v>
      </c>
      <c r="B237" s="5"/>
      <c r="C237" s="5"/>
      <c r="D237" s="5"/>
      <c r="E237" s="5"/>
      <c r="F237" s="5"/>
      <c r="G237" s="5"/>
      <c r="H237" s="6" t="s">
        <v>9</v>
      </c>
      <c r="I237" s="6" t="s">
        <v>9</v>
      </c>
      <c r="J237" s="6"/>
      <c r="K237" s="5"/>
      <c r="L237" s="5">
        <v>5209</v>
      </c>
      <c r="M237" s="5">
        <v>5008</v>
      </c>
      <c r="N237" s="5">
        <v>2603</v>
      </c>
      <c r="O237" s="5">
        <v>1857</v>
      </c>
      <c r="P237" s="5">
        <v>3495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40">
      <c r="A238" s="32" t="s">
        <v>238</v>
      </c>
      <c r="B238" s="33">
        <v>155295</v>
      </c>
      <c r="C238" s="33">
        <v>5967</v>
      </c>
      <c r="D238" s="33">
        <v>2882</v>
      </c>
      <c r="E238" s="33">
        <v>33939</v>
      </c>
      <c r="F238" s="33">
        <v>1038</v>
      </c>
      <c r="G238" s="33">
        <v>743</v>
      </c>
      <c r="H238" s="34" t="s">
        <v>9</v>
      </c>
      <c r="I238" s="34" t="s">
        <v>9</v>
      </c>
      <c r="J238" s="34"/>
      <c r="K238" s="5"/>
      <c r="L238" s="33">
        <v>20032</v>
      </c>
      <c r="M238" s="33">
        <v>10116</v>
      </c>
      <c r="N238" s="33">
        <v>5046</v>
      </c>
      <c r="O238" s="33">
        <v>656</v>
      </c>
      <c r="P238" s="33">
        <v>11164</v>
      </c>
      <c r="Q238" s="33">
        <v>4457</v>
      </c>
      <c r="R238" s="33">
        <v>7962</v>
      </c>
      <c r="S238" s="33">
        <v>7785</v>
      </c>
      <c r="T238" s="33">
        <v>88077</v>
      </c>
      <c r="U238" s="33"/>
      <c r="V238" s="33"/>
      <c r="W238" s="33"/>
      <c r="X238" s="33"/>
      <c r="Y238" s="33"/>
      <c r="Z238" s="33"/>
      <c r="AB238" s="37">
        <f>SUM(L238:Z238)</f>
        <v>155295</v>
      </c>
      <c r="AC238" s="37">
        <f>SUM(L239:Z239)</f>
        <v>5967</v>
      </c>
      <c r="AD238" s="37">
        <f>SUM(L240:Z240)</f>
        <v>2882</v>
      </c>
      <c r="AF238" s="37">
        <f>AB238-B238</f>
        <v>0</v>
      </c>
      <c r="AG238" s="37">
        <f>AC238-C238</f>
        <v>0</v>
      </c>
      <c r="AH238" s="37">
        <f>AD238-D238</f>
        <v>0</v>
      </c>
      <c r="AJ238" s="38">
        <f>C238/B238*1000</f>
        <v>38.423645320197039</v>
      </c>
      <c r="AK238" s="38">
        <f>D238/B238*1000</f>
        <v>18.558227888856692</v>
      </c>
      <c r="AM238" s="38"/>
      <c r="AN238" s="38"/>
    </row>
    <row r="239" spans="1:40">
      <c r="A239" s="4" t="s">
        <v>239</v>
      </c>
      <c r="B239" s="5"/>
      <c r="C239" s="5"/>
      <c r="D239" s="5"/>
      <c r="E239" s="5"/>
      <c r="F239" s="5"/>
      <c r="G239" s="5"/>
      <c r="H239" s="6" t="s">
        <v>9</v>
      </c>
      <c r="I239" s="6" t="s">
        <v>9</v>
      </c>
      <c r="J239" s="6"/>
      <c r="K239" s="5"/>
      <c r="L239" s="5">
        <v>749</v>
      </c>
      <c r="M239" s="5" t="s">
        <v>9</v>
      </c>
      <c r="N239" s="5">
        <v>21</v>
      </c>
      <c r="O239" s="5">
        <v>28</v>
      </c>
      <c r="P239" s="5">
        <v>257</v>
      </c>
      <c r="Q239" s="5">
        <v>144</v>
      </c>
      <c r="R239" s="5">
        <v>340</v>
      </c>
      <c r="S239" s="5">
        <v>296</v>
      </c>
      <c r="T239" s="5">
        <v>4132</v>
      </c>
      <c r="U239" s="5"/>
      <c r="V239" s="5"/>
      <c r="W239" s="5"/>
      <c r="X239" s="5"/>
      <c r="Y239" s="5"/>
      <c r="Z239" s="5"/>
    </row>
    <row r="240" spans="1:40">
      <c r="A240" s="4" t="s">
        <v>240</v>
      </c>
      <c r="B240" s="5"/>
      <c r="C240" s="5"/>
      <c r="D240" s="5"/>
      <c r="E240" s="5"/>
      <c r="F240" s="5"/>
      <c r="G240" s="5"/>
      <c r="H240" s="6" t="s">
        <v>9</v>
      </c>
      <c r="I240" s="6" t="s">
        <v>9</v>
      </c>
      <c r="J240" s="6"/>
      <c r="K240" s="5"/>
      <c r="L240" s="5">
        <v>390</v>
      </c>
      <c r="M240" s="5" t="s">
        <v>9</v>
      </c>
      <c r="N240" s="5">
        <v>13</v>
      </c>
      <c r="O240" s="5">
        <v>30</v>
      </c>
      <c r="P240" s="5">
        <v>202</v>
      </c>
      <c r="Q240" s="5">
        <v>65</v>
      </c>
      <c r="R240" s="5">
        <v>189</v>
      </c>
      <c r="S240" s="5">
        <v>215</v>
      </c>
      <c r="T240" s="5">
        <v>1778</v>
      </c>
      <c r="U240" s="5"/>
      <c r="V240" s="5"/>
      <c r="W240" s="5"/>
      <c r="X240" s="5"/>
      <c r="Y240" s="5"/>
      <c r="Z240" s="5"/>
    </row>
    <row r="241" spans="1:40">
      <c r="A241" s="32" t="s">
        <v>241</v>
      </c>
      <c r="B241" s="33">
        <v>1522144</v>
      </c>
      <c r="C241" s="33">
        <v>76012</v>
      </c>
      <c r="D241" s="33">
        <v>56936</v>
      </c>
      <c r="E241" s="33">
        <v>108064</v>
      </c>
      <c r="F241" s="33">
        <v>3479</v>
      </c>
      <c r="G241" s="33">
        <v>3198</v>
      </c>
      <c r="H241" s="34">
        <v>50.6</v>
      </c>
      <c r="I241" s="34">
        <v>37.9</v>
      </c>
      <c r="J241" s="34"/>
      <c r="K241" s="5"/>
      <c r="L241" s="33">
        <v>138647</v>
      </c>
      <c r="M241" s="33">
        <v>31011</v>
      </c>
      <c r="N241" s="33">
        <v>292494</v>
      </c>
      <c r="O241" s="33">
        <v>267813</v>
      </c>
      <c r="P241" s="33">
        <v>7892</v>
      </c>
      <c r="Q241" s="33">
        <v>167134</v>
      </c>
      <c r="R241" s="33">
        <v>77148</v>
      </c>
      <c r="S241" s="33">
        <v>200872</v>
      </c>
      <c r="T241" s="33">
        <v>133597</v>
      </c>
      <c r="U241" s="33">
        <v>205536</v>
      </c>
      <c r="V241" s="33"/>
      <c r="W241" s="33"/>
      <c r="X241" s="33"/>
      <c r="Y241" s="33"/>
      <c r="Z241" s="33"/>
      <c r="AB241" s="37">
        <f>SUM(L241:Z241)</f>
        <v>1522144</v>
      </c>
      <c r="AC241" s="37">
        <f>SUM(L242:Z242)</f>
        <v>76012</v>
      </c>
      <c r="AD241" s="37">
        <f>SUM(L243:Z243)</f>
        <v>56936</v>
      </c>
      <c r="AF241" s="37">
        <f>AB241-B241</f>
        <v>0</v>
      </c>
      <c r="AG241" s="37">
        <f>AC241-C241</f>
        <v>0</v>
      </c>
      <c r="AH241" s="37">
        <f>AD241-D241</f>
        <v>0</v>
      </c>
      <c r="AJ241" s="38">
        <f>C241/B241*1000</f>
        <v>49.937456640107641</v>
      </c>
      <c r="AK241" s="38">
        <f>D241/B241*1000</f>
        <v>37.405133811255702</v>
      </c>
      <c r="AM241" s="38">
        <f>AJ241-H241</f>
        <v>-0.66254335989236068</v>
      </c>
      <c r="AN241" s="38">
        <f>AK241-I241</f>
        <v>-0.49486618874429666</v>
      </c>
    </row>
    <row r="242" spans="1:40">
      <c r="A242" s="4" t="s">
        <v>242</v>
      </c>
      <c r="B242" s="5"/>
      <c r="C242" s="5"/>
      <c r="D242" s="5"/>
      <c r="E242" s="5"/>
      <c r="F242" s="5"/>
      <c r="G242" s="5"/>
      <c r="H242" s="6" t="s">
        <v>9</v>
      </c>
      <c r="I242" s="6" t="s">
        <v>9</v>
      </c>
      <c r="J242" s="6"/>
      <c r="K242" s="5"/>
      <c r="L242" s="5">
        <v>6474</v>
      </c>
      <c r="M242" s="5">
        <v>342</v>
      </c>
      <c r="N242" s="5">
        <v>9968</v>
      </c>
      <c r="O242" s="5">
        <v>14420</v>
      </c>
      <c r="P242" s="5">
        <v>1009</v>
      </c>
      <c r="Q242" s="5">
        <v>9102</v>
      </c>
      <c r="R242" s="5">
        <v>15523</v>
      </c>
      <c r="S242" s="5">
        <v>4104</v>
      </c>
      <c r="T242" s="5">
        <v>5518</v>
      </c>
      <c r="U242" s="5">
        <v>9552</v>
      </c>
      <c r="V242" s="5"/>
      <c r="W242" s="5"/>
      <c r="X242" s="5"/>
      <c r="Y242" s="5"/>
      <c r="Z242" s="5"/>
    </row>
    <row r="243" spans="1:40">
      <c r="A243" s="4" t="s">
        <v>243</v>
      </c>
      <c r="B243" s="5"/>
      <c r="C243" s="5"/>
      <c r="D243" s="5"/>
      <c r="E243" s="5"/>
      <c r="F243" s="5"/>
      <c r="G243" s="5"/>
      <c r="H243" s="6" t="s">
        <v>9</v>
      </c>
      <c r="I243" s="6" t="s">
        <v>9</v>
      </c>
      <c r="J243" s="6"/>
      <c r="K243" s="5"/>
      <c r="L243" s="5">
        <v>5068</v>
      </c>
      <c r="M243" s="5">
        <v>219</v>
      </c>
      <c r="N243" s="5">
        <v>6446</v>
      </c>
      <c r="O243" s="5">
        <v>11654</v>
      </c>
      <c r="P243" s="5">
        <v>648</v>
      </c>
      <c r="Q243" s="5">
        <v>6174</v>
      </c>
      <c r="R243" s="5">
        <v>13052</v>
      </c>
      <c r="S243" s="5">
        <v>2760</v>
      </c>
      <c r="T243" s="5">
        <v>3830</v>
      </c>
      <c r="U243" s="5">
        <v>7085</v>
      </c>
      <c r="V243" s="5"/>
      <c r="W243" s="5"/>
      <c r="X243" s="5"/>
      <c r="Y243" s="5"/>
      <c r="Z243" s="5"/>
    </row>
    <row r="244" spans="1:40">
      <c r="A244" s="32" t="s">
        <v>244</v>
      </c>
      <c r="B244" s="33">
        <v>1438232</v>
      </c>
      <c r="C244" s="33">
        <v>88441</v>
      </c>
      <c r="D244" s="33">
        <v>52953</v>
      </c>
      <c r="E244" s="33">
        <v>119805</v>
      </c>
      <c r="F244" s="33">
        <v>5915</v>
      </c>
      <c r="G244" s="33">
        <v>3952</v>
      </c>
      <c r="H244" s="34">
        <v>62</v>
      </c>
      <c r="I244" s="34">
        <v>37.1</v>
      </c>
      <c r="J244" s="34"/>
      <c r="K244" s="5"/>
      <c r="L244" s="33">
        <v>238800</v>
      </c>
      <c r="M244" s="33">
        <v>401601</v>
      </c>
      <c r="N244" s="33">
        <v>404322</v>
      </c>
      <c r="O244" s="33">
        <v>149835</v>
      </c>
      <c r="P244" s="33">
        <v>135134</v>
      </c>
      <c r="Q244" s="33">
        <v>108540</v>
      </c>
      <c r="R244" s="33"/>
      <c r="S244" s="33"/>
      <c r="T244" s="33"/>
      <c r="U244" s="33"/>
      <c r="V244" s="33"/>
      <c r="W244" s="33"/>
      <c r="X244" s="33"/>
      <c r="Y244" s="33"/>
      <c r="Z244" s="33"/>
      <c r="AB244" s="37">
        <f>SUM(L244:Z244)</f>
        <v>1438232</v>
      </c>
      <c r="AC244" s="37">
        <f>SUM(L245:Z245)</f>
        <v>88439</v>
      </c>
      <c r="AD244" s="37">
        <f>SUM(L246:Z246)</f>
        <v>52953</v>
      </c>
      <c r="AF244" s="37">
        <f>AB244-B244</f>
        <v>0</v>
      </c>
      <c r="AG244" s="37">
        <f>AC244-C244</f>
        <v>-2</v>
      </c>
      <c r="AH244" s="37">
        <f>AD244-D244</f>
        <v>0</v>
      </c>
      <c r="AJ244" s="38">
        <f>C244/B244*1000</f>
        <v>61.492860678944702</v>
      </c>
      <c r="AK244" s="38">
        <f>D244/B244*1000</f>
        <v>36.818121137618967</v>
      </c>
      <c r="AM244" s="38">
        <f>AJ244-H244</f>
        <v>-0.50713932105529835</v>
      </c>
      <c r="AN244" s="38">
        <f>AK244-I244</f>
        <v>-0.28187886238103488</v>
      </c>
    </row>
    <row r="245" spans="1:40">
      <c r="A245" s="4" t="s">
        <v>245</v>
      </c>
      <c r="B245" s="5"/>
      <c r="C245" s="5"/>
      <c r="D245" s="5"/>
      <c r="E245" s="5"/>
      <c r="F245" s="5"/>
      <c r="G245" s="5"/>
      <c r="H245" s="6" t="s">
        <v>9</v>
      </c>
      <c r="I245" s="6" t="s">
        <v>9</v>
      </c>
      <c r="J245" s="6"/>
      <c r="K245" s="5"/>
      <c r="L245" s="5">
        <v>11593</v>
      </c>
      <c r="M245" s="5">
        <v>29954</v>
      </c>
      <c r="N245" s="5">
        <v>27537</v>
      </c>
      <c r="O245" s="5">
        <v>6880</v>
      </c>
      <c r="P245" s="5">
        <v>6630</v>
      </c>
      <c r="Q245" s="5">
        <v>5845</v>
      </c>
      <c r="R245" s="5"/>
      <c r="S245" s="5"/>
      <c r="T245" s="5"/>
      <c r="U245" s="5"/>
      <c r="V245" s="5"/>
      <c r="W245" s="5"/>
      <c r="X245" s="5"/>
      <c r="Y245" s="5"/>
      <c r="Z245" s="5"/>
    </row>
    <row r="246" spans="1:40">
      <c r="A246" s="4" t="s">
        <v>246</v>
      </c>
      <c r="B246" s="5"/>
      <c r="C246" s="5"/>
      <c r="D246" s="5"/>
      <c r="E246" s="5"/>
      <c r="F246" s="5"/>
      <c r="G246" s="5"/>
      <c r="H246" s="6" t="s">
        <v>9</v>
      </c>
      <c r="I246" s="6" t="s">
        <v>9</v>
      </c>
      <c r="J246" s="6"/>
      <c r="K246" s="5"/>
      <c r="L246" s="5">
        <v>8260</v>
      </c>
      <c r="M246" s="5">
        <v>14531</v>
      </c>
      <c r="N246" s="5">
        <v>19600</v>
      </c>
      <c r="O246" s="5">
        <v>3502</v>
      </c>
      <c r="P246" s="5">
        <v>3400</v>
      </c>
      <c r="Q246" s="5">
        <v>3660</v>
      </c>
      <c r="R246" s="5"/>
      <c r="S246" s="5"/>
      <c r="T246" s="5"/>
      <c r="U246" s="5"/>
      <c r="V246" s="5"/>
      <c r="W246" s="5"/>
      <c r="X246" s="5"/>
      <c r="Y246" s="5"/>
      <c r="Z246" s="5"/>
    </row>
    <row r="247" spans="1:40">
      <c r="A247" s="32" t="s">
        <v>247</v>
      </c>
      <c r="B247" s="33">
        <v>266478</v>
      </c>
      <c r="C247" s="33">
        <v>9205</v>
      </c>
      <c r="D247" s="33">
        <v>7415</v>
      </c>
      <c r="E247" s="33">
        <v>8550</v>
      </c>
      <c r="F247" s="33">
        <v>177</v>
      </c>
      <c r="G247" s="33">
        <v>141</v>
      </c>
      <c r="H247" s="34">
        <v>33</v>
      </c>
      <c r="I247" s="34">
        <v>26.6</v>
      </c>
      <c r="J247" s="34"/>
      <c r="K247" s="5"/>
      <c r="L247" s="33">
        <v>153002</v>
      </c>
      <c r="M247" s="33">
        <v>13467</v>
      </c>
      <c r="N247" s="33">
        <v>77283</v>
      </c>
      <c r="O247" s="33">
        <v>6436</v>
      </c>
      <c r="P247" s="33">
        <v>16290</v>
      </c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B247" s="37">
        <f>SUM(L247:Z247)</f>
        <v>266478</v>
      </c>
      <c r="AC247" s="37">
        <f>SUM(L248:Z248)</f>
        <v>9205</v>
      </c>
      <c r="AD247" s="37">
        <f>SUM(L249:Z249)</f>
        <v>7415</v>
      </c>
      <c r="AF247" s="37">
        <f>AB247-B247</f>
        <v>0</v>
      </c>
      <c r="AG247" s="37">
        <f>AC247-C247</f>
        <v>0</v>
      </c>
      <c r="AH247" s="37">
        <f>AD247-D247</f>
        <v>0</v>
      </c>
      <c r="AJ247" s="38">
        <f>C247/B247*1000</f>
        <v>34.5431893064343</v>
      </c>
      <c r="AK247" s="38">
        <f>D247/B247*1000</f>
        <v>27.825936850321604</v>
      </c>
      <c r="AM247" s="38">
        <f>AJ247-H247</f>
        <v>1.5431893064343001</v>
      </c>
      <c r="AN247" s="38">
        <f>AK247-I247</f>
        <v>1.2259368503216024</v>
      </c>
    </row>
    <row r="248" spans="1:40">
      <c r="A248" s="4" t="s">
        <v>248</v>
      </c>
      <c r="B248" s="5"/>
      <c r="C248" s="5"/>
      <c r="D248" s="5"/>
      <c r="E248" s="5"/>
      <c r="F248" s="5"/>
      <c r="G248" s="5"/>
      <c r="H248" s="6" t="s">
        <v>9</v>
      </c>
      <c r="I248" s="6" t="s">
        <v>9</v>
      </c>
      <c r="J248" s="6"/>
      <c r="K248" s="5"/>
      <c r="L248" s="5">
        <v>5676</v>
      </c>
      <c r="M248" s="5">
        <v>296</v>
      </c>
      <c r="N248" s="5">
        <v>2051</v>
      </c>
      <c r="O248" s="5">
        <v>204</v>
      </c>
      <c r="P248" s="5">
        <v>978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40">
      <c r="A249" s="4" t="s">
        <v>249</v>
      </c>
      <c r="B249" s="5"/>
      <c r="C249" s="5"/>
      <c r="D249" s="5"/>
      <c r="E249" s="5"/>
      <c r="F249" s="5"/>
      <c r="G249" s="5"/>
      <c r="H249" s="6" t="s">
        <v>9</v>
      </c>
      <c r="I249" s="6" t="s">
        <v>9</v>
      </c>
      <c r="J249" s="6"/>
      <c r="K249" s="5"/>
      <c r="L249" s="5">
        <v>4476</v>
      </c>
      <c r="M249" s="5">
        <v>195</v>
      </c>
      <c r="N249" s="5">
        <v>1851</v>
      </c>
      <c r="O249" s="5">
        <v>104</v>
      </c>
      <c r="P249" s="5">
        <v>789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40">
      <c r="A250" s="32" t="s">
        <v>250</v>
      </c>
      <c r="B250" s="33">
        <v>26421</v>
      </c>
      <c r="C250" s="33">
        <v>471</v>
      </c>
      <c r="D250" s="33">
        <v>396</v>
      </c>
      <c r="E250" s="33" t="s">
        <v>9</v>
      </c>
      <c r="F250" s="33" t="s">
        <v>9</v>
      </c>
      <c r="G250" s="33" t="s">
        <v>9</v>
      </c>
      <c r="H250" s="34" t="s">
        <v>9</v>
      </c>
      <c r="I250" s="34" t="s">
        <v>9</v>
      </c>
      <c r="J250" s="34"/>
      <c r="K250" s="5"/>
      <c r="L250" s="33">
        <v>11134</v>
      </c>
      <c r="M250" s="33">
        <v>6627</v>
      </c>
      <c r="N250" s="33">
        <v>8660</v>
      </c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B250" s="37">
        <f>SUM(L250:Z250)</f>
        <v>26421</v>
      </c>
      <c r="AC250" s="37">
        <f>SUM(L251:Z251)</f>
        <v>471</v>
      </c>
      <c r="AD250" s="37">
        <f>SUM(L252:Z252)</f>
        <v>396</v>
      </c>
      <c r="AF250" s="37">
        <f>AB250-B250</f>
        <v>0</v>
      </c>
      <c r="AG250" s="37">
        <f>AC250-C250</f>
        <v>0</v>
      </c>
      <c r="AH250" s="37">
        <f>AD250-D250</f>
        <v>0</v>
      </c>
      <c r="AJ250" s="38">
        <f>C250/B250*1000</f>
        <v>17.826728738503462</v>
      </c>
      <c r="AK250" s="38">
        <f>D250/B250*1000</f>
        <v>14.988077665493357</v>
      </c>
      <c r="AM250" s="38"/>
      <c r="AN250" s="38"/>
    </row>
    <row r="251" spans="1:40">
      <c r="A251" s="4" t="s">
        <v>251</v>
      </c>
      <c r="B251" s="5"/>
      <c r="C251" s="5"/>
      <c r="D251" s="5"/>
      <c r="E251" s="5"/>
      <c r="F251" s="5"/>
      <c r="G251" s="5"/>
      <c r="H251" s="6" t="s">
        <v>9</v>
      </c>
      <c r="I251" s="6" t="s">
        <v>9</v>
      </c>
      <c r="J251" s="6"/>
      <c r="K251" s="5"/>
      <c r="L251" s="5">
        <v>158</v>
      </c>
      <c r="M251" s="5">
        <v>132</v>
      </c>
      <c r="N251" s="5">
        <v>181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40">
      <c r="A252" s="4" t="s">
        <v>252</v>
      </c>
      <c r="B252" s="5"/>
      <c r="C252" s="5"/>
      <c r="D252" s="5"/>
      <c r="E252" s="5"/>
      <c r="F252" s="5"/>
      <c r="G252" s="5"/>
      <c r="H252" s="6" t="s">
        <v>9</v>
      </c>
      <c r="I252" s="6" t="s">
        <v>9</v>
      </c>
      <c r="J252" s="6"/>
      <c r="K252" s="5"/>
      <c r="L252" s="5">
        <v>170</v>
      </c>
      <c r="M252" s="5">
        <v>92</v>
      </c>
      <c r="N252" s="5">
        <v>134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40">
      <c r="A253" s="40" t="s">
        <v>253</v>
      </c>
      <c r="B253" s="41">
        <v>5116724</v>
      </c>
      <c r="C253" s="41">
        <v>259288</v>
      </c>
      <c r="D253" s="41">
        <v>177884</v>
      </c>
      <c r="E253" s="41"/>
      <c r="F253" s="41"/>
      <c r="G253" s="41"/>
      <c r="H253" s="42">
        <v>51.2</v>
      </c>
      <c r="I253" s="42">
        <v>35.4</v>
      </c>
      <c r="J253" s="42"/>
      <c r="K253" s="5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B253" s="43">
        <f>SUM(AB228:AB252)</f>
        <v>4506976</v>
      </c>
      <c r="AC253" s="43">
        <f>SUM(AC228:AC252)</f>
        <v>235193</v>
      </c>
      <c r="AD253" s="43">
        <f>SUM(AD228:AD252)</f>
        <v>163383</v>
      </c>
      <c r="AF253" s="43">
        <f>AB253-B253</f>
        <v>-609748</v>
      </c>
      <c r="AG253" s="43">
        <f>AC253-C253</f>
        <v>-24095</v>
      </c>
      <c r="AH253" s="43">
        <f>AD253-D253</f>
        <v>-14501</v>
      </c>
      <c r="AJ253" s="44">
        <f>C253/B253*1000</f>
        <v>50.674611333345318</v>
      </c>
      <c r="AK253" s="44">
        <f>D253/B253*1000</f>
        <v>34.765213054290207</v>
      </c>
      <c r="AM253" s="44">
        <f>AJ253-H253</f>
        <v>-0.52538866665468476</v>
      </c>
      <c r="AN253" s="44">
        <f>AK253-I253</f>
        <v>-0.63478694570979144</v>
      </c>
    </row>
    <row r="254" spans="1:40">
      <c r="A254" s="32" t="s">
        <v>254</v>
      </c>
      <c r="B254" s="33">
        <v>556302</v>
      </c>
      <c r="C254" s="33">
        <v>15244</v>
      </c>
      <c r="D254" s="33">
        <v>9979</v>
      </c>
      <c r="E254" s="33" t="s">
        <v>9</v>
      </c>
      <c r="F254" s="33" t="s">
        <v>9</v>
      </c>
      <c r="G254" s="33" t="s">
        <v>9</v>
      </c>
      <c r="H254" s="34" t="s">
        <v>9</v>
      </c>
      <c r="I254" s="34" t="s">
        <v>9</v>
      </c>
      <c r="J254" s="34"/>
      <c r="K254" s="5"/>
      <c r="L254" s="33">
        <v>96347</v>
      </c>
      <c r="M254" s="33">
        <v>155253</v>
      </c>
      <c r="N254" s="33">
        <v>76081</v>
      </c>
      <c r="O254" s="33">
        <v>123133</v>
      </c>
      <c r="P254" s="33">
        <v>105488</v>
      </c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B254" s="37">
        <f>SUM(L254:Z254)</f>
        <v>556302</v>
      </c>
      <c r="AC254" s="37">
        <f>SUM(L255:Z255)</f>
        <v>15244</v>
      </c>
      <c r="AD254" s="37">
        <f>SUM(L256:Z256)</f>
        <v>9979</v>
      </c>
      <c r="AF254" s="37">
        <f>AB254-B254</f>
        <v>0</v>
      </c>
      <c r="AG254" s="37">
        <f>AC254-C254</f>
        <v>0</v>
      </c>
      <c r="AH254" s="37">
        <f>AD254-D254</f>
        <v>0</v>
      </c>
      <c r="AJ254" s="38">
        <f>C254/B254*1000</f>
        <v>27.40238215933072</v>
      </c>
      <c r="AK254" s="38">
        <f>D254/B254*1000</f>
        <v>17.938098371028687</v>
      </c>
      <c r="AM254" s="38"/>
      <c r="AN254" s="38"/>
    </row>
    <row r="255" spans="1:40">
      <c r="A255" s="4" t="s">
        <v>255</v>
      </c>
      <c r="B255" s="5"/>
      <c r="C255" s="5"/>
      <c r="D255" s="5"/>
      <c r="E255" s="5"/>
      <c r="F255" s="5"/>
      <c r="G255" s="5"/>
      <c r="H255" s="6" t="s">
        <v>9</v>
      </c>
      <c r="I255" s="6" t="s">
        <v>9</v>
      </c>
      <c r="J255" s="6"/>
      <c r="K255" s="5"/>
      <c r="L255" s="5">
        <v>2895</v>
      </c>
      <c r="M255" s="5">
        <v>3972</v>
      </c>
      <c r="N255" s="5">
        <v>1776</v>
      </c>
      <c r="O255" s="5">
        <v>4646</v>
      </c>
      <c r="P255" s="5">
        <v>1955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40">
      <c r="A256" s="4" t="s">
        <v>256</v>
      </c>
      <c r="B256" s="5"/>
      <c r="C256" s="5"/>
      <c r="D256" s="5"/>
      <c r="E256" s="5"/>
      <c r="F256" s="5"/>
      <c r="G256" s="5"/>
      <c r="H256" s="6" t="s">
        <v>9</v>
      </c>
      <c r="I256" s="6" t="s">
        <v>9</v>
      </c>
      <c r="J256" s="6"/>
      <c r="K256" s="5"/>
      <c r="L256" s="5">
        <v>2244</v>
      </c>
      <c r="M256" s="5">
        <v>2109</v>
      </c>
      <c r="N256" s="5">
        <v>729</v>
      </c>
      <c r="O256" s="5">
        <v>3720</v>
      </c>
      <c r="P256" s="5">
        <v>1177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40">
      <c r="A257" s="32" t="s">
        <v>257</v>
      </c>
      <c r="B257" s="33">
        <v>700000</v>
      </c>
      <c r="C257" s="33">
        <v>1129</v>
      </c>
      <c r="D257" s="33">
        <v>752</v>
      </c>
      <c r="E257" s="33" t="s">
        <v>9</v>
      </c>
      <c r="F257" s="33" t="s">
        <v>9</v>
      </c>
      <c r="G257" s="33" t="s">
        <v>9</v>
      </c>
      <c r="H257" s="34" t="s">
        <v>9</v>
      </c>
      <c r="I257" s="34" t="s">
        <v>9</v>
      </c>
      <c r="J257" s="34"/>
      <c r="K257" s="5"/>
      <c r="L257" s="33" t="s">
        <v>9</v>
      </c>
      <c r="M257" s="33" t="s">
        <v>9</v>
      </c>
      <c r="N257" s="33" t="s">
        <v>9</v>
      </c>
      <c r="O257" s="33" t="s">
        <v>9</v>
      </c>
      <c r="P257" s="33" t="s">
        <v>9</v>
      </c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B257" s="37"/>
      <c r="AC257" s="37">
        <f>SUM(L258:Z258)</f>
        <v>1129</v>
      </c>
      <c r="AD257" s="37">
        <f>SUM(L259:Z259)</f>
        <v>752</v>
      </c>
      <c r="AF257" s="37"/>
      <c r="AG257" s="37">
        <f>AC257-C257</f>
        <v>0</v>
      </c>
      <c r="AH257" s="37">
        <f>AD257-D257</f>
        <v>0</v>
      </c>
      <c r="AJ257" s="38">
        <f>C257/B257*1000</f>
        <v>1.6128571428571428</v>
      </c>
      <c r="AK257" s="38">
        <f>D257/B257*1000</f>
        <v>1.0742857142857143</v>
      </c>
      <c r="AM257" s="38"/>
      <c r="AN257" s="38"/>
    </row>
    <row r="258" spans="1:40">
      <c r="A258" s="4" t="s">
        <v>258</v>
      </c>
      <c r="B258" s="5"/>
      <c r="C258" s="5"/>
      <c r="D258" s="5"/>
      <c r="E258" s="5"/>
      <c r="F258" s="5"/>
      <c r="G258" s="5"/>
      <c r="H258" s="6" t="s">
        <v>9</v>
      </c>
      <c r="I258" s="6" t="s">
        <v>9</v>
      </c>
      <c r="J258" s="6"/>
      <c r="K258" s="5"/>
      <c r="L258" s="5">
        <v>1129</v>
      </c>
      <c r="M258" s="5" t="s">
        <v>9</v>
      </c>
      <c r="N258" s="5" t="s">
        <v>9</v>
      </c>
      <c r="O258" s="5" t="s">
        <v>9</v>
      </c>
      <c r="P258" s="5" t="s">
        <v>9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40">
      <c r="A259" s="4" t="s">
        <v>259</v>
      </c>
      <c r="B259" s="5"/>
      <c r="C259" s="5"/>
      <c r="D259" s="5"/>
      <c r="E259" s="5"/>
      <c r="F259" s="5"/>
      <c r="G259" s="5"/>
      <c r="H259" s="6" t="s">
        <v>9</v>
      </c>
      <c r="I259" s="6" t="s">
        <v>9</v>
      </c>
      <c r="J259" s="6"/>
      <c r="K259" s="5"/>
      <c r="L259" s="5">
        <v>752</v>
      </c>
      <c r="M259" s="5" t="s">
        <v>9</v>
      </c>
      <c r="N259" s="5" t="s">
        <v>9</v>
      </c>
      <c r="O259" s="5" t="s">
        <v>9</v>
      </c>
      <c r="P259" s="5" t="s">
        <v>9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40">
      <c r="A260" s="32" t="s">
        <v>260</v>
      </c>
      <c r="B260" s="33">
        <v>783678</v>
      </c>
      <c r="C260" s="33">
        <v>5247</v>
      </c>
      <c r="D260" s="33">
        <v>7225</v>
      </c>
      <c r="E260" s="33">
        <v>106484</v>
      </c>
      <c r="F260" s="33">
        <v>1030</v>
      </c>
      <c r="G260" s="33">
        <v>1100</v>
      </c>
      <c r="H260" s="34" t="s">
        <v>9</v>
      </c>
      <c r="I260" s="34" t="s">
        <v>9</v>
      </c>
      <c r="J260" s="34"/>
      <c r="K260" s="5"/>
      <c r="L260" s="33">
        <v>275885</v>
      </c>
      <c r="M260" s="33">
        <v>192721</v>
      </c>
      <c r="N260" s="33">
        <v>107454</v>
      </c>
      <c r="O260" s="33">
        <v>207618</v>
      </c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B260" s="37">
        <f>SUM(L260:Z260)</f>
        <v>783678</v>
      </c>
      <c r="AC260" s="37">
        <f>SUM(L261:Z261)</f>
        <v>5247</v>
      </c>
      <c r="AD260" s="37">
        <f>SUM(L262:Z262)</f>
        <v>7235</v>
      </c>
      <c r="AF260" s="37">
        <f>AB260-B260</f>
        <v>0</v>
      </c>
      <c r="AG260" s="37">
        <f>AC260-C260</f>
        <v>0</v>
      </c>
      <c r="AH260" s="37">
        <f>AD260-D260</f>
        <v>10</v>
      </c>
      <c r="AJ260" s="38">
        <f>C260/B260*1000</f>
        <v>6.6953519174967262</v>
      </c>
      <c r="AK260" s="38">
        <f>D260/B260*1000</f>
        <v>9.2193477423125323</v>
      </c>
      <c r="AM260" s="38"/>
      <c r="AN260" s="38"/>
    </row>
    <row r="261" spans="1:40">
      <c r="A261" s="4" t="s">
        <v>261</v>
      </c>
      <c r="B261" s="5"/>
      <c r="C261" s="5"/>
      <c r="D261" s="5"/>
      <c r="E261" s="5"/>
      <c r="F261" s="5"/>
      <c r="G261" s="5"/>
      <c r="H261" s="6" t="s">
        <v>9</v>
      </c>
      <c r="I261" s="6" t="s">
        <v>9</v>
      </c>
      <c r="J261" s="6"/>
      <c r="K261" s="5"/>
      <c r="L261" s="5" t="s">
        <v>9</v>
      </c>
      <c r="M261" s="5" t="s">
        <v>9</v>
      </c>
      <c r="N261" s="5">
        <v>2082</v>
      </c>
      <c r="O261" s="5">
        <v>3165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40">
      <c r="A262" s="4" t="s">
        <v>262</v>
      </c>
      <c r="B262" s="5"/>
      <c r="C262" s="5"/>
      <c r="D262" s="5"/>
      <c r="E262" s="5"/>
      <c r="F262" s="5"/>
      <c r="G262" s="5"/>
      <c r="H262" s="6" t="s">
        <v>9</v>
      </c>
      <c r="I262" s="6" t="s">
        <v>9</v>
      </c>
      <c r="J262" s="6"/>
      <c r="K262" s="5"/>
      <c r="L262" s="5" t="s">
        <v>9</v>
      </c>
      <c r="M262" s="5" t="s">
        <v>9</v>
      </c>
      <c r="N262" s="5">
        <v>3569</v>
      </c>
      <c r="O262" s="5">
        <v>3666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40">
      <c r="A263" s="32" t="s">
        <v>263</v>
      </c>
      <c r="B263" s="33">
        <v>607084</v>
      </c>
      <c r="C263" s="33">
        <v>9701</v>
      </c>
      <c r="D263" s="33">
        <v>7295</v>
      </c>
      <c r="E263" s="33">
        <v>50800</v>
      </c>
      <c r="F263" s="33">
        <v>2001</v>
      </c>
      <c r="G263" s="33">
        <v>1657</v>
      </c>
      <c r="H263" s="34" t="s">
        <v>9</v>
      </c>
      <c r="I263" s="34" t="s">
        <v>9</v>
      </c>
      <c r="J263" s="34"/>
      <c r="K263" s="5"/>
      <c r="L263" s="33">
        <v>175762</v>
      </c>
      <c r="M263" s="33">
        <v>80188</v>
      </c>
      <c r="N263" s="33">
        <v>142824</v>
      </c>
      <c r="O263" s="33">
        <v>123767</v>
      </c>
      <c r="P263" s="33">
        <v>84543</v>
      </c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B263" s="37">
        <f>SUM(L263:Z263)</f>
        <v>607084</v>
      </c>
      <c r="AC263" s="37">
        <f>SUM(L264:Z264)</f>
        <v>9701</v>
      </c>
      <c r="AD263" s="37">
        <f>SUM(L265:Z265)</f>
        <v>7295</v>
      </c>
      <c r="AF263" s="37">
        <f>AB263-B263</f>
        <v>0</v>
      </c>
      <c r="AG263" s="37">
        <f>AC263-C263</f>
        <v>0</v>
      </c>
      <c r="AH263" s="37">
        <f>AD263-D263</f>
        <v>0</v>
      </c>
      <c r="AJ263" s="38">
        <f>C263/B263*1000</f>
        <v>15.979666734751698</v>
      </c>
      <c r="AK263" s="38">
        <f>D263/B263*1000</f>
        <v>12.016459007320238</v>
      </c>
      <c r="AM263" s="38"/>
      <c r="AN263" s="38"/>
    </row>
    <row r="264" spans="1:40">
      <c r="A264" s="4" t="s">
        <v>264</v>
      </c>
      <c r="B264" s="5"/>
      <c r="C264" s="5"/>
      <c r="D264" s="5"/>
      <c r="E264" s="5"/>
      <c r="F264" s="5"/>
      <c r="G264" s="5"/>
      <c r="H264" s="6" t="s">
        <v>9</v>
      </c>
      <c r="I264" s="6" t="s">
        <v>9</v>
      </c>
      <c r="J264" s="6"/>
      <c r="K264" s="5"/>
      <c r="L264" s="5">
        <v>3338</v>
      </c>
      <c r="M264" s="5">
        <v>1686</v>
      </c>
      <c r="N264" s="5">
        <v>1226</v>
      </c>
      <c r="O264" s="5">
        <v>1692</v>
      </c>
      <c r="P264" s="5">
        <v>1759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40">
      <c r="A265" s="4" t="s">
        <v>265</v>
      </c>
      <c r="B265" s="5"/>
      <c r="C265" s="5"/>
      <c r="D265" s="5"/>
      <c r="E265" s="5"/>
      <c r="F265" s="5"/>
      <c r="G265" s="5"/>
      <c r="H265" s="6" t="s">
        <v>9</v>
      </c>
      <c r="I265" s="6" t="s">
        <v>9</v>
      </c>
      <c r="J265" s="6"/>
      <c r="K265" s="5"/>
      <c r="L265" s="5">
        <v>2699</v>
      </c>
      <c r="M265" s="5">
        <v>1043</v>
      </c>
      <c r="N265" s="50">
        <v>855</v>
      </c>
      <c r="O265" s="5">
        <v>1291</v>
      </c>
      <c r="P265" s="5">
        <v>1407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40">
      <c r="A266" s="32" t="s">
        <v>266</v>
      </c>
      <c r="B266" s="33">
        <v>774191</v>
      </c>
      <c r="C266" s="33">
        <v>5624</v>
      </c>
      <c r="D266" s="33">
        <v>3552</v>
      </c>
      <c r="E266" s="33">
        <v>49277</v>
      </c>
      <c r="F266" s="33">
        <v>1734</v>
      </c>
      <c r="G266" s="33">
        <v>1277</v>
      </c>
      <c r="H266" s="34" t="s">
        <v>9</v>
      </c>
      <c r="I266" s="34" t="s">
        <v>9</v>
      </c>
      <c r="J266" s="34"/>
      <c r="K266" s="5"/>
      <c r="L266" s="33">
        <v>176226</v>
      </c>
      <c r="M266" s="33">
        <v>109721</v>
      </c>
      <c r="N266" s="33">
        <v>138347</v>
      </c>
      <c r="O266" s="33">
        <v>103927</v>
      </c>
      <c r="P266" s="33">
        <v>129812</v>
      </c>
      <c r="Q266" s="33">
        <v>116158</v>
      </c>
      <c r="R266" s="33"/>
      <c r="S266" s="33"/>
      <c r="T266" s="33"/>
      <c r="U266" s="33"/>
      <c r="V266" s="33"/>
      <c r="W266" s="33"/>
      <c r="X266" s="33"/>
      <c r="Y266" s="33"/>
      <c r="Z266" s="33"/>
      <c r="AB266" s="37">
        <f>SUM(L266:Z266)</f>
        <v>774191</v>
      </c>
      <c r="AC266" s="37">
        <f>SUM(L267:Z267)</f>
        <v>5624</v>
      </c>
      <c r="AD266" s="37">
        <f>SUM(L268:Z268)</f>
        <v>3552</v>
      </c>
      <c r="AF266" s="37">
        <f>AB266-B266</f>
        <v>0</v>
      </c>
      <c r="AG266" s="37">
        <f>AC266-C266</f>
        <v>0</v>
      </c>
      <c r="AH266" s="37">
        <f>AD266-D266</f>
        <v>0</v>
      </c>
      <c r="AJ266" s="38">
        <f>C266/B266*1000</f>
        <v>7.2643572451759324</v>
      </c>
      <c r="AK266" s="38">
        <f>D266/B266*1000</f>
        <v>4.588015102216378</v>
      </c>
      <c r="AM266" s="38"/>
      <c r="AN266" s="38"/>
    </row>
    <row r="267" spans="1:40">
      <c r="A267" s="4" t="s">
        <v>267</v>
      </c>
      <c r="B267" s="5"/>
      <c r="C267" s="5"/>
      <c r="D267" s="5"/>
      <c r="E267" s="5"/>
      <c r="F267" s="5"/>
      <c r="G267" s="5"/>
      <c r="H267" s="6" t="s">
        <v>9</v>
      </c>
      <c r="I267" s="6" t="s">
        <v>9</v>
      </c>
      <c r="J267" s="6"/>
      <c r="K267" s="5"/>
      <c r="L267" s="5">
        <v>2057</v>
      </c>
      <c r="M267" s="5">
        <v>254</v>
      </c>
      <c r="N267" s="5">
        <v>1296</v>
      </c>
      <c r="O267" s="5">
        <v>533</v>
      </c>
      <c r="P267" s="5">
        <v>796</v>
      </c>
      <c r="Q267" s="5">
        <v>688</v>
      </c>
      <c r="R267" s="5"/>
      <c r="S267" s="5"/>
      <c r="T267" s="5"/>
      <c r="U267" s="5"/>
      <c r="V267" s="5"/>
      <c r="W267" s="5"/>
      <c r="X267" s="5"/>
      <c r="Y267" s="5"/>
      <c r="Z267" s="5"/>
    </row>
    <row r="268" spans="1:40">
      <c r="A268" s="4" t="s">
        <v>268</v>
      </c>
      <c r="B268" s="5"/>
      <c r="C268" s="5"/>
      <c r="D268" s="5"/>
      <c r="E268" s="5"/>
      <c r="F268" s="5"/>
      <c r="G268" s="5"/>
      <c r="H268" s="6" t="s">
        <v>9</v>
      </c>
      <c r="I268" s="6" t="s">
        <v>9</v>
      </c>
      <c r="J268" s="6"/>
      <c r="K268" s="5"/>
      <c r="L268" s="5">
        <v>1755</v>
      </c>
      <c r="M268" s="5">
        <v>118</v>
      </c>
      <c r="N268" s="5">
        <v>694</v>
      </c>
      <c r="O268" s="5">
        <v>362</v>
      </c>
      <c r="P268" s="5">
        <v>372</v>
      </c>
      <c r="Q268" s="5">
        <v>251</v>
      </c>
      <c r="R268" s="5"/>
      <c r="S268" s="5"/>
      <c r="T268" s="5"/>
      <c r="U268" s="5"/>
      <c r="V268" s="5"/>
      <c r="W268" s="5"/>
      <c r="X268" s="5"/>
      <c r="Y268" s="5"/>
      <c r="Z268" s="5"/>
    </row>
    <row r="269" spans="1:40">
      <c r="A269" s="32" t="s">
        <v>269</v>
      </c>
      <c r="B269" s="33">
        <v>1319810</v>
      </c>
      <c r="C269" s="33">
        <v>30167</v>
      </c>
      <c r="D269" s="33">
        <v>23665</v>
      </c>
      <c r="E269" s="33" t="s">
        <v>9</v>
      </c>
      <c r="F269" s="33" t="s">
        <v>9</v>
      </c>
      <c r="G269" s="33" t="s">
        <v>9</v>
      </c>
      <c r="H269" s="34">
        <v>22.9</v>
      </c>
      <c r="I269" s="34">
        <v>17.600000000000001</v>
      </c>
      <c r="J269" s="34"/>
      <c r="K269" s="5"/>
      <c r="L269" s="33">
        <v>426750</v>
      </c>
      <c r="M269" s="33">
        <v>199883</v>
      </c>
      <c r="N269" s="33">
        <v>145232</v>
      </c>
      <c r="O269" s="33">
        <v>123542</v>
      </c>
      <c r="P269" s="33">
        <v>232383</v>
      </c>
      <c r="Q269" s="33">
        <v>192020</v>
      </c>
      <c r="R269" s="33"/>
      <c r="S269" s="33"/>
      <c r="T269" s="33"/>
      <c r="U269" s="33"/>
      <c r="V269" s="33"/>
      <c r="W269" s="33"/>
      <c r="X269" s="33"/>
      <c r="Y269" s="33"/>
      <c r="Z269" s="33"/>
      <c r="AB269" s="37">
        <f>SUM(L269:Z269)</f>
        <v>1319810</v>
      </c>
      <c r="AC269" s="37">
        <f>SUM(L270:Z270)</f>
        <v>30167</v>
      </c>
      <c r="AD269" s="37">
        <f>SUM(L271:Z271)</f>
        <v>23665</v>
      </c>
      <c r="AF269" s="37">
        <f>AB269-B269</f>
        <v>0</v>
      </c>
      <c r="AG269" s="37">
        <f>AC269-C269</f>
        <v>0</v>
      </c>
      <c r="AH269" s="37">
        <f>AD269-D269</f>
        <v>0</v>
      </c>
      <c r="AJ269" s="38">
        <f>C269/B269*1000</f>
        <v>22.857077912729864</v>
      </c>
      <c r="AK269" s="38">
        <f>D269/B269*1000</f>
        <v>17.930611224342897</v>
      </c>
      <c r="AM269" s="38">
        <f>AJ269-H269</f>
        <v>-4.2922087270135023E-2</v>
      </c>
      <c r="AN269" s="38">
        <f>AK269-I269</f>
        <v>0.33061122434289558</v>
      </c>
    </row>
    <row r="270" spans="1:40">
      <c r="A270" s="4" t="s">
        <v>270</v>
      </c>
      <c r="B270" s="5"/>
      <c r="C270" s="5"/>
      <c r="D270" s="5"/>
      <c r="E270" s="5"/>
      <c r="F270" s="5"/>
      <c r="G270" s="5"/>
      <c r="H270" s="6" t="s">
        <v>9</v>
      </c>
      <c r="I270" s="6" t="s">
        <v>9</v>
      </c>
      <c r="J270" s="6"/>
      <c r="K270" s="5"/>
      <c r="L270" s="5">
        <v>543</v>
      </c>
      <c r="M270" s="5">
        <v>8932</v>
      </c>
      <c r="N270" s="5" t="s">
        <v>9</v>
      </c>
      <c r="O270" s="5">
        <v>2959</v>
      </c>
      <c r="P270" s="5">
        <v>17675</v>
      </c>
      <c r="Q270" s="5">
        <v>58</v>
      </c>
      <c r="R270" s="5"/>
      <c r="S270" s="5"/>
      <c r="T270" s="5"/>
      <c r="U270" s="5"/>
      <c r="V270" s="5"/>
      <c r="W270" s="5"/>
      <c r="X270" s="5"/>
      <c r="Y270" s="5"/>
      <c r="Z270" s="5"/>
    </row>
    <row r="271" spans="1:40">
      <c r="A271" s="4" t="s">
        <v>271</v>
      </c>
      <c r="B271" s="5"/>
      <c r="C271" s="5"/>
      <c r="D271" s="5"/>
      <c r="E271" s="5"/>
      <c r="F271" s="5"/>
      <c r="G271" s="5"/>
      <c r="H271" s="6" t="s">
        <v>9</v>
      </c>
      <c r="I271" s="6" t="s">
        <v>9</v>
      </c>
      <c r="J271" s="6"/>
      <c r="K271" s="5"/>
      <c r="L271" s="5">
        <v>306</v>
      </c>
      <c r="M271" s="5">
        <v>4766</v>
      </c>
      <c r="N271" s="5" t="s">
        <v>9</v>
      </c>
      <c r="O271" s="5">
        <v>1729</v>
      </c>
      <c r="P271" s="5">
        <v>16843</v>
      </c>
      <c r="Q271" s="5">
        <v>21</v>
      </c>
      <c r="R271" s="5"/>
      <c r="S271" s="5"/>
      <c r="T271" s="5"/>
      <c r="U271" s="5"/>
      <c r="V271" s="5"/>
      <c r="W271" s="5"/>
      <c r="X271" s="5"/>
      <c r="Y271" s="5"/>
      <c r="Z271" s="5"/>
    </row>
    <row r="272" spans="1:40">
      <c r="A272" s="32" t="s">
        <v>272</v>
      </c>
      <c r="B272" s="50">
        <v>373385</v>
      </c>
      <c r="C272" s="33">
        <v>10092</v>
      </c>
      <c r="D272" s="33">
        <v>6217</v>
      </c>
      <c r="E272" s="33" t="s">
        <v>9</v>
      </c>
      <c r="F272" s="33" t="s">
        <v>9</v>
      </c>
      <c r="G272" s="33" t="s">
        <v>9</v>
      </c>
      <c r="H272" s="34" t="s">
        <v>9</v>
      </c>
      <c r="I272" s="34" t="s">
        <v>9</v>
      </c>
      <c r="J272" s="34"/>
      <c r="K272" s="5"/>
      <c r="L272" s="33">
        <v>78248</v>
      </c>
      <c r="M272" s="33">
        <v>93310</v>
      </c>
      <c r="N272" s="33">
        <v>71608</v>
      </c>
      <c r="O272" s="33">
        <v>130219</v>
      </c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B272" s="37">
        <f>SUM(L272:Z272)</f>
        <v>373385</v>
      </c>
      <c r="AC272" s="37">
        <f>SUM(L273:Z273)</f>
        <v>10092</v>
      </c>
      <c r="AD272" s="37">
        <f>SUM(L274:Z274)</f>
        <v>6217</v>
      </c>
      <c r="AF272" s="37">
        <f>AB272-B272</f>
        <v>0</v>
      </c>
      <c r="AG272" s="37">
        <f>AC272-C272</f>
        <v>0</v>
      </c>
      <c r="AH272" s="37">
        <f>AD272-D272</f>
        <v>0</v>
      </c>
      <c r="AJ272" s="38">
        <f>C272/B272*1000</f>
        <v>27.028402319321877</v>
      </c>
      <c r="AK272" s="38">
        <f>D272/B272*1000</f>
        <v>16.650374278559664</v>
      </c>
      <c r="AM272" s="38"/>
      <c r="AN272" s="38"/>
    </row>
    <row r="273" spans="1:40">
      <c r="A273" s="4" t="s">
        <v>273</v>
      </c>
      <c r="B273" s="5"/>
      <c r="C273" s="5"/>
      <c r="D273" s="5"/>
      <c r="E273" s="5"/>
      <c r="F273" s="5"/>
      <c r="G273" s="5"/>
      <c r="H273" s="6" t="s">
        <v>9</v>
      </c>
      <c r="I273" s="6" t="s">
        <v>9</v>
      </c>
      <c r="J273" s="6"/>
      <c r="K273" s="5"/>
      <c r="L273" s="5">
        <v>2394</v>
      </c>
      <c r="M273" s="5">
        <v>134</v>
      </c>
      <c r="N273" s="5">
        <v>2121</v>
      </c>
      <c r="O273" s="5">
        <v>5443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40">
      <c r="A274" s="4" t="s">
        <v>274</v>
      </c>
      <c r="B274" s="5"/>
      <c r="C274" s="5"/>
      <c r="D274" s="5"/>
      <c r="E274" s="5"/>
      <c r="F274" s="5"/>
      <c r="G274" s="5"/>
      <c r="H274" s="6" t="s">
        <v>9</v>
      </c>
      <c r="I274" s="6" t="s">
        <v>9</v>
      </c>
      <c r="J274" s="6"/>
      <c r="K274" s="5"/>
      <c r="L274" s="5">
        <v>1153</v>
      </c>
      <c r="M274" s="5">
        <v>100</v>
      </c>
      <c r="N274" s="5">
        <v>1449</v>
      </c>
      <c r="O274" s="5">
        <v>3515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40">
      <c r="A275" s="32" t="s">
        <v>275</v>
      </c>
      <c r="B275" s="33">
        <v>558220</v>
      </c>
      <c r="C275" s="33">
        <v>9110</v>
      </c>
      <c r="D275" s="33">
        <v>5369</v>
      </c>
      <c r="E275" s="33">
        <v>41675</v>
      </c>
      <c r="F275" s="33">
        <v>2518</v>
      </c>
      <c r="G275" s="33">
        <v>1106</v>
      </c>
      <c r="H275" s="34" t="s">
        <v>9</v>
      </c>
      <c r="I275" s="34" t="s">
        <v>9</v>
      </c>
      <c r="J275" s="34"/>
      <c r="K275" s="5"/>
      <c r="L275" s="50">
        <v>226586</v>
      </c>
      <c r="M275" s="33">
        <v>100338</v>
      </c>
      <c r="N275" s="33">
        <v>141390</v>
      </c>
      <c r="O275" s="33">
        <v>89906</v>
      </c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B275" s="37">
        <f>SUM(L275:Z275)</f>
        <v>558220</v>
      </c>
      <c r="AC275" s="37">
        <f>SUM(L276:Z276)</f>
        <v>9110</v>
      </c>
      <c r="AD275" s="37">
        <f>SUM(L277:Z277)</f>
        <v>5369</v>
      </c>
      <c r="AF275" s="37">
        <f>AB275-B275</f>
        <v>0</v>
      </c>
      <c r="AG275" s="37">
        <f>AC275-C275</f>
        <v>0</v>
      </c>
      <c r="AH275" s="37">
        <f>AD275-D275</f>
        <v>0</v>
      </c>
      <c r="AJ275" s="38">
        <f>C275/B275*1000</f>
        <v>16.319730572175846</v>
      </c>
      <c r="AK275" s="38">
        <f>D275/B275*1000</f>
        <v>9.6180717279925467</v>
      </c>
      <c r="AM275" s="38"/>
      <c r="AN275" s="38"/>
    </row>
    <row r="276" spans="1:40">
      <c r="A276" s="4" t="s">
        <v>276</v>
      </c>
      <c r="B276" s="5"/>
      <c r="C276" s="5"/>
      <c r="D276" s="5"/>
      <c r="E276" s="5"/>
      <c r="F276" s="5"/>
      <c r="G276" s="5"/>
      <c r="H276" s="6" t="s">
        <v>9</v>
      </c>
      <c r="I276" s="6" t="s">
        <v>9</v>
      </c>
      <c r="J276" s="6"/>
      <c r="K276" s="5"/>
      <c r="L276" s="5">
        <v>6861</v>
      </c>
      <c r="M276" s="5">
        <v>932</v>
      </c>
      <c r="N276" s="5">
        <v>1263</v>
      </c>
      <c r="O276" s="5">
        <v>54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40">
      <c r="A277" s="4" t="s">
        <v>277</v>
      </c>
      <c r="B277" s="5"/>
      <c r="C277" s="5"/>
      <c r="D277" s="5"/>
      <c r="E277" s="5"/>
      <c r="F277" s="5"/>
      <c r="G277" s="5"/>
      <c r="H277" s="6" t="s">
        <v>9</v>
      </c>
      <c r="I277" s="6" t="s">
        <v>9</v>
      </c>
      <c r="J277" s="6"/>
      <c r="K277" s="5"/>
      <c r="L277" s="5">
        <v>4094</v>
      </c>
      <c r="M277" s="5">
        <v>531</v>
      </c>
      <c r="N277" s="5">
        <v>728</v>
      </c>
      <c r="O277" s="5">
        <v>16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40">
      <c r="A278" s="32" t="s">
        <v>278</v>
      </c>
      <c r="B278" s="33">
        <v>918148</v>
      </c>
      <c r="C278" s="33">
        <v>41395</v>
      </c>
      <c r="D278" s="33">
        <v>20791</v>
      </c>
      <c r="E278" s="33">
        <v>172562</v>
      </c>
      <c r="F278" s="33">
        <v>7064</v>
      </c>
      <c r="G278" s="33">
        <v>3506</v>
      </c>
      <c r="H278" s="34">
        <v>45.1</v>
      </c>
      <c r="I278" s="34">
        <v>22.6</v>
      </c>
      <c r="J278" s="34"/>
      <c r="K278" s="5"/>
      <c r="L278" s="33">
        <v>202324</v>
      </c>
      <c r="M278" s="33">
        <v>185436</v>
      </c>
      <c r="N278" s="33">
        <v>269801</v>
      </c>
      <c r="O278" s="33">
        <v>197209</v>
      </c>
      <c r="P278" s="33">
        <v>63378</v>
      </c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B278" s="37">
        <f>SUM(L278:Z278)</f>
        <v>918148</v>
      </c>
      <c r="AC278" s="37">
        <f>SUM(L279:Z279)</f>
        <v>41395</v>
      </c>
      <c r="AD278" s="37">
        <f>SUM(L280:Z280)</f>
        <v>20791</v>
      </c>
      <c r="AF278" s="37">
        <f>AB278-B278</f>
        <v>0</v>
      </c>
      <c r="AG278" s="37">
        <f>AC278-C278</f>
        <v>0</v>
      </c>
      <c r="AH278" s="37">
        <f>AD278-D278</f>
        <v>0</v>
      </c>
      <c r="AJ278" s="38">
        <f>C278/B278*1000</f>
        <v>45.085323934703339</v>
      </c>
      <c r="AK278" s="38">
        <f>D278/B278*1000</f>
        <v>22.644497401290423</v>
      </c>
      <c r="AM278" s="38">
        <f>AJ278-H278</f>
        <v>-1.4676065296661989E-2</v>
      </c>
      <c r="AN278" s="38">
        <f>AK278-I278</f>
        <v>4.4497401290421124E-2</v>
      </c>
    </row>
    <row r="279" spans="1:40">
      <c r="A279" s="4" t="s">
        <v>279</v>
      </c>
      <c r="B279" s="5"/>
      <c r="C279" s="5"/>
      <c r="D279" s="5"/>
      <c r="E279" s="5"/>
      <c r="F279" s="5"/>
      <c r="G279" s="5"/>
      <c r="H279" s="6" t="s">
        <v>9</v>
      </c>
      <c r="I279" s="6" t="s">
        <v>9</v>
      </c>
      <c r="J279" s="6"/>
      <c r="K279" s="5"/>
      <c r="L279" s="5">
        <v>13106</v>
      </c>
      <c r="M279" s="5">
        <v>8664</v>
      </c>
      <c r="N279" s="5">
        <v>17025</v>
      </c>
      <c r="O279" s="5" t="s">
        <v>9</v>
      </c>
      <c r="P279" s="5">
        <v>2600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40">
      <c r="A280" s="4" t="s">
        <v>280</v>
      </c>
      <c r="B280" s="5"/>
      <c r="C280" s="5"/>
      <c r="D280" s="5"/>
      <c r="E280" s="5"/>
      <c r="F280" s="5"/>
      <c r="G280" s="5"/>
      <c r="H280" s="6" t="s">
        <v>9</v>
      </c>
      <c r="I280" s="6" t="s">
        <v>9</v>
      </c>
      <c r="J280" s="6"/>
      <c r="K280" s="5"/>
      <c r="L280" s="5">
        <v>10559</v>
      </c>
      <c r="M280" s="5">
        <v>3618</v>
      </c>
      <c r="N280" s="5">
        <v>4388</v>
      </c>
      <c r="O280" s="5" t="s">
        <v>9</v>
      </c>
      <c r="P280" s="5">
        <v>2226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40">
      <c r="A281" s="40" t="s">
        <v>281</v>
      </c>
      <c r="B281" s="41">
        <v>6575501</v>
      </c>
      <c r="C281" s="41">
        <v>127699</v>
      </c>
      <c r="D281" s="41">
        <v>84855</v>
      </c>
      <c r="E281" s="41"/>
      <c r="F281" s="41"/>
      <c r="G281" s="41"/>
      <c r="H281" s="42">
        <v>32</v>
      </c>
      <c r="I281" s="42">
        <v>19.7</v>
      </c>
      <c r="J281" s="42"/>
      <c r="K281" s="5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B281" s="43">
        <f>SUM(AB254:AB280)</f>
        <v>5890818</v>
      </c>
      <c r="AC281" s="43">
        <f>SUM(AC254:AC280)</f>
        <v>127709</v>
      </c>
      <c r="AD281" s="43">
        <f>SUM(AD254:AD280)</f>
        <v>84855</v>
      </c>
      <c r="AF281" s="43">
        <f>AB281-B281</f>
        <v>-684683</v>
      </c>
      <c r="AG281" s="43">
        <f>AC281-C281</f>
        <v>10</v>
      </c>
      <c r="AH281" s="43">
        <f>AD281-D281</f>
        <v>0</v>
      </c>
      <c r="AJ281" s="44">
        <f>C281/B281*1000</f>
        <v>19.420421348882769</v>
      </c>
      <c r="AK281" s="44">
        <f>D281/B281*1000</f>
        <v>12.904720111821137</v>
      </c>
      <c r="AM281" s="44">
        <f>AJ281-H281</f>
        <v>-12.579578651117231</v>
      </c>
      <c r="AN281" s="44">
        <f>AK281-I281</f>
        <v>-6.7952798881788627</v>
      </c>
    </row>
    <row r="282" spans="1:40">
      <c r="A282" s="40" t="s">
        <v>282</v>
      </c>
      <c r="B282" s="41">
        <v>124798698</v>
      </c>
      <c r="C282" s="41">
        <v>5651063</v>
      </c>
      <c r="D282" s="41">
        <v>3869936</v>
      </c>
      <c r="E282" s="41"/>
      <c r="F282" s="41"/>
      <c r="G282" s="41"/>
      <c r="H282" s="42">
        <v>46.6</v>
      </c>
      <c r="I282" s="42">
        <v>31.9</v>
      </c>
      <c r="J282" s="42"/>
      <c r="K282" s="5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B282" s="45">
        <f>SUM(AB195, AB227, AB253, AB281)</f>
        <v>123569478</v>
      </c>
      <c r="AC282" s="45">
        <f>SUM(AC195, AC227, AC253, AC281)</f>
        <v>5636258</v>
      </c>
      <c r="AD282" s="45">
        <f>SUM(AD195, AD227, AD253, AD281)</f>
        <v>3907126</v>
      </c>
      <c r="AF282" s="43">
        <f>AB282-B282</f>
        <v>-1229220</v>
      </c>
      <c r="AG282" s="43">
        <f>AC282-C282</f>
        <v>-14805</v>
      </c>
      <c r="AH282" s="43">
        <f>AD282-D282</f>
        <v>37190</v>
      </c>
      <c r="AJ282" s="44">
        <f>C282/B282*1000</f>
        <v>45.281425932825037</v>
      </c>
      <c r="AK282" s="44">
        <f>D282/B282*1000</f>
        <v>31.009426075903452</v>
      </c>
      <c r="AM282" s="44">
        <f>AJ282-H282</f>
        <v>-1.3185740671749642</v>
      </c>
      <c r="AN282" s="44">
        <f>AK282-I282</f>
        <v>-0.89057392409654668</v>
      </c>
    </row>
  </sheetData>
  <mergeCells count="1">
    <mergeCell ref="L1:Z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2026-07-18T07:20:35Z</dcterms:modified>
</cp:coreProperties>
</file>