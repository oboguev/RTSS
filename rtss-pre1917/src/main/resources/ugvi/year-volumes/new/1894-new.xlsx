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645F2F92-5F57-4459-A5A4-CFA2E151D498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definedNames>
    <definedName name="_xlnm.Print_Area" localSheetId="0">Data!$A$1:$Y$275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" i="1" l="1"/>
  <c r="B5" i="1"/>
  <c r="B8" i="1"/>
  <c r="AJ148" i="1"/>
  <c r="AM148" i="1" s="1"/>
  <c r="AI148" i="1"/>
  <c r="AL148" i="1" s="1"/>
  <c r="AJ117" i="1"/>
  <c r="AM117" i="1" s="1"/>
  <c r="AI117" i="1"/>
  <c r="AL117" i="1" s="1"/>
  <c r="AC117" i="1"/>
  <c r="AB117" i="1"/>
  <c r="AA117" i="1"/>
  <c r="AJ275" i="1"/>
  <c r="AM275" i="1" s="1"/>
  <c r="AI275" i="1"/>
  <c r="AL275" i="1" s="1"/>
  <c r="AJ274" i="1"/>
  <c r="AM274" i="1" s="1"/>
  <c r="AI274" i="1"/>
  <c r="AL274" i="1" s="1"/>
  <c r="AJ250" i="1"/>
  <c r="AM250" i="1" s="1"/>
  <c r="AI250" i="1"/>
  <c r="AL250" i="1" s="1"/>
  <c r="AJ224" i="1"/>
  <c r="AM224" i="1" s="1"/>
  <c r="AI224" i="1"/>
  <c r="AL224" i="1" s="1"/>
  <c r="AJ194" i="1"/>
  <c r="AM194" i="1" s="1"/>
  <c r="AI194" i="1"/>
  <c r="AL194" i="1" s="1"/>
  <c r="AJ190" i="1"/>
  <c r="AM190" i="1" s="1"/>
  <c r="AI190" i="1"/>
  <c r="AL190" i="1" s="1"/>
  <c r="AJ83" i="1"/>
  <c r="AM83" i="1" s="1"/>
  <c r="AI83" i="1"/>
  <c r="AL83" i="1" s="1"/>
  <c r="AJ73" i="1"/>
  <c r="AM73" i="1" s="1"/>
  <c r="AI73" i="1"/>
  <c r="AL73" i="1" s="1"/>
  <c r="AJ41" i="1"/>
  <c r="AM41" i="1" s="1"/>
  <c r="AI41" i="1"/>
  <c r="AL41" i="1" s="1"/>
  <c r="AJ261" i="1"/>
  <c r="AM261" i="1" s="1"/>
  <c r="AI261" i="1"/>
  <c r="AL261" i="1" s="1"/>
  <c r="AJ254" i="1"/>
  <c r="AI254" i="1"/>
  <c r="AC261" i="1"/>
  <c r="AB261" i="1"/>
  <c r="AA261" i="1"/>
  <c r="AC254" i="1"/>
  <c r="AB254" i="1"/>
  <c r="AA254" i="1"/>
  <c r="AJ225" i="1"/>
  <c r="AM225" i="1" s="1"/>
  <c r="AI225" i="1"/>
  <c r="AL225" i="1" s="1"/>
  <c r="AJ223" i="1"/>
  <c r="AI223" i="1"/>
  <c r="AC225" i="1"/>
  <c r="AB225" i="1"/>
  <c r="AA225" i="1"/>
  <c r="AC223" i="1"/>
  <c r="AB223" i="1"/>
  <c r="AA223" i="1"/>
  <c r="AJ204" i="1"/>
  <c r="AI204" i="1"/>
  <c r="AC204" i="1"/>
  <c r="AB204" i="1"/>
  <c r="AA204" i="1"/>
  <c r="AJ183" i="1"/>
  <c r="AM183" i="1" s="1"/>
  <c r="AI183" i="1"/>
  <c r="AL183" i="1" s="1"/>
  <c r="AJ182" i="1"/>
  <c r="AI182" i="1"/>
  <c r="AC183" i="1"/>
  <c r="AB183" i="1"/>
  <c r="AA183" i="1"/>
  <c r="AC182" i="1"/>
  <c r="AB182" i="1"/>
  <c r="AA182" i="1"/>
  <c r="AC148" i="1"/>
  <c r="AB148" i="1"/>
  <c r="AA148" i="1"/>
  <c r="AC42" i="1"/>
  <c r="AB42" i="1"/>
  <c r="AA42" i="1"/>
  <c r="AJ70" i="1"/>
  <c r="AM70" i="1" s="1"/>
  <c r="AI70" i="1"/>
  <c r="AL70" i="1" s="1"/>
  <c r="AC70" i="1"/>
  <c r="AG70" i="1" s="1"/>
  <c r="AB70" i="1"/>
  <c r="AF70" i="1" s="1"/>
  <c r="AA70" i="1"/>
  <c r="AE70" i="1" s="1"/>
  <c r="AJ42" i="1"/>
  <c r="AM42" i="1" s="1"/>
  <c r="AI42" i="1"/>
  <c r="AL42" i="1" s="1"/>
  <c r="AJ271" i="1"/>
  <c r="AI271" i="1"/>
  <c r="AC271" i="1"/>
  <c r="AG271" i="1" s="1"/>
  <c r="AB271" i="1"/>
  <c r="AF271" i="1" s="1"/>
  <c r="AA271" i="1"/>
  <c r="AE271" i="1" s="1"/>
  <c r="AJ268" i="1"/>
  <c r="AM268" i="1" s="1"/>
  <c r="AI268" i="1"/>
  <c r="AL268" i="1" s="1"/>
  <c r="AC268" i="1"/>
  <c r="AG268" i="1" s="1"/>
  <c r="AB268" i="1"/>
  <c r="AF268" i="1" s="1"/>
  <c r="AA268" i="1"/>
  <c r="AE268" i="1" s="1"/>
  <c r="AJ265" i="1"/>
  <c r="AI265" i="1"/>
  <c r="AC265" i="1"/>
  <c r="AG265" i="1" s="1"/>
  <c r="AB265" i="1"/>
  <c r="AF265" i="1" s="1"/>
  <c r="AA265" i="1"/>
  <c r="AE265" i="1" s="1"/>
  <c r="AJ262" i="1"/>
  <c r="AI262" i="1"/>
  <c r="AC262" i="1"/>
  <c r="AG262" i="1" s="1"/>
  <c r="AB262" i="1"/>
  <c r="AF262" i="1" s="1"/>
  <c r="AA262" i="1"/>
  <c r="AE262" i="1" s="1"/>
  <c r="AJ258" i="1"/>
  <c r="AI258" i="1"/>
  <c r="AC258" i="1"/>
  <c r="AG258" i="1" s="1"/>
  <c r="AB258" i="1"/>
  <c r="AF258" i="1" s="1"/>
  <c r="AA258" i="1"/>
  <c r="AE258" i="1" s="1"/>
  <c r="AC255" i="1"/>
  <c r="AB255" i="1"/>
  <c r="AA255" i="1"/>
  <c r="AE255" i="1" s="1"/>
  <c r="AJ251" i="1"/>
  <c r="AI251" i="1"/>
  <c r="AC251" i="1"/>
  <c r="AG251" i="1" s="1"/>
  <c r="AB251" i="1"/>
  <c r="AF251" i="1" s="1"/>
  <c r="AA251" i="1"/>
  <c r="AE251" i="1" s="1"/>
  <c r="AJ247" i="1"/>
  <c r="AI247" i="1"/>
  <c r="AC247" i="1"/>
  <c r="AG247" i="1" s="1"/>
  <c r="AB247" i="1"/>
  <c r="AF247" i="1" s="1"/>
  <c r="AA247" i="1"/>
  <c r="AE247" i="1" s="1"/>
  <c r="AJ244" i="1"/>
  <c r="AM244" i="1" s="1"/>
  <c r="AI244" i="1"/>
  <c r="AL244" i="1" s="1"/>
  <c r="AC244" i="1"/>
  <c r="AG244" i="1" s="1"/>
  <c r="AB244" i="1"/>
  <c r="AF244" i="1" s="1"/>
  <c r="AA244" i="1"/>
  <c r="AE244" i="1" s="1"/>
  <c r="AJ241" i="1"/>
  <c r="AM241" i="1" s="1"/>
  <c r="AI241" i="1"/>
  <c r="AL241" i="1" s="1"/>
  <c r="AC241" i="1"/>
  <c r="AG241" i="1" s="1"/>
  <c r="AB241" i="1"/>
  <c r="AF241" i="1" s="1"/>
  <c r="AA241" i="1"/>
  <c r="AE241" i="1" s="1"/>
  <c r="AJ238" i="1"/>
  <c r="AM238" i="1" s="1"/>
  <c r="AI238" i="1"/>
  <c r="AL238" i="1" s="1"/>
  <c r="AF238" i="1"/>
  <c r="AC238" i="1"/>
  <c r="AG238" i="1" s="1"/>
  <c r="AB238" i="1"/>
  <c r="AA238" i="1"/>
  <c r="AE238" i="1" s="1"/>
  <c r="AJ235" i="1"/>
  <c r="AI235" i="1"/>
  <c r="AC235" i="1"/>
  <c r="AG235" i="1" s="1"/>
  <c r="AB235" i="1"/>
  <c r="AF235" i="1" s="1"/>
  <c r="AA235" i="1"/>
  <c r="AE235" i="1" s="1"/>
  <c r="AM232" i="1"/>
  <c r="AJ232" i="1"/>
  <c r="AI232" i="1"/>
  <c r="AL232" i="1" s="1"/>
  <c r="AC232" i="1"/>
  <c r="AG232" i="1" s="1"/>
  <c r="AB232" i="1"/>
  <c r="AF232" i="1" s="1"/>
  <c r="AA232" i="1"/>
  <c r="AE232" i="1" s="1"/>
  <c r="AJ229" i="1"/>
  <c r="AM229" i="1" s="1"/>
  <c r="AI229" i="1"/>
  <c r="AL229" i="1" s="1"/>
  <c r="AC229" i="1"/>
  <c r="AG229" i="1" s="1"/>
  <c r="AB229" i="1"/>
  <c r="AF229" i="1" s="1"/>
  <c r="AA229" i="1"/>
  <c r="AE229" i="1" s="1"/>
  <c r="AJ226" i="1"/>
  <c r="AM226" i="1" s="1"/>
  <c r="AI226" i="1"/>
  <c r="AL226" i="1" s="1"/>
  <c r="AC226" i="1"/>
  <c r="AG226" i="1" s="1"/>
  <c r="AB226" i="1"/>
  <c r="AF226" i="1" s="1"/>
  <c r="AA226" i="1"/>
  <c r="AE226" i="1" s="1"/>
  <c r="AJ220" i="1"/>
  <c r="AM220" i="1" s="1"/>
  <c r="AI220" i="1"/>
  <c r="AL220" i="1" s="1"/>
  <c r="AC220" i="1"/>
  <c r="AG220" i="1" s="1"/>
  <c r="AB220" i="1"/>
  <c r="AF220" i="1" s="1"/>
  <c r="AA220" i="1"/>
  <c r="AE220" i="1" s="1"/>
  <c r="AJ217" i="1"/>
  <c r="AM217" i="1" s="1"/>
  <c r="AI217" i="1"/>
  <c r="AL217" i="1" s="1"/>
  <c r="AC217" i="1"/>
  <c r="AG217" i="1" s="1"/>
  <c r="AB217" i="1"/>
  <c r="AF217" i="1" s="1"/>
  <c r="AA217" i="1"/>
  <c r="AE217" i="1" s="1"/>
  <c r="AJ214" i="1"/>
  <c r="AM214" i="1" s="1"/>
  <c r="AI214" i="1"/>
  <c r="AL214" i="1" s="1"/>
  <c r="AC214" i="1"/>
  <c r="AG214" i="1" s="1"/>
  <c r="AB214" i="1"/>
  <c r="AF214" i="1" s="1"/>
  <c r="AA214" i="1"/>
  <c r="AE214" i="1" s="1"/>
  <c r="AJ211" i="1"/>
  <c r="AM211" i="1" s="1"/>
  <c r="AI211" i="1"/>
  <c r="AL211" i="1" s="1"/>
  <c r="AC211" i="1"/>
  <c r="AG211" i="1" s="1"/>
  <c r="AB211" i="1"/>
  <c r="AF211" i="1" s="1"/>
  <c r="AA211" i="1"/>
  <c r="AE211" i="1" s="1"/>
  <c r="AJ208" i="1"/>
  <c r="AM208" i="1" s="1"/>
  <c r="AI208" i="1"/>
  <c r="AL208" i="1" s="1"/>
  <c r="AC208" i="1"/>
  <c r="AG208" i="1" s="1"/>
  <c r="AB208" i="1"/>
  <c r="AF208" i="1" s="1"/>
  <c r="AA208" i="1"/>
  <c r="AE208" i="1" s="1"/>
  <c r="AJ205" i="1"/>
  <c r="AM205" i="1" s="1"/>
  <c r="AI205" i="1"/>
  <c r="AL205" i="1" s="1"/>
  <c r="AC205" i="1"/>
  <c r="AG205" i="1" s="1"/>
  <c r="AB205" i="1"/>
  <c r="AF205" i="1" s="1"/>
  <c r="AA205" i="1"/>
  <c r="AE205" i="1" s="1"/>
  <c r="AJ201" i="1"/>
  <c r="AM201" i="1" s="1"/>
  <c r="AI201" i="1"/>
  <c r="AL201" i="1" s="1"/>
  <c r="AC201" i="1"/>
  <c r="AG201" i="1" s="1"/>
  <c r="AB201" i="1"/>
  <c r="AF201" i="1" s="1"/>
  <c r="AA201" i="1"/>
  <c r="AE201" i="1" s="1"/>
  <c r="AJ198" i="1"/>
  <c r="AI198" i="1"/>
  <c r="AC198" i="1"/>
  <c r="AG198" i="1" s="1"/>
  <c r="AB198" i="1"/>
  <c r="AF198" i="1" s="1"/>
  <c r="AA198" i="1"/>
  <c r="AE198" i="1" s="1"/>
  <c r="AJ195" i="1"/>
  <c r="AM195" i="1" s="1"/>
  <c r="AI195" i="1"/>
  <c r="AL195" i="1" s="1"/>
  <c r="AG195" i="1"/>
  <c r="AC195" i="1"/>
  <c r="AB195" i="1"/>
  <c r="AF195" i="1" s="1"/>
  <c r="AA195" i="1"/>
  <c r="AE195" i="1" s="1"/>
  <c r="AJ191" i="1"/>
  <c r="AM191" i="1" s="1"/>
  <c r="AI191" i="1"/>
  <c r="AL191" i="1" s="1"/>
  <c r="AC191" i="1"/>
  <c r="AG191" i="1" s="1"/>
  <c r="AB191" i="1"/>
  <c r="AF191" i="1" s="1"/>
  <c r="AA191" i="1"/>
  <c r="AE191" i="1" s="1"/>
  <c r="AJ187" i="1"/>
  <c r="AM187" i="1" s="1"/>
  <c r="AI187" i="1"/>
  <c r="AL187" i="1" s="1"/>
  <c r="AC187" i="1"/>
  <c r="AG187" i="1" s="1"/>
  <c r="AB187" i="1"/>
  <c r="AF187" i="1" s="1"/>
  <c r="AA187" i="1"/>
  <c r="AE187" i="1" s="1"/>
  <c r="AJ184" i="1"/>
  <c r="AM184" i="1" s="1"/>
  <c r="AI184" i="1"/>
  <c r="AL184" i="1" s="1"/>
  <c r="AC184" i="1"/>
  <c r="AG184" i="1" s="1"/>
  <c r="AB184" i="1"/>
  <c r="AF184" i="1" s="1"/>
  <c r="AA184" i="1"/>
  <c r="AE184" i="1" s="1"/>
  <c r="AJ179" i="1"/>
  <c r="AM179" i="1" s="1"/>
  <c r="AI179" i="1"/>
  <c r="AL179" i="1" s="1"/>
  <c r="AC179" i="1"/>
  <c r="AG179" i="1" s="1"/>
  <c r="AB179" i="1"/>
  <c r="AF179" i="1" s="1"/>
  <c r="AA179" i="1"/>
  <c r="AE179" i="1" s="1"/>
  <c r="AJ176" i="1"/>
  <c r="AM176" i="1" s="1"/>
  <c r="AI176" i="1"/>
  <c r="AL176" i="1" s="1"/>
  <c r="AC176" i="1"/>
  <c r="AG176" i="1" s="1"/>
  <c r="AB176" i="1"/>
  <c r="AF176" i="1" s="1"/>
  <c r="AA176" i="1"/>
  <c r="AE176" i="1" s="1"/>
  <c r="AJ173" i="1"/>
  <c r="AM173" i="1" s="1"/>
  <c r="AI173" i="1"/>
  <c r="AL173" i="1" s="1"/>
  <c r="AC173" i="1"/>
  <c r="AG173" i="1" s="1"/>
  <c r="AB173" i="1"/>
  <c r="AF173" i="1" s="1"/>
  <c r="AA173" i="1"/>
  <c r="AE173" i="1" s="1"/>
  <c r="AJ170" i="1"/>
  <c r="AM170" i="1" s="1"/>
  <c r="AI170" i="1"/>
  <c r="AL170" i="1" s="1"/>
  <c r="AC170" i="1"/>
  <c r="AG170" i="1" s="1"/>
  <c r="AB170" i="1"/>
  <c r="AF170" i="1" s="1"/>
  <c r="AA170" i="1"/>
  <c r="AE170" i="1" s="1"/>
  <c r="AJ167" i="1"/>
  <c r="AM167" i="1" s="1"/>
  <c r="AI167" i="1"/>
  <c r="AL167" i="1" s="1"/>
  <c r="AC167" i="1"/>
  <c r="AG167" i="1" s="1"/>
  <c r="AB167" i="1"/>
  <c r="AF167" i="1" s="1"/>
  <c r="AA167" i="1"/>
  <c r="AE167" i="1" s="1"/>
  <c r="AJ164" i="1"/>
  <c r="AM164" i="1" s="1"/>
  <c r="AI164" i="1"/>
  <c r="AL164" i="1" s="1"/>
  <c r="AC164" i="1"/>
  <c r="AG164" i="1" s="1"/>
  <c r="AB164" i="1"/>
  <c r="AF164" i="1" s="1"/>
  <c r="AA164" i="1"/>
  <c r="AE164" i="1" s="1"/>
  <c r="AJ161" i="1"/>
  <c r="AM161" i="1" s="1"/>
  <c r="AI161" i="1"/>
  <c r="AL161" i="1" s="1"/>
  <c r="AC161" i="1"/>
  <c r="AG161" i="1" s="1"/>
  <c r="AB161" i="1"/>
  <c r="AF161" i="1" s="1"/>
  <c r="AA161" i="1"/>
  <c r="AE161" i="1" s="1"/>
  <c r="AJ158" i="1"/>
  <c r="AM158" i="1" s="1"/>
  <c r="AI158" i="1"/>
  <c r="AL158" i="1" s="1"/>
  <c r="AC158" i="1"/>
  <c r="AG158" i="1" s="1"/>
  <c r="AB158" i="1"/>
  <c r="AF158" i="1" s="1"/>
  <c r="AA158" i="1"/>
  <c r="AE158" i="1" s="1"/>
  <c r="AJ155" i="1"/>
  <c r="AM155" i="1" s="1"/>
  <c r="AI155" i="1"/>
  <c r="AL155" i="1" s="1"/>
  <c r="AC155" i="1"/>
  <c r="AG155" i="1" s="1"/>
  <c r="AB155" i="1"/>
  <c r="AF155" i="1" s="1"/>
  <c r="AA155" i="1"/>
  <c r="AE155" i="1" s="1"/>
  <c r="AJ152" i="1"/>
  <c r="AM152" i="1" s="1"/>
  <c r="AI152" i="1"/>
  <c r="AL152" i="1" s="1"/>
  <c r="AC152" i="1"/>
  <c r="AG152" i="1" s="1"/>
  <c r="AB152" i="1"/>
  <c r="AF152" i="1" s="1"/>
  <c r="AA152" i="1"/>
  <c r="AE152" i="1" s="1"/>
  <c r="AJ149" i="1"/>
  <c r="AM149" i="1" s="1"/>
  <c r="AI149" i="1"/>
  <c r="AL149" i="1" s="1"/>
  <c r="AC149" i="1"/>
  <c r="AG149" i="1" s="1"/>
  <c r="AB149" i="1"/>
  <c r="AF149" i="1" s="1"/>
  <c r="AA149" i="1"/>
  <c r="AE149" i="1" s="1"/>
  <c r="AJ145" i="1"/>
  <c r="AM145" i="1" s="1"/>
  <c r="AI145" i="1"/>
  <c r="AL145" i="1" s="1"/>
  <c r="AC145" i="1"/>
  <c r="AG145" i="1" s="1"/>
  <c r="AB145" i="1"/>
  <c r="AF145" i="1" s="1"/>
  <c r="AA145" i="1"/>
  <c r="AE145" i="1" s="1"/>
  <c r="AJ142" i="1"/>
  <c r="AM142" i="1" s="1"/>
  <c r="AI142" i="1"/>
  <c r="AL142" i="1" s="1"/>
  <c r="AC142" i="1"/>
  <c r="AG142" i="1" s="1"/>
  <c r="AB142" i="1"/>
  <c r="AF142" i="1" s="1"/>
  <c r="AA142" i="1"/>
  <c r="AE142" i="1" s="1"/>
  <c r="AL139" i="1"/>
  <c r="AJ139" i="1"/>
  <c r="AM139" i="1" s="1"/>
  <c r="AI139" i="1"/>
  <c r="AC139" i="1"/>
  <c r="AG139" i="1" s="1"/>
  <c r="AB139" i="1"/>
  <c r="AF139" i="1" s="1"/>
  <c r="AA139" i="1"/>
  <c r="AE139" i="1" s="1"/>
  <c r="AJ136" i="1"/>
  <c r="AM136" i="1" s="1"/>
  <c r="AI136" i="1"/>
  <c r="AL136" i="1" s="1"/>
  <c r="AC136" i="1"/>
  <c r="AG136" i="1" s="1"/>
  <c r="AB136" i="1"/>
  <c r="AF136" i="1" s="1"/>
  <c r="AA136" i="1"/>
  <c r="AE136" i="1" s="1"/>
  <c r="AJ133" i="1"/>
  <c r="AM133" i="1" s="1"/>
  <c r="AI133" i="1"/>
  <c r="AL133" i="1" s="1"/>
  <c r="AC133" i="1"/>
  <c r="AG133" i="1" s="1"/>
  <c r="AB133" i="1"/>
  <c r="AF133" i="1" s="1"/>
  <c r="AA133" i="1"/>
  <c r="AE133" i="1" s="1"/>
  <c r="AJ130" i="1"/>
  <c r="AM130" i="1" s="1"/>
  <c r="AI130" i="1"/>
  <c r="AL130" i="1" s="1"/>
  <c r="AC130" i="1"/>
  <c r="AG130" i="1" s="1"/>
  <c r="AB130" i="1"/>
  <c r="AF130" i="1" s="1"/>
  <c r="AA130" i="1"/>
  <c r="AE130" i="1" s="1"/>
  <c r="AJ127" i="1"/>
  <c r="AM127" i="1" s="1"/>
  <c r="AI127" i="1"/>
  <c r="AL127" i="1" s="1"/>
  <c r="AC127" i="1"/>
  <c r="AG127" i="1" s="1"/>
  <c r="AB127" i="1"/>
  <c r="AF127" i="1" s="1"/>
  <c r="AA127" i="1"/>
  <c r="AE127" i="1" s="1"/>
  <c r="AJ124" i="1"/>
  <c r="AM124" i="1" s="1"/>
  <c r="AI124" i="1"/>
  <c r="AL124" i="1" s="1"/>
  <c r="AC124" i="1"/>
  <c r="AG124" i="1" s="1"/>
  <c r="AB124" i="1"/>
  <c r="AF124" i="1" s="1"/>
  <c r="AA124" i="1"/>
  <c r="AE124" i="1" s="1"/>
  <c r="AJ121" i="1"/>
  <c r="AM121" i="1" s="1"/>
  <c r="AI121" i="1"/>
  <c r="AL121" i="1" s="1"/>
  <c r="AC121" i="1"/>
  <c r="AG121" i="1" s="1"/>
  <c r="AB121" i="1"/>
  <c r="AF121" i="1" s="1"/>
  <c r="AA121" i="1"/>
  <c r="AE121" i="1" s="1"/>
  <c r="AL118" i="1"/>
  <c r="AJ118" i="1"/>
  <c r="AM118" i="1" s="1"/>
  <c r="AI118" i="1"/>
  <c r="AG118" i="1"/>
  <c r="AC118" i="1"/>
  <c r="AB118" i="1"/>
  <c r="AF118" i="1" s="1"/>
  <c r="AA118" i="1"/>
  <c r="AE118" i="1" s="1"/>
  <c r="AJ114" i="1"/>
  <c r="AM114" i="1" s="1"/>
  <c r="AI114" i="1"/>
  <c r="AL114" i="1" s="1"/>
  <c r="AC114" i="1"/>
  <c r="AG114" i="1" s="1"/>
  <c r="AB114" i="1"/>
  <c r="AF114" i="1" s="1"/>
  <c r="AA114" i="1"/>
  <c r="AE114" i="1" s="1"/>
  <c r="AJ111" i="1"/>
  <c r="AM111" i="1" s="1"/>
  <c r="AI111" i="1"/>
  <c r="AL111" i="1" s="1"/>
  <c r="AC111" i="1"/>
  <c r="AG111" i="1" s="1"/>
  <c r="AB111" i="1"/>
  <c r="AF111" i="1" s="1"/>
  <c r="AA111" i="1"/>
  <c r="AE111" i="1" s="1"/>
  <c r="AJ108" i="1"/>
  <c r="AM108" i="1" s="1"/>
  <c r="AI108" i="1"/>
  <c r="AL108" i="1" s="1"/>
  <c r="AC108" i="1"/>
  <c r="AG108" i="1" s="1"/>
  <c r="AB108" i="1"/>
  <c r="AF108" i="1" s="1"/>
  <c r="AA108" i="1"/>
  <c r="AE108" i="1" s="1"/>
  <c r="AM105" i="1"/>
  <c r="AJ105" i="1"/>
  <c r="AI105" i="1"/>
  <c r="AL105" i="1" s="1"/>
  <c r="AC105" i="1"/>
  <c r="AG105" i="1" s="1"/>
  <c r="AB105" i="1"/>
  <c r="AF105" i="1" s="1"/>
  <c r="AA105" i="1"/>
  <c r="AE105" i="1" s="1"/>
  <c r="AJ102" i="1"/>
  <c r="AM102" i="1" s="1"/>
  <c r="AI102" i="1"/>
  <c r="AL102" i="1" s="1"/>
  <c r="AC102" i="1"/>
  <c r="AG102" i="1" s="1"/>
  <c r="AB102" i="1"/>
  <c r="AF102" i="1" s="1"/>
  <c r="AA102" i="1"/>
  <c r="AE102" i="1" s="1"/>
  <c r="AJ99" i="1"/>
  <c r="AM99" i="1" s="1"/>
  <c r="AI99" i="1"/>
  <c r="AL99" i="1" s="1"/>
  <c r="AC99" i="1"/>
  <c r="AG99" i="1" s="1"/>
  <c r="AB99" i="1"/>
  <c r="AF99" i="1" s="1"/>
  <c r="AA99" i="1"/>
  <c r="AE99" i="1" s="1"/>
  <c r="AJ96" i="1"/>
  <c r="AM96" i="1" s="1"/>
  <c r="AI96" i="1"/>
  <c r="AL96" i="1" s="1"/>
  <c r="AC96" i="1"/>
  <c r="AG96" i="1" s="1"/>
  <c r="AB96" i="1"/>
  <c r="AF96" i="1" s="1"/>
  <c r="AA96" i="1"/>
  <c r="AE96" i="1" s="1"/>
  <c r="AJ93" i="1"/>
  <c r="AM93" i="1" s="1"/>
  <c r="AI93" i="1"/>
  <c r="AL93" i="1" s="1"/>
  <c r="AG93" i="1"/>
  <c r="AC93" i="1"/>
  <c r="AB93" i="1"/>
  <c r="AF93" i="1" s="1"/>
  <c r="AA93" i="1"/>
  <c r="AE93" i="1" s="1"/>
  <c r="AJ90" i="1"/>
  <c r="AM90" i="1" s="1"/>
  <c r="AI90" i="1"/>
  <c r="AL90" i="1" s="1"/>
  <c r="AC90" i="1"/>
  <c r="AG90" i="1" s="1"/>
  <c r="AB90" i="1"/>
  <c r="AF90" i="1" s="1"/>
  <c r="AA90" i="1"/>
  <c r="AE90" i="1" s="1"/>
  <c r="AJ87" i="1"/>
  <c r="AM87" i="1" s="1"/>
  <c r="AI87" i="1"/>
  <c r="AL87" i="1" s="1"/>
  <c r="AC87" i="1"/>
  <c r="AG87" i="1" s="1"/>
  <c r="AB87" i="1"/>
  <c r="AF87" i="1" s="1"/>
  <c r="AA87" i="1"/>
  <c r="AE87" i="1" s="1"/>
  <c r="AJ84" i="1"/>
  <c r="AM84" i="1" s="1"/>
  <c r="AI84" i="1"/>
  <c r="AL84" i="1" s="1"/>
  <c r="AC84" i="1"/>
  <c r="AG84" i="1" s="1"/>
  <c r="AB84" i="1"/>
  <c r="AF84" i="1" s="1"/>
  <c r="AA84" i="1"/>
  <c r="AE84" i="1" s="1"/>
  <c r="AJ80" i="1"/>
  <c r="AM80" i="1" s="1"/>
  <c r="AI80" i="1"/>
  <c r="AL80" i="1" s="1"/>
  <c r="AC80" i="1"/>
  <c r="AG80" i="1" s="1"/>
  <c r="AB80" i="1"/>
  <c r="AF80" i="1" s="1"/>
  <c r="AA80" i="1"/>
  <c r="AE80" i="1" s="1"/>
  <c r="AJ77" i="1"/>
  <c r="AM77" i="1" s="1"/>
  <c r="AI77" i="1"/>
  <c r="AL77" i="1" s="1"/>
  <c r="AC77" i="1"/>
  <c r="AG77" i="1" s="1"/>
  <c r="AB77" i="1"/>
  <c r="AF77" i="1" s="1"/>
  <c r="AA77" i="1"/>
  <c r="AE77" i="1" s="1"/>
  <c r="AJ74" i="1"/>
  <c r="AM74" i="1" s="1"/>
  <c r="AI74" i="1"/>
  <c r="AL74" i="1" s="1"/>
  <c r="AC74" i="1"/>
  <c r="AG74" i="1" s="1"/>
  <c r="AB74" i="1"/>
  <c r="AF74" i="1" s="1"/>
  <c r="AA74" i="1"/>
  <c r="AE74" i="1" s="1"/>
  <c r="AJ67" i="1"/>
  <c r="AM67" i="1" s="1"/>
  <c r="AI67" i="1"/>
  <c r="AL67" i="1" s="1"/>
  <c r="AC67" i="1"/>
  <c r="AG67" i="1" s="1"/>
  <c r="AB67" i="1"/>
  <c r="AF67" i="1" s="1"/>
  <c r="AA67" i="1"/>
  <c r="AE67" i="1" s="1"/>
  <c r="AJ64" i="1"/>
  <c r="AM64" i="1" s="1"/>
  <c r="AI64" i="1"/>
  <c r="AL64" i="1" s="1"/>
  <c r="AC64" i="1"/>
  <c r="AG64" i="1" s="1"/>
  <c r="AB64" i="1"/>
  <c r="AF64" i="1" s="1"/>
  <c r="AA64" i="1"/>
  <c r="AE64" i="1" s="1"/>
  <c r="AJ61" i="1"/>
  <c r="AM61" i="1" s="1"/>
  <c r="AI61" i="1"/>
  <c r="AL61" i="1" s="1"/>
  <c r="AC61" i="1"/>
  <c r="AG61" i="1" s="1"/>
  <c r="AB61" i="1"/>
  <c r="AF61" i="1" s="1"/>
  <c r="AA61" i="1"/>
  <c r="AE61" i="1" s="1"/>
  <c r="AJ58" i="1"/>
  <c r="AM58" i="1" s="1"/>
  <c r="AI58" i="1"/>
  <c r="AL58" i="1" s="1"/>
  <c r="AC58" i="1"/>
  <c r="AG58" i="1" s="1"/>
  <c r="AB58" i="1"/>
  <c r="AF58" i="1" s="1"/>
  <c r="AA58" i="1"/>
  <c r="AE58" i="1" s="1"/>
  <c r="AJ55" i="1"/>
  <c r="AM55" i="1" s="1"/>
  <c r="AI55" i="1"/>
  <c r="AL55" i="1" s="1"/>
  <c r="AC55" i="1"/>
  <c r="AG55" i="1" s="1"/>
  <c r="AB55" i="1"/>
  <c r="AF55" i="1" s="1"/>
  <c r="AA55" i="1"/>
  <c r="AE55" i="1" s="1"/>
  <c r="AJ52" i="1"/>
  <c r="AM52" i="1" s="1"/>
  <c r="AI52" i="1"/>
  <c r="AL52" i="1" s="1"/>
  <c r="AC52" i="1"/>
  <c r="AG52" i="1" s="1"/>
  <c r="AB52" i="1"/>
  <c r="AF52" i="1" s="1"/>
  <c r="AA52" i="1"/>
  <c r="AE52" i="1" s="1"/>
  <c r="AJ49" i="1"/>
  <c r="AM49" i="1" s="1"/>
  <c r="AI49" i="1"/>
  <c r="AL49" i="1" s="1"/>
  <c r="AC49" i="1"/>
  <c r="AG49" i="1" s="1"/>
  <c r="AB49" i="1"/>
  <c r="AF49" i="1" s="1"/>
  <c r="AA49" i="1"/>
  <c r="AE49" i="1" s="1"/>
  <c r="AJ46" i="1"/>
  <c r="AM46" i="1" s="1"/>
  <c r="AI46" i="1"/>
  <c r="AL46" i="1" s="1"/>
  <c r="AC46" i="1"/>
  <c r="AG46" i="1" s="1"/>
  <c r="AB46" i="1"/>
  <c r="AF46" i="1" s="1"/>
  <c r="AA46" i="1"/>
  <c r="AE46" i="1" s="1"/>
  <c r="AJ43" i="1"/>
  <c r="AM43" i="1" s="1"/>
  <c r="AI43" i="1"/>
  <c r="AL43" i="1" s="1"/>
  <c r="AC43" i="1"/>
  <c r="AG43" i="1" s="1"/>
  <c r="AB43" i="1"/>
  <c r="AF43" i="1" s="1"/>
  <c r="AA43" i="1"/>
  <c r="AE43" i="1" s="1"/>
  <c r="AJ38" i="1"/>
  <c r="AM38" i="1" s="1"/>
  <c r="AI38" i="1"/>
  <c r="AL38" i="1" s="1"/>
  <c r="AC38" i="1"/>
  <c r="AG38" i="1" s="1"/>
  <c r="AB38" i="1"/>
  <c r="AF38" i="1" s="1"/>
  <c r="AA38" i="1"/>
  <c r="AE38" i="1" s="1"/>
  <c r="AJ35" i="1"/>
  <c r="AM35" i="1" s="1"/>
  <c r="AI35" i="1"/>
  <c r="AL35" i="1" s="1"/>
  <c r="AC35" i="1"/>
  <c r="AG35" i="1" s="1"/>
  <c r="AB35" i="1"/>
  <c r="AF35" i="1" s="1"/>
  <c r="AA35" i="1"/>
  <c r="AE35" i="1" s="1"/>
  <c r="AJ32" i="1"/>
  <c r="AM32" i="1" s="1"/>
  <c r="AI32" i="1"/>
  <c r="AL32" i="1" s="1"/>
  <c r="AC32" i="1"/>
  <c r="AG32" i="1" s="1"/>
  <c r="AB32" i="1"/>
  <c r="AF32" i="1" s="1"/>
  <c r="AA32" i="1"/>
  <c r="AE32" i="1" s="1"/>
  <c r="AL29" i="1"/>
  <c r="AJ29" i="1"/>
  <c r="AM29" i="1" s="1"/>
  <c r="AI29" i="1"/>
  <c r="AC29" i="1"/>
  <c r="AG29" i="1" s="1"/>
  <c r="AB29" i="1"/>
  <c r="AF29" i="1" s="1"/>
  <c r="AA29" i="1"/>
  <c r="AE29" i="1" s="1"/>
  <c r="AJ26" i="1"/>
  <c r="AM26" i="1" s="1"/>
  <c r="AI26" i="1"/>
  <c r="AL26" i="1" s="1"/>
  <c r="AC26" i="1"/>
  <c r="AG26" i="1" s="1"/>
  <c r="AB26" i="1"/>
  <c r="AF26" i="1" s="1"/>
  <c r="AA26" i="1"/>
  <c r="AE26" i="1" s="1"/>
  <c r="AJ23" i="1"/>
  <c r="AM23" i="1" s="1"/>
  <c r="AI23" i="1"/>
  <c r="AL23" i="1" s="1"/>
  <c r="AC23" i="1"/>
  <c r="AG23" i="1" s="1"/>
  <c r="AB23" i="1"/>
  <c r="AF23" i="1" s="1"/>
  <c r="AA23" i="1"/>
  <c r="AE23" i="1" s="1"/>
  <c r="AJ20" i="1"/>
  <c r="AM20" i="1" s="1"/>
  <c r="AI20" i="1"/>
  <c r="AL20" i="1" s="1"/>
  <c r="AC20" i="1"/>
  <c r="AG20" i="1" s="1"/>
  <c r="AB20" i="1"/>
  <c r="AF20" i="1" s="1"/>
  <c r="AA20" i="1"/>
  <c r="AE20" i="1" s="1"/>
  <c r="AJ17" i="1"/>
  <c r="AM17" i="1" s="1"/>
  <c r="AI17" i="1"/>
  <c r="AL17" i="1" s="1"/>
  <c r="AC17" i="1"/>
  <c r="AG17" i="1" s="1"/>
  <c r="AB17" i="1"/>
  <c r="AF17" i="1" s="1"/>
  <c r="AA17" i="1"/>
  <c r="AE17" i="1" s="1"/>
  <c r="AJ14" i="1"/>
  <c r="AM14" i="1" s="1"/>
  <c r="AI14" i="1"/>
  <c r="AL14" i="1" s="1"/>
  <c r="AC14" i="1"/>
  <c r="AG14" i="1" s="1"/>
  <c r="AB14" i="1"/>
  <c r="AF14" i="1" s="1"/>
  <c r="AA14" i="1"/>
  <c r="AE14" i="1" s="1"/>
  <c r="AJ11" i="1"/>
  <c r="AM11" i="1" s="1"/>
  <c r="AI11" i="1"/>
  <c r="AL11" i="1" s="1"/>
  <c r="AC11" i="1"/>
  <c r="AG11" i="1" s="1"/>
  <c r="AB11" i="1"/>
  <c r="AF11" i="1" s="1"/>
  <c r="AA11" i="1"/>
  <c r="AE11" i="1" s="1"/>
  <c r="AJ5" i="1"/>
  <c r="AM5" i="1" s="1"/>
  <c r="AI5" i="1"/>
  <c r="AL5" i="1" s="1"/>
  <c r="AC5" i="1"/>
  <c r="AG5" i="1" s="1"/>
  <c r="AB5" i="1"/>
  <c r="AF5" i="1" s="1"/>
  <c r="AA5" i="1"/>
  <c r="AE5" i="1" s="1"/>
  <c r="AC2" i="1"/>
  <c r="AB2" i="1"/>
  <c r="AF2" i="1" s="1"/>
  <c r="AA2" i="1"/>
  <c r="AE2" i="1" s="1"/>
  <c r="AJ2" i="1"/>
  <c r="AM2" i="1" s="1"/>
  <c r="AI2" i="1"/>
  <c r="AL2" i="1" s="1"/>
  <c r="AC83" i="1" l="1"/>
  <c r="AG83" i="1" s="1"/>
  <c r="AC41" i="1"/>
  <c r="AG41" i="1" s="1"/>
  <c r="AC224" i="1"/>
  <c r="AG224" i="1" s="1"/>
  <c r="AC250" i="1"/>
  <c r="AG250" i="1" s="1"/>
  <c r="AC73" i="1"/>
  <c r="AG73" i="1" s="1"/>
  <c r="AA73" i="1"/>
  <c r="AE73" i="1" s="1"/>
  <c r="AB73" i="1"/>
  <c r="AF73" i="1" s="1"/>
  <c r="AB224" i="1"/>
  <c r="AF224" i="1" s="1"/>
  <c r="AA41" i="1"/>
  <c r="AE41" i="1" s="1"/>
  <c r="AC190" i="1"/>
  <c r="AG190" i="1" s="1"/>
  <c r="AB83" i="1"/>
  <c r="AF83" i="1" s="1"/>
  <c r="AB250" i="1"/>
  <c r="AF250" i="1" s="1"/>
  <c r="AA250" i="1"/>
  <c r="AE250" i="1" s="1"/>
  <c r="AG2" i="1"/>
  <c r="AA83" i="1"/>
  <c r="AE83" i="1" s="1"/>
  <c r="AB41" i="1"/>
  <c r="AB190" i="1"/>
  <c r="AF190" i="1" s="1"/>
  <c r="AA274" i="1"/>
  <c r="AE274" i="1" s="1"/>
  <c r="AB274" i="1"/>
  <c r="AF274" i="1" s="1"/>
  <c r="AC274" i="1"/>
  <c r="AG274" i="1" s="1"/>
  <c r="AA224" i="1"/>
  <c r="AE224" i="1" s="1"/>
  <c r="AA190" i="1"/>
  <c r="AE190" i="1" s="1"/>
  <c r="AC194" i="1" l="1"/>
  <c r="AG194" i="1" s="1"/>
  <c r="AF41" i="1"/>
  <c r="AB194" i="1"/>
  <c r="AF194" i="1" s="1"/>
  <c r="AA194" i="1"/>
  <c r="AE194" i="1" s="1"/>
</calcChain>
</file>

<file path=xl/sharedStrings.xml><?xml version="1.0" encoding="utf-8"?>
<sst xmlns="http://schemas.openxmlformats.org/spreadsheetml/2006/main" count="425" uniqueCount="295">
  <si>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</si>
  <si>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</si>
  <si>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</si>
  <si>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</si>
  <si>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</si>
  <si>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</si>
  <si>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</si>
  <si>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</si>
  <si>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</si>
  <si>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</si>
  <si>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</si>
  <si>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</si>
  <si>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</si>
  <si>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</si>
  <si>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</si>
  <si>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</si>
  <si>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</si>
  <si>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</si>
  <si>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</si>
  <si>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</si>
  <si>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</si>
  <si>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</si>
  <si>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</si>
  <si>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</si>
  <si>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</si>
  <si>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</si>
  <si>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</si>
  <si>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</si>
  <si>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</si>
  <si>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</si>
  <si>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</si>
  <si>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</si>
  <si>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</si>
  <si>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</si>
  <si>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</si>
  <si>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</si>
  <si>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</si>
  <si>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</si>
  <si>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</si>
  <si>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</si>
  <si>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</si>
  <si>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</si>
  <si>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</si>
  <si>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</si>
  <si>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</si>
  <si>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</si>
  <si>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</si>
  <si>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</si>
  <si>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</si>
  <si>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</si>
  <si>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</si>
  <si>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</si>
  <si>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</si>
  <si>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</si>
  <si>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</si>
  <si>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</si>
  <si>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</si>
  <si>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</si>
  <si>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</si>
  <si>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</si>
  <si>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</si>
  <si>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</si>
  <si>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</si>
  <si>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</si>
  <si>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</si>
  <si>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</si>
  <si>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</si>
  <si>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</si>
  <si>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</si>
  <si>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</si>
  <si>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</si>
  <si>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</si>
  <si>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</si>
  <si>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</si>
  <si>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</si>
  <si>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</si>
  <si>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</si>
  <si>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</si>
  <si>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</si>
  <si>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</si>
  <si>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</si>
  <si>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</si>
  <si>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</si>
  <si>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</si>
  <si>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</si>
  <si>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</si>
  <si>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</si>
  <si>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</si>
  <si>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</si>
  <si>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</si>
  <si>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</si>
  <si>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</si>
  <si>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</si>
  <si>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</si>
  <si>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</si>
  <si>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</si>
  <si>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</si>
  <si>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</si>
  <si>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</si>
  <si>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</si>
  <si>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</si>
  <si>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</si>
  <si>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</si>
  <si>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</si>
  <si>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</si>
  <si>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</si>
  <si>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</si>
  <si>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</si>
  <si>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</si>
  <si>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</si>
  <si>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</si>
  <si>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</si>
  <si>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</si>
  <si>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</si>
  <si>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</si>
  <si>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</si>
  <si>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</si>
  <si>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</si>
  <si>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</si>
  <si>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</si>
  <si>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</si>
  <si>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</si>
  <si>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</si>
  <si>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</si>
  <si>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</si>
  <si>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</si>
  <si>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</si>
  <si>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</si>
  <si>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</si>
  <si>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</si>
  <si>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</si>
  <si>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</si>
  <si>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</si>
  <si>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</si>
  <si>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</si>
  <si>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</si>
  <si>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</si>
  <si>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</si>
  <si>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</si>
  <si>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</si>
  <si>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</si>
  <si>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</si>
  <si>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</si>
  <si>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</si>
  <si>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</si>
  <si>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</si>
  <si>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</si>
  <si>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</si>
  <si>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</si>
  <si>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</si>
  <si>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</si>
  <si>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</si>
  <si>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</si>
  <si>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</si>
  <si>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</si>
  <si>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</si>
  <si>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</si>
  <si>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</si>
  <si>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</si>
  <si>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</si>
  <si>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</si>
  <si>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</si>
  <si>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</si>
  <si>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</si>
  <si>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</si>
  <si>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</si>
  <si>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</si>
  <si>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</si>
  <si>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</si>
  <si>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</si>
  <si>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</si>
  <si>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</si>
  <si>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</si>
  <si>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</si>
  <si>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</si>
  <si>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</si>
  <si>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</si>
  <si>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</si>
  <si>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</si>
  <si>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</si>
  <si>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</si>
  <si>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</si>
  <si>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</si>
  <si>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</si>
  <si>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</si>
  <si>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</si>
  <si>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</si>
  <si>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</si>
  <si>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</si>
  <si>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</si>
  <si>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</si>
  <si>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</si>
  <si>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</si>
  <si>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</si>
  <si>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</si>
  <si>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</si>
  <si>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</si>
  <si>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</si>
  <si>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</si>
  <si>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</si>
  <si>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</si>
  <si>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</si>
  <si>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</si>
  <si>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</si>
  <si>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</si>
  <si>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</si>
  <si>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</si>
  <si>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</si>
  <si>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</si>
  <si>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</si>
  <si>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</si>
  <si>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</si>
  <si>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</si>
  <si>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</si>
  <si>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</si>
  <si>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</si>
  <si>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</si>
  <si>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</si>
  <si>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</si>
  <si>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</si>
  <si>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</si>
  <si>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</si>
  <si>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</si>
  <si>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</si>
  <si>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Закатальский округ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</si>
  <si>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</si>
  <si>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</si>
  <si>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</si>
  <si>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</si>
  <si>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</si>
  <si>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</si>
  <si>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</si>
  <si>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</si>
  <si>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</si>
  <si>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</si>
  <si>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</si>
  <si>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</si>
  <si>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</si>
  <si>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</si>
  <si>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</si>
  <si>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</si>
  <si>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</si>
  <si>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</si>
  <si>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</si>
  <si>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</si>
  <si>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</si>
  <si>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</si>
  <si>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</si>
  <si>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</si>
  <si>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</si>
  <si>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</si>
  <si>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</si>
  <si>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</si>
  <si>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</si>
  <si>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</si>
  <si>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</si>
  <si>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</si>
  <si>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</si>
  <si>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</si>
  <si>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</si>
  <si>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</si>
  <si>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</si>
  <si>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</si>
  <si>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</si>
  <si>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</si>
  <si>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</si>
  <si>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</si>
  <si>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</si>
  <si>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</si>
  <si>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</si>
  <si>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</si>
  <si>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</si>
  <si>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</si>
  <si>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</si>
  <si>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</si>
  <si>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</si>
  <si>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</si>
  <si>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</si>
  <si>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</si>
  <si>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</si>
  <si>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</si>
  <si>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vd-р</t>
  </si>
  <si>
    <t>vd-с</t>
  </si>
  <si>
    <t>v-чж</t>
  </si>
  <si>
    <t>v-чр</t>
  </si>
  <si>
    <t>v-чу</t>
  </si>
  <si>
    <t>vd-чж</t>
  </si>
  <si>
    <t>vd-чр</t>
  </si>
  <si>
    <t>vd-чу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</si>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</sst>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rlito"/>
      <family val="2"/>
    </font>
    <font>
      <sz val="10"/>
      <color rgb="FF000000"/>
      <name val="Arial Unicode MS"/>
    </font>
  </fonts>
  <fills count="1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85"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1" xfId="0"/>
    <xf numFmtId="0" fontId="1" fillId="12" borderId="0" xfId="0" applyFont="1" applyFill="1" applyBorder="1" applyAlignment="1">
      <alignment horizontal="center" vertical="center"/>
    </xf>
    <xf numFmtId="3" fontId="1" fillId="12" borderId="0" xfId="0" applyNumberFormat="1" applyFont="1" applyFill="1" applyBorder="1" applyAlignment="1">
      <alignment horizontal="center" vertical="center"/>
    </xf>
    <xf numFmtId="0" fontId="1" fillId="12" borderId="1" xfId="0" applyFont="1" applyFill="1" applyAlignment="1">
      <alignment horizontal="center" vertical="center"/>
    </xf>
    <xf numFmtId="3" fontId="1" fillId="0" borderId="1" xfId="0" applyNumberFormat="1" applyFont="1" applyAlignment="1">
      <alignment horizontal="right" vertical="center"/>
    </xf>
    <xf numFmtId="0" fontId="2" fillId="2" borderId="0" xfId="0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Alignment="1">
      <alignment horizontal="right" vertical="center"/>
    </xf>
    <xf numFmtId="3" fontId="2" fillId="0" borderId="1" xfId="0" applyNumberFormat="1" applyFont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3" fontId="2" fillId="0" borderId="0" xfId="0" applyNumberFormat="1" applyFont="1" applyBorder="1" applyAlignment="1">
      <alignment horizontal="right" vertical="center"/>
    </xf>
    <xf numFmtId="3" fontId="2" fillId="0" borderId="1" xfId="0" applyNumberFormat="1" applyFont="1" applyAlignment="1">
      <alignment horizontal="right" vertical="center"/>
    </xf>
    <xf numFmtId="3" fontId="2" fillId="0" borderId="0" xfId="0" applyNumberFormat="1" applyFont="1" applyBorder="1" applyAlignment="1">
      <alignment horizontal="center" vertical="center"/>
    </xf>
    <xf numFmtId="0" fontId="2" fillId="4" borderId="0" xfId="0" applyFont="1" applyFill="1" applyBorder="1" applyAlignment="1">
      <alignment horizontal="left" vertical="center"/>
    </xf>
    <xf numFmtId="3" fontId="2" fillId="4" borderId="0" xfId="0" applyNumberFormat="1" applyFont="1" applyFill="1" applyBorder="1" applyAlignment="1">
      <alignment horizontal="right" vertical="center"/>
    </xf>
    <xf numFmtId="164" fontId="2" fillId="4" borderId="1" xfId="0" applyNumberFormat="1" applyFont="1" applyFill="1" applyAlignment="1">
      <alignment horizontal="right" vertical="center"/>
    </xf>
    <xf numFmtId="0" fontId="2" fillId="3" borderId="0" xfId="0" applyFont="1" applyFill="1" applyBorder="1" applyAlignment="1">
      <alignment horizontal="left" vertical="center"/>
    </xf>
    <xf numFmtId="3" fontId="2" fillId="3" borderId="0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Alignment="1">
      <alignment horizontal="right" vertical="center"/>
    </xf>
    <xf numFmtId="49" fontId="2" fillId="3" borderId="0" xfId="0" applyNumberFormat="1" applyFont="1" applyFill="1" applyBorder="1" applyAlignment="1">
      <alignment horizontal="center" vertical="center"/>
    </xf>
    <xf numFmtId="49" fontId="2" fillId="0" borderId="1" xfId="0" applyNumberFormat="1" applyFont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3" fontId="2" fillId="10" borderId="0" xfId="0" applyNumberFormat="1" applyFont="1" applyFill="1" applyBorder="1" applyAlignment="1">
      <alignment horizontal="right" vertical="center"/>
    </xf>
    <xf numFmtId="164" fontId="2" fillId="10" borderId="1" xfId="0" applyNumberFormat="1" applyFont="1" applyFill="1" applyAlignment="1">
      <alignment horizontal="right" vertical="center"/>
    </xf>
    <xf numFmtId="3" fontId="2" fillId="10" borderId="0" xfId="0" applyNumberFormat="1" applyFont="1" applyFill="1" applyBorder="1" applyAlignment="1">
      <alignment horizontal="center" vertical="center"/>
    </xf>
    <xf numFmtId="3" fontId="2" fillId="10" borderId="1" xfId="0" applyNumberFormat="1" applyFont="1" applyFill="1" applyAlignment="1">
      <alignment horizontal="right" vertical="center"/>
    </xf>
    <xf numFmtId="0" fontId="2" fillId="11" borderId="0" xfId="0" applyFont="1" applyFill="1" applyBorder="1" applyAlignment="1">
      <alignment horizontal="left" vertical="center"/>
    </xf>
    <xf numFmtId="3" fontId="2" fillId="11" borderId="0" xfId="0" applyNumberFormat="1" applyFont="1" applyFill="1" applyBorder="1" applyAlignment="1">
      <alignment horizontal="right" vertical="center"/>
    </xf>
    <xf numFmtId="164" fontId="2" fillId="11" borderId="1" xfId="0" applyNumberFormat="1" applyFont="1" applyFill="1" applyAlignment="1">
      <alignment horizontal="right" vertical="center"/>
    </xf>
    <xf numFmtId="0" fontId="2" fillId="10" borderId="1" xfId="0" applyFont="1" applyFill="1" applyAlignment="1">
      <alignment horizontal="left" vertical="center"/>
    </xf>
    <xf numFmtId="3" fontId="2" fillId="10" borderId="1" xfId="0" applyNumberFormat="1" applyFont="1" applyFill="1" applyAlignment="1">
      <alignment horizontal="center" vertical="center"/>
    </xf>
    <xf numFmtId="0" fontId="2" fillId="0" borderId="1" xfId="0" applyFont="1" applyAlignment="1">
      <alignment horizontal="left" vertical="center"/>
    </xf>
    <xf numFmtId="0" fontId="2" fillId="11" borderId="1" xfId="0" applyFont="1" applyFill="1" applyAlignment="1">
      <alignment horizontal="left" vertical="center"/>
    </xf>
    <xf numFmtId="3" fontId="2" fillId="11" borderId="1" xfId="0" applyNumberFormat="1" applyFont="1" applyFill="1" applyAlignment="1">
      <alignment horizontal="right" vertical="center"/>
    </xf>
    <xf numFmtId="3" fontId="2" fillId="5" borderId="0" xfId="0" applyNumberFormat="1" applyFont="1" applyFill="1" applyBorder="1" applyAlignment="1">
      <alignment horizontal="left" vertical="center"/>
    </xf>
    <xf numFmtId="3" fontId="2" fillId="5" borderId="0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Alignment="1">
      <alignment horizontal="right" vertical="center"/>
    </xf>
    <xf numFmtId="3" fontId="2" fillId="0" borderId="0" xfId="0" applyNumberFormat="1" applyFont="1" applyBorder="1" applyAlignment="1">
      <alignment horizontal="left" vertical="center"/>
    </xf>
    <xf numFmtId="0" fontId="0" fillId="0" borderId="1" xfId="0" applyAlignment="1">
      <alignment horizontal="right"/>
    </xf>
    <xf numFmtId="0" fontId="3" fillId="0" borderId="0" xfId="0" applyFont="1" applyBorder="1" applyAlignment="1">
      <alignment horizontal="center"/>
    </xf>
    <xf numFmtId="0" fontId="3" fillId="12" borderId="0" xfId="0" applyFont="1" applyFill="1" applyBorder="1" applyAlignment="1">
      <alignment horizontal="center"/>
    </xf>
    <xf numFmtId="0" fontId="3" fillId="12" borderId="1" xfId="0" applyFont="1" applyFill="1" applyAlignment="1">
      <alignment horizontal="center"/>
    </xf>
    <xf numFmtId="0" fontId="2" fillId="13" borderId="0" xfId="0" applyFont="1" applyFill="1" applyBorder="1" applyAlignment="1">
      <alignment vertical="center"/>
    </xf>
    <xf numFmtId="3" fontId="0" fillId="13" borderId="0" xfId="0" applyNumberFormat="1" applyFill="1" applyBorder="1" applyAlignment="1">
      <alignment vertical="center"/>
    </xf>
    <xf numFmtId="164" fontId="0" fillId="13" borderId="0" xfId="0" applyNumberForma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14" borderId="0" xfId="0" applyFont="1" applyFill="1" applyBorder="1" applyAlignment="1">
      <alignment vertical="center"/>
    </xf>
    <xf numFmtId="0" fontId="2" fillId="6" borderId="0" xfId="0" applyFont="1" applyFill="1" applyBorder="1" applyAlignment="1">
      <alignment horizontal="left" vertical="center"/>
    </xf>
    <xf numFmtId="3" fontId="2" fillId="6" borderId="0" xfId="0" applyNumberFormat="1" applyFont="1" applyFill="1" applyBorder="1" applyAlignment="1">
      <alignment horizontal="right" vertical="center"/>
    </xf>
    <xf numFmtId="164" fontId="2" fillId="6" borderId="1" xfId="0" applyNumberFormat="1" applyFont="1" applyFill="1" applyAlignment="1">
      <alignment horizontal="right" vertical="center"/>
    </xf>
    <xf numFmtId="3" fontId="2" fillId="6" borderId="0" xfId="0" applyNumberFormat="1" applyFont="1" applyFill="1" applyBorder="1" applyAlignment="1">
      <alignment horizontal="center" vertical="center"/>
    </xf>
    <xf numFmtId="0" fontId="2" fillId="7" borderId="0" xfId="0" applyFont="1" applyFill="1" applyBorder="1" applyAlignment="1">
      <alignment horizontal="left" vertical="center"/>
    </xf>
    <xf numFmtId="3" fontId="2" fillId="7" borderId="0" xfId="0" applyNumberFormat="1" applyFont="1" applyFill="1" applyBorder="1" applyAlignment="1">
      <alignment horizontal="right" vertical="center"/>
    </xf>
    <xf numFmtId="164" fontId="2" fillId="7" borderId="1" xfId="0" applyNumberFormat="1" applyFont="1" applyFill="1" applyAlignment="1">
      <alignment horizontal="right" vertical="center"/>
    </xf>
    <xf numFmtId="3" fontId="2" fillId="7" borderId="0" xfId="0" applyNumberFormat="1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3" fontId="2" fillId="8" borderId="0" xfId="0" applyNumberFormat="1" applyFont="1" applyFill="1" applyBorder="1" applyAlignment="1">
      <alignment horizontal="right" vertical="center"/>
    </xf>
    <xf numFmtId="164" fontId="2" fillId="8" borderId="1" xfId="0" applyNumberFormat="1" applyFont="1" applyFill="1" applyAlignment="1">
      <alignment horizontal="right" vertical="center"/>
    </xf>
    <xf numFmtId="3" fontId="2" fillId="8" borderId="1" xfId="0" applyNumberFormat="1" applyFont="1" applyFill="1" applyAlignment="1">
      <alignment horizontal="right" vertical="center"/>
    </xf>
    <xf numFmtId="0" fontId="2" fillId="9" borderId="0" xfId="0" applyFont="1" applyFill="1" applyBorder="1" applyAlignment="1">
      <alignment horizontal="left" vertical="center"/>
    </xf>
    <xf numFmtId="3" fontId="2" fillId="9" borderId="0" xfId="0" applyNumberFormat="1" applyFont="1" applyFill="1" applyBorder="1" applyAlignment="1">
      <alignment horizontal="right" vertical="center"/>
    </xf>
    <xf numFmtId="164" fontId="2" fillId="9" borderId="1" xfId="0" applyNumberFormat="1" applyFont="1" applyFill="1" applyAlignment="1">
      <alignment horizontal="right" vertical="center"/>
    </xf>
    <xf numFmtId="49" fontId="2" fillId="8" borderId="0" xfId="0" applyNumberFormat="1" applyFont="1" applyFill="1" applyBorder="1" applyAlignment="1">
      <alignment horizontal="center" vertical="center"/>
    </xf>
    <xf numFmtId="3" fontId="0" fillId="0" borderId="0" xfId="0" applyNumberFormat="1" applyBorder="1" applyAlignment="1">
      <alignment vertical="center"/>
    </xf>
    <xf numFmtId="164" fontId="0" fillId="0" borderId="0" xfId="0" applyNumberFormat="1" applyBorder="1" applyAlignment="1">
      <alignment vertical="center"/>
    </xf>
    <xf numFmtId="0" fontId="0" fillId="13" borderId="0" xfId="0" applyFill="1" applyBorder="1" applyAlignment="1">
      <alignment vertical="center"/>
    </xf>
    <xf numFmtId="0" fontId="0" fillId="14" borderId="0" xfId="0" applyFill="1" applyBorder="1" applyAlignment="1">
      <alignment vertical="center"/>
    </xf>
    <xf numFmtId="3" fontId="0" fillId="14" borderId="0" xfId="0" applyNumberFormat="1" applyFill="1" applyBorder="1" applyAlignment="1">
      <alignment vertical="center"/>
    </xf>
    <xf numFmtId="164" fontId="0" fillId="14" borderId="0" xfId="0" applyNumberFormat="1" applyFill="1" applyBorder="1" applyAlignment="1">
      <alignment vertical="center"/>
    </xf>
    <xf numFmtId="0" fontId="2" fillId="13" borderId="0" xfId="0" applyFont="1" applyFill="1" applyBorder="1" applyAlignment="1">
      <alignment horizontal="left" vertical="center"/>
    </xf>
    <xf numFmtId="3" fontId="2" fillId="13" borderId="0" xfId="0" applyNumberFormat="1" applyFont="1" applyFill="1" applyBorder="1" applyAlignment="1">
      <alignment horizontal="right" vertical="center"/>
    </xf>
    <xf numFmtId="164" fontId="2" fillId="13" borderId="1" xfId="0" applyNumberFormat="1" applyFont="1" applyFill="1" applyAlignment="1">
      <alignment horizontal="right" vertical="center"/>
    </xf>
    <xf numFmtId="3" fontId="4" fillId="14" borderId="0" xfId="0" applyNumberFormat="1" applyFont="1" applyFill="1" applyBorder="1" applyAlignment="1">
      <alignment vertical="center"/>
    </xf>
    <xf numFmtId="0" fontId="2" fillId="0" borderId="1" xfId="0" applyFont="1" applyAlignment="1">
      <alignment vertical="center"/>
    </xf>
    <xf numFmtId="0" fontId="0" fillId="0" borderId="1" xfId="0" applyAlignment="1">
      <alignment vertical="center"/>
    </xf>
    <xf numFmtId="0" fontId="2" fillId="13" borderId="1" xfId="0" applyFont="1" applyFill="1" applyAlignment="1">
      <alignment horizontal="left" vertical="center"/>
    </xf>
    <xf numFmtId="3" fontId="2" fillId="13" borderId="1" xfId="0" applyNumberFormat="1" applyFont="1" applyFill="1" applyAlignment="1">
      <alignment horizontal="right" vertical="center"/>
    </xf>
    <xf numFmtId="3" fontId="2" fillId="13" borderId="1" xfId="0" applyNumberFormat="1" applyFont="1" applyFill="1" applyAlignment="1">
      <alignment horizontal="center" vertical="center"/>
    </xf>
    <xf numFmtId="0" fontId="2" fillId="13" borderId="1" xfId="0" applyFont="1" applyFill="1" applyAlignment="1">
      <alignment vertical="center"/>
    </xf>
    <xf numFmtId="0" fontId="0" fillId="13" borderId="1" xfId="0" applyFill="1" applyAlignment="1">
      <alignment vertical="center"/>
    </xf>
    <xf numFmtId="3" fontId="1" fillId="12" borderId="0" xfId="0" applyNumberFormat="1" applyFont="1" applyFill="1" applyBorder="1" applyAlignment="1">
      <alignment horizontal="center" vertical="center"/>
    </xf>
    <xf numFmtId="3" fontId="0" fillId="13" borderId="1" xfId="0" applyNumberForma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A9" sqref="AA9"/>
    </sheetView>
  </sheetViews>
  <sheetFormatPr defaultRowHeight="14.4"/>
  <cols>
    <col min="1" max="1" width="31.3671875" bestFit="1" customWidth="1"/>
    <col min="2" max="2" width="10.62890625" bestFit="1" customWidth="1"/>
    <col min="3" max="4" width="8.62890625" bestFit="1" customWidth="1"/>
    <col min="5" max="5" width="10.47265625" bestFit="1" customWidth="1"/>
    <col min="6" max="6" width="8.734375" bestFit="1" customWidth="1"/>
    <col min="7" max="7" width="8.62890625" bestFit="1" customWidth="1"/>
    <col min="8" max="8" width="4.41796875" style="41" bestFit="1" customWidth="1"/>
    <col min="9" max="9" width="4.15625" style="41" bestFit="1" customWidth="1"/>
    <col min="10" max="10" width="4" style="2" customWidth="1"/>
    <col min="11" max="25" width="7.15625" bestFit="1" customWidth="1"/>
    <col min="26" max="26" width="4.1015625" customWidth="1"/>
    <col min="27" max="27" width="10.3125" bestFit="1" customWidth="1"/>
    <col min="28" max="29" width="9.26171875" bestFit="1" customWidth="1"/>
    <col min="30" max="30" width="4.734375" customWidth="1"/>
    <col min="31" max="31" width="8.62890625" customWidth="1"/>
    <col min="32" max="32" width="7.3125" bestFit="1" customWidth="1"/>
    <col min="33" max="33" width="8.3671875" bestFit="1" customWidth="1"/>
    <col min="34" max="34" width="4.3671875" customWidth="1"/>
    <col min="35" max="36" width="4.5234375" bestFit="1" customWidth="1"/>
    <col min="37" max="37" width="3.3125" customWidth="1"/>
    <col min="38" max="39" width="5.20703125" bestFit="1" customWidth="1"/>
  </cols>
  <sheetData>
    <row r="1" spans="1:39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277</v>
      </c>
      <c r="I1" s="5" t="s">
        <v>278</v>
      </c>
      <c r="J1" s="6"/>
      <c r="K1" s="83" t="s">
        <v>7</v>
      </c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AA1" s="43" t="s">
        <v>283</v>
      </c>
      <c r="AB1" s="43" t="s">
        <v>284</v>
      </c>
      <c r="AC1" s="43" t="s">
        <v>285</v>
      </c>
      <c r="AD1" s="42"/>
      <c r="AE1" s="43" t="s">
        <v>286</v>
      </c>
      <c r="AF1" s="43" t="s">
        <v>287</v>
      </c>
      <c r="AG1" s="43" t="s">
        <v>288</v>
      </c>
      <c r="AH1" s="42"/>
      <c r="AI1" s="43" t="s">
        <v>279</v>
      </c>
      <c r="AJ1" s="43" t="s">
        <v>280</v>
      </c>
      <c r="AK1" s="42"/>
      <c r="AL1" s="43" t="s">
        <v>281</v>
      </c>
      <c r="AM1" s="44" t="s">
        <v>282</v>
      </c>
    </row>
    <row r="2" spans="1:39">
      <c r="A2" s="7" t="s">
        <v>8</v>
      </c>
      <c r="B2" s="8">
        <v>353603</v>
      </c>
      <c r="C2" s="8">
        <v>13377</v>
      </c>
      <c r="D2" s="8">
        <v>10439</v>
      </c>
      <c r="E2" s="9" t="s">
        <v>9</v>
      </c>
      <c r="F2" s="9" t="s">
        <v>9</v>
      </c>
      <c r="G2" s="9" t="s">
        <v>9</v>
      </c>
      <c r="H2" s="10">
        <v>37.9</v>
      </c>
      <c r="I2" s="10">
        <v>29.6</v>
      </c>
      <c r="J2" s="11"/>
      <c r="K2" s="8">
        <v>53914</v>
      </c>
      <c r="L2" s="8">
        <v>39929</v>
      </c>
      <c r="M2" s="8">
        <v>8678</v>
      </c>
      <c r="N2" s="8">
        <v>25468</v>
      </c>
      <c r="O2" s="8">
        <v>41024</v>
      </c>
      <c r="P2" s="8">
        <v>30300</v>
      </c>
      <c r="Q2" s="8">
        <v>30441</v>
      </c>
      <c r="R2" s="8">
        <v>41227</v>
      </c>
      <c r="S2" s="8">
        <v>85623</v>
      </c>
      <c r="T2" s="8"/>
      <c r="U2" s="8"/>
      <c r="V2" s="8"/>
      <c r="W2" s="45"/>
      <c r="X2" s="45"/>
      <c r="Y2" s="45"/>
      <c r="Z2" s="1"/>
      <c r="AA2" s="46">
        <f>SUM(K2:Y2)</f>
        <v>356604</v>
      </c>
      <c r="AB2" s="46">
        <f>SUM(K3:Y3)</f>
        <v>13377</v>
      </c>
      <c r="AC2" s="46">
        <f>SUM(K4:Y4)</f>
        <v>10439</v>
      </c>
      <c r="AD2" s="1"/>
      <c r="AE2" s="46">
        <f>AA2-B2</f>
        <v>3001</v>
      </c>
      <c r="AF2" s="46">
        <f>AB2-C2</f>
        <v>0</v>
      </c>
      <c r="AG2" s="46">
        <f>AC2-D2</f>
        <v>0</v>
      </c>
      <c r="AH2" s="1"/>
      <c r="AI2" s="47">
        <f>C2/B2*1000</f>
        <v>37.830561392295884</v>
      </c>
      <c r="AJ2" s="47">
        <f>D2/B2*1000</f>
        <v>29.52180835569834</v>
      </c>
      <c r="AK2" s="1"/>
      <c r="AL2" s="47">
        <f>AI2-H2</f>
        <v>-6.9438607704114474E-2</v>
      </c>
      <c r="AM2" s="47">
        <f>AJ2-I2</f>
        <v>-7.8191644301661256E-2</v>
      </c>
    </row>
    <row r="3" spans="1:39">
      <c r="A3" s="12" t="s">
        <v>10</v>
      </c>
      <c r="B3" s="13"/>
      <c r="C3" s="13"/>
      <c r="D3" s="13"/>
      <c r="E3" s="13"/>
      <c r="F3" s="13"/>
      <c r="G3" s="13"/>
      <c r="H3" s="14"/>
      <c r="I3" s="14"/>
      <c r="J3" s="14"/>
      <c r="K3" s="13">
        <v>1973</v>
      </c>
      <c r="L3" s="13">
        <v>1194</v>
      </c>
      <c r="M3" s="13">
        <v>365</v>
      </c>
      <c r="N3" s="13">
        <v>1105</v>
      </c>
      <c r="O3" s="13">
        <v>1590</v>
      </c>
      <c r="P3" s="13">
        <v>1385</v>
      </c>
      <c r="Q3" s="13">
        <v>1218</v>
      </c>
      <c r="R3" s="13">
        <v>1425</v>
      </c>
      <c r="S3" s="13">
        <v>3122</v>
      </c>
      <c r="T3" s="13"/>
      <c r="U3" s="13"/>
      <c r="V3" s="13"/>
      <c r="W3" s="48"/>
      <c r="X3" s="48"/>
      <c r="Y3" s="48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>
      <c r="A4" s="12" t="s">
        <v>11</v>
      </c>
      <c r="B4" s="13"/>
      <c r="C4" s="13"/>
      <c r="D4" s="13"/>
      <c r="E4" s="13"/>
      <c r="F4" s="13"/>
      <c r="G4" s="13"/>
      <c r="H4" s="14"/>
      <c r="I4" s="14"/>
      <c r="J4" s="14"/>
      <c r="K4" s="13">
        <v>1929</v>
      </c>
      <c r="L4" s="13">
        <v>855</v>
      </c>
      <c r="M4" s="13">
        <v>311</v>
      </c>
      <c r="N4" s="13">
        <v>629</v>
      </c>
      <c r="O4" s="13">
        <v>1169</v>
      </c>
      <c r="P4" s="13">
        <v>775</v>
      </c>
      <c r="Q4" s="13">
        <v>889</v>
      </c>
      <c r="R4" s="13">
        <v>1328</v>
      </c>
      <c r="S4" s="13">
        <v>2554</v>
      </c>
      <c r="T4" s="13"/>
      <c r="U4" s="13"/>
      <c r="V4" s="13"/>
      <c r="W4" s="48"/>
      <c r="X4" s="48"/>
      <c r="Y4" s="48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>
      <c r="A5" s="7" t="s">
        <v>289</v>
      </c>
      <c r="B5" s="8">
        <f>972812-B8</f>
        <v>565877</v>
      </c>
      <c r="C5" s="8">
        <v>30358</v>
      </c>
      <c r="D5" s="8">
        <v>21731</v>
      </c>
      <c r="E5" s="8">
        <v>127143</v>
      </c>
      <c r="F5" s="8">
        <v>5970</v>
      </c>
      <c r="G5" s="8">
        <v>5127</v>
      </c>
      <c r="H5" s="10">
        <v>53.3</v>
      </c>
      <c r="I5" s="10">
        <v>38.4</v>
      </c>
      <c r="J5" s="14"/>
      <c r="K5" s="8">
        <v>176149</v>
      </c>
      <c r="L5" s="8">
        <v>68218</v>
      </c>
      <c r="M5" s="8">
        <v>37145</v>
      </c>
      <c r="N5" s="8">
        <v>92637</v>
      </c>
      <c r="O5" s="8">
        <v>191728</v>
      </c>
      <c r="P5" s="8"/>
      <c r="Q5" s="8"/>
      <c r="R5" s="8"/>
      <c r="S5" s="8"/>
      <c r="T5" s="8"/>
      <c r="U5" s="8"/>
      <c r="V5" s="8"/>
      <c r="W5" s="45"/>
      <c r="X5" s="45"/>
      <c r="Y5" s="45"/>
      <c r="Z5" s="1"/>
      <c r="AA5" s="46">
        <f>SUM(K5:Y5)</f>
        <v>565877</v>
      </c>
      <c r="AB5" s="46">
        <f>SUM(K6:Y6)</f>
        <v>30358</v>
      </c>
      <c r="AC5" s="46">
        <f>SUM(K7:Y7)</f>
        <v>21731</v>
      </c>
      <c r="AD5" s="1"/>
      <c r="AE5" s="46">
        <f>AA5-B5</f>
        <v>0</v>
      </c>
      <c r="AF5" s="46">
        <f>AB5-C5</f>
        <v>0</v>
      </c>
      <c r="AG5" s="46">
        <f>AC5-D5</f>
        <v>0</v>
      </c>
      <c r="AH5" s="1"/>
      <c r="AI5" s="47">
        <f>C5/B5*1000</f>
        <v>53.647700825444403</v>
      </c>
      <c r="AJ5" s="47">
        <f>D5/B5*1000</f>
        <v>38.402338317337509</v>
      </c>
      <c r="AK5" s="1"/>
      <c r="AL5" s="47">
        <f>AI5-H5</f>
        <v>0.34770082544440584</v>
      </c>
      <c r="AM5" s="47">
        <f>AJ5-I5</f>
        <v>2.3383173375108868E-3</v>
      </c>
    </row>
    <row r="6" spans="1:39">
      <c r="A6" s="12" t="s">
        <v>290</v>
      </c>
      <c r="B6" s="13"/>
      <c r="C6" s="13"/>
      <c r="D6" s="13"/>
      <c r="E6" s="13"/>
      <c r="F6" s="13"/>
      <c r="G6" s="13"/>
      <c r="H6" s="14"/>
      <c r="I6" s="14"/>
      <c r="J6" s="14"/>
      <c r="K6" s="13">
        <v>9493</v>
      </c>
      <c r="L6" s="13">
        <v>3537</v>
      </c>
      <c r="M6" s="13">
        <v>2125</v>
      </c>
      <c r="N6" s="13">
        <v>5353</v>
      </c>
      <c r="O6" s="13">
        <v>9850</v>
      </c>
      <c r="P6" s="15"/>
      <c r="Q6" s="15"/>
      <c r="R6" s="13"/>
      <c r="S6" s="13"/>
      <c r="T6" s="13"/>
      <c r="U6" s="13"/>
      <c r="V6" s="13"/>
      <c r="W6" s="48"/>
      <c r="X6" s="48"/>
      <c r="Y6" s="48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2" t="s">
        <v>291</v>
      </c>
      <c r="B7" s="13"/>
      <c r="C7" s="13"/>
      <c r="D7" s="13"/>
      <c r="E7" s="13"/>
      <c r="F7" s="13"/>
      <c r="G7" s="13"/>
      <c r="H7" s="14"/>
      <c r="I7" s="14"/>
      <c r="J7" s="14"/>
      <c r="K7" s="13">
        <v>7085</v>
      </c>
      <c r="L7" s="13">
        <v>1965</v>
      </c>
      <c r="M7" s="13">
        <v>1323</v>
      </c>
      <c r="N7" s="13">
        <v>4068</v>
      </c>
      <c r="O7" s="13">
        <v>7290</v>
      </c>
      <c r="P7" s="15"/>
      <c r="Q7" s="15"/>
      <c r="R7" s="13"/>
      <c r="S7" s="13"/>
      <c r="T7" s="13"/>
      <c r="U7" s="13"/>
      <c r="V7" s="13"/>
      <c r="W7" s="48"/>
      <c r="X7" s="48"/>
      <c r="Y7" s="48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s="2" customFormat="1">
      <c r="A8" s="78" t="s">
        <v>292</v>
      </c>
      <c r="B8" s="79">
        <f>SUM(K8:L8)</f>
        <v>406935</v>
      </c>
      <c r="C8" s="9" t="s">
        <v>9</v>
      </c>
      <c r="D8" s="9" t="s">
        <v>9</v>
      </c>
      <c r="E8" s="79"/>
      <c r="F8" s="79"/>
      <c r="G8" s="79"/>
      <c r="H8" s="9" t="s">
        <v>9</v>
      </c>
      <c r="I8" s="9" t="s">
        <v>9</v>
      </c>
      <c r="J8" s="14"/>
      <c r="K8" s="8">
        <v>139273</v>
      </c>
      <c r="L8" s="8">
        <v>267662</v>
      </c>
      <c r="M8" s="79"/>
      <c r="N8" s="79"/>
      <c r="O8" s="79"/>
      <c r="P8" s="80"/>
      <c r="Q8" s="80"/>
      <c r="R8" s="79"/>
      <c r="S8" s="79"/>
      <c r="T8" s="79"/>
      <c r="U8" s="79"/>
      <c r="V8" s="79"/>
      <c r="W8" s="81"/>
      <c r="X8" s="81"/>
      <c r="Y8" s="81"/>
      <c r="Z8" s="77"/>
      <c r="AA8" s="84">
        <f>B8</f>
        <v>406935</v>
      </c>
      <c r="AB8" s="9" t="s">
        <v>9</v>
      </c>
      <c r="AC8" s="9" t="s">
        <v>9</v>
      </c>
      <c r="AD8" s="77"/>
      <c r="AE8" s="82"/>
      <c r="AF8" s="82"/>
      <c r="AG8" s="82"/>
      <c r="AH8" s="77"/>
      <c r="AI8" s="82"/>
      <c r="AJ8" s="82"/>
      <c r="AK8" s="77"/>
      <c r="AL8" s="82"/>
      <c r="AM8" s="82"/>
    </row>
    <row r="9" spans="1:39" s="2" customFormat="1">
      <c r="A9" s="34" t="s">
        <v>293</v>
      </c>
      <c r="B9" s="14"/>
      <c r="C9" s="14"/>
      <c r="D9" s="14"/>
      <c r="E9" s="14"/>
      <c r="F9" s="14"/>
      <c r="G9" s="14"/>
      <c r="H9" s="14"/>
      <c r="I9" s="14"/>
      <c r="J9" s="14"/>
      <c r="K9" s="15" t="s">
        <v>9</v>
      </c>
      <c r="L9" s="15" t="s">
        <v>9</v>
      </c>
      <c r="M9" s="14"/>
      <c r="N9" s="14"/>
      <c r="O9" s="14"/>
      <c r="P9" s="11"/>
      <c r="Q9" s="11"/>
      <c r="R9" s="14"/>
      <c r="S9" s="14"/>
      <c r="T9" s="14"/>
      <c r="U9" s="14"/>
      <c r="V9" s="14"/>
      <c r="W9" s="76"/>
      <c r="X9" s="76"/>
      <c r="Y9" s="76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</row>
    <row r="10" spans="1:39" s="2" customFormat="1">
      <c r="A10" s="34" t="s">
        <v>294</v>
      </c>
      <c r="B10" s="14"/>
      <c r="C10" s="14"/>
      <c r="D10" s="14"/>
      <c r="E10" s="14"/>
      <c r="F10" s="14"/>
      <c r="G10" s="14"/>
      <c r="H10" s="14"/>
      <c r="I10" s="14"/>
      <c r="J10" s="14"/>
      <c r="K10" s="15" t="s">
        <v>9</v>
      </c>
      <c r="L10" s="15" t="s">
        <v>9</v>
      </c>
      <c r="M10" s="14"/>
      <c r="N10" s="14"/>
      <c r="O10" s="14"/>
      <c r="P10" s="11"/>
      <c r="Q10" s="11"/>
      <c r="R10" s="14"/>
      <c r="S10" s="14"/>
      <c r="T10" s="14"/>
      <c r="U10" s="14"/>
      <c r="V10" s="14"/>
      <c r="W10" s="76"/>
      <c r="X10" s="76"/>
      <c r="Y10" s="76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</row>
    <row r="11" spans="1:39">
      <c r="A11" s="7" t="s">
        <v>12</v>
      </c>
      <c r="B11" s="8">
        <v>1420666</v>
      </c>
      <c r="C11" s="8">
        <v>66759</v>
      </c>
      <c r="D11" s="8">
        <v>43413</v>
      </c>
      <c r="E11" s="8">
        <v>148077</v>
      </c>
      <c r="F11" s="8">
        <v>5803</v>
      </c>
      <c r="G11" s="8">
        <v>4479</v>
      </c>
      <c r="H11" s="10">
        <v>47</v>
      </c>
      <c r="I11" s="10">
        <v>30.5</v>
      </c>
      <c r="J11" s="14"/>
      <c r="K11" s="8">
        <v>312090</v>
      </c>
      <c r="L11" s="8">
        <v>207675</v>
      </c>
      <c r="M11" s="8">
        <v>189035</v>
      </c>
      <c r="N11" s="8">
        <v>183878</v>
      </c>
      <c r="O11" s="8">
        <v>217459</v>
      </c>
      <c r="P11" s="8">
        <v>164392</v>
      </c>
      <c r="Q11" s="8">
        <v>146137</v>
      </c>
      <c r="R11" s="8"/>
      <c r="S11" s="8"/>
      <c r="T11" s="8"/>
      <c r="U11" s="8"/>
      <c r="V11" s="8"/>
      <c r="W11" s="45"/>
      <c r="X11" s="45"/>
      <c r="Y11" s="45"/>
      <c r="Z11" s="1"/>
      <c r="AA11" s="46">
        <f>SUM(K11:Y11)</f>
        <v>1420666</v>
      </c>
      <c r="AB11" s="46">
        <f>SUM(K12:Y12)</f>
        <v>66759</v>
      </c>
      <c r="AC11" s="46">
        <f>SUM(K13:Y13)</f>
        <v>43413</v>
      </c>
      <c r="AD11" s="1"/>
      <c r="AE11" s="46">
        <f>AA11-B11</f>
        <v>0</v>
      </c>
      <c r="AF11" s="46">
        <f>AB11-C11</f>
        <v>0</v>
      </c>
      <c r="AG11" s="46">
        <f>AC11-D11</f>
        <v>0</v>
      </c>
      <c r="AH11" s="1"/>
      <c r="AI11" s="47">
        <f>C11/B11*1000</f>
        <v>46.991340681060855</v>
      </c>
      <c r="AJ11" s="47">
        <f>D11/B11*1000</f>
        <v>30.558202983671041</v>
      </c>
      <c r="AK11" s="1"/>
      <c r="AL11" s="47">
        <f>AI11-H11</f>
        <v>-8.6593189391450665E-3</v>
      </c>
      <c r="AM11" s="47">
        <f>AJ11-I11</f>
        <v>5.8202983671041153E-2</v>
      </c>
    </row>
    <row r="12" spans="1:39">
      <c r="A12" s="12" t="s">
        <v>13</v>
      </c>
      <c r="B12" s="13"/>
      <c r="C12" s="13"/>
      <c r="D12" s="13"/>
      <c r="E12" s="13"/>
      <c r="F12" s="13"/>
      <c r="G12" s="13"/>
      <c r="H12" s="14"/>
      <c r="I12" s="14"/>
      <c r="J12" s="14"/>
      <c r="K12" s="13">
        <v>12829</v>
      </c>
      <c r="L12" s="13">
        <v>9187</v>
      </c>
      <c r="M12" s="13">
        <v>9327</v>
      </c>
      <c r="N12" s="13">
        <v>8576</v>
      </c>
      <c r="O12" s="13">
        <v>10113</v>
      </c>
      <c r="P12" s="13">
        <v>7537</v>
      </c>
      <c r="Q12" s="13">
        <v>9190</v>
      </c>
      <c r="R12" s="13"/>
      <c r="S12" s="13"/>
      <c r="T12" s="13"/>
      <c r="U12" s="13"/>
      <c r="V12" s="13"/>
      <c r="W12" s="48"/>
      <c r="X12" s="48"/>
      <c r="Y12" s="48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2" t="s">
        <v>14</v>
      </c>
      <c r="B13" s="13"/>
      <c r="C13" s="13"/>
      <c r="D13" s="13"/>
      <c r="E13" s="13"/>
      <c r="F13" s="13"/>
      <c r="G13" s="13"/>
      <c r="H13" s="14"/>
      <c r="I13" s="14"/>
      <c r="J13" s="14"/>
      <c r="K13" s="13">
        <v>8668</v>
      </c>
      <c r="L13" s="13">
        <v>5886</v>
      </c>
      <c r="M13" s="13">
        <v>6094</v>
      </c>
      <c r="N13" s="13">
        <v>5523</v>
      </c>
      <c r="O13" s="13">
        <v>6564</v>
      </c>
      <c r="P13" s="13">
        <v>5178</v>
      </c>
      <c r="Q13" s="13">
        <v>5500</v>
      </c>
      <c r="R13" s="13"/>
      <c r="S13" s="13"/>
      <c r="T13" s="13"/>
      <c r="U13" s="13"/>
      <c r="V13" s="13"/>
      <c r="W13" s="48"/>
      <c r="X13" s="48"/>
      <c r="Y13" s="48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7" t="s">
        <v>15</v>
      </c>
      <c r="B14" s="8">
        <v>1446496</v>
      </c>
      <c r="C14" s="8">
        <v>59881</v>
      </c>
      <c r="D14" s="8">
        <v>35250</v>
      </c>
      <c r="E14" s="8">
        <v>233590</v>
      </c>
      <c r="F14" s="8">
        <v>6408</v>
      </c>
      <c r="G14" s="8">
        <v>4210</v>
      </c>
      <c r="H14" s="10">
        <v>42.4</v>
      </c>
      <c r="I14" s="10">
        <v>25</v>
      </c>
      <c r="J14" s="14"/>
      <c r="K14" s="8">
        <v>162506</v>
      </c>
      <c r="L14" s="8">
        <v>96352</v>
      </c>
      <c r="M14" s="8">
        <v>108449</v>
      </c>
      <c r="N14" s="8">
        <v>235085</v>
      </c>
      <c r="O14" s="8">
        <v>90139</v>
      </c>
      <c r="P14" s="8">
        <v>153553</v>
      </c>
      <c r="Q14" s="8">
        <v>122434</v>
      </c>
      <c r="R14" s="8">
        <v>105431</v>
      </c>
      <c r="S14" s="8">
        <v>133041</v>
      </c>
      <c r="T14" s="8">
        <v>150989</v>
      </c>
      <c r="U14" s="8">
        <v>88517</v>
      </c>
      <c r="V14" s="8"/>
      <c r="W14" s="45"/>
      <c r="X14" s="45"/>
      <c r="Y14" s="45"/>
      <c r="Z14" s="1"/>
      <c r="AA14" s="46">
        <f>SUM(K14:Y14)</f>
        <v>1446496</v>
      </c>
      <c r="AB14" s="46">
        <f>SUM(K15:Y15)</f>
        <v>59881</v>
      </c>
      <c r="AC14" s="46">
        <f>SUM(K16:Y16)</f>
        <v>35250</v>
      </c>
      <c r="AD14" s="1"/>
      <c r="AE14" s="46">
        <f>AA14-B14</f>
        <v>0</v>
      </c>
      <c r="AF14" s="46">
        <f>AB14-C14</f>
        <v>0</v>
      </c>
      <c r="AG14" s="46">
        <f>AC14-D14</f>
        <v>0</v>
      </c>
      <c r="AH14" s="1"/>
      <c r="AI14" s="47">
        <f>C14/B14*1000</f>
        <v>41.397280047784434</v>
      </c>
      <c r="AJ14" s="47">
        <f>D14/B14*1000</f>
        <v>24.36923434285335</v>
      </c>
      <c r="AK14" s="1"/>
      <c r="AL14" s="47">
        <f>AI14-H14</f>
        <v>-1.0027199522155641</v>
      </c>
      <c r="AM14" s="47">
        <f>AJ14-I14</f>
        <v>-0.63076565714665023</v>
      </c>
    </row>
    <row r="15" spans="1:39">
      <c r="A15" s="12" t="s">
        <v>16</v>
      </c>
      <c r="B15" s="13"/>
      <c r="C15" s="13"/>
      <c r="D15" s="13"/>
      <c r="E15" s="13"/>
      <c r="F15" s="13"/>
      <c r="G15" s="13"/>
      <c r="H15" s="14"/>
      <c r="I15" s="14"/>
      <c r="J15" s="14"/>
      <c r="K15" s="13">
        <v>6616</v>
      </c>
      <c r="L15" s="13">
        <v>5204</v>
      </c>
      <c r="M15" s="13">
        <v>4806</v>
      </c>
      <c r="N15" s="13">
        <v>6868</v>
      </c>
      <c r="O15" s="13">
        <v>4472</v>
      </c>
      <c r="P15" s="13">
        <v>6842</v>
      </c>
      <c r="Q15" s="13">
        <v>5317</v>
      </c>
      <c r="R15" s="13">
        <v>4997</v>
      </c>
      <c r="S15" s="13">
        <v>6043</v>
      </c>
      <c r="T15" s="13">
        <v>4418</v>
      </c>
      <c r="U15" s="13">
        <v>4298</v>
      </c>
      <c r="V15" s="13"/>
      <c r="W15" s="48"/>
      <c r="X15" s="48"/>
      <c r="Y15" s="48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2" t="s">
        <v>17</v>
      </c>
      <c r="B16" s="13"/>
      <c r="C16" s="13"/>
      <c r="D16" s="13"/>
      <c r="E16" s="13"/>
      <c r="F16" s="13"/>
      <c r="G16" s="13"/>
      <c r="H16" s="14"/>
      <c r="I16" s="14"/>
      <c r="J16" s="14"/>
      <c r="K16" s="13">
        <v>3951</v>
      </c>
      <c r="L16" s="13">
        <v>2948</v>
      </c>
      <c r="M16" s="13">
        <v>3012</v>
      </c>
      <c r="N16" s="13">
        <v>4462</v>
      </c>
      <c r="O16" s="13">
        <v>2133</v>
      </c>
      <c r="P16" s="13">
        <v>3551</v>
      </c>
      <c r="Q16" s="13">
        <v>3018</v>
      </c>
      <c r="R16" s="13">
        <v>3028</v>
      </c>
      <c r="S16" s="13">
        <v>3704</v>
      </c>
      <c r="T16" s="13">
        <v>2645</v>
      </c>
      <c r="U16" s="13">
        <v>2798</v>
      </c>
      <c r="V16" s="13"/>
      <c r="W16" s="48"/>
      <c r="X16" s="48"/>
      <c r="Y16" s="48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7" t="s">
        <v>18</v>
      </c>
      <c r="B17" s="8">
        <v>2589931</v>
      </c>
      <c r="C17" s="8">
        <v>126822</v>
      </c>
      <c r="D17" s="8">
        <v>88603</v>
      </c>
      <c r="E17" s="8">
        <v>197777</v>
      </c>
      <c r="F17" s="8">
        <v>7235</v>
      </c>
      <c r="G17" s="8">
        <v>5748</v>
      </c>
      <c r="H17" s="10">
        <v>49</v>
      </c>
      <c r="I17" s="10">
        <v>34.200000000000003</v>
      </c>
      <c r="J17" s="14"/>
      <c r="K17" s="8">
        <v>356715</v>
      </c>
      <c r="L17" s="8">
        <v>227683</v>
      </c>
      <c r="M17" s="8">
        <v>176266</v>
      </c>
      <c r="N17" s="8">
        <v>183738</v>
      </c>
      <c r="O17" s="8">
        <v>196764</v>
      </c>
      <c r="P17" s="8">
        <v>195752</v>
      </c>
      <c r="Q17" s="8">
        <v>205307</v>
      </c>
      <c r="R17" s="8">
        <v>281275</v>
      </c>
      <c r="S17" s="8">
        <v>192210</v>
      </c>
      <c r="T17" s="8">
        <v>163222</v>
      </c>
      <c r="U17" s="8">
        <v>229538</v>
      </c>
      <c r="V17" s="8">
        <v>181461</v>
      </c>
      <c r="W17" s="45"/>
      <c r="X17" s="45"/>
      <c r="Y17" s="45"/>
      <c r="Z17" s="1"/>
      <c r="AA17" s="46">
        <f>SUM(K17:Y17)</f>
        <v>2589931</v>
      </c>
      <c r="AB17" s="46">
        <f>SUM(K18:Y18)</f>
        <v>126822</v>
      </c>
      <c r="AC17" s="46">
        <f>SUM(K19:Y19)</f>
        <v>88603</v>
      </c>
      <c r="AD17" s="1"/>
      <c r="AE17" s="46">
        <f>AA17-B17</f>
        <v>0</v>
      </c>
      <c r="AF17" s="46">
        <f>AB17-C17</f>
        <v>0</v>
      </c>
      <c r="AG17" s="46">
        <f>AC17-D17</f>
        <v>0</v>
      </c>
      <c r="AH17" s="1"/>
      <c r="AI17" s="47">
        <f>C17/B17*1000</f>
        <v>48.967327701008251</v>
      </c>
      <c r="AJ17" s="47">
        <f>D17/B17*1000</f>
        <v>34.210563910776003</v>
      </c>
      <c r="AK17" s="1"/>
      <c r="AL17" s="47">
        <f>AI17-H17</f>
        <v>-3.2672298991748505E-2</v>
      </c>
      <c r="AM17" s="47">
        <f>AJ17-I17</f>
        <v>1.056391077599983E-2</v>
      </c>
    </row>
    <row r="18" spans="1:39">
      <c r="A18" s="12" t="s">
        <v>19</v>
      </c>
      <c r="B18" s="13"/>
      <c r="C18" s="13"/>
      <c r="D18" s="13"/>
      <c r="E18" s="13"/>
      <c r="F18" s="13"/>
      <c r="G18" s="13"/>
      <c r="H18" s="14"/>
      <c r="I18" s="14"/>
      <c r="J18" s="14"/>
      <c r="K18" s="13">
        <v>17713</v>
      </c>
      <c r="L18" s="13">
        <v>11442</v>
      </c>
      <c r="M18" s="13">
        <v>8452</v>
      </c>
      <c r="N18" s="13">
        <v>8978</v>
      </c>
      <c r="O18" s="13">
        <v>8894</v>
      </c>
      <c r="P18" s="13">
        <v>8832</v>
      </c>
      <c r="Q18" s="13">
        <v>10951</v>
      </c>
      <c r="R18" s="13">
        <v>15081</v>
      </c>
      <c r="S18" s="13">
        <v>9229</v>
      </c>
      <c r="T18" s="13">
        <v>7337</v>
      </c>
      <c r="U18" s="13">
        <v>11826</v>
      </c>
      <c r="V18" s="13">
        <v>8087</v>
      </c>
      <c r="W18" s="48"/>
      <c r="X18" s="48"/>
      <c r="Y18" s="48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2" t="s">
        <v>20</v>
      </c>
      <c r="B19" s="13"/>
      <c r="C19" s="13"/>
      <c r="D19" s="13"/>
      <c r="E19" s="13"/>
      <c r="F19" s="13"/>
      <c r="G19" s="13"/>
      <c r="H19" s="14"/>
      <c r="I19" s="14"/>
      <c r="J19" s="14"/>
      <c r="K19" s="13">
        <v>12876</v>
      </c>
      <c r="L19" s="13">
        <v>7799</v>
      </c>
      <c r="M19" s="13">
        <v>5514</v>
      </c>
      <c r="N19" s="13">
        <v>6952</v>
      </c>
      <c r="O19" s="13">
        <v>5798</v>
      </c>
      <c r="P19" s="13">
        <v>6974</v>
      </c>
      <c r="Q19" s="13">
        <v>5774</v>
      </c>
      <c r="R19" s="13">
        <v>10384</v>
      </c>
      <c r="S19" s="13">
        <v>6570</v>
      </c>
      <c r="T19" s="13">
        <v>5437</v>
      </c>
      <c r="U19" s="13">
        <v>8430</v>
      </c>
      <c r="V19" s="13">
        <v>6095</v>
      </c>
      <c r="W19" s="48"/>
      <c r="X19" s="48"/>
      <c r="Y19" s="48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7" t="s">
        <v>21</v>
      </c>
      <c r="B20" s="8">
        <v>1600052</v>
      </c>
      <c r="C20" s="8">
        <v>65164</v>
      </c>
      <c r="D20" s="8">
        <v>46398</v>
      </c>
      <c r="E20" s="8">
        <v>239134</v>
      </c>
      <c r="F20" s="8">
        <v>6085</v>
      </c>
      <c r="G20" s="8">
        <v>4575</v>
      </c>
      <c r="H20" s="10">
        <v>40.700000000000003</v>
      </c>
      <c r="I20" s="10">
        <v>29</v>
      </c>
      <c r="J20" s="14"/>
      <c r="K20" s="8">
        <v>202414</v>
      </c>
      <c r="L20" s="8">
        <v>205809</v>
      </c>
      <c r="M20" s="8">
        <v>198693</v>
      </c>
      <c r="N20" s="8">
        <v>196694</v>
      </c>
      <c r="O20" s="8">
        <v>146900</v>
      </c>
      <c r="P20" s="8">
        <v>170141</v>
      </c>
      <c r="Q20" s="8">
        <v>140712</v>
      </c>
      <c r="R20" s="8">
        <v>219356</v>
      </c>
      <c r="S20" s="8">
        <v>119333</v>
      </c>
      <c r="T20" s="8"/>
      <c r="U20" s="8"/>
      <c r="V20" s="8"/>
      <c r="W20" s="45"/>
      <c r="X20" s="45"/>
      <c r="Y20" s="45"/>
      <c r="Z20" s="1"/>
      <c r="AA20" s="46">
        <f>SUM(K20:Y20)</f>
        <v>1600052</v>
      </c>
      <c r="AB20" s="46">
        <f>SUM(K21:Y21)</f>
        <v>64164</v>
      </c>
      <c r="AC20" s="46">
        <f>SUM(K22:Y22)</f>
        <v>46398</v>
      </c>
      <c r="AD20" s="1"/>
      <c r="AE20" s="46">
        <f>AA20-B20</f>
        <v>0</v>
      </c>
      <c r="AF20" s="46">
        <f>AB20-C20</f>
        <v>-1000</v>
      </c>
      <c r="AG20" s="46">
        <f>AC20-D20</f>
        <v>0</v>
      </c>
      <c r="AH20" s="1"/>
      <c r="AI20" s="47">
        <f>C20/B20*1000</f>
        <v>40.726176399267025</v>
      </c>
      <c r="AJ20" s="47">
        <f>D20/B20*1000</f>
        <v>28.997807571253933</v>
      </c>
      <c r="AK20" s="1"/>
      <c r="AL20" s="47">
        <f>AI20-H20</f>
        <v>2.6176399267022532E-2</v>
      </c>
      <c r="AM20" s="47">
        <f>AJ20-I20</f>
        <v>-2.1924287460670655E-3</v>
      </c>
    </row>
    <row r="21" spans="1:39">
      <c r="A21" s="12" t="s">
        <v>22</v>
      </c>
      <c r="B21" s="13"/>
      <c r="C21" s="13"/>
      <c r="D21" s="13"/>
      <c r="E21" s="13"/>
      <c r="F21" s="13"/>
      <c r="G21" s="13"/>
      <c r="H21" s="14"/>
      <c r="I21" s="14"/>
      <c r="J21" s="14"/>
      <c r="K21" s="13">
        <v>5744</v>
      </c>
      <c r="L21" s="13">
        <v>9153</v>
      </c>
      <c r="M21" s="13">
        <v>7096</v>
      </c>
      <c r="N21" s="13">
        <v>6876</v>
      </c>
      <c r="O21" s="13">
        <v>7319</v>
      </c>
      <c r="P21" s="13">
        <v>7750</v>
      </c>
      <c r="Q21" s="13">
        <v>6095</v>
      </c>
      <c r="R21" s="13">
        <v>10037</v>
      </c>
      <c r="S21" s="13">
        <v>4094</v>
      </c>
      <c r="T21" s="13"/>
      <c r="U21" s="13"/>
      <c r="V21" s="13"/>
      <c r="W21" s="48"/>
      <c r="X21" s="48"/>
      <c r="Y21" s="48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2" t="s">
        <v>23</v>
      </c>
      <c r="B22" s="13"/>
      <c r="C22" s="13"/>
      <c r="D22" s="13"/>
      <c r="E22" s="13"/>
      <c r="F22" s="13"/>
      <c r="G22" s="13"/>
      <c r="H22" s="14"/>
      <c r="I22" s="14"/>
      <c r="J22" s="14"/>
      <c r="K22" s="13">
        <v>4501</v>
      </c>
      <c r="L22" s="13">
        <v>7025</v>
      </c>
      <c r="M22" s="13">
        <v>4496</v>
      </c>
      <c r="N22" s="13">
        <v>4611</v>
      </c>
      <c r="O22" s="13">
        <v>5116</v>
      </c>
      <c r="P22" s="13">
        <v>6710</v>
      </c>
      <c r="Q22" s="13">
        <v>4788</v>
      </c>
      <c r="R22" s="13">
        <v>6479</v>
      </c>
      <c r="S22" s="13">
        <v>2672</v>
      </c>
      <c r="T22" s="13"/>
      <c r="U22" s="13"/>
      <c r="V22" s="13"/>
      <c r="W22" s="48"/>
      <c r="X22" s="48"/>
      <c r="Y22" s="48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7" t="s">
        <v>24</v>
      </c>
      <c r="B23" s="8">
        <v>3450587</v>
      </c>
      <c r="C23" s="8">
        <v>163020</v>
      </c>
      <c r="D23" s="8">
        <v>108783</v>
      </c>
      <c r="E23" s="8">
        <v>459892</v>
      </c>
      <c r="F23" s="8">
        <v>16962</v>
      </c>
      <c r="G23" s="8">
        <v>11427</v>
      </c>
      <c r="H23" s="10">
        <v>47.2</v>
      </c>
      <c r="I23" s="10">
        <v>31.5</v>
      </c>
      <c r="J23" s="14"/>
      <c r="K23" s="8">
        <v>490933</v>
      </c>
      <c r="L23" s="8">
        <v>265967</v>
      </c>
      <c r="M23" s="8">
        <v>346701</v>
      </c>
      <c r="N23" s="8">
        <v>276790</v>
      </c>
      <c r="O23" s="8">
        <v>271324</v>
      </c>
      <c r="P23" s="8">
        <v>221229</v>
      </c>
      <c r="Q23" s="8">
        <v>277064</v>
      </c>
      <c r="R23" s="8">
        <v>241241</v>
      </c>
      <c r="S23" s="8">
        <v>234163</v>
      </c>
      <c r="T23" s="8">
        <v>299535</v>
      </c>
      <c r="U23" s="8">
        <v>281432</v>
      </c>
      <c r="V23" s="8">
        <v>244208</v>
      </c>
      <c r="W23" s="45"/>
      <c r="X23" s="45"/>
      <c r="Y23" s="45"/>
      <c r="Z23" s="1"/>
      <c r="AA23" s="46">
        <f>SUM(K23:Y23)</f>
        <v>3450587</v>
      </c>
      <c r="AB23" s="46">
        <f>SUM(K24:Y24)</f>
        <v>163020</v>
      </c>
      <c r="AC23" s="46">
        <f>SUM(K25:Y25)</f>
        <v>108783</v>
      </c>
      <c r="AD23" s="1"/>
      <c r="AE23" s="46">
        <f>AA23-B23</f>
        <v>0</v>
      </c>
      <c r="AF23" s="46">
        <f>AB23-C23</f>
        <v>0</v>
      </c>
      <c r="AG23" s="46">
        <f>AC23-D23</f>
        <v>0</v>
      </c>
      <c r="AH23" s="1"/>
      <c r="AI23" s="47">
        <f>C23/B23*1000</f>
        <v>47.244135563021594</v>
      </c>
      <c r="AJ23" s="47">
        <f>D23/B23*1000</f>
        <v>31.525940368986497</v>
      </c>
      <c r="AK23" s="1"/>
      <c r="AL23" s="47">
        <f>AI23-H23</f>
        <v>4.413556302159094E-2</v>
      </c>
      <c r="AM23" s="47">
        <f>AJ23-I23</f>
        <v>2.5940368986496765E-2</v>
      </c>
    </row>
    <row r="24" spans="1:39">
      <c r="A24" s="12" t="s">
        <v>25</v>
      </c>
      <c r="B24" s="13"/>
      <c r="C24" s="13"/>
      <c r="D24" s="13"/>
      <c r="E24" s="13"/>
      <c r="F24" s="13"/>
      <c r="G24" s="13"/>
      <c r="H24" s="14"/>
      <c r="I24" s="14"/>
      <c r="J24" s="14"/>
      <c r="K24" s="13">
        <v>22119</v>
      </c>
      <c r="L24" s="13">
        <v>12589</v>
      </c>
      <c r="M24" s="13">
        <v>14942</v>
      </c>
      <c r="N24" s="13">
        <v>12989</v>
      </c>
      <c r="O24" s="13">
        <v>12749</v>
      </c>
      <c r="P24" s="13">
        <v>9677</v>
      </c>
      <c r="Q24" s="13">
        <v>14045</v>
      </c>
      <c r="R24" s="13">
        <v>11134</v>
      </c>
      <c r="S24" s="13">
        <v>11153</v>
      </c>
      <c r="T24" s="13">
        <v>15545</v>
      </c>
      <c r="U24" s="13">
        <v>14923</v>
      </c>
      <c r="V24" s="13">
        <v>11155</v>
      </c>
      <c r="W24" s="48"/>
      <c r="X24" s="48"/>
      <c r="Y24" s="48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2" t="s">
        <v>26</v>
      </c>
      <c r="B25" s="13"/>
      <c r="C25" s="13"/>
      <c r="D25" s="13"/>
      <c r="E25" s="13"/>
      <c r="F25" s="13"/>
      <c r="G25" s="13"/>
      <c r="H25" s="14"/>
      <c r="I25" s="14"/>
      <c r="J25" s="14"/>
      <c r="K25" s="13">
        <v>15522</v>
      </c>
      <c r="L25" s="13">
        <v>8763</v>
      </c>
      <c r="M25" s="13">
        <v>10092</v>
      </c>
      <c r="N25" s="13">
        <v>7387</v>
      </c>
      <c r="O25" s="13">
        <v>8296</v>
      </c>
      <c r="P25" s="13">
        <v>7882</v>
      </c>
      <c r="Q25" s="13">
        <v>9915</v>
      </c>
      <c r="R25" s="13">
        <v>6730</v>
      </c>
      <c r="S25" s="13">
        <v>6595</v>
      </c>
      <c r="T25" s="13">
        <v>10245</v>
      </c>
      <c r="U25" s="13">
        <v>10071</v>
      </c>
      <c r="V25" s="13">
        <v>7285</v>
      </c>
      <c r="W25" s="48"/>
      <c r="X25" s="48"/>
      <c r="Y25" s="48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7" t="s">
        <v>27</v>
      </c>
      <c r="B26" s="8">
        <v>1656814</v>
      </c>
      <c r="C26" s="8">
        <v>55439</v>
      </c>
      <c r="D26" s="8">
        <v>39921</v>
      </c>
      <c r="E26" s="8">
        <v>151796</v>
      </c>
      <c r="F26" s="8">
        <v>3771</v>
      </c>
      <c r="G26" s="8">
        <v>2786</v>
      </c>
      <c r="H26" s="10">
        <v>33.4</v>
      </c>
      <c r="I26" s="10">
        <v>24.1</v>
      </c>
      <c r="J26" s="14"/>
      <c r="K26" s="8">
        <v>240841</v>
      </c>
      <c r="L26" s="8">
        <v>247582</v>
      </c>
      <c r="M26" s="8">
        <v>219324</v>
      </c>
      <c r="N26" s="8">
        <v>232442</v>
      </c>
      <c r="O26" s="8">
        <v>253595</v>
      </c>
      <c r="P26" s="8">
        <v>201060</v>
      </c>
      <c r="Q26" s="8">
        <v>261970</v>
      </c>
      <c r="R26" s="8"/>
      <c r="S26" s="8"/>
      <c r="T26" s="8"/>
      <c r="U26" s="8"/>
      <c r="V26" s="8"/>
      <c r="W26" s="45"/>
      <c r="X26" s="45"/>
      <c r="Y26" s="45"/>
      <c r="Z26" s="1"/>
      <c r="AA26" s="46">
        <f>SUM(K26:Y26)</f>
        <v>1656814</v>
      </c>
      <c r="AB26" s="46">
        <f>SUM(K27:Y27)</f>
        <v>55439</v>
      </c>
      <c r="AC26" s="46">
        <f>SUM(K28:Y28)</f>
        <v>39921</v>
      </c>
      <c r="AD26" s="1"/>
      <c r="AE26" s="46">
        <f>AA26-B26</f>
        <v>0</v>
      </c>
      <c r="AF26" s="46">
        <f>AB26-C26</f>
        <v>0</v>
      </c>
      <c r="AG26" s="46">
        <f>AC26-D26</f>
        <v>0</v>
      </c>
      <c r="AH26" s="1"/>
      <c r="AI26" s="47">
        <f>C26/B26*1000</f>
        <v>33.461209284808071</v>
      </c>
      <c r="AJ26" s="47">
        <f>D26/B26*1000</f>
        <v>24.095040239882088</v>
      </c>
      <c r="AK26" s="1"/>
      <c r="AL26" s="47">
        <f>AI26-H26</f>
        <v>6.1209284808072084E-2</v>
      </c>
      <c r="AM26" s="47">
        <f>AJ26-I26</f>
        <v>-4.9597601179129924E-3</v>
      </c>
    </row>
    <row r="27" spans="1:39">
      <c r="A27" s="12" t="s">
        <v>28</v>
      </c>
      <c r="B27" s="13"/>
      <c r="C27" s="13"/>
      <c r="D27" s="13"/>
      <c r="E27" s="13"/>
      <c r="F27" s="13"/>
      <c r="G27" s="13"/>
      <c r="H27" s="14"/>
      <c r="I27" s="14"/>
      <c r="J27" s="14"/>
      <c r="K27" s="13">
        <v>7706</v>
      </c>
      <c r="L27" s="13">
        <v>8404</v>
      </c>
      <c r="M27" s="13">
        <v>7367</v>
      </c>
      <c r="N27" s="13">
        <v>7744</v>
      </c>
      <c r="O27" s="13">
        <v>8680</v>
      </c>
      <c r="P27" s="13">
        <v>7075</v>
      </c>
      <c r="Q27" s="13">
        <v>8463</v>
      </c>
      <c r="R27" s="13"/>
      <c r="S27" s="13"/>
      <c r="T27" s="13"/>
      <c r="U27" s="13"/>
      <c r="V27" s="13"/>
      <c r="W27" s="48"/>
      <c r="X27" s="48"/>
      <c r="Y27" s="48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2" t="s">
        <v>29</v>
      </c>
      <c r="B28" s="13"/>
      <c r="C28" s="13"/>
      <c r="D28" s="13"/>
      <c r="E28" s="13"/>
      <c r="F28" s="13"/>
      <c r="G28" s="13"/>
      <c r="H28" s="14"/>
      <c r="I28" s="14"/>
      <c r="J28" s="14"/>
      <c r="K28" s="13">
        <v>4904</v>
      </c>
      <c r="L28" s="13">
        <v>5224</v>
      </c>
      <c r="M28" s="13">
        <v>5106</v>
      </c>
      <c r="N28" s="13">
        <v>5499</v>
      </c>
      <c r="O28" s="13">
        <v>6266</v>
      </c>
      <c r="P28" s="13">
        <v>6569</v>
      </c>
      <c r="Q28" s="13">
        <v>6353</v>
      </c>
      <c r="R28" s="13"/>
      <c r="S28" s="13"/>
      <c r="T28" s="13"/>
      <c r="U28" s="13"/>
      <c r="V28" s="13"/>
      <c r="W28" s="48"/>
      <c r="X28" s="48"/>
      <c r="Y28" s="48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7" t="s">
        <v>30</v>
      </c>
      <c r="B29" s="8">
        <v>1953535</v>
      </c>
      <c r="C29" s="8">
        <v>92320</v>
      </c>
      <c r="D29" s="8">
        <v>52380</v>
      </c>
      <c r="E29" s="8">
        <v>274682</v>
      </c>
      <c r="F29" s="8">
        <v>6983</v>
      </c>
      <c r="G29" s="8">
        <v>4244</v>
      </c>
      <c r="H29" s="10">
        <v>47.2</v>
      </c>
      <c r="I29" s="10">
        <v>26.8</v>
      </c>
      <c r="J29" s="14"/>
      <c r="K29" s="8">
        <v>252171</v>
      </c>
      <c r="L29" s="8">
        <v>244888</v>
      </c>
      <c r="M29" s="8">
        <v>195782</v>
      </c>
      <c r="N29" s="8">
        <v>204010</v>
      </c>
      <c r="O29" s="8">
        <v>148765</v>
      </c>
      <c r="P29" s="8">
        <v>246568</v>
      </c>
      <c r="Q29" s="8">
        <v>242696</v>
      </c>
      <c r="R29" s="8">
        <v>183814</v>
      </c>
      <c r="S29" s="8">
        <v>234849</v>
      </c>
      <c r="T29" s="8"/>
      <c r="U29" s="8"/>
      <c r="V29" s="8"/>
      <c r="W29" s="45"/>
      <c r="X29" s="45"/>
      <c r="Y29" s="45"/>
      <c r="Z29" s="1"/>
      <c r="AA29" s="46">
        <f>SUM(K29:Y29)</f>
        <v>1953543</v>
      </c>
      <c r="AB29" s="46">
        <f>SUM(K30:Y30)</f>
        <v>92320</v>
      </c>
      <c r="AC29" s="46">
        <f>SUM(K31:Y31)</f>
        <v>52380</v>
      </c>
      <c r="AD29" s="1"/>
      <c r="AE29" s="46">
        <f>AA29-B29</f>
        <v>8</v>
      </c>
      <c r="AF29" s="46">
        <f>AB29-C29</f>
        <v>0</v>
      </c>
      <c r="AG29" s="46">
        <f>AC29-D29</f>
        <v>0</v>
      </c>
      <c r="AH29" s="1"/>
      <c r="AI29" s="47">
        <f>C29/B29*1000</f>
        <v>47.257919617513892</v>
      </c>
      <c r="AJ29" s="47">
        <f>D29/B29*1000</f>
        <v>26.812931429434332</v>
      </c>
      <c r="AK29" s="1"/>
      <c r="AL29" s="47">
        <f>AI29-H29</f>
        <v>5.7919617513888966E-2</v>
      </c>
      <c r="AM29" s="47">
        <f>AJ29-I29</f>
        <v>1.2931429434331676E-2</v>
      </c>
    </row>
    <row r="30" spans="1:39">
      <c r="A30" s="12" t="s">
        <v>31</v>
      </c>
      <c r="B30" s="13"/>
      <c r="C30" s="13"/>
      <c r="D30" s="13"/>
      <c r="E30" s="13"/>
      <c r="F30" s="13"/>
      <c r="G30" s="13"/>
      <c r="H30" s="14"/>
      <c r="I30" s="14"/>
      <c r="J30" s="14"/>
      <c r="K30" s="13">
        <v>9909</v>
      </c>
      <c r="L30" s="13">
        <v>10956</v>
      </c>
      <c r="M30" s="13">
        <v>10702</v>
      </c>
      <c r="N30" s="13">
        <v>10929</v>
      </c>
      <c r="O30" s="13">
        <v>8042</v>
      </c>
      <c r="P30" s="13">
        <v>10501</v>
      </c>
      <c r="Q30" s="13">
        <v>10703</v>
      </c>
      <c r="R30" s="13">
        <v>10170</v>
      </c>
      <c r="S30" s="13">
        <v>10408</v>
      </c>
      <c r="T30" s="13"/>
      <c r="U30" s="13"/>
      <c r="V30" s="13"/>
      <c r="W30" s="48"/>
      <c r="X30" s="48"/>
      <c r="Y30" s="48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2" t="s">
        <v>32</v>
      </c>
      <c r="B31" s="13"/>
      <c r="C31" s="13"/>
      <c r="D31" s="13"/>
      <c r="E31" s="13"/>
      <c r="F31" s="13"/>
      <c r="G31" s="13"/>
      <c r="H31" s="14"/>
      <c r="I31" s="14"/>
      <c r="J31" s="14"/>
      <c r="K31" s="13">
        <v>5610</v>
      </c>
      <c r="L31" s="13">
        <v>6002</v>
      </c>
      <c r="M31" s="13">
        <v>5029</v>
      </c>
      <c r="N31" s="13">
        <v>5664</v>
      </c>
      <c r="O31" s="13">
        <v>3942</v>
      </c>
      <c r="P31" s="13">
        <v>7033</v>
      </c>
      <c r="Q31" s="13">
        <v>6513</v>
      </c>
      <c r="R31" s="13">
        <v>5854</v>
      </c>
      <c r="S31" s="13">
        <v>6733</v>
      </c>
      <c r="T31" s="13"/>
      <c r="U31" s="13"/>
      <c r="V31" s="13"/>
      <c r="W31" s="48"/>
      <c r="X31" s="48"/>
      <c r="Y31" s="48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7" t="s">
        <v>33</v>
      </c>
      <c r="B32" s="8">
        <v>1512144</v>
      </c>
      <c r="C32" s="8">
        <v>75888</v>
      </c>
      <c r="D32" s="8">
        <v>40998</v>
      </c>
      <c r="E32" s="8">
        <v>136380</v>
      </c>
      <c r="F32" s="8">
        <v>4751</v>
      </c>
      <c r="G32" s="8">
        <v>2776</v>
      </c>
      <c r="H32" s="10">
        <v>49</v>
      </c>
      <c r="I32" s="10">
        <v>26.5</v>
      </c>
      <c r="J32" s="14"/>
      <c r="K32" s="8">
        <v>156486</v>
      </c>
      <c r="L32" s="8">
        <v>109648</v>
      </c>
      <c r="M32" s="8">
        <v>216228</v>
      </c>
      <c r="N32" s="8">
        <v>108904</v>
      </c>
      <c r="O32" s="8">
        <v>132912</v>
      </c>
      <c r="P32" s="8">
        <v>89866</v>
      </c>
      <c r="Q32" s="8">
        <v>137579</v>
      </c>
      <c r="R32" s="8">
        <v>193739</v>
      </c>
      <c r="S32" s="8">
        <v>145134</v>
      </c>
      <c r="T32" s="8">
        <v>82349</v>
      </c>
      <c r="U32" s="8">
        <v>139299</v>
      </c>
      <c r="V32" s="8"/>
      <c r="W32" s="45"/>
      <c r="X32" s="45"/>
      <c r="Y32" s="45"/>
      <c r="Z32" s="1"/>
      <c r="AA32" s="46">
        <f>SUM(K32:Y32)</f>
        <v>1512144</v>
      </c>
      <c r="AB32" s="46">
        <f>SUM(K33:Y33)</f>
        <v>75888</v>
      </c>
      <c r="AC32" s="46">
        <f>SUM(K34:Y34)</f>
        <v>40998</v>
      </c>
      <c r="AD32" s="1"/>
      <c r="AE32" s="46">
        <f>AA32-B32</f>
        <v>0</v>
      </c>
      <c r="AF32" s="46">
        <f>AB32-C32</f>
        <v>0</v>
      </c>
      <c r="AG32" s="46">
        <f>AC32-D32</f>
        <v>0</v>
      </c>
      <c r="AH32" s="1"/>
      <c r="AI32" s="47">
        <f>C32/B32*1000</f>
        <v>50.18569660032378</v>
      </c>
      <c r="AJ32" s="47">
        <f>D32/B32*1000</f>
        <v>27.112497222486748</v>
      </c>
      <c r="AK32" s="1"/>
      <c r="AL32" s="47">
        <f>AI32-H32</f>
        <v>1.1856966003237801</v>
      </c>
      <c r="AM32" s="47">
        <f>AJ32-I32</f>
        <v>0.61249722248674843</v>
      </c>
    </row>
    <row r="33" spans="1:39">
      <c r="A33" s="12" t="s">
        <v>34</v>
      </c>
      <c r="B33" s="13"/>
      <c r="C33" s="13"/>
      <c r="D33" s="13"/>
      <c r="E33" s="13"/>
      <c r="F33" s="13"/>
      <c r="G33" s="13"/>
      <c r="H33" s="14"/>
      <c r="I33" s="14"/>
      <c r="J33" s="14"/>
      <c r="K33" s="13">
        <v>6431</v>
      </c>
      <c r="L33" s="13">
        <v>5710</v>
      </c>
      <c r="M33" s="13">
        <v>10335</v>
      </c>
      <c r="N33" s="13">
        <v>5452</v>
      </c>
      <c r="O33" s="13">
        <v>6607</v>
      </c>
      <c r="P33" s="13">
        <v>4600</v>
      </c>
      <c r="Q33" s="13">
        <v>8002</v>
      </c>
      <c r="R33" s="13">
        <v>10765</v>
      </c>
      <c r="S33" s="13">
        <v>7345</v>
      </c>
      <c r="T33" s="13">
        <v>3883</v>
      </c>
      <c r="U33" s="13">
        <v>6758</v>
      </c>
      <c r="V33" s="13"/>
      <c r="W33" s="48"/>
      <c r="X33" s="48"/>
      <c r="Y33" s="48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2" t="s">
        <v>35</v>
      </c>
      <c r="B34" s="13"/>
      <c r="C34" s="13"/>
      <c r="D34" s="13"/>
      <c r="E34" s="13"/>
      <c r="F34" s="13"/>
      <c r="G34" s="13"/>
      <c r="H34" s="14"/>
      <c r="I34" s="14"/>
      <c r="J34" s="14"/>
      <c r="K34" s="13">
        <v>3863</v>
      </c>
      <c r="L34" s="13">
        <v>3485</v>
      </c>
      <c r="M34" s="13">
        <v>6514</v>
      </c>
      <c r="N34" s="13">
        <v>2803</v>
      </c>
      <c r="O34" s="13">
        <v>3174</v>
      </c>
      <c r="P34" s="13">
        <v>2192</v>
      </c>
      <c r="Q34" s="13">
        <v>3928</v>
      </c>
      <c r="R34" s="13">
        <v>6137</v>
      </c>
      <c r="S34" s="13">
        <v>3627</v>
      </c>
      <c r="T34" s="13">
        <v>2240</v>
      </c>
      <c r="U34" s="13">
        <v>3035</v>
      </c>
      <c r="V34" s="13"/>
      <c r="W34" s="48"/>
      <c r="X34" s="48"/>
      <c r="Y34" s="48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7" t="s">
        <v>36</v>
      </c>
      <c r="B35" s="8">
        <v>1433062</v>
      </c>
      <c r="C35" s="8">
        <v>82586</v>
      </c>
      <c r="D35" s="8">
        <v>50997</v>
      </c>
      <c r="E35" s="8">
        <v>115142</v>
      </c>
      <c r="F35" s="8">
        <v>6807</v>
      </c>
      <c r="G35" s="8">
        <v>4734</v>
      </c>
      <c r="H35" s="10">
        <v>50.7</v>
      </c>
      <c r="I35" s="10">
        <v>36</v>
      </c>
      <c r="J35" s="14"/>
      <c r="K35" s="8">
        <v>425825</v>
      </c>
      <c r="L35" s="8">
        <v>214493</v>
      </c>
      <c r="M35" s="8">
        <v>204565</v>
      </c>
      <c r="N35" s="8">
        <v>187042</v>
      </c>
      <c r="O35" s="8">
        <v>401137</v>
      </c>
      <c r="P35" s="8"/>
      <c r="Q35" s="8"/>
      <c r="R35" s="8"/>
      <c r="S35" s="8"/>
      <c r="T35" s="8"/>
      <c r="U35" s="8"/>
      <c r="V35" s="8"/>
      <c r="W35" s="45"/>
      <c r="X35" s="45"/>
      <c r="Y35" s="45"/>
      <c r="Z35" s="1"/>
      <c r="AA35" s="46">
        <f>SUM(K35:Y35)</f>
        <v>1433062</v>
      </c>
      <c r="AB35" s="46">
        <f>SUM(K36:Y36)</f>
        <v>82586</v>
      </c>
      <c r="AC35" s="46">
        <f>SUM(K37:Y37)</f>
        <v>50997</v>
      </c>
      <c r="AD35" s="1"/>
      <c r="AE35" s="46">
        <f>AA35-B35</f>
        <v>0</v>
      </c>
      <c r="AF35" s="46">
        <f>AB35-C35</f>
        <v>0</v>
      </c>
      <c r="AG35" s="46">
        <f>AC35-D35</f>
        <v>0</v>
      </c>
      <c r="AH35" s="1"/>
      <c r="AI35" s="47">
        <f>C35/B35*1000</f>
        <v>57.629048847851664</v>
      </c>
      <c r="AJ35" s="47">
        <f>D35/B35*1000</f>
        <v>35.586038845493078</v>
      </c>
      <c r="AK35" s="1"/>
      <c r="AL35" s="47">
        <f>AI35-H35</f>
        <v>6.9290488478516608</v>
      </c>
      <c r="AM35" s="47">
        <f>AJ35-I35</f>
        <v>-0.4139611545069215</v>
      </c>
    </row>
    <row r="36" spans="1:39">
      <c r="A36" s="12" t="s">
        <v>37</v>
      </c>
      <c r="B36" s="13"/>
      <c r="C36" s="13"/>
      <c r="D36" s="13"/>
      <c r="E36" s="13"/>
      <c r="F36" s="13"/>
      <c r="G36" s="13"/>
      <c r="H36" s="14"/>
      <c r="I36" s="14"/>
      <c r="J36" s="14"/>
      <c r="K36" s="13">
        <v>31391</v>
      </c>
      <c r="L36" s="13">
        <v>10461</v>
      </c>
      <c r="M36" s="13">
        <v>9635</v>
      </c>
      <c r="N36" s="13">
        <v>10105</v>
      </c>
      <c r="O36" s="13">
        <v>20994</v>
      </c>
      <c r="P36" s="13"/>
      <c r="Q36" s="13"/>
      <c r="R36" s="13"/>
      <c r="S36" s="13"/>
      <c r="T36" s="13"/>
      <c r="U36" s="13"/>
      <c r="V36" s="13"/>
      <c r="W36" s="48"/>
      <c r="X36" s="48"/>
      <c r="Y36" s="48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2" t="s">
        <v>38</v>
      </c>
      <c r="B37" s="13"/>
      <c r="C37" s="13"/>
      <c r="D37" s="13"/>
      <c r="E37" s="13"/>
      <c r="F37" s="13"/>
      <c r="G37" s="13"/>
      <c r="H37" s="14"/>
      <c r="I37" s="14"/>
      <c r="J37" s="14"/>
      <c r="K37" s="13">
        <v>17092</v>
      </c>
      <c r="L37" s="13">
        <v>5746</v>
      </c>
      <c r="M37" s="13">
        <v>5840</v>
      </c>
      <c r="N37" s="13">
        <v>6758</v>
      </c>
      <c r="O37" s="13">
        <v>15561</v>
      </c>
      <c r="P37" s="13"/>
      <c r="Q37" s="13"/>
      <c r="R37" s="13"/>
      <c r="S37" s="13"/>
      <c r="T37" s="13"/>
      <c r="U37" s="13"/>
      <c r="V37" s="13"/>
      <c r="W37" s="48"/>
      <c r="X37" s="48"/>
      <c r="Y37" s="48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7" t="s">
        <v>39</v>
      </c>
      <c r="B38" s="8">
        <v>2711923</v>
      </c>
      <c r="C38" s="8">
        <v>129023</v>
      </c>
      <c r="D38" s="8">
        <v>91235</v>
      </c>
      <c r="E38" s="8">
        <v>203254</v>
      </c>
      <c r="F38" s="8">
        <v>6623</v>
      </c>
      <c r="G38" s="8">
        <v>5004</v>
      </c>
      <c r="H38" s="10">
        <v>47</v>
      </c>
      <c r="I38" s="10">
        <v>33.299999999999997</v>
      </c>
      <c r="J38" s="14"/>
      <c r="K38" s="8">
        <v>239581</v>
      </c>
      <c r="L38" s="8">
        <v>355973</v>
      </c>
      <c r="M38" s="8">
        <v>213408</v>
      </c>
      <c r="N38" s="8">
        <v>226558</v>
      </c>
      <c r="O38" s="8">
        <v>243897</v>
      </c>
      <c r="P38" s="8">
        <v>156479</v>
      </c>
      <c r="Q38" s="8">
        <v>189362</v>
      </c>
      <c r="R38" s="8">
        <v>214623</v>
      </c>
      <c r="S38" s="8">
        <v>218228</v>
      </c>
      <c r="T38" s="8">
        <v>251492</v>
      </c>
      <c r="U38" s="8">
        <v>189134</v>
      </c>
      <c r="V38" s="8">
        <v>243188</v>
      </c>
      <c r="W38" s="45"/>
      <c r="X38" s="45"/>
      <c r="Y38" s="45"/>
      <c r="Z38" s="1"/>
      <c r="AA38" s="46">
        <f>SUM(K38:Y38)</f>
        <v>2741923</v>
      </c>
      <c r="AB38" s="46">
        <f>SUM(K39:Y39)</f>
        <v>129048</v>
      </c>
      <c r="AC38" s="46">
        <f>SUM(K40:Y40)</f>
        <v>91235</v>
      </c>
      <c r="AD38" s="1"/>
      <c r="AE38" s="46">
        <f>AA38-B38</f>
        <v>30000</v>
      </c>
      <c r="AF38" s="46">
        <f>AB38-C38</f>
        <v>25</v>
      </c>
      <c r="AG38" s="46">
        <f>AC38-D38</f>
        <v>0</v>
      </c>
      <c r="AH38" s="1"/>
      <c r="AI38" s="47">
        <f>C38/B38*1000</f>
        <v>47.576203306657305</v>
      </c>
      <c r="AJ38" s="47">
        <f>D38/B38*1000</f>
        <v>33.642179368662021</v>
      </c>
      <c r="AK38" s="1"/>
      <c r="AL38" s="47">
        <f>AI38-H38</f>
        <v>0.57620330665730535</v>
      </c>
      <c r="AM38" s="47">
        <f>AJ38-I38</f>
        <v>0.34217936866202336</v>
      </c>
    </row>
    <row r="39" spans="1:39">
      <c r="A39" s="12" t="s">
        <v>40</v>
      </c>
      <c r="B39" s="13"/>
      <c r="C39" s="13"/>
      <c r="D39" s="13"/>
      <c r="E39" s="13"/>
      <c r="F39" s="13"/>
      <c r="G39" s="13"/>
      <c r="H39" s="14"/>
      <c r="I39" s="14"/>
      <c r="J39" s="14"/>
      <c r="K39" s="13">
        <v>10439</v>
      </c>
      <c r="L39" s="13">
        <v>18074</v>
      </c>
      <c r="M39" s="13">
        <v>10427</v>
      </c>
      <c r="N39" s="13">
        <v>10175</v>
      </c>
      <c r="O39" s="13">
        <v>11240</v>
      </c>
      <c r="P39" s="13">
        <v>7254</v>
      </c>
      <c r="Q39" s="13">
        <v>8903</v>
      </c>
      <c r="R39" s="13">
        <v>9664</v>
      </c>
      <c r="S39" s="13">
        <v>9205</v>
      </c>
      <c r="T39" s="13">
        <v>13164</v>
      </c>
      <c r="U39" s="13">
        <v>9323</v>
      </c>
      <c r="V39" s="13">
        <v>11180</v>
      </c>
      <c r="W39" s="48"/>
      <c r="X39" s="48"/>
      <c r="Y39" s="48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2" t="s">
        <v>41</v>
      </c>
      <c r="B40" s="13"/>
      <c r="C40" s="13"/>
      <c r="D40" s="13"/>
      <c r="E40" s="13"/>
      <c r="F40" s="13"/>
      <c r="G40" s="13"/>
      <c r="H40" s="14"/>
      <c r="I40" s="14"/>
      <c r="J40" s="14"/>
      <c r="K40" s="13">
        <v>7597</v>
      </c>
      <c r="L40" s="13">
        <v>11616</v>
      </c>
      <c r="M40" s="13">
        <v>6832</v>
      </c>
      <c r="N40" s="13">
        <v>7221</v>
      </c>
      <c r="O40" s="13">
        <v>7143</v>
      </c>
      <c r="P40" s="13">
        <v>4958</v>
      </c>
      <c r="Q40" s="13">
        <v>6416</v>
      </c>
      <c r="R40" s="13">
        <v>7276</v>
      </c>
      <c r="S40" s="13">
        <v>6730</v>
      </c>
      <c r="T40" s="13">
        <v>10421</v>
      </c>
      <c r="U40" s="13">
        <v>6961</v>
      </c>
      <c r="V40" s="13">
        <v>8064</v>
      </c>
      <c r="W40" s="48"/>
      <c r="X40" s="48"/>
      <c r="Y40" s="48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6" t="s">
        <v>42</v>
      </c>
      <c r="B41" s="17">
        <v>21131625</v>
      </c>
      <c r="C41" s="17">
        <v>960637</v>
      </c>
      <c r="D41" s="17">
        <v>630148</v>
      </c>
      <c r="E41" s="17"/>
      <c r="F41" s="17"/>
      <c r="G41" s="17"/>
      <c r="H41" s="18">
        <v>46.3</v>
      </c>
      <c r="I41" s="18">
        <v>30.4</v>
      </c>
      <c r="J41" s="14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49"/>
      <c r="Z41" s="1"/>
      <c r="AA41" s="70">
        <f>SUM(AA2:AA40)</f>
        <v>21134634</v>
      </c>
      <c r="AB41" s="70">
        <f>SUM(AB2:AB40)</f>
        <v>959662</v>
      </c>
      <c r="AC41" s="70">
        <f>SUM(AC2:AC40)</f>
        <v>630148</v>
      </c>
      <c r="AD41" s="1"/>
      <c r="AE41" s="70">
        <f>AA41-B41</f>
        <v>3009</v>
      </c>
      <c r="AF41" s="70">
        <f>AB41-C41</f>
        <v>-975</v>
      </c>
      <c r="AG41" s="70">
        <f>AC41-D41</f>
        <v>0</v>
      </c>
      <c r="AH41" s="1"/>
      <c r="AI41" s="71">
        <f>C41/B41*1000</f>
        <v>45.45968424103684</v>
      </c>
      <c r="AJ41" s="71">
        <f>D41/B41*1000</f>
        <v>29.820139246271879</v>
      </c>
      <c r="AK41" s="1"/>
      <c r="AL41" s="71">
        <f t="shared" ref="AL41:AM43" si="0">AI41-H41</f>
        <v>-0.84031575896315758</v>
      </c>
      <c r="AM41" s="71">
        <f t="shared" si="0"/>
        <v>-0.57986075372811996</v>
      </c>
    </row>
    <row r="42" spans="1:39">
      <c r="A42" s="19" t="s">
        <v>43</v>
      </c>
      <c r="B42" s="20">
        <v>526028</v>
      </c>
      <c r="C42" s="20">
        <v>24004</v>
      </c>
      <c r="D42" s="20">
        <v>13630</v>
      </c>
      <c r="E42" s="20"/>
      <c r="F42" s="20"/>
      <c r="G42" s="20"/>
      <c r="H42" s="21">
        <v>45.6</v>
      </c>
      <c r="I42" s="21">
        <v>26</v>
      </c>
      <c r="J42" s="14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45"/>
      <c r="Z42" s="1"/>
      <c r="AA42" s="46">
        <f>B42</f>
        <v>526028</v>
      </c>
      <c r="AB42" s="46">
        <f>C42</f>
        <v>24004</v>
      </c>
      <c r="AC42" s="46">
        <f>D42</f>
        <v>13630</v>
      </c>
      <c r="AD42" s="1"/>
      <c r="AE42" s="68"/>
      <c r="AF42" s="68"/>
      <c r="AG42" s="68"/>
      <c r="AH42" s="1"/>
      <c r="AI42" s="47">
        <f>C42/B42*1000</f>
        <v>45.632551879367639</v>
      </c>
      <c r="AJ42" s="47">
        <f>D42/B42*1000</f>
        <v>25.911168226786408</v>
      </c>
      <c r="AK42" s="1"/>
      <c r="AL42" s="47">
        <f t="shared" si="0"/>
        <v>3.2551879367638037E-2</v>
      </c>
      <c r="AM42" s="47">
        <f t="shared" si="0"/>
        <v>-8.8831773213591703E-2</v>
      </c>
    </row>
    <row r="43" spans="1:39">
      <c r="A43" s="19" t="s">
        <v>44</v>
      </c>
      <c r="B43" s="20">
        <v>1425406</v>
      </c>
      <c r="C43" s="20">
        <v>60832</v>
      </c>
      <c r="D43" s="20">
        <v>38126</v>
      </c>
      <c r="E43" s="22" t="s">
        <v>9</v>
      </c>
      <c r="F43" s="22" t="s">
        <v>9</v>
      </c>
      <c r="G43" s="22" t="s">
        <v>9</v>
      </c>
      <c r="H43" s="21">
        <v>42.6</v>
      </c>
      <c r="I43" s="21">
        <v>25</v>
      </c>
      <c r="J43" s="23"/>
      <c r="K43" s="20">
        <v>131045</v>
      </c>
      <c r="L43" s="20">
        <v>112405</v>
      </c>
      <c r="M43" s="20">
        <v>112444</v>
      </c>
      <c r="N43" s="20">
        <v>127558</v>
      </c>
      <c r="O43" s="20">
        <v>96052</v>
      </c>
      <c r="P43" s="20">
        <v>87354</v>
      </c>
      <c r="Q43" s="20">
        <v>94772</v>
      </c>
      <c r="R43" s="20">
        <v>100054</v>
      </c>
      <c r="S43" s="20">
        <v>95289</v>
      </c>
      <c r="T43" s="20">
        <v>103338</v>
      </c>
      <c r="U43" s="20">
        <v>111560</v>
      </c>
      <c r="V43" s="20">
        <v>71953</v>
      </c>
      <c r="W43" s="20">
        <v>52629</v>
      </c>
      <c r="X43" s="20">
        <v>87079</v>
      </c>
      <c r="Y43" s="45"/>
      <c r="Z43" s="1"/>
      <c r="AA43" s="46">
        <f>SUM(K43:Y43)</f>
        <v>1383532</v>
      </c>
      <c r="AB43" s="46">
        <f>SUM(K44:Y44)</f>
        <v>59690</v>
      </c>
      <c r="AC43" s="46">
        <f>SUM(K45:Y45)</f>
        <v>36777</v>
      </c>
      <c r="AD43" s="1"/>
      <c r="AE43" s="46">
        <f>AA43-B43</f>
        <v>-41874</v>
      </c>
      <c r="AF43" s="46">
        <f>AB43-C43</f>
        <v>-1142</v>
      </c>
      <c r="AG43" s="46">
        <f>AC43-D43</f>
        <v>-1349</v>
      </c>
      <c r="AH43" s="1"/>
      <c r="AI43" s="47">
        <f>C43/B43*1000</f>
        <v>42.676963615980284</v>
      </c>
      <c r="AJ43" s="47">
        <f>D43/B43*1000</f>
        <v>26.747467037461607</v>
      </c>
      <c r="AK43" s="1"/>
      <c r="AL43" s="47">
        <f t="shared" si="0"/>
        <v>7.6963615980282896E-2</v>
      </c>
      <c r="AM43" s="47">
        <f t="shared" si="0"/>
        <v>1.7474670374616075</v>
      </c>
    </row>
    <row r="44" spans="1:39">
      <c r="A44" s="12" t="s">
        <v>45</v>
      </c>
      <c r="B44" s="13"/>
      <c r="C44" s="13"/>
      <c r="D44" s="13"/>
      <c r="E44" s="13"/>
      <c r="F44" s="13"/>
      <c r="G44" s="13"/>
      <c r="H44" s="14"/>
      <c r="I44" s="14"/>
      <c r="J44" s="14"/>
      <c r="K44" s="13">
        <v>8445</v>
      </c>
      <c r="L44" s="13">
        <v>5095</v>
      </c>
      <c r="M44" s="13">
        <v>5011</v>
      </c>
      <c r="N44" s="13">
        <v>4529</v>
      </c>
      <c r="O44" s="13">
        <v>3911</v>
      </c>
      <c r="P44" s="13">
        <v>4404</v>
      </c>
      <c r="Q44" s="13">
        <v>4690</v>
      </c>
      <c r="R44" s="13">
        <v>3640</v>
      </c>
      <c r="S44" s="13">
        <v>3704</v>
      </c>
      <c r="T44" s="13">
        <v>3781</v>
      </c>
      <c r="U44" s="13">
        <v>4254</v>
      </c>
      <c r="V44" s="13">
        <v>3243</v>
      </c>
      <c r="W44" s="13">
        <v>2055</v>
      </c>
      <c r="X44" s="13">
        <v>2928</v>
      </c>
      <c r="Y44" s="48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2" t="s">
        <v>46</v>
      </c>
      <c r="B45" s="13"/>
      <c r="C45" s="13"/>
      <c r="D45" s="13"/>
      <c r="E45" s="13"/>
      <c r="F45" s="13"/>
      <c r="G45" s="13"/>
      <c r="H45" s="14"/>
      <c r="I45" s="14"/>
      <c r="J45" s="14"/>
      <c r="K45" s="13">
        <v>5332</v>
      </c>
      <c r="L45" s="13">
        <v>3001</v>
      </c>
      <c r="M45" s="13">
        <v>3460</v>
      </c>
      <c r="N45" s="13">
        <v>3300</v>
      </c>
      <c r="O45" s="13">
        <v>2105</v>
      </c>
      <c r="P45" s="13">
        <v>2718</v>
      </c>
      <c r="Q45" s="13">
        <v>3010</v>
      </c>
      <c r="R45" s="13">
        <v>1810</v>
      </c>
      <c r="S45" s="13">
        <v>2026</v>
      </c>
      <c r="T45" s="13">
        <v>2379</v>
      </c>
      <c r="U45" s="13">
        <v>2780</v>
      </c>
      <c r="V45" s="13">
        <v>1712</v>
      </c>
      <c r="W45" s="13">
        <v>1541</v>
      </c>
      <c r="X45" s="13">
        <v>1603</v>
      </c>
      <c r="Y45" s="48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9" t="s">
        <v>47</v>
      </c>
      <c r="B46" s="20">
        <v>934773</v>
      </c>
      <c r="C46" s="20">
        <v>36680</v>
      </c>
      <c r="D46" s="20">
        <v>19974</v>
      </c>
      <c r="E46" s="20">
        <v>68420</v>
      </c>
      <c r="F46" s="20">
        <v>1762</v>
      </c>
      <c r="G46" s="20">
        <v>1203</v>
      </c>
      <c r="H46" s="21">
        <v>39.200000000000003</v>
      </c>
      <c r="I46" s="21">
        <v>27.4</v>
      </c>
      <c r="J46" s="14"/>
      <c r="K46" s="20">
        <v>125137</v>
      </c>
      <c r="L46" s="20">
        <v>145980</v>
      </c>
      <c r="M46" s="20">
        <v>111826</v>
      </c>
      <c r="N46" s="20">
        <v>94037</v>
      </c>
      <c r="O46" s="20">
        <v>124467</v>
      </c>
      <c r="P46" s="20">
        <v>92257</v>
      </c>
      <c r="Q46" s="20">
        <v>134673</v>
      </c>
      <c r="R46" s="20">
        <v>106396</v>
      </c>
      <c r="S46" s="20"/>
      <c r="T46" s="20"/>
      <c r="U46" s="20"/>
      <c r="V46" s="20"/>
      <c r="W46" s="20"/>
      <c r="X46" s="20"/>
      <c r="Y46" s="45"/>
      <c r="Z46" s="1"/>
      <c r="AA46" s="46">
        <f>SUM(K46:Y46)</f>
        <v>934773</v>
      </c>
      <c r="AB46" s="46">
        <f>SUM(K47:Y47)</f>
        <v>36680</v>
      </c>
      <c r="AC46" s="46">
        <f>SUM(K48:Y48)</f>
        <v>19974</v>
      </c>
      <c r="AD46" s="1"/>
      <c r="AE46" s="46">
        <f>AA46-B46</f>
        <v>0</v>
      </c>
      <c r="AF46" s="46">
        <f>AB46-C46</f>
        <v>0</v>
      </c>
      <c r="AG46" s="46">
        <f>AC46-D46</f>
        <v>0</v>
      </c>
      <c r="AH46" s="1"/>
      <c r="AI46" s="47">
        <f>C46/B46*1000</f>
        <v>39.239473112723623</v>
      </c>
      <c r="AJ46" s="47">
        <f>D46/B46*1000</f>
        <v>21.367754524360461</v>
      </c>
      <c r="AK46" s="1"/>
      <c r="AL46" s="47">
        <f>AI46-H46</f>
        <v>3.9473112723619863E-2</v>
      </c>
      <c r="AM46" s="47">
        <f>AJ46-I46</f>
        <v>-6.0322454756395381</v>
      </c>
    </row>
    <row r="47" spans="1:39">
      <c r="A47" s="12" t="s">
        <v>48</v>
      </c>
      <c r="B47" s="13"/>
      <c r="C47" s="13"/>
      <c r="D47" s="13"/>
      <c r="E47" s="13"/>
      <c r="F47" s="13"/>
      <c r="G47" s="13"/>
      <c r="H47" s="14"/>
      <c r="I47" s="14"/>
      <c r="J47" s="14"/>
      <c r="K47" s="13">
        <v>6321</v>
      </c>
      <c r="L47" s="13">
        <v>5912</v>
      </c>
      <c r="M47" s="13">
        <v>3969</v>
      </c>
      <c r="N47" s="13">
        <v>3237</v>
      </c>
      <c r="O47" s="13">
        <v>4902</v>
      </c>
      <c r="P47" s="13">
        <v>3918</v>
      </c>
      <c r="Q47" s="13">
        <v>4668</v>
      </c>
      <c r="R47" s="13">
        <v>3753</v>
      </c>
      <c r="S47" s="13"/>
      <c r="T47" s="13"/>
      <c r="U47" s="13"/>
      <c r="V47" s="13"/>
      <c r="W47" s="13"/>
      <c r="X47" s="13"/>
      <c r="Y47" s="48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2" t="s">
        <v>49</v>
      </c>
      <c r="B48" s="13"/>
      <c r="C48" s="13"/>
      <c r="D48" s="13"/>
      <c r="E48" s="13"/>
      <c r="F48" s="13"/>
      <c r="G48" s="13"/>
      <c r="H48" s="14"/>
      <c r="I48" s="14"/>
      <c r="J48" s="14"/>
      <c r="K48" s="13">
        <v>2744</v>
      </c>
      <c r="L48" s="13">
        <v>2992</v>
      </c>
      <c r="M48" s="13">
        <v>2211</v>
      </c>
      <c r="N48" s="13">
        <v>1786</v>
      </c>
      <c r="O48" s="13">
        <v>2830</v>
      </c>
      <c r="P48" s="13">
        <v>2201</v>
      </c>
      <c r="Q48" s="13">
        <v>2544</v>
      </c>
      <c r="R48" s="13">
        <v>2666</v>
      </c>
      <c r="S48" s="13"/>
      <c r="T48" s="13"/>
      <c r="U48" s="13"/>
      <c r="V48" s="13"/>
      <c r="W48" s="13"/>
      <c r="X48" s="13"/>
      <c r="Y48" s="48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9" t="s">
        <v>50</v>
      </c>
      <c r="B49" s="20">
        <v>821964</v>
      </c>
      <c r="C49" s="20">
        <v>33002</v>
      </c>
      <c r="D49" s="20">
        <v>22516</v>
      </c>
      <c r="E49" s="20">
        <v>59412</v>
      </c>
      <c r="F49" s="20">
        <v>2019</v>
      </c>
      <c r="G49" s="20">
        <v>1915</v>
      </c>
      <c r="H49" s="21">
        <v>40.1</v>
      </c>
      <c r="I49" s="21">
        <v>22.1</v>
      </c>
      <c r="J49" s="14"/>
      <c r="K49" s="20">
        <v>149731</v>
      </c>
      <c r="L49" s="20">
        <v>81284</v>
      </c>
      <c r="M49" s="20">
        <v>83161</v>
      </c>
      <c r="N49" s="20">
        <v>123533</v>
      </c>
      <c r="O49" s="20">
        <v>125229</v>
      </c>
      <c r="P49" s="20">
        <v>119488</v>
      </c>
      <c r="Q49" s="20">
        <v>139530</v>
      </c>
      <c r="R49" s="20"/>
      <c r="S49" s="20"/>
      <c r="T49" s="20"/>
      <c r="U49" s="20"/>
      <c r="V49" s="20"/>
      <c r="W49" s="20"/>
      <c r="X49" s="20"/>
      <c r="Y49" s="45"/>
      <c r="Z49" s="1"/>
      <c r="AA49" s="46">
        <f>SUM(K49:Y49)</f>
        <v>821956</v>
      </c>
      <c r="AB49" s="46">
        <f>SUM(K50:Y50)</f>
        <v>33002</v>
      </c>
      <c r="AC49" s="46">
        <f>SUM(K51:Y51)</f>
        <v>22522</v>
      </c>
      <c r="AD49" s="1"/>
      <c r="AE49" s="46">
        <f>AA49-B49</f>
        <v>-8</v>
      </c>
      <c r="AF49" s="46">
        <f>AB49-C49</f>
        <v>0</v>
      </c>
      <c r="AG49" s="46">
        <f>AC49-D49</f>
        <v>6</v>
      </c>
      <c r="AH49" s="1"/>
      <c r="AI49" s="47">
        <f>C49/B49*1000</f>
        <v>40.150176893391922</v>
      </c>
      <c r="AJ49" s="47">
        <f>D49/B49*1000</f>
        <v>27.392927184158918</v>
      </c>
      <c r="AK49" s="1"/>
      <c r="AL49" s="47">
        <f>AI49-H49</f>
        <v>5.0176893391920885E-2</v>
      </c>
      <c r="AM49" s="47">
        <f>AJ49-I49</f>
        <v>5.2929271841589163</v>
      </c>
    </row>
    <row r="50" spans="1:39">
      <c r="A50" s="12" t="s">
        <v>51</v>
      </c>
      <c r="B50" s="13"/>
      <c r="C50" s="13"/>
      <c r="D50" s="13"/>
      <c r="E50" s="13"/>
      <c r="F50" s="13"/>
      <c r="G50" s="13"/>
      <c r="H50" s="14"/>
      <c r="I50" s="14"/>
      <c r="J50" s="14"/>
      <c r="K50" s="13">
        <v>6115</v>
      </c>
      <c r="L50" s="13">
        <v>3344</v>
      </c>
      <c r="M50" s="13">
        <v>3540</v>
      </c>
      <c r="N50" s="13">
        <v>5045</v>
      </c>
      <c r="O50" s="13">
        <v>5051</v>
      </c>
      <c r="P50" s="13">
        <v>4526</v>
      </c>
      <c r="Q50" s="13">
        <v>5381</v>
      </c>
      <c r="R50" s="13"/>
      <c r="S50" s="13"/>
      <c r="T50" s="13"/>
      <c r="U50" s="13"/>
      <c r="V50" s="13"/>
      <c r="W50" s="13"/>
      <c r="X50" s="13"/>
      <c r="Y50" s="48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2" t="s">
        <v>52</v>
      </c>
      <c r="B51" s="13"/>
      <c r="C51" s="13"/>
      <c r="D51" s="13"/>
      <c r="E51" s="13"/>
      <c r="F51" s="13"/>
      <c r="G51" s="13"/>
      <c r="H51" s="14"/>
      <c r="I51" s="14"/>
      <c r="J51" s="14"/>
      <c r="K51" s="13">
        <v>3835</v>
      </c>
      <c r="L51" s="13">
        <v>1945</v>
      </c>
      <c r="M51" s="13">
        <v>1926</v>
      </c>
      <c r="N51" s="13">
        <v>3277</v>
      </c>
      <c r="O51" s="13">
        <v>2830</v>
      </c>
      <c r="P51" s="13">
        <v>3729</v>
      </c>
      <c r="Q51" s="13">
        <v>4980</v>
      </c>
      <c r="R51" s="13"/>
      <c r="S51" s="13"/>
      <c r="T51" s="13"/>
      <c r="U51" s="13"/>
      <c r="V51" s="13"/>
      <c r="W51" s="13"/>
      <c r="X51" s="13"/>
      <c r="Y51" s="48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9" t="s">
        <v>53</v>
      </c>
      <c r="B52" s="20">
        <v>595435</v>
      </c>
      <c r="C52" s="20">
        <v>22293</v>
      </c>
      <c r="D52" s="20">
        <v>15577</v>
      </c>
      <c r="E52" s="20">
        <v>63675</v>
      </c>
      <c r="F52" s="20">
        <v>1853</v>
      </c>
      <c r="G52" s="20">
        <v>1435</v>
      </c>
      <c r="H52" s="21">
        <v>37.5</v>
      </c>
      <c r="I52" s="21">
        <v>26.2</v>
      </c>
      <c r="J52" s="14"/>
      <c r="K52" s="20">
        <v>113502</v>
      </c>
      <c r="L52" s="20">
        <v>81010</v>
      </c>
      <c r="M52" s="20">
        <v>80878</v>
      </c>
      <c r="N52" s="20">
        <v>66616</v>
      </c>
      <c r="O52" s="20">
        <v>99790</v>
      </c>
      <c r="P52" s="20">
        <v>82067</v>
      </c>
      <c r="Q52" s="20">
        <v>71572</v>
      </c>
      <c r="R52" s="20"/>
      <c r="S52" s="20"/>
      <c r="T52" s="20"/>
      <c r="U52" s="20"/>
      <c r="V52" s="20"/>
      <c r="W52" s="20"/>
      <c r="X52" s="20"/>
      <c r="Y52" s="45"/>
      <c r="Z52" s="1"/>
      <c r="AA52" s="46">
        <f>SUM(K52:Y52)</f>
        <v>595435</v>
      </c>
      <c r="AB52" s="46">
        <f>SUM(K53:Y53)</f>
        <v>22293</v>
      </c>
      <c r="AC52" s="46">
        <f>SUM(K54:Y54)</f>
        <v>15577</v>
      </c>
      <c r="AD52" s="1"/>
      <c r="AE52" s="46">
        <f>AA52-B52</f>
        <v>0</v>
      </c>
      <c r="AF52" s="46">
        <f>AB52-C52</f>
        <v>0</v>
      </c>
      <c r="AG52" s="46">
        <f>AC52-D52</f>
        <v>0</v>
      </c>
      <c r="AH52" s="1"/>
      <c r="AI52" s="47">
        <f>C52/B52*1000</f>
        <v>37.439854896000398</v>
      </c>
      <c r="AJ52" s="47">
        <f>D52/B52*1000</f>
        <v>26.160706038442484</v>
      </c>
      <c r="AK52" s="1"/>
      <c r="AL52" s="47">
        <f>AI52-H52</f>
        <v>-6.0145103999602156E-2</v>
      </c>
      <c r="AM52" s="47">
        <f>AJ52-I52</f>
        <v>-3.9293961557515189E-2</v>
      </c>
    </row>
    <row r="53" spans="1:39">
      <c r="A53" s="12" t="s">
        <v>54</v>
      </c>
      <c r="B53" s="13"/>
      <c r="C53" s="13"/>
      <c r="D53" s="13"/>
      <c r="E53" s="13"/>
      <c r="F53" s="13"/>
      <c r="G53" s="13"/>
      <c r="H53" s="14"/>
      <c r="I53" s="14"/>
      <c r="J53" s="14"/>
      <c r="K53" s="13">
        <v>4133</v>
      </c>
      <c r="L53" s="13">
        <v>3306</v>
      </c>
      <c r="M53" s="13">
        <v>2394</v>
      </c>
      <c r="N53" s="13">
        <v>2676</v>
      </c>
      <c r="O53" s="13">
        <v>3693</v>
      </c>
      <c r="P53" s="13">
        <v>3521</v>
      </c>
      <c r="Q53" s="13">
        <v>2570</v>
      </c>
      <c r="R53" s="13"/>
      <c r="S53" s="13"/>
      <c r="T53" s="13"/>
      <c r="U53" s="13"/>
      <c r="V53" s="13"/>
      <c r="W53" s="13"/>
      <c r="X53" s="13"/>
      <c r="Y53" s="48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2" t="s">
        <v>55</v>
      </c>
      <c r="B54" s="13"/>
      <c r="C54" s="13"/>
      <c r="D54" s="13"/>
      <c r="E54" s="13"/>
      <c r="F54" s="13"/>
      <c r="G54" s="13"/>
      <c r="H54" s="14"/>
      <c r="I54" s="14"/>
      <c r="J54" s="14"/>
      <c r="K54" s="13">
        <v>2582</v>
      </c>
      <c r="L54" s="13">
        <v>2416</v>
      </c>
      <c r="M54" s="13">
        <v>2035</v>
      </c>
      <c r="N54" s="13">
        <v>1628</v>
      </c>
      <c r="O54" s="13">
        <v>2774</v>
      </c>
      <c r="P54" s="13">
        <v>2291</v>
      </c>
      <c r="Q54" s="13">
        <v>1851</v>
      </c>
      <c r="R54" s="13"/>
      <c r="S54" s="13"/>
      <c r="T54" s="13"/>
      <c r="U54" s="13"/>
      <c r="V54" s="13"/>
      <c r="W54" s="13"/>
      <c r="X54" s="13"/>
      <c r="Y54" s="48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9" t="s">
        <v>56</v>
      </c>
      <c r="B55" s="20">
        <v>1153000</v>
      </c>
      <c r="C55" s="20">
        <v>45230</v>
      </c>
      <c r="D55" s="20">
        <v>27760</v>
      </c>
      <c r="E55" s="20">
        <v>130304</v>
      </c>
      <c r="F55" s="20">
        <v>3630</v>
      </c>
      <c r="G55" s="20">
        <v>2578</v>
      </c>
      <c r="H55" s="21">
        <v>39.200000000000003</v>
      </c>
      <c r="I55" s="21">
        <v>24.1</v>
      </c>
      <c r="J55" s="14"/>
      <c r="K55" s="20">
        <v>162440</v>
      </c>
      <c r="L55" s="20">
        <v>102817</v>
      </c>
      <c r="M55" s="20">
        <v>107754</v>
      </c>
      <c r="N55" s="20">
        <v>112461</v>
      </c>
      <c r="O55" s="20">
        <v>100265</v>
      </c>
      <c r="P55" s="20">
        <v>93740</v>
      </c>
      <c r="Q55" s="20">
        <v>131033</v>
      </c>
      <c r="R55" s="20">
        <v>96112</v>
      </c>
      <c r="S55" s="20">
        <v>132740</v>
      </c>
      <c r="T55" s="20">
        <v>113638</v>
      </c>
      <c r="U55" s="20"/>
      <c r="V55" s="20"/>
      <c r="W55" s="20"/>
      <c r="X55" s="20"/>
      <c r="Y55" s="45"/>
      <c r="Z55" s="1"/>
      <c r="AA55" s="46">
        <f>SUM(K55:Y55)</f>
        <v>1153000</v>
      </c>
      <c r="AB55" s="46">
        <f>SUM(K56:Y56)</f>
        <v>45230</v>
      </c>
      <c r="AC55" s="46">
        <f>SUM(K57:Y57)</f>
        <v>27760</v>
      </c>
      <c r="AD55" s="1"/>
      <c r="AE55" s="46">
        <f>AA55-B55</f>
        <v>0</v>
      </c>
      <c r="AF55" s="46">
        <f>AB55-C55</f>
        <v>0</v>
      </c>
      <c r="AG55" s="46">
        <f>AC55-D55</f>
        <v>0</v>
      </c>
      <c r="AH55" s="1"/>
      <c r="AI55" s="47">
        <f>C55/B55*1000</f>
        <v>39.228100607111884</v>
      </c>
      <c r="AJ55" s="47">
        <f>D55/B55*1000</f>
        <v>24.076322636600171</v>
      </c>
      <c r="AK55" s="1"/>
      <c r="AL55" s="47">
        <f>AI55-H55</f>
        <v>2.8100607111881004E-2</v>
      </c>
      <c r="AM55" s="47">
        <f>AJ55-I55</f>
        <v>-2.3677363399830398E-2</v>
      </c>
    </row>
    <row r="56" spans="1:39">
      <c r="A56" s="12" t="s">
        <v>57</v>
      </c>
      <c r="B56" s="13"/>
      <c r="C56" s="13"/>
      <c r="D56" s="13"/>
      <c r="E56" s="13"/>
      <c r="F56" s="13"/>
      <c r="G56" s="13"/>
      <c r="H56" s="14"/>
      <c r="I56" s="14"/>
      <c r="J56" s="14"/>
      <c r="K56" s="13">
        <v>6018</v>
      </c>
      <c r="L56" s="13">
        <v>3919</v>
      </c>
      <c r="M56" s="13">
        <v>3623</v>
      </c>
      <c r="N56" s="13">
        <v>4005</v>
      </c>
      <c r="O56" s="13">
        <v>3793</v>
      </c>
      <c r="P56" s="13">
        <v>3723</v>
      </c>
      <c r="Q56" s="13">
        <v>5271</v>
      </c>
      <c r="R56" s="13">
        <v>3821</v>
      </c>
      <c r="S56" s="13">
        <v>4660</v>
      </c>
      <c r="T56" s="13">
        <v>6397</v>
      </c>
      <c r="U56" s="13"/>
      <c r="V56" s="13"/>
      <c r="W56" s="13"/>
      <c r="X56" s="13"/>
      <c r="Y56" s="48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2" t="s">
        <v>58</v>
      </c>
      <c r="B57" s="13"/>
      <c r="C57" s="13"/>
      <c r="D57" s="13"/>
      <c r="E57" s="13"/>
      <c r="F57" s="13"/>
      <c r="G57" s="13"/>
      <c r="H57" s="14"/>
      <c r="I57" s="14"/>
      <c r="J57" s="14"/>
      <c r="K57" s="13">
        <v>3658</v>
      </c>
      <c r="L57" s="13">
        <v>2648</v>
      </c>
      <c r="M57" s="13">
        <v>2374</v>
      </c>
      <c r="N57" s="13">
        <v>2478</v>
      </c>
      <c r="O57" s="13">
        <v>2260</v>
      </c>
      <c r="P57" s="13">
        <v>2574</v>
      </c>
      <c r="Q57" s="13">
        <v>2901</v>
      </c>
      <c r="R57" s="13">
        <v>2383</v>
      </c>
      <c r="S57" s="13">
        <v>2778</v>
      </c>
      <c r="T57" s="13">
        <v>3706</v>
      </c>
      <c r="U57" s="13"/>
      <c r="V57" s="13"/>
      <c r="W57" s="13"/>
      <c r="X57" s="13"/>
      <c r="Y57" s="48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9" t="s">
        <v>59</v>
      </c>
      <c r="B58" s="20">
        <v>1383047</v>
      </c>
      <c r="C58" s="20">
        <v>55515</v>
      </c>
      <c r="D58" s="20">
        <v>32442</v>
      </c>
      <c r="E58" s="22" t="s">
        <v>9</v>
      </c>
      <c r="F58" s="22" t="s">
        <v>9</v>
      </c>
      <c r="G58" s="22" t="s">
        <v>9</v>
      </c>
      <c r="H58" s="21">
        <v>39.5</v>
      </c>
      <c r="I58" s="21">
        <v>23.1</v>
      </c>
      <c r="J58" s="23"/>
      <c r="K58" s="20">
        <v>185758</v>
      </c>
      <c r="L58" s="20">
        <v>213471</v>
      </c>
      <c r="M58" s="20">
        <v>121354</v>
      </c>
      <c r="N58" s="20">
        <v>139756</v>
      </c>
      <c r="O58" s="20">
        <v>324717</v>
      </c>
      <c r="P58" s="20">
        <v>151775</v>
      </c>
      <c r="Q58" s="20">
        <v>84547</v>
      </c>
      <c r="R58" s="20">
        <v>161669</v>
      </c>
      <c r="S58" s="20"/>
      <c r="T58" s="20"/>
      <c r="U58" s="20"/>
      <c r="V58" s="20"/>
      <c r="W58" s="20"/>
      <c r="X58" s="20"/>
      <c r="Y58" s="45"/>
      <c r="Z58" s="1"/>
      <c r="AA58" s="46">
        <f>SUM(K58:Y58)</f>
        <v>1383047</v>
      </c>
      <c r="AB58" s="46">
        <f>SUM(K59:Y59)</f>
        <v>55515</v>
      </c>
      <c r="AC58" s="46">
        <f>SUM(K60:Y60)</f>
        <v>32442</v>
      </c>
      <c r="AD58" s="1"/>
      <c r="AE58" s="46">
        <f>AA58-B58</f>
        <v>0</v>
      </c>
      <c r="AF58" s="46">
        <f>AB58-C58</f>
        <v>0</v>
      </c>
      <c r="AG58" s="46">
        <f>AC58-D58</f>
        <v>0</v>
      </c>
      <c r="AH58" s="1"/>
      <c r="AI58" s="47">
        <f>C58/B58*1000</f>
        <v>40.139633721775184</v>
      </c>
      <c r="AJ58" s="47">
        <f>D58/B58*1000</f>
        <v>23.45690348918005</v>
      </c>
      <c r="AK58" s="1"/>
      <c r="AL58" s="47">
        <f>AI58-H58</f>
        <v>0.63963372177518352</v>
      </c>
      <c r="AM58" s="47">
        <f>AJ58-I58</f>
        <v>0.35690348918004844</v>
      </c>
    </row>
    <row r="59" spans="1:39">
      <c r="A59" s="12" t="s">
        <v>60</v>
      </c>
      <c r="B59" s="13"/>
      <c r="C59" s="13"/>
      <c r="D59" s="13"/>
      <c r="E59" s="13"/>
      <c r="F59" s="13"/>
      <c r="G59" s="13"/>
      <c r="H59" s="14"/>
      <c r="I59" s="14"/>
      <c r="J59" s="14"/>
      <c r="K59" s="13">
        <v>6832</v>
      </c>
      <c r="L59" s="13">
        <v>10555</v>
      </c>
      <c r="M59" s="13">
        <v>4234</v>
      </c>
      <c r="N59" s="13">
        <v>5438</v>
      </c>
      <c r="O59" s="13">
        <v>11707</v>
      </c>
      <c r="P59" s="13">
        <v>6045</v>
      </c>
      <c r="Q59" s="13">
        <v>3158</v>
      </c>
      <c r="R59" s="13">
        <v>7546</v>
      </c>
      <c r="S59" s="13"/>
      <c r="T59" s="13"/>
      <c r="U59" s="13"/>
      <c r="V59" s="13"/>
      <c r="W59" s="13"/>
      <c r="X59" s="13"/>
      <c r="Y59" s="48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2" t="s">
        <v>61</v>
      </c>
      <c r="B60" s="13"/>
      <c r="C60" s="13"/>
      <c r="D60" s="13"/>
      <c r="E60" s="13"/>
      <c r="F60" s="13"/>
      <c r="G60" s="13"/>
      <c r="H60" s="14"/>
      <c r="I60" s="14"/>
      <c r="J60" s="14"/>
      <c r="K60" s="13">
        <v>3710</v>
      </c>
      <c r="L60" s="13">
        <v>5741</v>
      </c>
      <c r="M60" s="13">
        <v>2462</v>
      </c>
      <c r="N60" s="13">
        <v>2704</v>
      </c>
      <c r="O60" s="13">
        <v>8149</v>
      </c>
      <c r="P60" s="13">
        <v>3164</v>
      </c>
      <c r="Q60" s="13">
        <v>2581</v>
      </c>
      <c r="R60" s="13">
        <v>3931</v>
      </c>
      <c r="S60" s="13"/>
      <c r="T60" s="13"/>
      <c r="U60" s="13"/>
      <c r="V60" s="13"/>
      <c r="W60" s="13"/>
      <c r="X60" s="13"/>
      <c r="Y60" s="48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9" t="s">
        <v>62</v>
      </c>
      <c r="B61" s="20">
        <v>622390</v>
      </c>
      <c r="C61" s="20">
        <v>20971</v>
      </c>
      <c r="D61" s="20">
        <v>13726</v>
      </c>
      <c r="E61" s="22" t="s">
        <v>9</v>
      </c>
      <c r="F61" s="22" t="s">
        <v>9</v>
      </c>
      <c r="G61" s="22" t="s">
        <v>9</v>
      </c>
      <c r="H61" s="21">
        <v>34.1</v>
      </c>
      <c r="I61" s="21">
        <v>22.3</v>
      </c>
      <c r="J61" s="23"/>
      <c r="K61" s="20">
        <v>112629</v>
      </c>
      <c r="L61" s="20">
        <v>103854</v>
      </c>
      <c r="M61" s="20">
        <v>94930</v>
      </c>
      <c r="N61" s="20">
        <v>75237</v>
      </c>
      <c r="O61" s="20">
        <v>61111</v>
      </c>
      <c r="P61" s="20">
        <v>77630</v>
      </c>
      <c r="Q61" s="20">
        <v>77005</v>
      </c>
      <c r="R61" s="20"/>
      <c r="S61" s="20"/>
      <c r="T61" s="20"/>
      <c r="U61" s="20"/>
      <c r="V61" s="20"/>
      <c r="W61" s="20"/>
      <c r="X61" s="20"/>
      <c r="Y61" s="45"/>
      <c r="Z61" s="1"/>
      <c r="AA61" s="46">
        <f>SUM(K61:Y61)</f>
        <v>602396</v>
      </c>
      <c r="AB61" s="46">
        <f>SUM(K62:Y62)</f>
        <v>20971</v>
      </c>
      <c r="AC61" s="46">
        <f>SUM(K63:Y63)</f>
        <v>13726</v>
      </c>
      <c r="AD61" s="1"/>
      <c r="AE61" s="46">
        <f>AA61-B61</f>
        <v>-19994</v>
      </c>
      <c r="AF61" s="46">
        <f>AB61-C61</f>
        <v>0</v>
      </c>
      <c r="AG61" s="46">
        <f>AC61-D61</f>
        <v>0</v>
      </c>
      <c r="AH61" s="1"/>
      <c r="AI61" s="47">
        <f>C61/B61*1000</f>
        <v>33.694307427818572</v>
      </c>
      <c r="AJ61" s="47">
        <f>D61/B61*1000</f>
        <v>22.053696235479364</v>
      </c>
      <c r="AK61" s="1"/>
      <c r="AL61" s="47">
        <f>AI61-H61</f>
        <v>-0.40569257218142951</v>
      </c>
      <c r="AM61" s="47">
        <f>AJ61-I61</f>
        <v>-0.24630376452063629</v>
      </c>
    </row>
    <row r="62" spans="1:39">
      <c r="A62" s="12" t="s">
        <v>63</v>
      </c>
      <c r="B62" s="13"/>
      <c r="C62" s="13"/>
      <c r="D62" s="13"/>
      <c r="E62" s="13"/>
      <c r="F62" s="13"/>
      <c r="G62" s="13"/>
      <c r="H62" s="14"/>
      <c r="I62" s="14"/>
      <c r="J62" s="14"/>
      <c r="K62" s="13">
        <v>3352</v>
      </c>
      <c r="L62" s="13">
        <v>3486</v>
      </c>
      <c r="M62" s="13">
        <v>3327</v>
      </c>
      <c r="N62" s="13">
        <v>2986</v>
      </c>
      <c r="O62" s="13">
        <v>3045</v>
      </c>
      <c r="P62" s="13">
        <v>2748</v>
      </c>
      <c r="Q62" s="13">
        <v>2027</v>
      </c>
      <c r="R62" s="13"/>
      <c r="S62" s="13"/>
      <c r="T62" s="13"/>
      <c r="U62" s="13"/>
      <c r="V62" s="13"/>
      <c r="W62" s="13"/>
      <c r="X62" s="13"/>
      <c r="Y62" s="48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2" t="s">
        <v>64</v>
      </c>
      <c r="B63" s="13"/>
      <c r="C63" s="13"/>
      <c r="D63" s="13"/>
      <c r="E63" s="13"/>
      <c r="F63" s="13"/>
      <c r="G63" s="13"/>
      <c r="H63" s="14"/>
      <c r="I63" s="14"/>
      <c r="J63" s="14"/>
      <c r="K63" s="13">
        <v>2368</v>
      </c>
      <c r="L63" s="13">
        <v>2258</v>
      </c>
      <c r="M63" s="13">
        <v>2288</v>
      </c>
      <c r="N63" s="13">
        <v>1834</v>
      </c>
      <c r="O63" s="13">
        <v>1846</v>
      </c>
      <c r="P63" s="13">
        <v>2040</v>
      </c>
      <c r="Q63" s="13">
        <v>1092</v>
      </c>
      <c r="R63" s="13"/>
      <c r="S63" s="13"/>
      <c r="T63" s="13"/>
      <c r="U63" s="13"/>
      <c r="V63" s="13"/>
      <c r="W63" s="13"/>
      <c r="X63" s="13"/>
      <c r="Y63" s="48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9" t="s">
        <v>65</v>
      </c>
      <c r="B64" s="20">
        <v>851684</v>
      </c>
      <c r="C64" s="20">
        <v>33420</v>
      </c>
      <c r="D64" s="20">
        <v>21114</v>
      </c>
      <c r="E64" s="20">
        <v>58745</v>
      </c>
      <c r="F64" s="20">
        <v>1842</v>
      </c>
      <c r="G64" s="20">
        <v>1928</v>
      </c>
      <c r="H64" s="21">
        <v>39.299999999999997</v>
      </c>
      <c r="I64" s="21">
        <v>24.8</v>
      </c>
      <c r="J64" s="14"/>
      <c r="K64" s="20">
        <v>150600</v>
      </c>
      <c r="L64" s="20">
        <v>111063</v>
      </c>
      <c r="M64" s="20">
        <v>116108</v>
      </c>
      <c r="N64" s="20">
        <v>125782</v>
      </c>
      <c r="O64" s="20">
        <v>121265</v>
      </c>
      <c r="P64" s="20">
        <v>115610</v>
      </c>
      <c r="Q64" s="20">
        <v>111256</v>
      </c>
      <c r="R64" s="20"/>
      <c r="S64" s="20"/>
      <c r="T64" s="20"/>
      <c r="U64" s="20"/>
      <c r="V64" s="20"/>
      <c r="W64" s="20"/>
      <c r="X64" s="20"/>
      <c r="Y64" s="45"/>
      <c r="Z64" s="1"/>
      <c r="AA64" s="46">
        <f>SUM(K64:Y64)</f>
        <v>851684</v>
      </c>
      <c r="AB64" s="46">
        <f>SUM(K65:Y65)</f>
        <v>33420</v>
      </c>
      <c r="AC64" s="46">
        <f>SUM(K66:Y66)</f>
        <v>21114</v>
      </c>
      <c r="AD64" s="1"/>
      <c r="AE64" s="46">
        <f>AA64-B64</f>
        <v>0</v>
      </c>
      <c r="AF64" s="46">
        <f>AB64-C64</f>
        <v>0</v>
      </c>
      <c r="AG64" s="46">
        <f>AC64-D64</f>
        <v>0</v>
      </c>
      <c r="AH64" s="1"/>
      <c r="AI64" s="47">
        <f>C64/B64*1000</f>
        <v>39.239905880584821</v>
      </c>
      <c r="AJ64" s="47">
        <f>D64/B64*1000</f>
        <v>24.790884882186351</v>
      </c>
      <c r="AK64" s="1"/>
      <c r="AL64" s="47">
        <f>AI64-H64</f>
        <v>-6.009411941517584E-2</v>
      </c>
      <c r="AM64" s="47">
        <f>AJ64-I64</f>
        <v>-9.1151178136499311E-3</v>
      </c>
    </row>
    <row r="65" spans="1:39">
      <c r="A65" s="12" t="s">
        <v>66</v>
      </c>
      <c r="B65" s="13"/>
      <c r="C65" s="13"/>
      <c r="D65" s="13"/>
      <c r="E65" s="13"/>
      <c r="F65" s="13"/>
      <c r="G65" s="13"/>
      <c r="H65" s="14"/>
      <c r="I65" s="14"/>
      <c r="J65" s="14"/>
      <c r="K65" s="13">
        <v>5763</v>
      </c>
      <c r="L65" s="13">
        <v>3978</v>
      </c>
      <c r="M65" s="13">
        <v>4360</v>
      </c>
      <c r="N65" s="13">
        <v>6499</v>
      </c>
      <c r="O65" s="13">
        <v>4308</v>
      </c>
      <c r="P65" s="13">
        <v>4208</v>
      </c>
      <c r="Q65" s="13">
        <v>4304</v>
      </c>
      <c r="R65" s="13"/>
      <c r="S65" s="13"/>
      <c r="T65" s="13"/>
      <c r="U65" s="13"/>
      <c r="V65" s="13"/>
      <c r="W65" s="13"/>
      <c r="X65" s="13"/>
      <c r="Y65" s="48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2" t="s">
        <v>67</v>
      </c>
      <c r="B66" s="13"/>
      <c r="C66" s="13"/>
      <c r="D66" s="13"/>
      <c r="E66" s="13"/>
      <c r="F66" s="13"/>
      <c r="G66" s="13"/>
      <c r="H66" s="14"/>
      <c r="I66" s="14"/>
      <c r="J66" s="14"/>
      <c r="K66" s="13">
        <v>4507</v>
      </c>
      <c r="L66" s="13">
        <v>2715</v>
      </c>
      <c r="M66" s="13">
        <v>2607</v>
      </c>
      <c r="N66" s="13">
        <v>3725</v>
      </c>
      <c r="O66" s="13">
        <v>1530</v>
      </c>
      <c r="P66" s="13">
        <v>3145</v>
      </c>
      <c r="Q66" s="13">
        <v>2885</v>
      </c>
      <c r="R66" s="13"/>
      <c r="S66" s="13"/>
      <c r="T66" s="13"/>
      <c r="U66" s="13"/>
      <c r="V66" s="13"/>
      <c r="W66" s="13"/>
      <c r="X66" s="13"/>
      <c r="Y66" s="48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9" t="s">
        <v>68</v>
      </c>
      <c r="B67" s="20">
        <v>615968</v>
      </c>
      <c r="C67" s="20">
        <v>21767</v>
      </c>
      <c r="D67" s="20">
        <v>16281</v>
      </c>
      <c r="E67" s="20">
        <v>63619</v>
      </c>
      <c r="F67" s="20">
        <v>1106</v>
      </c>
      <c r="G67" s="20">
        <v>950</v>
      </c>
      <c r="H67" s="21">
        <v>35.299999999999997</v>
      </c>
      <c r="I67" s="21">
        <v>26.4</v>
      </c>
      <c r="J67" s="14"/>
      <c r="K67" s="20">
        <v>92510</v>
      </c>
      <c r="L67" s="20">
        <v>78034</v>
      </c>
      <c r="M67" s="20">
        <v>80434</v>
      </c>
      <c r="N67" s="20">
        <v>78863</v>
      </c>
      <c r="O67" s="20">
        <v>79097</v>
      </c>
      <c r="P67" s="20">
        <v>118594</v>
      </c>
      <c r="Q67" s="20">
        <v>88436</v>
      </c>
      <c r="R67" s="20"/>
      <c r="S67" s="20"/>
      <c r="T67" s="20"/>
      <c r="U67" s="20"/>
      <c r="V67" s="20"/>
      <c r="W67" s="20"/>
      <c r="X67" s="20"/>
      <c r="Y67" s="45"/>
      <c r="Z67" s="1"/>
      <c r="AA67" s="46">
        <f>SUM(K67:Y67)</f>
        <v>615968</v>
      </c>
      <c r="AB67" s="46">
        <f>SUM(K68:Y68)</f>
        <v>21467</v>
      </c>
      <c r="AC67" s="46">
        <f>SUM(K69:Y69)</f>
        <v>15981</v>
      </c>
      <c r="AD67" s="1"/>
      <c r="AE67" s="46">
        <f>AA67-B67</f>
        <v>0</v>
      </c>
      <c r="AF67" s="46">
        <f>AB67-C67</f>
        <v>-300</v>
      </c>
      <c r="AG67" s="46">
        <f>AC67-D67</f>
        <v>-300</v>
      </c>
      <c r="AH67" s="1"/>
      <c r="AI67" s="47">
        <f>C67/B67*1000</f>
        <v>35.337874694789342</v>
      </c>
      <c r="AJ67" s="47">
        <f>D67/B67*1000</f>
        <v>26.431567873655776</v>
      </c>
      <c r="AK67" s="1"/>
      <c r="AL67" s="47">
        <f>AI67-H67</f>
        <v>3.7874694789344687E-2</v>
      </c>
      <c r="AM67" s="47">
        <f>AJ67-I67</f>
        <v>3.1567873655777845E-2</v>
      </c>
    </row>
    <row r="68" spans="1:39">
      <c r="A68" s="12" t="s">
        <v>69</v>
      </c>
      <c r="B68" s="13"/>
      <c r="C68" s="13"/>
      <c r="D68" s="13"/>
      <c r="E68" s="13"/>
      <c r="F68" s="13"/>
      <c r="G68" s="13"/>
      <c r="H68" s="14"/>
      <c r="I68" s="14"/>
      <c r="J68" s="14"/>
      <c r="K68" s="13">
        <v>3282</v>
      </c>
      <c r="L68" s="13">
        <v>2178</v>
      </c>
      <c r="M68" s="13">
        <v>2836</v>
      </c>
      <c r="N68" s="13">
        <v>3052</v>
      </c>
      <c r="O68" s="13">
        <v>3068</v>
      </c>
      <c r="P68" s="13">
        <v>3522</v>
      </c>
      <c r="Q68" s="13">
        <v>3529</v>
      </c>
      <c r="R68" s="13"/>
      <c r="S68" s="13"/>
      <c r="T68" s="13"/>
      <c r="U68" s="13"/>
      <c r="V68" s="13"/>
      <c r="W68" s="13"/>
      <c r="X68" s="13"/>
      <c r="Y68" s="48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2" t="s">
        <v>70</v>
      </c>
      <c r="B69" s="13"/>
      <c r="C69" s="13"/>
      <c r="D69" s="13"/>
      <c r="E69" s="13"/>
      <c r="F69" s="13"/>
      <c r="G69" s="13"/>
      <c r="H69" s="14"/>
      <c r="I69" s="14"/>
      <c r="J69" s="14"/>
      <c r="K69" s="13">
        <v>2257</v>
      </c>
      <c r="L69" s="13">
        <v>1629</v>
      </c>
      <c r="M69" s="13">
        <v>2164</v>
      </c>
      <c r="N69" s="13">
        <v>2090</v>
      </c>
      <c r="O69" s="13">
        <v>2436</v>
      </c>
      <c r="P69" s="13">
        <v>2520</v>
      </c>
      <c r="Q69" s="13">
        <v>2885</v>
      </c>
      <c r="R69" s="13"/>
      <c r="S69" s="13"/>
      <c r="T69" s="13"/>
      <c r="U69" s="13"/>
      <c r="V69" s="13"/>
      <c r="W69" s="13"/>
      <c r="X69" s="13"/>
      <c r="Y69" s="48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9" t="s">
        <v>71</v>
      </c>
      <c r="B70" s="20">
        <v>788303</v>
      </c>
      <c r="C70" s="20">
        <v>30996</v>
      </c>
      <c r="D70" s="20">
        <v>18683</v>
      </c>
      <c r="E70" s="20">
        <v>76254</v>
      </c>
      <c r="F70" s="20">
        <v>2456</v>
      </c>
      <c r="G70" s="20">
        <v>1310</v>
      </c>
      <c r="H70" s="21">
        <v>39.9</v>
      </c>
      <c r="I70" s="21">
        <v>24.1</v>
      </c>
      <c r="J70" s="14"/>
      <c r="K70" s="20">
        <v>82707</v>
      </c>
      <c r="L70" s="20">
        <v>81278</v>
      </c>
      <c r="M70" s="20">
        <v>77953</v>
      </c>
      <c r="N70" s="20">
        <v>95163</v>
      </c>
      <c r="O70" s="20">
        <v>124289</v>
      </c>
      <c r="P70" s="20">
        <v>66080</v>
      </c>
      <c r="Q70" s="20">
        <v>104498</v>
      </c>
      <c r="R70" s="20">
        <v>83608</v>
      </c>
      <c r="S70" s="20">
        <v>72727</v>
      </c>
      <c r="T70" s="20"/>
      <c r="U70" s="20"/>
      <c r="V70" s="20"/>
      <c r="W70" s="20"/>
      <c r="X70" s="20"/>
      <c r="Y70" s="45"/>
      <c r="Z70" s="1"/>
      <c r="AA70" s="46">
        <f>SUM(K70:Y70)</f>
        <v>788303</v>
      </c>
      <c r="AB70" s="46">
        <f>SUM(K71:Y71)</f>
        <v>30996</v>
      </c>
      <c r="AC70" s="46">
        <f>SUM(K72:Y72)</f>
        <v>18783</v>
      </c>
      <c r="AD70" s="1"/>
      <c r="AE70" s="46">
        <f>AA70-B70</f>
        <v>0</v>
      </c>
      <c r="AF70" s="46">
        <f>AB70-C70</f>
        <v>0</v>
      </c>
      <c r="AG70" s="46">
        <f>AC70-D70</f>
        <v>100</v>
      </c>
      <c r="AH70" s="1"/>
      <c r="AI70" s="47">
        <f>C70/B70*1000</f>
        <v>39.319906178208122</v>
      </c>
      <c r="AJ70" s="47">
        <f>D70/B70*1000</f>
        <v>23.700277685103316</v>
      </c>
      <c r="AK70" s="1"/>
      <c r="AL70" s="47">
        <f>AI70-H70</f>
        <v>-0.58009382179187696</v>
      </c>
      <c r="AM70" s="47">
        <f>AJ70-I70</f>
        <v>-0.3997223148966853</v>
      </c>
    </row>
    <row r="71" spans="1:39">
      <c r="A71" s="12" t="s">
        <v>72</v>
      </c>
      <c r="B71" s="13"/>
      <c r="C71" s="13"/>
      <c r="D71" s="13"/>
      <c r="E71" s="13"/>
      <c r="F71" s="13"/>
      <c r="G71" s="13"/>
      <c r="H71" s="14"/>
      <c r="I71" s="14"/>
      <c r="J71" s="14"/>
      <c r="K71" s="13">
        <v>2953</v>
      </c>
      <c r="L71" s="13">
        <v>3711</v>
      </c>
      <c r="M71" s="13">
        <v>2649</v>
      </c>
      <c r="N71" s="13">
        <v>4028</v>
      </c>
      <c r="O71" s="13">
        <v>5178</v>
      </c>
      <c r="P71" s="13">
        <v>1891</v>
      </c>
      <c r="Q71" s="13">
        <v>4730</v>
      </c>
      <c r="R71" s="13">
        <v>3573</v>
      </c>
      <c r="S71" s="13">
        <v>2283</v>
      </c>
      <c r="T71" s="13"/>
      <c r="U71" s="13"/>
      <c r="V71" s="13"/>
      <c r="W71" s="13"/>
      <c r="X71" s="13"/>
      <c r="Y71" s="48"/>
      <c r="Z71" s="1"/>
      <c r="AA71" s="66"/>
      <c r="AB71" s="66"/>
      <c r="AC71" s="66"/>
      <c r="AD71" s="1"/>
      <c r="AE71" s="66"/>
      <c r="AF71" s="66"/>
      <c r="AG71" s="66"/>
      <c r="AH71" s="1"/>
      <c r="AI71" s="67"/>
      <c r="AJ71" s="67"/>
      <c r="AK71" s="1"/>
      <c r="AL71" s="67"/>
      <c r="AM71" s="67"/>
    </row>
    <row r="72" spans="1:39">
      <c r="A72" s="12" t="s">
        <v>73</v>
      </c>
      <c r="B72" s="13"/>
      <c r="C72" s="13"/>
      <c r="D72" s="13"/>
      <c r="E72" s="13"/>
      <c r="F72" s="13"/>
      <c r="G72" s="13"/>
      <c r="H72" s="14"/>
      <c r="I72" s="14"/>
      <c r="J72" s="14"/>
      <c r="K72" s="13">
        <v>1669</v>
      </c>
      <c r="L72" s="13">
        <v>2156</v>
      </c>
      <c r="M72" s="13">
        <v>1403</v>
      </c>
      <c r="N72" s="13">
        <v>2866</v>
      </c>
      <c r="O72" s="13">
        <v>3137</v>
      </c>
      <c r="P72" s="13">
        <v>1181</v>
      </c>
      <c r="Q72" s="13">
        <v>2525</v>
      </c>
      <c r="R72" s="13">
        <v>2422</v>
      </c>
      <c r="S72" s="13">
        <v>1424</v>
      </c>
      <c r="T72" s="13"/>
      <c r="U72" s="13"/>
      <c r="V72" s="13"/>
      <c r="W72" s="13"/>
      <c r="X72" s="13"/>
      <c r="Y72" s="48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6" t="s">
        <v>74</v>
      </c>
      <c r="B73" s="17">
        <v>9717998</v>
      </c>
      <c r="C73" s="17">
        <v>384710</v>
      </c>
      <c r="D73" s="17">
        <v>239829</v>
      </c>
      <c r="E73" s="17"/>
      <c r="F73" s="17"/>
      <c r="G73" s="17"/>
      <c r="H73" s="18">
        <v>37.700000000000003</v>
      </c>
      <c r="I73" s="18">
        <v>23.9</v>
      </c>
      <c r="J73" s="14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49"/>
      <c r="Z73" s="1"/>
      <c r="AA73" s="70">
        <f>SUM(AA42:AA72)</f>
        <v>9656122</v>
      </c>
      <c r="AB73" s="70">
        <f>SUM(AB42:AB72)</f>
        <v>383268</v>
      </c>
      <c r="AC73" s="70">
        <f>SUM(AC42:AC72)</f>
        <v>238286</v>
      </c>
      <c r="AD73" s="1"/>
      <c r="AE73" s="70">
        <f t="shared" ref="AE73:AG74" si="1">AA73-B73</f>
        <v>-61876</v>
      </c>
      <c r="AF73" s="70">
        <f t="shared" si="1"/>
        <v>-1442</v>
      </c>
      <c r="AG73" s="70">
        <f t="shared" si="1"/>
        <v>-1543</v>
      </c>
      <c r="AH73" s="1"/>
      <c r="AI73" s="71">
        <f>C73/B73*1000</f>
        <v>39.587371802299195</v>
      </c>
      <c r="AJ73" s="71">
        <f>D73/B73*1000</f>
        <v>24.678848462409643</v>
      </c>
      <c r="AK73" s="1"/>
      <c r="AL73" s="71">
        <f>AI73-H73</f>
        <v>1.8873718022991923</v>
      </c>
      <c r="AM73" s="71">
        <f>AJ73-I73</f>
        <v>0.77884846240964478</v>
      </c>
    </row>
    <row r="74" spans="1:39">
      <c r="A74" s="19" t="s">
        <v>75</v>
      </c>
      <c r="B74" s="20">
        <v>739610</v>
      </c>
      <c r="C74" s="20">
        <v>19246</v>
      </c>
      <c r="D74" s="20">
        <v>13253</v>
      </c>
      <c r="E74" s="20">
        <v>122966</v>
      </c>
      <c r="F74" s="20">
        <v>4044</v>
      </c>
      <c r="G74" s="20">
        <v>3290</v>
      </c>
      <c r="H74" s="21">
        <v>26.2</v>
      </c>
      <c r="I74" s="21">
        <v>18.100000000000001</v>
      </c>
      <c r="J74" s="14"/>
      <c r="K74" s="20">
        <v>109158</v>
      </c>
      <c r="L74" s="20">
        <v>60416</v>
      </c>
      <c r="M74" s="20">
        <v>52485</v>
      </c>
      <c r="N74" s="20">
        <v>62921</v>
      </c>
      <c r="O74" s="20">
        <v>76480</v>
      </c>
      <c r="P74" s="20">
        <v>97404</v>
      </c>
      <c r="Q74" s="20">
        <v>80511</v>
      </c>
      <c r="R74" s="20">
        <v>72747</v>
      </c>
      <c r="S74" s="20">
        <v>55280</v>
      </c>
      <c r="T74" s="20">
        <v>72208</v>
      </c>
      <c r="U74" s="20"/>
      <c r="V74" s="20"/>
      <c r="W74" s="20"/>
      <c r="X74" s="20"/>
      <c r="Y74" s="45"/>
      <c r="Z74" s="1"/>
      <c r="AA74" s="46">
        <f>SUM(K74:Y74)</f>
        <v>739610</v>
      </c>
      <c r="AB74" s="46">
        <f>SUM(K75:Y75)</f>
        <v>19246</v>
      </c>
      <c r="AC74" s="46">
        <f>SUM(K76:Y76)</f>
        <v>13253</v>
      </c>
      <c r="AD74" s="1"/>
      <c r="AE74" s="46">
        <f t="shared" si="1"/>
        <v>0</v>
      </c>
      <c r="AF74" s="46">
        <f t="shared" si="1"/>
        <v>0</v>
      </c>
      <c r="AG74" s="46">
        <f t="shared" si="1"/>
        <v>0</v>
      </c>
      <c r="AH74" s="1"/>
      <c r="AI74" s="47">
        <f>C74/B74*1000</f>
        <v>26.0218223117589</v>
      </c>
      <c r="AJ74" s="47">
        <f>D74/B74*1000</f>
        <v>17.918903205743568</v>
      </c>
      <c r="AK74" s="1"/>
      <c r="AL74" s="47">
        <f>AI74-H74</f>
        <v>-0.17817768824109947</v>
      </c>
      <c r="AM74" s="47">
        <f>AJ74-I74</f>
        <v>-0.18109679425643321</v>
      </c>
    </row>
    <row r="75" spans="1:39">
      <c r="A75" s="12" t="s">
        <v>76</v>
      </c>
      <c r="B75" s="13"/>
      <c r="C75" s="13"/>
      <c r="D75" s="13"/>
      <c r="E75" s="13"/>
      <c r="F75" s="13"/>
      <c r="G75" s="13"/>
      <c r="H75" s="14"/>
      <c r="I75" s="14"/>
      <c r="J75" s="14"/>
      <c r="K75" s="13">
        <v>2480</v>
      </c>
      <c r="L75" s="13">
        <v>1328</v>
      </c>
      <c r="M75" s="13">
        <v>1335</v>
      </c>
      <c r="N75" s="13">
        <v>1624</v>
      </c>
      <c r="O75" s="13">
        <v>2033</v>
      </c>
      <c r="P75" s="13">
        <v>3696</v>
      </c>
      <c r="Q75" s="13">
        <v>2050</v>
      </c>
      <c r="R75" s="13">
        <v>1670</v>
      </c>
      <c r="S75" s="13">
        <v>1239</v>
      </c>
      <c r="T75" s="13">
        <v>1791</v>
      </c>
      <c r="U75" s="13"/>
      <c r="V75" s="13"/>
      <c r="W75" s="13"/>
      <c r="X75" s="13"/>
      <c r="Y75" s="48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2" t="s">
        <v>77</v>
      </c>
      <c r="B76" s="13"/>
      <c r="C76" s="13"/>
      <c r="D76" s="13"/>
      <c r="E76" s="13"/>
      <c r="F76" s="13"/>
      <c r="G76" s="13"/>
      <c r="H76" s="14"/>
      <c r="I76" s="14"/>
      <c r="J76" s="14"/>
      <c r="K76" s="13">
        <v>1945</v>
      </c>
      <c r="L76" s="13">
        <v>1138</v>
      </c>
      <c r="M76" s="13">
        <v>1031</v>
      </c>
      <c r="N76" s="13">
        <v>390</v>
      </c>
      <c r="O76" s="13">
        <v>1446</v>
      </c>
      <c r="P76" s="13">
        <v>2567</v>
      </c>
      <c r="Q76" s="13">
        <v>1420</v>
      </c>
      <c r="R76" s="13">
        <v>1119</v>
      </c>
      <c r="S76" s="13">
        <v>827</v>
      </c>
      <c r="T76" s="13">
        <v>1370</v>
      </c>
      <c r="U76" s="13"/>
      <c r="V76" s="13"/>
      <c r="W76" s="13"/>
      <c r="X76" s="13"/>
      <c r="Y76" s="48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9" t="s">
        <v>78</v>
      </c>
      <c r="B77" s="20">
        <v>1306412</v>
      </c>
      <c r="C77" s="20">
        <v>35501</v>
      </c>
      <c r="D77" s="20">
        <v>24900</v>
      </c>
      <c r="E77" s="22" t="s">
        <v>9</v>
      </c>
      <c r="F77" s="22" t="s">
        <v>9</v>
      </c>
      <c r="G77" s="22" t="s">
        <v>9</v>
      </c>
      <c r="H77" s="21">
        <v>27.2</v>
      </c>
      <c r="I77" s="21">
        <v>19.100000000000001</v>
      </c>
      <c r="J77" s="23"/>
      <c r="K77" s="20">
        <v>332362</v>
      </c>
      <c r="L77" s="20">
        <v>126553</v>
      </c>
      <c r="M77" s="20">
        <v>137971</v>
      </c>
      <c r="N77" s="20">
        <v>105717</v>
      </c>
      <c r="O77" s="20">
        <v>127433</v>
      </c>
      <c r="P77" s="20">
        <v>106372</v>
      </c>
      <c r="Q77" s="20">
        <v>104813</v>
      </c>
      <c r="R77" s="20">
        <v>62918</v>
      </c>
      <c r="S77" s="20">
        <v>202273</v>
      </c>
      <c r="T77" s="20"/>
      <c r="U77" s="20"/>
      <c r="V77" s="20"/>
      <c r="W77" s="20"/>
      <c r="X77" s="20"/>
      <c r="Y77" s="45"/>
      <c r="Z77" s="1"/>
      <c r="AA77" s="46">
        <f>SUM(K77:Y77)</f>
        <v>1306412</v>
      </c>
      <c r="AB77" s="46">
        <f>SUM(K78:Y78)</f>
        <v>35501</v>
      </c>
      <c r="AC77" s="46">
        <f>SUM(K79:Y79)</f>
        <v>24900</v>
      </c>
      <c r="AD77" s="1"/>
      <c r="AE77" s="46">
        <f>AA77-B77</f>
        <v>0</v>
      </c>
      <c r="AF77" s="46">
        <f>AB77-C77</f>
        <v>0</v>
      </c>
      <c r="AG77" s="46">
        <f>AC77-D77</f>
        <v>0</v>
      </c>
      <c r="AH77" s="1"/>
      <c r="AI77" s="47">
        <f>C77/B77*1000</f>
        <v>27.174428893794609</v>
      </c>
      <c r="AJ77" s="47">
        <f>D77/B77*1000</f>
        <v>19.059837172346857</v>
      </c>
      <c r="AK77" s="1"/>
      <c r="AL77" s="47">
        <f>AI77-H77</f>
        <v>-2.5571106205390493E-2</v>
      </c>
      <c r="AM77" s="47">
        <f>AJ77-I77</f>
        <v>-4.0162827653144717E-2</v>
      </c>
    </row>
    <row r="78" spans="1:39">
      <c r="A78" s="12" t="s">
        <v>79</v>
      </c>
      <c r="B78" s="13"/>
      <c r="C78" s="13"/>
      <c r="D78" s="13"/>
      <c r="E78" s="13"/>
      <c r="F78" s="13"/>
      <c r="G78" s="13"/>
      <c r="H78" s="14"/>
      <c r="I78" s="14"/>
      <c r="J78" s="14"/>
      <c r="K78" s="13">
        <v>9986</v>
      </c>
      <c r="L78" s="13">
        <v>3575</v>
      </c>
      <c r="M78" s="13">
        <v>3025</v>
      </c>
      <c r="N78" s="13">
        <v>3172</v>
      </c>
      <c r="O78" s="13">
        <v>3392</v>
      </c>
      <c r="P78" s="13">
        <v>2686</v>
      </c>
      <c r="Q78" s="13">
        <v>2538</v>
      </c>
      <c r="R78" s="13">
        <v>1677</v>
      </c>
      <c r="S78" s="13">
        <v>5450</v>
      </c>
      <c r="T78" s="13"/>
      <c r="U78" s="13"/>
      <c r="V78" s="13"/>
      <c r="W78" s="13"/>
      <c r="X78" s="13"/>
      <c r="Y78" s="48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2" t="s">
        <v>80</v>
      </c>
      <c r="B79" s="13"/>
      <c r="C79" s="13"/>
      <c r="D79" s="13"/>
      <c r="E79" s="13"/>
      <c r="F79" s="13"/>
      <c r="G79" s="13"/>
      <c r="H79" s="14"/>
      <c r="I79" s="14"/>
      <c r="J79" s="14"/>
      <c r="K79" s="13">
        <v>7082</v>
      </c>
      <c r="L79" s="13">
        <v>2491</v>
      </c>
      <c r="M79" s="13">
        <v>2323</v>
      </c>
      <c r="N79" s="13">
        <v>2093</v>
      </c>
      <c r="O79" s="13">
        <v>2153</v>
      </c>
      <c r="P79" s="13">
        <v>1714</v>
      </c>
      <c r="Q79" s="13">
        <v>2061</v>
      </c>
      <c r="R79" s="13">
        <v>1140</v>
      </c>
      <c r="S79" s="13">
        <v>3843</v>
      </c>
      <c r="T79" s="13"/>
      <c r="U79" s="13"/>
      <c r="V79" s="13"/>
      <c r="W79" s="13"/>
      <c r="X79" s="13"/>
      <c r="Y79" s="48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9" t="s">
        <v>81</v>
      </c>
      <c r="B80" s="20">
        <v>417975</v>
      </c>
      <c r="C80" s="20">
        <v>11336</v>
      </c>
      <c r="D80" s="20">
        <v>9022</v>
      </c>
      <c r="E80" s="22" t="s">
        <v>9</v>
      </c>
      <c r="F80" s="22" t="s">
        <v>9</v>
      </c>
      <c r="G80" s="22" t="s">
        <v>9</v>
      </c>
      <c r="H80" s="21">
        <v>27.1</v>
      </c>
      <c r="I80" s="21">
        <v>21.8</v>
      </c>
      <c r="J80" s="23"/>
      <c r="K80" s="20">
        <v>151222</v>
      </c>
      <c r="L80" s="20">
        <v>124946</v>
      </c>
      <c r="M80" s="20">
        <v>55472</v>
      </c>
      <c r="N80" s="20">
        <v>86335</v>
      </c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45"/>
      <c r="Z80" s="1"/>
      <c r="AA80" s="46">
        <f>SUM(K80:Y80)</f>
        <v>417975</v>
      </c>
      <c r="AB80" s="46">
        <f>SUM(K81:Y81)</f>
        <v>11336</v>
      </c>
      <c r="AC80" s="46">
        <f>SUM(K82:Y82)</f>
        <v>9022</v>
      </c>
      <c r="AD80" s="1"/>
      <c r="AE80" s="46">
        <f>AA80-B80</f>
        <v>0</v>
      </c>
      <c r="AF80" s="46">
        <f>AB80-C80</f>
        <v>0</v>
      </c>
      <c r="AG80" s="46">
        <f>AC80-D80</f>
        <v>0</v>
      </c>
      <c r="AH80" s="1"/>
      <c r="AI80" s="47">
        <f>C80/B80*1000</f>
        <v>27.121239308571088</v>
      </c>
      <c r="AJ80" s="47">
        <f>D80/B80*1000</f>
        <v>21.585023027693044</v>
      </c>
      <c r="AK80" s="1"/>
      <c r="AL80" s="47">
        <f>AI80-H80</f>
        <v>2.1239308571086468E-2</v>
      </c>
      <c r="AM80" s="47">
        <f>AJ80-I80</f>
        <v>-0.21497697230695678</v>
      </c>
    </row>
    <row r="81" spans="1:39">
      <c r="A81" s="12" t="s">
        <v>82</v>
      </c>
      <c r="B81" s="13"/>
      <c r="C81" s="13"/>
      <c r="D81" s="13"/>
      <c r="E81" s="13"/>
      <c r="F81" s="13"/>
      <c r="G81" s="13"/>
      <c r="H81" s="14"/>
      <c r="I81" s="14"/>
      <c r="J81" s="14"/>
      <c r="K81" s="13">
        <v>4138</v>
      </c>
      <c r="L81" s="13">
        <v>3637</v>
      </c>
      <c r="M81" s="13">
        <v>1415</v>
      </c>
      <c r="N81" s="13">
        <v>2146</v>
      </c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48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2" t="s">
        <v>83</v>
      </c>
      <c r="B82" s="13"/>
      <c r="C82" s="13"/>
      <c r="D82" s="13"/>
      <c r="E82" s="13"/>
      <c r="F82" s="13"/>
      <c r="G82" s="13"/>
      <c r="H82" s="14"/>
      <c r="I82" s="14"/>
      <c r="J82" s="14"/>
      <c r="K82" s="13">
        <v>3382</v>
      </c>
      <c r="L82" s="13">
        <v>2513</v>
      </c>
      <c r="M82" s="13">
        <v>1476</v>
      </c>
      <c r="N82" s="13">
        <v>1651</v>
      </c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48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6" t="s">
        <v>84</v>
      </c>
      <c r="B83" s="17">
        <v>2463997</v>
      </c>
      <c r="C83" s="17">
        <v>66083</v>
      </c>
      <c r="D83" s="17">
        <v>47175</v>
      </c>
      <c r="E83" s="17"/>
      <c r="F83" s="17"/>
      <c r="G83" s="17"/>
      <c r="H83" s="18">
        <v>26.9</v>
      </c>
      <c r="I83" s="18">
        <v>19.2</v>
      </c>
      <c r="J83" s="14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49"/>
      <c r="Z83" s="1"/>
      <c r="AA83" s="70">
        <f>SUM(AA74:AA82)</f>
        <v>2463997</v>
      </c>
      <c r="AB83" s="70">
        <f>SUM(AB74:AB82)</f>
        <v>66083</v>
      </c>
      <c r="AC83" s="70">
        <f>SUM(AC74:AC82)</f>
        <v>47175</v>
      </c>
      <c r="AD83" s="1"/>
      <c r="AE83" s="70">
        <f t="shared" ref="AE83:AG84" si="2">AA83-B83</f>
        <v>0</v>
      </c>
      <c r="AF83" s="70">
        <f t="shared" si="2"/>
        <v>0</v>
      </c>
      <c r="AG83" s="70">
        <f t="shared" si="2"/>
        <v>0</v>
      </c>
      <c r="AH83" s="1"/>
      <c r="AI83" s="71">
        <f>C83/B83*1000</f>
        <v>26.819432004178577</v>
      </c>
      <c r="AJ83" s="71">
        <f>D83/B83*1000</f>
        <v>19.145721362485425</v>
      </c>
      <c r="AK83" s="1"/>
      <c r="AL83" s="71">
        <f>AI83-H83</f>
        <v>-8.0567995821422045E-2</v>
      </c>
      <c r="AM83" s="71">
        <f>AJ83-I83</f>
        <v>-5.4278637514574513E-2</v>
      </c>
    </row>
    <row r="84" spans="1:39">
      <c r="A84" s="37" t="s">
        <v>85</v>
      </c>
      <c r="B84" s="38">
        <v>1796420</v>
      </c>
      <c r="C84" s="38">
        <v>88202</v>
      </c>
      <c r="D84" s="38">
        <v>49348</v>
      </c>
      <c r="E84" s="38">
        <v>300838</v>
      </c>
      <c r="F84" s="38">
        <v>9707</v>
      </c>
      <c r="G84" s="38">
        <v>6436</v>
      </c>
      <c r="H84" s="39">
        <v>49.1</v>
      </c>
      <c r="I84" s="39">
        <v>27.5</v>
      </c>
      <c r="J84" s="14"/>
      <c r="K84" s="38">
        <v>269361</v>
      </c>
      <c r="L84" s="38">
        <v>294509</v>
      </c>
      <c r="M84" s="38">
        <v>180045</v>
      </c>
      <c r="N84" s="38">
        <v>187320</v>
      </c>
      <c r="O84" s="38">
        <v>214775</v>
      </c>
      <c r="P84" s="38">
        <v>183227</v>
      </c>
      <c r="Q84" s="38">
        <v>190792</v>
      </c>
      <c r="R84" s="38">
        <v>276391</v>
      </c>
      <c r="S84" s="38"/>
      <c r="T84" s="38"/>
      <c r="U84" s="38"/>
      <c r="V84" s="38"/>
      <c r="W84" s="38"/>
      <c r="X84" s="38"/>
      <c r="Y84" s="38"/>
      <c r="Z84" s="1"/>
      <c r="AA84" s="46">
        <f>SUM(K84:Y84)</f>
        <v>1796420</v>
      </c>
      <c r="AB84" s="46">
        <f>SUM(K85:Y85)</f>
        <v>88202</v>
      </c>
      <c r="AC84" s="46">
        <f>SUM(K86:Y86)</f>
        <v>49348</v>
      </c>
      <c r="AD84" s="1"/>
      <c r="AE84" s="46">
        <f t="shared" si="2"/>
        <v>0</v>
      </c>
      <c r="AF84" s="46">
        <f t="shared" si="2"/>
        <v>0</v>
      </c>
      <c r="AG84" s="46">
        <f t="shared" si="2"/>
        <v>0</v>
      </c>
      <c r="AH84" s="1"/>
      <c r="AI84" s="47">
        <f>C84/B84*1000</f>
        <v>49.098763095489922</v>
      </c>
      <c r="AJ84" s="47">
        <f>D84/B84*1000</f>
        <v>27.470190712639585</v>
      </c>
      <c r="AK84" s="1"/>
      <c r="AL84" s="47">
        <f>AI84-H84</f>
        <v>-1.2369045100797393E-3</v>
      </c>
      <c r="AM84" s="47">
        <f>AJ84-I84</f>
        <v>-2.9809287360414771E-2</v>
      </c>
    </row>
    <row r="85" spans="1:39">
      <c r="A85" s="40" t="s">
        <v>86</v>
      </c>
      <c r="B85" s="15"/>
      <c r="C85" s="15"/>
      <c r="D85" s="15"/>
      <c r="E85" s="15"/>
      <c r="F85" s="15"/>
      <c r="G85" s="15"/>
      <c r="H85" s="14"/>
      <c r="I85" s="14"/>
      <c r="J85" s="11"/>
      <c r="K85" s="13">
        <v>10927</v>
      </c>
      <c r="L85" s="13">
        <v>13071</v>
      </c>
      <c r="M85" s="13">
        <v>8934</v>
      </c>
      <c r="N85" s="13">
        <v>13934</v>
      </c>
      <c r="O85" s="13">
        <v>10674</v>
      </c>
      <c r="P85" s="13">
        <v>8990</v>
      </c>
      <c r="Q85" s="13">
        <v>9729</v>
      </c>
      <c r="R85" s="13">
        <v>11943</v>
      </c>
      <c r="S85" s="13"/>
      <c r="T85" s="13"/>
      <c r="U85" s="13"/>
      <c r="V85" s="13"/>
      <c r="W85" s="13"/>
      <c r="X85" s="13"/>
      <c r="Y85" s="13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40" t="s">
        <v>87</v>
      </c>
      <c r="B86" s="15"/>
      <c r="C86" s="15"/>
      <c r="D86" s="15"/>
      <c r="E86" s="15"/>
      <c r="F86" s="15"/>
      <c r="G86" s="15"/>
      <c r="H86" s="14"/>
      <c r="I86" s="14"/>
      <c r="J86" s="11"/>
      <c r="K86" s="13">
        <v>7550</v>
      </c>
      <c r="L86" s="13">
        <v>7285</v>
      </c>
      <c r="M86" s="13">
        <v>4972</v>
      </c>
      <c r="N86" s="13">
        <v>5311</v>
      </c>
      <c r="O86" s="13">
        <v>7058</v>
      </c>
      <c r="P86" s="13">
        <v>5034</v>
      </c>
      <c r="Q86" s="13">
        <v>5809</v>
      </c>
      <c r="R86" s="13">
        <v>6329</v>
      </c>
      <c r="S86" s="13"/>
      <c r="T86" s="13"/>
      <c r="U86" s="13"/>
      <c r="V86" s="13"/>
      <c r="W86" s="13"/>
      <c r="X86" s="13"/>
      <c r="Y86" s="13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37" t="s">
        <v>88</v>
      </c>
      <c r="B87" s="38">
        <v>1511063</v>
      </c>
      <c r="C87" s="38">
        <v>78895</v>
      </c>
      <c r="D87" s="38">
        <v>56689</v>
      </c>
      <c r="E87" s="38">
        <v>135386</v>
      </c>
      <c r="F87" s="38">
        <v>7639</v>
      </c>
      <c r="G87" s="38">
        <v>6446</v>
      </c>
      <c r="H87" s="39">
        <v>52.2</v>
      </c>
      <c r="I87" s="39">
        <v>37.5</v>
      </c>
      <c r="J87" s="14"/>
      <c r="K87" s="38">
        <v>154051</v>
      </c>
      <c r="L87" s="38">
        <v>103607</v>
      </c>
      <c r="M87" s="38">
        <v>90679</v>
      </c>
      <c r="N87" s="38">
        <v>107680</v>
      </c>
      <c r="O87" s="38">
        <v>122271</v>
      </c>
      <c r="P87" s="38">
        <v>135232</v>
      </c>
      <c r="Q87" s="38">
        <v>120757</v>
      </c>
      <c r="R87" s="38">
        <v>93317</v>
      </c>
      <c r="S87" s="38">
        <v>122007</v>
      </c>
      <c r="T87" s="38">
        <v>86632</v>
      </c>
      <c r="U87" s="38">
        <v>117902</v>
      </c>
      <c r="V87" s="38">
        <v>148335</v>
      </c>
      <c r="W87" s="38">
        <v>103593</v>
      </c>
      <c r="X87" s="38"/>
      <c r="Y87" s="38"/>
      <c r="Z87" s="1"/>
      <c r="AA87" s="46">
        <f>SUM(K87:Y87)</f>
        <v>1506063</v>
      </c>
      <c r="AB87" s="46">
        <f>SUM(K88:Y88)</f>
        <v>78895</v>
      </c>
      <c r="AC87" s="46">
        <f>SUM(K89:Y89)</f>
        <v>56689</v>
      </c>
      <c r="AD87" s="1"/>
      <c r="AE87" s="46">
        <f>AA87-B87</f>
        <v>-5000</v>
      </c>
      <c r="AF87" s="46">
        <f>AB87-C87</f>
        <v>0</v>
      </c>
      <c r="AG87" s="46">
        <f>AC87-D87</f>
        <v>0</v>
      </c>
      <c r="AH87" s="1"/>
      <c r="AI87" s="47">
        <f>C87/B87*1000</f>
        <v>52.211588795437386</v>
      </c>
      <c r="AJ87" s="47">
        <f>D87/B87*1000</f>
        <v>37.515973854167562</v>
      </c>
      <c r="AK87" s="1"/>
      <c r="AL87" s="47">
        <f>AI87-H87</f>
        <v>1.1588795437383226E-2</v>
      </c>
      <c r="AM87" s="47">
        <f>AJ87-I87</f>
        <v>1.5973854167562251E-2</v>
      </c>
    </row>
    <row r="88" spans="1:39">
      <c r="A88" s="40" t="s">
        <v>89</v>
      </c>
      <c r="B88" s="15"/>
      <c r="C88" s="15"/>
      <c r="D88" s="15"/>
      <c r="E88" s="15"/>
      <c r="F88" s="15"/>
      <c r="G88" s="15"/>
      <c r="H88" s="14"/>
      <c r="I88" s="14"/>
      <c r="J88" s="11"/>
      <c r="K88" s="13">
        <v>7864</v>
      </c>
      <c r="L88" s="13">
        <v>5663</v>
      </c>
      <c r="M88" s="13">
        <v>4292</v>
      </c>
      <c r="N88" s="13">
        <v>4446</v>
      </c>
      <c r="O88" s="13">
        <v>5764</v>
      </c>
      <c r="P88" s="13">
        <v>7512</v>
      </c>
      <c r="Q88" s="13">
        <v>6589</v>
      </c>
      <c r="R88" s="13">
        <v>4818</v>
      </c>
      <c r="S88" s="13">
        <v>8220</v>
      </c>
      <c r="T88" s="13">
        <v>4851</v>
      </c>
      <c r="U88" s="13">
        <v>6226</v>
      </c>
      <c r="V88" s="13">
        <v>7270</v>
      </c>
      <c r="W88" s="13">
        <v>5380</v>
      </c>
      <c r="X88" s="13"/>
      <c r="Y88" s="13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40" t="s">
        <v>90</v>
      </c>
      <c r="B89" s="15"/>
      <c r="C89" s="15"/>
      <c r="D89" s="15"/>
      <c r="E89" s="15"/>
      <c r="F89" s="15"/>
      <c r="G89" s="15"/>
      <c r="H89" s="14"/>
      <c r="I89" s="14"/>
      <c r="J89" s="11"/>
      <c r="K89" s="13">
        <v>5450</v>
      </c>
      <c r="L89" s="13">
        <v>3998</v>
      </c>
      <c r="M89" s="13">
        <v>3201</v>
      </c>
      <c r="N89" s="13">
        <v>3319</v>
      </c>
      <c r="O89" s="13">
        <v>4375</v>
      </c>
      <c r="P89" s="13">
        <v>5104</v>
      </c>
      <c r="Q89" s="13">
        <v>4769</v>
      </c>
      <c r="R89" s="13">
        <v>3241</v>
      </c>
      <c r="S89" s="13">
        <v>5888</v>
      </c>
      <c r="T89" s="13">
        <v>3204</v>
      </c>
      <c r="U89" s="13">
        <v>4250</v>
      </c>
      <c r="V89" s="13">
        <v>5956</v>
      </c>
      <c r="W89" s="13">
        <v>3934</v>
      </c>
      <c r="X89" s="13"/>
      <c r="Y89" s="13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37" t="s">
        <v>91</v>
      </c>
      <c r="B90" s="38">
        <v>1362000</v>
      </c>
      <c r="C90" s="38">
        <v>57648</v>
      </c>
      <c r="D90" s="38">
        <v>38313</v>
      </c>
      <c r="E90" s="38">
        <v>47338</v>
      </c>
      <c r="F90" s="38">
        <v>1756</v>
      </c>
      <c r="G90" s="38">
        <v>1386</v>
      </c>
      <c r="H90" s="39">
        <v>42.3</v>
      </c>
      <c r="I90" s="39">
        <v>28.1</v>
      </c>
      <c r="J90" s="14"/>
      <c r="K90" s="38">
        <v>174631</v>
      </c>
      <c r="L90" s="38">
        <v>107562</v>
      </c>
      <c r="M90" s="38">
        <v>110820</v>
      </c>
      <c r="N90" s="38">
        <v>190787</v>
      </c>
      <c r="O90" s="38">
        <v>195671</v>
      </c>
      <c r="P90" s="38">
        <v>125785</v>
      </c>
      <c r="Q90" s="38">
        <v>155897</v>
      </c>
      <c r="R90" s="38">
        <v>106408</v>
      </c>
      <c r="S90" s="38">
        <v>143953</v>
      </c>
      <c r="T90" s="38">
        <v>50484</v>
      </c>
      <c r="U90" s="38"/>
      <c r="V90" s="38"/>
      <c r="W90" s="38"/>
      <c r="X90" s="38"/>
      <c r="Y90" s="38"/>
      <c r="Z90" s="1"/>
      <c r="AA90" s="46">
        <f>SUM(K90:Y90)</f>
        <v>1361998</v>
      </c>
      <c r="AB90" s="46">
        <f>SUM(K91:Y91)</f>
        <v>57648</v>
      </c>
      <c r="AC90" s="46">
        <f>SUM(K92:Y92)</f>
        <v>38313</v>
      </c>
      <c r="AD90" s="1"/>
      <c r="AE90" s="46">
        <f>AA90-B90</f>
        <v>-2</v>
      </c>
      <c r="AF90" s="46">
        <f>AB90-C90</f>
        <v>0</v>
      </c>
      <c r="AG90" s="46">
        <f>AC90-D90</f>
        <v>0</v>
      </c>
      <c r="AH90" s="1"/>
      <c r="AI90" s="47">
        <f>C90/B90*1000</f>
        <v>42.325991189427313</v>
      </c>
      <c r="AJ90" s="47">
        <f>D90/B90*1000</f>
        <v>28.129955947136565</v>
      </c>
      <c r="AK90" s="1"/>
      <c r="AL90" s="47">
        <f>AI90-H90</f>
        <v>2.5991189427315931E-2</v>
      </c>
      <c r="AM90" s="47">
        <f>AJ90-I90</f>
        <v>2.9955947136564021E-2</v>
      </c>
    </row>
    <row r="91" spans="1:39">
      <c r="A91" s="40" t="s">
        <v>92</v>
      </c>
      <c r="B91" s="15"/>
      <c r="C91" s="15"/>
      <c r="D91" s="15"/>
      <c r="E91" s="15"/>
      <c r="F91" s="15"/>
      <c r="G91" s="15"/>
      <c r="H91" s="14"/>
      <c r="I91" s="14"/>
      <c r="J91" s="11"/>
      <c r="K91" s="13">
        <v>6992</v>
      </c>
      <c r="L91" s="13">
        <v>4184</v>
      </c>
      <c r="M91" s="13">
        <v>4872</v>
      </c>
      <c r="N91" s="13">
        <v>7983</v>
      </c>
      <c r="O91" s="13">
        <v>9312</v>
      </c>
      <c r="P91" s="13">
        <v>5236</v>
      </c>
      <c r="Q91" s="13">
        <v>6778</v>
      </c>
      <c r="R91" s="13">
        <v>4023</v>
      </c>
      <c r="S91" s="13">
        <v>6348</v>
      </c>
      <c r="T91" s="13">
        <v>1920</v>
      </c>
      <c r="U91" s="13"/>
      <c r="V91" s="13"/>
      <c r="W91" s="13"/>
      <c r="X91" s="13"/>
      <c r="Y91" s="13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40" t="s">
        <v>93</v>
      </c>
      <c r="B92" s="15"/>
      <c r="C92" s="15"/>
      <c r="D92" s="15"/>
      <c r="E92" s="15"/>
      <c r="F92" s="15"/>
      <c r="G92" s="15"/>
      <c r="H92" s="14"/>
      <c r="I92" s="14"/>
      <c r="J92" s="11"/>
      <c r="K92" s="13">
        <v>4294</v>
      </c>
      <c r="L92" s="13">
        <v>3287</v>
      </c>
      <c r="M92" s="13">
        <v>2951</v>
      </c>
      <c r="N92" s="13">
        <v>5742</v>
      </c>
      <c r="O92" s="13">
        <v>6050</v>
      </c>
      <c r="P92" s="13">
        <v>3358</v>
      </c>
      <c r="Q92" s="13">
        <v>4734</v>
      </c>
      <c r="R92" s="13">
        <v>2522</v>
      </c>
      <c r="S92" s="13">
        <v>4043</v>
      </c>
      <c r="T92" s="13">
        <v>1332</v>
      </c>
      <c r="U92" s="13"/>
      <c r="V92" s="13"/>
      <c r="W92" s="13"/>
      <c r="X92" s="13"/>
      <c r="Y92" s="13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37" t="s">
        <v>94</v>
      </c>
      <c r="B93" s="38">
        <v>2715706</v>
      </c>
      <c r="C93" s="38">
        <v>139422</v>
      </c>
      <c r="D93" s="38">
        <v>105538</v>
      </c>
      <c r="E93" s="38">
        <v>113891</v>
      </c>
      <c r="F93" s="38">
        <v>4356</v>
      </c>
      <c r="G93" s="38">
        <v>3749</v>
      </c>
      <c r="H93" s="39">
        <v>51.3</v>
      </c>
      <c r="I93" s="39">
        <v>38.1</v>
      </c>
      <c r="J93" s="14"/>
      <c r="K93" s="38">
        <v>262021</v>
      </c>
      <c r="L93" s="38">
        <v>268229</v>
      </c>
      <c r="M93" s="38">
        <v>283567</v>
      </c>
      <c r="N93" s="38">
        <v>325139</v>
      </c>
      <c r="O93" s="38">
        <v>227127</v>
      </c>
      <c r="P93" s="38">
        <v>126533</v>
      </c>
      <c r="Q93" s="38">
        <v>218266</v>
      </c>
      <c r="R93" s="38">
        <v>162527</v>
      </c>
      <c r="S93" s="38">
        <v>182670</v>
      </c>
      <c r="T93" s="38">
        <v>195470</v>
      </c>
      <c r="U93" s="38">
        <v>277013</v>
      </c>
      <c r="V93" s="38">
        <v>187144</v>
      </c>
      <c r="W93" s="38"/>
      <c r="X93" s="38"/>
      <c r="Y93" s="38"/>
      <c r="Z93" s="1"/>
      <c r="AA93" s="46">
        <f>SUM(K93:Y93)</f>
        <v>2715706</v>
      </c>
      <c r="AB93" s="46">
        <f>SUM(K94:Y94)</f>
        <v>139422</v>
      </c>
      <c r="AC93" s="46">
        <f>SUM(K95:Y95)</f>
        <v>105538</v>
      </c>
      <c r="AD93" s="1"/>
      <c r="AE93" s="46">
        <f>AA93-B93</f>
        <v>0</v>
      </c>
      <c r="AF93" s="46">
        <f>AB93-C93</f>
        <v>0</v>
      </c>
      <c r="AG93" s="46">
        <f>AC93-D93</f>
        <v>0</v>
      </c>
      <c r="AH93" s="1"/>
      <c r="AI93" s="47">
        <f>C93/B93*1000</f>
        <v>51.339136121509469</v>
      </c>
      <c r="AJ93" s="47">
        <f>D93/B93*1000</f>
        <v>38.862085954812486</v>
      </c>
      <c r="AK93" s="1"/>
      <c r="AL93" s="47">
        <f>AI93-H93</f>
        <v>3.9136121509471877E-2</v>
      </c>
      <c r="AM93" s="47">
        <f>AJ93-I93</f>
        <v>0.76208595481248409</v>
      </c>
    </row>
    <row r="94" spans="1:39">
      <c r="A94" s="40" t="s">
        <v>95</v>
      </c>
      <c r="B94" s="15"/>
      <c r="C94" s="15"/>
      <c r="D94" s="15"/>
      <c r="E94" s="15"/>
      <c r="F94" s="15"/>
      <c r="G94" s="15"/>
      <c r="H94" s="14"/>
      <c r="I94" s="14"/>
      <c r="J94" s="11"/>
      <c r="K94" s="13">
        <v>13752</v>
      </c>
      <c r="L94" s="13">
        <v>11647</v>
      </c>
      <c r="M94" s="13">
        <v>15037</v>
      </c>
      <c r="N94" s="13">
        <v>17321</v>
      </c>
      <c r="O94" s="13">
        <v>10215</v>
      </c>
      <c r="P94" s="13">
        <v>6927</v>
      </c>
      <c r="Q94" s="13">
        <v>11706</v>
      </c>
      <c r="R94" s="13">
        <v>8258</v>
      </c>
      <c r="S94" s="13">
        <v>9576</v>
      </c>
      <c r="T94" s="13">
        <v>11023</v>
      </c>
      <c r="U94" s="13">
        <v>14800</v>
      </c>
      <c r="V94" s="13">
        <v>9160</v>
      </c>
      <c r="W94" s="13"/>
      <c r="X94" s="13"/>
      <c r="Y94" s="13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40" t="s">
        <v>96</v>
      </c>
      <c r="B95" s="15"/>
      <c r="C95" s="15"/>
      <c r="D95" s="15"/>
      <c r="E95" s="15"/>
      <c r="F95" s="15"/>
      <c r="G95" s="15"/>
      <c r="H95" s="14"/>
      <c r="I95" s="14"/>
      <c r="J95" s="11"/>
      <c r="K95" s="13">
        <v>10616</v>
      </c>
      <c r="L95" s="13">
        <v>7413</v>
      </c>
      <c r="M95" s="13">
        <v>12899</v>
      </c>
      <c r="N95" s="13">
        <v>16875</v>
      </c>
      <c r="O95" s="13">
        <v>4887</v>
      </c>
      <c r="P95" s="13">
        <v>4765</v>
      </c>
      <c r="Q95" s="13">
        <v>7250</v>
      </c>
      <c r="R95" s="13">
        <v>5820</v>
      </c>
      <c r="S95" s="13">
        <v>6153</v>
      </c>
      <c r="T95" s="13">
        <v>11395</v>
      </c>
      <c r="U95" s="13">
        <v>9144</v>
      </c>
      <c r="V95" s="13">
        <v>8321</v>
      </c>
      <c r="W95" s="13"/>
      <c r="X95" s="13"/>
      <c r="Y95" s="13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37" t="s">
        <v>97</v>
      </c>
      <c r="B96" s="38">
        <v>3098643</v>
      </c>
      <c r="C96" s="38">
        <v>158483</v>
      </c>
      <c r="D96" s="38">
        <v>112380</v>
      </c>
      <c r="E96" s="38">
        <v>89872</v>
      </c>
      <c r="F96" s="38">
        <v>2707</v>
      </c>
      <c r="G96" s="38">
        <v>2303</v>
      </c>
      <c r="H96" s="39">
        <v>51.1</v>
      </c>
      <c r="I96" s="39">
        <v>36.299999999999997</v>
      </c>
      <c r="J96" s="14"/>
      <c r="K96" s="38">
        <v>216001</v>
      </c>
      <c r="L96" s="38">
        <v>383652</v>
      </c>
      <c r="M96" s="38">
        <v>219833</v>
      </c>
      <c r="N96" s="38">
        <v>296459</v>
      </c>
      <c r="O96" s="38">
        <v>272181</v>
      </c>
      <c r="P96" s="38">
        <v>220783</v>
      </c>
      <c r="Q96" s="38">
        <v>221276</v>
      </c>
      <c r="R96" s="38">
        <v>384977</v>
      </c>
      <c r="S96" s="38">
        <v>215034</v>
      </c>
      <c r="T96" s="38">
        <v>289449</v>
      </c>
      <c r="U96" s="38">
        <v>378998</v>
      </c>
      <c r="V96" s="38"/>
      <c r="W96" s="38"/>
      <c r="X96" s="38"/>
      <c r="Y96" s="38"/>
      <c r="Z96" s="1"/>
      <c r="AA96" s="46">
        <f>SUM(K96:Y96)</f>
        <v>3098643</v>
      </c>
      <c r="AB96" s="46">
        <f>SUM(K97:Y97)</f>
        <v>158483</v>
      </c>
      <c r="AC96" s="46">
        <f>SUM(K98:Y98)</f>
        <v>112380</v>
      </c>
      <c r="AD96" s="1"/>
      <c r="AE96" s="46">
        <f>AA96-B96</f>
        <v>0</v>
      </c>
      <c r="AF96" s="46">
        <f>AB96-C96</f>
        <v>0</v>
      </c>
      <c r="AG96" s="46">
        <f>AC96-D96</f>
        <v>0</v>
      </c>
      <c r="AH96" s="1"/>
      <c r="AI96" s="47">
        <f>C96/B96*1000</f>
        <v>51.145937108598829</v>
      </c>
      <c r="AJ96" s="47">
        <f>D96/B96*1000</f>
        <v>36.267488703926205</v>
      </c>
      <c r="AK96" s="1"/>
      <c r="AL96" s="47">
        <f>AI96-H96</f>
        <v>4.5937108598828047E-2</v>
      </c>
      <c r="AM96" s="47">
        <f>AJ96-I96</f>
        <v>-3.251129607379255E-2</v>
      </c>
    </row>
    <row r="97" spans="1:39">
      <c r="A97" s="40" t="s">
        <v>98</v>
      </c>
      <c r="B97" s="15"/>
      <c r="C97" s="15"/>
      <c r="D97" s="15"/>
      <c r="E97" s="15"/>
      <c r="F97" s="15"/>
      <c r="G97" s="15"/>
      <c r="H97" s="14"/>
      <c r="I97" s="14"/>
      <c r="J97" s="11"/>
      <c r="K97" s="13">
        <v>9795</v>
      </c>
      <c r="L97" s="13">
        <v>18628</v>
      </c>
      <c r="M97" s="13">
        <v>12319</v>
      </c>
      <c r="N97" s="13">
        <v>14161</v>
      </c>
      <c r="O97" s="13">
        <v>14707</v>
      </c>
      <c r="P97" s="13">
        <v>10400</v>
      </c>
      <c r="Q97" s="13">
        <v>10957</v>
      </c>
      <c r="R97" s="13">
        <v>21110</v>
      </c>
      <c r="S97" s="13">
        <v>11094</v>
      </c>
      <c r="T97" s="13">
        <v>15534</v>
      </c>
      <c r="U97" s="13">
        <v>19778</v>
      </c>
      <c r="V97" s="13"/>
      <c r="W97" s="13"/>
      <c r="X97" s="13"/>
      <c r="Y97" s="13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40" t="s">
        <v>99</v>
      </c>
      <c r="B98" s="15"/>
      <c r="C98" s="15"/>
      <c r="D98" s="15"/>
      <c r="E98" s="15"/>
      <c r="F98" s="15"/>
      <c r="G98" s="15"/>
      <c r="H98" s="14"/>
      <c r="I98" s="14"/>
      <c r="J98" s="11"/>
      <c r="K98" s="13">
        <v>8024</v>
      </c>
      <c r="L98" s="13">
        <v>13123</v>
      </c>
      <c r="M98" s="13">
        <v>7489</v>
      </c>
      <c r="N98" s="13">
        <v>9339</v>
      </c>
      <c r="O98" s="13">
        <v>11198</v>
      </c>
      <c r="P98" s="13">
        <v>8415</v>
      </c>
      <c r="Q98" s="13">
        <v>7576</v>
      </c>
      <c r="R98" s="13">
        <v>14878</v>
      </c>
      <c r="S98" s="13">
        <v>7747</v>
      </c>
      <c r="T98" s="13">
        <v>10342</v>
      </c>
      <c r="U98" s="13">
        <v>14249</v>
      </c>
      <c r="V98" s="13"/>
      <c r="W98" s="13"/>
      <c r="X98" s="13"/>
      <c r="Y98" s="13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37" t="s">
        <v>100</v>
      </c>
      <c r="B99" s="38">
        <v>1902743</v>
      </c>
      <c r="C99" s="38">
        <v>110933</v>
      </c>
      <c r="D99" s="38">
        <v>61629</v>
      </c>
      <c r="E99" s="38">
        <v>257480</v>
      </c>
      <c r="F99" s="38">
        <v>10703</v>
      </c>
      <c r="G99" s="38">
        <v>5817</v>
      </c>
      <c r="H99" s="39">
        <v>57.7</v>
      </c>
      <c r="I99" s="39">
        <v>32.1</v>
      </c>
      <c r="J99" s="14"/>
      <c r="K99" s="38">
        <v>313217</v>
      </c>
      <c r="L99" s="38">
        <v>253458</v>
      </c>
      <c r="M99" s="38">
        <v>269117</v>
      </c>
      <c r="N99" s="38">
        <v>182811</v>
      </c>
      <c r="O99" s="38">
        <v>236835</v>
      </c>
      <c r="P99" s="38">
        <v>231882</v>
      </c>
      <c r="Q99" s="38">
        <v>261550</v>
      </c>
      <c r="R99" s="38">
        <v>153063</v>
      </c>
      <c r="S99" s="38"/>
      <c r="T99" s="38"/>
      <c r="U99" s="38"/>
      <c r="V99" s="38"/>
      <c r="W99" s="38"/>
      <c r="X99" s="38"/>
      <c r="Y99" s="38"/>
      <c r="Z99" s="1"/>
      <c r="AA99" s="46">
        <f>SUM(K99:Y99)</f>
        <v>1901933</v>
      </c>
      <c r="AB99" s="46">
        <f>SUM(K100:Y100)</f>
        <v>110933</v>
      </c>
      <c r="AC99" s="46">
        <f>SUM(K101:Y101)</f>
        <v>61630</v>
      </c>
      <c r="AD99" s="1"/>
      <c r="AE99" s="46">
        <f>AA99-B99</f>
        <v>-810</v>
      </c>
      <c r="AF99" s="46">
        <f>AB99-C99</f>
        <v>0</v>
      </c>
      <c r="AG99" s="46">
        <f>AC99-D99</f>
        <v>1</v>
      </c>
      <c r="AH99" s="1"/>
      <c r="AI99" s="47">
        <f>C99/B99*1000</f>
        <v>58.301620344944112</v>
      </c>
      <c r="AJ99" s="47">
        <f>D99/B99*1000</f>
        <v>32.389555499612925</v>
      </c>
      <c r="AK99" s="1"/>
      <c r="AL99" s="47">
        <f>AI99-H99</f>
        <v>0.60162034494410932</v>
      </c>
      <c r="AM99" s="47">
        <f>AJ99-I99</f>
        <v>0.28955549961292348</v>
      </c>
    </row>
    <row r="100" spans="1:39">
      <c r="A100" s="40" t="s">
        <v>101</v>
      </c>
      <c r="B100" s="15"/>
      <c r="C100" s="15"/>
      <c r="D100" s="15"/>
      <c r="E100" s="15"/>
      <c r="F100" s="15"/>
      <c r="G100" s="15"/>
      <c r="H100" s="14"/>
      <c r="I100" s="14"/>
      <c r="J100" s="11"/>
      <c r="K100" s="13">
        <v>16191</v>
      </c>
      <c r="L100" s="13">
        <v>15206</v>
      </c>
      <c r="M100" s="13">
        <v>16450</v>
      </c>
      <c r="N100" s="13">
        <v>11067</v>
      </c>
      <c r="O100" s="13">
        <v>14771</v>
      </c>
      <c r="P100" s="13">
        <v>11671</v>
      </c>
      <c r="Q100" s="13">
        <v>14293</v>
      </c>
      <c r="R100" s="13">
        <v>11284</v>
      </c>
      <c r="S100" s="13"/>
      <c r="T100" s="13"/>
      <c r="U100" s="13"/>
      <c r="V100" s="13"/>
      <c r="W100" s="13"/>
      <c r="X100" s="13"/>
      <c r="Y100" s="13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40" t="s">
        <v>102</v>
      </c>
      <c r="B101" s="15"/>
      <c r="C101" s="15"/>
      <c r="D101" s="15"/>
      <c r="E101" s="15"/>
      <c r="F101" s="15"/>
      <c r="G101" s="15"/>
      <c r="H101" s="14"/>
      <c r="I101" s="14"/>
      <c r="J101" s="11"/>
      <c r="K101" s="13">
        <v>9075</v>
      </c>
      <c r="L101" s="13">
        <v>6835</v>
      </c>
      <c r="M101" s="13">
        <v>9335</v>
      </c>
      <c r="N101" s="13">
        <v>5838</v>
      </c>
      <c r="O101" s="13">
        <v>7130</v>
      </c>
      <c r="P101" s="13">
        <v>8894</v>
      </c>
      <c r="Q101" s="13">
        <v>8750</v>
      </c>
      <c r="R101" s="13">
        <v>5773</v>
      </c>
      <c r="S101" s="13"/>
      <c r="T101" s="13"/>
      <c r="U101" s="13"/>
      <c r="V101" s="13"/>
      <c r="W101" s="13"/>
      <c r="X101" s="13"/>
      <c r="Y101" s="13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37" t="s">
        <v>103</v>
      </c>
      <c r="B102" s="38">
        <v>2240377</v>
      </c>
      <c r="C102" s="38">
        <v>99514</v>
      </c>
      <c r="D102" s="38">
        <v>81672</v>
      </c>
      <c r="E102" s="38">
        <v>178963</v>
      </c>
      <c r="F102" s="38">
        <v>6543</v>
      </c>
      <c r="G102" s="38">
        <v>6362</v>
      </c>
      <c r="H102" s="39">
        <v>43.4</v>
      </c>
      <c r="I102" s="39">
        <v>37.1</v>
      </c>
      <c r="J102" s="14"/>
      <c r="K102" s="38">
        <v>362029</v>
      </c>
      <c r="L102" s="38">
        <v>95318</v>
      </c>
      <c r="M102" s="38">
        <v>184008</v>
      </c>
      <c r="N102" s="38">
        <v>203322</v>
      </c>
      <c r="O102" s="38">
        <v>135118</v>
      </c>
      <c r="P102" s="38">
        <v>185102</v>
      </c>
      <c r="Q102" s="38">
        <v>201381</v>
      </c>
      <c r="R102" s="38">
        <v>113518</v>
      </c>
      <c r="S102" s="38">
        <v>173190</v>
      </c>
      <c r="T102" s="38">
        <v>121003</v>
      </c>
      <c r="U102" s="38">
        <v>317175</v>
      </c>
      <c r="V102" s="38">
        <v>149213</v>
      </c>
      <c r="W102" s="38"/>
      <c r="X102" s="38"/>
      <c r="Y102" s="38"/>
      <c r="Z102" s="1"/>
      <c r="AA102" s="46">
        <f>SUM(K102:Y102)</f>
        <v>2240377</v>
      </c>
      <c r="AB102" s="46">
        <f>SUM(K103:Y103)</f>
        <v>0</v>
      </c>
      <c r="AC102" s="46">
        <f>SUM(K104:Y104)</f>
        <v>0</v>
      </c>
      <c r="AD102" s="1"/>
      <c r="AE102" s="46">
        <f>AA102-B102</f>
        <v>0</v>
      </c>
      <c r="AF102" s="46">
        <f>AB102-C102</f>
        <v>-99514</v>
      </c>
      <c r="AG102" s="46">
        <f>AC102-D102</f>
        <v>-81672</v>
      </c>
      <c r="AH102" s="1"/>
      <c r="AI102" s="47">
        <f>C102/B102*1000</f>
        <v>44.418417078911276</v>
      </c>
      <c r="AJ102" s="47">
        <f>D102/B102*1000</f>
        <v>36.454578849898922</v>
      </c>
      <c r="AK102" s="1"/>
      <c r="AL102" s="47">
        <f>AI102-H102</f>
        <v>1.018417078911277</v>
      </c>
      <c r="AM102" s="47">
        <f>AJ102-I102</f>
        <v>-0.64542115010107892</v>
      </c>
    </row>
    <row r="103" spans="1:39">
      <c r="A103" s="40" t="s">
        <v>104</v>
      </c>
      <c r="B103" s="15"/>
      <c r="C103" s="15"/>
      <c r="D103" s="15"/>
      <c r="E103" s="15"/>
      <c r="F103" s="15"/>
      <c r="G103" s="15"/>
      <c r="H103" s="14"/>
      <c r="I103" s="14"/>
      <c r="J103" s="11"/>
      <c r="K103" s="15" t="s">
        <v>9</v>
      </c>
      <c r="L103" s="15" t="s">
        <v>9</v>
      </c>
      <c r="M103" s="15" t="s">
        <v>9</v>
      </c>
      <c r="N103" s="15" t="s">
        <v>9</v>
      </c>
      <c r="O103" s="15" t="s">
        <v>9</v>
      </c>
      <c r="P103" s="15" t="s">
        <v>9</v>
      </c>
      <c r="Q103" s="15" t="s">
        <v>9</v>
      </c>
      <c r="R103" s="15" t="s">
        <v>9</v>
      </c>
      <c r="S103" s="15" t="s">
        <v>9</v>
      </c>
      <c r="T103" s="15" t="s">
        <v>9</v>
      </c>
      <c r="U103" s="15" t="s">
        <v>9</v>
      </c>
      <c r="V103" s="15" t="s">
        <v>9</v>
      </c>
      <c r="W103" s="13"/>
      <c r="X103" s="13"/>
      <c r="Y103" s="13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40" t="s">
        <v>105</v>
      </c>
      <c r="B104" s="15"/>
      <c r="C104" s="15"/>
      <c r="D104" s="15"/>
      <c r="E104" s="15"/>
      <c r="F104" s="15"/>
      <c r="G104" s="15"/>
      <c r="H104" s="14"/>
      <c r="I104" s="14"/>
      <c r="J104" s="11"/>
      <c r="K104" s="15" t="s">
        <v>9</v>
      </c>
      <c r="L104" s="15" t="s">
        <v>9</v>
      </c>
      <c r="M104" s="15" t="s">
        <v>9</v>
      </c>
      <c r="N104" s="15" t="s">
        <v>9</v>
      </c>
      <c r="O104" s="15" t="s">
        <v>9</v>
      </c>
      <c r="P104" s="15" t="s">
        <v>9</v>
      </c>
      <c r="Q104" s="15" t="s">
        <v>9</v>
      </c>
      <c r="R104" s="15" t="s">
        <v>9</v>
      </c>
      <c r="S104" s="15" t="s">
        <v>9</v>
      </c>
      <c r="T104" s="15" t="s">
        <v>9</v>
      </c>
      <c r="U104" s="15" t="s">
        <v>9</v>
      </c>
      <c r="V104" s="15" t="s">
        <v>9</v>
      </c>
      <c r="W104" s="13"/>
      <c r="X104" s="13"/>
      <c r="Y104" s="13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37" t="s">
        <v>106</v>
      </c>
      <c r="B105" s="38">
        <v>1312802</v>
      </c>
      <c r="C105" s="38">
        <v>59586</v>
      </c>
      <c r="D105" s="38">
        <v>47910</v>
      </c>
      <c r="E105" s="38">
        <v>114272</v>
      </c>
      <c r="F105" s="38">
        <v>2885</v>
      </c>
      <c r="G105" s="38">
        <v>2568</v>
      </c>
      <c r="H105" s="39">
        <v>45.4</v>
      </c>
      <c r="I105" s="39">
        <v>36.5</v>
      </c>
      <c r="J105" s="14"/>
      <c r="K105" s="38">
        <v>132191</v>
      </c>
      <c r="L105" s="38">
        <v>78218</v>
      </c>
      <c r="M105" s="38">
        <v>245877</v>
      </c>
      <c r="N105" s="38">
        <v>138797</v>
      </c>
      <c r="O105" s="38">
        <v>96547</v>
      </c>
      <c r="P105" s="38">
        <v>50819</v>
      </c>
      <c r="Q105" s="38">
        <v>129685</v>
      </c>
      <c r="R105" s="38">
        <v>124433</v>
      </c>
      <c r="S105" s="38">
        <v>170694</v>
      </c>
      <c r="T105" s="38">
        <v>73602</v>
      </c>
      <c r="U105" s="38">
        <v>71939</v>
      </c>
      <c r="V105" s="38"/>
      <c r="W105" s="38"/>
      <c r="X105" s="38"/>
      <c r="Y105" s="38"/>
      <c r="Z105" s="1"/>
      <c r="AA105" s="46">
        <f>SUM(K105:Y105)</f>
        <v>1312802</v>
      </c>
      <c r="AB105" s="46">
        <f>SUM(K106:Y106)</f>
        <v>61656</v>
      </c>
      <c r="AC105" s="46">
        <f>SUM(K107:Y107)</f>
        <v>47910</v>
      </c>
      <c r="AD105" s="1"/>
      <c r="AE105" s="46">
        <f>AA105-B105</f>
        <v>0</v>
      </c>
      <c r="AF105" s="46">
        <f>AB105-C105</f>
        <v>2070</v>
      </c>
      <c r="AG105" s="46">
        <f>AC105-D105</f>
        <v>0</v>
      </c>
      <c r="AH105" s="1"/>
      <c r="AI105" s="47">
        <f>C105/B105*1000</f>
        <v>45.38841348504954</v>
      </c>
      <c r="AJ105" s="47">
        <f>D105/B105*1000</f>
        <v>36.494459941407762</v>
      </c>
      <c r="AK105" s="1"/>
      <c r="AL105" s="47">
        <f>AI105-H105</f>
        <v>-1.1586514950458593E-2</v>
      </c>
      <c r="AM105" s="47">
        <f>AJ105-I105</f>
        <v>-5.5400585922384948E-3</v>
      </c>
    </row>
    <row r="106" spans="1:39">
      <c r="A106" s="40" t="s">
        <v>107</v>
      </c>
      <c r="B106" s="15"/>
      <c r="C106" s="15"/>
      <c r="D106" s="15"/>
      <c r="E106" s="15"/>
      <c r="F106" s="15"/>
      <c r="G106" s="15"/>
      <c r="H106" s="14"/>
      <c r="I106" s="14"/>
      <c r="J106" s="11"/>
      <c r="K106" s="13">
        <v>4739</v>
      </c>
      <c r="L106" s="13">
        <v>2914</v>
      </c>
      <c r="M106" s="13">
        <v>15189</v>
      </c>
      <c r="N106" s="13">
        <v>6542</v>
      </c>
      <c r="O106" s="13">
        <v>4723</v>
      </c>
      <c r="P106" s="13">
        <v>2265</v>
      </c>
      <c r="Q106" s="13">
        <v>6236</v>
      </c>
      <c r="R106" s="13">
        <v>4938</v>
      </c>
      <c r="S106" s="13">
        <v>7997</v>
      </c>
      <c r="T106" s="13">
        <v>3301</v>
      </c>
      <c r="U106" s="13">
        <v>2812</v>
      </c>
      <c r="V106" s="13"/>
      <c r="W106" s="13"/>
      <c r="X106" s="13"/>
      <c r="Y106" s="13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40" t="s">
        <v>108</v>
      </c>
      <c r="B107" s="15"/>
      <c r="C107" s="15"/>
      <c r="D107" s="15"/>
      <c r="E107" s="15"/>
      <c r="F107" s="15"/>
      <c r="G107" s="15"/>
      <c r="H107" s="14"/>
      <c r="I107" s="14"/>
      <c r="J107" s="11"/>
      <c r="K107" s="13">
        <v>3983</v>
      </c>
      <c r="L107" s="13">
        <v>2566</v>
      </c>
      <c r="M107" s="13">
        <v>10274</v>
      </c>
      <c r="N107" s="13">
        <v>5190</v>
      </c>
      <c r="O107" s="13">
        <v>3878</v>
      </c>
      <c r="P107" s="13">
        <v>2073</v>
      </c>
      <c r="Q107" s="13">
        <v>5084</v>
      </c>
      <c r="R107" s="13">
        <v>3628</v>
      </c>
      <c r="S107" s="13">
        <v>6053</v>
      </c>
      <c r="T107" s="13">
        <v>2474</v>
      </c>
      <c r="U107" s="13">
        <v>2707</v>
      </c>
      <c r="V107" s="13"/>
      <c r="W107" s="13"/>
      <c r="X107" s="13"/>
      <c r="Y107" s="13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37" t="s">
        <v>109</v>
      </c>
      <c r="B108" s="38">
        <v>1467111</v>
      </c>
      <c r="C108" s="38">
        <v>65864</v>
      </c>
      <c r="D108" s="38">
        <v>48980</v>
      </c>
      <c r="E108" s="38">
        <v>70749</v>
      </c>
      <c r="F108" s="38">
        <v>3066</v>
      </c>
      <c r="G108" s="38">
        <v>2628</v>
      </c>
      <c r="H108" s="39">
        <v>44.9</v>
      </c>
      <c r="I108" s="39">
        <v>33.5</v>
      </c>
      <c r="J108" s="14"/>
      <c r="K108" s="38">
        <v>183121</v>
      </c>
      <c r="L108" s="38">
        <v>78092</v>
      </c>
      <c r="M108" s="38">
        <v>122917</v>
      </c>
      <c r="N108" s="38">
        <v>116889</v>
      </c>
      <c r="O108" s="38">
        <v>119353</v>
      </c>
      <c r="P108" s="38">
        <v>141184</v>
      </c>
      <c r="Q108" s="38">
        <v>115846</v>
      </c>
      <c r="R108" s="38">
        <v>151672</v>
      </c>
      <c r="S108" s="38">
        <v>171809</v>
      </c>
      <c r="T108" s="38">
        <v>68344</v>
      </c>
      <c r="U108" s="38">
        <v>59669</v>
      </c>
      <c r="V108" s="38">
        <v>138215</v>
      </c>
      <c r="W108" s="38"/>
      <c r="X108" s="38"/>
      <c r="Y108" s="38"/>
      <c r="Z108" s="1"/>
      <c r="AA108" s="46">
        <f>SUM(K108:Y108)</f>
        <v>1467111</v>
      </c>
      <c r="AB108" s="46">
        <f>SUM(K109:Y109)</f>
        <v>65864</v>
      </c>
      <c r="AC108" s="46">
        <f>SUM(K110:Y110)</f>
        <v>48980</v>
      </c>
      <c r="AD108" s="1"/>
      <c r="AE108" s="46">
        <f>AA108-B108</f>
        <v>0</v>
      </c>
      <c r="AF108" s="46">
        <f>AB108-C108</f>
        <v>0</v>
      </c>
      <c r="AG108" s="46">
        <f>AC108-D108</f>
        <v>0</v>
      </c>
      <c r="AH108" s="1"/>
      <c r="AI108" s="47">
        <f>C108/B108*1000</f>
        <v>44.893671985282644</v>
      </c>
      <c r="AJ108" s="47">
        <f>D108/B108*1000</f>
        <v>33.385340304857635</v>
      </c>
      <c r="AK108" s="1"/>
      <c r="AL108" s="47">
        <f>AI108-H108</f>
        <v>-6.3280147173543355E-3</v>
      </c>
      <c r="AM108" s="47">
        <f>AJ108-I108</f>
        <v>-0.11465969514236463</v>
      </c>
    </row>
    <row r="109" spans="1:39">
      <c r="A109" s="40" t="s">
        <v>110</v>
      </c>
      <c r="B109" s="15"/>
      <c r="C109" s="15"/>
      <c r="D109" s="15"/>
      <c r="E109" s="15"/>
      <c r="F109" s="15"/>
      <c r="G109" s="15"/>
      <c r="H109" s="14"/>
      <c r="I109" s="14"/>
      <c r="J109" s="11"/>
      <c r="K109" s="13">
        <v>7937</v>
      </c>
      <c r="L109" s="13">
        <v>3344</v>
      </c>
      <c r="M109" s="13">
        <v>4866</v>
      </c>
      <c r="N109" s="13">
        <v>6662</v>
      </c>
      <c r="O109" s="13">
        <v>4821</v>
      </c>
      <c r="P109" s="13">
        <v>6733</v>
      </c>
      <c r="Q109" s="13">
        <v>5224</v>
      </c>
      <c r="R109" s="13">
        <v>7087</v>
      </c>
      <c r="S109" s="13">
        <v>7856</v>
      </c>
      <c r="T109" s="13">
        <v>2668</v>
      </c>
      <c r="U109" s="13">
        <v>2333</v>
      </c>
      <c r="V109" s="13">
        <v>6333</v>
      </c>
      <c r="W109" s="13"/>
      <c r="X109" s="13"/>
      <c r="Y109" s="13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40" t="s">
        <v>111</v>
      </c>
      <c r="B110" s="15"/>
      <c r="C110" s="15"/>
      <c r="D110" s="15"/>
      <c r="E110" s="15"/>
      <c r="F110" s="15"/>
      <c r="G110" s="15"/>
      <c r="H110" s="14"/>
      <c r="I110" s="14"/>
      <c r="J110" s="11"/>
      <c r="K110" s="13">
        <v>5423</v>
      </c>
      <c r="L110" s="13">
        <v>2478</v>
      </c>
      <c r="M110" s="13">
        <v>2912</v>
      </c>
      <c r="N110" s="13">
        <v>5104</v>
      </c>
      <c r="O110" s="13">
        <v>3568</v>
      </c>
      <c r="P110" s="13">
        <v>5561</v>
      </c>
      <c r="Q110" s="13">
        <v>3359</v>
      </c>
      <c r="R110" s="13">
        <v>5056</v>
      </c>
      <c r="S110" s="13">
        <v>6203</v>
      </c>
      <c r="T110" s="13">
        <v>2230</v>
      </c>
      <c r="U110" s="13">
        <v>1722</v>
      </c>
      <c r="V110" s="13">
        <v>5364</v>
      </c>
      <c r="W110" s="13"/>
      <c r="X110" s="13"/>
      <c r="Y110" s="13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37" t="s">
        <v>112</v>
      </c>
      <c r="B111" s="38">
        <v>2617024</v>
      </c>
      <c r="C111" s="38">
        <v>111001</v>
      </c>
      <c r="D111" s="38">
        <v>94098</v>
      </c>
      <c r="E111" s="38">
        <v>173292</v>
      </c>
      <c r="F111" s="38">
        <v>9245</v>
      </c>
      <c r="G111" s="38">
        <v>8003</v>
      </c>
      <c r="H111" s="39">
        <v>42.4</v>
      </c>
      <c r="I111" s="39">
        <v>35.9</v>
      </c>
      <c r="J111" s="14"/>
      <c r="K111" s="38">
        <v>244814</v>
      </c>
      <c r="L111" s="38">
        <v>200283</v>
      </c>
      <c r="M111" s="38">
        <v>195546</v>
      </c>
      <c r="N111" s="38">
        <v>125310</v>
      </c>
      <c r="O111" s="38">
        <v>181651</v>
      </c>
      <c r="P111" s="38">
        <v>134998</v>
      </c>
      <c r="Q111" s="38">
        <v>186543</v>
      </c>
      <c r="R111" s="38">
        <v>203842</v>
      </c>
      <c r="S111" s="38">
        <v>180768</v>
      </c>
      <c r="T111" s="38">
        <v>158894</v>
      </c>
      <c r="U111" s="38">
        <v>167977</v>
      </c>
      <c r="V111" s="38">
        <v>173100</v>
      </c>
      <c r="W111" s="38">
        <v>153980</v>
      </c>
      <c r="X111" s="38">
        <v>130434</v>
      </c>
      <c r="Y111" s="38">
        <v>178884</v>
      </c>
      <c r="Z111" s="1"/>
      <c r="AA111" s="46">
        <f>SUM(K111:Y111)</f>
        <v>2617024</v>
      </c>
      <c r="AB111" s="46">
        <f>SUM(K112:Y112)</f>
        <v>112002</v>
      </c>
      <c r="AC111" s="46">
        <f>SUM(K113:Y113)</f>
        <v>94093</v>
      </c>
      <c r="AD111" s="1"/>
      <c r="AE111" s="46">
        <f>AA111-B111</f>
        <v>0</v>
      </c>
      <c r="AF111" s="46">
        <f>AB111-C111</f>
        <v>1001</v>
      </c>
      <c r="AG111" s="46">
        <f>AC111-D111</f>
        <v>-5</v>
      </c>
      <c r="AH111" s="1"/>
      <c r="AI111" s="47">
        <f>C111/B111*1000</f>
        <v>42.414972121004624</v>
      </c>
      <c r="AJ111" s="47">
        <f>D111/B111*1000</f>
        <v>35.956108923724052</v>
      </c>
      <c r="AK111" s="1"/>
      <c r="AL111" s="47">
        <f>AI111-H111</f>
        <v>1.4972121004625194E-2</v>
      </c>
      <c r="AM111" s="47">
        <f>AJ111-I111</f>
        <v>5.6108923724053739E-2</v>
      </c>
    </row>
    <row r="112" spans="1:39">
      <c r="A112" s="40" t="s">
        <v>113</v>
      </c>
      <c r="B112" s="15"/>
      <c r="C112" s="15"/>
      <c r="D112" s="15"/>
      <c r="E112" s="15"/>
      <c r="F112" s="15"/>
      <c r="G112" s="15"/>
      <c r="H112" s="14"/>
      <c r="I112" s="14"/>
      <c r="J112" s="11"/>
      <c r="K112" s="13">
        <v>11154</v>
      </c>
      <c r="L112" s="13">
        <v>8086</v>
      </c>
      <c r="M112" s="13">
        <v>8161</v>
      </c>
      <c r="N112" s="13">
        <v>7537</v>
      </c>
      <c r="O112" s="13">
        <v>7054</v>
      </c>
      <c r="P112" s="13">
        <v>6586</v>
      </c>
      <c r="Q112" s="13">
        <v>6695</v>
      </c>
      <c r="R112" s="13">
        <v>8853</v>
      </c>
      <c r="S112" s="13">
        <v>7624</v>
      </c>
      <c r="T112" s="13">
        <v>7793</v>
      </c>
      <c r="U112" s="13">
        <v>6275</v>
      </c>
      <c r="V112" s="13">
        <v>7329</v>
      </c>
      <c r="W112" s="13">
        <v>6016</v>
      </c>
      <c r="X112" s="13">
        <v>6007</v>
      </c>
      <c r="Y112" s="13">
        <v>6832</v>
      </c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40" t="s">
        <v>114</v>
      </c>
      <c r="B113" s="15"/>
      <c r="C113" s="15"/>
      <c r="D113" s="15"/>
      <c r="E113" s="15"/>
      <c r="F113" s="15"/>
      <c r="G113" s="15"/>
      <c r="H113" s="14"/>
      <c r="I113" s="14"/>
      <c r="J113" s="11"/>
      <c r="K113" s="13">
        <v>9939</v>
      </c>
      <c r="L113" s="13">
        <v>7524</v>
      </c>
      <c r="M113" s="13">
        <v>6147</v>
      </c>
      <c r="N113" s="13">
        <v>5289</v>
      </c>
      <c r="O113" s="13">
        <v>6619</v>
      </c>
      <c r="P113" s="13">
        <v>5600</v>
      </c>
      <c r="Q113" s="13">
        <v>5799</v>
      </c>
      <c r="R113" s="13">
        <v>6650</v>
      </c>
      <c r="S113" s="13">
        <v>5842</v>
      </c>
      <c r="T113" s="13">
        <v>6915</v>
      </c>
      <c r="U113" s="13">
        <v>5566</v>
      </c>
      <c r="V113" s="13">
        <v>5825</v>
      </c>
      <c r="W113" s="13">
        <v>5133</v>
      </c>
      <c r="X113" s="13">
        <v>5062</v>
      </c>
      <c r="Y113" s="13">
        <v>6183</v>
      </c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50" t="s">
        <v>115</v>
      </c>
      <c r="B114" s="51">
        <v>1527445</v>
      </c>
      <c r="C114" s="51">
        <v>71292</v>
      </c>
      <c r="D114" s="51">
        <v>56671</v>
      </c>
      <c r="E114" s="51">
        <v>153441</v>
      </c>
      <c r="F114" s="51">
        <v>3895</v>
      </c>
      <c r="G114" s="51">
        <v>3354</v>
      </c>
      <c r="H114" s="52">
        <v>46</v>
      </c>
      <c r="I114" s="52">
        <v>37.1</v>
      </c>
      <c r="J114" s="14"/>
      <c r="K114" s="51">
        <v>152206</v>
      </c>
      <c r="L114" s="51">
        <v>191946</v>
      </c>
      <c r="M114" s="51">
        <v>155751</v>
      </c>
      <c r="N114" s="51">
        <v>64011</v>
      </c>
      <c r="O114" s="51">
        <v>98937</v>
      </c>
      <c r="P114" s="51">
        <v>143970</v>
      </c>
      <c r="Q114" s="51">
        <v>96254</v>
      </c>
      <c r="R114" s="51">
        <v>126883</v>
      </c>
      <c r="S114" s="51">
        <v>115574</v>
      </c>
      <c r="T114" s="51">
        <v>72752</v>
      </c>
      <c r="U114" s="51">
        <v>101222</v>
      </c>
      <c r="V114" s="51">
        <v>71622</v>
      </c>
      <c r="W114" s="51">
        <v>136617</v>
      </c>
      <c r="X114" s="51"/>
      <c r="Y114" s="51"/>
      <c r="Z114" s="1"/>
      <c r="AA114" s="46">
        <f>SUM(K114:Y114)</f>
        <v>1527745</v>
      </c>
      <c r="AB114" s="46">
        <f>SUM(K115:Y115)</f>
        <v>71292</v>
      </c>
      <c r="AC114" s="46">
        <f>SUM(K116:Y116)</f>
        <v>56671</v>
      </c>
      <c r="AD114" s="1"/>
      <c r="AE114" s="46">
        <f>AA114-B114</f>
        <v>300</v>
      </c>
      <c r="AF114" s="46">
        <f>AB114-C114</f>
        <v>0</v>
      </c>
      <c r="AG114" s="46">
        <f>AC114-D114</f>
        <v>0</v>
      </c>
      <c r="AH114" s="1"/>
      <c r="AI114" s="47">
        <f>C114/B114*1000</f>
        <v>46.674020995846007</v>
      </c>
      <c r="AJ114" s="47">
        <f>D114/B114*1000</f>
        <v>37.101826907024474</v>
      </c>
      <c r="AK114" s="1"/>
      <c r="AL114" s="47">
        <f>AI114-H114</f>
        <v>0.67402099584600705</v>
      </c>
      <c r="AM114" s="47">
        <f>AJ114-I114</f>
        <v>1.8269070244727459E-3</v>
      </c>
    </row>
    <row r="115" spans="1:39">
      <c r="A115" s="12" t="s">
        <v>116</v>
      </c>
      <c r="B115" s="13"/>
      <c r="C115" s="13"/>
      <c r="D115" s="13"/>
      <c r="E115" s="13"/>
      <c r="F115" s="13"/>
      <c r="G115" s="13"/>
      <c r="H115" s="14"/>
      <c r="I115" s="14"/>
      <c r="J115" s="14"/>
      <c r="K115" s="13">
        <v>9902</v>
      </c>
      <c r="L115" s="13">
        <v>10518</v>
      </c>
      <c r="M115" s="13">
        <v>6756</v>
      </c>
      <c r="N115" s="13">
        <v>2980</v>
      </c>
      <c r="O115" s="13">
        <v>4086</v>
      </c>
      <c r="P115" s="13">
        <v>6051</v>
      </c>
      <c r="Q115" s="13">
        <v>4397</v>
      </c>
      <c r="R115" s="13">
        <v>6013</v>
      </c>
      <c r="S115" s="13">
        <v>5186</v>
      </c>
      <c r="T115" s="13">
        <v>2854</v>
      </c>
      <c r="U115" s="13">
        <v>4356</v>
      </c>
      <c r="V115" s="13">
        <v>3118</v>
      </c>
      <c r="W115" s="13">
        <v>5075</v>
      </c>
      <c r="X115" s="13"/>
      <c r="Y115" s="13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2" t="s">
        <v>117</v>
      </c>
      <c r="B116" s="13"/>
      <c r="C116" s="13"/>
      <c r="D116" s="13"/>
      <c r="E116" s="13"/>
      <c r="F116" s="13"/>
      <c r="G116" s="13"/>
      <c r="H116" s="14"/>
      <c r="I116" s="14"/>
      <c r="J116" s="14"/>
      <c r="K116" s="13">
        <v>7685</v>
      </c>
      <c r="L116" s="13">
        <v>7619</v>
      </c>
      <c r="M116" s="13">
        <v>5286</v>
      </c>
      <c r="N116" s="13">
        <v>2539</v>
      </c>
      <c r="O116" s="13">
        <v>2965</v>
      </c>
      <c r="P116" s="13">
        <v>5335</v>
      </c>
      <c r="Q116" s="13">
        <v>3518</v>
      </c>
      <c r="R116" s="13">
        <v>4374</v>
      </c>
      <c r="S116" s="13">
        <v>4085</v>
      </c>
      <c r="T116" s="13">
        <v>2796</v>
      </c>
      <c r="U116" s="13">
        <v>3550</v>
      </c>
      <c r="V116" s="13">
        <v>3014</v>
      </c>
      <c r="W116" s="13">
        <v>3905</v>
      </c>
      <c r="X116" s="13"/>
      <c r="Y116" s="13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72" t="s">
        <v>118</v>
      </c>
      <c r="B117" s="73">
        <v>979101</v>
      </c>
      <c r="C117" s="73">
        <v>29040</v>
      </c>
      <c r="D117" s="73">
        <v>25751</v>
      </c>
      <c r="E117" s="73"/>
      <c r="F117" s="73"/>
      <c r="G117" s="73"/>
      <c r="H117" s="74">
        <v>29.7</v>
      </c>
      <c r="I117" s="74">
        <v>26.3</v>
      </c>
      <c r="J117" s="14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1"/>
      <c r="AA117" s="46">
        <f>B117</f>
        <v>979101</v>
      </c>
      <c r="AB117" s="46">
        <f>C117</f>
        <v>29040</v>
      </c>
      <c r="AC117" s="46">
        <f>D117</f>
        <v>25751</v>
      </c>
      <c r="AD117" s="1"/>
      <c r="AE117" s="68"/>
      <c r="AF117" s="68"/>
      <c r="AG117" s="68"/>
      <c r="AH117" s="1"/>
      <c r="AI117" s="47">
        <f>C117/B117*1000</f>
        <v>29.659861444324946</v>
      </c>
      <c r="AJ117" s="47">
        <f>D117/B117*1000</f>
        <v>26.300657439835113</v>
      </c>
      <c r="AK117" s="1"/>
      <c r="AL117" s="47">
        <f>AI117-H117</f>
        <v>-4.0138555675053311E-2</v>
      </c>
      <c r="AM117" s="47">
        <f>AJ117-I117</f>
        <v>6.5743983511268311E-4</v>
      </c>
    </row>
    <row r="118" spans="1:39">
      <c r="A118" s="50" t="s">
        <v>119</v>
      </c>
      <c r="B118" s="51">
        <v>1622122</v>
      </c>
      <c r="C118" s="51">
        <v>82166</v>
      </c>
      <c r="D118" s="51">
        <v>63591</v>
      </c>
      <c r="E118" s="51">
        <v>103312</v>
      </c>
      <c r="F118" s="51">
        <v>4453</v>
      </c>
      <c r="G118" s="51">
        <v>4350</v>
      </c>
      <c r="H118" s="52">
        <v>50.7</v>
      </c>
      <c r="I118" s="52">
        <v>39.200000000000003</v>
      </c>
      <c r="J118" s="14"/>
      <c r="K118" s="51">
        <v>209358</v>
      </c>
      <c r="L118" s="51">
        <v>148548</v>
      </c>
      <c r="M118" s="51">
        <v>152356</v>
      </c>
      <c r="N118" s="51">
        <v>116623</v>
      </c>
      <c r="O118" s="51">
        <v>137248</v>
      </c>
      <c r="P118" s="51">
        <v>139070</v>
      </c>
      <c r="Q118" s="51">
        <v>121088</v>
      </c>
      <c r="R118" s="51">
        <v>200568</v>
      </c>
      <c r="S118" s="51">
        <v>112122</v>
      </c>
      <c r="T118" s="51">
        <v>113046</v>
      </c>
      <c r="U118" s="51">
        <v>172281</v>
      </c>
      <c r="V118" s="51"/>
      <c r="W118" s="51"/>
      <c r="X118" s="51"/>
      <c r="Y118" s="51"/>
      <c r="Z118" s="1"/>
      <c r="AA118" s="46">
        <f>SUM(K118:Y118)</f>
        <v>1622308</v>
      </c>
      <c r="AB118" s="46">
        <f>SUM(K119:Y119)</f>
        <v>82166</v>
      </c>
      <c r="AC118" s="46">
        <f>SUM(K120:Y120)</f>
        <v>63591</v>
      </c>
      <c r="AD118" s="1"/>
      <c r="AE118" s="46">
        <f>AA118-B118</f>
        <v>186</v>
      </c>
      <c r="AF118" s="46">
        <f>AB118-C118</f>
        <v>0</v>
      </c>
      <c r="AG118" s="46">
        <f>AC118-D118</f>
        <v>0</v>
      </c>
      <c r="AH118" s="1"/>
      <c r="AI118" s="47">
        <f>C118/B118*1000</f>
        <v>50.653403381496581</v>
      </c>
      <c r="AJ118" s="47">
        <f>D118/B118*1000</f>
        <v>39.202353460467215</v>
      </c>
      <c r="AK118" s="1"/>
      <c r="AL118" s="47">
        <f>AI118-H118</f>
        <v>-4.6596618503421894E-2</v>
      </c>
      <c r="AM118" s="47">
        <f>AJ118-I118</f>
        <v>2.3534604672121873E-3</v>
      </c>
    </row>
    <row r="119" spans="1:39">
      <c r="A119" s="12" t="s">
        <v>120</v>
      </c>
      <c r="B119" s="13"/>
      <c r="C119" s="13"/>
      <c r="D119" s="13"/>
      <c r="E119" s="13"/>
      <c r="F119" s="13"/>
      <c r="G119" s="13"/>
      <c r="H119" s="14"/>
      <c r="I119" s="14"/>
      <c r="J119" s="14"/>
      <c r="K119" s="13">
        <v>10356</v>
      </c>
      <c r="L119" s="13">
        <v>8150</v>
      </c>
      <c r="M119" s="13">
        <v>8286</v>
      </c>
      <c r="N119" s="13">
        <v>5911</v>
      </c>
      <c r="O119" s="13">
        <v>6442</v>
      </c>
      <c r="P119" s="13">
        <v>6780</v>
      </c>
      <c r="Q119" s="13">
        <v>6102</v>
      </c>
      <c r="R119" s="13">
        <v>10755</v>
      </c>
      <c r="S119" s="13">
        <v>5905</v>
      </c>
      <c r="T119" s="13">
        <v>5145</v>
      </c>
      <c r="U119" s="13">
        <v>8334</v>
      </c>
      <c r="V119" s="13"/>
      <c r="W119" s="13"/>
      <c r="X119" s="13"/>
      <c r="Y119" s="13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2" t="s">
        <v>121</v>
      </c>
      <c r="B120" s="13"/>
      <c r="C120" s="13"/>
      <c r="D120" s="13"/>
      <c r="E120" s="13"/>
      <c r="F120" s="13"/>
      <c r="G120" s="13"/>
      <c r="H120" s="14"/>
      <c r="I120" s="14"/>
      <c r="J120" s="14"/>
      <c r="K120" s="13">
        <v>9400</v>
      </c>
      <c r="L120" s="13">
        <v>6358</v>
      </c>
      <c r="M120" s="13">
        <v>6876</v>
      </c>
      <c r="N120" s="13">
        <v>5333</v>
      </c>
      <c r="O120" s="13">
        <v>4554</v>
      </c>
      <c r="P120" s="13">
        <v>4773</v>
      </c>
      <c r="Q120" s="13">
        <v>4687</v>
      </c>
      <c r="R120" s="13">
        <v>7589</v>
      </c>
      <c r="S120" s="13">
        <v>4129</v>
      </c>
      <c r="T120" s="13">
        <v>3715</v>
      </c>
      <c r="U120" s="13">
        <v>6177</v>
      </c>
      <c r="V120" s="13"/>
      <c r="W120" s="13"/>
      <c r="X120" s="13"/>
      <c r="Y120" s="13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>
      <c r="A121" s="50" t="s">
        <v>122</v>
      </c>
      <c r="B121" s="51">
        <v>1352502</v>
      </c>
      <c r="C121" s="51">
        <v>55970</v>
      </c>
      <c r="D121" s="51">
        <v>39700</v>
      </c>
      <c r="E121" s="51">
        <v>92520</v>
      </c>
      <c r="F121" s="51">
        <v>2461</v>
      </c>
      <c r="G121" s="51">
        <v>2334</v>
      </c>
      <c r="H121" s="52">
        <v>41.4</v>
      </c>
      <c r="I121" s="52">
        <v>29.4</v>
      </c>
      <c r="J121" s="14"/>
      <c r="K121" s="51">
        <v>181594</v>
      </c>
      <c r="L121" s="51">
        <v>152918</v>
      </c>
      <c r="M121" s="51">
        <v>84772</v>
      </c>
      <c r="N121" s="51">
        <v>98238</v>
      </c>
      <c r="O121" s="51">
        <v>74110</v>
      </c>
      <c r="P121" s="51">
        <v>123827</v>
      </c>
      <c r="Q121" s="51">
        <v>93648</v>
      </c>
      <c r="R121" s="51">
        <v>198693</v>
      </c>
      <c r="S121" s="51">
        <v>100984</v>
      </c>
      <c r="T121" s="51">
        <v>89743</v>
      </c>
      <c r="U121" s="51">
        <v>153975</v>
      </c>
      <c r="V121" s="51"/>
      <c r="W121" s="51"/>
      <c r="X121" s="51"/>
      <c r="Y121" s="51"/>
      <c r="Z121" s="1"/>
      <c r="AA121" s="46">
        <f>SUM(K121:Y121)</f>
        <v>1352502</v>
      </c>
      <c r="AB121" s="46">
        <f>SUM(K122:Y122)</f>
        <v>55970</v>
      </c>
      <c r="AC121" s="46">
        <f>SUM(K123:Y123)</f>
        <v>39700</v>
      </c>
      <c r="AD121" s="1"/>
      <c r="AE121" s="46">
        <f>AA121-B121</f>
        <v>0</v>
      </c>
      <c r="AF121" s="46">
        <f>AB121-C121</f>
        <v>0</v>
      </c>
      <c r="AG121" s="46">
        <f>AC121-D121</f>
        <v>0</v>
      </c>
      <c r="AH121" s="1"/>
      <c r="AI121" s="47">
        <f>C121/B121*1000</f>
        <v>41.382563574767353</v>
      </c>
      <c r="AJ121" s="47">
        <f>D121/B121*1000</f>
        <v>29.353006502023657</v>
      </c>
      <c r="AK121" s="1"/>
      <c r="AL121" s="47">
        <f>AI121-H121</f>
        <v>-1.7436425232645547E-2</v>
      </c>
      <c r="AM121" s="47">
        <f>AJ121-I121</f>
        <v>-4.6993497976341558E-2</v>
      </c>
    </row>
    <row r="122" spans="1:39">
      <c r="A122" s="12" t="s">
        <v>123</v>
      </c>
      <c r="B122" s="13"/>
      <c r="C122" s="13"/>
      <c r="D122" s="13"/>
      <c r="E122" s="13"/>
      <c r="F122" s="13"/>
      <c r="G122" s="13"/>
      <c r="H122" s="14"/>
      <c r="I122" s="14"/>
      <c r="J122" s="14"/>
      <c r="K122" s="13">
        <v>6417</v>
      </c>
      <c r="L122" s="13">
        <v>5830</v>
      </c>
      <c r="M122" s="13">
        <v>3488</v>
      </c>
      <c r="N122" s="13">
        <v>3582</v>
      </c>
      <c r="O122" s="13">
        <v>3594</v>
      </c>
      <c r="P122" s="13">
        <v>5548</v>
      </c>
      <c r="Q122" s="13">
        <v>4282</v>
      </c>
      <c r="R122" s="13">
        <v>8149</v>
      </c>
      <c r="S122" s="13">
        <v>3970</v>
      </c>
      <c r="T122" s="13">
        <v>4227</v>
      </c>
      <c r="U122" s="13">
        <v>6883</v>
      </c>
      <c r="V122" s="13"/>
      <c r="W122" s="13"/>
      <c r="X122" s="13"/>
      <c r="Y122" s="13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>
      <c r="A123" s="12" t="s">
        <v>124</v>
      </c>
      <c r="B123" s="13"/>
      <c r="C123" s="13"/>
      <c r="D123" s="13"/>
      <c r="E123" s="13"/>
      <c r="F123" s="13"/>
      <c r="G123" s="13"/>
      <c r="H123" s="14"/>
      <c r="I123" s="14"/>
      <c r="J123" s="14"/>
      <c r="K123" s="13">
        <v>5181</v>
      </c>
      <c r="L123" s="13">
        <v>4259</v>
      </c>
      <c r="M123" s="13">
        <v>2131</v>
      </c>
      <c r="N123" s="13">
        <v>3434</v>
      </c>
      <c r="O123" s="13">
        <v>2537</v>
      </c>
      <c r="P123" s="13">
        <v>3958</v>
      </c>
      <c r="Q123" s="13">
        <v>3260</v>
      </c>
      <c r="R123" s="13">
        <v>5621</v>
      </c>
      <c r="S123" s="13">
        <v>2739</v>
      </c>
      <c r="T123" s="13">
        <v>2757</v>
      </c>
      <c r="U123" s="13">
        <v>3823</v>
      </c>
      <c r="V123" s="13"/>
      <c r="W123" s="13"/>
      <c r="X123" s="13"/>
      <c r="Y123" s="13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>
      <c r="A124" s="50" t="s">
        <v>125</v>
      </c>
      <c r="B124" s="51">
        <v>311617</v>
      </c>
      <c r="C124" s="51">
        <v>14820</v>
      </c>
      <c r="D124" s="51">
        <v>13632</v>
      </c>
      <c r="E124" s="51">
        <v>25627</v>
      </c>
      <c r="F124" s="51">
        <v>868</v>
      </c>
      <c r="G124" s="51">
        <v>960</v>
      </c>
      <c r="H124" s="52">
        <v>40</v>
      </c>
      <c r="I124" s="52">
        <v>36.6</v>
      </c>
      <c r="J124" s="14"/>
      <c r="K124" s="51">
        <v>86286</v>
      </c>
      <c r="L124" s="51">
        <v>53503</v>
      </c>
      <c r="M124" s="51">
        <v>81067</v>
      </c>
      <c r="N124" s="51">
        <v>45904</v>
      </c>
      <c r="O124" s="51">
        <v>27600</v>
      </c>
      <c r="P124" s="51">
        <v>41545</v>
      </c>
      <c r="Q124" s="51">
        <v>35712</v>
      </c>
      <c r="R124" s="51"/>
      <c r="S124" s="51"/>
      <c r="T124" s="51"/>
      <c r="U124" s="51"/>
      <c r="V124" s="51"/>
      <c r="W124" s="51"/>
      <c r="X124" s="51"/>
      <c r="Y124" s="51"/>
      <c r="Z124" s="1"/>
      <c r="AA124" s="46">
        <f>SUM(K124:Y124)</f>
        <v>371617</v>
      </c>
      <c r="AB124" s="46">
        <f>SUM(K125:Y125)</f>
        <v>14820</v>
      </c>
      <c r="AC124" s="46">
        <f>SUM(K126:Y126)</f>
        <v>13632</v>
      </c>
      <c r="AD124" s="1"/>
      <c r="AE124" s="46">
        <f>AA124-B124</f>
        <v>60000</v>
      </c>
      <c r="AF124" s="46">
        <f>AB124-C124</f>
        <v>0</v>
      </c>
      <c r="AG124" s="46">
        <f>AC124-D124</f>
        <v>0</v>
      </c>
      <c r="AH124" s="1"/>
      <c r="AI124" s="47">
        <f>C124/B124*1000</f>
        <v>47.55838096124409</v>
      </c>
      <c r="AJ124" s="47">
        <f>D124/B124*1000</f>
        <v>43.746008722245577</v>
      </c>
      <c r="AK124" s="1"/>
      <c r="AL124" s="47">
        <f>AI124-H124</f>
        <v>7.5583809612440902</v>
      </c>
      <c r="AM124" s="47">
        <f>AJ124-I124</f>
        <v>7.1460087222455755</v>
      </c>
    </row>
    <row r="125" spans="1:39">
      <c r="A125" s="12" t="s">
        <v>126</v>
      </c>
      <c r="B125" s="13"/>
      <c r="C125" s="13"/>
      <c r="D125" s="13"/>
      <c r="E125" s="13"/>
      <c r="F125" s="13"/>
      <c r="G125" s="13"/>
      <c r="H125" s="14"/>
      <c r="I125" s="14"/>
      <c r="J125" s="14"/>
      <c r="K125" s="13">
        <v>3357</v>
      </c>
      <c r="L125" s="13">
        <v>2291</v>
      </c>
      <c r="M125" s="13">
        <v>3202</v>
      </c>
      <c r="N125" s="13">
        <v>1979</v>
      </c>
      <c r="O125" s="13">
        <v>919</v>
      </c>
      <c r="P125" s="13">
        <v>1588</v>
      </c>
      <c r="Q125" s="13">
        <v>1484</v>
      </c>
      <c r="R125" s="13"/>
      <c r="S125" s="13"/>
      <c r="T125" s="13"/>
      <c r="U125" s="13"/>
      <c r="V125" s="13"/>
      <c r="W125" s="13"/>
      <c r="X125" s="13"/>
      <c r="Y125" s="13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>
      <c r="A126" s="12" t="s">
        <v>127</v>
      </c>
      <c r="B126" s="13"/>
      <c r="C126" s="13"/>
      <c r="D126" s="13"/>
      <c r="E126" s="13"/>
      <c r="F126" s="13"/>
      <c r="G126" s="13"/>
      <c r="H126" s="14"/>
      <c r="I126" s="14"/>
      <c r="J126" s="14"/>
      <c r="K126" s="13">
        <v>2862</v>
      </c>
      <c r="L126" s="13">
        <v>2253</v>
      </c>
      <c r="M126" s="13">
        <v>3316</v>
      </c>
      <c r="N126" s="13">
        <v>1605</v>
      </c>
      <c r="O126" s="13">
        <v>704</v>
      </c>
      <c r="P126" s="13">
        <v>1593</v>
      </c>
      <c r="Q126" s="13">
        <v>1299</v>
      </c>
      <c r="R126" s="13"/>
      <c r="S126" s="13"/>
      <c r="T126" s="13"/>
      <c r="U126" s="13"/>
      <c r="V126" s="13"/>
      <c r="W126" s="13"/>
      <c r="X126" s="13"/>
      <c r="Y126" s="13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>
      <c r="A127" s="50" t="s">
        <v>128</v>
      </c>
      <c r="B127" s="51">
        <v>2196765</v>
      </c>
      <c r="C127" s="51">
        <v>106749</v>
      </c>
      <c r="D127" s="51">
        <v>82213</v>
      </c>
      <c r="E127" s="51">
        <v>244196</v>
      </c>
      <c r="F127" s="51">
        <v>7609</v>
      </c>
      <c r="G127" s="51">
        <v>6242</v>
      </c>
      <c r="H127" s="52">
        <v>48.6</v>
      </c>
      <c r="I127" s="52">
        <v>37.4</v>
      </c>
      <c r="J127" s="14"/>
      <c r="K127" s="51">
        <v>230791</v>
      </c>
      <c r="L127" s="51">
        <v>156815</v>
      </c>
      <c r="M127" s="51">
        <v>173578</v>
      </c>
      <c r="N127" s="51">
        <v>110876</v>
      </c>
      <c r="O127" s="51">
        <v>302393</v>
      </c>
      <c r="P127" s="51">
        <v>138130</v>
      </c>
      <c r="Q127" s="51">
        <v>120413</v>
      </c>
      <c r="R127" s="51">
        <v>363587</v>
      </c>
      <c r="S127" s="51">
        <v>196021</v>
      </c>
      <c r="T127" s="51">
        <v>111285</v>
      </c>
      <c r="U127" s="51">
        <v>153299</v>
      </c>
      <c r="V127" s="51">
        <v>139377</v>
      </c>
      <c r="W127" s="51"/>
      <c r="X127" s="51"/>
      <c r="Y127" s="51"/>
      <c r="Z127" s="1"/>
      <c r="AA127" s="46">
        <f>SUM(K127:Y127)</f>
        <v>2196565</v>
      </c>
      <c r="AB127" s="46">
        <f>SUM(K128:Y128)</f>
        <v>106749</v>
      </c>
      <c r="AC127" s="46">
        <f>SUM(K129:Y129)</f>
        <v>82213</v>
      </c>
      <c r="AD127" s="1"/>
      <c r="AE127" s="46">
        <f>AA127-B127</f>
        <v>-200</v>
      </c>
      <c r="AF127" s="46">
        <f>AB127-C127</f>
        <v>0</v>
      </c>
      <c r="AG127" s="46">
        <f>AC127-D127</f>
        <v>0</v>
      </c>
      <c r="AH127" s="1"/>
      <c r="AI127" s="47">
        <f>C127/B127*1000</f>
        <v>48.593727594895221</v>
      </c>
      <c r="AJ127" s="47">
        <f>D127/B127*1000</f>
        <v>37.424576593308799</v>
      </c>
      <c r="AK127" s="1"/>
      <c r="AL127" s="47">
        <f>AI127-H127</f>
        <v>-6.2724051047808871E-3</v>
      </c>
      <c r="AM127" s="47">
        <f>AJ127-I127</f>
        <v>2.4576593308800909E-2</v>
      </c>
    </row>
    <row r="128" spans="1:39">
      <c r="A128" s="12" t="s">
        <v>129</v>
      </c>
      <c r="B128" s="13"/>
      <c r="C128" s="13"/>
      <c r="D128" s="13"/>
      <c r="E128" s="13"/>
      <c r="F128" s="13"/>
      <c r="G128" s="13"/>
      <c r="H128" s="14"/>
      <c r="I128" s="14"/>
      <c r="J128" s="14"/>
      <c r="K128" s="13">
        <v>10580</v>
      </c>
      <c r="L128" s="13">
        <v>7015</v>
      </c>
      <c r="M128" s="13">
        <v>10224</v>
      </c>
      <c r="N128" s="13">
        <v>5513</v>
      </c>
      <c r="O128" s="13">
        <v>15158</v>
      </c>
      <c r="P128" s="13">
        <v>7268</v>
      </c>
      <c r="Q128" s="13">
        <v>5625</v>
      </c>
      <c r="R128" s="13">
        <v>15711</v>
      </c>
      <c r="S128" s="13">
        <v>9197</v>
      </c>
      <c r="T128" s="13">
        <v>5254</v>
      </c>
      <c r="U128" s="13">
        <v>8041</v>
      </c>
      <c r="V128" s="13">
        <v>7163</v>
      </c>
      <c r="W128" s="13"/>
      <c r="X128" s="13"/>
      <c r="Y128" s="13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>
      <c r="A129" s="12" t="s">
        <v>130</v>
      </c>
      <c r="B129" s="13"/>
      <c r="C129" s="13"/>
      <c r="D129" s="13"/>
      <c r="E129" s="13"/>
      <c r="F129" s="13"/>
      <c r="G129" s="13"/>
      <c r="H129" s="14"/>
      <c r="I129" s="14"/>
      <c r="J129" s="14"/>
      <c r="K129" s="13">
        <v>7922</v>
      </c>
      <c r="L129" s="13">
        <v>6417</v>
      </c>
      <c r="M129" s="13">
        <v>7390</v>
      </c>
      <c r="N129" s="13">
        <v>3748</v>
      </c>
      <c r="O129" s="13">
        <v>10817</v>
      </c>
      <c r="P129" s="13">
        <v>6280</v>
      </c>
      <c r="Q129" s="13">
        <v>4486</v>
      </c>
      <c r="R129" s="13">
        <v>12164</v>
      </c>
      <c r="S129" s="13">
        <v>7676</v>
      </c>
      <c r="T129" s="13">
        <v>4614</v>
      </c>
      <c r="U129" s="13">
        <v>5614</v>
      </c>
      <c r="V129" s="13">
        <v>5085</v>
      </c>
      <c r="W129" s="13"/>
      <c r="X129" s="13"/>
      <c r="Y129" s="13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>
      <c r="A130" s="50" t="s">
        <v>131</v>
      </c>
      <c r="B130" s="51">
        <v>1661570</v>
      </c>
      <c r="C130" s="51">
        <v>80547</v>
      </c>
      <c r="D130" s="51">
        <v>64692</v>
      </c>
      <c r="E130" s="51">
        <v>137957</v>
      </c>
      <c r="F130" s="51">
        <v>6543</v>
      </c>
      <c r="G130" s="51">
        <v>5683</v>
      </c>
      <c r="H130" s="52">
        <v>49.5</v>
      </c>
      <c r="I130" s="52">
        <v>40.700000000000003</v>
      </c>
      <c r="J130" s="14"/>
      <c r="K130" s="51">
        <v>163324</v>
      </c>
      <c r="L130" s="51">
        <v>179446</v>
      </c>
      <c r="M130" s="51">
        <v>215552</v>
      </c>
      <c r="N130" s="51">
        <v>130995</v>
      </c>
      <c r="O130" s="51">
        <v>187416</v>
      </c>
      <c r="P130" s="51">
        <v>166098</v>
      </c>
      <c r="Q130" s="51">
        <v>133057</v>
      </c>
      <c r="R130" s="51">
        <v>169161</v>
      </c>
      <c r="S130" s="51">
        <v>158096</v>
      </c>
      <c r="T130" s="51">
        <v>158425</v>
      </c>
      <c r="U130" s="51"/>
      <c r="V130" s="51"/>
      <c r="W130" s="51"/>
      <c r="X130" s="51"/>
      <c r="Y130" s="51"/>
      <c r="Z130" s="1"/>
      <c r="AA130" s="46">
        <f>SUM(K130:Y130)</f>
        <v>1661570</v>
      </c>
      <c r="AB130" s="46">
        <f>SUM(K131:Y131)</f>
        <v>80547</v>
      </c>
      <c r="AC130" s="46">
        <f>SUM(K132:Y132)</f>
        <v>64692</v>
      </c>
      <c r="AD130" s="1"/>
      <c r="AE130" s="46">
        <f>AA130-B130</f>
        <v>0</v>
      </c>
      <c r="AF130" s="46">
        <f>AB130-C130</f>
        <v>0</v>
      </c>
      <c r="AG130" s="46">
        <f>AC130-D130</f>
        <v>0</v>
      </c>
      <c r="AH130" s="1"/>
      <c r="AI130" s="47">
        <f>C130/B130*1000</f>
        <v>48.476440956444804</v>
      </c>
      <c r="AJ130" s="47">
        <f>D130/B130*1000</f>
        <v>38.934260970046402</v>
      </c>
      <c r="AK130" s="1"/>
      <c r="AL130" s="47">
        <f>AI130-H130</f>
        <v>-1.0235590435551956</v>
      </c>
      <c r="AM130" s="47">
        <f>AJ130-I130</f>
        <v>-1.7657390299536004</v>
      </c>
    </row>
    <row r="131" spans="1:39">
      <c r="A131" s="12" t="s">
        <v>132</v>
      </c>
      <c r="B131" s="13"/>
      <c r="C131" s="13"/>
      <c r="D131" s="13"/>
      <c r="E131" s="13"/>
      <c r="F131" s="13"/>
      <c r="G131" s="13"/>
      <c r="H131" s="14"/>
      <c r="I131" s="14"/>
      <c r="J131" s="14"/>
      <c r="K131" s="13">
        <v>8845</v>
      </c>
      <c r="L131" s="13">
        <v>9792</v>
      </c>
      <c r="M131" s="13">
        <v>10146</v>
      </c>
      <c r="N131" s="13">
        <v>5372</v>
      </c>
      <c r="O131" s="13">
        <v>9138</v>
      </c>
      <c r="P131" s="13">
        <v>6767</v>
      </c>
      <c r="Q131" s="13">
        <v>6742</v>
      </c>
      <c r="R131" s="13">
        <v>7961</v>
      </c>
      <c r="S131" s="13">
        <v>7322</v>
      </c>
      <c r="T131" s="13">
        <v>8462</v>
      </c>
      <c r="U131" s="13"/>
      <c r="V131" s="13"/>
      <c r="W131" s="13"/>
      <c r="X131" s="13"/>
      <c r="Y131" s="13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>
      <c r="A132" s="12" t="s">
        <v>133</v>
      </c>
      <c r="B132" s="13"/>
      <c r="C132" s="13"/>
      <c r="D132" s="13"/>
      <c r="E132" s="13"/>
      <c r="F132" s="13"/>
      <c r="G132" s="13"/>
      <c r="H132" s="14"/>
      <c r="I132" s="14"/>
      <c r="J132" s="14"/>
      <c r="K132" s="13">
        <v>6826</v>
      </c>
      <c r="L132" s="13">
        <v>6596</v>
      </c>
      <c r="M132" s="13">
        <v>7911</v>
      </c>
      <c r="N132" s="13">
        <v>5027</v>
      </c>
      <c r="O132" s="13">
        <v>6639</v>
      </c>
      <c r="P132" s="13">
        <v>5895</v>
      </c>
      <c r="Q132" s="13">
        <v>5134</v>
      </c>
      <c r="R132" s="13">
        <v>6296</v>
      </c>
      <c r="S132" s="13">
        <v>5815</v>
      </c>
      <c r="T132" s="13">
        <v>8553</v>
      </c>
      <c r="U132" s="13"/>
      <c r="V132" s="13"/>
      <c r="W132" s="13"/>
      <c r="X132" s="13"/>
      <c r="Y132" s="13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>
      <c r="A133" s="50" t="s">
        <v>134</v>
      </c>
      <c r="B133" s="51">
        <v>2893332</v>
      </c>
      <c r="C133" s="51">
        <v>159427</v>
      </c>
      <c r="D133" s="51">
        <v>119801</v>
      </c>
      <c r="E133" s="51">
        <v>150072</v>
      </c>
      <c r="F133" s="51">
        <v>5516</v>
      </c>
      <c r="G133" s="51">
        <v>5054</v>
      </c>
      <c r="H133" s="52">
        <v>55.1</v>
      </c>
      <c r="I133" s="52">
        <v>41.4</v>
      </c>
      <c r="J133" s="14"/>
      <c r="K133" s="51">
        <v>249207</v>
      </c>
      <c r="L133" s="51">
        <v>241148</v>
      </c>
      <c r="M133" s="51">
        <v>406090</v>
      </c>
      <c r="N133" s="51">
        <v>151286</v>
      </c>
      <c r="O133" s="51">
        <v>261851</v>
      </c>
      <c r="P133" s="51">
        <v>250050</v>
      </c>
      <c r="Q133" s="51">
        <v>131047</v>
      </c>
      <c r="R133" s="51">
        <v>288637</v>
      </c>
      <c r="S133" s="51">
        <v>266316</v>
      </c>
      <c r="T133" s="51">
        <v>218800</v>
      </c>
      <c r="U133" s="51">
        <v>100157</v>
      </c>
      <c r="V133" s="51">
        <v>328743</v>
      </c>
      <c r="W133" s="51"/>
      <c r="X133" s="51"/>
      <c r="Y133" s="51"/>
      <c r="Z133" s="1"/>
      <c r="AA133" s="46">
        <f>SUM(K133:Y133)</f>
        <v>2893332</v>
      </c>
      <c r="AB133" s="46">
        <f>SUM(K134:Y134)</f>
        <v>159427</v>
      </c>
      <c r="AC133" s="46">
        <f>SUM(K135:Y135)</f>
        <v>119801</v>
      </c>
      <c r="AD133" s="1"/>
      <c r="AE133" s="46">
        <f>AA133-B133</f>
        <v>0</v>
      </c>
      <c r="AF133" s="46">
        <f>AB133-C133</f>
        <v>0</v>
      </c>
      <c r="AG133" s="46">
        <f>AC133-D133</f>
        <v>0</v>
      </c>
      <c r="AH133" s="1"/>
      <c r="AI133" s="47">
        <f>C133/B133*1000</f>
        <v>55.101523088259491</v>
      </c>
      <c r="AJ133" s="47">
        <f>D133/B133*1000</f>
        <v>41.405894657094315</v>
      </c>
      <c r="AK133" s="1"/>
      <c r="AL133" s="47">
        <f>AI133-H133</f>
        <v>1.5230882594892137E-3</v>
      </c>
      <c r="AM133" s="47">
        <f>AJ133-I133</f>
        <v>5.8946570943163579E-3</v>
      </c>
    </row>
    <row r="134" spans="1:39">
      <c r="A134" s="12" t="s">
        <v>135</v>
      </c>
      <c r="B134" s="13"/>
      <c r="C134" s="13"/>
      <c r="D134" s="13"/>
      <c r="E134" s="13"/>
      <c r="F134" s="13"/>
      <c r="G134" s="13"/>
      <c r="H134" s="14"/>
      <c r="I134" s="14"/>
      <c r="J134" s="14"/>
      <c r="K134" s="13">
        <v>13955</v>
      </c>
      <c r="L134" s="13">
        <v>13508</v>
      </c>
      <c r="M134" s="13">
        <v>22220</v>
      </c>
      <c r="N134" s="13">
        <v>8826</v>
      </c>
      <c r="O134" s="13">
        <v>13907</v>
      </c>
      <c r="P134" s="13">
        <v>13978</v>
      </c>
      <c r="Q134" s="13">
        <v>8293</v>
      </c>
      <c r="R134" s="13">
        <v>17777</v>
      </c>
      <c r="S134" s="13">
        <v>13577</v>
      </c>
      <c r="T134" s="13">
        <v>12192</v>
      </c>
      <c r="U134" s="13">
        <v>5313</v>
      </c>
      <c r="V134" s="13">
        <v>15881</v>
      </c>
      <c r="W134" s="13"/>
      <c r="X134" s="13"/>
      <c r="Y134" s="13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>
      <c r="A135" s="12" t="s">
        <v>136</v>
      </c>
      <c r="B135" s="13"/>
      <c r="C135" s="13"/>
      <c r="D135" s="13"/>
      <c r="E135" s="13"/>
      <c r="F135" s="13"/>
      <c r="G135" s="13"/>
      <c r="H135" s="14"/>
      <c r="I135" s="14"/>
      <c r="J135" s="14"/>
      <c r="K135" s="13">
        <v>11079</v>
      </c>
      <c r="L135" s="13">
        <v>10811</v>
      </c>
      <c r="M135" s="13">
        <v>15615</v>
      </c>
      <c r="N135" s="13">
        <v>6830</v>
      </c>
      <c r="O135" s="13">
        <v>11114</v>
      </c>
      <c r="P135" s="13">
        <v>8818</v>
      </c>
      <c r="Q135" s="13">
        <v>7316</v>
      </c>
      <c r="R135" s="13">
        <v>11895</v>
      </c>
      <c r="S135" s="13">
        <v>10292</v>
      </c>
      <c r="T135" s="13">
        <v>9762</v>
      </c>
      <c r="U135" s="13">
        <v>3670</v>
      </c>
      <c r="V135" s="13">
        <v>12599</v>
      </c>
      <c r="W135" s="13"/>
      <c r="X135" s="13"/>
      <c r="Y135" s="13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>
      <c r="A136" s="50" t="s">
        <v>137</v>
      </c>
      <c r="B136" s="51">
        <v>3103588</v>
      </c>
      <c r="C136" s="51">
        <v>131430</v>
      </c>
      <c r="D136" s="51">
        <v>74706</v>
      </c>
      <c r="E136" s="51">
        <v>260714</v>
      </c>
      <c r="F136" s="51">
        <v>10738</v>
      </c>
      <c r="G136" s="51">
        <v>6640</v>
      </c>
      <c r="H136" s="52">
        <v>42.4</v>
      </c>
      <c r="I136" s="52">
        <v>24.1</v>
      </c>
      <c r="J136" s="14"/>
      <c r="K136" s="51">
        <v>246611</v>
      </c>
      <c r="L136" s="51">
        <v>182604</v>
      </c>
      <c r="M136" s="51">
        <v>251777</v>
      </c>
      <c r="N136" s="51">
        <v>159858</v>
      </c>
      <c r="O136" s="51">
        <v>264663</v>
      </c>
      <c r="P136" s="51">
        <v>214726</v>
      </c>
      <c r="Q136" s="51">
        <v>271261</v>
      </c>
      <c r="R136" s="51">
        <v>160523</v>
      </c>
      <c r="S136" s="51">
        <v>144247</v>
      </c>
      <c r="T136" s="51">
        <v>174271</v>
      </c>
      <c r="U136" s="51">
        <v>214984</v>
      </c>
      <c r="V136" s="51">
        <v>181457</v>
      </c>
      <c r="W136" s="51">
        <v>228490</v>
      </c>
      <c r="X136" s="51">
        <v>222829</v>
      </c>
      <c r="Y136" s="51">
        <v>185287</v>
      </c>
      <c r="Z136" s="1"/>
      <c r="AA136" s="46">
        <f>SUM(K136:Y136)</f>
        <v>3103588</v>
      </c>
      <c r="AB136" s="46">
        <f>SUM(K137:Y137)</f>
        <v>131430</v>
      </c>
      <c r="AC136" s="46">
        <f>SUM(K138:Y138)</f>
        <v>74706</v>
      </c>
      <c r="AD136" s="1"/>
      <c r="AE136" s="46">
        <f>AA136-B136</f>
        <v>0</v>
      </c>
      <c r="AF136" s="46">
        <f>AB136-C136</f>
        <v>0</v>
      </c>
      <c r="AG136" s="46">
        <f>AC136-D136</f>
        <v>0</v>
      </c>
      <c r="AH136" s="1"/>
      <c r="AI136" s="47">
        <f>C136/B136*1000</f>
        <v>42.347760076401897</v>
      </c>
      <c r="AJ136" s="47">
        <f>D136/B136*1000</f>
        <v>24.070849610193108</v>
      </c>
      <c r="AK136" s="1"/>
      <c r="AL136" s="47">
        <f>AI136-H136</f>
        <v>-5.2239923598101257E-2</v>
      </c>
      <c r="AM136" s="47">
        <f>AJ136-I136</f>
        <v>-2.9150389806893884E-2</v>
      </c>
    </row>
    <row r="137" spans="1:39">
      <c r="A137" s="12" t="s">
        <v>138</v>
      </c>
      <c r="B137" s="13"/>
      <c r="C137" s="13"/>
      <c r="D137" s="13"/>
      <c r="E137" s="13"/>
      <c r="F137" s="13"/>
      <c r="G137" s="13"/>
      <c r="H137" s="14"/>
      <c r="I137" s="14"/>
      <c r="J137" s="14"/>
      <c r="K137" s="13">
        <v>10096</v>
      </c>
      <c r="L137" s="13">
        <v>7383</v>
      </c>
      <c r="M137" s="13">
        <v>11390</v>
      </c>
      <c r="N137" s="13">
        <v>6348</v>
      </c>
      <c r="O137" s="13">
        <v>9866</v>
      </c>
      <c r="P137" s="13">
        <v>12249</v>
      </c>
      <c r="Q137" s="13">
        <v>10945</v>
      </c>
      <c r="R137" s="13">
        <v>6603</v>
      </c>
      <c r="S137" s="13">
        <v>6861</v>
      </c>
      <c r="T137" s="13">
        <v>7049</v>
      </c>
      <c r="U137" s="13">
        <v>8421</v>
      </c>
      <c r="V137" s="13">
        <v>8213</v>
      </c>
      <c r="W137" s="13">
        <v>9085</v>
      </c>
      <c r="X137" s="13">
        <v>8606</v>
      </c>
      <c r="Y137" s="13">
        <v>8315</v>
      </c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>
      <c r="A138" s="12" t="s">
        <v>139</v>
      </c>
      <c r="B138" s="13"/>
      <c r="C138" s="13"/>
      <c r="D138" s="13"/>
      <c r="E138" s="13"/>
      <c r="F138" s="13"/>
      <c r="G138" s="13"/>
      <c r="H138" s="14"/>
      <c r="I138" s="14"/>
      <c r="J138" s="14"/>
      <c r="K138" s="13">
        <v>6379</v>
      </c>
      <c r="L138" s="13">
        <v>4432</v>
      </c>
      <c r="M138" s="13">
        <v>5991</v>
      </c>
      <c r="N138" s="13">
        <v>3974</v>
      </c>
      <c r="O138" s="13">
        <v>5256</v>
      </c>
      <c r="P138" s="13">
        <v>5856</v>
      </c>
      <c r="Q138" s="13">
        <v>6194</v>
      </c>
      <c r="R138" s="13">
        <v>4644</v>
      </c>
      <c r="S138" s="13">
        <v>3540</v>
      </c>
      <c r="T138" s="13">
        <v>4983</v>
      </c>
      <c r="U138" s="13">
        <v>5270</v>
      </c>
      <c r="V138" s="13">
        <v>4065</v>
      </c>
      <c r="W138" s="13">
        <v>4854</v>
      </c>
      <c r="X138" s="13">
        <v>5217</v>
      </c>
      <c r="Y138" s="13">
        <v>4051</v>
      </c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>
      <c r="A139" s="50" t="s">
        <v>140</v>
      </c>
      <c r="B139" s="51">
        <v>1095583</v>
      </c>
      <c r="C139" s="51">
        <v>52015</v>
      </c>
      <c r="D139" s="51">
        <v>33832</v>
      </c>
      <c r="E139" s="53" t="s">
        <v>9</v>
      </c>
      <c r="F139" s="53" t="s">
        <v>9</v>
      </c>
      <c r="G139" s="53" t="s">
        <v>9</v>
      </c>
      <c r="H139" s="52">
        <v>47.5</v>
      </c>
      <c r="I139" s="52">
        <v>30.9</v>
      </c>
      <c r="J139" s="11"/>
      <c r="K139" s="51">
        <v>228909</v>
      </c>
      <c r="L139" s="51">
        <v>118289</v>
      </c>
      <c r="M139" s="51">
        <v>110484</v>
      </c>
      <c r="N139" s="51">
        <v>136255</v>
      </c>
      <c r="O139" s="51">
        <v>168524</v>
      </c>
      <c r="P139" s="51">
        <v>173364</v>
      </c>
      <c r="Q139" s="51">
        <v>81325</v>
      </c>
      <c r="R139" s="51">
        <v>78433</v>
      </c>
      <c r="S139" s="51"/>
      <c r="T139" s="51"/>
      <c r="U139" s="51"/>
      <c r="V139" s="51"/>
      <c r="W139" s="51"/>
      <c r="X139" s="51"/>
      <c r="Y139" s="51"/>
      <c r="Z139" s="1"/>
      <c r="AA139" s="46">
        <f>SUM(K139:Y139)</f>
        <v>1095583</v>
      </c>
      <c r="AB139" s="46">
        <f>SUM(K140:Y140)</f>
        <v>52015</v>
      </c>
      <c r="AC139" s="46">
        <f>SUM(K141:Y141)</f>
        <v>33832</v>
      </c>
      <c r="AD139" s="1"/>
      <c r="AE139" s="46">
        <f>AA139-B139</f>
        <v>0</v>
      </c>
      <c r="AF139" s="46">
        <f>AB139-C139</f>
        <v>0</v>
      </c>
      <c r="AG139" s="46">
        <f>AC139-D139</f>
        <v>0</v>
      </c>
      <c r="AH139" s="1"/>
      <c r="AI139" s="47">
        <f>C139/B139*1000</f>
        <v>47.477005393475437</v>
      </c>
      <c r="AJ139" s="47">
        <f>D139/B139*1000</f>
        <v>30.880362327637432</v>
      </c>
      <c r="AK139" s="1"/>
      <c r="AL139" s="47">
        <f>AI139-H139</f>
        <v>-2.2994606524562755E-2</v>
      </c>
      <c r="AM139" s="47">
        <f>AJ139-I139</f>
        <v>-1.963767236256686E-2</v>
      </c>
    </row>
    <row r="140" spans="1:39">
      <c r="A140" s="12" t="s">
        <v>141</v>
      </c>
      <c r="B140" s="13"/>
      <c r="C140" s="13"/>
      <c r="D140" s="13"/>
      <c r="E140" s="13"/>
      <c r="F140" s="13"/>
      <c r="G140" s="13"/>
      <c r="H140" s="14"/>
      <c r="I140" s="14"/>
      <c r="J140" s="14"/>
      <c r="K140" s="13">
        <v>9897</v>
      </c>
      <c r="L140" s="13">
        <v>6324</v>
      </c>
      <c r="M140" s="13">
        <v>5259</v>
      </c>
      <c r="N140" s="13">
        <v>6605</v>
      </c>
      <c r="O140" s="13">
        <v>7796</v>
      </c>
      <c r="P140" s="13">
        <v>7480</v>
      </c>
      <c r="Q140" s="13">
        <v>4434</v>
      </c>
      <c r="R140" s="13">
        <v>4220</v>
      </c>
      <c r="S140" s="13"/>
      <c r="T140" s="13"/>
      <c r="U140" s="13"/>
      <c r="V140" s="13"/>
      <c r="W140" s="13"/>
      <c r="X140" s="13"/>
      <c r="Y140" s="13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>
      <c r="A141" s="12" t="s">
        <v>142</v>
      </c>
      <c r="B141" s="13"/>
      <c r="C141" s="13"/>
      <c r="D141" s="13"/>
      <c r="E141" s="13"/>
      <c r="F141" s="13"/>
      <c r="G141" s="13"/>
      <c r="H141" s="14"/>
      <c r="I141" s="14"/>
      <c r="J141" s="14"/>
      <c r="K141" s="13">
        <v>6901</v>
      </c>
      <c r="L141" s="13">
        <v>4382</v>
      </c>
      <c r="M141" s="13">
        <v>3458</v>
      </c>
      <c r="N141" s="13">
        <v>3882</v>
      </c>
      <c r="O141" s="13">
        <v>4358</v>
      </c>
      <c r="P141" s="13">
        <v>4968</v>
      </c>
      <c r="Q141" s="13">
        <v>2991</v>
      </c>
      <c r="R141" s="13">
        <v>2892</v>
      </c>
      <c r="S141" s="13"/>
      <c r="T141" s="13"/>
      <c r="U141" s="13"/>
      <c r="V141" s="13"/>
      <c r="W141" s="13"/>
      <c r="X141" s="13"/>
      <c r="Y141" s="13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>
      <c r="A142" s="50" t="s">
        <v>143</v>
      </c>
      <c r="B142" s="51">
        <v>1954310</v>
      </c>
      <c r="C142" s="51">
        <v>91299</v>
      </c>
      <c r="D142" s="51">
        <v>63844</v>
      </c>
      <c r="E142" s="51">
        <v>113516</v>
      </c>
      <c r="F142" s="51">
        <v>6318</v>
      </c>
      <c r="G142" s="51">
        <v>5161</v>
      </c>
      <c r="H142" s="52">
        <v>46.7</v>
      </c>
      <c r="I142" s="52">
        <v>32.700000000000003</v>
      </c>
      <c r="J142" s="14"/>
      <c r="K142" s="51">
        <v>226743</v>
      </c>
      <c r="L142" s="51">
        <v>112089</v>
      </c>
      <c r="M142" s="51">
        <v>160300</v>
      </c>
      <c r="N142" s="51">
        <v>149322</v>
      </c>
      <c r="O142" s="51">
        <v>186846</v>
      </c>
      <c r="P142" s="51">
        <v>163715</v>
      </c>
      <c r="Q142" s="51">
        <v>123520</v>
      </c>
      <c r="R142" s="51">
        <v>157692</v>
      </c>
      <c r="S142" s="51">
        <v>146875</v>
      </c>
      <c r="T142" s="51">
        <v>168242</v>
      </c>
      <c r="U142" s="51">
        <v>188555</v>
      </c>
      <c r="V142" s="51">
        <v>170411</v>
      </c>
      <c r="W142" s="51"/>
      <c r="X142" s="51"/>
      <c r="Y142" s="51"/>
      <c r="Z142" s="1"/>
      <c r="AA142" s="46">
        <f>SUM(K142:Y142)</f>
        <v>1954310</v>
      </c>
      <c r="AB142" s="46">
        <f>SUM(K143:Y143)</f>
        <v>91299</v>
      </c>
      <c r="AC142" s="46">
        <f>SUM(K144:Y144)</f>
        <v>61844</v>
      </c>
      <c r="AD142" s="1"/>
      <c r="AE142" s="46">
        <f>AA142-B142</f>
        <v>0</v>
      </c>
      <c r="AF142" s="46">
        <f>AB142-C142</f>
        <v>0</v>
      </c>
      <c r="AG142" s="46">
        <f>AC142-D142</f>
        <v>-2000</v>
      </c>
      <c r="AH142" s="1"/>
      <c r="AI142" s="47">
        <f>C142/B142*1000</f>
        <v>46.716744017069963</v>
      </c>
      <c r="AJ142" s="47">
        <f>D142/B142*1000</f>
        <v>32.668307484483016</v>
      </c>
      <c r="AK142" s="1"/>
      <c r="AL142" s="47">
        <f>AI142-H142</f>
        <v>1.6744017069960648E-2</v>
      </c>
      <c r="AM142" s="47">
        <f>AJ142-I142</f>
        <v>-3.169251551698693E-2</v>
      </c>
    </row>
    <row r="143" spans="1:39">
      <c r="A143" s="12" t="s">
        <v>144</v>
      </c>
      <c r="B143" s="13"/>
      <c r="C143" s="13"/>
      <c r="D143" s="13"/>
      <c r="E143" s="13"/>
      <c r="F143" s="13"/>
      <c r="G143" s="13"/>
      <c r="H143" s="14"/>
      <c r="I143" s="14"/>
      <c r="J143" s="14"/>
      <c r="K143" s="13">
        <v>9467</v>
      </c>
      <c r="L143" s="13">
        <v>5484</v>
      </c>
      <c r="M143" s="13">
        <v>9075</v>
      </c>
      <c r="N143" s="13">
        <v>5801</v>
      </c>
      <c r="O143" s="13">
        <v>8002</v>
      </c>
      <c r="P143" s="13">
        <v>7852</v>
      </c>
      <c r="Q143" s="13">
        <v>5147</v>
      </c>
      <c r="R143" s="13">
        <v>8240</v>
      </c>
      <c r="S143" s="13">
        <v>7300</v>
      </c>
      <c r="T143" s="13">
        <v>8561</v>
      </c>
      <c r="U143" s="13">
        <v>8931</v>
      </c>
      <c r="V143" s="13">
        <v>7439</v>
      </c>
      <c r="W143" s="13"/>
      <c r="X143" s="13"/>
      <c r="Y143" s="13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>
      <c r="A144" s="12" t="s">
        <v>145</v>
      </c>
      <c r="B144" s="13"/>
      <c r="C144" s="13"/>
      <c r="D144" s="13"/>
      <c r="E144" s="13"/>
      <c r="F144" s="13"/>
      <c r="G144" s="13"/>
      <c r="H144" s="14"/>
      <c r="I144" s="14"/>
      <c r="J144" s="14"/>
      <c r="K144" s="13">
        <v>6920</v>
      </c>
      <c r="L144" s="13">
        <v>3788</v>
      </c>
      <c r="M144" s="13">
        <v>5874</v>
      </c>
      <c r="N144" s="13">
        <v>4028</v>
      </c>
      <c r="O144" s="13">
        <v>5217</v>
      </c>
      <c r="P144" s="13">
        <v>5371</v>
      </c>
      <c r="Q144" s="13">
        <v>3802</v>
      </c>
      <c r="R144" s="13">
        <v>6269</v>
      </c>
      <c r="S144" s="13">
        <v>5294</v>
      </c>
      <c r="T144" s="13">
        <v>6443</v>
      </c>
      <c r="U144" s="13">
        <v>3997</v>
      </c>
      <c r="V144" s="13">
        <v>4841</v>
      </c>
      <c r="W144" s="13"/>
      <c r="X144" s="13"/>
      <c r="Y144" s="13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>
      <c r="A145" s="54" t="s">
        <v>146</v>
      </c>
      <c r="B145" s="55">
        <v>2705016</v>
      </c>
      <c r="C145" s="55">
        <v>145453</v>
      </c>
      <c r="D145" s="55">
        <v>104043</v>
      </c>
      <c r="E145" s="55">
        <v>165903</v>
      </c>
      <c r="F145" s="55">
        <v>6897</v>
      </c>
      <c r="G145" s="55">
        <v>6557</v>
      </c>
      <c r="H145" s="56">
        <v>53.8</v>
      </c>
      <c r="I145" s="56">
        <v>38.5</v>
      </c>
      <c r="J145" s="14"/>
      <c r="K145" s="55">
        <v>343879</v>
      </c>
      <c r="L145" s="55">
        <v>304419</v>
      </c>
      <c r="M145" s="55">
        <v>395768</v>
      </c>
      <c r="N145" s="55">
        <v>462383</v>
      </c>
      <c r="O145" s="55">
        <v>506105</v>
      </c>
      <c r="P145" s="55">
        <v>415213</v>
      </c>
      <c r="Q145" s="55">
        <v>277249</v>
      </c>
      <c r="R145" s="55"/>
      <c r="S145" s="55"/>
      <c r="T145" s="55"/>
      <c r="U145" s="55"/>
      <c r="V145" s="55"/>
      <c r="W145" s="55"/>
      <c r="X145" s="55"/>
      <c r="Y145" s="55"/>
      <c r="Z145" s="1"/>
      <c r="AA145" s="46">
        <f>SUM(K145:Y145)</f>
        <v>2705016</v>
      </c>
      <c r="AB145" s="46">
        <f>SUM(K146:Y146)</f>
        <v>145453</v>
      </c>
      <c r="AC145" s="46">
        <f>SUM(K147:Y147)</f>
        <v>104034</v>
      </c>
      <c r="AD145" s="1"/>
      <c r="AE145" s="46">
        <f>AA145-B145</f>
        <v>0</v>
      </c>
      <c r="AF145" s="46">
        <f>AB145-C145</f>
        <v>0</v>
      </c>
      <c r="AG145" s="46">
        <f>AC145-D145</f>
        <v>-9</v>
      </c>
      <c r="AH145" s="1"/>
      <c r="AI145" s="47">
        <f>C145/B145*1000</f>
        <v>53.771585824261294</v>
      </c>
      <c r="AJ145" s="47">
        <f>D145/B145*1000</f>
        <v>38.462988758661687</v>
      </c>
      <c r="AK145" s="1"/>
      <c r="AL145" s="47">
        <f>AI145-H145</f>
        <v>-2.8414175738703307E-2</v>
      </c>
      <c r="AM145" s="47">
        <f>AJ145-I145</f>
        <v>-3.7011241338312573E-2</v>
      </c>
    </row>
    <row r="146" spans="1:39">
      <c r="A146" s="12" t="s">
        <v>147</v>
      </c>
      <c r="B146" s="13"/>
      <c r="C146" s="13"/>
      <c r="D146" s="13"/>
      <c r="E146" s="13"/>
      <c r="F146" s="13"/>
      <c r="G146" s="13"/>
      <c r="H146" s="14"/>
      <c r="I146" s="14"/>
      <c r="J146" s="14"/>
      <c r="K146" s="13">
        <v>19148</v>
      </c>
      <c r="L146" s="13">
        <v>14685</v>
      </c>
      <c r="M146" s="13">
        <v>18486</v>
      </c>
      <c r="N146" s="13">
        <v>27039</v>
      </c>
      <c r="O146" s="13">
        <v>26598</v>
      </c>
      <c r="P146" s="13">
        <v>23593</v>
      </c>
      <c r="Q146" s="13">
        <v>15904</v>
      </c>
      <c r="R146" s="13"/>
      <c r="S146" s="13"/>
      <c r="T146" s="13"/>
      <c r="U146" s="13"/>
      <c r="V146" s="13"/>
      <c r="W146" s="13"/>
      <c r="X146" s="13"/>
      <c r="Y146" s="13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>
      <c r="A147" s="12" t="s">
        <v>148</v>
      </c>
      <c r="B147" s="13"/>
      <c r="C147" s="13"/>
      <c r="D147" s="13"/>
      <c r="E147" s="13"/>
      <c r="F147" s="13"/>
      <c r="G147" s="13"/>
      <c r="H147" s="14"/>
      <c r="I147" s="14"/>
      <c r="J147" s="14"/>
      <c r="K147" s="13">
        <v>17868</v>
      </c>
      <c r="L147" s="13">
        <v>7526</v>
      </c>
      <c r="M147" s="13">
        <v>9438</v>
      </c>
      <c r="N147" s="13">
        <v>17330</v>
      </c>
      <c r="O147" s="13">
        <v>24978</v>
      </c>
      <c r="P147" s="13">
        <v>14230</v>
      </c>
      <c r="Q147" s="13">
        <v>12664</v>
      </c>
      <c r="R147" s="13"/>
      <c r="S147" s="13"/>
      <c r="T147" s="13"/>
      <c r="U147" s="13"/>
      <c r="V147" s="13"/>
      <c r="W147" s="13"/>
      <c r="X147" s="13"/>
      <c r="Y147" s="13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>
      <c r="A148" s="54" t="s">
        <v>149</v>
      </c>
      <c r="B148" s="55">
        <v>938113</v>
      </c>
      <c r="C148" s="55">
        <v>31826</v>
      </c>
      <c r="D148" s="55">
        <v>31081</v>
      </c>
      <c r="E148" s="55"/>
      <c r="F148" s="55"/>
      <c r="G148" s="55"/>
      <c r="H148" s="56">
        <v>30.7</v>
      </c>
      <c r="I148" s="56">
        <v>30</v>
      </c>
      <c r="J148" s="14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1"/>
      <c r="AA148" s="46">
        <f>B148</f>
        <v>938113</v>
      </c>
      <c r="AB148" s="46">
        <f>C148</f>
        <v>31826</v>
      </c>
      <c r="AC148" s="46">
        <f>D148</f>
        <v>31081</v>
      </c>
      <c r="AD148" s="1"/>
      <c r="AE148" s="68"/>
      <c r="AF148" s="68"/>
      <c r="AG148" s="68"/>
      <c r="AH148" s="1"/>
      <c r="AI148" s="47">
        <f>C148/B148*1000</f>
        <v>33.925550546682544</v>
      </c>
      <c r="AJ148" s="47">
        <f>D148/B148*1000</f>
        <v>33.131403146529259</v>
      </c>
      <c r="AK148" s="1"/>
      <c r="AL148" s="47">
        <f>AI148-H148</f>
        <v>3.2255505466825447</v>
      </c>
      <c r="AM148" s="47">
        <f>AJ148-I148</f>
        <v>3.1314031465292587</v>
      </c>
    </row>
    <row r="149" spans="1:39">
      <c r="A149" s="54" t="s">
        <v>150</v>
      </c>
      <c r="B149" s="55">
        <v>831376</v>
      </c>
      <c r="C149" s="55">
        <v>27595</v>
      </c>
      <c r="D149" s="55">
        <v>23172</v>
      </c>
      <c r="E149" s="55">
        <v>89296</v>
      </c>
      <c r="F149" s="55">
        <v>1601</v>
      </c>
      <c r="G149" s="55">
        <v>1439</v>
      </c>
      <c r="H149" s="56">
        <v>33.200000000000003</v>
      </c>
      <c r="I149" s="56">
        <v>27.9</v>
      </c>
      <c r="J149" s="14"/>
      <c r="K149" s="55">
        <v>131975</v>
      </c>
      <c r="L149" s="55">
        <v>154392</v>
      </c>
      <c r="M149" s="55">
        <v>115365</v>
      </c>
      <c r="N149" s="55">
        <v>91689</v>
      </c>
      <c r="O149" s="55">
        <v>77116</v>
      </c>
      <c r="P149" s="55">
        <v>133721</v>
      </c>
      <c r="Q149" s="55">
        <v>49733</v>
      </c>
      <c r="R149" s="55">
        <v>82785</v>
      </c>
      <c r="S149" s="55"/>
      <c r="T149" s="55"/>
      <c r="U149" s="55"/>
      <c r="V149" s="55"/>
      <c r="W149" s="55"/>
      <c r="X149" s="55"/>
      <c r="Y149" s="55"/>
      <c r="Z149" s="1"/>
      <c r="AA149" s="46">
        <f>SUM(K149:Y149)</f>
        <v>836776</v>
      </c>
      <c r="AB149" s="46">
        <f>SUM(K150:Y150)</f>
        <v>27596</v>
      </c>
      <c r="AC149" s="46">
        <f>SUM(K151:Y151)</f>
        <v>23172</v>
      </c>
      <c r="AD149" s="1"/>
      <c r="AE149" s="46">
        <f>AA149-B149</f>
        <v>5400</v>
      </c>
      <c r="AF149" s="46">
        <f>AB149-C149</f>
        <v>1</v>
      </c>
      <c r="AG149" s="46">
        <f>AC149-D149</f>
        <v>0</v>
      </c>
      <c r="AH149" s="1"/>
      <c r="AI149" s="47">
        <f>C149/B149*1000</f>
        <v>33.191961278651299</v>
      </c>
      <c r="AJ149" s="47">
        <f>D149/B149*1000</f>
        <v>27.871865437539693</v>
      </c>
      <c r="AK149" s="1"/>
      <c r="AL149" s="47">
        <f>AI149-H149</f>
        <v>-8.0387213487043141E-3</v>
      </c>
      <c r="AM149" s="47">
        <f>AJ149-I149</f>
        <v>-2.8134562460305546E-2</v>
      </c>
    </row>
    <row r="150" spans="1:39">
      <c r="A150" s="12" t="s">
        <v>151</v>
      </c>
      <c r="B150" s="13"/>
      <c r="C150" s="13"/>
      <c r="D150" s="13"/>
      <c r="E150" s="13"/>
      <c r="F150" s="13"/>
      <c r="G150" s="13"/>
      <c r="H150" s="14"/>
      <c r="I150" s="14"/>
      <c r="J150" s="14"/>
      <c r="K150" s="13">
        <v>4628</v>
      </c>
      <c r="L150" s="13">
        <v>4550</v>
      </c>
      <c r="M150" s="13">
        <v>4325</v>
      </c>
      <c r="N150" s="13">
        <v>3347</v>
      </c>
      <c r="O150" s="13">
        <v>2543</v>
      </c>
      <c r="P150" s="13">
        <v>3491</v>
      </c>
      <c r="Q150" s="13">
        <v>2039</v>
      </c>
      <c r="R150" s="13">
        <v>2673</v>
      </c>
      <c r="S150" s="13"/>
      <c r="T150" s="13"/>
      <c r="U150" s="13"/>
      <c r="V150" s="13"/>
      <c r="W150" s="13"/>
      <c r="X150" s="13"/>
      <c r="Y150" s="13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>
      <c r="A151" s="12" t="s">
        <v>152</v>
      </c>
      <c r="B151" s="13"/>
      <c r="C151" s="13"/>
      <c r="D151" s="13"/>
      <c r="E151" s="13"/>
      <c r="F151" s="13"/>
      <c r="G151" s="13"/>
      <c r="H151" s="14"/>
      <c r="I151" s="14"/>
      <c r="J151" s="14"/>
      <c r="K151" s="13">
        <v>3812</v>
      </c>
      <c r="L151" s="13">
        <v>3765</v>
      </c>
      <c r="M151" s="13">
        <v>3510</v>
      </c>
      <c r="N151" s="13">
        <v>3091</v>
      </c>
      <c r="O151" s="13">
        <v>2145</v>
      </c>
      <c r="P151" s="13">
        <v>2989</v>
      </c>
      <c r="Q151" s="13">
        <v>1783</v>
      </c>
      <c r="R151" s="13">
        <v>2077</v>
      </c>
      <c r="S151" s="13"/>
      <c r="T151" s="13"/>
      <c r="U151" s="13"/>
      <c r="V151" s="13"/>
      <c r="W151" s="13"/>
      <c r="X151" s="13"/>
      <c r="Y151" s="13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>
      <c r="A152" s="54" t="s">
        <v>153</v>
      </c>
      <c r="B152" s="55">
        <v>2494379</v>
      </c>
      <c r="C152" s="55">
        <v>128884</v>
      </c>
      <c r="D152" s="55">
        <v>98942</v>
      </c>
      <c r="E152" s="55">
        <v>330815</v>
      </c>
      <c r="F152" s="55">
        <v>14216</v>
      </c>
      <c r="G152" s="55">
        <v>13047</v>
      </c>
      <c r="H152" s="56">
        <v>51.7</v>
      </c>
      <c r="I152" s="56">
        <v>39.6</v>
      </c>
      <c r="J152" s="14"/>
      <c r="K152" s="55">
        <v>323971</v>
      </c>
      <c r="L152" s="55">
        <v>302513</v>
      </c>
      <c r="M152" s="55">
        <v>301100</v>
      </c>
      <c r="N152" s="55">
        <v>204301</v>
      </c>
      <c r="O152" s="55">
        <v>362253</v>
      </c>
      <c r="P152" s="55">
        <v>186268</v>
      </c>
      <c r="Q152" s="55">
        <v>227679</v>
      </c>
      <c r="R152" s="55">
        <v>224264</v>
      </c>
      <c r="S152" s="55">
        <v>208447</v>
      </c>
      <c r="T152" s="55">
        <v>136721</v>
      </c>
      <c r="U152" s="55"/>
      <c r="V152" s="55"/>
      <c r="W152" s="55"/>
      <c r="X152" s="55"/>
      <c r="Y152" s="55"/>
      <c r="Z152" s="1"/>
      <c r="AA152" s="46">
        <f>SUM(K152:Y152)</f>
        <v>2477517</v>
      </c>
      <c r="AB152" s="46">
        <f>SUM(K153:Y153)</f>
        <v>128884</v>
      </c>
      <c r="AC152" s="46">
        <f>SUM(K154:Y154)</f>
        <v>98942</v>
      </c>
      <c r="AD152" s="1"/>
      <c r="AE152" s="46">
        <f>AA152-B152</f>
        <v>-16862</v>
      </c>
      <c r="AF152" s="46">
        <f>AB152-C152</f>
        <v>0</v>
      </c>
      <c r="AG152" s="46">
        <f>AC152-D152</f>
        <v>0</v>
      </c>
      <c r="AH152" s="1"/>
      <c r="AI152" s="47">
        <f>C152/B152*1000</f>
        <v>51.669774320582398</v>
      </c>
      <c r="AJ152" s="47">
        <f>D152/B152*1000</f>
        <v>39.665985000675519</v>
      </c>
      <c r="AK152" s="1"/>
      <c r="AL152" s="47">
        <f>AI152-H152</f>
        <v>-3.0225679417604567E-2</v>
      </c>
      <c r="AM152" s="47">
        <f>AJ152-I152</f>
        <v>6.5985000675517824E-2</v>
      </c>
    </row>
    <row r="153" spans="1:39">
      <c r="A153" s="12" t="s">
        <v>154</v>
      </c>
      <c r="B153" s="13"/>
      <c r="C153" s="13"/>
      <c r="D153" s="13"/>
      <c r="E153" s="13"/>
      <c r="F153" s="13"/>
      <c r="G153" s="13"/>
      <c r="H153" s="14"/>
      <c r="I153" s="14"/>
      <c r="J153" s="14"/>
      <c r="K153" s="13">
        <v>16235</v>
      </c>
      <c r="L153" s="13">
        <v>15896</v>
      </c>
      <c r="M153" s="13">
        <v>17118</v>
      </c>
      <c r="N153" s="13">
        <v>9624</v>
      </c>
      <c r="O153" s="13">
        <v>16837</v>
      </c>
      <c r="P153" s="13">
        <v>9523</v>
      </c>
      <c r="Q153" s="13">
        <v>12402</v>
      </c>
      <c r="R153" s="13">
        <v>12509</v>
      </c>
      <c r="S153" s="13">
        <v>10417</v>
      </c>
      <c r="T153" s="13">
        <v>8323</v>
      </c>
      <c r="U153" s="13"/>
      <c r="V153" s="13"/>
      <c r="W153" s="13"/>
      <c r="X153" s="13"/>
      <c r="Y153" s="13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>
      <c r="A154" s="12" t="s">
        <v>155</v>
      </c>
      <c r="B154" s="13"/>
      <c r="C154" s="13"/>
      <c r="D154" s="13"/>
      <c r="E154" s="13"/>
      <c r="F154" s="13"/>
      <c r="G154" s="13"/>
      <c r="H154" s="14"/>
      <c r="I154" s="14"/>
      <c r="J154" s="14"/>
      <c r="K154" s="13">
        <v>13498</v>
      </c>
      <c r="L154" s="13">
        <v>12115</v>
      </c>
      <c r="M154" s="13">
        <v>14799</v>
      </c>
      <c r="N154" s="13">
        <v>7184</v>
      </c>
      <c r="O154" s="13">
        <v>13406</v>
      </c>
      <c r="P154" s="13">
        <v>6308</v>
      </c>
      <c r="Q154" s="13">
        <v>7901</v>
      </c>
      <c r="R154" s="13">
        <v>9072</v>
      </c>
      <c r="S154" s="13">
        <v>7749</v>
      </c>
      <c r="T154" s="13">
        <v>6910</v>
      </c>
      <c r="U154" s="13"/>
      <c r="V154" s="13"/>
      <c r="W154" s="13"/>
      <c r="X154" s="13"/>
      <c r="Y154" s="13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>
      <c r="A155" s="54" t="s">
        <v>156</v>
      </c>
      <c r="B155" s="55">
        <v>1562332</v>
      </c>
      <c r="C155" s="55">
        <v>81300</v>
      </c>
      <c r="D155" s="55">
        <v>62726</v>
      </c>
      <c r="E155" s="57" t="s">
        <v>9</v>
      </c>
      <c r="F155" s="57" t="s">
        <v>9</v>
      </c>
      <c r="G155" s="57" t="s">
        <v>9</v>
      </c>
      <c r="H155" s="56">
        <v>52</v>
      </c>
      <c r="I155" s="56">
        <v>40.200000000000003</v>
      </c>
      <c r="J155" s="11"/>
      <c r="K155" s="55">
        <v>228143</v>
      </c>
      <c r="L155" s="55">
        <v>171990</v>
      </c>
      <c r="M155" s="55">
        <v>199351</v>
      </c>
      <c r="N155" s="55">
        <v>184733</v>
      </c>
      <c r="O155" s="55">
        <v>219364</v>
      </c>
      <c r="P155" s="55">
        <v>166488</v>
      </c>
      <c r="Q155" s="55">
        <v>155255</v>
      </c>
      <c r="R155" s="55">
        <v>237008</v>
      </c>
      <c r="S155" s="55"/>
      <c r="T155" s="55"/>
      <c r="U155" s="55"/>
      <c r="V155" s="55"/>
      <c r="W155" s="55"/>
      <c r="X155" s="55"/>
      <c r="Y155" s="55"/>
      <c r="Z155" s="1"/>
      <c r="AA155" s="46">
        <f>SUM(K155:Y155)</f>
        <v>1562332</v>
      </c>
      <c r="AB155" s="46">
        <f>SUM(K156:Y156)</f>
        <v>81300</v>
      </c>
      <c r="AC155" s="46">
        <f>SUM(K157:Y157)</f>
        <v>62726</v>
      </c>
      <c r="AD155" s="1"/>
      <c r="AE155" s="46">
        <f>AA155-B155</f>
        <v>0</v>
      </c>
      <c r="AF155" s="46">
        <f>AB155-C155</f>
        <v>0</v>
      </c>
      <c r="AG155" s="46">
        <f>AC155-D155</f>
        <v>0</v>
      </c>
      <c r="AH155" s="1"/>
      <c r="AI155" s="47">
        <f>C155/B155*1000</f>
        <v>52.037595082223241</v>
      </c>
      <c r="AJ155" s="47">
        <f>D155/B155*1000</f>
        <v>40.14895681583684</v>
      </c>
      <c r="AK155" s="1"/>
      <c r="AL155" s="47">
        <f>AI155-H155</f>
        <v>3.759508222324115E-2</v>
      </c>
      <c r="AM155" s="47">
        <f>AJ155-I155</f>
        <v>-5.1043184163162891E-2</v>
      </c>
    </row>
    <row r="156" spans="1:39">
      <c r="A156" s="12" t="s">
        <v>157</v>
      </c>
      <c r="B156" s="13"/>
      <c r="C156" s="13"/>
      <c r="D156" s="13"/>
      <c r="E156" s="13"/>
      <c r="F156" s="13"/>
      <c r="G156" s="13"/>
      <c r="H156" s="14"/>
      <c r="I156" s="14"/>
      <c r="J156" s="14"/>
      <c r="K156" s="13">
        <v>11681</v>
      </c>
      <c r="L156" s="13">
        <v>7563</v>
      </c>
      <c r="M156" s="13">
        <v>9903</v>
      </c>
      <c r="N156" s="13">
        <v>9191</v>
      </c>
      <c r="O156" s="13">
        <v>11676</v>
      </c>
      <c r="P156" s="13">
        <v>9582</v>
      </c>
      <c r="Q156" s="13">
        <v>9051</v>
      </c>
      <c r="R156" s="13">
        <v>12653</v>
      </c>
      <c r="S156" s="13"/>
      <c r="T156" s="13"/>
      <c r="U156" s="13"/>
      <c r="V156" s="13"/>
      <c r="W156" s="13"/>
      <c r="X156" s="13"/>
      <c r="Y156" s="13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>
      <c r="A157" s="12" t="s">
        <v>158</v>
      </c>
      <c r="B157" s="13"/>
      <c r="C157" s="13"/>
      <c r="D157" s="13"/>
      <c r="E157" s="13"/>
      <c r="F157" s="13"/>
      <c r="G157" s="13"/>
      <c r="H157" s="14"/>
      <c r="I157" s="14"/>
      <c r="J157" s="14"/>
      <c r="K157" s="13">
        <v>8911</v>
      </c>
      <c r="L157" s="13">
        <v>7040</v>
      </c>
      <c r="M157" s="13">
        <v>7458</v>
      </c>
      <c r="N157" s="13">
        <v>6731</v>
      </c>
      <c r="O157" s="13">
        <v>9777</v>
      </c>
      <c r="P157" s="13">
        <v>5442</v>
      </c>
      <c r="Q157" s="13">
        <v>8084</v>
      </c>
      <c r="R157" s="13">
        <v>9283</v>
      </c>
      <c r="S157" s="13"/>
      <c r="T157" s="13"/>
      <c r="U157" s="13"/>
      <c r="V157" s="13"/>
      <c r="W157" s="13"/>
      <c r="X157" s="13"/>
      <c r="Y157" s="13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>
      <c r="A158" s="54" t="s">
        <v>159</v>
      </c>
      <c r="B158" s="55">
        <v>1480548</v>
      </c>
      <c r="C158" s="55">
        <v>79002</v>
      </c>
      <c r="D158" s="55">
        <v>57042</v>
      </c>
      <c r="E158" s="55">
        <v>136733</v>
      </c>
      <c r="F158" s="55">
        <v>3370</v>
      </c>
      <c r="G158" s="55">
        <v>3076</v>
      </c>
      <c r="H158" s="56">
        <v>53.3</v>
      </c>
      <c r="I158" s="56">
        <v>38.5</v>
      </c>
      <c r="J158" s="14"/>
      <c r="K158" s="55">
        <v>142428</v>
      </c>
      <c r="L158" s="55">
        <v>122575</v>
      </c>
      <c r="M158" s="55">
        <v>113486</v>
      </c>
      <c r="N158" s="55">
        <v>137561</v>
      </c>
      <c r="O158" s="55">
        <v>109441</v>
      </c>
      <c r="P158" s="55">
        <v>96085</v>
      </c>
      <c r="Q158" s="55">
        <v>136538</v>
      </c>
      <c r="R158" s="55">
        <v>99351</v>
      </c>
      <c r="S158" s="55">
        <v>108393</v>
      </c>
      <c r="T158" s="55">
        <v>186019</v>
      </c>
      <c r="U158" s="55">
        <v>121600</v>
      </c>
      <c r="V158" s="55">
        <v>190071</v>
      </c>
      <c r="W158" s="55"/>
      <c r="X158" s="55"/>
      <c r="Y158" s="55"/>
      <c r="Z158" s="1"/>
      <c r="AA158" s="46">
        <f>SUM(K158:Y158)</f>
        <v>1563548</v>
      </c>
      <c r="AB158" s="46">
        <f>SUM(K159:Y159)</f>
        <v>78952</v>
      </c>
      <c r="AC158" s="46">
        <f>SUM(K160:Y160)</f>
        <v>57012</v>
      </c>
      <c r="AD158" s="1"/>
      <c r="AE158" s="46">
        <f>AA158-B158</f>
        <v>83000</v>
      </c>
      <c r="AF158" s="46">
        <f>AB158-C158</f>
        <v>-50</v>
      </c>
      <c r="AG158" s="46">
        <f>AC158-D158</f>
        <v>-30</v>
      </c>
      <c r="AH158" s="1"/>
      <c r="AI158" s="47">
        <f>C158/B158*1000</f>
        <v>53.359972118431827</v>
      </c>
      <c r="AJ158" s="47">
        <f>D158/B158*1000</f>
        <v>38.527626257304732</v>
      </c>
      <c r="AK158" s="1"/>
      <c r="AL158" s="47">
        <f>AI158-H158</f>
        <v>5.9972118431829813E-2</v>
      </c>
      <c r="AM158" s="47">
        <f>AJ158-I158</f>
        <v>2.7626257304731894E-2</v>
      </c>
    </row>
    <row r="159" spans="1:39">
      <c r="A159" s="12" t="s">
        <v>160</v>
      </c>
      <c r="B159" s="13"/>
      <c r="C159" s="13"/>
      <c r="D159" s="13"/>
      <c r="E159" s="13"/>
      <c r="F159" s="13"/>
      <c r="G159" s="13"/>
      <c r="H159" s="14"/>
      <c r="I159" s="14"/>
      <c r="J159" s="14"/>
      <c r="K159" s="13">
        <v>6430</v>
      </c>
      <c r="L159" s="13">
        <v>8447</v>
      </c>
      <c r="M159" s="13">
        <v>5766</v>
      </c>
      <c r="N159" s="13">
        <v>5225</v>
      </c>
      <c r="O159" s="13">
        <v>5478</v>
      </c>
      <c r="P159" s="13">
        <v>6822</v>
      </c>
      <c r="Q159" s="13">
        <v>7172</v>
      </c>
      <c r="R159" s="13">
        <v>5081</v>
      </c>
      <c r="S159" s="13">
        <v>7144</v>
      </c>
      <c r="T159" s="13">
        <v>9481</v>
      </c>
      <c r="U159" s="13">
        <v>5354</v>
      </c>
      <c r="V159" s="13">
        <v>6552</v>
      </c>
      <c r="W159" s="13"/>
      <c r="X159" s="13"/>
      <c r="Y159" s="13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>
      <c r="A160" s="12" t="s">
        <v>161</v>
      </c>
      <c r="B160" s="13"/>
      <c r="C160" s="13"/>
      <c r="D160" s="13"/>
      <c r="E160" s="13"/>
      <c r="F160" s="13"/>
      <c r="G160" s="13"/>
      <c r="H160" s="14"/>
      <c r="I160" s="14"/>
      <c r="J160" s="14"/>
      <c r="K160" s="13">
        <v>4432</v>
      </c>
      <c r="L160" s="13">
        <v>6347</v>
      </c>
      <c r="M160" s="13">
        <v>4367</v>
      </c>
      <c r="N160" s="13">
        <v>4760</v>
      </c>
      <c r="O160" s="13">
        <v>4422</v>
      </c>
      <c r="P160" s="13">
        <v>4560</v>
      </c>
      <c r="Q160" s="13">
        <v>5545</v>
      </c>
      <c r="R160" s="13">
        <v>3221</v>
      </c>
      <c r="S160" s="13">
        <v>4591</v>
      </c>
      <c r="T160" s="13">
        <v>6333</v>
      </c>
      <c r="U160" s="13">
        <v>3909</v>
      </c>
      <c r="V160" s="13">
        <v>4525</v>
      </c>
      <c r="W160" s="13"/>
      <c r="X160" s="13"/>
      <c r="Y160" s="13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>
      <c r="A161" s="54" t="s">
        <v>162</v>
      </c>
      <c r="B161" s="55">
        <v>1280834</v>
      </c>
      <c r="C161" s="55">
        <v>63178</v>
      </c>
      <c r="D161" s="55">
        <v>36827</v>
      </c>
      <c r="E161" s="55">
        <v>232473</v>
      </c>
      <c r="F161" s="55">
        <v>10472</v>
      </c>
      <c r="G161" s="55">
        <v>6623</v>
      </c>
      <c r="H161" s="56">
        <v>49.3</v>
      </c>
      <c r="I161" s="56">
        <v>28.8</v>
      </c>
      <c r="J161" s="14"/>
      <c r="K161" s="55">
        <v>142971</v>
      </c>
      <c r="L161" s="55">
        <v>311569</v>
      </c>
      <c r="M161" s="55">
        <v>208172</v>
      </c>
      <c r="N161" s="55">
        <v>51247</v>
      </c>
      <c r="O161" s="55">
        <v>350143</v>
      </c>
      <c r="P161" s="55">
        <v>38655</v>
      </c>
      <c r="Q161" s="55">
        <v>94251</v>
      </c>
      <c r="R161" s="55">
        <v>50153</v>
      </c>
      <c r="S161" s="55">
        <v>33673</v>
      </c>
      <c r="T161" s="55"/>
      <c r="U161" s="55"/>
      <c r="V161" s="55"/>
      <c r="W161" s="55"/>
      <c r="X161" s="55"/>
      <c r="Y161" s="55"/>
      <c r="Z161" s="1"/>
      <c r="AA161" s="46">
        <f>SUM(K161:Y161)</f>
        <v>1280834</v>
      </c>
      <c r="AB161" s="46">
        <f>SUM(K162:Y162)</f>
        <v>62148</v>
      </c>
      <c r="AC161" s="46">
        <f>SUM(K163:Y163)</f>
        <v>36827</v>
      </c>
      <c r="AD161" s="1"/>
      <c r="AE161" s="46">
        <f>AA161-B161</f>
        <v>0</v>
      </c>
      <c r="AF161" s="46">
        <f>AB161-C161</f>
        <v>-1030</v>
      </c>
      <c r="AG161" s="46">
        <f>AC161-D161</f>
        <v>0</v>
      </c>
      <c r="AH161" s="1"/>
      <c r="AI161" s="47">
        <f>C161/B161*1000</f>
        <v>49.325673740703323</v>
      </c>
      <c r="AJ161" s="47">
        <f>D161/B161*1000</f>
        <v>28.752359790573955</v>
      </c>
      <c r="AK161" s="1"/>
      <c r="AL161" s="47">
        <f>AI161-H161</f>
        <v>2.567374070332562E-2</v>
      </c>
      <c r="AM161" s="47">
        <f>AJ161-I161</f>
        <v>-4.7640209426045743E-2</v>
      </c>
    </row>
    <row r="162" spans="1:39">
      <c r="A162" s="12" t="s">
        <v>163</v>
      </c>
      <c r="B162" s="13"/>
      <c r="C162" s="13"/>
      <c r="D162" s="13"/>
      <c r="E162" s="13"/>
      <c r="F162" s="13"/>
      <c r="G162" s="13"/>
      <c r="H162" s="14"/>
      <c r="I162" s="14"/>
      <c r="J162" s="14"/>
      <c r="K162" s="13">
        <v>4389</v>
      </c>
      <c r="L162" s="13">
        <v>15887</v>
      </c>
      <c r="M162" s="13">
        <v>10283</v>
      </c>
      <c r="N162" s="13">
        <v>2529</v>
      </c>
      <c r="O162" s="13">
        <v>19047</v>
      </c>
      <c r="P162" s="13">
        <v>992</v>
      </c>
      <c r="Q162" s="13">
        <v>4870</v>
      </c>
      <c r="R162" s="13">
        <v>2047</v>
      </c>
      <c r="S162" s="13">
        <v>2104</v>
      </c>
      <c r="T162" s="13"/>
      <c r="U162" s="13"/>
      <c r="V162" s="13"/>
      <c r="W162" s="13"/>
      <c r="X162" s="13"/>
      <c r="Y162" s="13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>
      <c r="A163" s="12" t="s">
        <v>164</v>
      </c>
      <c r="B163" s="13"/>
      <c r="C163" s="13"/>
      <c r="D163" s="13"/>
      <c r="E163" s="13"/>
      <c r="F163" s="13"/>
      <c r="G163" s="13"/>
      <c r="H163" s="14"/>
      <c r="I163" s="14"/>
      <c r="J163" s="14"/>
      <c r="K163" s="13">
        <v>3832</v>
      </c>
      <c r="L163" s="13">
        <v>7535</v>
      </c>
      <c r="M163" s="13">
        <v>6134</v>
      </c>
      <c r="N163" s="13">
        <v>1656</v>
      </c>
      <c r="O163" s="13">
        <v>11436</v>
      </c>
      <c r="P163" s="13">
        <v>557</v>
      </c>
      <c r="Q163" s="13">
        <v>2870</v>
      </c>
      <c r="R163" s="13">
        <v>1421</v>
      </c>
      <c r="S163" s="13">
        <v>1386</v>
      </c>
      <c r="T163" s="13"/>
      <c r="U163" s="13"/>
      <c r="V163" s="13"/>
      <c r="W163" s="13"/>
      <c r="X163" s="13"/>
      <c r="Y163" s="13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>
      <c r="A164" s="54" t="s">
        <v>165</v>
      </c>
      <c r="B164" s="55">
        <v>2957433</v>
      </c>
      <c r="C164" s="55">
        <v>140589</v>
      </c>
      <c r="D164" s="55">
        <v>119649</v>
      </c>
      <c r="E164" s="55">
        <v>204020</v>
      </c>
      <c r="F164" s="55">
        <v>5757</v>
      </c>
      <c r="G164" s="55">
        <v>5479</v>
      </c>
      <c r="H164" s="56">
        <v>47.6</v>
      </c>
      <c r="I164" s="56">
        <v>40.5</v>
      </c>
      <c r="J164" s="14"/>
      <c r="K164" s="55">
        <v>426242</v>
      </c>
      <c r="L164" s="55">
        <v>330988</v>
      </c>
      <c r="M164" s="55">
        <v>193723</v>
      </c>
      <c r="N164" s="55">
        <v>293938</v>
      </c>
      <c r="O164" s="55">
        <v>365761</v>
      </c>
      <c r="P164" s="55">
        <v>163728</v>
      </c>
      <c r="Q164" s="55">
        <v>192437</v>
      </c>
      <c r="R164" s="55">
        <v>285474</v>
      </c>
      <c r="S164" s="55">
        <v>142972</v>
      </c>
      <c r="T164" s="55">
        <v>163261</v>
      </c>
      <c r="U164" s="55">
        <v>220666</v>
      </c>
      <c r="V164" s="55">
        <v>178243</v>
      </c>
      <c r="W164" s="55"/>
      <c r="X164" s="55"/>
      <c r="Y164" s="55"/>
      <c r="Z164" s="1"/>
      <c r="AA164" s="46">
        <f>SUM(K164:Y164)</f>
        <v>2957433</v>
      </c>
      <c r="AB164" s="46">
        <f>SUM(K165:Y165)</f>
        <v>141189</v>
      </c>
      <c r="AC164" s="46">
        <f>SUM(K166:Y166)</f>
        <v>119659</v>
      </c>
      <c r="AD164" s="1"/>
      <c r="AE164" s="46">
        <f>AA164-B164</f>
        <v>0</v>
      </c>
      <c r="AF164" s="46">
        <f>AB164-C164</f>
        <v>600</v>
      </c>
      <c r="AG164" s="46">
        <f>AC164-D164</f>
        <v>10</v>
      </c>
      <c r="AH164" s="1"/>
      <c r="AI164" s="47">
        <f>C164/B164*1000</f>
        <v>47.537509725495049</v>
      </c>
      <c r="AJ164" s="47">
        <f>D164/B164*1000</f>
        <v>40.457045011670594</v>
      </c>
      <c r="AK164" s="1"/>
      <c r="AL164" s="47">
        <f>AI164-H164</f>
        <v>-6.2490274504952481E-2</v>
      </c>
      <c r="AM164" s="47">
        <f>AJ164-I164</f>
        <v>-4.2954988329405808E-2</v>
      </c>
    </row>
    <row r="165" spans="1:39">
      <c r="A165" s="12" t="s">
        <v>166</v>
      </c>
      <c r="B165" s="13"/>
      <c r="C165" s="13"/>
      <c r="D165" s="13"/>
      <c r="E165" s="13"/>
      <c r="F165" s="13"/>
      <c r="G165" s="13"/>
      <c r="H165" s="14"/>
      <c r="I165" s="14"/>
      <c r="J165" s="14"/>
      <c r="K165" s="13">
        <v>21099</v>
      </c>
      <c r="L165" s="13">
        <v>18909</v>
      </c>
      <c r="M165" s="13">
        <v>6676</v>
      </c>
      <c r="N165" s="13">
        <v>13810</v>
      </c>
      <c r="O165" s="13">
        <v>17612</v>
      </c>
      <c r="P165" s="13">
        <v>7333</v>
      </c>
      <c r="Q165" s="13">
        <v>8238</v>
      </c>
      <c r="R165" s="13">
        <v>13343</v>
      </c>
      <c r="S165" s="13">
        <v>6698</v>
      </c>
      <c r="T165" s="13">
        <v>7866</v>
      </c>
      <c r="U165" s="13">
        <v>11376</v>
      </c>
      <c r="V165" s="13">
        <v>8229</v>
      </c>
      <c r="W165" s="13"/>
      <c r="X165" s="13"/>
      <c r="Y165" s="13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>
      <c r="A166" s="12" t="s">
        <v>167</v>
      </c>
      <c r="B166" s="13"/>
      <c r="C166" s="13"/>
      <c r="D166" s="13"/>
      <c r="E166" s="13"/>
      <c r="F166" s="13"/>
      <c r="G166" s="13"/>
      <c r="H166" s="14"/>
      <c r="I166" s="14"/>
      <c r="J166" s="14"/>
      <c r="K166" s="13">
        <v>18867</v>
      </c>
      <c r="L166" s="13">
        <v>17207</v>
      </c>
      <c r="M166" s="13">
        <v>5401</v>
      </c>
      <c r="N166" s="13">
        <v>12671</v>
      </c>
      <c r="O166" s="13">
        <v>14322</v>
      </c>
      <c r="P166" s="13">
        <v>5316</v>
      </c>
      <c r="Q166" s="13">
        <v>6903</v>
      </c>
      <c r="R166" s="13">
        <v>11443</v>
      </c>
      <c r="S166" s="13">
        <v>5480</v>
      </c>
      <c r="T166" s="13">
        <v>4991</v>
      </c>
      <c r="U166" s="13">
        <v>10166</v>
      </c>
      <c r="V166" s="13">
        <v>6892</v>
      </c>
      <c r="W166" s="13"/>
      <c r="X166" s="13"/>
      <c r="Y166" s="1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>
      <c r="A167" s="58" t="s">
        <v>168</v>
      </c>
      <c r="B167" s="59">
        <v>1954903</v>
      </c>
      <c r="C167" s="59">
        <v>85779</v>
      </c>
      <c r="D167" s="59">
        <v>60890</v>
      </c>
      <c r="E167" s="59">
        <v>155202</v>
      </c>
      <c r="F167" s="59">
        <v>5047</v>
      </c>
      <c r="G167" s="59">
        <v>4063</v>
      </c>
      <c r="H167" s="60">
        <v>43.9</v>
      </c>
      <c r="I167" s="60">
        <v>31.1</v>
      </c>
      <c r="J167" s="14"/>
      <c r="K167" s="59">
        <v>175731</v>
      </c>
      <c r="L167" s="59">
        <v>261842</v>
      </c>
      <c r="M167" s="59">
        <v>162035</v>
      </c>
      <c r="N167" s="59">
        <v>183494</v>
      </c>
      <c r="O167" s="59">
        <v>122958</v>
      </c>
      <c r="P167" s="59">
        <v>143620</v>
      </c>
      <c r="Q167" s="59">
        <v>146230</v>
      </c>
      <c r="R167" s="59">
        <v>137295</v>
      </c>
      <c r="S167" s="59">
        <v>130869</v>
      </c>
      <c r="T167" s="59">
        <v>149584</v>
      </c>
      <c r="U167" s="59">
        <v>167373</v>
      </c>
      <c r="V167" s="59">
        <v>173872</v>
      </c>
      <c r="W167" s="59"/>
      <c r="X167" s="59"/>
      <c r="Y167" s="59"/>
      <c r="Z167" s="1"/>
      <c r="AA167" s="46">
        <f>SUM(K167:Y167)</f>
        <v>1954903</v>
      </c>
      <c r="AB167" s="46">
        <f>SUM(K168:Y168)</f>
        <v>85770</v>
      </c>
      <c r="AC167" s="46">
        <f>SUM(K169:Y169)</f>
        <v>60890</v>
      </c>
      <c r="AD167" s="1"/>
      <c r="AE167" s="46">
        <f>AA167-B167</f>
        <v>0</v>
      </c>
      <c r="AF167" s="46">
        <f>AB167-C167</f>
        <v>-9</v>
      </c>
      <c r="AG167" s="46">
        <f>AC167-D167</f>
        <v>0</v>
      </c>
      <c r="AH167" s="1"/>
      <c r="AI167" s="47">
        <f>C167/B167*1000</f>
        <v>43.878903454544805</v>
      </c>
      <c r="AJ167" s="47">
        <f>D167/B167*1000</f>
        <v>31.147325468322467</v>
      </c>
      <c r="AK167" s="1"/>
      <c r="AL167" s="47">
        <f>AI167-H167</f>
        <v>-2.1096545455193905E-2</v>
      </c>
      <c r="AM167" s="47">
        <f>AJ167-I167</f>
        <v>4.732546832246598E-2</v>
      </c>
    </row>
    <row r="168" spans="1:39">
      <c r="A168" s="12" t="s">
        <v>169</v>
      </c>
      <c r="B168" s="13"/>
      <c r="C168" s="13"/>
      <c r="D168" s="13"/>
      <c r="E168" s="13"/>
      <c r="F168" s="13"/>
      <c r="G168" s="13"/>
      <c r="H168" s="14"/>
      <c r="I168" s="14"/>
      <c r="J168" s="14"/>
      <c r="K168" s="13">
        <v>7700</v>
      </c>
      <c r="L168" s="13">
        <v>12621</v>
      </c>
      <c r="M168" s="13">
        <v>7137</v>
      </c>
      <c r="N168" s="13">
        <v>7546</v>
      </c>
      <c r="O168" s="13">
        <v>5492</v>
      </c>
      <c r="P168" s="13">
        <v>5889</v>
      </c>
      <c r="Q168" s="13">
        <v>6064</v>
      </c>
      <c r="R168" s="13">
        <v>5959</v>
      </c>
      <c r="S168" s="13">
        <v>5782</v>
      </c>
      <c r="T168" s="13">
        <v>7465</v>
      </c>
      <c r="U168" s="13">
        <v>7292</v>
      </c>
      <c r="V168" s="13">
        <v>6823</v>
      </c>
      <c r="W168" s="13"/>
      <c r="X168" s="13"/>
      <c r="Y168" s="13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>
      <c r="A169" s="12" t="s">
        <v>170</v>
      </c>
      <c r="B169" s="13"/>
      <c r="C169" s="13"/>
      <c r="D169" s="13"/>
      <c r="E169" s="13"/>
      <c r="F169" s="13"/>
      <c r="G169" s="13"/>
      <c r="H169" s="14"/>
      <c r="I169" s="14"/>
      <c r="J169" s="14"/>
      <c r="K169" s="13">
        <v>5175</v>
      </c>
      <c r="L169" s="13">
        <v>8392</v>
      </c>
      <c r="M169" s="13">
        <v>5034</v>
      </c>
      <c r="N169" s="13">
        <v>5935</v>
      </c>
      <c r="O169" s="13">
        <v>4163</v>
      </c>
      <c r="P169" s="13">
        <v>4044</v>
      </c>
      <c r="Q169" s="13">
        <v>4101</v>
      </c>
      <c r="R169" s="13">
        <v>4153</v>
      </c>
      <c r="S169" s="13">
        <v>4348</v>
      </c>
      <c r="T169" s="13">
        <v>5423</v>
      </c>
      <c r="U169" s="13">
        <v>5065</v>
      </c>
      <c r="V169" s="13">
        <v>5057</v>
      </c>
      <c r="W169" s="13"/>
      <c r="X169" s="13"/>
      <c r="Y169" s="1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>
      <c r="A170" s="58" t="s">
        <v>171</v>
      </c>
      <c r="B170" s="59">
        <v>1562191</v>
      </c>
      <c r="C170" s="59">
        <v>76511</v>
      </c>
      <c r="D170" s="59">
        <v>67803</v>
      </c>
      <c r="E170" s="59">
        <v>151838</v>
      </c>
      <c r="F170" s="59">
        <v>6460</v>
      </c>
      <c r="G170" s="59">
        <v>5497</v>
      </c>
      <c r="H170" s="60">
        <v>49</v>
      </c>
      <c r="I170" s="60">
        <v>43.4</v>
      </c>
      <c r="J170" s="14"/>
      <c r="K170" s="59">
        <v>187899</v>
      </c>
      <c r="L170" s="59">
        <v>92105</v>
      </c>
      <c r="M170" s="59">
        <v>176223</v>
      </c>
      <c r="N170" s="59">
        <v>88590</v>
      </c>
      <c r="O170" s="59">
        <v>126768</v>
      </c>
      <c r="P170" s="59">
        <v>141405</v>
      </c>
      <c r="Q170" s="59">
        <v>172730</v>
      </c>
      <c r="R170" s="59">
        <v>86678</v>
      </c>
      <c r="S170" s="59">
        <v>115883</v>
      </c>
      <c r="T170" s="59">
        <v>150055</v>
      </c>
      <c r="U170" s="59">
        <v>106516</v>
      </c>
      <c r="V170" s="59">
        <v>117309</v>
      </c>
      <c r="W170" s="59"/>
      <c r="X170" s="59"/>
      <c r="Y170" s="59"/>
      <c r="Z170" s="1"/>
      <c r="AA170" s="46">
        <f>SUM(K170:Y170)</f>
        <v>1562161</v>
      </c>
      <c r="AB170" s="46">
        <f>SUM(K171:Y171)</f>
        <v>76651</v>
      </c>
      <c r="AC170" s="46">
        <f>SUM(K172:Y172)</f>
        <v>67803</v>
      </c>
      <c r="AD170" s="1"/>
      <c r="AE170" s="46">
        <f>AA170-B170</f>
        <v>-30</v>
      </c>
      <c r="AF170" s="46">
        <f>AB170-C170</f>
        <v>140</v>
      </c>
      <c r="AG170" s="46">
        <f>AC170-D170</f>
        <v>0</v>
      </c>
      <c r="AH170" s="1"/>
      <c r="AI170" s="47">
        <f>C170/B170*1000</f>
        <v>48.976725637262028</v>
      </c>
      <c r="AJ170" s="47">
        <f>D170/B170*1000</f>
        <v>43.402503279048467</v>
      </c>
      <c r="AK170" s="1"/>
      <c r="AL170" s="47">
        <f>AI170-H170</f>
        <v>-2.3274362737971899E-2</v>
      </c>
      <c r="AM170" s="47">
        <f>AJ170-I170</f>
        <v>2.5032790484686984E-3</v>
      </c>
    </row>
    <row r="171" spans="1:39">
      <c r="A171" s="12" t="s">
        <v>172</v>
      </c>
      <c r="B171" s="13"/>
      <c r="C171" s="13"/>
      <c r="D171" s="13"/>
      <c r="E171" s="13"/>
      <c r="F171" s="13"/>
      <c r="G171" s="13"/>
      <c r="H171" s="14"/>
      <c r="I171" s="14"/>
      <c r="J171" s="14"/>
      <c r="K171" s="13">
        <v>10025</v>
      </c>
      <c r="L171" s="13">
        <v>3847</v>
      </c>
      <c r="M171" s="13">
        <v>9320</v>
      </c>
      <c r="N171" s="13">
        <v>3657</v>
      </c>
      <c r="O171" s="13">
        <v>5559</v>
      </c>
      <c r="P171" s="13">
        <v>6818</v>
      </c>
      <c r="Q171" s="13">
        <v>9294</v>
      </c>
      <c r="R171" s="13">
        <v>3596</v>
      </c>
      <c r="S171" s="13">
        <v>5554</v>
      </c>
      <c r="T171" s="13">
        <v>7969</v>
      </c>
      <c r="U171" s="13">
        <v>4823</v>
      </c>
      <c r="V171" s="13">
        <v>6189</v>
      </c>
      <c r="W171" s="13"/>
      <c r="X171" s="13"/>
      <c r="Y171" s="13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>
      <c r="A172" s="12" t="s">
        <v>173</v>
      </c>
      <c r="B172" s="13"/>
      <c r="C172" s="13"/>
      <c r="D172" s="13"/>
      <c r="E172" s="13"/>
      <c r="F172" s="13"/>
      <c r="G172" s="13"/>
      <c r="H172" s="14"/>
      <c r="I172" s="14"/>
      <c r="J172" s="14"/>
      <c r="K172" s="13">
        <v>9155</v>
      </c>
      <c r="L172" s="13">
        <v>3401</v>
      </c>
      <c r="M172" s="13">
        <v>7718</v>
      </c>
      <c r="N172" s="13">
        <v>3100</v>
      </c>
      <c r="O172" s="13">
        <v>4784</v>
      </c>
      <c r="P172" s="13">
        <v>5388</v>
      </c>
      <c r="Q172" s="13">
        <v>8220</v>
      </c>
      <c r="R172" s="13">
        <v>3631</v>
      </c>
      <c r="S172" s="13">
        <v>5629</v>
      </c>
      <c r="T172" s="13">
        <v>7349</v>
      </c>
      <c r="U172" s="13">
        <v>4303</v>
      </c>
      <c r="V172" s="13">
        <v>5125</v>
      </c>
      <c r="W172" s="13"/>
      <c r="X172" s="13"/>
      <c r="Y172" s="1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>
      <c r="A173" s="58" t="s">
        <v>174</v>
      </c>
      <c r="B173" s="59">
        <v>2182587</v>
      </c>
      <c r="C173" s="59">
        <v>113509</v>
      </c>
      <c r="D173" s="59">
        <v>57858</v>
      </c>
      <c r="E173" s="59">
        <v>91547</v>
      </c>
      <c r="F173" s="59">
        <v>4579</v>
      </c>
      <c r="G173" s="59">
        <v>3331</v>
      </c>
      <c r="H173" s="60">
        <v>52</v>
      </c>
      <c r="I173" s="60">
        <v>31.1</v>
      </c>
      <c r="J173" s="14"/>
      <c r="K173" s="59">
        <v>356180</v>
      </c>
      <c r="L173" s="59">
        <v>428727</v>
      </c>
      <c r="M173" s="59">
        <v>483106</v>
      </c>
      <c r="N173" s="59">
        <v>187761</v>
      </c>
      <c r="O173" s="59">
        <v>385520</v>
      </c>
      <c r="P173" s="59">
        <v>341293</v>
      </c>
      <c r="Q173" s="59"/>
      <c r="R173" s="59"/>
      <c r="S173" s="59"/>
      <c r="T173" s="59"/>
      <c r="U173" s="59"/>
      <c r="V173" s="59"/>
      <c r="W173" s="59"/>
      <c r="X173" s="59"/>
      <c r="Y173" s="59"/>
      <c r="Z173" s="1"/>
      <c r="AA173" s="46">
        <f>SUM(K173:Y173)</f>
        <v>2182587</v>
      </c>
      <c r="AB173" s="46">
        <f>SUM(K174:Y174)</f>
        <v>113509</v>
      </c>
      <c r="AC173" s="46">
        <f>SUM(K175:Y175)</f>
        <v>57858</v>
      </c>
      <c r="AD173" s="1"/>
      <c r="AE173" s="46">
        <f>AA173-B173</f>
        <v>0</v>
      </c>
      <c r="AF173" s="46">
        <f>AB173-C173</f>
        <v>0</v>
      </c>
      <c r="AG173" s="46">
        <f>AC173-D173</f>
        <v>0</v>
      </c>
      <c r="AH173" s="1"/>
      <c r="AI173" s="47">
        <f>C173/B173*1000</f>
        <v>52.00663249620748</v>
      </c>
      <c r="AJ173" s="47">
        <f>D173/B173*1000</f>
        <v>26.508908923218179</v>
      </c>
      <c r="AK173" s="1"/>
      <c r="AL173" s="47">
        <f>AI173-H173</f>
        <v>6.6324962074801874E-3</v>
      </c>
      <c r="AM173" s="47">
        <f>AJ173-I173</f>
        <v>-4.5910910767818223</v>
      </c>
    </row>
    <row r="174" spans="1:39">
      <c r="A174" s="12" t="s">
        <v>175</v>
      </c>
      <c r="B174" s="13"/>
      <c r="C174" s="13"/>
      <c r="D174" s="13"/>
      <c r="E174" s="13"/>
      <c r="F174" s="13"/>
      <c r="G174" s="13"/>
      <c r="H174" s="14"/>
      <c r="I174" s="14"/>
      <c r="J174" s="14"/>
      <c r="K174" s="13">
        <v>19812</v>
      </c>
      <c r="L174" s="13">
        <v>21322</v>
      </c>
      <c r="M174" s="13">
        <v>25653</v>
      </c>
      <c r="N174" s="13">
        <v>10321</v>
      </c>
      <c r="O174" s="13">
        <v>18785</v>
      </c>
      <c r="P174" s="13">
        <v>17616</v>
      </c>
      <c r="Q174" s="13"/>
      <c r="R174" s="13"/>
      <c r="S174" s="13"/>
      <c r="T174" s="13"/>
      <c r="U174" s="13"/>
      <c r="V174" s="13"/>
      <c r="W174" s="13"/>
      <c r="X174" s="13"/>
      <c r="Y174" s="13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>
      <c r="A175" s="12" t="s">
        <v>176</v>
      </c>
      <c r="B175" s="13"/>
      <c r="C175" s="13"/>
      <c r="D175" s="13"/>
      <c r="E175" s="13"/>
      <c r="F175" s="13"/>
      <c r="G175" s="13"/>
      <c r="H175" s="14"/>
      <c r="I175" s="14"/>
      <c r="J175" s="14"/>
      <c r="K175" s="13">
        <v>10972</v>
      </c>
      <c r="L175" s="13">
        <v>10059</v>
      </c>
      <c r="M175" s="13">
        <v>12975</v>
      </c>
      <c r="N175" s="13">
        <v>6153</v>
      </c>
      <c r="O175" s="13">
        <v>9718</v>
      </c>
      <c r="P175" s="13">
        <v>7981</v>
      </c>
      <c r="Q175" s="13"/>
      <c r="R175" s="13"/>
      <c r="S175" s="13"/>
      <c r="T175" s="13"/>
      <c r="U175" s="13"/>
      <c r="V175" s="13"/>
      <c r="W175" s="13"/>
      <c r="X175" s="13"/>
      <c r="Y175" s="1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>
      <c r="A176" s="58" t="s">
        <v>177</v>
      </c>
      <c r="B176" s="59">
        <v>2594840</v>
      </c>
      <c r="C176" s="59">
        <v>124746</v>
      </c>
      <c r="D176" s="59">
        <v>78706</v>
      </c>
      <c r="E176" s="59">
        <v>339040</v>
      </c>
      <c r="F176" s="59">
        <v>10489</v>
      </c>
      <c r="G176" s="59">
        <v>7568</v>
      </c>
      <c r="H176" s="60">
        <v>48</v>
      </c>
      <c r="I176" s="60">
        <v>30.3</v>
      </c>
      <c r="J176" s="14"/>
      <c r="K176" s="59">
        <v>385018</v>
      </c>
      <c r="L176" s="59">
        <v>146099</v>
      </c>
      <c r="M176" s="59">
        <v>160301</v>
      </c>
      <c r="N176" s="59">
        <v>140845</v>
      </c>
      <c r="O176" s="59">
        <v>163952</v>
      </c>
      <c r="P176" s="59">
        <v>232613</v>
      </c>
      <c r="Q176" s="59">
        <v>333392</v>
      </c>
      <c r="R176" s="59">
        <v>230853</v>
      </c>
      <c r="S176" s="59">
        <v>167676</v>
      </c>
      <c r="T176" s="59">
        <v>382138</v>
      </c>
      <c r="U176" s="59">
        <v>241953</v>
      </c>
      <c r="V176" s="59"/>
      <c r="W176" s="59"/>
      <c r="X176" s="59"/>
      <c r="Y176" s="59"/>
      <c r="Z176" s="1"/>
      <c r="AA176" s="46">
        <f>SUM(K176:Y176)</f>
        <v>2584840</v>
      </c>
      <c r="AB176" s="46">
        <f>SUM(K177:Y177)</f>
        <v>124746</v>
      </c>
      <c r="AC176" s="46">
        <f>SUM(K178:Y178)</f>
        <v>78666</v>
      </c>
      <c r="AD176" s="1"/>
      <c r="AE176" s="46">
        <f>AA176-B176</f>
        <v>-10000</v>
      </c>
      <c r="AF176" s="46">
        <f>AB176-C176</f>
        <v>0</v>
      </c>
      <c r="AG176" s="46">
        <f>AC176-D176</f>
        <v>-40</v>
      </c>
      <c r="AH176" s="1"/>
      <c r="AI176" s="47">
        <f>C176/B176*1000</f>
        <v>48.074640440258356</v>
      </c>
      <c r="AJ176" s="47">
        <f>D176/B176*1000</f>
        <v>30.331735290037148</v>
      </c>
      <c r="AK176" s="1"/>
      <c r="AL176" s="47">
        <f>AI176-H176</f>
        <v>7.4640440258356477E-2</v>
      </c>
      <c r="AM176" s="47">
        <f>AJ176-I176</f>
        <v>3.1735290037147479E-2</v>
      </c>
    </row>
    <row r="177" spans="1:39">
      <c r="A177" s="12" t="s">
        <v>178</v>
      </c>
      <c r="B177" s="13"/>
      <c r="C177" s="13"/>
      <c r="D177" s="13"/>
      <c r="E177" s="13"/>
      <c r="F177" s="13"/>
      <c r="G177" s="13"/>
      <c r="H177" s="14"/>
      <c r="I177" s="14"/>
      <c r="J177" s="14"/>
      <c r="K177" s="13">
        <v>14900</v>
      </c>
      <c r="L177" s="13">
        <v>7437</v>
      </c>
      <c r="M177" s="13">
        <v>7324</v>
      </c>
      <c r="N177" s="13">
        <v>6408</v>
      </c>
      <c r="O177" s="13">
        <v>9207</v>
      </c>
      <c r="P177" s="13">
        <v>11728</v>
      </c>
      <c r="Q177" s="13">
        <v>15883</v>
      </c>
      <c r="R177" s="13">
        <v>12469</v>
      </c>
      <c r="S177" s="13">
        <v>8646</v>
      </c>
      <c r="T177" s="13">
        <v>20300</v>
      </c>
      <c r="U177" s="13">
        <v>10444</v>
      </c>
      <c r="V177" s="13"/>
      <c r="W177" s="13"/>
      <c r="X177" s="13"/>
      <c r="Y177" s="13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>
      <c r="A178" s="12" t="s">
        <v>179</v>
      </c>
      <c r="B178" s="13"/>
      <c r="C178" s="13"/>
      <c r="D178" s="13"/>
      <c r="E178" s="13"/>
      <c r="F178" s="13"/>
      <c r="G178" s="13"/>
      <c r="H178" s="14"/>
      <c r="I178" s="14"/>
      <c r="J178" s="14"/>
      <c r="K178" s="13">
        <v>9742</v>
      </c>
      <c r="L178" s="13">
        <v>5318</v>
      </c>
      <c r="M178" s="13">
        <v>4479</v>
      </c>
      <c r="N178" s="13">
        <v>3638</v>
      </c>
      <c r="O178" s="13">
        <v>6528</v>
      </c>
      <c r="P178" s="13">
        <v>7104</v>
      </c>
      <c r="Q178" s="13">
        <v>9352</v>
      </c>
      <c r="R178" s="13">
        <v>7461</v>
      </c>
      <c r="S178" s="13">
        <v>6049</v>
      </c>
      <c r="T178" s="13">
        <v>12542</v>
      </c>
      <c r="U178" s="13">
        <v>6453</v>
      </c>
      <c r="V178" s="13"/>
      <c r="W178" s="13"/>
      <c r="X178" s="13"/>
      <c r="Y178" s="1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>
      <c r="A179" s="58" t="s">
        <v>180</v>
      </c>
      <c r="B179" s="59">
        <v>1990603</v>
      </c>
      <c r="C179" s="59">
        <v>110930</v>
      </c>
      <c r="D179" s="59">
        <v>62694</v>
      </c>
      <c r="E179" s="59">
        <v>184025</v>
      </c>
      <c r="F179" s="59">
        <v>15635</v>
      </c>
      <c r="G179" s="59">
        <v>9170</v>
      </c>
      <c r="H179" s="60">
        <v>55.7</v>
      </c>
      <c r="I179" s="60">
        <v>31.5</v>
      </c>
      <c r="J179" s="14"/>
      <c r="K179" s="59">
        <v>453546</v>
      </c>
      <c r="L179" s="59">
        <v>395097</v>
      </c>
      <c r="M179" s="59">
        <v>210395</v>
      </c>
      <c r="N179" s="59">
        <v>534869</v>
      </c>
      <c r="O179" s="59">
        <v>178244</v>
      </c>
      <c r="P179" s="59">
        <v>218452</v>
      </c>
      <c r="Q179" s="59"/>
      <c r="R179" s="59"/>
      <c r="S179" s="59"/>
      <c r="T179" s="59"/>
      <c r="U179" s="59"/>
      <c r="V179" s="59"/>
      <c r="W179" s="59"/>
      <c r="X179" s="59"/>
      <c r="Y179" s="59"/>
      <c r="Z179" s="1"/>
      <c r="AA179" s="46">
        <f>SUM(K179:Y179)</f>
        <v>1990603</v>
      </c>
      <c r="AB179" s="46">
        <f>SUM(K180:Y180)</f>
        <v>110975</v>
      </c>
      <c r="AC179" s="46">
        <f>SUM(K181:Y181)</f>
        <v>62694</v>
      </c>
      <c r="AD179" s="1"/>
      <c r="AE179" s="46">
        <f>AA179-B179</f>
        <v>0</v>
      </c>
      <c r="AF179" s="46">
        <f>AB179-C179</f>
        <v>45</v>
      </c>
      <c r="AG179" s="46">
        <f>AC179-D179</f>
        <v>0</v>
      </c>
      <c r="AH179" s="1"/>
      <c r="AI179" s="47">
        <f>C179/B179*1000</f>
        <v>55.726832522607467</v>
      </c>
      <c r="AJ179" s="47">
        <f>D179/B179*1000</f>
        <v>31.494979159581291</v>
      </c>
      <c r="AK179" s="1"/>
      <c r="AL179" s="47">
        <f>AI179-H179</f>
        <v>2.6832522607463716E-2</v>
      </c>
      <c r="AM179" s="47">
        <f>AJ179-I179</f>
        <v>-5.0208404187088718E-3</v>
      </c>
    </row>
    <row r="180" spans="1:39">
      <c r="A180" s="12" t="s">
        <v>181</v>
      </c>
      <c r="B180" s="13"/>
      <c r="C180" s="13"/>
      <c r="D180" s="13"/>
      <c r="E180" s="13"/>
      <c r="F180" s="13"/>
      <c r="G180" s="13"/>
      <c r="H180" s="14"/>
      <c r="I180" s="14"/>
      <c r="J180" s="14"/>
      <c r="K180" s="13">
        <v>25683</v>
      </c>
      <c r="L180" s="13">
        <v>21237</v>
      </c>
      <c r="M180" s="13">
        <v>11949</v>
      </c>
      <c r="N180" s="13">
        <v>29083</v>
      </c>
      <c r="O180" s="13">
        <v>11440</v>
      </c>
      <c r="P180" s="13">
        <v>11583</v>
      </c>
      <c r="Q180" s="13"/>
      <c r="R180" s="13"/>
      <c r="S180" s="13"/>
      <c r="T180" s="13"/>
      <c r="U180" s="13"/>
      <c r="V180" s="13"/>
      <c r="W180" s="13"/>
      <c r="X180" s="13"/>
      <c r="Y180" s="13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>
      <c r="A181" s="12" t="s">
        <v>182</v>
      </c>
      <c r="B181" s="13"/>
      <c r="C181" s="13"/>
      <c r="D181" s="13"/>
      <c r="E181" s="13"/>
      <c r="F181" s="13"/>
      <c r="G181" s="13"/>
      <c r="H181" s="14"/>
      <c r="I181" s="14"/>
      <c r="J181" s="14"/>
      <c r="K181" s="13">
        <v>15481</v>
      </c>
      <c r="L181" s="13">
        <v>10321</v>
      </c>
      <c r="M181" s="13">
        <v>6545</v>
      </c>
      <c r="N181" s="13">
        <v>17905</v>
      </c>
      <c r="O181" s="13">
        <v>6092</v>
      </c>
      <c r="P181" s="13">
        <v>6350</v>
      </c>
      <c r="Q181" s="13"/>
      <c r="R181" s="13"/>
      <c r="S181" s="13"/>
      <c r="T181" s="13"/>
      <c r="U181" s="13"/>
      <c r="V181" s="13"/>
      <c r="W181" s="13"/>
      <c r="X181" s="13"/>
      <c r="Y181" s="1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>
      <c r="A182" s="58" t="s">
        <v>183</v>
      </c>
      <c r="B182" s="59">
        <v>78157</v>
      </c>
      <c r="C182" s="59">
        <v>3358</v>
      </c>
      <c r="D182" s="59">
        <v>2318</v>
      </c>
      <c r="E182" s="59"/>
      <c r="F182" s="59"/>
      <c r="G182" s="59"/>
      <c r="H182" s="61" t="s">
        <v>9</v>
      </c>
      <c r="I182" s="61" t="s">
        <v>9</v>
      </c>
      <c r="J182" s="14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1"/>
      <c r="AA182" s="46">
        <f t="shared" ref="AA182:AC183" si="3">B182</f>
        <v>78157</v>
      </c>
      <c r="AB182" s="46">
        <f t="shared" si="3"/>
        <v>3358</v>
      </c>
      <c r="AC182" s="46">
        <f t="shared" si="3"/>
        <v>2318</v>
      </c>
      <c r="AD182" s="1"/>
      <c r="AE182" s="68"/>
      <c r="AF182" s="68"/>
      <c r="AG182" s="68"/>
      <c r="AH182" s="1"/>
      <c r="AI182" s="47">
        <f>C182/B182*1000</f>
        <v>42.964801617257571</v>
      </c>
      <c r="AJ182" s="47">
        <f>D182/B182*1000</f>
        <v>29.658251979988997</v>
      </c>
      <c r="AK182" s="1"/>
      <c r="AL182" s="47"/>
      <c r="AM182" s="47"/>
    </row>
    <row r="183" spans="1:39">
      <c r="A183" s="58" t="s">
        <v>184</v>
      </c>
      <c r="B183" s="59">
        <v>329377</v>
      </c>
      <c r="C183" s="59">
        <v>11714</v>
      </c>
      <c r="D183" s="59">
        <v>7581</v>
      </c>
      <c r="E183" s="59"/>
      <c r="F183" s="59"/>
      <c r="G183" s="59"/>
      <c r="H183" s="60">
        <v>33.9</v>
      </c>
      <c r="I183" s="60">
        <v>21.9</v>
      </c>
      <c r="J183" s="14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1"/>
      <c r="AA183" s="46">
        <f t="shared" si="3"/>
        <v>329377</v>
      </c>
      <c r="AB183" s="46">
        <f t="shared" si="3"/>
        <v>11714</v>
      </c>
      <c r="AC183" s="46">
        <f t="shared" si="3"/>
        <v>7581</v>
      </c>
      <c r="AD183" s="1"/>
      <c r="AE183" s="68"/>
      <c r="AF183" s="68"/>
      <c r="AG183" s="68"/>
      <c r="AH183" s="1"/>
      <c r="AI183" s="47">
        <f>C183/B183*1000</f>
        <v>35.564110426653961</v>
      </c>
      <c r="AJ183" s="47">
        <f>D183/B183*1000</f>
        <v>23.016179028893941</v>
      </c>
      <c r="AK183" s="1"/>
      <c r="AL183" s="47">
        <f>AI183-H183</f>
        <v>1.6641104266539628</v>
      </c>
      <c r="AM183" s="47">
        <f>AJ183-I183</f>
        <v>1.1161790288939422</v>
      </c>
    </row>
    <row r="184" spans="1:39">
      <c r="A184" s="58" t="s">
        <v>185</v>
      </c>
      <c r="B184" s="59">
        <v>2354023</v>
      </c>
      <c r="C184" s="59">
        <v>107950</v>
      </c>
      <c r="D184" s="59">
        <v>68578</v>
      </c>
      <c r="E184" s="59">
        <v>226915</v>
      </c>
      <c r="F184" s="59">
        <v>6760</v>
      </c>
      <c r="G184" s="59">
        <v>4786</v>
      </c>
      <c r="H184" s="60">
        <v>45.8</v>
      </c>
      <c r="I184" s="60">
        <v>29.2</v>
      </c>
      <c r="J184" s="14"/>
      <c r="K184" s="59">
        <v>170230</v>
      </c>
      <c r="L184" s="59">
        <v>147337</v>
      </c>
      <c r="M184" s="59">
        <v>141470</v>
      </c>
      <c r="N184" s="59">
        <v>139192</v>
      </c>
      <c r="O184" s="59">
        <v>134025</v>
      </c>
      <c r="P184" s="59">
        <v>158748</v>
      </c>
      <c r="Q184" s="59">
        <v>140095</v>
      </c>
      <c r="R184" s="59">
        <v>139649</v>
      </c>
      <c r="S184" s="59">
        <v>135467</v>
      </c>
      <c r="T184" s="59">
        <v>181030</v>
      </c>
      <c r="U184" s="59">
        <v>179288</v>
      </c>
      <c r="V184" s="59">
        <v>144167</v>
      </c>
      <c r="W184" s="59">
        <v>169457</v>
      </c>
      <c r="X184" s="59">
        <v>177210</v>
      </c>
      <c r="Y184" s="59">
        <v>192658</v>
      </c>
      <c r="Z184" s="1"/>
      <c r="AA184" s="46">
        <f>SUM(K184:Y184)</f>
        <v>2350023</v>
      </c>
      <c r="AB184" s="46">
        <f>SUM(K185:Y185)</f>
        <v>107950</v>
      </c>
      <c r="AC184" s="46">
        <f>SUM(K186:Y186)</f>
        <v>71573</v>
      </c>
      <c r="AD184" s="1"/>
      <c r="AE184" s="46">
        <f>AA184-B184</f>
        <v>-4000</v>
      </c>
      <c r="AF184" s="46">
        <f>AB184-C184</f>
        <v>0</v>
      </c>
      <c r="AG184" s="46">
        <f>AC184-D184</f>
        <v>2995</v>
      </c>
      <c r="AH184" s="1"/>
      <c r="AI184" s="47">
        <f>C184/B184*1000</f>
        <v>45.857665791710616</v>
      </c>
      <c r="AJ184" s="47">
        <f>D184/B184*1000</f>
        <v>29.132255717127659</v>
      </c>
      <c r="AK184" s="1"/>
      <c r="AL184" s="47">
        <f>AI184-H184</f>
        <v>5.7665791710618919E-2</v>
      </c>
      <c r="AM184" s="47">
        <f>AJ184-I184</f>
        <v>-6.7744282872340023E-2</v>
      </c>
    </row>
    <row r="185" spans="1:39">
      <c r="A185" s="12" t="s">
        <v>186</v>
      </c>
      <c r="B185" s="13"/>
      <c r="C185" s="13"/>
      <c r="D185" s="13"/>
      <c r="E185" s="13"/>
      <c r="F185" s="13"/>
      <c r="G185" s="13"/>
      <c r="H185" s="14"/>
      <c r="I185" s="14"/>
      <c r="J185" s="14"/>
      <c r="K185" s="13">
        <v>7191</v>
      </c>
      <c r="L185" s="13">
        <v>6793</v>
      </c>
      <c r="M185" s="13">
        <v>6185</v>
      </c>
      <c r="N185" s="13">
        <v>7294</v>
      </c>
      <c r="O185" s="13">
        <v>5912</v>
      </c>
      <c r="P185" s="13">
        <v>7049</v>
      </c>
      <c r="Q185" s="13">
        <v>5829</v>
      </c>
      <c r="R185" s="13">
        <v>6809</v>
      </c>
      <c r="S185" s="13">
        <v>7177</v>
      </c>
      <c r="T185" s="13">
        <v>7859</v>
      </c>
      <c r="U185" s="13">
        <v>7946</v>
      </c>
      <c r="V185" s="13">
        <v>7587</v>
      </c>
      <c r="W185" s="13">
        <v>7663</v>
      </c>
      <c r="X185" s="13">
        <v>7086</v>
      </c>
      <c r="Y185" s="13">
        <v>9570</v>
      </c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>
      <c r="A186" s="12" t="s">
        <v>187</v>
      </c>
      <c r="B186" s="13"/>
      <c r="C186" s="13"/>
      <c r="D186" s="13"/>
      <c r="E186" s="13"/>
      <c r="F186" s="13"/>
      <c r="G186" s="13"/>
      <c r="H186" s="14"/>
      <c r="I186" s="14"/>
      <c r="J186" s="14"/>
      <c r="K186" s="13">
        <v>5408</v>
      </c>
      <c r="L186" s="13">
        <v>5258</v>
      </c>
      <c r="M186" s="13">
        <v>4037</v>
      </c>
      <c r="N186" s="13">
        <v>5980</v>
      </c>
      <c r="O186" s="13">
        <v>3777</v>
      </c>
      <c r="P186" s="13">
        <v>3674</v>
      </c>
      <c r="Q186" s="13">
        <v>3458</v>
      </c>
      <c r="R186" s="13">
        <v>5223</v>
      </c>
      <c r="S186" s="13">
        <v>5634</v>
      </c>
      <c r="T186" s="13">
        <v>4712</v>
      </c>
      <c r="U186" s="13">
        <v>4559</v>
      </c>
      <c r="V186" s="13">
        <v>4397</v>
      </c>
      <c r="W186" s="13">
        <v>5492</v>
      </c>
      <c r="X186" s="13">
        <v>5079</v>
      </c>
      <c r="Y186" s="13">
        <v>4885</v>
      </c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>
      <c r="A187" s="58" t="s">
        <v>188</v>
      </c>
      <c r="B187" s="59">
        <v>1160626</v>
      </c>
      <c r="C187" s="59">
        <v>46272</v>
      </c>
      <c r="D187" s="59">
        <v>34640</v>
      </c>
      <c r="E187" s="59">
        <v>137357</v>
      </c>
      <c r="F187" s="59">
        <v>5210</v>
      </c>
      <c r="G187" s="59">
        <v>4724</v>
      </c>
      <c r="H187" s="60">
        <v>40.5</v>
      </c>
      <c r="I187" s="60">
        <v>30.3</v>
      </c>
      <c r="J187" s="14"/>
      <c r="K187" s="59">
        <v>211876</v>
      </c>
      <c r="L187" s="59">
        <v>70074</v>
      </c>
      <c r="M187" s="59">
        <v>69628</v>
      </c>
      <c r="N187" s="59">
        <v>133918</v>
      </c>
      <c r="O187" s="59">
        <v>98134</v>
      </c>
      <c r="P187" s="59">
        <v>112930</v>
      </c>
      <c r="Q187" s="59">
        <v>80443</v>
      </c>
      <c r="R187" s="59">
        <v>167914</v>
      </c>
      <c r="S187" s="59">
        <v>100891</v>
      </c>
      <c r="T187" s="59">
        <v>114818</v>
      </c>
      <c r="U187" s="59"/>
      <c r="V187" s="59"/>
      <c r="W187" s="59"/>
      <c r="X187" s="59"/>
      <c r="Y187" s="59"/>
      <c r="Z187" s="1"/>
      <c r="AA187" s="46">
        <f>SUM(K187:Y187)</f>
        <v>1160626</v>
      </c>
      <c r="AB187" s="46">
        <f>SUM(K188:Y188)</f>
        <v>46272</v>
      </c>
      <c r="AC187" s="46">
        <f>SUM(K189:Y189)</f>
        <v>34640</v>
      </c>
      <c r="AD187" s="1"/>
      <c r="AE187" s="46">
        <f>AA187-B187</f>
        <v>0</v>
      </c>
      <c r="AF187" s="46">
        <f>AB187-C187</f>
        <v>0</v>
      </c>
      <c r="AG187" s="46">
        <f>AC187-D187</f>
        <v>0</v>
      </c>
      <c r="AH187" s="1"/>
      <c r="AI187" s="47">
        <f>C187/B187*1000</f>
        <v>39.868140124381156</v>
      </c>
      <c r="AJ187" s="47">
        <f>D187/B187*1000</f>
        <v>29.845962437512171</v>
      </c>
      <c r="AK187" s="1"/>
      <c r="AL187" s="47">
        <f>AI187-H187</f>
        <v>-0.6318598756188436</v>
      </c>
      <c r="AM187" s="47">
        <f>AJ187-I187</f>
        <v>-0.45403756248783012</v>
      </c>
    </row>
    <row r="188" spans="1:39">
      <c r="A188" s="12" t="s">
        <v>189</v>
      </c>
      <c r="B188" s="13"/>
      <c r="C188" s="13"/>
      <c r="D188" s="13"/>
      <c r="E188" s="13"/>
      <c r="F188" s="13"/>
      <c r="G188" s="13"/>
      <c r="H188" s="14"/>
      <c r="I188" s="14"/>
      <c r="J188" s="14"/>
      <c r="K188" s="13">
        <v>8714</v>
      </c>
      <c r="L188" s="13">
        <v>2654</v>
      </c>
      <c r="M188" s="13">
        <v>2516</v>
      </c>
      <c r="N188" s="13">
        <v>5637</v>
      </c>
      <c r="O188" s="13">
        <v>4109</v>
      </c>
      <c r="P188" s="13">
        <v>4536</v>
      </c>
      <c r="Q188" s="13">
        <v>3205</v>
      </c>
      <c r="R188" s="13">
        <v>7251</v>
      </c>
      <c r="S188" s="13">
        <v>3633</v>
      </c>
      <c r="T188" s="13">
        <v>4017</v>
      </c>
      <c r="U188" s="13"/>
      <c r="V188" s="13"/>
      <c r="W188" s="13"/>
      <c r="X188" s="13"/>
      <c r="Y188" s="1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>
      <c r="A189" s="12" t="s">
        <v>190</v>
      </c>
      <c r="B189" s="13"/>
      <c r="C189" s="13"/>
      <c r="D189" s="13"/>
      <c r="E189" s="13"/>
      <c r="F189" s="13"/>
      <c r="G189" s="13"/>
      <c r="H189" s="14"/>
      <c r="I189" s="14"/>
      <c r="J189" s="14"/>
      <c r="K189" s="13">
        <v>6189</v>
      </c>
      <c r="L189" s="13">
        <v>1874</v>
      </c>
      <c r="M189" s="13">
        <v>1860</v>
      </c>
      <c r="N189" s="13">
        <v>4844</v>
      </c>
      <c r="O189" s="13">
        <v>2908</v>
      </c>
      <c r="P189" s="13">
        <v>3278</v>
      </c>
      <c r="Q189" s="13">
        <v>2257</v>
      </c>
      <c r="R189" s="13">
        <v>5125</v>
      </c>
      <c r="S189" s="13">
        <v>2958</v>
      </c>
      <c r="T189" s="13">
        <v>3347</v>
      </c>
      <c r="U189" s="13"/>
      <c r="V189" s="13"/>
      <c r="W189" s="13"/>
      <c r="X189" s="13"/>
      <c r="Y189" s="1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>
      <c r="A190" s="62" t="s">
        <v>191</v>
      </c>
      <c r="B190" s="63">
        <v>67128446</v>
      </c>
      <c r="C190" s="63">
        <v>3215433</v>
      </c>
      <c r="D190" s="63">
        <v>2316037</v>
      </c>
      <c r="E190" s="63"/>
      <c r="F190" s="63"/>
      <c r="G190" s="63"/>
      <c r="H190" s="64">
        <v>47.8</v>
      </c>
      <c r="I190" s="64">
        <v>34.4</v>
      </c>
      <c r="J190" s="14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1"/>
      <c r="AA190" s="70">
        <f>SUM(AA84:AA189)</f>
        <v>67291144</v>
      </c>
      <c r="AB190" s="70">
        <f>SUM(AB84:AB189)</f>
        <v>3126153</v>
      </c>
      <c r="AC190" s="70">
        <f>SUM(AC84:AC189)</f>
        <v>2228790</v>
      </c>
      <c r="AD190" s="1"/>
      <c r="AE190" s="70">
        <f t="shared" ref="AE190:AG191" si="4">AA190-B190</f>
        <v>162698</v>
      </c>
      <c r="AF190" s="70">
        <f t="shared" si="4"/>
        <v>-89280</v>
      </c>
      <c r="AG190" s="70">
        <f t="shared" si="4"/>
        <v>-87247</v>
      </c>
      <c r="AH190" s="1"/>
      <c r="AI190" s="71">
        <f>C190/B190*1000</f>
        <v>47.899708567661463</v>
      </c>
      <c r="AJ190" s="71">
        <f>D190/B190*1000</f>
        <v>34.501573297257622</v>
      </c>
      <c r="AK190" s="1"/>
      <c r="AL190" s="71">
        <f>AI190-H190</f>
        <v>9.9708567661465963E-2</v>
      </c>
      <c r="AM190" s="71">
        <f>AJ190-I190</f>
        <v>0.1015732972576231</v>
      </c>
    </row>
    <row r="191" spans="1:39">
      <c r="A191" s="58" t="s">
        <v>192</v>
      </c>
      <c r="B191" s="59">
        <v>2222755</v>
      </c>
      <c r="C191" s="59">
        <v>132478</v>
      </c>
      <c r="D191" s="59">
        <v>76105</v>
      </c>
      <c r="E191" s="65" t="s">
        <v>9</v>
      </c>
      <c r="F191" s="65" t="s">
        <v>9</v>
      </c>
      <c r="G191" s="65" t="s">
        <v>9</v>
      </c>
      <c r="H191" s="60">
        <v>58.1</v>
      </c>
      <c r="I191" s="60">
        <v>33.4</v>
      </c>
      <c r="J191" s="23"/>
      <c r="K191" s="59">
        <v>175069</v>
      </c>
      <c r="L191" s="59">
        <v>234827</v>
      </c>
      <c r="M191" s="59">
        <v>200725</v>
      </c>
      <c r="N191" s="59">
        <v>416956</v>
      </c>
      <c r="O191" s="59">
        <v>325005</v>
      </c>
      <c r="P191" s="59">
        <v>55579</v>
      </c>
      <c r="Q191" s="59">
        <v>384295</v>
      </c>
      <c r="R191" s="59">
        <v>215885</v>
      </c>
      <c r="S191" s="59">
        <v>214414</v>
      </c>
      <c r="T191" s="59"/>
      <c r="U191" s="59"/>
      <c r="V191" s="59"/>
      <c r="W191" s="59"/>
      <c r="X191" s="59"/>
      <c r="Y191" s="59"/>
      <c r="Z191" s="1"/>
      <c r="AA191" s="46">
        <f>SUM(K191:Y191)</f>
        <v>2222755</v>
      </c>
      <c r="AB191" s="46">
        <f>SUM(K192:Y192)</f>
        <v>132473</v>
      </c>
      <c r="AC191" s="46">
        <f>SUM(K193:Y193)</f>
        <v>76105</v>
      </c>
      <c r="AD191" s="1"/>
      <c r="AE191" s="46">
        <f t="shared" si="4"/>
        <v>0</v>
      </c>
      <c r="AF191" s="46">
        <f t="shared" si="4"/>
        <v>-5</v>
      </c>
      <c r="AG191" s="46">
        <f t="shared" si="4"/>
        <v>0</v>
      </c>
      <c r="AH191" s="1"/>
      <c r="AI191" s="47">
        <f>C191/B191*1000</f>
        <v>59.600810705633329</v>
      </c>
      <c r="AJ191" s="47">
        <f>D191/B191*1000</f>
        <v>34.239041189874726</v>
      </c>
      <c r="AK191" s="1"/>
      <c r="AL191" s="47">
        <f>AI191-H191</f>
        <v>1.5008107056333273</v>
      </c>
      <c r="AM191" s="47">
        <f>AJ191-I191</f>
        <v>0.83904118987472742</v>
      </c>
    </row>
    <row r="192" spans="1:39">
      <c r="A192" s="12" t="s">
        <v>193</v>
      </c>
      <c r="B192" s="13"/>
      <c r="C192" s="13"/>
      <c r="D192" s="13"/>
      <c r="E192" s="13"/>
      <c r="F192" s="13"/>
      <c r="G192" s="13"/>
      <c r="H192" s="14"/>
      <c r="I192" s="14"/>
      <c r="J192" s="14"/>
      <c r="K192" s="13">
        <v>13098</v>
      </c>
      <c r="L192" s="13">
        <v>15373</v>
      </c>
      <c r="M192" s="13">
        <v>10307</v>
      </c>
      <c r="N192" s="13">
        <v>27783</v>
      </c>
      <c r="O192" s="13">
        <v>18011</v>
      </c>
      <c r="P192" s="13">
        <v>2863</v>
      </c>
      <c r="Q192" s="13">
        <v>21381</v>
      </c>
      <c r="R192" s="13">
        <v>11369</v>
      </c>
      <c r="S192" s="13">
        <v>12288</v>
      </c>
      <c r="T192" s="13"/>
      <c r="U192" s="13"/>
      <c r="V192" s="13"/>
      <c r="W192" s="13"/>
      <c r="X192" s="13"/>
      <c r="Y192" s="13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>
      <c r="A193" s="12" t="s">
        <v>194</v>
      </c>
      <c r="B193" s="13"/>
      <c r="C193" s="13"/>
      <c r="D193" s="13"/>
      <c r="E193" s="13"/>
      <c r="F193" s="13"/>
      <c r="G193" s="13"/>
      <c r="H193" s="14"/>
      <c r="I193" s="14"/>
      <c r="J193" s="14"/>
      <c r="K193" s="13">
        <v>7386</v>
      </c>
      <c r="L193" s="13">
        <v>7729</v>
      </c>
      <c r="M193" s="13">
        <v>4783</v>
      </c>
      <c r="N193" s="13">
        <v>13916</v>
      </c>
      <c r="O193" s="13">
        <v>11351</v>
      </c>
      <c r="P193" s="13">
        <v>1439</v>
      </c>
      <c r="Q193" s="13">
        <v>12566</v>
      </c>
      <c r="R193" s="13">
        <v>5706</v>
      </c>
      <c r="S193" s="13">
        <v>11229</v>
      </c>
      <c r="T193" s="13"/>
      <c r="U193" s="13"/>
      <c r="V193" s="13"/>
      <c r="W193" s="13"/>
      <c r="X193" s="13"/>
      <c r="Y193" s="1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>
      <c r="A194" s="62" t="s">
        <v>195</v>
      </c>
      <c r="B194" s="63">
        <v>102664841</v>
      </c>
      <c r="C194" s="63">
        <v>4759341</v>
      </c>
      <c r="D194" s="63">
        <v>3390274</v>
      </c>
      <c r="E194" s="63"/>
      <c r="F194" s="63"/>
      <c r="G194" s="63"/>
      <c r="H194" s="64">
        <v>46.4</v>
      </c>
      <c r="I194" s="64">
        <v>32.200000000000003</v>
      </c>
      <c r="J194" s="14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1"/>
      <c r="AA194" s="75">
        <f>SUM(AA41, AA83, AA73, AA190, AA191)</f>
        <v>102768652</v>
      </c>
      <c r="AB194" s="75">
        <f>SUM(AB41, AB83, AB73, AB190, AB191)</f>
        <v>4667639</v>
      </c>
      <c r="AC194" s="75">
        <f>SUM(AC41, AC83, AC73, AC190, AC191)</f>
        <v>3220504</v>
      </c>
      <c r="AD194" s="1"/>
      <c r="AE194" s="70">
        <f t="shared" ref="AE194:AG195" si="5">AA194-B194</f>
        <v>103811</v>
      </c>
      <c r="AF194" s="70">
        <f t="shared" si="5"/>
        <v>-91702</v>
      </c>
      <c r="AG194" s="70">
        <f t="shared" si="5"/>
        <v>-169770</v>
      </c>
      <c r="AH194" s="1"/>
      <c r="AI194" s="71">
        <f>C194/B194*1000</f>
        <v>46.358041892842358</v>
      </c>
      <c r="AJ194" s="71">
        <f>D194/B194*1000</f>
        <v>33.022736576390358</v>
      </c>
      <c r="AK194" s="1"/>
      <c r="AL194" s="71">
        <f>AI194-H194</f>
        <v>-4.1958107157640256E-2</v>
      </c>
      <c r="AM194" s="71">
        <f>AJ194-I194</f>
        <v>0.82273657639035491</v>
      </c>
    </row>
    <row r="195" spans="1:39">
      <c r="A195" s="24" t="s">
        <v>196</v>
      </c>
      <c r="B195" s="25">
        <v>746756</v>
      </c>
      <c r="C195" s="25">
        <v>20325</v>
      </c>
      <c r="D195" s="25">
        <v>13920</v>
      </c>
      <c r="E195" s="25">
        <v>163113</v>
      </c>
      <c r="F195" s="25">
        <v>2711</v>
      </c>
      <c r="G195" s="25">
        <v>2600</v>
      </c>
      <c r="H195" s="26">
        <v>27.9</v>
      </c>
      <c r="I195" s="26">
        <v>19.100000000000001</v>
      </c>
      <c r="J195" s="14"/>
      <c r="K195" s="25">
        <v>185587</v>
      </c>
      <c r="L195" s="25">
        <v>105363</v>
      </c>
      <c r="M195" s="25">
        <v>75144</v>
      </c>
      <c r="N195" s="25">
        <v>179310</v>
      </c>
      <c r="O195" s="25">
        <v>129244</v>
      </c>
      <c r="P195" s="25">
        <v>72108</v>
      </c>
      <c r="Q195" s="25"/>
      <c r="R195" s="25"/>
      <c r="S195" s="25"/>
      <c r="T195" s="25"/>
      <c r="U195" s="25"/>
      <c r="V195" s="25"/>
      <c r="W195" s="25"/>
      <c r="X195" s="25"/>
      <c r="Y195" s="25"/>
      <c r="Z195" s="1"/>
      <c r="AA195" s="46">
        <f>SUM(K195:Y195)</f>
        <v>746756</v>
      </c>
      <c r="AB195" s="46">
        <f>SUM(K196:Y196)</f>
        <v>21325</v>
      </c>
      <c r="AC195" s="46">
        <f>SUM(K197:Y197)</f>
        <v>13920</v>
      </c>
      <c r="AD195" s="1"/>
      <c r="AE195" s="46">
        <f t="shared" si="5"/>
        <v>0</v>
      </c>
      <c r="AF195" s="46">
        <f t="shared" si="5"/>
        <v>1000</v>
      </c>
      <c r="AG195" s="46">
        <f t="shared" si="5"/>
        <v>0</v>
      </c>
      <c r="AH195" s="1"/>
      <c r="AI195" s="47">
        <f>C195/B195*1000</f>
        <v>27.217725736385109</v>
      </c>
      <c r="AJ195" s="47">
        <f>D195/B195*1000</f>
        <v>18.640626924992901</v>
      </c>
      <c r="AK195" s="1"/>
      <c r="AL195" s="47">
        <f>AI195-H195</f>
        <v>-0.68227426361488952</v>
      </c>
      <c r="AM195" s="47">
        <f>AJ195-I195</f>
        <v>-0.45937307500710034</v>
      </c>
    </row>
    <row r="196" spans="1:39">
      <c r="A196" s="12" t="s">
        <v>197</v>
      </c>
      <c r="B196" s="13"/>
      <c r="C196" s="13"/>
      <c r="D196" s="13"/>
      <c r="E196" s="13"/>
      <c r="F196" s="13"/>
      <c r="G196" s="13"/>
      <c r="H196" s="14"/>
      <c r="I196" s="14"/>
      <c r="J196" s="14"/>
      <c r="K196" s="13">
        <v>2657</v>
      </c>
      <c r="L196" s="13">
        <v>2697</v>
      </c>
      <c r="M196" s="13">
        <v>990</v>
      </c>
      <c r="N196" s="13">
        <v>7983</v>
      </c>
      <c r="O196" s="13">
        <v>3102</v>
      </c>
      <c r="P196" s="13">
        <v>3896</v>
      </c>
      <c r="Q196" s="13"/>
      <c r="R196" s="13"/>
      <c r="S196" s="13"/>
      <c r="T196" s="13"/>
      <c r="U196" s="13"/>
      <c r="V196" s="13"/>
      <c r="W196" s="13"/>
      <c r="X196" s="13"/>
      <c r="Y196" s="13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>
      <c r="A197" s="12" t="s">
        <v>198</v>
      </c>
      <c r="B197" s="13"/>
      <c r="C197" s="13"/>
      <c r="D197" s="13"/>
      <c r="E197" s="13"/>
      <c r="F197" s="13"/>
      <c r="G197" s="13"/>
      <c r="H197" s="14"/>
      <c r="I197" s="14"/>
      <c r="J197" s="14"/>
      <c r="K197" s="13">
        <v>2137</v>
      </c>
      <c r="L197" s="13">
        <v>2408</v>
      </c>
      <c r="M197" s="13">
        <v>755</v>
      </c>
      <c r="N197" s="13">
        <v>4652</v>
      </c>
      <c r="O197" s="13">
        <v>2101</v>
      </c>
      <c r="P197" s="13">
        <v>1867</v>
      </c>
      <c r="Q197" s="13"/>
      <c r="R197" s="13"/>
      <c r="S197" s="13"/>
      <c r="T197" s="13"/>
      <c r="U197" s="13"/>
      <c r="V197" s="13"/>
      <c r="W197" s="13"/>
      <c r="X197" s="13"/>
      <c r="Y197" s="1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>
      <c r="A198" s="24" t="s">
        <v>199</v>
      </c>
      <c r="B198" s="25">
        <v>571661</v>
      </c>
      <c r="C198" s="25">
        <v>12163</v>
      </c>
      <c r="D198" s="25">
        <v>11542</v>
      </c>
      <c r="E198" s="27" t="s">
        <v>9</v>
      </c>
      <c r="F198" s="27" t="s">
        <v>9</v>
      </c>
      <c r="G198" s="27" t="s">
        <v>9</v>
      </c>
      <c r="H198" s="28" t="s">
        <v>9</v>
      </c>
      <c r="I198" s="28" t="s">
        <v>9</v>
      </c>
      <c r="J198" s="11"/>
      <c r="K198" s="25">
        <v>34781</v>
      </c>
      <c r="L198" s="25">
        <v>49674</v>
      </c>
      <c r="M198" s="25">
        <v>60354</v>
      </c>
      <c r="N198" s="25">
        <v>78711</v>
      </c>
      <c r="O198" s="25">
        <v>76317</v>
      </c>
      <c r="P198" s="25">
        <v>52060</v>
      </c>
      <c r="Q198" s="25">
        <v>78744</v>
      </c>
      <c r="R198" s="25">
        <v>66830</v>
      </c>
      <c r="S198" s="25">
        <v>74190</v>
      </c>
      <c r="T198" s="25"/>
      <c r="U198" s="25"/>
      <c r="V198" s="25"/>
      <c r="W198" s="25"/>
      <c r="X198" s="25"/>
      <c r="Y198" s="25"/>
      <c r="Z198" s="1"/>
      <c r="AA198" s="46">
        <f>SUM(K198:Y198)</f>
        <v>571661</v>
      </c>
      <c r="AB198" s="46">
        <f>SUM(K199:Y199)</f>
        <v>12213</v>
      </c>
      <c r="AC198" s="46">
        <f>SUM(K200:Y200)</f>
        <v>10542</v>
      </c>
      <c r="AD198" s="1"/>
      <c r="AE198" s="46">
        <f>AA198-B198</f>
        <v>0</v>
      </c>
      <c r="AF198" s="46">
        <f>AB198-C198</f>
        <v>50</v>
      </c>
      <c r="AG198" s="46">
        <f>AC198-D198</f>
        <v>-1000</v>
      </c>
      <c r="AH198" s="1"/>
      <c r="AI198" s="47">
        <f>C198/B198*1000</f>
        <v>21.276595744680851</v>
      </c>
      <c r="AJ198" s="47">
        <f>D198/B198*1000</f>
        <v>20.190287600518491</v>
      </c>
      <c r="AK198" s="1"/>
      <c r="AL198" s="47"/>
      <c r="AM198" s="47"/>
    </row>
    <row r="199" spans="1:39">
      <c r="A199" s="12" t="s">
        <v>200</v>
      </c>
      <c r="B199" s="13"/>
      <c r="C199" s="13"/>
      <c r="D199" s="13"/>
      <c r="E199" s="13"/>
      <c r="F199" s="13"/>
      <c r="G199" s="13"/>
      <c r="H199" s="14"/>
      <c r="I199" s="14"/>
      <c r="J199" s="14"/>
      <c r="K199" s="13">
        <v>556</v>
      </c>
      <c r="L199" s="13">
        <v>1046</v>
      </c>
      <c r="M199" s="13">
        <v>1050</v>
      </c>
      <c r="N199" s="13">
        <v>1583</v>
      </c>
      <c r="O199" s="13">
        <v>2289</v>
      </c>
      <c r="P199" s="13">
        <v>1356</v>
      </c>
      <c r="Q199" s="13">
        <v>1669</v>
      </c>
      <c r="R199" s="13">
        <v>1434</v>
      </c>
      <c r="S199" s="13">
        <v>1230</v>
      </c>
      <c r="T199" s="13"/>
      <c r="U199" s="13"/>
      <c r="V199" s="13"/>
      <c r="W199" s="13"/>
      <c r="X199" s="13"/>
      <c r="Y199" s="13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>
      <c r="A200" s="12" t="s">
        <v>201</v>
      </c>
      <c r="B200" s="13"/>
      <c r="C200" s="13"/>
      <c r="D200" s="13"/>
      <c r="E200" s="13"/>
      <c r="F200" s="13"/>
      <c r="G200" s="13"/>
      <c r="H200" s="14"/>
      <c r="I200" s="14"/>
      <c r="J200" s="14"/>
      <c r="K200" s="13">
        <v>523</v>
      </c>
      <c r="L200" s="13">
        <v>778</v>
      </c>
      <c r="M200" s="13">
        <v>1059</v>
      </c>
      <c r="N200" s="13">
        <v>1437</v>
      </c>
      <c r="O200" s="13">
        <v>1986</v>
      </c>
      <c r="P200" s="13">
        <v>1252</v>
      </c>
      <c r="Q200" s="13">
        <v>1301</v>
      </c>
      <c r="R200" s="13">
        <v>1210</v>
      </c>
      <c r="S200" s="13">
        <v>996</v>
      </c>
      <c r="T200" s="13"/>
      <c r="U200" s="13"/>
      <c r="V200" s="13"/>
      <c r="W200" s="13"/>
      <c r="X200" s="13"/>
      <c r="Y200" s="1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>
      <c r="A201" s="24" t="s">
        <v>202</v>
      </c>
      <c r="B201" s="25">
        <v>816323</v>
      </c>
      <c r="C201" s="25">
        <v>21633</v>
      </c>
      <c r="D201" s="25">
        <v>13801</v>
      </c>
      <c r="E201" s="25">
        <v>87326</v>
      </c>
      <c r="F201" s="25">
        <v>2508</v>
      </c>
      <c r="G201" s="25">
        <v>1755</v>
      </c>
      <c r="H201" s="26">
        <v>26.5</v>
      </c>
      <c r="I201" s="26">
        <v>16.899999999999999</v>
      </c>
      <c r="J201" s="14"/>
      <c r="K201" s="25">
        <v>142681</v>
      </c>
      <c r="L201" s="25">
        <v>59569</v>
      </c>
      <c r="M201" s="25">
        <v>54211</v>
      </c>
      <c r="N201" s="25">
        <v>59784</v>
      </c>
      <c r="O201" s="25">
        <v>136536</v>
      </c>
      <c r="P201" s="25">
        <v>97825</v>
      </c>
      <c r="Q201" s="25">
        <v>119472</v>
      </c>
      <c r="R201" s="25">
        <v>146245</v>
      </c>
      <c r="S201" s="25"/>
      <c r="T201" s="25"/>
      <c r="U201" s="25"/>
      <c r="V201" s="25"/>
      <c r="W201" s="25"/>
      <c r="X201" s="25"/>
      <c r="Y201" s="25"/>
      <c r="Z201" s="1"/>
      <c r="AA201" s="46">
        <f>SUM(K201:Y201)</f>
        <v>816323</v>
      </c>
      <c r="AB201" s="46">
        <f>SUM(K202:Y202)</f>
        <v>21633</v>
      </c>
      <c r="AC201" s="46">
        <f>SUM(K203:Y203)</f>
        <v>13801</v>
      </c>
      <c r="AD201" s="1"/>
      <c r="AE201" s="46">
        <f>AA201-B201</f>
        <v>0</v>
      </c>
      <c r="AF201" s="46">
        <f>AB201-C201</f>
        <v>0</v>
      </c>
      <c r="AG201" s="46">
        <f>AC201-D201</f>
        <v>0</v>
      </c>
      <c r="AH201" s="1"/>
      <c r="AI201" s="47">
        <f>C201/B201*1000</f>
        <v>26.500539614833833</v>
      </c>
      <c r="AJ201" s="47">
        <f>D201/B201*1000</f>
        <v>16.906298119739368</v>
      </c>
      <c r="AK201" s="1"/>
      <c r="AL201" s="47">
        <f>AI201-H201</f>
        <v>5.3961483383346831E-4</v>
      </c>
      <c r="AM201" s="47">
        <f>AJ201-I201</f>
        <v>6.2981197393696675E-3</v>
      </c>
    </row>
    <row r="202" spans="1:39">
      <c r="A202" s="12" t="s">
        <v>203</v>
      </c>
      <c r="B202" s="13"/>
      <c r="C202" s="13"/>
      <c r="D202" s="13"/>
      <c r="E202" s="13"/>
      <c r="F202" s="13"/>
      <c r="G202" s="13"/>
      <c r="H202" s="14"/>
      <c r="I202" s="14"/>
      <c r="J202" s="14"/>
      <c r="K202" s="13">
        <v>3748</v>
      </c>
      <c r="L202" s="13">
        <v>2149</v>
      </c>
      <c r="M202" s="13">
        <v>1116</v>
      </c>
      <c r="N202" s="13">
        <v>1384</v>
      </c>
      <c r="O202" s="13">
        <v>2862</v>
      </c>
      <c r="P202" s="13">
        <v>3169</v>
      </c>
      <c r="Q202" s="13">
        <v>3677</v>
      </c>
      <c r="R202" s="13">
        <v>3528</v>
      </c>
      <c r="S202" s="13"/>
      <c r="T202" s="13"/>
      <c r="U202" s="13"/>
      <c r="V202" s="13"/>
      <c r="W202" s="13"/>
      <c r="X202" s="13"/>
      <c r="Y202" s="13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>
      <c r="A203" s="12" t="s">
        <v>204</v>
      </c>
      <c r="B203" s="13"/>
      <c r="C203" s="13"/>
      <c r="D203" s="13"/>
      <c r="E203" s="13"/>
      <c r="F203" s="13"/>
      <c r="G203" s="13"/>
      <c r="H203" s="14"/>
      <c r="I203" s="14"/>
      <c r="J203" s="14"/>
      <c r="K203" s="13">
        <v>1987</v>
      </c>
      <c r="L203" s="13">
        <v>1407</v>
      </c>
      <c r="M203" s="13">
        <v>866</v>
      </c>
      <c r="N203" s="13">
        <v>970</v>
      </c>
      <c r="O203" s="13">
        <v>1351</v>
      </c>
      <c r="P203" s="13">
        <v>1878</v>
      </c>
      <c r="Q203" s="13">
        <v>3449</v>
      </c>
      <c r="R203" s="13">
        <v>1893</v>
      </c>
      <c r="S203" s="13"/>
      <c r="T203" s="13"/>
      <c r="U203" s="13"/>
      <c r="V203" s="13"/>
      <c r="W203" s="13"/>
      <c r="X203" s="13"/>
      <c r="Y203" s="1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>
      <c r="A204" s="24" t="s">
        <v>205</v>
      </c>
      <c r="B204" s="25">
        <v>207385</v>
      </c>
      <c r="C204" s="25">
        <v>7670</v>
      </c>
      <c r="D204" s="25">
        <v>3830</v>
      </c>
      <c r="E204" s="25">
        <v>4710</v>
      </c>
      <c r="F204" s="25">
        <v>268</v>
      </c>
      <c r="G204" s="25">
        <v>190</v>
      </c>
      <c r="H204" s="28" t="s">
        <v>9</v>
      </c>
      <c r="I204" s="28" t="s">
        <v>9</v>
      </c>
      <c r="J204" s="14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1"/>
      <c r="AA204" s="46">
        <f>B204</f>
        <v>207385</v>
      </c>
      <c r="AB204" s="46">
        <f>C204</f>
        <v>7670</v>
      </c>
      <c r="AC204" s="46">
        <f>D204</f>
        <v>3830</v>
      </c>
      <c r="AD204" s="1"/>
      <c r="AE204" s="68"/>
      <c r="AF204" s="68"/>
      <c r="AG204" s="68"/>
      <c r="AH204" s="1"/>
      <c r="AI204" s="47">
        <f>C204/B204*1000</f>
        <v>36.984352773826458</v>
      </c>
      <c r="AJ204" s="47">
        <f>D204/B204*1000</f>
        <v>18.468066639342286</v>
      </c>
      <c r="AK204" s="1"/>
      <c r="AL204" s="47"/>
      <c r="AM204" s="47"/>
    </row>
    <row r="205" spans="1:39">
      <c r="A205" s="24" t="s">
        <v>206</v>
      </c>
      <c r="B205" s="25">
        <v>1652531</v>
      </c>
      <c r="C205" s="25">
        <v>98504</v>
      </c>
      <c r="D205" s="25">
        <v>58828</v>
      </c>
      <c r="E205" s="25">
        <v>203797</v>
      </c>
      <c r="F205" s="25">
        <v>8306</v>
      </c>
      <c r="G205" s="25">
        <v>4855</v>
      </c>
      <c r="H205" s="26">
        <v>59</v>
      </c>
      <c r="I205" s="26">
        <v>35.1</v>
      </c>
      <c r="J205" s="14"/>
      <c r="K205" s="25">
        <v>230902</v>
      </c>
      <c r="L205" s="25">
        <v>175114</v>
      </c>
      <c r="M205" s="25">
        <v>241956</v>
      </c>
      <c r="N205" s="25">
        <v>195458</v>
      </c>
      <c r="O205" s="25">
        <v>221066</v>
      </c>
      <c r="P205" s="25">
        <v>255710</v>
      </c>
      <c r="Q205" s="25">
        <v>265150</v>
      </c>
      <c r="R205" s="25">
        <v>59075</v>
      </c>
      <c r="S205" s="25"/>
      <c r="T205" s="25"/>
      <c r="U205" s="25"/>
      <c r="V205" s="25"/>
      <c r="W205" s="25"/>
      <c r="X205" s="25"/>
      <c r="Y205" s="25"/>
      <c r="Z205" s="1"/>
      <c r="AA205" s="46">
        <f>SUM(K205:Y205)</f>
        <v>1644431</v>
      </c>
      <c r="AB205" s="46">
        <f>SUM(K206:Y206)</f>
        <v>96504</v>
      </c>
      <c r="AC205" s="46">
        <f>SUM(K207:Y207)</f>
        <v>58827</v>
      </c>
      <c r="AD205" s="1"/>
      <c r="AE205" s="46">
        <f>AA205-B205</f>
        <v>-8100</v>
      </c>
      <c r="AF205" s="46">
        <f>AB205-C205</f>
        <v>-2000</v>
      </c>
      <c r="AG205" s="46">
        <f>AC205-D205</f>
        <v>-1</v>
      </c>
      <c r="AH205" s="1"/>
      <c r="AI205" s="47">
        <f>C205/B205*1000</f>
        <v>59.607958942978982</v>
      </c>
      <c r="AJ205" s="47">
        <f>D205/B205*1000</f>
        <v>35.598727043547143</v>
      </c>
      <c r="AK205" s="1"/>
      <c r="AL205" s="47">
        <f>AI205-H205</f>
        <v>0.60795894297898201</v>
      </c>
      <c r="AM205" s="47">
        <f>AJ205-I205</f>
        <v>0.49872704354714159</v>
      </c>
    </row>
    <row r="206" spans="1:39">
      <c r="A206" s="12" t="s">
        <v>207</v>
      </c>
      <c r="B206" s="13"/>
      <c r="C206" s="13"/>
      <c r="D206" s="13"/>
      <c r="E206" s="13"/>
      <c r="F206" s="13"/>
      <c r="G206" s="13"/>
      <c r="H206" s="14"/>
      <c r="I206" s="14"/>
      <c r="J206" s="14"/>
      <c r="K206" s="13">
        <v>12221</v>
      </c>
      <c r="L206" s="13">
        <v>11097</v>
      </c>
      <c r="M206" s="13">
        <v>16149</v>
      </c>
      <c r="N206" s="13">
        <v>13907</v>
      </c>
      <c r="O206" s="13">
        <v>13840</v>
      </c>
      <c r="P206" s="13">
        <v>12536</v>
      </c>
      <c r="Q206" s="13">
        <v>14822</v>
      </c>
      <c r="R206" s="13">
        <v>1932</v>
      </c>
      <c r="S206" s="13"/>
      <c r="T206" s="13"/>
      <c r="U206" s="13"/>
      <c r="V206" s="13"/>
      <c r="W206" s="13"/>
      <c r="X206" s="13"/>
      <c r="Y206" s="13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>
      <c r="A207" s="12" t="s">
        <v>208</v>
      </c>
      <c r="B207" s="13"/>
      <c r="C207" s="13"/>
      <c r="D207" s="13"/>
      <c r="E207" s="13"/>
      <c r="F207" s="13"/>
      <c r="G207" s="13"/>
      <c r="H207" s="14"/>
      <c r="I207" s="14"/>
      <c r="J207" s="14"/>
      <c r="K207" s="13">
        <v>7828</v>
      </c>
      <c r="L207" s="13">
        <v>7537</v>
      </c>
      <c r="M207" s="13">
        <v>9609</v>
      </c>
      <c r="N207" s="13">
        <v>8516</v>
      </c>
      <c r="O207" s="13">
        <v>9319</v>
      </c>
      <c r="P207" s="13">
        <v>7805</v>
      </c>
      <c r="Q207" s="13">
        <v>6792</v>
      </c>
      <c r="R207" s="13">
        <v>1421</v>
      </c>
      <c r="S207" s="13"/>
      <c r="T207" s="13"/>
      <c r="U207" s="13"/>
      <c r="V207" s="13"/>
      <c r="W207" s="13"/>
      <c r="X207" s="13"/>
      <c r="Y207" s="1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>
      <c r="A208" s="24" t="s">
        <v>209</v>
      </c>
      <c r="B208" s="25">
        <v>1077688</v>
      </c>
      <c r="C208" s="25">
        <v>29736</v>
      </c>
      <c r="D208" s="25">
        <v>17249</v>
      </c>
      <c r="E208" s="25">
        <v>48991</v>
      </c>
      <c r="F208" s="25">
        <v>1344</v>
      </c>
      <c r="G208" s="25">
        <v>967</v>
      </c>
      <c r="H208" s="26">
        <v>27.7</v>
      </c>
      <c r="I208" s="26">
        <v>15.1</v>
      </c>
      <c r="J208" s="14"/>
      <c r="K208" s="25">
        <v>200694</v>
      </c>
      <c r="L208" s="25">
        <v>54532</v>
      </c>
      <c r="M208" s="25">
        <v>72660</v>
      </c>
      <c r="N208" s="25">
        <v>109624</v>
      </c>
      <c r="O208" s="25">
        <v>51245</v>
      </c>
      <c r="P208" s="25">
        <v>85406</v>
      </c>
      <c r="Q208" s="25">
        <v>73921</v>
      </c>
      <c r="R208" s="25">
        <v>108100</v>
      </c>
      <c r="S208" s="25">
        <v>133204</v>
      </c>
      <c r="T208" s="25">
        <v>184302</v>
      </c>
      <c r="U208" s="25"/>
      <c r="V208" s="25"/>
      <c r="W208" s="25"/>
      <c r="X208" s="25"/>
      <c r="Y208" s="25"/>
      <c r="Z208" s="1"/>
      <c r="AA208" s="46">
        <f>SUM(K208:Y208)</f>
        <v>1073688</v>
      </c>
      <c r="AB208" s="46">
        <f>SUM(K209:Y209)</f>
        <v>29736</v>
      </c>
      <c r="AC208" s="46">
        <f>SUM(K210:Y210)</f>
        <v>17249</v>
      </c>
      <c r="AD208" s="1"/>
      <c r="AE208" s="46">
        <f>AA208-B208</f>
        <v>-4000</v>
      </c>
      <c r="AF208" s="46">
        <f>AB208-C208</f>
        <v>0</v>
      </c>
      <c r="AG208" s="46">
        <f>AC208-D208</f>
        <v>0</v>
      </c>
      <c r="AH208" s="1"/>
      <c r="AI208" s="47">
        <f>C208/B208*1000</f>
        <v>27.592401511383628</v>
      </c>
      <c r="AJ208" s="47">
        <f>D208/B208*1000</f>
        <v>16.005560050775365</v>
      </c>
      <c r="AK208" s="1"/>
      <c r="AL208" s="47">
        <f>AI208-H208</f>
        <v>-0.10759848861637167</v>
      </c>
      <c r="AM208" s="47">
        <f>AJ208-I208</f>
        <v>0.90556005077536561</v>
      </c>
    </row>
    <row r="209" spans="1:39">
      <c r="A209" s="12" t="s">
        <v>210</v>
      </c>
      <c r="B209" s="13"/>
      <c r="C209" s="13"/>
      <c r="D209" s="13"/>
      <c r="E209" s="13"/>
      <c r="F209" s="13"/>
      <c r="G209" s="13"/>
      <c r="H209" s="14"/>
      <c r="I209" s="14"/>
      <c r="J209" s="14"/>
      <c r="K209" s="13">
        <v>6031</v>
      </c>
      <c r="L209" s="13">
        <v>1673</v>
      </c>
      <c r="M209" s="13">
        <v>1373</v>
      </c>
      <c r="N209" s="13">
        <v>3270</v>
      </c>
      <c r="O209" s="13">
        <v>1392</v>
      </c>
      <c r="P209" s="13">
        <v>3082</v>
      </c>
      <c r="Q209" s="13">
        <v>2208</v>
      </c>
      <c r="R209" s="13">
        <v>3508</v>
      </c>
      <c r="S209" s="13">
        <v>2294</v>
      </c>
      <c r="T209" s="13">
        <v>4905</v>
      </c>
      <c r="U209" s="13"/>
      <c r="V209" s="13"/>
      <c r="W209" s="13"/>
      <c r="X209" s="13"/>
      <c r="Y209" s="13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>
      <c r="A210" s="12" t="s">
        <v>211</v>
      </c>
      <c r="B210" s="13"/>
      <c r="C210" s="13"/>
      <c r="D210" s="13"/>
      <c r="E210" s="13"/>
      <c r="F210" s="13"/>
      <c r="G210" s="13"/>
      <c r="H210" s="14"/>
      <c r="I210" s="14"/>
      <c r="J210" s="14"/>
      <c r="K210" s="13">
        <v>3180</v>
      </c>
      <c r="L210" s="13">
        <v>1399</v>
      </c>
      <c r="M210" s="13">
        <v>726</v>
      </c>
      <c r="N210" s="13">
        <v>2222</v>
      </c>
      <c r="O210" s="13">
        <v>804</v>
      </c>
      <c r="P210" s="13">
        <v>1461</v>
      </c>
      <c r="Q210" s="13">
        <v>1359</v>
      </c>
      <c r="R210" s="13">
        <v>1998</v>
      </c>
      <c r="S210" s="13">
        <v>1718</v>
      </c>
      <c r="T210" s="13">
        <v>2382</v>
      </c>
      <c r="U210" s="13"/>
      <c r="V210" s="13"/>
      <c r="W210" s="13"/>
      <c r="X210" s="13"/>
      <c r="Y210" s="13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>
      <c r="A211" s="24" t="s">
        <v>212</v>
      </c>
      <c r="B211" s="25">
        <v>732775</v>
      </c>
      <c r="C211" s="25">
        <v>50383</v>
      </c>
      <c r="D211" s="25">
        <v>33189</v>
      </c>
      <c r="E211" s="27" t="s">
        <v>9</v>
      </c>
      <c r="F211" s="27" t="s">
        <v>9</v>
      </c>
      <c r="G211" s="27" t="s">
        <v>9</v>
      </c>
      <c r="H211" s="26">
        <v>68.7</v>
      </c>
      <c r="I211" s="26">
        <v>45.3</v>
      </c>
      <c r="J211" s="11"/>
      <c r="K211" s="25">
        <v>145065</v>
      </c>
      <c r="L211" s="25">
        <v>150279</v>
      </c>
      <c r="M211" s="25">
        <v>179872</v>
      </c>
      <c r="N211" s="25">
        <v>208958</v>
      </c>
      <c r="O211" s="25">
        <v>48601</v>
      </c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1"/>
      <c r="AA211" s="46">
        <f>SUM(K211:Y211)</f>
        <v>732775</v>
      </c>
      <c r="AB211" s="46">
        <f>SUM(K212:Y212)</f>
        <v>50383</v>
      </c>
      <c r="AC211" s="46">
        <f>SUM(K213:Y213)</f>
        <v>33189</v>
      </c>
      <c r="AD211" s="1"/>
      <c r="AE211" s="46">
        <f>AA211-B211</f>
        <v>0</v>
      </c>
      <c r="AF211" s="46">
        <f>AB211-C211</f>
        <v>0</v>
      </c>
      <c r="AG211" s="46">
        <f>AC211-D211</f>
        <v>0</v>
      </c>
      <c r="AH211" s="1"/>
      <c r="AI211" s="47">
        <f>C211/B211*1000</f>
        <v>68.756439561939203</v>
      </c>
      <c r="AJ211" s="47">
        <f>D211/B211*1000</f>
        <v>45.292211115280949</v>
      </c>
      <c r="AK211" s="1"/>
      <c r="AL211" s="47">
        <f>AI211-H211</f>
        <v>5.6439561939200189E-2</v>
      </c>
      <c r="AM211" s="47">
        <f>AJ211-I211</f>
        <v>-7.7888847190479282E-3</v>
      </c>
    </row>
    <row r="212" spans="1:39">
      <c r="A212" s="12" t="s">
        <v>213</v>
      </c>
      <c r="B212" s="13"/>
      <c r="C212" s="13"/>
      <c r="D212" s="13"/>
      <c r="E212" s="13"/>
      <c r="F212" s="13"/>
      <c r="G212" s="13"/>
      <c r="H212" s="14"/>
      <c r="I212" s="14"/>
      <c r="J212" s="14"/>
      <c r="K212" s="13">
        <v>10139</v>
      </c>
      <c r="L212" s="13">
        <v>10047</v>
      </c>
      <c r="M212" s="13">
        <v>14594</v>
      </c>
      <c r="N212" s="13">
        <v>14678</v>
      </c>
      <c r="O212" s="13">
        <v>925</v>
      </c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>
      <c r="A213" s="12" t="s">
        <v>214</v>
      </c>
      <c r="B213" s="13"/>
      <c r="C213" s="13"/>
      <c r="D213" s="13"/>
      <c r="E213" s="13"/>
      <c r="F213" s="13"/>
      <c r="G213" s="13"/>
      <c r="H213" s="14"/>
      <c r="I213" s="14"/>
      <c r="J213" s="14"/>
      <c r="K213" s="13">
        <v>6496</v>
      </c>
      <c r="L213" s="13">
        <v>6340</v>
      </c>
      <c r="M213" s="13">
        <v>10738</v>
      </c>
      <c r="N213" s="13">
        <v>8973</v>
      </c>
      <c r="O213" s="13">
        <v>642</v>
      </c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>
      <c r="A214" s="24" t="s">
        <v>215</v>
      </c>
      <c r="B214" s="25">
        <v>821733</v>
      </c>
      <c r="C214" s="25">
        <v>31292</v>
      </c>
      <c r="D214" s="25">
        <v>21174</v>
      </c>
      <c r="E214" s="25">
        <v>113656</v>
      </c>
      <c r="F214" s="25">
        <v>4145</v>
      </c>
      <c r="G214" s="25">
        <v>2534</v>
      </c>
      <c r="H214" s="26">
        <v>38.1</v>
      </c>
      <c r="I214" s="26">
        <v>25.8</v>
      </c>
      <c r="J214" s="14"/>
      <c r="K214" s="25">
        <v>138956</v>
      </c>
      <c r="L214" s="25">
        <v>188478</v>
      </c>
      <c r="M214" s="25">
        <v>86752</v>
      </c>
      <c r="N214" s="25">
        <v>106494</v>
      </c>
      <c r="O214" s="25">
        <v>123906</v>
      </c>
      <c r="P214" s="25">
        <v>107776</v>
      </c>
      <c r="Q214" s="25">
        <v>69371</v>
      </c>
      <c r="R214" s="25"/>
      <c r="S214" s="25"/>
      <c r="T214" s="25"/>
      <c r="U214" s="25"/>
      <c r="V214" s="25"/>
      <c r="W214" s="25"/>
      <c r="X214" s="25"/>
      <c r="Y214" s="25"/>
      <c r="Z214" s="1"/>
      <c r="AA214" s="46">
        <f>SUM(K214:Y214)</f>
        <v>821733</v>
      </c>
      <c r="AB214" s="46">
        <f>SUM(K215:Y215)</f>
        <v>31292</v>
      </c>
      <c r="AC214" s="46">
        <f>SUM(K216:Y216)</f>
        <v>21177</v>
      </c>
      <c r="AD214" s="1"/>
      <c r="AE214" s="46">
        <f>AA214-B214</f>
        <v>0</v>
      </c>
      <c r="AF214" s="46">
        <f>AB214-C214</f>
        <v>0</v>
      </c>
      <c r="AG214" s="46">
        <f>AC214-D214</f>
        <v>3</v>
      </c>
      <c r="AH214" s="1"/>
      <c r="AI214" s="47">
        <f>C214/B214*1000</f>
        <v>38.080495732798852</v>
      </c>
      <c r="AJ214" s="47">
        <f>D214/B214*1000</f>
        <v>25.767493820985649</v>
      </c>
      <c r="AK214" s="1"/>
      <c r="AL214" s="47">
        <f>AI214-H214</f>
        <v>-1.9504267201149617E-2</v>
      </c>
      <c r="AM214" s="47">
        <f>AJ214-I214</f>
        <v>-3.2506179014351488E-2</v>
      </c>
    </row>
    <row r="215" spans="1:39">
      <c r="A215" s="12" t="s">
        <v>216</v>
      </c>
      <c r="B215" s="13"/>
      <c r="C215" s="13"/>
      <c r="D215" s="13"/>
      <c r="E215" s="13"/>
      <c r="F215" s="13"/>
      <c r="G215" s="13"/>
      <c r="H215" s="14"/>
      <c r="I215" s="14"/>
      <c r="J215" s="14"/>
      <c r="K215" s="13">
        <v>4392</v>
      </c>
      <c r="L215" s="13">
        <v>3746</v>
      </c>
      <c r="M215" s="13">
        <v>3756</v>
      </c>
      <c r="N215" s="13">
        <v>3694</v>
      </c>
      <c r="O215" s="13">
        <v>8024</v>
      </c>
      <c r="P215" s="13">
        <v>5178</v>
      </c>
      <c r="Q215" s="13">
        <v>2502</v>
      </c>
      <c r="R215" s="13"/>
      <c r="S215" s="13"/>
      <c r="T215" s="13"/>
      <c r="U215" s="13"/>
      <c r="V215" s="13"/>
      <c r="W215" s="13"/>
      <c r="X215" s="13"/>
      <c r="Y215" s="13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>
      <c r="A216" s="12" t="s">
        <v>217</v>
      </c>
      <c r="B216" s="13"/>
      <c r="C216" s="13"/>
      <c r="D216" s="13"/>
      <c r="E216" s="13"/>
      <c r="F216" s="13"/>
      <c r="G216" s="13"/>
      <c r="H216" s="14"/>
      <c r="I216" s="14"/>
      <c r="J216" s="14"/>
      <c r="K216" s="13">
        <v>2731</v>
      </c>
      <c r="L216" s="13">
        <v>2679</v>
      </c>
      <c r="M216" s="13">
        <v>2309</v>
      </c>
      <c r="N216" s="13">
        <v>1986</v>
      </c>
      <c r="O216" s="13">
        <v>5632</v>
      </c>
      <c r="P216" s="13">
        <v>4174</v>
      </c>
      <c r="Q216" s="13">
        <v>1666</v>
      </c>
      <c r="R216" s="13"/>
      <c r="S216" s="13"/>
      <c r="T216" s="13"/>
      <c r="U216" s="13"/>
      <c r="V216" s="13"/>
      <c r="W216" s="13"/>
      <c r="X216" s="13"/>
      <c r="Y216" s="13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>
      <c r="A217" s="24" t="s">
        <v>218</v>
      </c>
      <c r="B217" s="25">
        <v>899059</v>
      </c>
      <c r="C217" s="25">
        <v>30730</v>
      </c>
      <c r="D217" s="25">
        <v>20591</v>
      </c>
      <c r="E217" s="25">
        <v>157536</v>
      </c>
      <c r="F217" s="25">
        <v>3980</v>
      </c>
      <c r="G217" s="25">
        <v>3645</v>
      </c>
      <c r="H217" s="26">
        <v>35.5</v>
      </c>
      <c r="I217" s="26">
        <v>23.8</v>
      </c>
      <c r="J217" s="14"/>
      <c r="K217" s="25">
        <v>235143</v>
      </c>
      <c r="L217" s="25">
        <v>73554</v>
      </c>
      <c r="M217" s="25">
        <v>64159</v>
      </c>
      <c r="N217" s="25">
        <v>140002</v>
      </c>
      <c r="O217" s="25">
        <v>206714</v>
      </c>
      <c r="P217" s="25">
        <v>73949</v>
      </c>
      <c r="Q217" s="25">
        <v>98278</v>
      </c>
      <c r="R217" s="25">
        <v>70681</v>
      </c>
      <c r="S217" s="25">
        <v>35579</v>
      </c>
      <c r="T217" s="25"/>
      <c r="U217" s="25"/>
      <c r="V217" s="25"/>
      <c r="W217" s="25"/>
      <c r="X217" s="25"/>
      <c r="Y217" s="25"/>
      <c r="Z217" s="1"/>
      <c r="AA217" s="46">
        <f>SUM(K217:Y217)</f>
        <v>998059</v>
      </c>
      <c r="AB217" s="46">
        <f>SUM(K218:Y218)</f>
        <v>30730</v>
      </c>
      <c r="AC217" s="46">
        <f>SUM(K219:Y219)</f>
        <v>20691</v>
      </c>
      <c r="AD217" s="1"/>
      <c r="AE217" s="46">
        <f>AA217-B217</f>
        <v>99000</v>
      </c>
      <c r="AF217" s="46">
        <f>AB217-C217</f>
        <v>0</v>
      </c>
      <c r="AG217" s="46">
        <f>AC217-D217</f>
        <v>100</v>
      </c>
      <c r="AH217" s="1"/>
      <c r="AI217" s="47">
        <f>C217/B217*1000</f>
        <v>34.180181723335174</v>
      </c>
      <c r="AJ217" s="47">
        <f>D217/B217*1000</f>
        <v>22.902835075339883</v>
      </c>
      <c r="AK217" s="1"/>
      <c r="AL217" s="47">
        <f>AI217-H217</f>
        <v>-1.3198182766648259</v>
      </c>
      <c r="AM217" s="47">
        <f>AJ217-I217</f>
        <v>-0.89716492466011744</v>
      </c>
    </row>
    <row r="218" spans="1:39">
      <c r="A218" s="12" t="s">
        <v>219</v>
      </c>
      <c r="B218" s="13"/>
      <c r="C218" s="13"/>
      <c r="D218" s="13"/>
      <c r="E218" s="13"/>
      <c r="F218" s="13"/>
      <c r="G218" s="13"/>
      <c r="H218" s="14"/>
      <c r="I218" s="14"/>
      <c r="J218" s="14"/>
      <c r="K218" s="13">
        <v>6080</v>
      </c>
      <c r="L218" s="13">
        <v>3639</v>
      </c>
      <c r="M218" s="13">
        <v>2155</v>
      </c>
      <c r="N218" s="13">
        <v>3720</v>
      </c>
      <c r="O218" s="13">
        <v>7091</v>
      </c>
      <c r="P218" s="13">
        <v>1983</v>
      </c>
      <c r="Q218" s="13">
        <v>3363</v>
      </c>
      <c r="R218" s="13">
        <v>1795</v>
      </c>
      <c r="S218" s="13">
        <v>904</v>
      </c>
      <c r="T218" s="13"/>
      <c r="U218" s="13"/>
      <c r="V218" s="13"/>
      <c r="W218" s="13"/>
      <c r="X218" s="13"/>
      <c r="Y218" s="13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>
      <c r="A219" s="12" t="s">
        <v>220</v>
      </c>
      <c r="B219" s="13"/>
      <c r="C219" s="13"/>
      <c r="D219" s="13"/>
      <c r="E219" s="13"/>
      <c r="F219" s="13"/>
      <c r="G219" s="13"/>
      <c r="H219" s="14"/>
      <c r="I219" s="14"/>
      <c r="J219" s="14"/>
      <c r="K219" s="13">
        <v>5015</v>
      </c>
      <c r="L219" s="13">
        <v>2456</v>
      </c>
      <c r="M219" s="13">
        <v>1484</v>
      </c>
      <c r="N219" s="13">
        <v>2185</v>
      </c>
      <c r="O219" s="13">
        <v>3776</v>
      </c>
      <c r="P219" s="13">
        <v>1617</v>
      </c>
      <c r="Q219" s="13">
        <v>2182</v>
      </c>
      <c r="R219" s="13">
        <v>1151</v>
      </c>
      <c r="S219" s="13">
        <v>825</v>
      </c>
      <c r="T219" s="13"/>
      <c r="U219" s="13"/>
      <c r="V219" s="13"/>
      <c r="W219" s="13"/>
      <c r="X219" s="13"/>
      <c r="Y219" s="13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>
      <c r="A220" s="24" t="s">
        <v>221</v>
      </c>
      <c r="B220" s="25">
        <v>728328</v>
      </c>
      <c r="C220" s="25">
        <v>29392</v>
      </c>
      <c r="D220" s="25">
        <v>17671</v>
      </c>
      <c r="E220" s="25">
        <v>14149</v>
      </c>
      <c r="F220" s="25">
        <v>590</v>
      </c>
      <c r="G220" s="25">
        <v>504</v>
      </c>
      <c r="H220" s="26">
        <v>40.4</v>
      </c>
      <c r="I220" s="26">
        <v>24.3</v>
      </c>
      <c r="J220" s="14"/>
      <c r="K220" s="25">
        <v>117931</v>
      </c>
      <c r="L220" s="25">
        <v>152798</v>
      </c>
      <c r="M220" s="25">
        <v>92823</v>
      </c>
      <c r="N220" s="25">
        <v>116511</v>
      </c>
      <c r="O220" s="25">
        <v>77679</v>
      </c>
      <c r="P220" s="25">
        <v>67512</v>
      </c>
      <c r="Q220" s="25">
        <v>103074</v>
      </c>
      <c r="R220" s="25"/>
      <c r="S220" s="25"/>
      <c r="T220" s="25"/>
      <c r="U220" s="25"/>
      <c r="V220" s="25"/>
      <c r="W220" s="25"/>
      <c r="X220" s="25"/>
      <c r="Y220" s="25"/>
      <c r="Z220" s="1"/>
      <c r="AA220" s="46">
        <f>SUM(K220:Y220)</f>
        <v>728328</v>
      </c>
      <c r="AB220" s="46">
        <f>SUM(K221:Y221)</f>
        <v>29392</v>
      </c>
      <c r="AC220" s="46">
        <f>SUM(K222:Y222)</f>
        <v>17671</v>
      </c>
      <c r="AD220" s="1"/>
      <c r="AE220" s="46">
        <f>AA220-B220</f>
        <v>0</v>
      </c>
      <c r="AF220" s="46">
        <f>AB220-C220</f>
        <v>0</v>
      </c>
      <c r="AG220" s="46">
        <f>AC220-D220</f>
        <v>0</v>
      </c>
      <c r="AH220" s="1"/>
      <c r="AI220" s="47">
        <f>C220/B220*1000</f>
        <v>40.355444250392686</v>
      </c>
      <c r="AJ220" s="47">
        <f>D220/B220*1000</f>
        <v>24.262420228248811</v>
      </c>
      <c r="AK220" s="1"/>
      <c r="AL220" s="47">
        <f>AI220-H220</f>
        <v>-4.4555749607312123E-2</v>
      </c>
      <c r="AM220" s="47">
        <f>AJ220-I220</f>
        <v>-3.7579771751190094E-2</v>
      </c>
    </row>
    <row r="221" spans="1:39">
      <c r="A221" s="12" t="s">
        <v>222</v>
      </c>
      <c r="B221" s="13"/>
      <c r="C221" s="13"/>
      <c r="D221" s="13"/>
      <c r="E221" s="13"/>
      <c r="F221" s="13"/>
      <c r="G221" s="13"/>
      <c r="H221" s="14"/>
      <c r="I221" s="14"/>
      <c r="J221" s="14"/>
      <c r="K221" s="13">
        <v>4522</v>
      </c>
      <c r="L221" s="13">
        <v>6924</v>
      </c>
      <c r="M221" s="13">
        <v>4161</v>
      </c>
      <c r="N221" s="13">
        <v>4404</v>
      </c>
      <c r="O221" s="13">
        <v>3301</v>
      </c>
      <c r="P221" s="13">
        <v>1793</v>
      </c>
      <c r="Q221" s="13">
        <v>4287</v>
      </c>
      <c r="R221" s="13"/>
      <c r="S221" s="13"/>
      <c r="T221" s="13"/>
      <c r="U221" s="13"/>
      <c r="V221" s="13"/>
      <c r="W221" s="13"/>
      <c r="X221" s="13"/>
      <c r="Y221" s="13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>
      <c r="A222" s="12" t="s">
        <v>223</v>
      </c>
      <c r="B222" s="13"/>
      <c r="C222" s="13"/>
      <c r="D222" s="13"/>
      <c r="E222" s="13"/>
      <c r="F222" s="13"/>
      <c r="G222" s="13"/>
      <c r="H222" s="14"/>
      <c r="I222" s="14"/>
      <c r="J222" s="14"/>
      <c r="K222" s="13">
        <v>2752</v>
      </c>
      <c r="L222" s="13">
        <v>4794</v>
      </c>
      <c r="M222" s="13">
        <v>1594</v>
      </c>
      <c r="N222" s="13">
        <v>2252</v>
      </c>
      <c r="O222" s="13">
        <v>2761</v>
      </c>
      <c r="P222" s="13">
        <v>732</v>
      </c>
      <c r="Q222" s="13">
        <v>2786</v>
      </c>
      <c r="R222" s="13"/>
      <c r="S222" s="13"/>
      <c r="T222" s="13"/>
      <c r="U222" s="13"/>
      <c r="V222" s="13"/>
      <c r="W222" s="13"/>
      <c r="X222" s="13"/>
      <c r="Y222" s="13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>
      <c r="A223" s="24" t="s">
        <v>224</v>
      </c>
      <c r="B223" s="25">
        <v>76488</v>
      </c>
      <c r="C223" s="25">
        <v>3034</v>
      </c>
      <c r="D223" s="25">
        <v>2013</v>
      </c>
      <c r="E223" s="27" t="s">
        <v>9</v>
      </c>
      <c r="F223" s="27" t="s">
        <v>9</v>
      </c>
      <c r="G223" s="27" t="s">
        <v>9</v>
      </c>
      <c r="H223" s="28" t="s">
        <v>9</v>
      </c>
      <c r="I223" s="28" t="s">
        <v>9</v>
      </c>
      <c r="J223" s="11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1"/>
      <c r="AA223" s="46">
        <f>B223</f>
        <v>76488</v>
      </c>
      <c r="AB223" s="46">
        <f>C223</f>
        <v>3034</v>
      </c>
      <c r="AC223" s="46">
        <f>D223</f>
        <v>2013</v>
      </c>
      <c r="AD223" s="1"/>
      <c r="AE223" s="68"/>
      <c r="AF223" s="68"/>
      <c r="AG223" s="68"/>
      <c r="AH223" s="1"/>
      <c r="AI223" s="47">
        <f>C223/B223*1000</f>
        <v>39.666352891956905</v>
      </c>
      <c r="AJ223" s="47">
        <f>D223/B223*1000</f>
        <v>26.317853780985249</v>
      </c>
      <c r="AK223" s="1"/>
      <c r="AL223" s="47"/>
      <c r="AM223" s="47"/>
    </row>
    <row r="224" spans="1:39">
      <c r="A224" s="29" t="s">
        <v>225</v>
      </c>
      <c r="B224" s="30">
        <v>8330727</v>
      </c>
      <c r="C224" s="30">
        <v>334862</v>
      </c>
      <c r="D224" s="30">
        <v>213851</v>
      </c>
      <c r="E224" s="30"/>
      <c r="F224" s="30"/>
      <c r="G224" s="30"/>
      <c r="H224" s="31">
        <v>41.8</v>
      </c>
      <c r="I224" s="31">
        <v>26.2</v>
      </c>
      <c r="J224" s="14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1"/>
      <c r="AA224" s="70">
        <f>SUM(AA195:AA223)</f>
        <v>8417627</v>
      </c>
      <c r="AB224" s="70">
        <f>SUM(AB195:AB223)</f>
        <v>333912</v>
      </c>
      <c r="AC224" s="70">
        <f>SUM(AC195:AC223)</f>
        <v>212910</v>
      </c>
      <c r="AD224" s="1"/>
      <c r="AE224" s="70">
        <f>AA224-B224</f>
        <v>86900</v>
      </c>
      <c r="AF224" s="70">
        <f>AB224-C224</f>
        <v>-950</v>
      </c>
      <c r="AG224" s="70">
        <f>AC224-D224</f>
        <v>-941</v>
      </c>
      <c r="AH224" s="1"/>
      <c r="AI224" s="71">
        <f>C224/B224*1000</f>
        <v>40.196011704620737</v>
      </c>
      <c r="AJ224" s="71">
        <f>D224/B224*1000</f>
        <v>25.670148595674785</v>
      </c>
      <c r="AK224" s="1"/>
      <c r="AL224" s="71">
        <f t="shared" ref="AL224:AM226" si="6">AI224-H224</f>
        <v>-1.6039882953792599</v>
      </c>
      <c r="AM224" s="71">
        <f t="shared" si="6"/>
        <v>-0.52985140432521405</v>
      </c>
    </row>
    <row r="225" spans="1:39">
      <c r="A225" s="32" t="s">
        <v>226</v>
      </c>
      <c r="B225" s="28">
        <v>72467</v>
      </c>
      <c r="C225" s="28">
        <v>3147</v>
      </c>
      <c r="D225" s="28">
        <v>2180</v>
      </c>
      <c r="E225" s="33" t="s">
        <v>9</v>
      </c>
      <c r="F225" s="33" t="s">
        <v>9</v>
      </c>
      <c r="G225" s="33" t="s">
        <v>9</v>
      </c>
      <c r="H225" s="26">
        <v>43.7</v>
      </c>
      <c r="I225" s="26">
        <v>30.3</v>
      </c>
      <c r="J225" s="11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1"/>
      <c r="AA225" s="46">
        <f>B225</f>
        <v>72467</v>
      </c>
      <c r="AB225" s="46">
        <f>C225</f>
        <v>3147</v>
      </c>
      <c r="AC225" s="46">
        <f>D225</f>
        <v>2180</v>
      </c>
      <c r="AD225" s="1"/>
      <c r="AE225" s="68"/>
      <c r="AF225" s="68"/>
      <c r="AG225" s="68"/>
      <c r="AH225" s="1"/>
      <c r="AI225" s="47">
        <f>C225/B225*1000</f>
        <v>43.426663170822586</v>
      </c>
      <c r="AJ225" s="47">
        <f>D225/B225*1000</f>
        <v>30.082658313439222</v>
      </c>
      <c r="AK225" s="1"/>
      <c r="AL225" s="47">
        <f t="shared" si="6"/>
        <v>-0.27333682917741697</v>
      </c>
      <c r="AM225" s="47">
        <f t="shared" si="6"/>
        <v>-0.21734168656077912</v>
      </c>
    </row>
    <row r="226" spans="1:39">
      <c r="A226" s="32" t="s">
        <v>227</v>
      </c>
      <c r="B226" s="28">
        <v>504408</v>
      </c>
      <c r="C226" s="28">
        <v>27070</v>
      </c>
      <c r="D226" s="28">
        <v>19213</v>
      </c>
      <c r="E226" s="28">
        <v>48348</v>
      </c>
      <c r="F226" s="28">
        <v>2280</v>
      </c>
      <c r="G226" s="28">
        <v>2313</v>
      </c>
      <c r="H226" s="26">
        <v>53.7</v>
      </c>
      <c r="I226" s="26">
        <v>38.1</v>
      </c>
      <c r="J226" s="14"/>
      <c r="K226" s="28">
        <v>93757</v>
      </c>
      <c r="L226" s="28">
        <v>94431</v>
      </c>
      <c r="M226" s="28">
        <v>70247</v>
      </c>
      <c r="N226" s="28">
        <v>79611</v>
      </c>
      <c r="O226" s="28">
        <v>157091</v>
      </c>
      <c r="P226" s="28">
        <v>9271</v>
      </c>
      <c r="Q226" s="28"/>
      <c r="R226" s="28"/>
      <c r="S226" s="28"/>
      <c r="T226" s="28"/>
      <c r="U226" s="28"/>
      <c r="V226" s="28"/>
      <c r="W226" s="28"/>
      <c r="X226" s="28"/>
      <c r="Y226" s="28"/>
      <c r="Z226" s="1"/>
      <c r="AA226" s="46">
        <f>SUM(K226:Y226)</f>
        <v>504408</v>
      </c>
      <c r="AB226" s="46">
        <f>SUM(K227:Y227)</f>
        <v>27070</v>
      </c>
      <c r="AC226" s="46">
        <f>SUM(K228:Y228)</f>
        <v>19213</v>
      </c>
      <c r="AD226" s="1"/>
      <c r="AE226" s="46">
        <f>AA226-B226</f>
        <v>0</v>
      </c>
      <c r="AF226" s="46">
        <f>AB226-C226</f>
        <v>0</v>
      </c>
      <c r="AG226" s="46">
        <f>AC226-D226</f>
        <v>0</v>
      </c>
      <c r="AH226" s="1"/>
      <c r="AI226" s="47">
        <f>C226/B226*1000</f>
        <v>53.666872848963536</v>
      </c>
      <c r="AJ226" s="47">
        <f>D226/B226*1000</f>
        <v>38.090196824792628</v>
      </c>
      <c r="AK226" s="1"/>
      <c r="AL226" s="47">
        <f t="shared" si="6"/>
        <v>-3.3127151036467239E-2</v>
      </c>
      <c r="AM226" s="47">
        <f t="shared" si="6"/>
        <v>-9.8031752073737266E-3</v>
      </c>
    </row>
    <row r="227" spans="1:39">
      <c r="A227" s="34" t="s">
        <v>228</v>
      </c>
      <c r="B227" s="14"/>
      <c r="C227" s="14"/>
      <c r="D227" s="14"/>
      <c r="E227" s="14"/>
      <c r="F227" s="14"/>
      <c r="G227" s="14"/>
      <c r="H227" s="14"/>
      <c r="I227" s="14"/>
      <c r="J227" s="14"/>
      <c r="K227" s="14">
        <v>4361</v>
      </c>
      <c r="L227" s="14">
        <v>5244</v>
      </c>
      <c r="M227" s="14">
        <v>3123</v>
      </c>
      <c r="N227" s="14">
        <v>4063</v>
      </c>
      <c r="O227" s="14">
        <v>10039</v>
      </c>
      <c r="P227" s="14">
        <v>240</v>
      </c>
      <c r="Q227" s="14"/>
      <c r="R227" s="14"/>
      <c r="S227" s="14"/>
      <c r="T227" s="14"/>
      <c r="U227" s="14"/>
      <c r="V227" s="14"/>
      <c r="W227" s="14"/>
      <c r="X227" s="14"/>
      <c r="Y227" s="1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>
      <c r="A228" s="34" t="s">
        <v>229</v>
      </c>
      <c r="B228" s="14"/>
      <c r="C228" s="14"/>
      <c r="D228" s="14"/>
      <c r="E228" s="14"/>
      <c r="F228" s="14"/>
      <c r="G228" s="14"/>
      <c r="H228" s="14"/>
      <c r="I228" s="14"/>
      <c r="J228" s="14"/>
      <c r="K228" s="14">
        <v>3668</v>
      </c>
      <c r="L228" s="14">
        <v>3800</v>
      </c>
      <c r="M228" s="14">
        <v>2724</v>
      </c>
      <c r="N228" s="14">
        <v>3742</v>
      </c>
      <c r="O228" s="14">
        <v>5166</v>
      </c>
      <c r="P228" s="14">
        <v>113</v>
      </c>
      <c r="Q228" s="14"/>
      <c r="R228" s="14"/>
      <c r="S228" s="14"/>
      <c r="T228" s="14"/>
      <c r="U228" s="14"/>
      <c r="V228" s="14"/>
      <c r="W228" s="14"/>
      <c r="X228" s="14"/>
      <c r="Y228" s="1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>
      <c r="A229" s="32" t="s">
        <v>230</v>
      </c>
      <c r="B229" s="28">
        <v>610194</v>
      </c>
      <c r="C229" s="28">
        <v>24953</v>
      </c>
      <c r="D229" s="28">
        <v>15993</v>
      </c>
      <c r="E229" s="28">
        <v>28125</v>
      </c>
      <c r="F229" s="28">
        <v>1588</v>
      </c>
      <c r="G229" s="28">
        <v>1041</v>
      </c>
      <c r="H229" s="26">
        <v>40.700000000000003</v>
      </c>
      <c r="I229" s="26">
        <v>26.2</v>
      </c>
      <c r="J229" s="14"/>
      <c r="K229" s="28">
        <v>128992</v>
      </c>
      <c r="L229" s="28">
        <v>30216</v>
      </c>
      <c r="M229" s="28">
        <v>21969</v>
      </c>
      <c r="N229" s="28">
        <v>153776</v>
      </c>
      <c r="O229" s="28">
        <v>78863</v>
      </c>
      <c r="P229" s="28">
        <v>65220</v>
      </c>
      <c r="Q229" s="28">
        <v>100624</v>
      </c>
      <c r="R229" s="28">
        <v>30534</v>
      </c>
      <c r="S229" s="28"/>
      <c r="T229" s="28"/>
      <c r="U229" s="28"/>
      <c r="V229" s="28"/>
      <c r="W229" s="28"/>
      <c r="X229" s="28"/>
      <c r="Y229" s="28"/>
      <c r="Z229" s="1"/>
      <c r="AA229" s="46">
        <f>SUM(K229:Y229)</f>
        <v>610194</v>
      </c>
      <c r="AB229" s="46">
        <f>SUM(K230:Y230)</f>
        <v>24953</v>
      </c>
      <c r="AC229" s="46">
        <f>SUM(K231:Y231)</f>
        <v>15993</v>
      </c>
      <c r="AD229" s="1"/>
      <c r="AE229" s="46">
        <f>AA229-B229</f>
        <v>0</v>
      </c>
      <c r="AF229" s="46">
        <f>AB229-C229</f>
        <v>0</v>
      </c>
      <c r="AG229" s="46">
        <f>AC229-D229</f>
        <v>0</v>
      </c>
      <c r="AH229" s="1"/>
      <c r="AI229" s="47">
        <f>C229/B229*1000</f>
        <v>40.89355188677699</v>
      </c>
      <c r="AJ229" s="47">
        <f>D229/B229*1000</f>
        <v>26.209697243827371</v>
      </c>
      <c r="AK229" s="1"/>
      <c r="AL229" s="47">
        <f>AI229-H229</f>
        <v>0.1935518867769872</v>
      </c>
      <c r="AM229" s="47">
        <f>AJ229-I229</f>
        <v>9.6972438273716932E-3</v>
      </c>
    </row>
    <row r="230" spans="1:39">
      <c r="A230" s="34" t="s">
        <v>231</v>
      </c>
      <c r="B230" s="14"/>
      <c r="C230" s="14"/>
      <c r="D230" s="14"/>
      <c r="E230" s="14"/>
      <c r="F230" s="14"/>
      <c r="G230" s="14"/>
      <c r="H230" s="14"/>
      <c r="I230" s="14"/>
      <c r="J230" s="14"/>
      <c r="K230" s="14">
        <v>4720</v>
      </c>
      <c r="L230" s="14">
        <v>1153</v>
      </c>
      <c r="M230" s="14">
        <v>651</v>
      </c>
      <c r="N230" s="14">
        <v>6035</v>
      </c>
      <c r="O230" s="14">
        <v>4635</v>
      </c>
      <c r="P230" s="14">
        <v>3169</v>
      </c>
      <c r="Q230" s="14">
        <v>3470</v>
      </c>
      <c r="R230" s="14">
        <v>1120</v>
      </c>
      <c r="S230" s="14"/>
      <c r="T230" s="14"/>
      <c r="U230" s="14"/>
      <c r="V230" s="14"/>
      <c r="W230" s="14"/>
      <c r="X230" s="14"/>
      <c r="Y230" s="1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>
      <c r="A231" s="34" t="s">
        <v>232</v>
      </c>
      <c r="B231" s="14"/>
      <c r="C231" s="14"/>
      <c r="D231" s="14"/>
      <c r="E231" s="14"/>
      <c r="F231" s="14"/>
      <c r="G231" s="14"/>
      <c r="H231" s="14"/>
      <c r="I231" s="14"/>
      <c r="J231" s="14"/>
      <c r="K231" s="14">
        <v>2883</v>
      </c>
      <c r="L231" s="14">
        <v>676</v>
      </c>
      <c r="M231" s="14">
        <v>526</v>
      </c>
      <c r="N231" s="14">
        <v>3441</v>
      </c>
      <c r="O231" s="14">
        <v>3233</v>
      </c>
      <c r="P231" s="14">
        <v>2074</v>
      </c>
      <c r="Q231" s="14">
        <v>2427</v>
      </c>
      <c r="R231" s="14">
        <v>733</v>
      </c>
      <c r="S231" s="14"/>
      <c r="T231" s="14"/>
      <c r="U231" s="14"/>
      <c r="V231" s="14"/>
      <c r="W231" s="14"/>
      <c r="X231" s="14"/>
      <c r="Y231" s="1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>
      <c r="A232" s="32" t="s">
        <v>233</v>
      </c>
      <c r="B232" s="28">
        <v>486229</v>
      </c>
      <c r="C232" s="28">
        <v>22826</v>
      </c>
      <c r="D232" s="28">
        <v>18780</v>
      </c>
      <c r="E232" s="28">
        <v>55519</v>
      </c>
      <c r="F232" s="28">
        <v>2632</v>
      </c>
      <c r="G232" s="28">
        <v>2215</v>
      </c>
      <c r="H232" s="26">
        <v>50</v>
      </c>
      <c r="I232" s="26">
        <v>41.2</v>
      </c>
      <c r="J232" s="14"/>
      <c r="K232" s="28">
        <v>147194</v>
      </c>
      <c r="L232" s="28">
        <v>164613</v>
      </c>
      <c r="M232" s="28">
        <v>67688</v>
      </c>
      <c r="N232" s="28">
        <v>48325</v>
      </c>
      <c r="O232" s="28">
        <v>58409</v>
      </c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1"/>
      <c r="AA232" s="46">
        <f>SUM(K232:Y232)</f>
        <v>486229</v>
      </c>
      <c r="AB232" s="46">
        <f>SUM(K233:Y233)</f>
        <v>22826</v>
      </c>
      <c r="AC232" s="46">
        <f>SUM(K234:Y234)</f>
        <v>18780</v>
      </c>
      <c r="AD232" s="1"/>
      <c r="AE232" s="46">
        <f>AA232-B232</f>
        <v>0</v>
      </c>
      <c r="AF232" s="46">
        <f>AB232-C232</f>
        <v>0</v>
      </c>
      <c r="AG232" s="46">
        <f>AC232-D232</f>
        <v>0</v>
      </c>
      <c r="AH232" s="1"/>
      <c r="AI232" s="47">
        <f>C232/B232*1000</f>
        <v>46.944958034177311</v>
      </c>
      <c r="AJ232" s="47">
        <f>D232/B232*1000</f>
        <v>38.623776039685005</v>
      </c>
      <c r="AK232" s="1"/>
      <c r="AL232" s="47">
        <f>AI232-H232</f>
        <v>-3.0550419658226886</v>
      </c>
      <c r="AM232" s="47">
        <f>AJ232-I232</f>
        <v>-2.5762239603149979</v>
      </c>
    </row>
    <row r="233" spans="1:39">
      <c r="A233" s="34" t="s">
        <v>234</v>
      </c>
      <c r="B233" s="14"/>
      <c r="C233" s="14"/>
      <c r="D233" s="14"/>
      <c r="E233" s="14"/>
      <c r="F233" s="14"/>
      <c r="G233" s="14"/>
      <c r="H233" s="14"/>
      <c r="I233" s="14"/>
      <c r="J233" s="14"/>
      <c r="K233" s="14">
        <v>7118</v>
      </c>
      <c r="L233" s="14">
        <v>6190</v>
      </c>
      <c r="M233" s="14">
        <v>3335</v>
      </c>
      <c r="N233" s="14">
        <v>2678</v>
      </c>
      <c r="O233" s="14">
        <v>3505</v>
      </c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>
      <c r="A234" s="34" t="s">
        <v>235</v>
      </c>
      <c r="B234" s="14"/>
      <c r="C234" s="14"/>
      <c r="D234" s="14"/>
      <c r="E234" s="14"/>
      <c r="F234" s="14"/>
      <c r="G234" s="14"/>
      <c r="H234" s="14"/>
      <c r="I234" s="14"/>
      <c r="J234" s="14"/>
      <c r="K234" s="14">
        <v>5357</v>
      </c>
      <c r="L234" s="14">
        <v>5035</v>
      </c>
      <c r="M234" s="14">
        <v>2614</v>
      </c>
      <c r="N234" s="14">
        <v>2678</v>
      </c>
      <c r="O234" s="14">
        <v>3096</v>
      </c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>
      <c r="A235" s="32" t="s">
        <v>236</v>
      </c>
      <c r="B235" s="28">
        <v>151921</v>
      </c>
      <c r="C235" s="28">
        <v>6005</v>
      </c>
      <c r="D235" s="28">
        <v>2981</v>
      </c>
      <c r="E235" s="28">
        <v>43097</v>
      </c>
      <c r="F235" s="28">
        <v>1221</v>
      </c>
      <c r="G235" s="28">
        <v>960</v>
      </c>
      <c r="H235" s="28" t="s">
        <v>9</v>
      </c>
      <c r="I235" s="28" t="s">
        <v>9</v>
      </c>
      <c r="J235" s="14"/>
      <c r="K235" s="28">
        <v>19673</v>
      </c>
      <c r="L235" s="28">
        <v>10100</v>
      </c>
      <c r="M235" s="28">
        <v>5510</v>
      </c>
      <c r="N235" s="28">
        <v>659</v>
      </c>
      <c r="O235" s="28">
        <v>11108</v>
      </c>
      <c r="P235" s="28">
        <v>4024</v>
      </c>
      <c r="Q235" s="28">
        <v>7811</v>
      </c>
      <c r="R235" s="28">
        <v>7313</v>
      </c>
      <c r="S235" s="28">
        <v>85723</v>
      </c>
      <c r="T235" s="28"/>
      <c r="U235" s="28"/>
      <c r="V235" s="28"/>
      <c r="W235" s="28"/>
      <c r="X235" s="28"/>
      <c r="Y235" s="28"/>
      <c r="Z235" s="1"/>
      <c r="AA235" s="46">
        <f>SUM(K235:Y235)</f>
        <v>151921</v>
      </c>
      <c r="AB235" s="46">
        <f>SUM(K236:Y236)</f>
        <v>6005</v>
      </c>
      <c r="AC235" s="46">
        <f>SUM(K237:Y237)</f>
        <v>2981</v>
      </c>
      <c r="AD235" s="1"/>
      <c r="AE235" s="46">
        <f>AA235-B235</f>
        <v>0</v>
      </c>
      <c r="AF235" s="46">
        <f>AB235-C235</f>
        <v>0</v>
      </c>
      <c r="AG235" s="46">
        <f>AC235-D235</f>
        <v>0</v>
      </c>
      <c r="AH235" s="1"/>
      <c r="AI235" s="47">
        <f>C235/B235*1000</f>
        <v>39.527122649271661</v>
      </c>
      <c r="AJ235" s="47">
        <f>D235/B235*1000</f>
        <v>19.622040402577657</v>
      </c>
      <c r="AK235" s="1"/>
      <c r="AL235" s="47"/>
      <c r="AM235" s="47"/>
    </row>
    <row r="236" spans="1:39">
      <c r="A236" s="34" t="s">
        <v>237</v>
      </c>
      <c r="B236" s="14"/>
      <c r="C236" s="14"/>
      <c r="D236" s="14"/>
      <c r="E236" s="14"/>
      <c r="F236" s="14"/>
      <c r="G236" s="14"/>
      <c r="H236" s="14"/>
      <c r="I236" s="14"/>
      <c r="J236" s="14"/>
      <c r="K236" s="14">
        <v>749</v>
      </c>
      <c r="L236" s="11" t="s">
        <v>9</v>
      </c>
      <c r="M236" s="14">
        <v>75</v>
      </c>
      <c r="N236" s="14">
        <v>28</v>
      </c>
      <c r="O236" s="14">
        <v>257</v>
      </c>
      <c r="P236" s="14">
        <v>125</v>
      </c>
      <c r="Q236" s="14">
        <v>340</v>
      </c>
      <c r="R236" s="14">
        <v>299</v>
      </c>
      <c r="S236" s="14">
        <v>4132</v>
      </c>
      <c r="T236" s="14"/>
      <c r="U236" s="14"/>
      <c r="V236" s="14"/>
      <c r="W236" s="14"/>
      <c r="X236" s="14"/>
      <c r="Y236" s="14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>
      <c r="A237" s="34" t="s">
        <v>238</v>
      </c>
      <c r="B237" s="14"/>
      <c r="C237" s="14"/>
      <c r="D237" s="14"/>
      <c r="E237" s="14"/>
      <c r="F237" s="14"/>
      <c r="G237" s="14"/>
      <c r="H237" s="14"/>
      <c r="I237" s="14"/>
      <c r="J237" s="14"/>
      <c r="K237" s="14">
        <v>390</v>
      </c>
      <c r="L237" s="11" t="s">
        <v>9</v>
      </c>
      <c r="M237" s="14">
        <v>38</v>
      </c>
      <c r="N237" s="14">
        <v>30</v>
      </c>
      <c r="O237" s="14">
        <v>202</v>
      </c>
      <c r="P237" s="14">
        <v>66</v>
      </c>
      <c r="Q237" s="14">
        <v>189</v>
      </c>
      <c r="R237" s="14">
        <v>218</v>
      </c>
      <c r="S237" s="14">
        <v>1848</v>
      </c>
      <c r="T237" s="14"/>
      <c r="U237" s="14"/>
      <c r="V237" s="14"/>
      <c r="W237" s="14"/>
      <c r="X237" s="14"/>
      <c r="Y237" s="14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>
      <c r="A238" s="32" t="s">
        <v>239</v>
      </c>
      <c r="B238" s="28">
        <v>1467371</v>
      </c>
      <c r="C238" s="28">
        <v>69872</v>
      </c>
      <c r="D238" s="28">
        <v>53900</v>
      </c>
      <c r="E238" s="28">
        <v>105045</v>
      </c>
      <c r="F238" s="28">
        <v>4392</v>
      </c>
      <c r="G238" s="28">
        <v>5018</v>
      </c>
      <c r="H238" s="26">
        <v>47.6</v>
      </c>
      <c r="I238" s="26">
        <v>36.700000000000003</v>
      </c>
      <c r="J238" s="14"/>
      <c r="K238" s="28">
        <v>135959</v>
      </c>
      <c r="L238" s="28">
        <v>30695</v>
      </c>
      <c r="M238" s="28">
        <v>278206</v>
      </c>
      <c r="N238" s="28">
        <v>261548</v>
      </c>
      <c r="O238" s="28">
        <v>7413</v>
      </c>
      <c r="P238" s="28">
        <v>158166</v>
      </c>
      <c r="Q238" s="28">
        <v>71608</v>
      </c>
      <c r="R238" s="28">
        <v>180516</v>
      </c>
      <c r="S238" s="28">
        <v>129106</v>
      </c>
      <c r="T238" s="28">
        <v>198182</v>
      </c>
      <c r="U238" s="28"/>
      <c r="V238" s="28"/>
      <c r="W238" s="28"/>
      <c r="X238" s="28"/>
      <c r="Y238" s="28"/>
      <c r="Z238" s="1"/>
      <c r="AA238" s="46">
        <f>SUM(K238:Y238)</f>
        <v>1451399</v>
      </c>
      <c r="AB238" s="46">
        <f>SUM(K239:Y239)</f>
        <v>69872</v>
      </c>
      <c r="AC238" s="46">
        <f>SUM(K240:Y240)</f>
        <v>53900</v>
      </c>
      <c r="AD238" s="1"/>
      <c r="AE238" s="46">
        <f>AA238-B238</f>
        <v>-15972</v>
      </c>
      <c r="AF238" s="46">
        <f>AB238-C238</f>
        <v>0</v>
      </c>
      <c r="AG238" s="46">
        <f>AC238-D238</f>
        <v>0</v>
      </c>
      <c r="AH238" s="1"/>
      <c r="AI238" s="47">
        <f>C238/B238*1000</f>
        <v>47.617132954106353</v>
      </c>
      <c r="AJ238" s="47">
        <f>D238/B238*1000</f>
        <v>36.732360118879271</v>
      </c>
      <c r="AK238" s="1"/>
      <c r="AL238" s="47">
        <f>AI238-H238</f>
        <v>1.7132954106351406E-2</v>
      </c>
      <c r="AM238" s="47">
        <f>AJ238-I238</f>
        <v>3.236011887926793E-2</v>
      </c>
    </row>
    <row r="239" spans="1:39">
      <c r="A239" s="34" t="s">
        <v>240</v>
      </c>
      <c r="B239" s="14"/>
      <c r="C239" s="14"/>
      <c r="D239" s="14"/>
      <c r="E239" s="14"/>
      <c r="F239" s="14"/>
      <c r="G239" s="14"/>
      <c r="H239" s="14"/>
      <c r="I239" s="14"/>
      <c r="J239" s="14"/>
      <c r="K239" s="14">
        <v>6303</v>
      </c>
      <c r="L239" s="14">
        <v>1204</v>
      </c>
      <c r="M239" s="14">
        <v>13334</v>
      </c>
      <c r="N239" s="14">
        <v>12168</v>
      </c>
      <c r="O239" s="14">
        <v>323</v>
      </c>
      <c r="P239" s="14">
        <v>8592</v>
      </c>
      <c r="Q239" s="14">
        <v>3873</v>
      </c>
      <c r="R239" s="14">
        <v>9560</v>
      </c>
      <c r="S239" s="14">
        <v>5794</v>
      </c>
      <c r="T239" s="14">
        <v>8721</v>
      </c>
      <c r="U239" s="14"/>
      <c r="V239" s="14"/>
      <c r="W239" s="14"/>
      <c r="X239" s="14"/>
      <c r="Y239" s="14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>
      <c r="A240" s="34" t="s">
        <v>241</v>
      </c>
      <c r="B240" s="14"/>
      <c r="C240" s="14"/>
      <c r="D240" s="14"/>
      <c r="E240" s="14"/>
      <c r="F240" s="14"/>
      <c r="G240" s="14"/>
      <c r="H240" s="14"/>
      <c r="I240" s="14"/>
      <c r="J240" s="14"/>
      <c r="K240" s="14">
        <v>4999</v>
      </c>
      <c r="L240" s="14">
        <v>589</v>
      </c>
      <c r="M240" s="14">
        <v>10289</v>
      </c>
      <c r="N240" s="14">
        <v>10025</v>
      </c>
      <c r="O240" s="14">
        <v>702</v>
      </c>
      <c r="P240" s="14">
        <v>5657</v>
      </c>
      <c r="Q240" s="14">
        <v>3065</v>
      </c>
      <c r="R240" s="14">
        <v>5926</v>
      </c>
      <c r="S240" s="14">
        <v>5442</v>
      </c>
      <c r="T240" s="14">
        <v>7206</v>
      </c>
      <c r="U240" s="14"/>
      <c r="V240" s="14"/>
      <c r="W240" s="14"/>
      <c r="X240" s="14"/>
      <c r="Y240" s="14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>
      <c r="A241" s="32" t="s">
        <v>242</v>
      </c>
      <c r="B241" s="28">
        <v>1417414</v>
      </c>
      <c r="C241" s="28">
        <v>88440</v>
      </c>
      <c r="D241" s="28">
        <v>52953</v>
      </c>
      <c r="E241" s="28">
        <v>137081</v>
      </c>
      <c r="F241" s="28">
        <v>5914</v>
      </c>
      <c r="G241" s="28">
        <v>4952</v>
      </c>
      <c r="H241" s="26">
        <v>62.4</v>
      </c>
      <c r="I241" s="26">
        <v>37.4</v>
      </c>
      <c r="J241" s="14"/>
      <c r="K241" s="28">
        <v>230722</v>
      </c>
      <c r="L241" s="28">
        <v>395251</v>
      </c>
      <c r="M241" s="28">
        <v>398309</v>
      </c>
      <c r="N241" s="28">
        <v>140013</v>
      </c>
      <c r="O241" s="28">
        <v>130170</v>
      </c>
      <c r="P241" s="28">
        <v>115949</v>
      </c>
      <c r="Q241" s="28"/>
      <c r="R241" s="28"/>
      <c r="S241" s="28"/>
      <c r="T241" s="28"/>
      <c r="U241" s="28"/>
      <c r="V241" s="28"/>
      <c r="W241" s="28"/>
      <c r="X241" s="28"/>
      <c r="Y241" s="28"/>
      <c r="Z241" s="1"/>
      <c r="AA241" s="46">
        <f>SUM(K241:Y241)</f>
        <v>1410414</v>
      </c>
      <c r="AB241" s="46">
        <f>SUM(K242:Y242)</f>
        <v>88440</v>
      </c>
      <c r="AC241" s="46">
        <f>SUM(K243:Y243)</f>
        <v>52953</v>
      </c>
      <c r="AD241" s="1"/>
      <c r="AE241" s="46">
        <f>AA241-B241</f>
        <v>-7000</v>
      </c>
      <c r="AF241" s="46">
        <f>AB241-C241</f>
        <v>0</v>
      </c>
      <c r="AG241" s="46">
        <f>AC241-D241</f>
        <v>0</v>
      </c>
      <c r="AH241" s="1"/>
      <c r="AI241" s="47">
        <f>C241/B241*1000</f>
        <v>62.395319927699319</v>
      </c>
      <c r="AJ241" s="47">
        <f>D241/B241*1000</f>
        <v>37.358880327130962</v>
      </c>
      <c r="AK241" s="1"/>
      <c r="AL241" s="47">
        <f>AI241-H241</f>
        <v>-4.6800723006796829E-3</v>
      </c>
      <c r="AM241" s="47">
        <f>AJ241-I241</f>
        <v>-4.1119672869037061E-2</v>
      </c>
    </row>
    <row r="242" spans="1:39">
      <c r="A242" s="34" t="s">
        <v>243</v>
      </c>
      <c r="B242" s="14"/>
      <c r="C242" s="14"/>
      <c r="D242" s="14"/>
      <c r="E242" s="14"/>
      <c r="F242" s="14"/>
      <c r="G242" s="14"/>
      <c r="H242" s="14"/>
      <c r="I242" s="14"/>
      <c r="J242" s="14"/>
      <c r="K242" s="14">
        <v>11595</v>
      </c>
      <c r="L242" s="14">
        <v>29954</v>
      </c>
      <c r="M242" s="14">
        <v>27537</v>
      </c>
      <c r="N242" s="14">
        <v>6879</v>
      </c>
      <c r="O242" s="14">
        <v>6630</v>
      </c>
      <c r="P242" s="14">
        <v>5845</v>
      </c>
      <c r="Q242" s="14"/>
      <c r="R242" s="14"/>
      <c r="S242" s="14"/>
      <c r="T242" s="14"/>
      <c r="U242" s="14"/>
      <c r="V242" s="14"/>
      <c r="W242" s="14"/>
      <c r="X242" s="14"/>
      <c r="Y242" s="14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>
      <c r="A243" s="34" t="s">
        <v>244</v>
      </c>
      <c r="B243" s="14"/>
      <c r="C243" s="14"/>
      <c r="D243" s="14"/>
      <c r="E243" s="14"/>
      <c r="F243" s="14"/>
      <c r="G243" s="14"/>
      <c r="H243" s="14"/>
      <c r="I243" s="14"/>
      <c r="J243" s="14"/>
      <c r="K243" s="14">
        <v>8260</v>
      </c>
      <c r="L243" s="14">
        <v>14531</v>
      </c>
      <c r="M243" s="14">
        <v>19600</v>
      </c>
      <c r="N243" s="14">
        <v>3502</v>
      </c>
      <c r="O243" s="14">
        <v>3400</v>
      </c>
      <c r="P243" s="14">
        <v>3660</v>
      </c>
      <c r="Q243" s="14"/>
      <c r="R243" s="14"/>
      <c r="S243" s="14"/>
      <c r="T243" s="14"/>
      <c r="U243" s="14"/>
      <c r="V243" s="14"/>
      <c r="W243" s="14"/>
      <c r="X243" s="14"/>
      <c r="Y243" s="14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>
      <c r="A244" s="32" t="s">
        <v>245</v>
      </c>
      <c r="B244" s="28">
        <v>271980</v>
      </c>
      <c r="C244" s="28">
        <v>9053</v>
      </c>
      <c r="D244" s="28">
        <v>5070</v>
      </c>
      <c r="E244" s="28">
        <v>8012</v>
      </c>
      <c r="F244" s="28">
        <v>168</v>
      </c>
      <c r="G244" s="28">
        <v>174</v>
      </c>
      <c r="H244" s="26">
        <v>33.299999999999997</v>
      </c>
      <c r="I244" s="26">
        <v>18.7</v>
      </c>
      <c r="J244" s="14"/>
      <c r="K244" s="28">
        <v>159057</v>
      </c>
      <c r="L244" s="28">
        <v>13418</v>
      </c>
      <c r="M244" s="28">
        <v>77021</v>
      </c>
      <c r="N244" s="28">
        <v>6458</v>
      </c>
      <c r="O244" s="28">
        <v>16026</v>
      </c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1"/>
      <c r="AA244" s="46">
        <f>SUM(K244:Y244)</f>
        <v>271980</v>
      </c>
      <c r="AB244" s="46">
        <f>SUM(K245:Y245)</f>
        <v>9053</v>
      </c>
      <c r="AC244" s="46">
        <f>SUM(K246:Y246)</f>
        <v>5070</v>
      </c>
      <c r="AD244" s="1"/>
      <c r="AE244" s="46">
        <f>AA244-B244</f>
        <v>0</v>
      </c>
      <c r="AF244" s="46">
        <f>AB244-C244</f>
        <v>0</v>
      </c>
      <c r="AG244" s="46">
        <f>AC244-D244</f>
        <v>0</v>
      </c>
      <c r="AH244" s="1"/>
      <c r="AI244" s="47">
        <f>C244/B244*1000</f>
        <v>33.285535701154494</v>
      </c>
      <c r="AJ244" s="47">
        <f>D244/B244*1000</f>
        <v>18.641076549746302</v>
      </c>
      <c r="AK244" s="1"/>
      <c r="AL244" s="47">
        <f>AI244-H244</f>
        <v>-1.4464298845503265E-2</v>
      </c>
      <c r="AM244" s="47">
        <f>AJ244-I244</f>
        <v>-5.8923450253697496E-2</v>
      </c>
    </row>
    <row r="245" spans="1:39">
      <c r="A245" s="34" t="s">
        <v>246</v>
      </c>
      <c r="B245" s="14"/>
      <c r="C245" s="14"/>
      <c r="D245" s="14"/>
      <c r="E245" s="14"/>
      <c r="F245" s="14"/>
      <c r="G245" s="14"/>
      <c r="H245" s="14"/>
      <c r="I245" s="14"/>
      <c r="J245" s="14"/>
      <c r="K245" s="14">
        <v>5609</v>
      </c>
      <c r="L245" s="14">
        <v>311</v>
      </c>
      <c r="M245" s="14">
        <v>2232</v>
      </c>
      <c r="N245" s="14">
        <v>212</v>
      </c>
      <c r="O245" s="14">
        <v>689</v>
      </c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>
      <c r="A246" s="34" t="s">
        <v>247</v>
      </c>
      <c r="B246" s="14"/>
      <c r="C246" s="14"/>
      <c r="D246" s="14"/>
      <c r="E246" s="14"/>
      <c r="F246" s="14"/>
      <c r="G246" s="14"/>
      <c r="H246" s="14"/>
      <c r="I246" s="14"/>
      <c r="J246" s="14"/>
      <c r="K246" s="14">
        <v>3073</v>
      </c>
      <c r="L246" s="14">
        <v>161</v>
      </c>
      <c r="M246" s="14">
        <v>1219</v>
      </c>
      <c r="N246" s="14">
        <v>120</v>
      </c>
      <c r="O246" s="14">
        <v>497</v>
      </c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>
      <c r="A247" s="32" t="s">
        <v>248</v>
      </c>
      <c r="B247" s="28">
        <v>24789</v>
      </c>
      <c r="C247" s="28">
        <v>347</v>
      </c>
      <c r="D247" s="28">
        <v>365</v>
      </c>
      <c r="E247" s="33" t="s">
        <v>9</v>
      </c>
      <c r="F247" s="33" t="s">
        <v>9</v>
      </c>
      <c r="G247" s="33" t="s">
        <v>9</v>
      </c>
      <c r="H247" s="28" t="s">
        <v>9</v>
      </c>
      <c r="I247" s="28" t="s">
        <v>9</v>
      </c>
      <c r="J247" s="11"/>
      <c r="K247" s="28">
        <v>10708</v>
      </c>
      <c r="L247" s="28">
        <v>6073</v>
      </c>
      <c r="M247" s="28">
        <v>8008</v>
      </c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1"/>
      <c r="AA247" s="46">
        <f>SUM(K247:Y247)</f>
        <v>24789</v>
      </c>
      <c r="AB247" s="46">
        <f>SUM(K248:Y248)</f>
        <v>347</v>
      </c>
      <c r="AC247" s="46">
        <f>SUM(K249:Y249)</f>
        <v>365</v>
      </c>
      <c r="AD247" s="1"/>
      <c r="AE247" s="46">
        <f>AA247-B247</f>
        <v>0</v>
      </c>
      <c r="AF247" s="46">
        <f>AB247-C247</f>
        <v>0</v>
      </c>
      <c r="AG247" s="46">
        <f>AC247-D247</f>
        <v>0</v>
      </c>
      <c r="AH247" s="1"/>
      <c r="AI247" s="47">
        <f>C247/B247*1000</f>
        <v>13.99814433821453</v>
      </c>
      <c r="AJ247" s="47">
        <f>D247/B247*1000</f>
        <v>14.72427286296341</v>
      </c>
      <c r="AK247" s="1"/>
      <c r="AL247" s="47"/>
      <c r="AM247" s="47"/>
    </row>
    <row r="248" spans="1:39">
      <c r="A248" s="34" t="s">
        <v>249</v>
      </c>
      <c r="B248" s="14"/>
      <c r="C248" s="14"/>
      <c r="D248" s="14"/>
      <c r="E248" s="14"/>
      <c r="F248" s="14"/>
      <c r="G248" s="14"/>
      <c r="H248" s="14"/>
      <c r="I248" s="14"/>
      <c r="J248" s="14"/>
      <c r="K248" s="14">
        <v>140</v>
      </c>
      <c r="L248" s="14">
        <v>72</v>
      </c>
      <c r="M248" s="14">
        <v>135</v>
      </c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>
      <c r="A249" s="34" t="s">
        <v>250</v>
      </c>
      <c r="B249" s="14"/>
      <c r="C249" s="14"/>
      <c r="D249" s="14"/>
      <c r="E249" s="14"/>
      <c r="F249" s="14"/>
      <c r="G249" s="14"/>
      <c r="H249" s="14"/>
      <c r="I249" s="14"/>
      <c r="J249" s="14"/>
      <c r="K249" s="14">
        <v>154</v>
      </c>
      <c r="L249" s="14">
        <v>71</v>
      </c>
      <c r="M249" s="14">
        <v>140</v>
      </c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>
      <c r="A250" s="35" t="s">
        <v>251</v>
      </c>
      <c r="B250" s="36">
        <v>5006773</v>
      </c>
      <c r="C250" s="36">
        <v>251713</v>
      </c>
      <c r="D250" s="36">
        <v>171435</v>
      </c>
      <c r="E250" s="36"/>
      <c r="F250" s="36"/>
      <c r="G250" s="36"/>
      <c r="H250" s="31">
        <v>51.1</v>
      </c>
      <c r="I250" s="31">
        <v>35</v>
      </c>
      <c r="J250" s="14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1"/>
      <c r="AA250" s="70">
        <f>SUM(AA225:AA249)</f>
        <v>4983801</v>
      </c>
      <c r="AB250" s="70">
        <f>SUM(AB225:AB249)</f>
        <v>251713</v>
      </c>
      <c r="AC250" s="70">
        <f>SUM(AC225:AC249)</f>
        <v>171435</v>
      </c>
      <c r="AD250" s="1"/>
      <c r="AE250" s="70">
        <f t="shared" ref="AE250:AG251" si="7">AA250-B250</f>
        <v>-22972</v>
      </c>
      <c r="AF250" s="70">
        <f t="shared" si="7"/>
        <v>0</v>
      </c>
      <c r="AG250" s="70">
        <f t="shared" si="7"/>
        <v>0</v>
      </c>
      <c r="AH250" s="1"/>
      <c r="AI250" s="71">
        <f>C250/B250*1000</f>
        <v>50.274498164785982</v>
      </c>
      <c r="AJ250" s="71">
        <f>D250/B250*1000</f>
        <v>34.240617659318687</v>
      </c>
      <c r="AK250" s="1"/>
      <c r="AL250" s="71">
        <f>AI250-H250</f>
        <v>-0.82550183521401976</v>
      </c>
      <c r="AM250" s="71">
        <f>AJ250-I250</f>
        <v>-0.75938234068131294</v>
      </c>
    </row>
    <row r="251" spans="1:39">
      <c r="A251" s="32" t="s">
        <v>252</v>
      </c>
      <c r="B251" s="28">
        <v>559491</v>
      </c>
      <c r="C251" s="28">
        <v>15644</v>
      </c>
      <c r="D251" s="28">
        <v>9801</v>
      </c>
      <c r="E251" s="28">
        <v>68769</v>
      </c>
      <c r="F251" s="28">
        <v>3637</v>
      </c>
      <c r="G251" s="28">
        <v>2596</v>
      </c>
      <c r="H251" s="28" t="s">
        <v>9</v>
      </c>
      <c r="I251" s="28" t="s">
        <v>9</v>
      </c>
      <c r="J251" s="14"/>
      <c r="K251" s="28">
        <v>98432</v>
      </c>
      <c r="L251" s="28">
        <v>145859</v>
      </c>
      <c r="M251" s="28">
        <v>81222</v>
      </c>
      <c r="N251" s="28">
        <v>116145</v>
      </c>
      <c r="O251" s="28">
        <v>117833</v>
      </c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1"/>
      <c r="AA251" s="46">
        <f>SUM(K251:Y251)</f>
        <v>559491</v>
      </c>
      <c r="AB251" s="46">
        <f>SUM(K252:Y252)</f>
        <v>15644</v>
      </c>
      <c r="AC251" s="46">
        <f>SUM(K253:Y253)</f>
        <v>9801</v>
      </c>
      <c r="AD251" s="1"/>
      <c r="AE251" s="46">
        <f t="shared" si="7"/>
        <v>0</v>
      </c>
      <c r="AF251" s="46">
        <f t="shared" si="7"/>
        <v>0</v>
      </c>
      <c r="AG251" s="46">
        <f t="shared" si="7"/>
        <v>0</v>
      </c>
      <c r="AH251" s="1"/>
      <c r="AI251" s="47">
        <f>C251/B251*1000</f>
        <v>27.96112895471062</v>
      </c>
      <c r="AJ251" s="47">
        <f>D251/B251*1000</f>
        <v>17.51770805964707</v>
      </c>
      <c r="AK251" s="1"/>
      <c r="AL251" s="47"/>
      <c r="AM251" s="47"/>
    </row>
    <row r="252" spans="1:39">
      <c r="A252" s="34" t="s">
        <v>253</v>
      </c>
      <c r="B252" s="14"/>
      <c r="C252" s="14"/>
      <c r="D252" s="14"/>
      <c r="E252" s="14"/>
      <c r="F252" s="14"/>
      <c r="G252" s="14"/>
      <c r="H252" s="14"/>
      <c r="I252" s="14"/>
      <c r="J252" s="14"/>
      <c r="K252" s="14">
        <v>3114</v>
      </c>
      <c r="L252" s="14">
        <v>3528</v>
      </c>
      <c r="M252" s="14">
        <v>1594</v>
      </c>
      <c r="N252" s="14">
        <v>3873</v>
      </c>
      <c r="O252" s="14">
        <v>3535</v>
      </c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>
      <c r="A253" s="34" t="s">
        <v>254</v>
      </c>
      <c r="B253" s="14"/>
      <c r="C253" s="14"/>
      <c r="D253" s="14"/>
      <c r="E253" s="14"/>
      <c r="F253" s="14"/>
      <c r="G253" s="14"/>
      <c r="H253" s="14"/>
      <c r="I253" s="14"/>
      <c r="J253" s="14"/>
      <c r="K253" s="14">
        <v>2202</v>
      </c>
      <c r="L253" s="14">
        <v>2152</v>
      </c>
      <c r="M253" s="14">
        <v>337</v>
      </c>
      <c r="N253" s="14">
        <v>2424</v>
      </c>
      <c r="O253" s="14">
        <v>2686</v>
      </c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>
      <c r="A254" s="32" t="s">
        <v>255</v>
      </c>
      <c r="B254" s="28">
        <v>700000</v>
      </c>
      <c r="C254" s="28">
        <v>1315</v>
      </c>
      <c r="D254" s="28">
        <v>993</v>
      </c>
      <c r="E254" s="33" t="s">
        <v>9</v>
      </c>
      <c r="F254" s="33" t="s">
        <v>9</v>
      </c>
      <c r="G254" s="33" t="s">
        <v>9</v>
      </c>
      <c r="H254" s="28" t="s">
        <v>9</v>
      </c>
      <c r="I254" s="28" t="s">
        <v>9</v>
      </c>
      <c r="J254" s="11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1"/>
      <c r="AA254" s="46">
        <f>B254</f>
        <v>700000</v>
      </c>
      <c r="AB254" s="46">
        <f>C254</f>
        <v>1315</v>
      </c>
      <c r="AC254" s="46">
        <f>D254</f>
        <v>993</v>
      </c>
      <c r="AD254" s="1"/>
      <c r="AE254" s="68"/>
      <c r="AF254" s="68"/>
      <c r="AG254" s="68"/>
      <c r="AH254" s="1"/>
      <c r="AI254" s="47">
        <f>C254/B254*1000</f>
        <v>1.8785714285714286</v>
      </c>
      <c r="AJ254" s="47">
        <f>D254/B254*1000</f>
        <v>1.4185714285714286</v>
      </c>
      <c r="AK254" s="1"/>
      <c r="AL254" s="47"/>
      <c r="AM254" s="47"/>
    </row>
    <row r="255" spans="1:39">
      <c r="A255" s="32" t="s">
        <v>256</v>
      </c>
      <c r="B255" s="28">
        <v>787468</v>
      </c>
      <c r="C255" s="33" t="s">
        <v>9</v>
      </c>
      <c r="D255" s="33" t="s">
        <v>9</v>
      </c>
      <c r="E255" s="28">
        <v>99026</v>
      </c>
      <c r="F255" s="33" t="s">
        <v>9</v>
      </c>
      <c r="G255" s="33" t="s">
        <v>9</v>
      </c>
      <c r="H255" s="28" t="s">
        <v>9</v>
      </c>
      <c r="I255" s="28" t="s">
        <v>9</v>
      </c>
      <c r="J255" s="11"/>
      <c r="K255" s="28">
        <v>305466</v>
      </c>
      <c r="L255" s="28">
        <v>258531</v>
      </c>
      <c r="M255" s="28">
        <v>108941</v>
      </c>
      <c r="N255" s="28">
        <v>214530</v>
      </c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1"/>
      <c r="AA255" s="46">
        <f>SUM(K255:Y255)</f>
        <v>887468</v>
      </c>
      <c r="AB255" s="46">
        <f>SUM(K256:Y256)</f>
        <v>0</v>
      </c>
      <c r="AC255" s="46">
        <f>SUM(K257:Y257)</f>
        <v>0</v>
      </c>
      <c r="AD255" s="1"/>
      <c r="AE255" s="46">
        <f>AA255-B255</f>
        <v>100000</v>
      </c>
      <c r="AF255" s="46"/>
      <c r="AG255" s="46"/>
      <c r="AH255" s="1"/>
      <c r="AI255" s="47"/>
      <c r="AJ255" s="47"/>
      <c r="AK255" s="1"/>
      <c r="AL255" s="47"/>
      <c r="AM255" s="47"/>
    </row>
    <row r="256" spans="1:39">
      <c r="A256" s="34" t="s">
        <v>257</v>
      </c>
      <c r="B256" s="14"/>
      <c r="C256" s="14"/>
      <c r="D256" s="14"/>
      <c r="E256" s="14"/>
      <c r="F256" s="14"/>
      <c r="G256" s="14"/>
      <c r="H256" s="14"/>
      <c r="I256" s="14"/>
      <c r="J256" s="14"/>
      <c r="K256" s="11" t="s">
        <v>9</v>
      </c>
      <c r="L256" s="11" t="s">
        <v>9</v>
      </c>
      <c r="M256" s="11" t="s">
        <v>9</v>
      </c>
      <c r="N256" s="11" t="s">
        <v>9</v>
      </c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>
      <c r="A257" s="34" t="s">
        <v>258</v>
      </c>
      <c r="B257" s="14"/>
      <c r="C257" s="14"/>
      <c r="D257" s="14"/>
      <c r="E257" s="14"/>
      <c r="F257" s="14"/>
      <c r="G257" s="14"/>
      <c r="H257" s="14"/>
      <c r="I257" s="14"/>
      <c r="J257" s="14"/>
      <c r="K257" s="11" t="s">
        <v>9</v>
      </c>
      <c r="L257" s="11" t="s">
        <v>9</v>
      </c>
      <c r="M257" s="11" t="s">
        <v>9</v>
      </c>
      <c r="N257" s="11" t="s">
        <v>9</v>
      </c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>
      <c r="A258" s="32" t="s">
        <v>259</v>
      </c>
      <c r="B258" s="28">
        <v>608841</v>
      </c>
      <c r="C258" s="28">
        <v>9210</v>
      </c>
      <c r="D258" s="28">
        <v>7629</v>
      </c>
      <c r="E258" s="28">
        <v>48304</v>
      </c>
      <c r="F258" s="28">
        <v>1771</v>
      </c>
      <c r="G258" s="28">
        <v>1330</v>
      </c>
      <c r="H258" s="28" t="s">
        <v>9</v>
      </c>
      <c r="I258" s="28" t="s">
        <v>9</v>
      </c>
      <c r="J258" s="14"/>
      <c r="K258" s="28">
        <v>186260</v>
      </c>
      <c r="L258" s="28">
        <v>75049</v>
      </c>
      <c r="M258" s="28">
        <v>143134</v>
      </c>
      <c r="N258" s="28">
        <v>121881</v>
      </c>
      <c r="O258" s="28">
        <v>82517</v>
      </c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1"/>
      <c r="AA258" s="46">
        <f>SUM(K258:Y258)</f>
        <v>608841</v>
      </c>
      <c r="AB258" s="46">
        <f>SUM(K259:Y259)</f>
        <v>9210</v>
      </c>
      <c r="AC258" s="46">
        <f>SUM(K260:Y260)</f>
        <v>7629</v>
      </c>
      <c r="AD258" s="1"/>
      <c r="AE258" s="46">
        <f>AA258-B258</f>
        <v>0</v>
      </c>
      <c r="AF258" s="46">
        <f>AB258-C258</f>
        <v>0</v>
      </c>
      <c r="AG258" s="46">
        <f>AC258-D258</f>
        <v>0</v>
      </c>
      <c r="AH258" s="1"/>
      <c r="AI258" s="47">
        <f>C258/B258*1000</f>
        <v>15.127102149822369</v>
      </c>
      <c r="AJ258" s="47">
        <f>D258/B258*1000</f>
        <v>12.530365070683478</v>
      </c>
      <c r="AK258" s="1"/>
      <c r="AL258" s="47"/>
      <c r="AM258" s="47"/>
    </row>
    <row r="259" spans="1:39">
      <c r="A259" s="34" t="s">
        <v>260</v>
      </c>
      <c r="B259" s="14"/>
      <c r="C259" s="14"/>
      <c r="D259" s="14"/>
      <c r="E259" s="14"/>
      <c r="F259" s="14"/>
      <c r="G259" s="14"/>
      <c r="H259" s="14"/>
      <c r="I259" s="14"/>
      <c r="J259" s="14"/>
      <c r="K259" s="14">
        <v>2996</v>
      </c>
      <c r="L259" s="14">
        <v>1421</v>
      </c>
      <c r="M259" s="14">
        <v>1320</v>
      </c>
      <c r="N259" s="14">
        <v>1784</v>
      </c>
      <c r="O259" s="14">
        <v>1689</v>
      </c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>
      <c r="A260" s="34" t="s">
        <v>261</v>
      </c>
      <c r="B260" s="14"/>
      <c r="C260" s="14"/>
      <c r="D260" s="14"/>
      <c r="E260" s="14"/>
      <c r="F260" s="14"/>
      <c r="G260" s="14"/>
      <c r="H260" s="14"/>
      <c r="I260" s="14"/>
      <c r="J260" s="14"/>
      <c r="K260" s="14">
        <v>2393</v>
      </c>
      <c r="L260" s="14">
        <v>1092</v>
      </c>
      <c r="M260" s="14">
        <v>1130</v>
      </c>
      <c r="N260" s="14">
        <v>1741</v>
      </c>
      <c r="O260" s="14">
        <v>1273</v>
      </c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>
      <c r="A261" s="32" t="s">
        <v>262</v>
      </c>
      <c r="B261" s="28">
        <v>757105</v>
      </c>
      <c r="C261" s="28">
        <v>28278</v>
      </c>
      <c r="D261" s="28">
        <v>15107</v>
      </c>
      <c r="E261" s="33" t="s">
        <v>9</v>
      </c>
      <c r="F261" s="33" t="s">
        <v>9</v>
      </c>
      <c r="G261" s="33" t="s">
        <v>9</v>
      </c>
      <c r="H261" s="26">
        <v>37.4</v>
      </c>
      <c r="I261" s="26">
        <v>20</v>
      </c>
      <c r="J261" s="11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1"/>
      <c r="AA261" s="46">
        <f>B261</f>
        <v>757105</v>
      </c>
      <c r="AB261" s="46">
        <f>C261</f>
        <v>28278</v>
      </c>
      <c r="AC261" s="46">
        <f>D261</f>
        <v>15107</v>
      </c>
      <c r="AD261" s="1"/>
      <c r="AE261" s="68"/>
      <c r="AF261" s="68"/>
      <c r="AG261" s="68"/>
      <c r="AH261" s="1"/>
      <c r="AI261" s="47">
        <f>C261/B261*1000</f>
        <v>37.350169395262213</v>
      </c>
      <c r="AJ261" s="47">
        <f>D261/B261*1000</f>
        <v>19.953639191393531</v>
      </c>
      <c r="AK261" s="1"/>
      <c r="AL261" s="47">
        <f>AI261-H261</f>
        <v>-4.9830604737785222E-2</v>
      </c>
      <c r="AM261" s="47">
        <f>AJ261-I261</f>
        <v>-4.6360808606468851E-2</v>
      </c>
    </row>
    <row r="262" spans="1:39">
      <c r="A262" s="32" t="s">
        <v>263</v>
      </c>
      <c r="B262" s="28">
        <v>1267912</v>
      </c>
      <c r="C262" s="28">
        <v>21631</v>
      </c>
      <c r="D262" s="28">
        <v>14776</v>
      </c>
      <c r="E262" s="28">
        <v>134529</v>
      </c>
      <c r="F262" s="28">
        <v>4140</v>
      </c>
      <c r="G262" s="28">
        <v>2435</v>
      </c>
      <c r="H262" s="28" t="s">
        <v>9</v>
      </c>
      <c r="I262" s="28" t="s">
        <v>9</v>
      </c>
      <c r="J262" s="14"/>
      <c r="K262" s="28">
        <v>434529</v>
      </c>
      <c r="L262" s="28">
        <v>121500</v>
      </c>
      <c r="M262" s="28">
        <v>113500</v>
      </c>
      <c r="N262" s="28">
        <v>192018</v>
      </c>
      <c r="O262" s="28">
        <v>251326</v>
      </c>
      <c r="P262" s="28">
        <v>155039</v>
      </c>
      <c r="Q262" s="28"/>
      <c r="R262" s="28"/>
      <c r="S262" s="28"/>
      <c r="T262" s="28"/>
      <c r="U262" s="28"/>
      <c r="V262" s="28"/>
      <c r="W262" s="28"/>
      <c r="X262" s="28"/>
      <c r="Y262" s="28"/>
      <c r="Z262" s="1"/>
      <c r="AA262" s="46">
        <f>SUM(K262:Y262)</f>
        <v>1267912</v>
      </c>
      <c r="AB262" s="46">
        <f>SUM(K263:Y263)</f>
        <v>21631</v>
      </c>
      <c r="AC262" s="46">
        <f>SUM(K264:Y264)</f>
        <v>14776</v>
      </c>
      <c r="AD262" s="1"/>
      <c r="AE262" s="46">
        <f>AA262-B262</f>
        <v>0</v>
      </c>
      <c r="AF262" s="46">
        <f>AB262-C262</f>
        <v>0</v>
      </c>
      <c r="AG262" s="46">
        <f>AC262-D262</f>
        <v>0</v>
      </c>
      <c r="AH262" s="1"/>
      <c r="AI262" s="47">
        <f>C262/B262*1000</f>
        <v>17.060332262806881</v>
      </c>
      <c r="AJ262" s="47">
        <f>D262/B262*1000</f>
        <v>11.653805626888932</v>
      </c>
      <c r="AK262" s="1"/>
      <c r="AL262" s="47"/>
      <c r="AM262" s="47"/>
    </row>
    <row r="263" spans="1:39">
      <c r="A263" s="34" t="s">
        <v>264</v>
      </c>
      <c r="B263" s="14"/>
      <c r="C263" s="14"/>
      <c r="D263" s="14"/>
      <c r="E263" s="14"/>
      <c r="F263" s="14"/>
      <c r="G263" s="14"/>
      <c r="H263" s="14"/>
      <c r="I263" s="14"/>
      <c r="J263" s="14"/>
      <c r="K263" s="14">
        <v>4140</v>
      </c>
      <c r="L263" s="11" t="s">
        <v>9</v>
      </c>
      <c r="M263" s="11" t="s">
        <v>9</v>
      </c>
      <c r="N263" s="14">
        <v>2470</v>
      </c>
      <c r="O263" s="14">
        <v>14949</v>
      </c>
      <c r="P263" s="14">
        <v>72</v>
      </c>
      <c r="Q263" s="14"/>
      <c r="R263" s="14"/>
      <c r="S263" s="14"/>
      <c r="T263" s="14"/>
      <c r="U263" s="14"/>
      <c r="V263" s="14"/>
      <c r="W263" s="14"/>
      <c r="X263" s="14"/>
      <c r="Y263" s="14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>
      <c r="A264" s="34" t="s">
        <v>265</v>
      </c>
      <c r="B264" s="14"/>
      <c r="C264" s="14"/>
      <c r="D264" s="14"/>
      <c r="E264" s="14"/>
      <c r="F264" s="14"/>
      <c r="G264" s="14"/>
      <c r="H264" s="14"/>
      <c r="I264" s="14"/>
      <c r="J264" s="14"/>
      <c r="K264" s="14">
        <v>2435</v>
      </c>
      <c r="L264" s="11" t="s">
        <v>9</v>
      </c>
      <c r="M264" s="11" t="s">
        <v>9</v>
      </c>
      <c r="N264" s="14">
        <v>1359</v>
      </c>
      <c r="O264" s="14">
        <v>10924</v>
      </c>
      <c r="P264" s="14">
        <v>58</v>
      </c>
      <c r="Q264" s="14"/>
      <c r="R264" s="14"/>
      <c r="S264" s="14"/>
      <c r="T264" s="14"/>
      <c r="U264" s="14"/>
      <c r="V264" s="14"/>
      <c r="W264" s="14"/>
      <c r="X264" s="14"/>
      <c r="Y264" s="14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>
      <c r="A265" s="32" t="s">
        <v>266</v>
      </c>
      <c r="B265" s="28">
        <v>386300</v>
      </c>
      <c r="C265" s="28">
        <v>9032</v>
      </c>
      <c r="D265" s="28">
        <v>5596</v>
      </c>
      <c r="E265" s="33" t="s">
        <v>9</v>
      </c>
      <c r="F265" s="33" t="s">
        <v>9</v>
      </c>
      <c r="G265" s="33" t="s">
        <v>9</v>
      </c>
      <c r="H265" s="28" t="s">
        <v>9</v>
      </c>
      <c r="I265" s="28" t="s">
        <v>9</v>
      </c>
      <c r="J265" s="11"/>
      <c r="K265" s="28">
        <v>76372</v>
      </c>
      <c r="L265" s="28">
        <v>93823</v>
      </c>
      <c r="M265" s="28">
        <v>85862</v>
      </c>
      <c r="N265" s="28">
        <v>130243</v>
      </c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1"/>
      <c r="AA265" s="46">
        <f>SUM(K265:Y265)</f>
        <v>386300</v>
      </c>
      <c r="AB265" s="46">
        <f>SUM(K266:Y266)</f>
        <v>9032</v>
      </c>
      <c r="AC265" s="46">
        <f>SUM(K267:Y267)</f>
        <v>5596</v>
      </c>
      <c r="AD265" s="1"/>
      <c r="AE265" s="46">
        <f>AA265-B265</f>
        <v>0</v>
      </c>
      <c r="AF265" s="46">
        <f>AB265-C265</f>
        <v>0</v>
      </c>
      <c r="AG265" s="46">
        <f>AC265-D265</f>
        <v>0</v>
      </c>
      <c r="AH265" s="1"/>
      <c r="AI265" s="47">
        <f>C265/B265*1000</f>
        <v>23.380792130468546</v>
      </c>
      <c r="AJ265" s="47">
        <f>D265/B265*1000</f>
        <v>14.486150660108724</v>
      </c>
      <c r="AK265" s="1"/>
      <c r="AL265" s="47"/>
      <c r="AM265" s="47"/>
    </row>
    <row r="266" spans="1:39">
      <c r="A266" s="34" t="s">
        <v>267</v>
      </c>
      <c r="B266" s="14"/>
      <c r="C266" s="14"/>
      <c r="D266" s="14"/>
      <c r="E266" s="14"/>
      <c r="F266" s="14"/>
      <c r="G266" s="14"/>
      <c r="H266" s="14"/>
      <c r="I266" s="14"/>
      <c r="J266" s="14"/>
      <c r="K266" s="14">
        <v>1644</v>
      </c>
      <c r="L266" s="14">
        <v>142</v>
      </c>
      <c r="M266" s="14">
        <v>2337</v>
      </c>
      <c r="N266" s="14">
        <v>4909</v>
      </c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>
      <c r="A267" s="34" t="s">
        <v>268</v>
      </c>
      <c r="B267" s="14"/>
      <c r="C267" s="14"/>
      <c r="D267" s="14"/>
      <c r="E267" s="14"/>
      <c r="F267" s="14"/>
      <c r="G267" s="14"/>
      <c r="H267" s="14"/>
      <c r="I267" s="14"/>
      <c r="J267" s="14"/>
      <c r="K267" s="14">
        <v>825</v>
      </c>
      <c r="L267" s="14">
        <v>117</v>
      </c>
      <c r="M267" s="14">
        <v>1489</v>
      </c>
      <c r="N267" s="14">
        <v>3165</v>
      </c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>
      <c r="A268" s="32" t="s">
        <v>269</v>
      </c>
      <c r="B268" s="28">
        <v>549076</v>
      </c>
      <c r="C268" s="28">
        <v>16655</v>
      </c>
      <c r="D268" s="28">
        <v>11370</v>
      </c>
      <c r="E268" s="28">
        <v>41218</v>
      </c>
      <c r="F268" s="28">
        <v>1821</v>
      </c>
      <c r="G268" s="28">
        <v>1497</v>
      </c>
      <c r="H268" s="26">
        <v>30.3</v>
      </c>
      <c r="I268" s="26">
        <v>20.7</v>
      </c>
      <c r="J268" s="14"/>
      <c r="K268" s="28">
        <v>221050</v>
      </c>
      <c r="L268" s="28">
        <v>99283</v>
      </c>
      <c r="M268" s="28">
        <v>140541</v>
      </c>
      <c r="N268" s="28">
        <v>88202</v>
      </c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1"/>
      <c r="AA268" s="46">
        <f>SUM(K268:Y268)</f>
        <v>549076</v>
      </c>
      <c r="AB268" s="46">
        <f>SUM(K269:Y269)</f>
        <v>16655</v>
      </c>
      <c r="AC268" s="46">
        <f>SUM(K270:Y270)</f>
        <v>11370</v>
      </c>
      <c r="AD268" s="1"/>
      <c r="AE268" s="46">
        <f>AA268-B268</f>
        <v>0</v>
      </c>
      <c r="AF268" s="46">
        <f>AB268-C268</f>
        <v>0</v>
      </c>
      <c r="AG268" s="46">
        <f>AC268-D268</f>
        <v>0</v>
      </c>
      <c r="AH268" s="1"/>
      <c r="AI268" s="47">
        <f>C268/B268*1000</f>
        <v>30.332777247594141</v>
      </c>
      <c r="AJ268" s="47">
        <f>D268/B268*1000</f>
        <v>20.707515899438327</v>
      </c>
      <c r="AK268" s="1"/>
      <c r="AL268" s="47">
        <f>AI268-H268</f>
        <v>3.2777247594140135E-2</v>
      </c>
      <c r="AM268" s="47">
        <f>AJ268-I268</f>
        <v>7.5158994383279776E-3</v>
      </c>
    </row>
    <row r="269" spans="1:39">
      <c r="A269" s="34" t="s">
        <v>270</v>
      </c>
      <c r="B269" s="14"/>
      <c r="C269" s="14"/>
      <c r="D269" s="14"/>
      <c r="E269" s="14"/>
      <c r="F269" s="14"/>
      <c r="G269" s="14"/>
      <c r="H269" s="14"/>
      <c r="I269" s="14"/>
      <c r="J269" s="14"/>
      <c r="K269" s="14">
        <v>8192</v>
      </c>
      <c r="L269" s="14">
        <v>2790</v>
      </c>
      <c r="M269" s="14">
        <v>3631</v>
      </c>
      <c r="N269" s="14">
        <v>2042</v>
      </c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>
      <c r="A270" s="34" t="s">
        <v>271</v>
      </c>
      <c r="B270" s="14"/>
      <c r="C270" s="14"/>
      <c r="D270" s="14"/>
      <c r="E270" s="14"/>
      <c r="F270" s="14"/>
      <c r="G270" s="14"/>
      <c r="H270" s="14"/>
      <c r="I270" s="14"/>
      <c r="J270" s="14"/>
      <c r="K270" s="14">
        <v>5986</v>
      </c>
      <c r="L270" s="14">
        <v>1695</v>
      </c>
      <c r="M270" s="14">
        <v>2321</v>
      </c>
      <c r="N270" s="14">
        <v>1368</v>
      </c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>
      <c r="A271" s="32" t="s">
        <v>272</v>
      </c>
      <c r="B271" s="28">
        <v>938302</v>
      </c>
      <c r="C271" s="28">
        <v>31447</v>
      </c>
      <c r="D271" s="28">
        <v>14689</v>
      </c>
      <c r="E271" s="28">
        <v>160519</v>
      </c>
      <c r="F271" s="28">
        <v>13999</v>
      </c>
      <c r="G271" s="28">
        <v>3400</v>
      </c>
      <c r="H271" s="28" t="s">
        <v>9</v>
      </c>
      <c r="I271" s="28" t="s">
        <v>9</v>
      </c>
      <c r="J271" s="14"/>
      <c r="K271" s="28">
        <v>199324</v>
      </c>
      <c r="L271" s="28">
        <v>179944</v>
      </c>
      <c r="M271" s="28">
        <v>299909</v>
      </c>
      <c r="N271" s="28">
        <v>197209</v>
      </c>
      <c r="O271" s="28">
        <v>61916</v>
      </c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1"/>
      <c r="AA271" s="46">
        <f>SUM(K271:Y271)</f>
        <v>938302</v>
      </c>
      <c r="AB271" s="46">
        <f>SUM(K272:Y272)</f>
        <v>31447</v>
      </c>
      <c r="AC271" s="46">
        <f>SUM(K273:Y273)</f>
        <v>14689</v>
      </c>
      <c r="AD271" s="1"/>
      <c r="AE271" s="46">
        <f>AA271-B271</f>
        <v>0</v>
      </c>
      <c r="AF271" s="46">
        <f>AB271-C271</f>
        <v>0</v>
      </c>
      <c r="AG271" s="46">
        <f>AC271-D271</f>
        <v>0</v>
      </c>
      <c r="AH271" s="1"/>
      <c r="AI271" s="47">
        <f>C271/B271*1000</f>
        <v>33.514795875954647</v>
      </c>
      <c r="AJ271" s="47">
        <f>D271/B271*1000</f>
        <v>15.654874443409479</v>
      </c>
      <c r="AK271" s="1"/>
      <c r="AL271" s="47"/>
      <c r="AM271" s="47"/>
    </row>
    <row r="272" spans="1:39">
      <c r="A272" s="34" t="s">
        <v>273</v>
      </c>
      <c r="B272" s="14"/>
      <c r="C272" s="14"/>
      <c r="D272" s="14"/>
      <c r="E272" s="14"/>
      <c r="F272" s="14"/>
      <c r="G272" s="14"/>
      <c r="H272" s="14"/>
      <c r="I272" s="14"/>
      <c r="J272" s="14"/>
      <c r="K272" s="14">
        <v>70</v>
      </c>
      <c r="L272" s="14">
        <v>4727</v>
      </c>
      <c r="M272" s="14">
        <v>23051</v>
      </c>
      <c r="N272" s="11" t="s">
        <v>9</v>
      </c>
      <c r="O272" s="14">
        <v>3599</v>
      </c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>
      <c r="A273" s="34" t="s">
        <v>274</v>
      </c>
      <c r="B273" s="14"/>
      <c r="C273" s="14"/>
      <c r="D273" s="14"/>
      <c r="E273" s="14"/>
      <c r="F273" s="14"/>
      <c r="G273" s="14"/>
      <c r="H273" s="14"/>
      <c r="I273" s="14"/>
      <c r="J273" s="14"/>
      <c r="K273" s="14">
        <v>94</v>
      </c>
      <c r="L273" s="14">
        <v>3505</v>
      </c>
      <c r="M273" s="14">
        <v>9293</v>
      </c>
      <c r="N273" s="11" t="s">
        <v>9</v>
      </c>
      <c r="O273" s="14">
        <v>1797</v>
      </c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>
      <c r="A274" s="35" t="s">
        <v>275</v>
      </c>
      <c r="B274" s="36">
        <v>6554495</v>
      </c>
      <c r="C274" s="36">
        <v>183297</v>
      </c>
      <c r="D274" s="36">
        <v>79968</v>
      </c>
      <c r="E274" s="36"/>
      <c r="F274" s="36"/>
      <c r="G274" s="36"/>
      <c r="H274" s="31">
        <v>34.299999999999997</v>
      </c>
      <c r="I274" s="31">
        <v>20.3</v>
      </c>
      <c r="J274" s="14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1"/>
      <c r="AA274" s="70">
        <f>SUM(AA251:AA273)</f>
        <v>6654495</v>
      </c>
      <c r="AB274" s="70">
        <f>SUM(AB251:AB273)</f>
        <v>133212</v>
      </c>
      <c r="AC274" s="70">
        <f>SUM(AC251:AC273)</f>
        <v>79961</v>
      </c>
      <c r="AD274" s="1"/>
      <c r="AE274" s="70">
        <f>AA274-B274</f>
        <v>100000</v>
      </c>
      <c r="AF274" s="70">
        <f>AB274-C274</f>
        <v>-50085</v>
      </c>
      <c r="AG274" s="70">
        <f>AC274-D274</f>
        <v>-7</v>
      </c>
      <c r="AH274" s="1"/>
      <c r="AI274" s="71">
        <f>C274/B274*1000</f>
        <v>27.965083503763449</v>
      </c>
      <c r="AJ274" s="71">
        <f>D274/B274*1000</f>
        <v>12.200482264461259</v>
      </c>
      <c r="AK274" s="1"/>
      <c r="AL274" s="71">
        <f>AI274-H274</f>
        <v>-6.3349164962365485</v>
      </c>
      <c r="AM274" s="71">
        <f>AJ274-I274</f>
        <v>-8.0995177355387415</v>
      </c>
    </row>
    <row r="275" spans="1:39">
      <c r="A275" s="35" t="s">
        <v>276</v>
      </c>
      <c r="B275" s="36">
        <v>122552836</v>
      </c>
      <c r="C275" s="36">
        <v>5479213</v>
      </c>
      <c r="D275" s="36">
        <v>3774488</v>
      </c>
      <c r="E275" s="36"/>
      <c r="F275" s="36"/>
      <c r="G275" s="36"/>
      <c r="H275" s="31">
        <v>46.1</v>
      </c>
      <c r="I275" s="31">
        <v>31.8</v>
      </c>
      <c r="J275" s="14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1"/>
      <c r="AA275" s="69"/>
      <c r="AB275" s="69"/>
      <c r="AC275" s="69"/>
      <c r="AD275" s="1"/>
      <c r="AE275" s="69"/>
      <c r="AF275" s="69"/>
      <c r="AG275" s="69"/>
      <c r="AH275" s="1"/>
      <c r="AI275" s="71">
        <f>C275/B275*1000</f>
        <v>44.708985763495512</v>
      </c>
      <c r="AJ275" s="71">
        <f>D275/B275*1000</f>
        <v>30.798862949201762</v>
      </c>
      <c r="AK275" s="1"/>
      <c r="AL275" s="71">
        <f>AI275-H275</f>
        <v>-1.3910142365044891</v>
      </c>
      <c r="AM275" s="71">
        <f>AJ275-I275</f>
        <v>-1.0011370507982384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Oboguev, Sergey</cp:lastModifiedBy>
  <dcterms:created xsi:type="dcterms:W3CDTF">2026-06-24T07:16:03Z</dcterms:created>
  <dcterms:modified xsi:type="dcterms:W3CDTF">2026-06-28T01:07:29Z</dcterms:modified>
</cp:coreProperties>
</file>