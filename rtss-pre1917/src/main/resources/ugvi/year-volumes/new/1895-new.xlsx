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github\RTSS\rtss-pre1917\src\main\resources\ugvi\year-volumes\new\"/>
    </mc:Choice>
  </mc:AlternateContent>
  <xr:revisionPtr revIDLastSave="0" documentId="13_ncr:1_{55D53C53-C6AE-4595-8644-9359ACAE83C3}" xr6:coauthVersionLast="47" xr6:coauthVersionMax="47" xr10:uidLastSave="{00000000-0000-0000-0000-000000000000}"/>
  <bookViews>
    <workbookView xWindow="57480" yWindow="-120" windowWidth="51840" windowHeight="21120" xr2:uid="{00000000-000D-0000-FFFF-FFFF00000000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1" l="1"/>
  <c r="C5" i="1"/>
  <c r="AC8" i="1"/>
  <c r="AB8" i="1"/>
  <c r="AA8" i="1"/>
  <c r="B5" i="1"/>
  <c r="D8" i="1"/>
  <c r="C8" i="1"/>
  <c r="B8" i="1"/>
  <c r="AJ281" i="1"/>
  <c r="AM281" i="1" s="1"/>
  <c r="AI281" i="1"/>
  <c r="AL281" i="1" s="1"/>
  <c r="AJ280" i="1"/>
  <c r="AM280" i="1" s="1"/>
  <c r="AI280" i="1"/>
  <c r="AL280" i="1" s="1"/>
  <c r="AJ252" i="1"/>
  <c r="AM252" i="1" s="1"/>
  <c r="AI252" i="1"/>
  <c r="AL252" i="1" s="1"/>
  <c r="AJ226" i="1"/>
  <c r="AM226" i="1" s="1"/>
  <c r="AI226" i="1"/>
  <c r="AL226" i="1" s="1"/>
  <c r="AJ194" i="1"/>
  <c r="AM194" i="1" s="1"/>
  <c r="AI194" i="1"/>
  <c r="AL194" i="1" s="1"/>
  <c r="AJ190" i="1"/>
  <c r="AM190" i="1" s="1"/>
  <c r="AI190" i="1"/>
  <c r="AL190" i="1" s="1"/>
  <c r="AJ83" i="1"/>
  <c r="AM83" i="1" s="1"/>
  <c r="AI83" i="1"/>
  <c r="AL83" i="1" s="1"/>
  <c r="AJ73" i="1"/>
  <c r="AM73" i="1" s="1"/>
  <c r="AI73" i="1"/>
  <c r="AL73" i="1" s="1"/>
  <c r="AJ41" i="1"/>
  <c r="AM41" i="1" s="1"/>
  <c r="AI41" i="1"/>
  <c r="AL41" i="1" s="1"/>
  <c r="AJ227" i="1"/>
  <c r="AM227" i="1" s="1"/>
  <c r="AI227" i="1"/>
  <c r="AL227" i="1" s="1"/>
  <c r="AC227" i="1"/>
  <c r="AB227" i="1"/>
  <c r="AA227" i="1"/>
  <c r="AJ201" i="1"/>
  <c r="AI201" i="1"/>
  <c r="AC201" i="1"/>
  <c r="AB201" i="1"/>
  <c r="AA201" i="1"/>
  <c r="AJ182" i="1"/>
  <c r="AI182" i="1"/>
  <c r="AJ183" i="1"/>
  <c r="AM183" i="1" s="1"/>
  <c r="AI183" i="1"/>
  <c r="AL183" i="1" s="1"/>
  <c r="AC183" i="1"/>
  <c r="AB183" i="1"/>
  <c r="AA183" i="1"/>
  <c r="AC182" i="1"/>
  <c r="AB182" i="1"/>
  <c r="AA182" i="1"/>
  <c r="AJ148" i="1"/>
  <c r="AM148" i="1" s="1"/>
  <c r="AI148" i="1"/>
  <c r="AL148" i="1" s="1"/>
  <c r="AC148" i="1"/>
  <c r="AB148" i="1"/>
  <c r="AA148" i="1"/>
  <c r="AJ117" i="1"/>
  <c r="AM117" i="1" s="1"/>
  <c r="AI117" i="1"/>
  <c r="AL117" i="1" s="1"/>
  <c r="AC117" i="1"/>
  <c r="AB117" i="1"/>
  <c r="AA117" i="1"/>
  <c r="AJ42" i="1"/>
  <c r="AM42" i="1" s="1"/>
  <c r="AI42" i="1"/>
  <c r="AL42" i="1" s="1"/>
  <c r="AC42" i="1"/>
  <c r="AB42" i="1"/>
  <c r="AA42" i="1"/>
  <c r="AJ277" i="1"/>
  <c r="AM277" i="1" s="1"/>
  <c r="AI277" i="1"/>
  <c r="AL277" i="1" s="1"/>
  <c r="AC277" i="1"/>
  <c r="AG277" i="1" s="1"/>
  <c r="AB277" i="1"/>
  <c r="AF277" i="1" s="1"/>
  <c r="AA277" i="1"/>
  <c r="AE277" i="1" s="1"/>
  <c r="AJ274" i="1"/>
  <c r="AI274" i="1"/>
  <c r="AC274" i="1"/>
  <c r="AG274" i="1" s="1"/>
  <c r="AB274" i="1"/>
  <c r="AF274" i="1" s="1"/>
  <c r="AA274" i="1"/>
  <c r="AE274" i="1" s="1"/>
  <c r="AJ271" i="1"/>
  <c r="AI271" i="1"/>
  <c r="AC271" i="1"/>
  <c r="AG271" i="1" s="1"/>
  <c r="AB271" i="1"/>
  <c r="AF271" i="1" s="1"/>
  <c r="AA271" i="1"/>
  <c r="AE271" i="1" s="1"/>
  <c r="AJ268" i="1"/>
  <c r="AM268" i="1" s="1"/>
  <c r="AI268" i="1"/>
  <c r="AL268" i="1" s="1"/>
  <c r="AC268" i="1"/>
  <c r="AG268" i="1" s="1"/>
  <c r="AB268" i="1"/>
  <c r="AF268" i="1" s="1"/>
  <c r="AA268" i="1"/>
  <c r="AE268" i="1" s="1"/>
  <c r="AJ265" i="1"/>
  <c r="AI265" i="1"/>
  <c r="AC265" i="1"/>
  <c r="AG265" i="1" s="1"/>
  <c r="AB265" i="1"/>
  <c r="AF265" i="1" s="1"/>
  <c r="AA265" i="1"/>
  <c r="AE265" i="1" s="1"/>
  <c r="AJ262" i="1"/>
  <c r="AI262" i="1"/>
  <c r="AC262" i="1"/>
  <c r="AG262" i="1" s="1"/>
  <c r="AB262" i="1"/>
  <c r="AF262" i="1" s="1"/>
  <c r="AA262" i="1"/>
  <c r="AE262" i="1" s="1"/>
  <c r="AJ259" i="1"/>
  <c r="AI259" i="1"/>
  <c r="AC259" i="1"/>
  <c r="AG259" i="1" s="1"/>
  <c r="AB259" i="1"/>
  <c r="AF259" i="1" s="1"/>
  <c r="AA259" i="1"/>
  <c r="AE259" i="1" s="1"/>
  <c r="AJ256" i="1"/>
  <c r="AI256" i="1"/>
  <c r="AC256" i="1"/>
  <c r="AG256" i="1" s="1"/>
  <c r="AB256" i="1"/>
  <c r="AF256" i="1" s="1"/>
  <c r="AJ253" i="1"/>
  <c r="AI253" i="1"/>
  <c r="AC253" i="1"/>
  <c r="AB253" i="1"/>
  <c r="AF253" i="1" s="1"/>
  <c r="AA253" i="1"/>
  <c r="AE253" i="1" s="1"/>
  <c r="AJ249" i="1"/>
  <c r="AI249" i="1"/>
  <c r="AC249" i="1"/>
  <c r="AG249" i="1" s="1"/>
  <c r="AB249" i="1"/>
  <c r="AF249" i="1" s="1"/>
  <c r="AA249" i="1"/>
  <c r="AE249" i="1" s="1"/>
  <c r="AJ246" i="1"/>
  <c r="AM246" i="1" s="1"/>
  <c r="AI246" i="1"/>
  <c r="AL246" i="1" s="1"/>
  <c r="AC246" i="1"/>
  <c r="AG246" i="1" s="1"/>
  <c r="AB246" i="1"/>
  <c r="AF246" i="1" s="1"/>
  <c r="AA246" i="1"/>
  <c r="AE246" i="1" s="1"/>
  <c r="AJ243" i="1"/>
  <c r="AM243" i="1" s="1"/>
  <c r="AI243" i="1"/>
  <c r="AL243" i="1" s="1"/>
  <c r="AC243" i="1"/>
  <c r="AG243" i="1" s="1"/>
  <c r="AB243" i="1"/>
  <c r="AF243" i="1" s="1"/>
  <c r="AA243" i="1"/>
  <c r="AE243" i="1" s="1"/>
  <c r="AJ240" i="1"/>
  <c r="AM240" i="1" s="1"/>
  <c r="AI240" i="1"/>
  <c r="AL240" i="1" s="1"/>
  <c r="AC240" i="1"/>
  <c r="AG240" i="1" s="1"/>
  <c r="AB240" i="1"/>
  <c r="AF240" i="1" s="1"/>
  <c r="AA240" i="1"/>
  <c r="AE240" i="1" s="1"/>
  <c r="AJ237" i="1"/>
  <c r="AI237" i="1"/>
  <c r="AC237" i="1"/>
  <c r="AG237" i="1" s="1"/>
  <c r="AB237" i="1"/>
  <c r="AF237" i="1" s="1"/>
  <c r="AA237" i="1"/>
  <c r="AE237" i="1" s="1"/>
  <c r="AJ234" i="1"/>
  <c r="AM234" i="1" s="1"/>
  <c r="AI234" i="1"/>
  <c r="AL234" i="1" s="1"/>
  <c r="AC234" i="1"/>
  <c r="AG234" i="1" s="1"/>
  <c r="AB234" i="1"/>
  <c r="AF234" i="1" s="1"/>
  <c r="AA234" i="1"/>
  <c r="AE234" i="1" s="1"/>
  <c r="AJ231" i="1"/>
  <c r="AM231" i="1" s="1"/>
  <c r="AI231" i="1"/>
  <c r="AL231" i="1" s="1"/>
  <c r="AJ228" i="1"/>
  <c r="AM228" i="1" s="1"/>
  <c r="AI228" i="1"/>
  <c r="AL228" i="1" s="1"/>
  <c r="AC228" i="1"/>
  <c r="AG228" i="1" s="1"/>
  <c r="AB228" i="1"/>
  <c r="AF228" i="1" s="1"/>
  <c r="AA228" i="1"/>
  <c r="AE228" i="1" s="1"/>
  <c r="AJ223" i="1"/>
  <c r="AM223" i="1" s="1"/>
  <c r="AI223" i="1"/>
  <c r="AL223" i="1" s="1"/>
  <c r="AC223" i="1"/>
  <c r="AG223" i="1" s="1"/>
  <c r="AB223" i="1"/>
  <c r="AF223" i="1" s="1"/>
  <c r="AA223" i="1"/>
  <c r="AE223" i="1" s="1"/>
  <c r="AJ220" i="1"/>
  <c r="AM220" i="1" s="1"/>
  <c r="AI220" i="1"/>
  <c r="AL220" i="1" s="1"/>
  <c r="AC220" i="1"/>
  <c r="AG220" i="1" s="1"/>
  <c r="AB220" i="1"/>
  <c r="AF220" i="1" s="1"/>
  <c r="AA220" i="1"/>
  <c r="AE220" i="1" s="1"/>
  <c r="AJ217" i="1"/>
  <c r="AM217" i="1" s="1"/>
  <c r="AI217" i="1"/>
  <c r="AL217" i="1" s="1"/>
  <c r="AC217" i="1"/>
  <c r="AG217" i="1" s="1"/>
  <c r="AB217" i="1"/>
  <c r="AF217" i="1" s="1"/>
  <c r="AA217" i="1"/>
  <c r="AE217" i="1" s="1"/>
  <c r="AJ214" i="1"/>
  <c r="AM214" i="1" s="1"/>
  <c r="AI214" i="1"/>
  <c r="AL214" i="1" s="1"/>
  <c r="AC214" i="1"/>
  <c r="AG214" i="1" s="1"/>
  <c r="AB214" i="1"/>
  <c r="AF214" i="1" s="1"/>
  <c r="AA214" i="1"/>
  <c r="AE214" i="1" s="1"/>
  <c r="AJ211" i="1"/>
  <c r="AM211" i="1" s="1"/>
  <c r="AI211" i="1"/>
  <c r="AL211" i="1" s="1"/>
  <c r="AC211" i="1"/>
  <c r="AG211" i="1" s="1"/>
  <c r="AB211" i="1"/>
  <c r="AF211" i="1" s="1"/>
  <c r="AA211" i="1"/>
  <c r="AE211" i="1" s="1"/>
  <c r="AJ208" i="1"/>
  <c r="AM208" i="1" s="1"/>
  <c r="AI208" i="1"/>
  <c r="AL208" i="1" s="1"/>
  <c r="AC208" i="1"/>
  <c r="AG208" i="1" s="1"/>
  <c r="AB208" i="1"/>
  <c r="AF208" i="1" s="1"/>
  <c r="AA208" i="1"/>
  <c r="AE208" i="1" s="1"/>
  <c r="AJ205" i="1"/>
  <c r="AI205" i="1"/>
  <c r="AC205" i="1"/>
  <c r="AG205" i="1" s="1"/>
  <c r="AB205" i="1"/>
  <c r="AF205" i="1" s="1"/>
  <c r="AA205" i="1"/>
  <c r="AE205" i="1" s="1"/>
  <c r="AJ202" i="1"/>
  <c r="AM202" i="1" s="1"/>
  <c r="AI202" i="1"/>
  <c r="AL202" i="1" s="1"/>
  <c r="AC202" i="1"/>
  <c r="AG202" i="1" s="1"/>
  <c r="AB202" i="1"/>
  <c r="AF202" i="1" s="1"/>
  <c r="AA202" i="1"/>
  <c r="AE202" i="1" s="1"/>
  <c r="AJ198" i="1"/>
  <c r="AI198" i="1"/>
  <c r="AC198" i="1"/>
  <c r="AG198" i="1" s="1"/>
  <c r="AB198" i="1"/>
  <c r="AF198" i="1" s="1"/>
  <c r="AA198" i="1"/>
  <c r="AE198" i="1" s="1"/>
  <c r="AJ195" i="1"/>
  <c r="AM195" i="1" s="1"/>
  <c r="AI195" i="1"/>
  <c r="AL195" i="1" s="1"/>
  <c r="AC195" i="1"/>
  <c r="AG195" i="1" s="1"/>
  <c r="AB195" i="1"/>
  <c r="AA195" i="1"/>
  <c r="AE195" i="1" s="1"/>
  <c r="AJ191" i="1"/>
  <c r="AM191" i="1" s="1"/>
  <c r="AI191" i="1"/>
  <c r="AL191" i="1" s="1"/>
  <c r="AC191" i="1"/>
  <c r="AG191" i="1" s="1"/>
  <c r="AB191" i="1"/>
  <c r="AF191" i="1" s="1"/>
  <c r="AA191" i="1"/>
  <c r="AE191" i="1" s="1"/>
  <c r="AJ187" i="1"/>
  <c r="AM187" i="1" s="1"/>
  <c r="AI187" i="1"/>
  <c r="AL187" i="1" s="1"/>
  <c r="AC187" i="1"/>
  <c r="AG187" i="1" s="1"/>
  <c r="AB187" i="1"/>
  <c r="AF187" i="1" s="1"/>
  <c r="AA187" i="1"/>
  <c r="AE187" i="1" s="1"/>
  <c r="AJ184" i="1"/>
  <c r="AM184" i="1" s="1"/>
  <c r="AI184" i="1"/>
  <c r="AL184" i="1" s="1"/>
  <c r="AC184" i="1"/>
  <c r="AG184" i="1" s="1"/>
  <c r="AB184" i="1"/>
  <c r="AF184" i="1" s="1"/>
  <c r="AA184" i="1"/>
  <c r="AE184" i="1" s="1"/>
  <c r="AJ179" i="1"/>
  <c r="AM179" i="1" s="1"/>
  <c r="AI179" i="1"/>
  <c r="AL179" i="1" s="1"/>
  <c r="AC179" i="1"/>
  <c r="AG179" i="1" s="1"/>
  <c r="AB179" i="1"/>
  <c r="AF179" i="1" s="1"/>
  <c r="AA179" i="1"/>
  <c r="AE179" i="1" s="1"/>
  <c r="AJ176" i="1"/>
  <c r="AM176" i="1" s="1"/>
  <c r="AI176" i="1"/>
  <c r="AL176" i="1" s="1"/>
  <c r="AC176" i="1"/>
  <c r="AG176" i="1" s="1"/>
  <c r="AB176" i="1"/>
  <c r="AF176" i="1" s="1"/>
  <c r="AA176" i="1"/>
  <c r="AE176" i="1" s="1"/>
  <c r="AJ173" i="1"/>
  <c r="AM173" i="1" s="1"/>
  <c r="AI173" i="1"/>
  <c r="AL173" i="1" s="1"/>
  <c r="AC173" i="1"/>
  <c r="AG173" i="1" s="1"/>
  <c r="AB173" i="1"/>
  <c r="AF173" i="1" s="1"/>
  <c r="AA173" i="1"/>
  <c r="AE173" i="1" s="1"/>
  <c r="AJ170" i="1"/>
  <c r="AM170" i="1" s="1"/>
  <c r="AI170" i="1"/>
  <c r="AL170" i="1" s="1"/>
  <c r="AC170" i="1"/>
  <c r="AG170" i="1" s="1"/>
  <c r="AB170" i="1"/>
  <c r="AF170" i="1" s="1"/>
  <c r="AA170" i="1"/>
  <c r="AE170" i="1" s="1"/>
  <c r="AJ167" i="1"/>
  <c r="AM167" i="1" s="1"/>
  <c r="AI167" i="1"/>
  <c r="AL167" i="1" s="1"/>
  <c r="AC167" i="1"/>
  <c r="AG167" i="1" s="1"/>
  <c r="AB167" i="1"/>
  <c r="AF167" i="1" s="1"/>
  <c r="AA167" i="1"/>
  <c r="AE167" i="1" s="1"/>
  <c r="AJ164" i="1"/>
  <c r="AM164" i="1" s="1"/>
  <c r="AI164" i="1"/>
  <c r="AL164" i="1" s="1"/>
  <c r="AC164" i="1"/>
  <c r="AG164" i="1" s="1"/>
  <c r="AB164" i="1"/>
  <c r="AF164" i="1" s="1"/>
  <c r="AA164" i="1"/>
  <c r="AE164" i="1" s="1"/>
  <c r="AJ161" i="1"/>
  <c r="AM161" i="1" s="1"/>
  <c r="AI161" i="1"/>
  <c r="AL161" i="1" s="1"/>
  <c r="AC161" i="1"/>
  <c r="AG161" i="1" s="1"/>
  <c r="AB161" i="1"/>
  <c r="AF161" i="1" s="1"/>
  <c r="AA161" i="1"/>
  <c r="AE161" i="1" s="1"/>
  <c r="AJ158" i="1"/>
  <c r="AM158" i="1" s="1"/>
  <c r="AI158" i="1"/>
  <c r="AL158" i="1" s="1"/>
  <c r="AC158" i="1"/>
  <c r="AG158" i="1" s="1"/>
  <c r="AB158" i="1"/>
  <c r="AF158" i="1" s="1"/>
  <c r="AA158" i="1"/>
  <c r="AE158" i="1" s="1"/>
  <c r="AJ155" i="1"/>
  <c r="AM155" i="1" s="1"/>
  <c r="AI155" i="1"/>
  <c r="AL155" i="1" s="1"/>
  <c r="AC155" i="1"/>
  <c r="AG155" i="1" s="1"/>
  <c r="AB155" i="1"/>
  <c r="AF155" i="1" s="1"/>
  <c r="AA155" i="1"/>
  <c r="AE155" i="1" s="1"/>
  <c r="AJ152" i="1"/>
  <c r="AM152" i="1" s="1"/>
  <c r="AI152" i="1"/>
  <c r="AL152" i="1" s="1"/>
  <c r="AC152" i="1"/>
  <c r="AG152" i="1" s="1"/>
  <c r="AB152" i="1"/>
  <c r="AF152" i="1" s="1"/>
  <c r="AA152" i="1"/>
  <c r="AE152" i="1" s="1"/>
  <c r="AJ149" i="1"/>
  <c r="AM149" i="1" s="1"/>
  <c r="AI149" i="1"/>
  <c r="AL149" i="1" s="1"/>
  <c r="AC149" i="1"/>
  <c r="AG149" i="1" s="1"/>
  <c r="AB149" i="1"/>
  <c r="AF149" i="1" s="1"/>
  <c r="AA149" i="1"/>
  <c r="AE149" i="1" s="1"/>
  <c r="AJ145" i="1"/>
  <c r="AM145" i="1" s="1"/>
  <c r="AI145" i="1"/>
  <c r="AL145" i="1" s="1"/>
  <c r="AC145" i="1"/>
  <c r="AG145" i="1" s="1"/>
  <c r="AB145" i="1"/>
  <c r="AF145" i="1" s="1"/>
  <c r="AA145" i="1"/>
  <c r="AE145" i="1" s="1"/>
  <c r="AJ142" i="1"/>
  <c r="AM142" i="1" s="1"/>
  <c r="AI142" i="1"/>
  <c r="AL142" i="1" s="1"/>
  <c r="AC142" i="1"/>
  <c r="AG142" i="1" s="1"/>
  <c r="AB142" i="1"/>
  <c r="AF142" i="1" s="1"/>
  <c r="AA142" i="1"/>
  <c r="AE142" i="1" s="1"/>
  <c r="AJ139" i="1"/>
  <c r="AM139" i="1" s="1"/>
  <c r="AI139" i="1"/>
  <c r="AL139" i="1" s="1"/>
  <c r="AC139" i="1"/>
  <c r="AG139" i="1" s="1"/>
  <c r="AB139" i="1"/>
  <c r="AF139" i="1" s="1"/>
  <c r="AA139" i="1"/>
  <c r="AE139" i="1" s="1"/>
  <c r="AJ136" i="1"/>
  <c r="AM136" i="1" s="1"/>
  <c r="AI136" i="1"/>
  <c r="AL136" i="1" s="1"/>
  <c r="AC136" i="1"/>
  <c r="AG136" i="1" s="1"/>
  <c r="AB136" i="1"/>
  <c r="AF136" i="1" s="1"/>
  <c r="AA136" i="1"/>
  <c r="AE136" i="1" s="1"/>
  <c r="AJ133" i="1"/>
  <c r="AM133" i="1" s="1"/>
  <c r="AI133" i="1"/>
  <c r="AL133" i="1" s="1"/>
  <c r="AC133" i="1"/>
  <c r="AG133" i="1" s="1"/>
  <c r="AB133" i="1"/>
  <c r="AF133" i="1" s="1"/>
  <c r="AA133" i="1"/>
  <c r="AE133" i="1" s="1"/>
  <c r="AJ130" i="1"/>
  <c r="AM130" i="1" s="1"/>
  <c r="AI130" i="1"/>
  <c r="AL130" i="1" s="1"/>
  <c r="AC130" i="1"/>
  <c r="AG130" i="1" s="1"/>
  <c r="AB130" i="1"/>
  <c r="AF130" i="1" s="1"/>
  <c r="AA130" i="1"/>
  <c r="AE130" i="1" s="1"/>
  <c r="AJ127" i="1"/>
  <c r="AM127" i="1" s="1"/>
  <c r="AI127" i="1"/>
  <c r="AL127" i="1" s="1"/>
  <c r="AC127" i="1"/>
  <c r="AG127" i="1" s="1"/>
  <c r="AB127" i="1"/>
  <c r="AF127" i="1" s="1"/>
  <c r="AA127" i="1"/>
  <c r="AE127" i="1" s="1"/>
  <c r="AJ124" i="1"/>
  <c r="AM124" i="1" s="1"/>
  <c r="AI124" i="1"/>
  <c r="AL124" i="1" s="1"/>
  <c r="AC124" i="1"/>
  <c r="AG124" i="1" s="1"/>
  <c r="AB124" i="1"/>
  <c r="AF124" i="1" s="1"/>
  <c r="AA124" i="1"/>
  <c r="AE124" i="1" s="1"/>
  <c r="AJ121" i="1"/>
  <c r="AM121" i="1" s="1"/>
  <c r="AI121" i="1"/>
  <c r="AL121" i="1" s="1"/>
  <c r="AC121" i="1"/>
  <c r="AG121" i="1" s="1"/>
  <c r="AB121" i="1"/>
  <c r="AF121" i="1" s="1"/>
  <c r="AA121" i="1"/>
  <c r="AE121" i="1" s="1"/>
  <c r="AJ118" i="1"/>
  <c r="AM118" i="1" s="1"/>
  <c r="AI118" i="1"/>
  <c r="AL118" i="1" s="1"/>
  <c r="AC118" i="1"/>
  <c r="AG118" i="1" s="1"/>
  <c r="AB118" i="1"/>
  <c r="AF118" i="1" s="1"/>
  <c r="AA118" i="1"/>
  <c r="AE118" i="1" s="1"/>
  <c r="AJ114" i="1"/>
  <c r="AM114" i="1" s="1"/>
  <c r="AI114" i="1"/>
  <c r="AL114" i="1" s="1"/>
  <c r="AC114" i="1"/>
  <c r="AG114" i="1" s="1"/>
  <c r="AB114" i="1"/>
  <c r="AF114" i="1" s="1"/>
  <c r="AA114" i="1"/>
  <c r="AE114" i="1" s="1"/>
  <c r="AJ111" i="1"/>
  <c r="AM111" i="1" s="1"/>
  <c r="AI111" i="1"/>
  <c r="AL111" i="1" s="1"/>
  <c r="AC111" i="1"/>
  <c r="AG111" i="1" s="1"/>
  <c r="AB111" i="1"/>
  <c r="AF111" i="1" s="1"/>
  <c r="AA111" i="1"/>
  <c r="AE111" i="1" s="1"/>
  <c r="AJ108" i="1"/>
  <c r="AM108" i="1" s="1"/>
  <c r="AI108" i="1"/>
  <c r="AL108" i="1" s="1"/>
  <c r="AC108" i="1"/>
  <c r="AG108" i="1" s="1"/>
  <c r="AB108" i="1"/>
  <c r="AF108" i="1" s="1"/>
  <c r="AA108" i="1"/>
  <c r="AE108" i="1" s="1"/>
  <c r="AJ105" i="1"/>
  <c r="AM105" i="1" s="1"/>
  <c r="AI105" i="1"/>
  <c r="AL105" i="1" s="1"/>
  <c r="AC105" i="1"/>
  <c r="AG105" i="1" s="1"/>
  <c r="AB105" i="1"/>
  <c r="AF105" i="1" s="1"/>
  <c r="AA105" i="1"/>
  <c r="AE105" i="1" s="1"/>
  <c r="AL102" i="1"/>
  <c r="AJ102" i="1"/>
  <c r="AM102" i="1" s="1"/>
  <c r="AI102" i="1"/>
  <c r="AC102" i="1"/>
  <c r="AG102" i="1" s="1"/>
  <c r="AB102" i="1"/>
  <c r="AF102" i="1" s="1"/>
  <c r="AA102" i="1"/>
  <c r="AE102" i="1" s="1"/>
  <c r="AJ99" i="1"/>
  <c r="AM99" i="1" s="1"/>
  <c r="AI99" i="1"/>
  <c r="AL99" i="1" s="1"/>
  <c r="AC99" i="1"/>
  <c r="AG99" i="1" s="1"/>
  <c r="AB99" i="1"/>
  <c r="AF99" i="1" s="1"/>
  <c r="AA99" i="1"/>
  <c r="AE99" i="1" s="1"/>
  <c r="AJ96" i="1"/>
  <c r="AM96" i="1" s="1"/>
  <c r="AI96" i="1"/>
  <c r="AL96" i="1" s="1"/>
  <c r="AC96" i="1"/>
  <c r="AG96" i="1" s="1"/>
  <c r="AB96" i="1"/>
  <c r="AF96" i="1" s="1"/>
  <c r="AA96" i="1"/>
  <c r="AE96" i="1" s="1"/>
  <c r="AJ93" i="1"/>
  <c r="AM93" i="1" s="1"/>
  <c r="AI93" i="1"/>
  <c r="AL93" i="1" s="1"/>
  <c r="AC93" i="1"/>
  <c r="AB93" i="1"/>
  <c r="AF93" i="1" s="1"/>
  <c r="AA93" i="1"/>
  <c r="AE93" i="1" s="1"/>
  <c r="AJ90" i="1"/>
  <c r="AM90" i="1" s="1"/>
  <c r="AI90" i="1"/>
  <c r="AL90" i="1" s="1"/>
  <c r="AC90" i="1"/>
  <c r="AG90" i="1" s="1"/>
  <c r="AB90" i="1"/>
  <c r="AF90" i="1" s="1"/>
  <c r="AA90" i="1"/>
  <c r="AE90" i="1" s="1"/>
  <c r="AL87" i="1"/>
  <c r="AJ87" i="1"/>
  <c r="AM87" i="1" s="1"/>
  <c r="AI87" i="1"/>
  <c r="AC87" i="1"/>
  <c r="AG87" i="1" s="1"/>
  <c r="AB87" i="1"/>
  <c r="AF87" i="1" s="1"/>
  <c r="AA87" i="1"/>
  <c r="AE87" i="1" s="1"/>
  <c r="AJ84" i="1"/>
  <c r="AM84" i="1" s="1"/>
  <c r="AI84" i="1"/>
  <c r="AL84" i="1" s="1"/>
  <c r="AC84" i="1"/>
  <c r="AG84" i="1" s="1"/>
  <c r="AB84" i="1"/>
  <c r="AF84" i="1" s="1"/>
  <c r="AA84" i="1"/>
  <c r="AE84" i="1" s="1"/>
  <c r="AJ80" i="1"/>
  <c r="AM80" i="1" s="1"/>
  <c r="AI80" i="1"/>
  <c r="AL80" i="1" s="1"/>
  <c r="AC80" i="1"/>
  <c r="AG80" i="1" s="1"/>
  <c r="AB80" i="1"/>
  <c r="AF80" i="1" s="1"/>
  <c r="AA80" i="1"/>
  <c r="AE80" i="1" s="1"/>
  <c r="AJ77" i="1"/>
  <c r="AM77" i="1" s="1"/>
  <c r="AI77" i="1"/>
  <c r="AL77" i="1" s="1"/>
  <c r="AC77" i="1"/>
  <c r="AG77" i="1" s="1"/>
  <c r="AB77" i="1"/>
  <c r="AF77" i="1" s="1"/>
  <c r="AA77" i="1"/>
  <c r="AE77" i="1" s="1"/>
  <c r="AJ74" i="1"/>
  <c r="AM74" i="1" s="1"/>
  <c r="AI74" i="1"/>
  <c r="AL74" i="1" s="1"/>
  <c r="AC74" i="1"/>
  <c r="AG74" i="1" s="1"/>
  <c r="AB74" i="1"/>
  <c r="AA74" i="1"/>
  <c r="AE74" i="1" s="1"/>
  <c r="AJ70" i="1"/>
  <c r="AM70" i="1" s="1"/>
  <c r="AI70" i="1"/>
  <c r="AL70" i="1" s="1"/>
  <c r="AC70" i="1"/>
  <c r="AG70" i="1" s="1"/>
  <c r="AB70" i="1"/>
  <c r="AF70" i="1" s="1"/>
  <c r="AA70" i="1"/>
  <c r="AE70" i="1" s="1"/>
  <c r="AJ67" i="1"/>
  <c r="AM67" i="1" s="1"/>
  <c r="AI67" i="1"/>
  <c r="AL67" i="1" s="1"/>
  <c r="AC67" i="1"/>
  <c r="AG67" i="1" s="1"/>
  <c r="AB67" i="1"/>
  <c r="AF67" i="1" s="1"/>
  <c r="AA67" i="1"/>
  <c r="AE67" i="1" s="1"/>
  <c r="AJ64" i="1"/>
  <c r="AM64" i="1" s="1"/>
  <c r="AI64" i="1"/>
  <c r="AL64" i="1" s="1"/>
  <c r="AC64" i="1"/>
  <c r="AG64" i="1" s="1"/>
  <c r="AB64" i="1"/>
  <c r="AF64" i="1" s="1"/>
  <c r="AA64" i="1"/>
  <c r="AE64" i="1" s="1"/>
  <c r="AJ61" i="1"/>
  <c r="AM61" i="1" s="1"/>
  <c r="AI61" i="1"/>
  <c r="AL61" i="1" s="1"/>
  <c r="AC61" i="1"/>
  <c r="AG61" i="1" s="1"/>
  <c r="AB61" i="1"/>
  <c r="AF61" i="1" s="1"/>
  <c r="AA61" i="1"/>
  <c r="AE61" i="1" s="1"/>
  <c r="AJ58" i="1"/>
  <c r="AM58" i="1" s="1"/>
  <c r="AI58" i="1"/>
  <c r="AL58" i="1" s="1"/>
  <c r="AC58" i="1"/>
  <c r="AG58" i="1" s="1"/>
  <c r="AB58" i="1"/>
  <c r="AF58" i="1" s="1"/>
  <c r="AA58" i="1"/>
  <c r="AE58" i="1" s="1"/>
  <c r="AJ55" i="1"/>
  <c r="AM55" i="1" s="1"/>
  <c r="AI55" i="1"/>
  <c r="AL55" i="1" s="1"/>
  <c r="AC55" i="1"/>
  <c r="AG55" i="1" s="1"/>
  <c r="AB55" i="1"/>
  <c r="AF55" i="1" s="1"/>
  <c r="AA55" i="1"/>
  <c r="AE55" i="1" s="1"/>
  <c r="AJ52" i="1"/>
  <c r="AM52" i="1" s="1"/>
  <c r="AI52" i="1"/>
  <c r="AL52" i="1" s="1"/>
  <c r="AC52" i="1"/>
  <c r="AG52" i="1" s="1"/>
  <c r="AB52" i="1"/>
  <c r="AF52" i="1" s="1"/>
  <c r="AA52" i="1"/>
  <c r="AE52" i="1" s="1"/>
  <c r="AJ49" i="1"/>
  <c r="AM49" i="1" s="1"/>
  <c r="AI49" i="1"/>
  <c r="AL49" i="1" s="1"/>
  <c r="AC49" i="1"/>
  <c r="AG49" i="1" s="1"/>
  <c r="AB49" i="1"/>
  <c r="AF49" i="1" s="1"/>
  <c r="AA49" i="1"/>
  <c r="AE49" i="1" s="1"/>
  <c r="AJ46" i="1"/>
  <c r="AM46" i="1" s="1"/>
  <c r="AI46" i="1"/>
  <c r="AL46" i="1" s="1"/>
  <c r="AC46" i="1"/>
  <c r="AG46" i="1" s="1"/>
  <c r="AB46" i="1"/>
  <c r="AF46" i="1" s="1"/>
  <c r="AA46" i="1"/>
  <c r="AE46" i="1" s="1"/>
  <c r="AJ43" i="1"/>
  <c r="AM43" i="1" s="1"/>
  <c r="AI43" i="1"/>
  <c r="AL43" i="1" s="1"/>
  <c r="AC43" i="1"/>
  <c r="AG43" i="1" s="1"/>
  <c r="AB43" i="1"/>
  <c r="AF43" i="1" s="1"/>
  <c r="AA43" i="1"/>
  <c r="AE43" i="1" s="1"/>
  <c r="AJ38" i="1"/>
  <c r="AM38" i="1" s="1"/>
  <c r="AI38" i="1"/>
  <c r="AL38" i="1" s="1"/>
  <c r="AF38" i="1"/>
  <c r="AC38" i="1"/>
  <c r="AG38" i="1" s="1"/>
  <c r="AB38" i="1"/>
  <c r="AA38" i="1"/>
  <c r="AE38" i="1" s="1"/>
  <c r="AJ35" i="1"/>
  <c r="AM35" i="1" s="1"/>
  <c r="AI35" i="1"/>
  <c r="AL35" i="1" s="1"/>
  <c r="AC35" i="1"/>
  <c r="AG35" i="1" s="1"/>
  <c r="AB35" i="1"/>
  <c r="AF35" i="1" s="1"/>
  <c r="AA35" i="1"/>
  <c r="AE35" i="1" s="1"/>
  <c r="AJ32" i="1"/>
  <c r="AM32" i="1" s="1"/>
  <c r="AI32" i="1"/>
  <c r="AL32" i="1" s="1"/>
  <c r="AC32" i="1"/>
  <c r="AG32" i="1" s="1"/>
  <c r="AB32" i="1"/>
  <c r="AF32" i="1" s="1"/>
  <c r="AA32" i="1"/>
  <c r="AE32" i="1" s="1"/>
  <c r="AJ29" i="1"/>
  <c r="AM29" i="1" s="1"/>
  <c r="AI29" i="1"/>
  <c r="AL29" i="1" s="1"/>
  <c r="AC29" i="1"/>
  <c r="AG29" i="1" s="1"/>
  <c r="AB29" i="1"/>
  <c r="AF29" i="1" s="1"/>
  <c r="AA29" i="1"/>
  <c r="AE29" i="1" s="1"/>
  <c r="AJ26" i="1"/>
  <c r="AM26" i="1" s="1"/>
  <c r="AI26" i="1"/>
  <c r="AL26" i="1" s="1"/>
  <c r="AC26" i="1"/>
  <c r="AG26" i="1" s="1"/>
  <c r="AB26" i="1"/>
  <c r="AF26" i="1" s="1"/>
  <c r="AA26" i="1"/>
  <c r="AE26" i="1" s="1"/>
  <c r="AJ23" i="1"/>
  <c r="AM23" i="1" s="1"/>
  <c r="AI23" i="1"/>
  <c r="AL23" i="1" s="1"/>
  <c r="AC23" i="1"/>
  <c r="AG23" i="1" s="1"/>
  <c r="AB23" i="1"/>
  <c r="AF23" i="1" s="1"/>
  <c r="AA23" i="1"/>
  <c r="AJ20" i="1"/>
  <c r="AM20" i="1" s="1"/>
  <c r="AI20" i="1"/>
  <c r="AL20" i="1" s="1"/>
  <c r="AC20" i="1"/>
  <c r="AG20" i="1" s="1"/>
  <c r="AB20" i="1"/>
  <c r="AF20" i="1" s="1"/>
  <c r="AA20" i="1"/>
  <c r="AE20" i="1" s="1"/>
  <c r="AJ17" i="1"/>
  <c r="AM17" i="1" s="1"/>
  <c r="AI17" i="1"/>
  <c r="AL17" i="1" s="1"/>
  <c r="AC17" i="1"/>
  <c r="AG17" i="1" s="1"/>
  <c r="AB17" i="1"/>
  <c r="AF17" i="1" s="1"/>
  <c r="AA17" i="1"/>
  <c r="AE17" i="1" s="1"/>
  <c r="AJ14" i="1"/>
  <c r="AM14" i="1" s="1"/>
  <c r="AI14" i="1"/>
  <c r="AL14" i="1" s="1"/>
  <c r="AC14" i="1"/>
  <c r="AG14" i="1" s="1"/>
  <c r="AB14" i="1"/>
  <c r="AF14" i="1" s="1"/>
  <c r="AA14" i="1"/>
  <c r="AE14" i="1" s="1"/>
  <c r="AJ11" i="1"/>
  <c r="AM11" i="1" s="1"/>
  <c r="AI11" i="1"/>
  <c r="AL11" i="1" s="1"/>
  <c r="AC11" i="1"/>
  <c r="AG11" i="1" s="1"/>
  <c r="AB11" i="1"/>
  <c r="AF11" i="1" s="1"/>
  <c r="AA11" i="1"/>
  <c r="AE11" i="1" s="1"/>
  <c r="AJ5" i="1"/>
  <c r="AM5" i="1" s="1"/>
  <c r="AI5" i="1"/>
  <c r="AL5" i="1" s="1"/>
  <c r="AC5" i="1"/>
  <c r="AG5" i="1" s="1"/>
  <c r="AB5" i="1"/>
  <c r="AF5" i="1" s="1"/>
  <c r="AA5" i="1"/>
  <c r="AE5" i="1" s="1"/>
  <c r="AJ2" i="1"/>
  <c r="AM2" i="1" s="1"/>
  <c r="AI2" i="1"/>
  <c r="AL2" i="1" s="1"/>
  <c r="AC2" i="1"/>
  <c r="AB2" i="1"/>
  <c r="AA2" i="1"/>
  <c r="AE2" i="1" s="1"/>
  <c r="AB83" i="1" l="1"/>
  <c r="AF83" i="1" s="1"/>
  <c r="AC280" i="1"/>
  <c r="AG280" i="1" s="1"/>
  <c r="AB226" i="1"/>
  <c r="AF226" i="1" s="1"/>
  <c r="AG253" i="1"/>
  <c r="AA73" i="1"/>
  <c r="AE73" i="1" s="1"/>
  <c r="AC252" i="1"/>
  <c r="AG252" i="1" s="1"/>
  <c r="AC190" i="1"/>
  <c r="AG190" i="1" s="1"/>
  <c r="AF195" i="1"/>
  <c r="AC73" i="1"/>
  <c r="AG73" i="1" s="1"/>
  <c r="AB41" i="1"/>
  <c r="AF41" i="1" s="1"/>
  <c r="AC41" i="1"/>
  <c r="AG41" i="1" s="1"/>
  <c r="AA41" i="1"/>
  <c r="AE41" i="1" s="1"/>
  <c r="AG2" i="1"/>
  <c r="AB194" i="1"/>
  <c r="AE23" i="1"/>
  <c r="AB280" i="1"/>
  <c r="AF280" i="1" s="1"/>
  <c r="AB73" i="1"/>
  <c r="AF73" i="1" s="1"/>
  <c r="AC226" i="1"/>
  <c r="AG226" i="1" s="1"/>
  <c r="AB190" i="1"/>
  <c r="AF190" i="1" s="1"/>
  <c r="AF74" i="1"/>
  <c r="AA83" i="1"/>
  <c r="AE83" i="1" s="1"/>
  <c r="AF2" i="1"/>
  <c r="AC83" i="1"/>
  <c r="AG83" i="1" s="1"/>
  <c r="AA252" i="1"/>
  <c r="AE252" i="1" s="1"/>
  <c r="AB252" i="1"/>
  <c r="AF252" i="1" s="1"/>
  <c r="AG93" i="1"/>
  <c r="AA190" i="1"/>
  <c r="AE190" i="1" s="1"/>
  <c r="AA226" i="1"/>
  <c r="AE226" i="1" s="1"/>
  <c r="AA280" i="1"/>
  <c r="AE280" i="1" s="1"/>
  <c r="AC194" i="1" l="1"/>
  <c r="AB281" i="1"/>
  <c r="AF281" i="1" s="1"/>
  <c r="AF194" i="1"/>
  <c r="AA194" i="1"/>
  <c r="AE194" i="1" l="1"/>
  <c r="AA281" i="1"/>
  <c r="AE281" i="1" s="1"/>
  <c r="AC281" i="1"/>
  <c r="AG281" i="1" s="1"/>
  <c r="AG194" i="1"/>
</calcChain>
</file>

<file path=xl/sharedStrings.xml><?xml version="1.0" encoding="utf-8"?>
<sst xmlns="http://schemas.openxmlformats.org/spreadsheetml/2006/main" count="768" uniqueCount="301">
  <si>
    <t>губ</t>
  </si>
  <si>
    <t>чж NYY</t>
  </si>
  <si>
    <t>чр YY</t>
  </si>
  <si>
    <t>чу YY</t>
  </si>
  <si>
    <t>чж-гор NYY</t>
  </si>
  <si>
    <t>чр-гор YY</t>
  </si>
  <si>
    <t>чу-гор YY</t>
  </si>
  <si>
    <t>уезды</t>
  </si>
  <si>
    <t>Архангельская</t>
  </si>
  <si>
    <t>—</t>
  </si>
  <si>
    <t>[Архангельская род.]</t>
  </si>
  <si>
    <t>[Архангельская ум.]</t>
  </si>
  <si>
    <t>Виленская</t>
  </si>
  <si>
    <t>[Виленская род.]</t>
  </si>
  <si>
    <t>[Виленская ум.]</t>
  </si>
  <si>
    <t>Витебская</t>
  </si>
  <si>
    <t>[Витебская род.]</t>
  </si>
  <si>
    <t>[Витебская ум.]</t>
  </si>
  <si>
    <t>Волынская</t>
  </si>
  <si>
    <t>[Волынская род.]</t>
  </si>
  <si>
    <t>[Волынская ум.]</t>
  </si>
  <si>
    <t>Гродненская</t>
  </si>
  <si>
    <t>[Гродненская род.]</t>
  </si>
  <si>
    <t>[Гродненская ум.]</t>
  </si>
  <si>
    <t>Киевская</t>
  </si>
  <si>
    <t>[Киевская род.]</t>
  </si>
  <si>
    <t>[Киевская ум.]</t>
  </si>
  <si>
    <t>Ковенская</t>
  </si>
  <si>
    <t>[Ковенская род.]</t>
  </si>
  <si>
    <t>[Ковенская ум.]</t>
  </si>
  <si>
    <t>Минская</t>
  </si>
  <si>
    <t>[Минская род.]</t>
  </si>
  <si>
    <t>[Минская ум.]</t>
  </si>
  <si>
    <t>Могилевская</t>
  </si>
  <si>
    <t>[Могилевская род.]</t>
  </si>
  <si>
    <t>[Могилевская ум.]</t>
  </si>
  <si>
    <t>Оренбургская</t>
  </si>
  <si>
    <t>[Оренбургская род.]</t>
  </si>
  <si>
    <t>[Оренбургская ум.]</t>
  </si>
  <si>
    <t>Подольская</t>
  </si>
  <si>
    <t>[Подольская род.]</t>
  </si>
  <si>
    <t>[Подольская ум.]</t>
  </si>
  <si>
    <t>Итого в неземских губерниях</t>
  </si>
  <si>
    <t>Г. Варшава</t>
  </si>
  <si>
    <t>Варшавская</t>
  </si>
  <si>
    <t>[Варшавская род.]</t>
  </si>
  <si>
    <t>[Варшавская ум.]</t>
  </si>
  <si>
    <t>Калишская</t>
  </si>
  <si>
    <t>[Калишская род.]</t>
  </si>
  <si>
    <t>[Калишская ум.]</t>
  </si>
  <si>
    <t>Келецкая</t>
  </si>
  <si>
    <t>[Келецкая род.]</t>
  </si>
  <si>
    <t>[Келецкая ум.]</t>
  </si>
  <si>
    <t>Ломжинская</t>
  </si>
  <si>
    <t>[Ломжинская род.]</t>
  </si>
  <si>
    <t>[Ломжинская ум.]</t>
  </si>
  <si>
    <t>Люблинская</t>
  </si>
  <si>
    <t>[Люблинская род.]</t>
  </si>
  <si>
    <t>[Люблинская ум.]</t>
  </si>
  <si>
    <t>Петроковская</t>
  </si>
  <si>
    <t>[Петроковская род.]</t>
  </si>
  <si>
    <t>[Петроковская ум.]</t>
  </si>
  <si>
    <t>Плоцкая</t>
  </si>
  <si>
    <t>[Плоцкая род.]</t>
  </si>
  <si>
    <t>[Плоцкая ум.]</t>
  </si>
  <si>
    <t>Радомская</t>
  </si>
  <si>
    <t>[Радомская род.]</t>
  </si>
  <si>
    <t>[Радомская ум.]</t>
  </si>
  <si>
    <t>Сувалкская</t>
  </si>
  <si>
    <t>[Сувалкская род.]</t>
  </si>
  <si>
    <t>[Сувалкская ум.]</t>
  </si>
  <si>
    <t>Седлецкая</t>
  </si>
  <si>
    <t>[Седлецкая род.]</t>
  </si>
  <si>
    <t>[Седлецкая ум.]</t>
  </si>
  <si>
    <t>Итого в привислинских губерниях</t>
  </si>
  <si>
    <t>Курляндская</t>
  </si>
  <si>
    <t>[Курляндская род.]</t>
  </si>
  <si>
    <t>[Курляндская ум.]</t>
  </si>
  <si>
    <t>Лифляндская</t>
  </si>
  <si>
    <t>[Лифляндская род.]</t>
  </si>
  <si>
    <t>[Лифляндская ум.]</t>
  </si>
  <si>
    <t>Эстляндская</t>
  </si>
  <si>
    <t>[Эстляндская род.]</t>
  </si>
  <si>
    <t>[Эстляндская ум.]</t>
  </si>
  <si>
    <t>Итого в остзейских губерниях</t>
  </si>
  <si>
    <t>Бессарабская</t>
  </si>
  <si>
    <t>[Бессарабская род.]</t>
  </si>
  <si>
    <t>[Бессарабская ум.]</t>
  </si>
  <si>
    <t>Владимирская</t>
  </si>
  <si>
    <t>[Владимирская род.]</t>
  </si>
  <si>
    <t>[Владимирская ум.]</t>
  </si>
  <si>
    <t>Вологодская</t>
  </si>
  <si>
    <t>[Вологодская род.]</t>
  </si>
  <si>
    <t>[Вологодская ум.]</t>
  </si>
  <si>
    <t>Воронежская</t>
  </si>
  <si>
    <t>[Воронежская род.]</t>
  </si>
  <si>
    <t>[Воронежская ум.]</t>
  </si>
  <si>
    <t>Вятская</t>
  </si>
  <si>
    <t>[Вятская род.]</t>
  </si>
  <si>
    <t>[Вятская ум.]</t>
  </si>
  <si>
    <t>Екатеринославская</t>
  </si>
  <si>
    <t>[Екатеринославская род.]</t>
  </si>
  <si>
    <t>[Екатеринославская ум.]</t>
  </si>
  <si>
    <t>Казанская</t>
  </si>
  <si>
    <t>[Казанская род.]</t>
  </si>
  <si>
    <t>[Казанская ум.]</t>
  </si>
  <si>
    <t>Калужская</t>
  </si>
  <si>
    <t>[Калужская род.]</t>
  </si>
  <si>
    <t>[Калужская ум.]</t>
  </si>
  <si>
    <t>Костромская</t>
  </si>
  <si>
    <t>[Костромская род.]</t>
  </si>
  <si>
    <t>[Костромская ум.]</t>
  </si>
  <si>
    <t>Курская</t>
  </si>
  <si>
    <t>[Курская род.]</t>
  </si>
  <si>
    <t>[Курская ум.]</t>
  </si>
  <si>
    <t>Московская</t>
  </si>
  <si>
    <t>[Московская род.]</t>
  </si>
  <si>
    <t>[Московская ум.]</t>
  </si>
  <si>
    <t>Г. Москва</t>
  </si>
  <si>
    <t>Нижегородская</t>
  </si>
  <si>
    <t>[Нижегородская род.]</t>
  </si>
  <si>
    <t>[Нижегородская ум.]</t>
  </si>
  <si>
    <t>Новгородская</t>
  </si>
  <si>
    <t>[Новгородская род.]</t>
  </si>
  <si>
    <t>[Новгородская ум.]</t>
  </si>
  <si>
    <t>Олонецкая</t>
  </si>
  <si>
    <t>[Олонецкая род.]</t>
  </si>
  <si>
    <t>[Олонецкая ум.]</t>
  </si>
  <si>
    <t>Орловская</t>
  </si>
  <si>
    <t>[Орловская род.]</t>
  </si>
  <si>
    <t>[Орловская ум.]</t>
  </si>
  <si>
    <t>Пензенская</t>
  </si>
  <si>
    <t>[Пензенская род.]</t>
  </si>
  <si>
    <t>[Пензенская ум.]</t>
  </si>
  <si>
    <t>Пермская</t>
  </si>
  <si>
    <t>[Пермская род.]</t>
  </si>
  <si>
    <t>[Пермская ум.]</t>
  </si>
  <si>
    <t>Полтавская</t>
  </si>
  <si>
    <t>[Полтавская род.]</t>
  </si>
  <si>
    <t>[Полтавская ум.]</t>
  </si>
  <si>
    <t>Псковская</t>
  </si>
  <si>
    <t>[Псковская род.]</t>
  </si>
  <si>
    <t>[Псковская ум.]</t>
  </si>
  <si>
    <t>Рязанская</t>
  </si>
  <si>
    <t>[Рязанская род.]</t>
  </si>
  <si>
    <t>[Рязанская ум.]</t>
  </si>
  <si>
    <t>Самарская</t>
  </si>
  <si>
    <t>[Самарская род.]</t>
  </si>
  <si>
    <t>[Самарская ум.]</t>
  </si>
  <si>
    <t>Г. С.-Петербург</t>
  </si>
  <si>
    <t>С.-Петербургская</t>
  </si>
  <si>
    <t>[С.-Петербургская род.]</t>
  </si>
  <si>
    <t>[С.-Петербургская ум.]</t>
  </si>
  <si>
    <t>Саратовская</t>
  </si>
  <si>
    <t>[Саратовская род.]</t>
  </si>
  <si>
    <t>[Саратовская ум.]</t>
  </si>
  <si>
    <t>Симбирская</t>
  </si>
  <si>
    <t>[Симбирская род.]</t>
  </si>
  <si>
    <t>[Симбирская ум.]</t>
  </si>
  <si>
    <t>Смоленская</t>
  </si>
  <si>
    <t>[Смоленская род.]</t>
  </si>
  <si>
    <t>[Смоленская ум.]</t>
  </si>
  <si>
    <t>Таврическая</t>
  </si>
  <si>
    <t>[Таврическая род.]</t>
  </si>
  <si>
    <t>[Таврическая ум.]</t>
  </si>
  <si>
    <t>Тамбовская</t>
  </si>
  <si>
    <t>[Тамбовская род.]</t>
  </si>
  <si>
    <t>[Тамбовская ум.]</t>
  </si>
  <si>
    <t>Тверская</t>
  </si>
  <si>
    <t>[Тверская род.]</t>
  </si>
  <si>
    <t>[Тверская ум.]</t>
  </si>
  <si>
    <t>Тульская</t>
  </si>
  <si>
    <t>[Тульская род.]</t>
  </si>
  <si>
    <t>[Тульская ум.]</t>
  </si>
  <si>
    <t>Уфимская</t>
  </si>
  <si>
    <t>[Уфимская род.]</t>
  </si>
  <si>
    <t>[Уфимская ум.]</t>
  </si>
  <si>
    <t>Харьковская</t>
  </si>
  <si>
    <t>[Харьковская род.]</t>
  </si>
  <si>
    <t>[Харьковская ум.]</t>
  </si>
  <si>
    <t>Херсонская</t>
  </si>
  <si>
    <t>[Херсонская род.]</t>
  </si>
  <si>
    <t>[Херсонская ум.]</t>
  </si>
  <si>
    <t>Г. Николаев</t>
  </si>
  <si>
    <t>Г. Одесса</t>
  </si>
  <si>
    <t>Черниговская</t>
  </si>
  <si>
    <t>[Черниговская род.]</t>
  </si>
  <si>
    <t>[Черниговская ум.]</t>
  </si>
  <si>
    <t>Ярославская</t>
  </si>
  <si>
    <t>[Ярославская род.]</t>
  </si>
  <si>
    <t>[Ярославская ум.]</t>
  </si>
  <si>
    <t>Итого в земских губерниях</t>
  </si>
  <si>
    <t>Область Войска Донского</t>
  </si>
  <si>
    <t>[Область Войска Донского род.]</t>
  </si>
  <si>
    <t>[Область Войска Донского ум.]</t>
  </si>
  <si>
    <t>Итого в Европейской России</t>
  </si>
  <si>
    <t>Бакинская</t>
  </si>
  <si>
    <t>[Бакинская род.]</t>
  </si>
  <si>
    <t>[Бакинская ум.]</t>
  </si>
  <si>
    <t>Дагестанская</t>
  </si>
  <si>
    <t>[Дагестанская род.]</t>
  </si>
  <si>
    <t>[Дагестанская ум.]</t>
  </si>
  <si>
    <t>Закатальский округ</t>
  </si>
  <si>
    <t>Елисаветпольская</t>
  </si>
  <si>
    <t>[Елисаветпольская род.]</t>
  </si>
  <si>
    <t>[Елисаветпольская ум.]</t>
  </si>
  <si>
    <t>Карсская область</t>
  </si>
  <si>
    <t>[Карсская область род.]</t>
  </si>
  <si>
    <t>[Карсская область ум.]</t>
  </si>
  <si>
    <t>Кубанская область</t>
  </si>
  <si>
    <t>[Кубанская область род.]</t>
  </si>
  <si>
    <t>[Кубанская область ум.]</t>
  </si>
  <si>
    <t>Кутаисская</t>
  </si>
  <si>
    <t>[Кутаисская род.]</t>
  </si>
  <si>
    <t>[Кутаисская ум.]</t>
  </si>
  <si>
    <t>Ставропольская</t>
  </si>
  <si>
    <t>[Ставропольская род.]</t>
  </si>
  <si>
    <t>[Ставропольская ум.]</t>
  </si>
  <si>
    <t>Терская область</t>
  </si>
  <si>
    <t>[Терская область род.]</t>
  </si>
  <si>
    <t>[Терская область ум.]</t>
  </si>
  <si>
    <t>Тифлисская</t>
  </si>
  <si>
    <t>[Тифлисская род.]</t>
  </si>
  <si>
    <t>[Тифлисская ум.]</t>
  </si>
  <si>
    <t>Эриванская</t>
  </si>
  <si>
    <t>[Эриванская род.]</t>
  </si>
  <si>
    <t>[Эриванская ум.]</t>
  </si>
  <si>
    <t>Итого на Кавказе</t>
  </si>
  <si>
    <t>Амурская обл.</t>
  </si>
  <si>
    <t>Енисейская</t>
  </si>
  <si>
    <t>[Енисейская род.]</t>
  </si>
  <si>
    <t>[Енисейская ум.]</t>
  </si>
  <si>
    <t>Забайкальская область</t>
  </si>
  <si>
    <t>[Забайкальская область род.]</t>
  </si>
  <si>
    <t>[Забайкальская область ум.]</t>
  </si>
  <si>
    <t>Иркутская</t>
  </si>
  <si>
    <t>[Иркутская род.]</t>
  </si>
  <si>
    <t>[Иркутская ум.]</t>
  </si>
  <si>
    <t>Приморская область</t>
  </si>
  <si>
    <t>[Приморская область род.]</t>
  </si>
  <si>
    <t>[Приморская область ум.]</t>
  </si>
  <si>
    <t>Тобольская</t>
  </si>
  <si>
    <t>[Тобольская род.]</t>
  </si>
  <si>
    <t>[Тобольская ум.]</t>
  </si>
  <si>
    <t>Томская</t>
  </si>
  <si>
    <t>[Томская род.]</t>
  </si>
  <si>
    <t>[Томская ум.]</t>
  </si>
  <si>
    <t>Якутская область</t>
  </si>
  <si>
    <t>[Якутская область род.]</t>
  </si>
  <si>
    <t>[Якутская область ум.]</t>
  </si>
  <si>
    <t>о. Сахалин</t>
  </si>
  <si>
    <t>[о. Сахалин род.]</t>
  </si>
  <si>
    <t>[о. Сахалин ум.]</t>
  </si>
  <si>
    <t>Итого в Сибири</t>
  </si>
  <si>
    <t>Акмолинская область</t>
  </si>
  <si>
    <t>[Акмолинская область род.]</t>
  </si>
  <si>
    <t>[Акмолинская область ум.]</t>
  </si>
  <si>
    <t>Закаспийская область</t>
  </si>
  <si>
    <t>[Закаспийская область род.]</t>
  </si>
  <si>
    <t>[Закаспийская область ум.]</t>
  </si>
  <si>
    <t>Самаркандская область</t>
  </si>
  <si>
    <t>[Самаркандская область род.]</t>
  </si>
  <si>
    <t>[Самаркандская область ум.]</t>
  </si>
  <si>
    <t>Семипалатинская область</t>
  </si>
  <si>
    <t>[Семипалатинская область род.]</t>
  </si>
  <si>
    <t>[Семипалатинская область ум.]</t>
  </si>
  <si>
    <t>Семиреченская область</t>
  </si>
  <si>
    <t>[Семиреченская область род.]</t>
  </si>
  <si>
    <t>[Семиреченская область ум.]</t>
  </si>
  <si>
    <t>Сыр-Дарьинская область</t>
  </si>
  <si>
    <t>[Сыр-Дарьинская область род.]</t>
  </si>
  <si>
    <t>[Сыр-Дарьинская область ум.]</t>
  </si>
  <si>
    <t>Тургайская область</t>
  </si>
  <si>
    <t>[Тургайская область род.]</t>
  </si>
  <si>
    <t>[Тургайская область ум.]</t>
  </si>
  <si>
    <t>Уральская область</t>
  </si>
  <si>
    <t>[Уральская область род.]</t>
  </si>
  <si>
    <t>[Уральская область ум.]</t>
  </si>
  <si>
    <t>Ферганская область</t>
  </si>
  <si>
    <t>[Ферганская область род.]</t>
  </si>
  <si>
    <t>[Ферганская область ум.]</t>
  </si>
  <si>
    <t>Итого в Средне-азиатских областях</t>
  </si>
  <si>
    <t>Итого во всей Империи</t>
  </si>
  <si>
    <t>р YY</t>
  </si>
  <si>
    <t>с YY</t>
  </si>
  <si>
    <t>v-чж</t>
  </si>
  <si>
    <t>v-чр</t>
  </si>
  <si>
    <t>v-чу</t>
  </si>
  <si>
    <t>vd-чж</t>
  </si>
  <si>
    <t>vd-чр</t>
  </si>
  <si>
    <t>vd-чу</t>
  </si>
  <si>
    <t>v-р</t>
  </si>
  <si>
    <t>v-с</t>
  </si>
  <si>
    <t>vd-р</t>
  </si>
  <si>
    <t>vd-с</t>
  </si>
  <si>
    <t>Астраханская (оседлое)</t>
  </si>
  <si>
    <t>[Астраханская (оседлое) род.]</t>
  </si>
  <si>
    <t>[Астраханская (оседлое) ум.]</t>
  </si>
  <si>
    <t>Астраханская (кочевники)</t>
  </si>
  <si>
    <t>[Астраханская (кочевники) род.]</t>
  </si>
  <si>
    <t>[Астраханская (кочевники) ум.]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</si>
</sst>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>
    <font>
      <sz val="11"/>
      <name val="Carlito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0"/>
      <color rgb="FF000000"/>
      <name val="Arial Unicode MS"/>
    </font>
  </fonts>
  <fills count="12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FCE4D6"/>
      </patternFill>
    </fill>
    <fill>
      <patternFill patternType="solid">
        <fgColor rgb="FFD9D9D9"/>
      </patternFill>
    </fill>
    <fill>
      <patternFill patternType="solid">
        <fgColor rgb="FFFCE4D6"/>
      </patternFill>
    </fill>
    <fill>
      <patternFill patternType="solid">
        <fgColor rgb="FFD9D9D9"/>
      </patternFill>
    </fill>
    <fill>
      <patternFill patternType="solid">
        <fgColor rgb="FFFCE4D6"/>
      </patternFill>
    </fill>
    <fill>
      <patternFill patternType="solid">
        <fgColor rgb="FFD9D9D9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9" borderId="0" xfId="0" applyFont="1" applyFill="1" applyAlignment="1">
      <alignment horizontal="center" vertical="center" wrapText="1"/>
    </xf>
    <xf numFmtId="3" fontId="1" fillId="9" borderId="0" xfId="0" applyNumberFormat="1" applyFont="1" applyFill="1" applyAlignment="1">
      <alignment horizontal="center" vertical="center" wrapText="1"/>
    </xf>
    <xf numFmtId="3" fontId="1" fillId="0" borderId="0" xfId="0" applyNumberFormat="1" applyFont="1" applyAlignment="1">
      <alignment horizontal="right" vertical="center" wrapText="1"/>
    </xf>
    <xf numFmtId="0" fontId="2" fillId="0" borderId="0" xfId="0" applyFont="1" applyAlignment="1">
      <alignment horizontal="left" vertical="center"/>
    </xf>
    <xf numFmtId="3" fontId="2" fillId="0" borderId="0" xfId="0" applyNumberFormat="1" applyFont="1" applyAlignment="1">
      <alignment horizontal="right" vertical="center"/>
    </xf>
    <xf numFmtId="164" fontId="2" fillId="0" borderId="0" xfId="0" applyNumberFormat="1" applyFont="1" applyAlignment="1">
      <alignment horizontal="right" vertical="center"/>
    </xf>
    <xf numFmtId="0" fontId="2" fillId="2" borderId="0" xfId="0" applyFont="1" applyFill="1" applyAlignment="1">
      <alignment horizontal="left" vertical="center"/>
    </xf>
    <xf numFmtId="3" fontId="2" fillId="2" borderId="0" xfId="0" applyNumberFormat="1" applyFont="1" applyFill="1" applyAlignment="1">
      <alignment horizontal="right" vertical="center"/>
    </xf>
    <xf numFmtId="3" fontId="2" fillId="2" borderId="0" xfId="0" applyNumberFormat="1" applyFont="1" applyFill="1" applyAlignment="1">
      <alignment horizontal="center" vertical="center"/>
    </xf>
    <xf numFmtId="164" fontId="2" fillId="2" borderId="0" xfId="0" applyNumberFormat="1" applyFont="1" applyFill="1" applyAlignment="1">
      <alignment horizontal="center" vertical="center"/>
    </xf>
    <xf numFmtId="3" fontId="2" fillId="0" borderId="0" xfId="0" applyNumberFormat="1" applyFont="1" applyAlignment="1">
      <alignment horizontal="center" vertical="center"/>
    </xf>
    <xf numFmtId="164" fontId="2" fillId="2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left" vertical="center"/>
    </xf>
    <xf numFmtId="3" fontId="2" fillId="3" borderId="0" xfId="0" applyNumberFormat="1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0" borderId="0" xfId="0" applyFont="1" applyAlignment="1">
      <alignment vertical="center"/>
    </xf>
    <xf numFmtId="49" fontId="2" fillId="4" borderId="0" xfId="0" applyNumberFormat="1" applyFont="1" applyFill="1" applyAlignment="1">
      <alignment horizontal="left" vertical="center"/>
    </xf>
    <xf numFmtId="3" fontId="2" fillId="4" borderId="0" xfId="0" applyNumberFormat="1" applyFont="1" applyFill="1" applyAlignment="1">
      <alignment horizontal="right" vertical="center"/>
    </xf>
    <xf numFmtId="164" fontId="2" fillId="4" borderId="0" xfId="0" applyNumberFormat="1" applyFont="1" applyFill="1" applyAlignment="1">
      <alignment horizontal="right" vertical="center"/>
    </xf>
    <xf numFmtId="49" fontId="2" fillId="0" borderId="0" xfId="0" applyNumberFormat="1" applyFont="1" applyAlignment="1">
      <alignment horizontal="left" vertical="center"/>
    </xf>
    <xf numFmtId="49" fontId="2" fillId="5" borderId="0" xfId="0" applyNumberFormat="1" applyFont="1" applyFill="1" applyAlignment="1">
      <alignment horizontal="left" vertical="center"/>
    </xf>
    <xf numFmtId="3" fontId="2" fillId="5" borderId="0" xfId="0" applyNumberFormat="1" applyFont="1" applyFill="1" applyAlignment="1">
      <alignment horizontal="right" vertical="center"/>
    </xf>
    <xf numFmtId="164" fontId="2" fillId="5" borderId="0" xfId="0" applyNumberFormat="1" applyFont="1" applyFill="1" applyAlignment="1">
      <alignment horizontal="right" vertical="center"/>
    </xf>
    <xf numFmtId="3" fontId="2" fillId="4" borderId="0" xfId="0" applyNumberFormat="1" applyFont="1" applyFill="1" applyAlignment="1">
      <alignment horizontal="center" vertical="center"/>
    </xf>
    <xf numFmtId="164" fontId="2" fillId="4" borderId="0" xfId="0" applyNumberFormat="1" applyFont="1" applyFill="1" applyAlignment="1">
      <alignment horizontal="center" vertical="center"/>
    </xf>
    <xf numFmtId="0" fontId="2" fillId="6" borderId="0" xfId="0" applyFont="1" applyFill="1" applyAlignment="1">
      <alignment horizontal="left" vertical="center"/>
    </xf>
    <xf numFmtId="3" fontId="2" fillId="6" borderId="0" xfId="0" applyNumberFormat="1" applyFont="1" applyFill="1" applyAlignment="1">
      <alignment horizontal="right" vertical="center"/>
    </xf>
    <xf numFmtId="164" fontId="2" fillId="6" borderId="0" xfId="0" applyNumberFormat="1" applyFont="1" applyFill="1" applyAlignment="1">
      <alignment horizontal="right" vertical="center"/>
    </xf>
    <xf numFmtId="0" fontId="2" fillId="7" borderId="0" xfId="0" applyFont="1" applyFill="1" applyAlignment="1">
      <alignment horizontal="left" vertical="center"/>
    </xf>
    <xf numFmtId="3" fontId="2" fillId="7" borderId="0" xfId="0" applyNumberFormat="1" applyFont="1" applyFill="1" applyAlignment="1">
      <alignment horizontal="right" vertical="center"/>
    </xf>
    <xf numFmtId="164" fontId="2" fillId="7" borderId="0" xfId="0" applyNumberFormat="1" applyFont="1" applyFill="1" applyAlignment="1">
      <alignment horizontal="right" vertical="center"/>
    </xf>
    <xf numFmtId="0" fontId="2" fillId="8" borderId="0" xfId="0" applyFont="1" applyFill="1" applyAlignment="1">
      <alignment horizontal="left" vertical="center"/>
    </xf>
    <xf numFmtId="3" fontId="2" fillId="8" borderId="0" xfId="0" applyNumberFormat="1" applyFont="1" applyFill="1" applyAlignment="1">
      <alignment horizontal="right" vertical="center"/>
    </xf>
    <xf numFmtId="164" fontId="2" fillId="8" borderId="0" xfId="0" applyNumberFormat="1" applyFont="1" applyFill="1" applyAlignment="1">
      <alignment horizontal="right" vertical="center"/>
    </xf>
    <xf numFmtId="0" fontId="1" fillId="0" borderId="0" xfId="0" applyFont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3" fontId="2" fillId="10" borderId="0" xfId="0" applyNumberFormat="1" applyFont="1" applyFill="1" applyAlignment="1">
      <alignment vertical="center"/>
    </xf>
    <xf numFmtId="164" fontId="2" fillId="10" borderId="0" xfId="0" applyNumberFormat="1" applyFont="1" applyFill="1" applyAlignment="1">
      <alignment vertical="center"/>
    </xf>
    <xf numFmtId="0" fontId="2" fillId="10" borderId="0" xfId="0" applyFont="1" applyFill="1" applyAlignment="1">
      <alignment vertical="center"/>
    </xf>
    <xf numFmtId="0" fontId="2" fillId="11" borderId="0" xfId="0" applyFont="1" applyFill="1" applyAlignment="1">
      <alignment horizontal="left" vertical="center"/>
    </xf>
    <xf numFmtId="3" fontId="2" fillId="11" borderId="0" xfId="0" applyNumberFormat="1" applyFont="1" applyFill="1" applyAlignment="1">
      <alignment horizontal="right" vertical="center"/>
    </xf>
    <xf numFmtId="164" fontId="2" fillId="11" borderId="0" xfId="0" applyNumberFormat="1" applyFont="1" applyFill="1" applyAlignment="1">
      <alignment horizontal="right" vertical="center"/>
    </xf>
    <xf numFmtId="3" fontId="2" fillId="11" borderId="0" xfId="0" applyNumberFormat="1" applyFont="1" applyFill="1" applyAlignment="1">
      <alignment vertical="center"/>
    </xf>
    <xf numFmtId="164" fontId="2" fillId="11" borderId="0" xfId="0" applyNumberFormat="1" applyFont="1" applyFill="1" applyAlignment="1">
      <alignment vertical="center"/>
    </xf>
    <xf numFmtId="3" fontId="3" fillId="11" borderId="0" xfId="0" applyNumberFormat="1" applyFont="1" applyFill="1" applyAlignment="1">
      <alignment vertical="center"/>
    </xf>
    <xf numFmtId="3" fontId="1" fillId="9" borderId="0" xfId="0" applyNumberFormat="1" applyFont="1" applyFill="1" applyAlignment="1">
      <alignment horizontal="center" vertical="center" wrapText="1"/>
    </xf>
    <xf numFmtId="0" fontId="2" fillId="10" borderId="0" xfId="0" applyFont="1" applyFill="1" applyAlignment="1">
      <alignment horizontal="left" vertical="center"/>
    </xf>
    <xf numFmtId="3" fontId="2" fillId="10" borderId="0" xfId="0" applyNumberFormat="1" applyFont="1" applyFill="1" applyAlignment="1">
      <alignment horizontal="right" vertical="center"/>
    </xf>
    <xf numFmtId="164" fontId="2" fillId="10" borderId="0" xfId="0" applyNumberFormat="1" applyFont="1" applyFill="1" applyAlignment="1">
      <alignment horizontal="right" vertical="center"/>
    </xf>
    <xf numFmtId="3" fontId="2" fillId="10" borderId="0" xfId="0" applyNumberFormat="1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281"/>
  <sheetViews>
    <sheetView tabSelected="1" workbookViewId="0">
      <selection activeCell="D5" sqref="D5"/>
    </sheetView>
  </sheetViews>
  <sheetFormatPr defaultRowHeight="14.4"/>
  <cols>
    <col min="1" max="1" width="31.1015625" style="16" bestFit="1" customWidth="1"/>
    <col min="2" max="2" width="10.62890625" style="16" bestFit="1" customWidth="1"/>
    <col min="3" max="4" width="8.62890625" style="16" bestFit="1" customWidth="1"/>
    <col min="5" max="5" width="10.47265625" style="16" bestFit="1" customWidth="1"/>
    <col min="6" max="6" width="8.734375" style="16" bestFit="1" customWidth="1"/>
    <col min="7" max="7" width="8.62890625" style="16" bestFit="1" customWidth="1"/>
    <col min="8" max="8" width="4.41796875" style="16" bestFit="1" customWidth="1"/>
    <col min="9" max="9" width="4.15625" style="16" bestFit="1" customWidth="1"/>
    <col min="10" max="10" width="2.5234375" style="16" customWidth="1"/>
    <col min="11" max="25" width="7.15625" style="16" bestFit="1" customWidth="1"/>
    <col min="26" max="26" width="2.7890625" style="16" customWidth="1"/>
    <col min="27" max="27" width="10.20703125" style="16" bestFit="1" customWidth="1"/>
    <col min="28" max="29" width="8.62890625" style="16" bestFit="1" customWidth="1"/>
    <col min="30" max="30" width="2.7890625" style="16" customWidth="1"/>
    <col min="31" max="31" width="9.20703125" style="16" bestFit="1" customWidth="1"/>
    <col min="32" max="32" width="6.734375" style="16" bestFit="1" customWidth="1"/>
    <col min="33" max="33" width="7.734375" style="16" bestFit="1" customWidth="1"/>
    <col min="34" max="34" width="2.26171875" style="16" customWidth="1"/>
    <col min="35" max="36" width="4.15625" style="16" bestFit="1" customWidth="1"/>
    <col min="37" max="37" width="2.5234375" style="16" customWidth="1"/>
    <col min="38" max="39" width="4.7890625" style="16" bestFit="1" customWidth="1"/>
    <col min="40" max="16384" width="8.83984375" style="16"/>
  </cols>
  <sheetData>
    <row r="1" spans="1:39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283</v>
      </c>
      <c r="I1" s="2" t="s">
        <v>284</v>
      </c>
      <c r="J1" s="3"/>
      <c r="K1" s="46" t="s">
        <v>7</v>
      </c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AA1" s="36" t="s">
        <v>285</v>
      </c>
      <c r="AB1" s="36" t="s">
        <v>286</v>
      </c>
      <c r="AC1" s="36" t="s">
        <v>287</v>
      </c>
      <c r="AD1" s="35"/>
      <c r="AE1" s="36" t="s">
        <v>288</v>
      </c>
      <c r="AF1" s="36" t="s">
        <v>289</v>
      </c>
      <c r="AG1" s="36" t="s">
        <v>290</v>
      </c>
      <c r="AH1" s="35"/>
      <c r="AI1" s="36" t="s">
        <v>291</v>
      </c>
      <c r="AJ1" s="36" t="s">
        <v>292</v>
      </c>
      <c r="AK1" s="35"/>
      <c r="AL1" s="36" t="s">
        <v>293</v>
      </c>
      <c r="AM1" s="36" t="s">
        <v>294</v>
      </c>
    </row>
    <row r="2" spans="1:39">
      <c r="A2" s="7" t="s">
        <v>8</v>
      </c>
      <c r="B2" s="8">
        <v>359206</v>
      </c>
      <c r="C2" s="8">
        <v>14184</v>
      </c>
      <c r="D2" s="8">
        <v>8581</v>
      </c>
      <c r="E2" s="9" t="s">
        <v>9</v>
      </c>
      <c r="F2" s="9" t="s">
        <v>9</v>
      </c>
      <c r="G2" s="9" t="s">
        <v>9</v>
      </c>
      <c r="H2" s="10">
        <v>39.5</v>
      </c>
      <c r="I2" s="10">
        <v>23</v>
      </c>
      <c r="J2" s="11"/>
      <c r="K2" s="8">
        <v>54471</v>
      </c>
      <c r="L2" s="8">
        <v>37538</v>
      </c>
      <c r="M2" s="8">
        <v>8785</v>
      </c>
      <c r="N2" s="8">
        <v>25916</v>
      </c>
      <c r="O2" s="8">
        <v>41442</v>
      </c>
      <c r="P2" s="8">
        <v>30978</v>
      </c>
      <c r="Q2" s="8">
        <v>31063</v>
      </c>
      <c r="R2" s="8">
        <v>41817</v>
      </c>
      <c r="S2" s="8">
        <v>87196</v>
      </c>
      <c r="T2" s="8"/>
      <c r="U2" s="8"/>
      <c r="V2" s="8"/>
      <c r="W2" s="8"/>
      <c r="X2" s="8"/>
      <c r="Y2" s="8"/>
      <c r="AA2" s="37">
        <f>SUM(K2:Y2)</f>
        <v>359206</v>
      </c>
      <c r="AB2" s="37">
        <f>SUM(K3:Y3)</f>
        <v>14184</v>
      </c>
      <c r="AC2" s="37">
        <f>SUM(K4:Y4)</f>
        <v>8581</v>
      </c>
      <c r="AE2" s="37">
        <f>AA2-B2</f>
        <v>0</v>
      </c>
      <c r="AF2" s="37">
        <f>AB2-C2</f>
        <v>0</v>
      </c>
      <c r="AG2" s="37">
        <f>AC2-D2</f>
        <v>0</v>
      </c>
      <c r="AI2" s="38">
        <f>C2/B2*1000</f>
        <v>39.487090972867932</v>
      </c>
      <c r="AJ2" s="38">
        <f>D2/B2*1000</f>
        <v>23.888799184868848</v>
      </c>
      <c r="AL2" s="38">
        <f>AI2-H2</f>
        <v>-1.2909027132067763E-2</v>
      </c>
      <c r="AM2" s="38">
        <f>AJ2-I2</f>
        <v>0.8887991848688479</v>
      </c>
    </row>
    <row r="3" spans="1:39">
      <c r="A3" s="4" t="s">
        <v>10</v>
      </c>
      <c r="B3" s="5"/>
      <c r="C3" s="5"/>
      <c r="D3" s="5"/>
      <c r="E3" s="5"/>
      <c r="F3" s="5"/>
      <c r="G3" s="5"/>
      <c r="H3" s="6" t="s">
        <v>9</v>
      </c>
      <c r="I3" s="6" t="s">
        <v>9</v>
      </c>
      <c r="J3" s="5"/>
      <c r="K3" s="5">
        <v>2191</v>
      </c>
      <c r="L3" s="5">
        <v>1248</v>
      </c>
      <c r="M3" s="5">
        <v>283</v>
      </c>
      <c r="N3" s="5">
        <v>1099</v>
      </c>
      <c r="O3" s="5">
        <v>1595</v>
      </c>
      <c r="P3" s="5">
        <v>1448</v>
      </c>
      <c r="Q3" s="5">
        <v>1326</v>
      </c>
      <c r="R3" s="5">
        <v>1581</v>
      </c>
      <c r="S3" s="5">
        <v>3413</v>
      </c>
      <c r="T3" s="5"/>
      <c r="U3" s="5"/>
      <c r="V3" s="5"/>
      <c r="W3" s="5"/>
      <c r="X3" s="5"/>
      <c r="Y3" s="5"/>
    </row>
    <row r="4" spans="1:39">
      <c r="A4" s="4" t="s">
        <v>11</v>
      </c>
      <c r="B4" s="5"/>
      <c r="C4" s="5"/>
      <c r="D4" s="5"/>
      <c r="E4" s="5"/>
      <c r="F4" s="5"/>
      <c r="G4" s="5"/>
      <c r="H4" s="6" t="s">
        <v>9</v>
      </c>
      <c r="I4" s="6" t="s">
        <v>9</v>
      </c>
      <c r="J4" s="5"/>
      <c r="K4" s="5">
        <v>1634</v>
      </c>
      <c r="L4" s="5">
        <v>638</v>
      </c>
      <c r="M4" s="5">
        <v>176</v>
      </c>
      <c r="N4" s="5">
        <v>651</v>
      </c>
      <c r="O4" s="5">
        <v>1177</v>
      </c>
      <c r="P4" s="5">
        <v>770</v>
      </c>
      <c r="Q4" s="5">
        <v>704</v>
      </c>
      <c r="R4" s="5">
        <v>991</v>
      </c>
      <c r="S4" s="5">
        <v>1840</v>
      </c>
      <c r="T4" s="5"/>
      <c r="U4" s="5"/>
      <c r="V4" s="5"/>
      <c r="W4" s="5"/>
      <c r="X4" s="5"/>
      <c r="Y4" s="5"/>
    </row>
    <row r="5" spans="1:39">
      <c r="A5" s="7" t="s">
        <v>295</v>
      </c>
      <c r="B5" s="8">
        <f>979538-B8</f>
        <v>571715</v>
      </c>
      <c r="C5" s="8">
        <f>34469-C8</f>
        <v>32340</v>
      </c>
      <c r="D5" s="8">
        <f>24373-D8</f>
        <v>23323</v>
      </c>
      <c r="E5" s="8">
        <v>140241</v>
      </c>
      <c r="F5" s="8">
        <v>6190</v>
      </c>
      <c r="G5" s="8">
        <v>4788</v>
      </c>
      <c r="H5" s="12">
        <v>56.5</v>
      </c>
      <c r="I5" s="12">
        <v>40.799999999999997</v>
      </c>
      <c r="J5" s="5"/>
      <c r="K5" s="8">
        <v>178195</v>
      </c>
      <c r="L5" s="8">
        <v>68068</v>
      </c>
      <c r="M5" s="8">
        <v>36557</v>
      </c>
      <c r="N5" s="8">
        <v>98198</v>
      </c>
      <c r="O5" s="8">
        <v>190697</v>
      </c>
      <c r="P5" s="8"/>
      <c r="Q5" s="8"/>
      <c r="R5" s="8"/>
      <c r="S5" s="8"/>
      <c r="T5" s="8"/>
      <c r="U5" s="8"/>
      <c r="V5" s="8"/>
      <c r="W5" s="8"/>
      <c r="X5" s="8"/>
      <c r="Y5" s="8"/>
      <c r="AA5" s="37">
        <f>SUM(K5:Y5)</f>
        <v>571715</v>
      </c>
      <c r="AB5" s="37">
        <f>SUM(K6:Y6)</f>
        <v>32340</v>
      </c>
      <c r="AC5" s="37">
        <f>SUM(K7:Y7)</f>
        <v>23323</v>
      </c>
      <c r="AE5" s="37">
        <f>AA5-B5</f>
        <v>0</v>
      </c>
      <c r="AF5" s="37">
        <f>AB5-C5</f>
        <v>0</v>
      </c>
      <c r="AG5" s="37">
        <f>AC5-D5</f>
        <v>0</v>
      </c>
      <c r="AI5" s="38">
        <f>C5/B5*1000</f>
        <v>56.56664596870818</v>
      </c>
      <c r="AJ5" s="38">
        <f>D5/B5*1000</f>
        <v>40.794801605695149</v>
      </c>
      <c r="AL5" s="38">
        <f>AI5-H5</f>
        <v>6.6645968708179737E-2</v>
      </c>
      <c r="AM5" s="38">
        <f>AJ5-I5</f>
        <v>-5.1983943048483638E-3</v>
      </c>
    </row>
    <row r="6" spans="1:39">
      <c r="A6" s="4" t="s">
        <v>296</v>
      </c>
      <c r="B6" s="5"/>
      <c r="C6" s="5"/>
      <c r="D6" s="5"/>
      <c r="E6" s="5"/>
      <c r="F6" s="5"/>
      <c r="G6" s="5"/>
      <c r="H6" s="6" t="s">
        <v>9</v>
      </c>
      <c r="I6" s="6" t="s">
        <v>9</v>
      </c>
      <c r="J6" s="5"/>
      <c r="K6" s="5">
        <v>9547</v>
      </c>
      <c r="L6" s="5">
        <v>3839</v>
      </c>
      <c r="M6" s="5">
        <v>2157</v>
      </c>
      <c r="N6" s="5">
        <v>5975</v>
      </c>
      <c r="O6" s="5">
        <v>10822</v>
      </c>
      <c r="P6" s="11"/>
      <c r="Q6" s="5"/>
      <c r="R6" s="5"/>
      <c r="S6" s="5"/>
      <c r="T6" s="5"/>
      <c r="U6" s="5"/>
      <c r="V6" s="5"/>
      <c r="W6" s="5"/>
      <c r="X6" s="5"/>
      <c r="Y6" s="5"/>
    </row>
    <row r="7" spans="1:39">
      <c r="A7" s="4" t="s">
        <v>297</v>
      </c>
      <c r="B7" s="5"/>
      <c r="C7" s="5"/>
      <c r="D7" s="5"/>
      <c r="E7" s="5"/>
      <c r="F7" s="5"/>
      <c r="G7" s="5"/>
      <c r="H7" s="6" t="s">
        <v>9</v>
      </c>
      <c r="I7" s="6" t="s">
        <v>9</v>
      </c>
      <c r="J7" s="5"/>
      <c r="K7" s="5">
        <v>6766</v>
      </c>
      <c r="L7" s="5">
        <v>2175</v>
      </c>
      <c r="M7" s="5">
        <v>1571</v>
      </c>
      <c r="N7" s="5">
        <v>3674</v>
      </c>
      <c r="O7" s="5">
        <v>9137</v>
      </c>
      <c r="P7" s="11"/>
      <c r="Q7" s="5"/>
      <c r="R7" s="5"/>
      <c r="S7" s="5"/>
      <c r="T7" s="5"/>
      <c r="U7" s="5"/>
      <c r="V7" s="5"/>
      <c r="W7" s="5"/>
      <c r="X7" s="5"/>
      <c r="Y7" s="5"/>
    </row>
    <row r="8" spans="1:39">
      <c r="A8" s="47" t="s">
        <v>298</v>
      </c>
      <c r="B8" s="48">
        <f>SUM(K8:L8)</f>
        <v>407823</v>
      </c>
      <c r="C8" s="48">
        <f>SUM(K9:L9)</f>
        <v>2129</v>
      </c>
      <c r="D8" s="48">
        <f>SUM(K10:L10)</f>
        <v>1050</v>
      </c>
      <c r="E8" s="48"/>
      <c r="F8" s="48"/>
      <c r="G8" s="48"/>
      <c r="H8" s="49"/>
      <c r="I8" s="49"/>
      <c r="J8" s="5"/>
      <c r="K8" s="8">
        <v>140161</v>
      </c>
      <c r="L8" s="8">
        <v>267662</v>
      </c>
      <c r="M8" s="48"/>
      <c r="N8" s="48"/>
      <c r="O8" s="48"/>
      <c r="P8" s="50"/>
      <c r="Q8" s="48"/>
      <c r="R8" s="48"/>
      <c r="S8" s="48"/>
      <c r="T8" s="48"/>
      <c r="U8" s="48"/>
      <c r="V8" s="48"/>
      <c r="W8" s="48"/>
      <c r="X8" s="48"/>
      <c r="Y8" s="48"/>
      <c r="AA8" s="37">
        <f>B8</f>
        <v>407823</v>
      </c>
      <c r="AB8" s="37">
        <f>C8</f>
        <v>2129</v>
      </c>
      <c r="AC8" s="37">
        <f>D8</f>
        <v>1050</v>
      </c>
      <c r="AE8" s="39"/>
      <c r="AF8" s="39"/>
      <c r="AG8" s="39"/>
      <c r="AI8" s="39"/>
      <c r="AJ8" s="39"/>
      <c r="AL8" s="39"/>
      <c r="AM8" s="39"/>
    </row>
    <row r="9" spans="1:39">
      <c r="A9" s="4" t="s">
        <v>299</v>
      </c>
      <c r="B9" s="5"/>
      <c r="C9" s="5"/>
      <c r="D9" s="5"/>
      <c r="E9" s="5"/>
      <c r="F9" s="5"/>
      <c r="G9" s="5"/>
      <c r="H9" s="6"/>
      <c r="I9" s="6"/>
      <c r="J9" s="5"/>
      <c r="K9" s="11" t="s">
        <v>9</v>
      </c>
      <c r="L9" s="5">
        <v>2129</v>
      </c>
      <c r="M9" s="5"/>
      <c r="N9" s="5"/>
      <c r="O9" s="5"/>
      <c r="P9" s="11"/>
      <c r="Q9" s="5"/>
      <c r="R9" s="5"/>
      <c r="S9" s="5"/>
      <c r="T9" s="5"/>
      <c r="U9" s="5"/>
      <c r="V9" s="5"/>
      <c r="W9" s="5"/>
      <c r="X9" s="5"/>
      <c r="Y9" s="5"/>
    </row>
    <row r="10" spans="1:39">
      <c r="A10" s="4" t="s">
        <v>300</v>
      </c>
      <c r="B10" s="5"/>
      <c r="C10" s="5"/>
      <c r="D10" s="5"/>
      <c r="E10" s="5"/>
      <c r="F10" s="5"/>
      <c r="G10" s="5"/>
      <c r="H10" s="6"/>
      <c r="I10" s="6"/>
      <c r="J10" s="5"/>
      <c r="K10" s="11" t="s">
        <v>9</v>
      </c>
      <c r="L10" s="5">
        <v>1050</v>
      </c>
      <c r="M10" s="5"/>
      <c r="N10" s="5"/>
      <c r="O10" s="5"/>
      <c r="P10" s="11"/>
      <c r="Q10" s="5"/>
      <c r="R10" s="5"/>
      <c r="S10" s="5"/>
      <c r="T10" s="5"/>
      <c r="U10" s="5"/>
      <c r="V10" s="5"/>
      <c r="W10" s="5"/>
      <c r="X10" s="5"/>
      <c r="Y10" s="5"/>
    </row>
    <row r="11" spans="1:39">
      <c r="A11" s="7" t="s">
        <v>12</v>
      </c>
      <c r="B11" s="8">
        <v>1449457</v>
      </c>
      <c r="C11" s="8">
        <v>62312</v>
      </c>
      <c r="D11" s="8">
        <v>33373</v>
      </c>
      <c r="E11" s="8">
        <v>148761</v>
      </c>
      <c r="F11" s="8">
        <v>5508</v>
      </c>
      <c r="G11" s="8">
        <v>4194</v>
      </c>
      <c r="H11" s="12">
        <v>48</v>
      </c>
      <c r="I11" s="12">
        <v>23</v>
      </c>
      <c r="J11" s="5"/>
      <c r="K11" s="8">
        <v>315965</v>
      </c>
      <c r="L11" s="8">
        <v>212179</v>
      </c>
      <c r="M11" s="8">
        <v>192482</v>
      </c>
      <c r="N11" s="8">
        <v>188427</v>
      </c>
      <c r="O11" s="8">
        <v>221985</v>
      </c>
      <c r="P11" s="8">
        <v>168894</v>
      </c>
      <c r="Q11" s="8">
        <v>149425</v>
      </c>
      <c r="R11" s="8"/>
      <c r="S11" s="8"/>
      <c r="T11" s="8"/>
      <c r="U11" s="8"/>
      <c r="V11" s="8"/>
      <c r="W11" s="8"/>
      <c r="X11" s="8"/>
      <c r="Y11" s="8"/>
      <c r="AA11" s="37">
        <f>SUM(K11:Y11)</f>
        <v>1449357</v>
      </c>
      <c r="AB11" s="37">
        <f>SUM(K12:Y12)</f>
        <v>62312</v>
      </c>
      <c r="AC11" s="37">
        <f>SUM(K13:Y13)</f>
        <v>33373</v>
      </c>
      <c r="AE11" s="37">
        <f>AA11-B11</f>
        <v>-100</v>
      </c>
      <c r="AF11" s="37">
        <f>AB11-C11</f>
        <v>0</v>
      </c>
      <c r="AG11" s="37">
        <f>AC11-D11</f>
        <v>0</v>
      </c>
      <c r="AI11" s="38">
        <f>C11/B11*1000</f>
        <v>42.98989207682601</v>
      </c>
      <c r="AJ11" s="38">
        <f>D11/B11*1000</f>
        <v>23.024484341377494</v>
      </c>
      <c r="AL11" s="38">
        <f>AI11-H11</f>
        <v>-5.0101079231739902</v>
      </c>
      <c r="AM11" s="38">
        <f>AJ11-I11</f>
        <v>2.4484341377494445E-2</v>
      </c>
    </row>
    <row r="12" spans="1:39">
      <c r="A12" s="4" t="s">
        <v>13</v>
      </c>
      <c r="B12" s="5"/>
      <c r="C12" s="5"/>
      <c r="D12" s="5"/>
      <c r="E12" s="5"/>
      <c r="F12" s="5"/>
      <c r="G12" s="5"/>
      <c r="H12" s="6" t="s">
        <v>9</v>
      </c>
      <c r="I12" s="6" t="s">
        <v>9</v>
      </c>
      <c r="J12" s="5"/>
      <c r="K12" s="5">
        <v>12601</v>
      </c>
      <c r="L12" s="5">
        <v>8835</v>
      </c>
      <c r="M12" s="5">
        <v>7952</v>
      </c>
      <c r="N12" s="5">
        <v>8333</v>
      </c>
      <c r="O12" s="5">
        <v>9774</v>
      </c>
      <c r="P12" s="5">
        <v>6677</v>
      </c>
      <c r="Q12" s="5">
        <v>8140</v>
      </c>
      <c r="R12" s="5"/>
      <c r="S12" s="5"/>
      <c r="T12" s="5"/>
      <c r="U12" s="5"/>
      <c r="V12" s="5"/>
      <c r="W12" s="5"/>
      <c r="X12" s="5"/>
      <c r="Y12" s="5"/>
    </row>
    <row r="13" spans="1:39">
      <c r="A13" s="4" t="s">
        <v>14</v>
      </c>
      <c r="B13" s="5"/>
      <c r="C13" s="5"/>
      <c r="D13" s="5"/>
      <c r="E13" s="5"/>
      <c r="F13" s="5"/>
      <c r="G13" s="5"/>
      <c r="H13" s="6" t="s">
        <v>9</v>
      </c>
      <c r="I13" s="6" t="s">
        <v>9</v>
      </c>
      <c r="J13" s="5"/>
      <c r="K13" s="5">
        <v>7550</v>
      </c>
      <c r="L13" s="5">
        <v>4103</v>
      </c>
      <c r="M13" s="5">
        <v>4325</v>
      </c>
      <c r="N13" s="5">
        <v>4444</v>
      </c>
      <c r="O13" s="5">
        <v>4313</v>
      </c>
      <c r="P13" s="5">
        <v>3853</v>
      </c>
      <c r="Q13" s="5">
        <v>4785</v>
      </c>
      <c r="R13" s="5"/>
      <c r="S13" s="5"/>
      <c r="T13" s="5"/>
      <c r="U13" s="5"/>
      <c r="V13" s="5"/>
      <c r="W13" s="5"/>
      <c r="X13" s="5"/>
      <c r="Y13" s="5"/>
    </row>
    <row r="14" spans="1:39">
      <c r="A14" s="7" t="s">
        <v>15</v>
      </c>
      <c r="B14" s="8">
        <v>1434022</v>
      </c>
      <c r="C14" s="8">
        <v>60630</v>
      </c>
      <c r="D14" s="8">
        <v>33819</v>
      </c>
      <c r="E14" s="8">
        <v>245034</v>
      </c>
      <c r="F14" s="8">
        <v>6529</v>
      </c>
      <c r="G14" s="8">
        <v>4012</v>
      </c>
      <c r="H14" s="12">
        <v>41.3</v>
      </c>
      <c r="I14" s="12">
        <v>23.1</v>
      </c>
      <c r="J14" s="5"/>
      <c r="K14" s="8">
        <v>160746</v>
      </c>
      <c r="L14" s="8">
        <v>94427</v>
      </c>
      <c r="M14" s="8">
        <v>108316</v>
      </c>
      <c r="N14" s="8">
        <v>234316</v>
      </c>
      <c r="O14" s="8">
        <v>88274</v>
      </c>
      <c r="P14" s="8">
        <v>151152</v>
      </c>
      <c r="Q14" s="8">
        <v>121422</v>
      </c>
      <c r="R14" s="8">
        <v>103191</v>
      </c>
      <c r="S14" s="8">
        <v>131434</v>
      </c>
      <c r="T14" s="8">
        <v>150342</v>
      </c>
      <c r="U14" s="8">
        <v>87594</v>
      </c>
      <c r="V14" s="8"/>
      <c r="W14" s="8"/>
      <c r="X14" s="8"/>
      <c r="Y14" s="8"/>
      <c r="AA14" s="37">
        <f>SUM(K14:Y14)</f>
        <v>1431214</v>
      </c>
      <c r="AB14" s="37">
        <f>SUM(K15:Y15)</f>
        <v>60630</v>
      </c>
      <c r="AC14" s="37">
        <f>SUM(K16:Y16)</f>
        <v>33819</v>
      </c>
      <c r="AE14" s="37">
        <f>AA14-B14</f>
        <v>-2808</v>
      </c>
      <c r="AF14" s="37">
        <f>AB14-C14</f>
        <v>0</v>
      </c>
      <c r="AG14" s="37">
        <f>AC14-D14</f>
        <v>0</v>
      </c>
      <c r="AI14" s="38">
        <f>C14/B14*1000</f>
        <v>42.27968608570859</v>
      </c>
      <c r="AJ14" s="38">
        <f>D14/B14*1000</f>
        <v>23.583320200108506</v>
      </c>
      <c r="AL14" s="38">
        <f>AI14-H14</f>
        <v>0.97968608570859317</v>
      </c>
      <c r="AM14" s="38">
        <f>AJ14-I14</f>
        <v>0.48332020010850485</v>
      </c>
    </row>
    <row r="15" spans="1:39">
      <c r="A15" s="4" t="s">
        <v>16</v>
      </c>
      <c r="B15" s="5"/>
      <c r="C15" s="5"/>
      <c r="D15" s="5"/>
      <c r="E15" s="5"/>
      <c r="F15" s="5"/>
      <c r="G15" s="5"/>
      <c r="H15" s="6" t="s">
        <v>9</v>
      </c>
      <c r="I15" s="6" t="s">
        <v>9</v>
      </c>
      <c r="J15" s="5"/>
      <c r="K15" s="5">
        <v>7118</v>
      </c>
      <c r="L15" s="5">
        <v>5294</v>
      </c>
      <c r="M15" s="5">
        <v>4978</v>
      </c>
      <c r="N15" s="5">
        <v>7513</v>
      </c>
      <c r="O15" s="5">
        <v>4218</v>
      </c>
      <c r="P15" s="5">
        <v>6840</v>
      </c>
      <c r="Q15" s="5">
        <v>5095</v>
      </c>
      <c r="R15" s="5">
        <v>5106</v>
      </c>
      <c r="S15" s="5">
        <v>5938</v>
      </c>
      <c r="T15" s="5">
        <v>4343</v>
      </c>
      <c r="U15" s="5">
        <v>4187</v>
      </c>
      <c r="V15" s="5"/>
      <c r="W15" s="5"/>
      <c r="X15" s="5"/>
      <c r="Y15" s="5"/>
    </row>
    <row r="16" spans="1:39">
      <c r="A16" s="4" t="s">
        <v>17</v>
      </c>
      <c r="B16" s="5"/>
      <c r="C16" s="5"/>
      <c r="D16" s="5"/>
      <c r="E16" s="5"/>
      <c r="F16" s="5"/>
      <c r="G16" s="5"/>
      <c r="H16" s="6" t="s">
        <v>9</v>
      </c>
      <c r="I16" s="6" t="s">
        <v>9</v>
      </c>
      <c r="J16" s="5"/>
      <c r="K16" s="5">
        <v>3764</v>
      </c>
      <c r="L16" s="5">
        <v>2896</v>
      </c>
      <c r="M16" s="5">
        <v>3013</v>
      </c>
      <c r="N16" s="5">
        <v>4298</v>
      </c>
      <c r="O16" s="5">
        <v>2630</v>
      </c>
      <c r="P16" s="5">
        <v>3586</v>
      </c>
      <c r="Q16" s="5">
        <v>2517</v>
      </c>
      <c r="R16" s="5">
        <v>3407</v>
      </c>
      <c r="S16" s="5">
        <v>3102</v>
      </c>
      <c r="T16" s="5">
        <v>2298</v>
      </c>
      <c r="U16" s="5">
        <v>2308</v>
      </c>
      <c r="V16" s="5"/>
      <c r="W16" s="5"/>
      <c r="X16" s="5"/>
      <c r="Y16" s="5"/>
    </row>
    <row r="17" spans="1:39">
      <c r="A17" s="7" t="s">
        <v>18</v>
      </c>
      <c r="B17" s="8">
        <v>2623128</v>
      </c>
      <c r="C17" s="8">
        <v>137322</v>
      </c>
      <c r="D17" s="8">
        <v>104125</v>
      </c>
      <c r="E17" s="8">
        <v>199119</v>
      </c>
      <c r="F17" s="8">
        <v>7538</v>
      </c>
      <c r="G17" s="8">
        <v>6196</v>
      </c>
      <c r="H17" s="12">
        <v>52.4</v>
      </c>
      <c r="I17" s="12">
        <v>32.700000000000003</v>
      </c>
      <c r="J17" s="5"/>
      <c r="K17" s="8">
        <v>364187</v>
      </c>
      <c r="L17" s="8">
        <v>231477</v>
      </c>
      <c r="M17" s="8">
        <v>177372</v>
      </c>
      <c r="N17" s="8">
        <v>183529</v>
      </c>
      <c r="O17" s="8">
        <v>199124</v>
      </c>
      <c r="P17" s="8">
        <v>197024</v>
      </c>
      <c r="Q17" s="8">
        <v>207893</v>
      </c>
      <c r="R17" s="8">
        <v>287127</v>
      </c>
      <c r="S17" s="8">
        <v>196315</v>
      </c>
      <c r="T17" s="8">
        <v>163190</v>
      </c>
      <c r="U17" s="8">
        <v>233138</v>
      </c>
      <c r="V17" s="8">
        <v>182752</v>
      </c>
      <c r="W17" s="8"/>
      <c r="X17" s="8"/>
      <c r="Y17" s="8"/>
      <c r="AA17" s="37">
        <f>SUM(K17:Y17)</f>
        <v>2623128</v>
      </c>
      <c r="AB17" s="37">
        <f>SUM(K18:Y18)</f>
        <v>137322</v>
      </c>
      <c r="AC17" s="37">
        <f>SUM(K19:Y19)</f>
        <v>104125</v>
      </c>
      <c r="AE17" s="37">
        <f>AA17-B17</f>
        <v>0</v>
      </c>
      <c r="AF17" s="37">
        <f>AB17-C17</f>
        <v>0</v>
      </c>
      <c r="AG17" s="37">
        <f>AC17-D17</f>
        <v>0</v>
      </c>
      <c r="AI17" s="38">
        <f>C17/B17*1000</f>
        <v>52.350476225330979</v>
      </c>
      <c r="AJ17" s="38">
        <f>D17/B17*1000</f>
        <v>39.694974854448581</v>
      </c>
      <c r="AL17" s="38">
        <f>AI17-H17</f>
        <v>-4.952377466901936E-2</v>
      </c>
      <c r="AM17" s="38">
        <f>AJ17-I17</f>
        <v>6.9949748544485786</v>
      </c>
    </row>
    <row r="18" spans="1:39">
      <c r="A18" s="4" t="s">
        <v>19</v>
      </c>
      <c r="B18" s="5"/>
      <c r="C18" s="5"/>
      <c r="D18" s="5"/>
      <c r="E18" s="5"/>
      <c r="F18" s="5"/>
      <c r="G18" s="5"/>
      <c r="H18" s="6" t="s">
        <v>9</v>
      </c>
      <c r="I18" s="6" t="s">
        <v>9</v>
      </c>
      <c r="J18" s="5"/>
      <c r="K18" s="5">
        <v>19120</v>
      </c>
      <c r="L18" s="5">
        <v>12721</v>
      </c>
      <c r="M18" s="5">
        <v>9044</v>
      </c>
      <c r="N18" s="5">
        <v>9978</v>
      </c>
      <c r="O18" s="5">
        <v>9379</v>
      </c>
      <c r="P18" s="5">
        <v>10563</v>
      </c>
      <c r="Q18" s="5">
        <v>11338</v>
      </c>
      <c r="R18" s="5">
        <v>15958</v>
      </c>
      <c r="S18" s="5">
        <v>9861</v>
      </c>
      <c r="T18" s="5">
        <v>8120</v>
      </c>
      <c r="U18" s="5">
        <v>12480</v>
      </c>
      <c r="V18" s="5">
        <v>8760</v>
      </c>
      <c r="W18" s="5"/>
      <c r="X18" s="5"/>
      <c r="Y18" s="5"/>
    </row>
    <row r="19" spans="1:39">
      <c r="A19" s="4" t="s">
        <v>20</v>
      </c>
      <c r="B19" s="5"/>
      <c r="C19" s="5"/>
      <c r="D19" s="5"/>
      <c r="E19" s="5"/>
      <c r="F19" s="5"/>
      <c r="G19" s="5"/>
      <c r="H19" s="6" t="s">
        <v>9</v>
      </c>
      <c r="I19" s="6" t="s">
        <v>9</v>
      </c>
      <c r="J19" s="5"/>
      <c r="K19" s="5">
        <v>11648</v>
      </c>
      <c r="L19" s="5">
        <v>8927</v>
      </c>
      <c r="M19" s="5">
        <v>7938</v>
      </c>
      <c r="N19" s="5">
        <v>10187</v>
      </c>
      <c r="O19" s="5">
        <v>7019</v>
      </c>
      <c r="P19" s="5">
        <v>9291</v>
      </c>
      <c r="Q19" s="5">
        <v>8752</v>
      </c>
      <c r="R19" s="5">
        <v>10106</v>
      </c>
      <c r="S19" s="5">
        <v>5756</v>
      </c>
      <c r="T19" s="5">
        <v>8152</v>
      </c>
      <c r="U19" s="5">
        <v>8880</v>
      </c>
      <c r="V19" s="5">
        <v>7469</v>
      </c>
      <c r="W19" s="5"/>
      <c r="X19" s="5"/>
      <c r="Y19" s="5"/>
    </row>
    <row r="20" spans="1:39">
      <c r="A20" s="7" t="s">
        <v>21</v>
      </c>
      <c r="B20" s="8">
        <v>1625550</v>
      </c>
      <c r="C20" s="8">
        <v>67220</v>
      </c>
      <c r="D20" s="8">
        <v>43774</v>
      </c>
      <c r="E20" s="8">
        <v>244338</v>
      </c>
      <c r="F20" s="8">
        <v>6402</v>
      </c>
      <c r="G20" s="8">
        <v>3977</v>
      </c>
      <c r="H20" s="12">
        <v>41.3</v>
      </c>
      <c r="I20" s="12">
        <v>27</v>
      </c>
      <c r="J20" s="5"/>
      <c r="K20" s="8">
        <v>203807</v>
      </c>
      <c r="L20" s="8">
        <v>208742</v>
      </c>
      <c r="M20" s="8">
        <v>201643</v>
      </c>
      <c r="N20" s="8">
        <v>198738</v>
      </c>
      <c r="O20" s="8">
        <v>149560</v>
      </c>
      <c r="P20" s="8">
        <v>173129</v>
      </c>
      <c r="Q20" s="8">
        <v>140463</v>
      </c>
      <c r="R20" s="8">
        <v>228031</v>
      </c>
      <c r="S20" s="8">
        <v>121337</v>
      </c>
      <c r="T20" s="8"/>
      <c r="U20" s="8"/>
      <c r="V20" s="8"/>
      <c r="W20" s="8"/>
      <c r="X20" s="8"/>
      <c r="Y20" s="8"/>
      <c r="AA20" s="37">
        <f>SUM(K20:Y20)</f>
        <v>1625450</v>
      </c>
      <c r="AB20" s="37">
        <f>SUM(K21:Y21)</f>
        <v>67220</v>
      </c>
      <c r="AC20" s="37">
        <f>SUM(K22:Y22)</f>
        <v>43774</v>
      </c>
      <c r="AE20" s="37">
        <f>AA20-B20</f>
        <v>-100</v>
      </c>
      <c r="AF20" s="37">
        <f>AB20-C20</f>
        <v>0</v>
      </c>
      <c r="AG20" s="37">
        <f>AC20-D20</f>
        <v>0</v>
      </c>
      <c r="AI20" s="38">
        <f>C20/B20*1000</f>
        <v>41.352157731229433</v>
      </c>
      <c r="AJ20" s="38">
        <f>D20/B20*1000</f>
        <v>26.928731813847623</v>
      </c>
      <c r="AL20" s="38">
        <f>AI20-H20</f>
        <v>5.2157731229435456E-2</v>
      </c>
      <c r="AM20" s="38">
        <f>AJ20-I20</f>
        <v>-7.1268186152376956E-2</v>
      </c>
    </row>
    <row r="21" spans="1:39">
      <c r="A21" s="4" t="s">
        <v>22</v>
      </c>
      <c r="B21" s="5"/>
      <c r="C21" s="5"/>
      <c r="D21" s="5"/>
      <c r="E21" s="5"/>
      <c r="F21" s="5"/>
      <c r="G21" s="5"/>
      <c r="H21" s="6" t="s">
        <v>9</v>
      </c>
      <c r="I21" s="6" t="s">
        <v>9</v>
      </c>
      <c r="J21" s="5"/>
      <c r="K21" s="5">
        <v>6857</v>
      </c>
      <c r="L21" s="5">
        <v>9625</v>
      </c>
      <c r="M21" s="5">
        <v>7256</v>
      </c>
      <c r="N21" s="5">
        <v>6998</v>
      </c>
      <c r="O21" s="5">
        <v>7239</v>
      </c>
      <c r="P21" s="5">
        <v>8203</v>
      </c>
      <c r="Q21" s="5">
        <v>7014</v>
      </c>
      <c r="R21" s="5">
        <v>10044</v>
      </c>
      <c r="S21" s="5">
        <v>3984</v>
      </c>
      <c r="T21" s="5"/>
      <c r="U21" s="5"/>
      <c r="V21" s="5"/>
      <c r="W21" s="5"/>
      <c r="X21" s="5"/>
      <c r="Y21" s="5"/>
    </row>
    <row r="22" spans="1:39">
      <c r="A22" s="4" t="s">
        <v>23</v>
      </c>
      <c r="B22" s="5"/>
      <c r="C22" s="5"/>
      <c r="D22" s="5"/>
      <c r="E22" s="5"/>
      <c r="F22" s="5"/>
      <c r="G22" s="5"/>
      <c r="H22" s="6" t="s">
        <v>9</v>
      </c>
      <c r="I22" s="6" t="s">
        <v>9</v>
      </c>
      <c r="J22" s="5"/>
      <c r="K22" s="5">
        <v>4392</v>
      </c>
      <c r="L22" s="5">
        <v>6426</v>
      </c>
      <c r="M22" s="5">
        <v>4243</v>
      </c>
      <c r="N22" s="5">
        <v>4795</v>
      </c>
      <c r="O22" s="5">
        <v>4634</v>
      </c>
      <c r="P22" s="5">
        <v>5539</v>
      </c>
      <c r="Q22" s="5">
        <v>4680</v>
      </c>
      <c r="R22" s="5">
        <v>6427</v>
      </c>
      <c r="S22" s="5">
        <v>2638</v>
      </c>
      <c r="T22" s="5"/>
      <c r="U22" s="5"/>
      <c r="V22" s="5"/>
      <c r="W22" s="5"/>
      <c r="X22" s="5"/>
      <c r="Y22" s="5"/>
    </row>
    <row r="23" spans="1:39">
      <c r="A23" s="7" t="s">
        <v>24</v>
      </c>
      <c r="B23" s="8">
        <v>3543067</v>
      </c>
      <c r="C23" s="8">
        <v>166115</v>
      </c>
      <c r="D23" s="8">
        <v>119332</v>
      </c>
      <c r="E23" s="8">
        <v>483787</v>
      </c>
      <c r="F23" s="8">
        <v>17815</v>
      </c>
      <c r="G23" s="8">
        <v>12088</v>
      </c>
      <c r="H23" s="12">
        <v>46.3</v>
      </c>
      <c r="I23" s="12">
        <v>33.200000000000003</v>
      </c>
      <c r="J23" s="5"/>
      <c r="K23" s="8">
        <v>517606</v>
      </c>
      <c r="L23" s="8">
        <v>278173</v>
      </c>
      <c r="M23" s="8">
        <v>349077</v>
      </c>
      <c r="N23" s="8">
        <v>277563</v>
      </c>
      <c r="O23" s="8">
        <v>272064</v>
      </c>
      <c r="P23" s="8">
        <v>226327</v>
      </c>
      <c r="Q23" s="8">
        <v>279933</v>
      </c>
      <c r="R23" s="8">
        <v>253713</v>
      </c>
      <c r="S23" s="8">
        <v>248445</v>
      </c>
      <c r="T23" s="8">
        <v>305739</v>
      </c>
      <c r="U23" s="8">
        <v>295784</v>
      </c>
      <c r="V23" s="8">
        <v>238643</v>
      </c>
      <c r="W23" s="8"/>
      <c r="X23" s="8"/>
      <c r="Y23" s="8"/>
      <c r="AA23" s="37">
        <f>SUM(K23:Y23)</f>
        <v>3543067</v>
      </c>
      <c r="AB23" s="37">
        <f>SUM(K24:Y24)</f>
        <v>166115</v>
      </c>
      <c r="AC23" s="37">
        <f>SUM(K25:Y25)</f>
        <v>119332</v>
      </c>
      <c r="AE23" s="37">
        <f>AA23-B23</f>
        <v>0</v>
      </c>
      <c r="AF23" s="37">
        <f>AB23-C23</f>
        <v>0</v>
      </c>
      <c r="AG23" s="37">
        <f>AC23-D23</f>
        <v>0</v>
      </c>
      <c r="AI23" s="38">
        <f>C23/B23*1000</f>
        <v>46.884521235415534</v>
      </c>
      <c r="AJ23" s="38">
        <f>D23/B23*1000</f>
        <v>33.680424332929633</v>
      </c>
      <c r="AL23" s="38">
        <f>AI23-H23</f>
        <v>0.58452123541553647</v>
      </c>
      <c r="AM23" s="38">
        <f>AJ23-I23</f>
        <v>0.48042433292962983</v>
      </c>
    </row>
    <row r="24" spans="1:39">
      <c r="A24" s="4" t="s">
        <v>25</v>
      </c>
      <c r="B24" s="5"/>
      <c r="C24" s="5"/>
      <c r="D24" s="5"/>
      <c r="E24" s="5"/>
      <c r="F24" s="5"/>
      <c r="G24" s="5"/>
      <c r="H24" s="6" t="s">
        <v>9</v>
      </c>
      <c r="I24" s="6" t="s">
        <v>9</v>
      </c>
      <c r="J24" s="5"/>
      <c r="K24" s="5">
        <v>22811</v>
      </c>
      <c r="L24" s="5">
        <v>12611</v>
      </c>
      <c r="M24" s="5">
        <v>15230</v>
      </c>
      <c r="N24" s="5">
        <v>12656</v>
      </c>
      <c r="O24" s="5">
        <v>12846</v>
      </c>
      <c r="P24" s="5">
        <v>9587</v>
      </c>
      <c r="Q24" s="5">
        <v>15536</v>
      </c>
      <c r="R24" s="5">
        <v>11618</v>
      </c>
      <c r="S24" s="5">
        <v>11206</v>
      </c>
      <c r="T24" s="5">
        <v>15177</v>
      </c>
      <c r="U24" s="5">
        <v>15216</v>
      </c>
      <c r="V24" s="5">
        <v>11621</v>
      </c>
      <c r="W24" s="5"/>
      <c r="X24" s="5"/>
      <c r="Y24" s="5"/>
    </row>
    <row r="25" spans="1:39">
      <c r="A25" s="4" t="s">
        <v>26</v>
      </c>
      <c r="B25" s="5"/>
      <c r="C25" s="5"/>
      <c r="D25" s="5"/>
      <c r="E25" s="5"/>
      <c r="F25" s="5"/>
      <c r="G25" s="5"/>
      <c r="H25" s="6" t="s">
        <v>9</v>
      </c>
      <c r="I25" s="6" t="s">
        <v>9</v>
      </c>
      <c r="J25" s="5"/>
      <c r="K25" s="5">
        <v>15534</v>
      </c>
      <c r="L25" s="5">
        <v>10297</v>
      </c>
      <c r="M25" s="5">
        <v>12573</v>
      </c>
      <c r="N25" s="5">
        <v>8237</v>
      </c>
      <c r="O25" s="5">
        <v>9043</v>
      </c>
      <c r="P25" s="5">
        <v>8384</v>
      </c>
      <c r="Q25" s="5">
        <v>8542</v>
      </c>
      <c r="R25" s="5">
        <v>8614</v>
      </c>
      <c r="S25" s="5">
        <v>9615</v>
      </c>
      <c r="T25" s="5">
        <v>11570</v>
      </c>
      <c r="U25" s="5">
        <v>9914</v>
      </c>
      <c r="V25" s="5">
        <v>7009</v>
      </c>
      <c r="W25" s="5"/>
      <c r="X25" s="5"/>
      <c r="Y25" s="5"/>
    </row>
    <row r="26" spans="1:39">
      <c r="A26" s="7" t="s">
        <v>27</v>
      </c>
      <c r="B26" s="8">
        <v>1680468</v>
      </c>
      <c r="C26" s="8">
        <v>56731</v>
      </c>
      <c r="D26" s="8">
        <v>35276</v>
      </c>
      <c r="E26" s="8">
        <v>164844</v>
      </c>
      <c r="F26" s="8">
        <v>4196</v>
      </c>
      <c r="G26" s="8">
        <v>3182</v>
      </c>
      <c r="H26" s="12">
        <v>33.700000000000003</v>
      </c>
      <c r="I26" s="12">
        <v>22</v>
      </c>
      <c r="J26" s="5"/>
      <c r="K26" s="8">
        <v>245980</v>
      </c>
      <c r="L26" s="8">
        <v>250665</v>
      </c>
      <c r="M26" s="8">
        <v>221818</v>
      </c>
      <c r="N26" s="8">
        <v>235820</v>
      </c>
      <c r="O26" s="8">
        <v>257640</v>
      </c>
      <c r="P26" s="8">
        <v>203662</v>
      </c>
      <c r="Q26" s="8">
        <v>264783</v>
      </c>
      <c r="R26" s="8"/>
      <c r="S26" s="8"/>
      <c r="T26" s="8"/>
      <c r="U26" s="8"/>
      <c r="V26" s="8"/>
      <c r="W26" s="8"/>
      <c r="X26" s="8"/>
      <c r="Y26" s="8"/>
      <c r="AA26" s="37">
        <f>SUM(K26:Y26)</f>
        <v>1680368</v>
      </c>
      <c r="AB26" s="37">
        <f>SUM(K27:Y27)</f>
        <v>56731</v>
      </c>
      <c r="AC26" s="37">
        <f>SUM(K28:Y28)</f>
        <v>35276</v>
      </c>
      <c r="AE26" s="37">
        <f>AA26-B26</f>
        <v>-100</v>
      </c>
      <c r="AF26" s="37">
        <f>AB26-C26</f>
        <v>0</v>
      </c>
      <c r="AG26" s="37">
        <f>AC26-D26</f>
        <v>0</v>
      </c>
      <c r="AI26" s="38">
        <f>C26/B26*1000</f>
        <v>33.759048074703003</v>
      </c>
      <c r="AJ26" s="38">
        <f>D26/B26*1000</f>
        <v>20.991771339888651</v>
      </c>
      <c r="AL26" s="38">
        <f>AI26-H26</f>
        <v>5.9048074702999997E-2</v>
      </c>
      <c r="AM26" s="38">
        <f>AJ26-I26</f>
        <v>-1.0082286601113495</v>
      </c>
    </row>
    <row r="27" spans="1:39">
      <c r="A27" s="4" t="s">
        <v>28</v>
      </c>
      <c r="B27" s="5"/>
      <c r="C27" s="5"/>
      <c r="D27" s="5"/>
      <c r="E27" s="5"/>
      <c r="F27" s="5"/>
      <c r="G27" s="5"/>
      <c r="H27" s="6" t="s">
        <v>9</v>
      </c>
      <c r="I27" s="6" t="s">
        <v>9</v>
      </c>
      <c r="J27" s="5"/>
      <c r="K27" s="5">
        <v>8329</v>
      </c>
      <c r="L27" s="5">
        <v>8576</v>
      </c>
      <c r="M27" s="5">
        <v>7142</v>
      </c>
      <c r="N27" s="5">
        <v>7805</v>
      </c>
      <c r="O27" s="5">
        <v>9182</v>
      </c>
      <c r="P27" s="5">
        <v>7202</v>
      </c>
      <c r="Q27" s="5">
        <v>8495</v>
      </c>
      <c r="R27" s="5"/>
      <c r="S27" s="5"/>
      <c r="T27" s="5"/>
      <c r="U27" s="5"/>
      <c r="V27" s="5"/>
      <c r="W27" s="5"/>
      <c r="X27" s="5"/>
      <c r="Y27" s="5"/>
    </row>
    <row r="28" spans="1:39">
      <c r="A28" s="4" t="s">
        <v>29</v>
      </c>
      <c r="B28" s="5"/>
      <c r="C28" s="5"/>
      <c r="D28" s="5"/>
      <c r="E28" s="5"/>
      <c r="F28" s="5"/>
      <c r="G28" s="5"/>
      <c r="H28" s="6" t="s">
        <v>9</v>
      </c>
      <c r="I28" s="6" t="s">
        <v>9</v>
      </c>
      <c r="J28" s="5"/>
      <c r="K28" s="5">
        <v>5313</v>
      </c>
      <c r="L28" s="5">
        <v>5357</v>
      </c>
      <c r="M28" s="5">
        <v>4652</v>
      </c>
      <c r="N28" s="5">
        <v>4638</v>
      </c>
      <c r="O28" s="5">
        <v>5168</v>
      </c>
      <c r="P28" s="5">
        <v>4551</v>
      </c>
      <c r="Q28" s="5">
        <v>5597</v>
      </c>
      <c r="R28" s="5"/>
      <c r="S28" s="5"/>
      <c r="T28" s="5"/>
      <c r="U28" s="5"/>
      <c r="V28" s="5"/>
      <c r="W28" s="5"/>
      <c r="X28" s="5"/>
      <c r="Y28" s="5"/>
    </row>
    <row r="29" spans="1:39">
      <c r="A29" s="7" t="s">
        <v>30</v>
      </c>
      <c r="B29" s="8">
        <v>2007235</v>
      </c>
      <c r="C29" s="8">
        <v>95607</v>
      </c>
      <c r="D29" s="8">
        <v>52947</v>
      </c>
      <c r="E29" s="8">
        <v>286316</v>
      </c>
      <c r="F29" s="8">
        <v>7223</v>
      </c>
      <c r="G29" s="8">
        <v>4159</v>
      </c>
      <c r="H29" s="12">
        <v>47.6</v>
      </c>
      <c r="I29" s="12">
        <v>26.4</v>
      </c>
      <c r="J29" s="5"/>
      <c r="K29" s="8">
        <v>261560</v>
      </c>
      <c r="L29" s="8">
        <v>251043</v>
      </c>
      <c r="M29" s="8">
        <v>199101</v>
      </c>
      <c r="N29" s="8">
        <v>209979</v>
      </c>
      <c r="O29" s="8">
        <v>152883</v>
      </c>
      <c r="P29" s="8">
        <v>232206</v>
      </c>
      <c r="Q29" s="8">
        <v>211023</v>
      </c>
      <c r="R29" s="8">
        <v>183421</v>
      </c>
      <c r="S29" s="8">
        <v>247519</v>
      </c>
      <c r="T29" s="8"/>
      <c r="U29" s="8"/>
      <c r="V29" s="8"/>
      <c r="W29" s="8"/>
      <c r="X29" s="8"/>
      <c r="Y29" s="8"/>
      <c r="AA29" s="37">
        <f>SUM(K29:Y29)</f>
        <v>1948735</v>
      </c>
      <c r="AB29" s="37">
        <f>SUM(K30:Y30)</f>
        <v>95607</v>
      </c>
      <c r="AC29" s="37">
        <f>SUM(K31:Y31)</f>
        <v>52949</v>
      </c>
      <c r="AE29" s="37">
        <f>AA29-B29</f>
        <v>-58500</v>
      </c>
      <c r="AF29" s="37">
        <f>AB29-C29</f>
        <v>0</v>
      </c>
      <c r="AG29" s="37">
        <f>AC29-D29</f>
        <v>2</v>
      </c>
      <c r="AI29" s="38">
        <f>C29/B29*1000</f>
        <v>47.631194155143767</v>
      </c>
      <c r="AJ29" s="38">
        <f>D29/B29*1000</f>
        <v>26.378077305347905</v>
      </c>
      <c r="AL29" s="38">
        <f>AI29-H29</f>
        <v>3.1194155143765556E-2</v>
      </c>
      <c r="AM29" s="38">
        <f>AJ29-I29</f>
        <v>-2.1922694652094066E-2</v>
      </c>
    </row>
    <row r="30" spans="1:39">
      <c r="A30" s="4" t="s">
        <v>31</v>
      </c>
      <c r="B30" s="5"/>
      <c r="C30" s="5"/>
      <c r="D30" s="5"/>
      <c r="E30" s="5"/>
      <c r="F30" s="5"/>
      <c r="G30" s="5"/>
      <c r="H30" s="6" t="s">
        <v>9</v>
      </c>
      <c r="I30" s="6" t="s">
        <v>9</v>
      </c>
      <c r="J30" s="5"/>
      <c r="K30" s="5">
        <v>10036</v>
      </c>
      <c r="L30" s="5">
        <v>11339</v>
      </c>
      <c r="M30" s="5">
        <v>10159</v>
      </c>
      <c r="N30" s="5">
        <v>10943</v>
      </c>
      <c r="O30" s="5">
        <v>8514</v>
      </c>
      <c r="P30" s="5">
        <v>10882</v>
      </c>
      <c r="Q30" s="5">
        <v>10841</v>
      </c>
      <c r="R30" s="5">
        <v>11197</v>
      </c>
      <c r="S30" s="5">
        <v>11696</v>
      </c>
      <c r="T30" s="5"/>
      <c r="U30" s="5"/>
      <c r="V30" s="5"/>
      <c r="W30" s="5"/>
      <c r="X30" s="5"/>
      <c r="Y30" s="5"/>
    </row>
    <row r="31" spans="1:39">
      <c r="A31" s="4" t="s">
        <v>32</v>
      </c>
      <c r="B31" s="5"/>
      <c r="C31" s="5"/>
      <c r="D31" s="5"/>
      <c r="E31" s="5"/>
      <c r="F31" s="5"/>
      <c r="G31" s="5"/>
      <c r="H31" s="6" t="s">
        <v>9</v>
      </c>
      <c r="I31" s="6" t="s">
        <v>9</v>
      </c>
      <c r="J31" s="5"/>
      <c r="K31" s="5">
        <v>4887</v>
      </c>
      <c r="L31" s="5">
        <v>7249</v>
      </c>
      <c r="M31" s="5">
        <v>4613</v>
      </c>
      <c r="N31" s="5">
        <v>5463</v>
      </c>
      <c r="O31" s="5">
        <v>5438</v>
      </c>
      <c r="P31" s="5">
        <v>6077</v>
      </c>
      <c r="Q31" s="5">
        <v>6319</v>
      </c>
      <c r="R31" s="5">
        <v>6328</v>
      </c>
      <c r="S31" s="5">
        <v>6575</v>
      </c>
      <c r="T31" s="5"/>
      <c r="U31" s="5"/>
      <c r="V31" s="5"/>
      <c r="W31" s="5"/>
      <c r="X31" s="5"/>
      <c r="Y31" s="5"/>
    </row>
    <row r="32" spans="1:39">
      <c r="A32" s="7" t="s">
        <v>33</v>
      </c>
      <c r="B32" s="8">
        <v>1550586</v>
      </c>
      <c r="C32" s="8">
        <v>79451</v>
      </c>
      <c r="D32" s="8">
        <v>40233</v>
      </c>
      <c r="E32" s="8">
        <v>140508</v>
      </c>
      <c r="F32" s="8">
        <v>4848</v>
      </c>
      <c r="G32" s="8">
        <v>2654</v>
      </c>
      <c r="H32" s="12">
        <v>51.2</v>
      </c>
      <c r="I32" s="12">
        <v>26</v>
      </c>
      <c r="J32" s="5"/>
      <c r="K32" s="8">
        <v>159949</v>
      </c>
      <c r="L32" s="8">
        <v>111675</v>
      </c>
      <c r="M32" s="8">
        <v>223090</v>
      </c>
      <c r="N32" s="8">
        <v>111741</v>
      </c>
      <c r="O32" s="8">
        <v>135729</v>
      </c>
      <c r="P32" s="8">
        <v>92289</v>
      </c>
      <c r="Q32" s="8">
        <v>140937</v>
      </c>
      <c r="R32" s="8">
        <v>198876</v>
      </c>
      <c r="S32" s="8">
        <v>148928</v>
      </c>
      <c r="T32" s="8">
        <v>84512</v>
      </c>
      <c r="U32" s="8">
        <v>142860</v>
      </c>
      <c r="V32" s="8"/>
      <c r="W32" s="8"/>
      <c r="X32" s="8"/>
      <c r="Y32" s="8"/>
      <c r="AA32" s="37">
        <f>SUM(K32:Y32)</f>
        <v>1550586</v>
      </c>
      <c r="AB32" s="37">
        <f>SUM(K33:Y33)</f>
        <v>79451</v>
      </c>
      <c r="AC32" s="37">
        <f>SUM(K34:Y34)</f>
        <v>40191</v>
      </c>
      <c r="AE32" s="37">
        <f>AA32-B32</f>
        <v>0</v>
      </c>
      <c r="AF32" s="37">
        <f>AB32-C32</f>
        <v>0</v>
      </c>
      <c r="AG32" s="37">
        <f>AC32-D32</f>
        <v>-42</v>
      </c>
      <c r="AI32" s="38">
        <f>C32/B32*1000</f>
        <v>51.239337901928685</v>
      </c>
      <c r="AJ32" s="38">
        <f>D32/B32*1000</f>
        <v>25.94696456694437</v>
      </c>
      <c r="AL32" s="38">
        <f>AI32-H32</f>
        <v>3.9337901928682584E-2</v>
      </c>
      <c r="AM32" s="38">
        <f>AJ32-I32</f>
        <v>-5.3035433055629966E-2</v>
      </c>
    </row>
    <row r="33" spans="1:39">
      <c r="A33" s="4" t="s">
        <v>34</v>
      </c>
      <c r="B33" s="5"/>
      <c r="C33" s="5"/>
      <c r="D33" s="5"/>
      <c r="E33" s="5"/>
      <c r="F33" s="5"/>
      <c r="G33" s="5"/>
      <c r="H33" s="6" t="s">
        <v>9</v>
      </c>
      <c r="I33" s="6" t="s">
        <v>9</v>
      </c>
      <c r="J33" s="5"/>
      <c r="K33" s="5">
        <v>6740</v>
      </c>
      <c r="L33" s="5">
        <v>6189</v>
      </c>
      <c r="M33" s="5">
        <v>11289</v>
      </c>
      <c r="N33" s="5">
        <v>5740</v>
      </c>
      <c r="O33" s="5">
        <v>6781</v>
      </c>
      <c r="P33" s="5">
        <v>4555</v>
      </c>
      <c r="Q33" s="5">
        <v>8233</v>
      </c>
      <c r="R33" s="5">
        <v>11393</v>
      </c>
      <c r="S33" s="5">
        <v>7179</v>
      </c>
      <c r="T33" s="5">
        <v>4262</v>
      </c>
      <c r="U33" s="5">
        <v>7090</v>
      </c>
      <c r="V33" s="5"/>
      <c r="W33" s="5"/>
      <c r="X33" s="5"/>
      <c r="Y33" s="5"/>
    </row>
    <row r="34" spans="1:39">
      <c r="A34" s="4" t="s">
        <v>35</v>
      </c>
      <c r="B34" s="5"/>
      <c r="C34" s="5"/>
      <c r="D34" s="5"/>
      <c r="E34" s="5"/>
      <c r="F34" s="5"/>
      <c r="G34" s="5"/>
      <c r="H34" s="6" t="s">
        <v>9</v>
      </c>
      <c r="I34" s="6" t="s">
        <v>9</v>
      </c>
      <c r="J34" s="5"/>
      <c r="K34" s="5">
        <v>2927</v>
      </c>
      <c r="L34" s="5">
        <v>3416</v>
      </c>
      <c r="M34" s="5">
        <v>6300</v>
      </c>
      <c r="N34" s="5">
        <v>2627</v>
      </c>
      <c r="O34" s="5">
        <v>3979</v>
      </c>
      <c r="P34" s="5">
        <v>2088</v>
      </c>
      <c r="Q34" s="5">
        <v>3737</v>
      </c>
      <c r="R34" s="5">
        <v>6398</v>
      </c>
      <c r="S34" s="5">
        <v>3468</v>
      </c>
      <c r="T34" s="5">
        <v>1827</v>
      </c>
      <c r="U34" s="5">
        <v>3424</v>
      </c>
      <c r="V34" s="5"/>
      <c r="W34" s="5"/>
      <c r="X34" s="5"/>
      <c r="Y34" s="5"/>
    </row>
    <row r="35" spans="1:39">
      <c r="A35" s="7" t="s">
        <v>36</v>
      </c>
      <c r="B35" s="8">
        <v>1520036</v>
      </c>
      <c r="C35" s="8">
        <v>86614</v>
      </c>
      <c r="D35" s="8">
        <v>55994</v>
      </c>
      <c r="E35" s="8">
        <v>142054</v>
      </c>
      <c r="F35" s="8">
        <v>7196</v>
      </c>
      <c r="G35" s="8">
        <v>5497</v>
      </c>
      <c r="H35" s="12">
        <v>57</v>
      </c>
      <c r="I35" s="12">
        <v>36.799999999999997</v>
      </c>
      <c r="J35" s="5"/>
      <c r="K35" s="8">
        <v>504631</v>
      </c>
      <c r="L35" s="8">
        <v>216285</v>
      </c>
      <c r="M35" s="8">
        <v>216613</v>
      </c>
      <c r="N35" s="8">
        <v>177967</v>
      </c>
      <c r="O35" s="8">
        <v>405540</v>
      </c>
      <c r="P35" s="8"/>
      <c r="Q35" s="8"/>
      <c r="R35" s="8"/>
      <c r="S35" s="8"/>
      <c r="T35" s="8"/>
      <c r="U35" s="8"/>
      <c r="V35" s="8"/>
      <c r="W35" s="8"/>
      <c r="X35" s="8"/>
      <c r="Y35" s="8"/>
      <c r="AA35" s="37">
        <f>SUM(K35:Y35)</f>
        <v>1521036</v>
      </c>
      <c r="AB35" s="37">
        <f>SUM(K36:Y36)</f>
        <v>86614</v>
      </c>
      <c r="AC35" s="37">
        <f>SUM(K37:Y37)</f>
        <v>55994</v>
      </c>
      <c r="AE35" s="37">
        <f>AA35-B35</f>
        <v>1000</v>
      </c>
      <c r="AF35" s="37">
        <f>AB35-C35</f>
        <v>0</v>
      </c>
      <c r="AG35" s="37">
        <f>AC35-D35</f>
        <v>0</v>
      </c>
      <c r="AI35" s="38">
        <f>C35/B35*1000</f>
        <v>56.981545173930094</v>
      </c>
      <c r="AJ35" s="38">
        <f>D35/B35*1000</f>
        <v>36.837285432713436</v>
      </c>
      <c r="AL35" s="38">
        <f>AI35-H35</f>
        <v>-1.8454826069906005E-2</v>
      </c>
      <c r="AM35" s="38">
        <f>AJ35-I35</f>
        <v>3.7285432713439093E-2</v>
      </c>
    </row>
    <row r="36" spans="1:39">
      <c r="A36" s="4" t="s">
        <v>37</v>
      </c>
      <c r="B36" s="5"/>
      <c r="C36" s="5"/>
      <c r="D36" s="5"/>
      <c r="E36" s="5"/>
      <c r="F36" s="5"/>
      <c r="G36" s="5"/>
      <c r="H36" s="6" t="s">
        <v>9</v>
      </c>
      <c r="I36" s="6" t="s">
        <v>9</v>
      </c>
      <c r="J36" s="5"/>
      <c r="K36" s="5">
        <v>30387</v>
      </c>
      <c r="L36" s="5">
        <v>11535</v>
      </c>
      <c r="M36" s="5">
        <v>10495</v>
      </c>
      <c r="N36" s="5">
        <v>11382</v>
      </c>
      <c r="O36" s="5">
        <v>22815</v>
      </c>
      <c r="P36" s="5"/>
      <c r="Q36" s="5"/>
      <c r="R36" s="5"/>
      <c r="S36" s="5"/>
      <c r="T36" s="5"/>
      <c r="U36" s="5"/>
      <c r="V36" s="5"/>
      <c r="W36" s="5"/>
      <c r="X36" s="5"/>
      <c r="Y36" s="5"/>
    </row>
    <row r="37" spans="1:39">
      <c r="A37" s="4" t="s">
        <v>38</v>
      </c>
      <c r="B37" s="5"/>
      <c r="C37" s="5"/>
      <c r="D37" s="5"/>
      <c r="E37" s="5"/>
      <c r="F37" s="5"/>
      <c r="G37" s="5"/>
      <c r="H37" s="6" t="s">
        <v>9</v>
      </c>
      <c r="I37" s="6" t="s">
        <v>9</v>
      </c>
      <c r="J37" s="5"/>
      <c r="K37" s="5">
        <v>20418</v>
      </c>
      <c r="L37" s="5">
        <v>6486</v>
      </c>
      <c r="M37" s="5">
        <v>6021</v>
      </c>
      <c r="N37" s="5">
        <v>6618</v>
      </c>
      <c r="O37" s="5">
        <v>16451</v>
      </c>
      <c r="P37" s="5"/>
      <c r="Q37" s="5"/>
      <c r="R37" s="5"/>
      <c r="S37" s="5"/>
      <c r="T37" s="5"/>
      <c r="U37" s="5"/>
      <c r="V37" s="5"/>
      <c r="W37" s="5"/>
      <c r="X37" s="5"/>
      <c r="Y37" s="5"/>
    </row>
    <row r="38" spans="1:39">
      <c r="A38" s="7" t="s">
        <v>39</v>
      </c>
      <c r="B38" s="8">
        <v>2804786</v>
      </c>
      <c r="C38" s="8">
        <v>133211</v>
      </c>
      <c r="D38" s="8">
        <v>95329</v>
      </c>
      <c r="E38" s="9" t="s">
        <v>9</v>
      </c>
      <c r="F38" s="9" t="s">
        <v>9</v>
      </c>
      <c r="G38" s="9" t="s">
        <v>9</v>
      </c>
      <c r="H38" s="10">
        <v>47.5</v>
      </c>
      <c r="I38" s="10">
        <v>34</v>
      </c>
      <c r="J38" s="11"/>
      <c r="K38" s="8">
        <v>241008</v>
      </c>
      <c r="L38" s="8">
        <v>364365</v>
      </c>
      <c r="M38" s="8">
        <v>215390</v>
      </c>
      <c r="N38" s="8">
        <v>230818</v>
      </c>
      <c r="O38" s="8">
        <v>246342</v>
      </c>
      <c r="P38" s="8">
        <v>156654</v>
      </c>
      <c r="Q38" s="8">
        <v>191999</v>
      </c>
      <c r="R38" s="8">
        <v>218534</v>
      </c>
      <c r="S38" s="8">
        <v>233062</v>
      </c>
      <c r="T38" s="8">
        <v>259053</v>
      </c>
      <c r="U38" s="8">
        <v>202166</v>
      </c>
      <c r="V38" s="8">
        <v>245395</v>
      </c>
      <c r="W38" s="8"/>
      <c r="X38" s="8"/>
      <c r="Y38" s="8"/>
      <c r="AA38" s="37">
        <f>SUM(K38:Y38)</f>
        <v>2804786</v>
      </c>
      <c r="AB38" s="37">
        <f>SUM(K39:Y39)</f>
        <v>133211</v>
      </c>
      <c r="AC38" s="37">
        <f>SUM(K40:Y40)</f>
        <v>95239</v>
      </c>
      <c r="AE38" s="37">
        <f>AA38-B38</f>
        <v>0</v>
      </c>
      <c r="AF38" s="37">
        <f>AB38-C38</f>
        <v>0</v>
      </c>
      <c r="AG38" s="37">
        <f>AC38-D38</f>
        <v>-90</v>
      </c>
      <c r="AI38" s="38">
        <f>C38/B38*1000</f>
        <v>47.494176026263681</v>
      </c>
      <c r="AJ38" s="38">
        <f>D38/B38*1000</f>
        <v>33.98797626628199</v>
      </c>
      <c r="AL38" s="38">
        <f>AI38-H38</f>
        <v>-5.8239737363194877E-3</v>
      </c>
      <c r="AM38" s="38">
        <f>AJ38-I38</f>
        <v>-1.2023733718010021E-2</v>
      </c>
    </row>
    <row r="39" spans="1:39">
      <c r="A39" s="4" t="s">
        <v>40</v>
      </c>
      <c r="B39" s="5"/>
      <c r="C39" s="5"/>
      <c r="D39" s="5"/>
      <c r="E39" s="5"/>
      <c r="F39" s="5"/>
      <c r="G39" s="5"/>
      <c r="H39" s="6" t="s">
        <v>9</v>
      </c>
      <c r="I39" s="6" t="s">
        <v>9</v>
      </c>
      <c r="J39" s="5"/>
      <c r="K39" s="5">
        <v>10523</v>
      </c>
      <c r="L39" s="5">
        <v>17974</v>
      </c>
      <c r="M39" s="5">
        <v>10445</v>
      </c>
      <c r="N39" s="5">
        <v>10366</v>
      </c>
      <c r="O39" s="5">
        <v>11215</v>
      </c>
      <c r="P39" s="5">
        <v>7622</v>
      </c>
      <c r="Q39" s="5">
        <v>9469</v>
      </c>
      <c r="R39" s="5">
        <v>10579</v>
      </c>
      <c r="S39" s="5">
        <v>10013</v>
      </c>
      <c r="T39" s="5">
        <v>12879</v>
      </c>
      <c r="U39" s="5">
        <v>9969</v>
      </c>
      <c r="V39" s="5">
        <v>12157</v>
      </c>
      <c r="W39" s="5"/>
      <c r="X39" s="5"/>
      <c r="Y39" s="5"/>
    </row>
    <row r="40" spans="1:39">
      <c r="A40" s="4" t="s">
        <v>41</v>
      </c>
      <c r="B40" s="5"/>
      <c r="C40" s="5"/>
      <c r="D40" s="5"/>
      <c r="E40" s="5"/>
      <c r="F40" s="5"/>
      <c r="G40" s="5"/>
      <c r="H40" s="6" t="s">
        <v>9</v>
      </c>
      <c r="I40" s="6" t="s">
        <v>9</v>
      </c>
      <c r="J40" s="5"/>
      <c r="K40" s="5">
        <v>6569</v>
      </c>
      <c r="L40" s="5">
        <v>12764</v>
      </c>
      <c r="M40" s="5">
        <v>8777</v>
      </c>
      <c r="N40" s="5">
        <v>8563</v>
      </c>
      <c r="O40" s="5">
        <v>7605</v>
      </c>
      <c r="P40" s="5">
        <v>5297</v>
      </c>
      <c r="Q40" s="5">
        <v>6980</v>
      </c>
      <c r="R40" s="5">
        <v>6555</v>
      </c>
      <c r="S40" s="5">
        <v>6624</v>
      </c>
      <c r="T40" s="5">
        <v>10276</v>
      </c>
      <c r="U40" s="5">
        <v>6896</v>
      </c>
      <c r="V40" s="5">
        <v>8333</v>
      </c>
      <c r="W40" s="5"/>
      <c r="X40" s="5"/>
      <c r="Y40" s="5"/>
    </row>
    <row r="41" spans="1:39">
      <c r="A41" s="40" t="s">
        <v>42</v>
      </c>
      <c r="B41" s="41">
        <v>21577379</v>
      </c>
      <c r="C41" s="41">
        <v>993856</v>
      </c>
      <c r="D41" s="41">
        <v>647156</v>
      </c>
      <c r="E41" s="41"/>
      <c r="F41" s="41"/>
      <c r="G41" s="41"/>
      <c r="H41" s="42">
        <v>46.7</v>
      </c>
      <c r="I41" s="42">
        <v>30.4</v>
      </c>
      <c r="J41" s="5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AA41" s="43">
        <f>SUM(AA2:AA40)</f>
        <v>21516471</v>
      </c>
      <c r="AB41" s="43">
        <f>SUM(AB2:AB40)</f>
        <v>993866</v>
      </c>
      <c r="AC41" s="43">
        <f>SUM(AC2:AC40)</f>
        <v>647026</v>
      </c>
      <c r="AE41" s="43">
        <f>AA41-B41</f>
        <v>-60908</v>
      </c>
      <c r="AF41" s="43">
        <f>AB41-C41</f>
        <v>10</v>
      </c>
      <c r="AG41" s="43">
        <f>AC41-D41</f>
        <v>-130</v>
      </c>
      <c r="AI41" s="44">
        <f>C41/B41*1000</f>
        <v>46.060089133161171</v>
      </c>
      <c r="AJ41" s="44">
        <f>D41/B41*1000</f>
        <v>29.992335955168606</v>
      </c>
      <c r="AL41" s="44">
        <f t="shared" ref="AL41:AM43" si="0">AI41-H41</f>
        <v>-0.63991086683883225</v>
      </c>
      <c r="AM41" s="44">
        <f t="shared" si="0"/>
        <v>-0.4076640448313924</v>
      </c>
    </row>
    <row r="42" spans="1:39">
      <c r="A42" s="7" t="s">
        <v>43</v>
      </c>
      <c r="B42" s="8">
        <v>545006</v>
      </c>
      <c r="C42" s="8">
        <v>23200</v>
      </c>
      <c r="D42" s="8">
        <v>13259</v>
      </c>
      <c r="E42" s="8"/>
      <c r="F42" s="8"/>
      <c r="G42" s="8"/>
      <c r="H42" s="12">
        <v>41</v>
      </c>
      <c r="I42" s="12">
        <v>24.4</v>
      </c>
      <c r="J42" s="5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AA42" s="37">
        <f>B42</f>
        <v>545006</v>
      </c>
      <c r="AB42" s="37">
        <f>C42</f>
        <v>23200</v>
      </c>
      <c r="AC42" s="37">
        <f>D42</f>
        <v>13259</v>
      </c>
      <c r="AE42" s="39"/>
      <c r="AF42" s="39"/>
      <c r="AG42" s="39"/>
      <c r="AI42" s="38">
        <f>C42/B42*1000</f>
        <v>42.568338697188658</v>
      </c>
      <c r="AJ42" s="38">
        <f>D42/B42*1000</f>
        <v>24.328172533880362</v>
      </c>
      <c r="AL42" s="38">
        <f t="shared" si="0"/>
        <v>1.5683386971886577</v>
      </c>
      <c r="AM42" s="38">
        <f t="shared" si="0"/>
        <v>-7.1827466119636085E-2</v>
      </c>
    </row>
    <row r="43" spans="1:39">
      <c r="A43" s="7" t="s">
        <v>44</v>
      </c>
      <c r="B43" s="8">
        <v>1282799</v>
      </c>
      <c r="C43" s="8">
        <v>56921</v>
      </c>
      <c r="D43" s="8">
        <v>31272</v>
      </c>
      <c r="E43" s="8">
        <v>101883</v>
      </c>
      <c r="F43" s="8">
        <v>3594</v>
      </c>
      <c r="G43" s="8">
        <v>2163</v>
      </c>
      <c r="H43" s="12">
        <v>41.2</v>
      </c>
      <c r="I43" s="12">
        <v>22.6</v>
      </c>
      <c r="J43" s="5"/>
      <c r="K43" s="8">
        <v>142083</v>
      </c>
      <c r="L43" s="8">
        <v>86143</v>
      </c>
      <c r="M43" s="8">
        <v>87998</v>
      </c>
      <c r="N43" s="8">
        <v>88602</v>
      </c>
      <c r="O43" s="8">
        <v>110442</v>
      </c>
      <c r="P43" s="8">
        <v>97184</v>
      </c>
      <c r="Q43" s="8">
        <v>75172</v>
      </c>
      <c r="R43" s="8">
        <v>84974</v>
      </c>
      <c r="S43" s="8">
        <v>90311</v>
      </c>
      <c r="T43" s="8">
        <v>112308</v>
      </c>
      <c r="U43" s="8">
        <v>104088</v>
      </c>
      <c r="V43" s="8">
        <v>68532</v>
      </c>
      <c r="W43" s="8">
        <v>53300</v>
      </c>
      <c r="X43" s="8">
        <v>91662</v>
      </c>
      <c r="Y43" s="8"/>
      <c r="AA43" s="37">
        <f>SUM(K43:Y43)</f>
        <v>1292799</v>
      </c>
      <c r="AB43" s="37">
        <f>SUM(K44:Y44)</f>
        <v>56821</v>
      </c>
      <c r="AC43" s="37">
        <f>SUM(K45:Y45)</f>
        <v>31272</v>
      </c>
      <c r="AE43" s="37">
        <f>AA43-B43</f>
        <v>10000</v>
      </c>
      <c r="AF43" s="37">
        <f>AB43-C43</f>
        <v>-100</v>
      </c>
      <c r="AG43" s="37">
        <f>AC43-D43</f>
        <v>0</v>
      </c>
      <c r="AI43" s="38">
        <f>C43/B43*1000</f>
        <v>44.372501069925995</v>
      </c>
      <c r="AJ43" s="38">
        <f>D43/B43*1000</f>
        <v>24.377942296493838</v>
      </c>
      <c r="AL43" s="38">
        <f t="shared" si="0"/>
        <v>3.1725010699259926</v>
      </c>
      <c r="AM43" s="38">
        <f t="shared" si="0"/>
        <v>1.7779422964938369</v>
      </c>
    </row>
    <row r="44" spans="1:39">
      <c r="A44" s="4" t="s">
        <v>45</v>
      </c>
      <c r="B44" s="5"/>
      <c r="C44" s="5"/>
      <c r="D44" s="5"/>
      <c r="E44" s="5"/>
      <c r="F44" s="5"/>
      <c r="G44" s="5"/>
      <c r="H44" s="6" t="s">
        <v>9</v>
      </c>
      <c r="I44" s="6" t="s">
        <v>9</v>
      </c>
      <c r="J44" s="5"/>
      <c r="K44" s="5">
        <v>4877</v>
      </c>
      <c r="L44" s="5">
        <v>4492</v>
      </c>
      <c r="M44" s="5">
        <v>3558</v>
      </c>
      <c r="N44" s="5">
        <v>5150</v>
      </c>
      <c r="O44" s="5">
        <v>4747</v>
      </c>
      <c r="P44" s="5">
        <v>4274</v>
      </c>
      <c r="Q44" s="5">
        <v>3773</v>
      </c>
      <c r="R44" s="5">
        <v>4002</v>
      </c>
      <c r="S44" s="5">
        <v>3626</v>
      </c>
      <c r="T44" s="5">
        <v>4000</v>
      </c>
      <c r="U44" s="5">
        <v>4492</v>
      </c>
      <c r="V44" s="5">
        <v>3255</v>
      </c>
      <c r="W44" s="5">
        <v>2726</v>
      </c>
      <c r="X44" s="5">
        <v>3849</v>
      </c>
      <c r="Y44" s="5"/>
    </row>
    <row r="45" spans="1:39">
      <c r="A45" s="4" t="s">
        <v>46</v>
      </c>
      <c r="B45" s="5"/>
      <c r="C45" s="5"/>
      <c r="D45" s="5"/>
      <c r="E45" s="5"/>
      <c r="F45" s="5"/>
      <c r="G45" s="5"/>
      <c r="H45" s="6" t="s">
        <v>9</v>
      </c>
      <c r="I45" s="6" t="s">
        <v>9</v>
      </c>
      <c r="J45" s="5"/>
      <c r="K45" s="5">
        <v>3451</v>
      </c>
      <c r="L45" s="5">
        <v>2679</v>
      </c>
      <c r="M45" s="5">
        <v>1826</v>
      </c>
      <c r="N45" s="5">
        <v>2796</v>
      </c>
      <c r="O45" s="5">
        <v>2854</v>
      </c>
      <c r="P45" s="5">
        <v>2119</v>
      </c>
      <c r="Q45" s="5">
        <v>2008</v>
      </c>
      <c r="R45" s="5">
        <v>2389</v>
      </c>
      <c r="S45" s="5">
        <v>1718</v>
      </c>
      <c r="T45" s="5">
        <v>1896</v>
      </c>
      <c r="U45" s="5">
        <v>2590</v>
      </c>
      <c r="V45" s="5">
        <v>1883</v>
      </c>
      <c r="W45" s="5">
        <v>1398</v>
      </c>
      <c r="X45" s="5">
        <v>1665</v>
      </c>
      <c r="Y45" s="5"/>
    </row>
    <row r="46" spans="1:39">
      <c r="A46" s="7" t="s">
        <v>47</v>
      </c>
      <c r="B46" s="8">
        <v>948433</v>
      </c>
      <c r="C46" s="8">
        <v>37771</v>
      </c>
      <c r="D46" s="8">
        <v>21322</v>
      </c>
      <c r="E46" s="8">
        <v>69018</v>
      </c>
      <c r="F46" s="8">
        <v>1697</v>
      </c>
      <c r="G46" s="8">
        <v>959</v>
      </c>
      <c r="H46" s="12">
        <v>39.799999999999997</v>
      </c>
      <c r="I46" s="12">
        <v>22.5</v>
      </c>
      <c r="J46" s="5"/>
      <c r="K46" s="8">
        <v>126783</v>
      </c>
      <c r="L46" s="8">
        <v>149834</v>
      </c>
      <c r="M46" s="8">
        <v>114322</v>
      </c>
      <c r="N46" s="8">
        <v>95925</v>
      </c>
      <c r="O46" s="8">
        <v>126072</v>
      </c>
      <c r="P46" s="8">
        <v>92884</v>
      </c>
      <c r="Q46" s="8">
        <v>136029</v>
      </c>
      <c r="R46" s="8">
        <v>107284</v>
      </c>
      <c r="S46" s="8"/>
      <c r="T46" s="8"/>
      <c r="U46" s="8"/>
      <c r="V46" s="8"/>
      <c r="W46" s="8"/>
      <c r="X46" s="8"/>
      <c r="Y46" s="8"/>
      <c r="AA46" s="37">
        <f>SUM(K46:Y46)</f>
        <v>949133</v>
      </c>
      <c r="AB46" s="37">
        <f>SUM(K47:Y47)</f>
        <v>37771</v>
      </c>
      <c r="AC46" s="37">
        <f>SUM(K48:Y48)</f>
        <v>21322</v>
      </c>
      <c r="AE46" s="37">
        <f>AA46-B46</f>
        <v>700</v>
      </c>
      <c r="AF46" s="37">
        <f>AB46-C46</f>
        <v>0</v>
      </c>
      <c r="AG46" s="37">
        <f>AC46-D46</f>
        <v>0</v>
      </c>
      <c r="AI46" s="38">
        <f>C46/B46*1000</f>
        <v>39.824637059233496</v>
      </c>
      <c r="AJ46" s="38">
        <f>D46/B46*1000</f>
        <v>22.481292827221324</v>
      </c>
      <c r="AL46" s="38">
        <f>AI46-H46</f>
        <v>2.4637059233498348E-2</v>
      </c>
      <c r="AM46" s="38">
        <f>AJ46-I46</f>
        <v>-1.870717277867584E-2</v>
      </c>
    </row>
    <row r="47" spans="1:39">
      <c r="A47" s="4" t="s">
        <v>48</v>
      </c>
      <c r="B47" s="5"/>
      <c r="C47" s="5"/>
      <c r="D47" s="5"/>
      <c r="E47" s="5"/>
      <c r="F47" s="5"/>
      <c r="G47" s="5"/>
      <c r="H47" s="6" t="s">
        <v>9</v>
      </c>
      <c r="I47" s="6" t="s">
        <v>9</v>
      </c>
      <c r="J47" s="5"/>
      <c r="K47" s="5">
        <v>4837</v>
      </c>
      <c r="L47" s="5">
        <v>6710</v>
      </c>
      <c r="M47" s="5">
        <v>4852</v>
      </c>
      <c r="N47" s="5">
        <v>3611</v>
      </c>
      <c r="O47" s="5">
        <v>4724</v>
      </c>
      <c r="P47" s="5">
        <v>3915</v>
      </c>
      <c r="Q47" s="5">
        <v>4969</v>
      </c>
      <c r="R47" s="5">
        <v>4153</v>
      </c>
      <c r="S47" s="5"/>
      <c r="T47" s="5"/>
      <c r="U47" s="5"/>
      <c r="V47" s="5"/>
      <c r="W47" s="5"/>
      <c r="X47" s="5"/>
      <c r="Y47" s="5"/>
    </row>
    <row r="48" spans="1:39">
      <c r="A48" s="4" t="s">
        <v>49</v>
      </c>
      <c r="B48" s="5"/>
      <c r="C48" s="5"/>
      <c r="D48" s="5"/>
      <c r="E48" s="5"/>
      <c r="F48" s="5"/>
      <c r="G48" s="5"/>
      <c r="H48" s="6" t="s">
        <v>9</v>
      </c>
      <c r="I48" s="6" t="s">
        <v>9</v>
      </c>
      <c r="J48" s="5"/>
      <c r="K48" s="5">
        <v>2904</v>
      </c>
      <c r="L48" s="5">
        <v>2918</v>
      </c>
      <c r="M48" s="5">
        <v>2361</v>
      </c>
      <c r="N48" s="5">
        <v>2248</v>
      </c>
      <c r="O48" s="5">
        <v>2634</v>
      </c>
      <c r="P48" s="5">
        <v>3189</v>
      </c>
      <c r="Q48" s="5">
        <v>2478</v>
      </c>
      <c r="R48" s="5">
        <v>2590</v>
      </c>
      <c r="S48" s="5"/>
      <c r="T48" s="5"/>
      <c r="U48" s="5"/>
      <c r="V48" s="5"/>
      <c r="W48" s="5"/>
      <c r="X48" s="5"/>
      <c r="Y48" s="5"/>
    </row>
    <row r="49" spans="1:39">
      <c r="A49" s="7" t="s">
        <v>50</v>
      </c>
      <c r="B49" s="8">
        <v>841463</v>
      </c>
      <c r="C49" s="8">
        <v>33824</v>
      </c>
      <c r="D49" s="8">
        <v>18739</v>
      </c>
      <c r="E49" s="8">
        <v>60619</v>
      </c>
      <c r="F49" s="8">
        <v>1668</v>
      </c>
      <c r="G49" s="8">
        <v>906</v>
      </c>
      <c r="H49" s="12">
        <v>40.200000000000003</v>
      </c>
      <c r="I49" s="12">
        <v>22.3</v>
      </c>
      <c r="J49" s="5"/>
      <c r="K49" s="8">
        <v>144729</v>
      </c>
      <c r="L49" s="8">
        <v>89729</v>
      </c>
      <c r="M49" s="8">
        <v>93405</v>
      </c>
      <c r="N49" s="8">
        <v>126710</v>
      </c>
      <c r="O49" s="8">
        <v>127339</v>
      </c>
      <c r="P49" s="8">
        <v>116520</v>
      </c>
      <c r="Q49" s="8">
        <v>142635</v>
      </c>
      <c r="R49" s="8"/>
      <c r="S49" s="8"/>
      <c r="T49" s="8"/>
      <c r="U49" s="8"/>
      <c r="V49" s="8"/>
      <c r="W49" s="8"/>
      <c r="X49" s="8"/>
      <c r="Y49" s="8"/>
      <c r="AA49" s="37">
        <f>SUM(K49:Y49)</f>
        <v>841067</v>
      </c>
      <c r="AB49" s="37">
        <f>SUM(K50:Y50)</f>
        <v>33824</v>
      </c>
      <c r="AC49" s="37">
        <f>SUM(K51:Y51)</f>
        <v>18712</v>
      </c>
      <c r="AE49" s="37">
        <f>AA49-B49</f>
        <v>-396</v>
      </c>
      <c r="AF49" s="37">
        <f>AB49-C49</f>
        <v>0</v>
      </c>
      <c r="AG49" s="37">
        <f>AC49-D49</f>
        <v>-27</v>
      </c>
      <c r="AI49" s="38">
        <f>C49/B49*1000</f>
        <v>40.196657488208039</v>
      </c>
      <c r="AJ49" s="38">
        <f>D49/B49*1000</f>
        <v>22.26954720528413</v>
      </c>
      <c r="AL49" s="38">
        <f>AI49-H49</f>
        <v>-3.3425117919634317E-3</v>
      </c>
      <c r="AM49" s="38">
        <f>AJ49-I49</f>
        <v>-3.0452794715870368E-2</v>
      </c>
    </row>
    <row r="50" spans="1:39">
      <c r="A50" s="4" t="s">
        <v>51</v>
      </c>
      <c r="B50" s="5"/>
      <c r="C50" s="5"/>
      <c r="D50" s="5"/>
      <c r="E50" s="5"/>
      <c r="F50" s="5"/>
      <c r="G50" s="5"/>
      <c r="H50" s="6" t="s">
        <v>9</v>
      </c>
      <c r="I50" s="6" t="s">
        <v>9</v>
      </c>
      <c r="J50" s="5"/>
      <c r="K50" s="5">
        <v>5539</v>
      </c>
      <c r="L50" s="5">
        <v>3768</v>
      </c>
      <c r="M50" s="5">
        <v>3515</v>
      </c>
      <c r="N50" s="5">
        <v>5146</v>
      </c>
      <c r="O50" s="5">
        <v>5651</v>
      </c>
      <c r="P50" s="5">
        <v>4553</v>
      </c>
      <c r="Q50" s="5">
        <v>5652</v>
      </c>
      <c r="R50" s="5"/>
      <c r="S50" s="5"/>
      <c r="T50" s="5"/>
      <c r="U50" s="5"/>
      <c r="V50" s="5"/>
      <c r="W50" s="5"/>
      <c r="X50" s="5"/>
      <c r="Y50" s="5"/>
    </row>
    <row r="51" spans="1:39">
      <c r="A51" s="4" t="s">
        <v>52</v>
      </c>
      <c r="B51" s="5"/>
      <c r="C51" s="5"/>
      <c r="D51" s="5"/>
      <c r="E51" s="5"/>
      <c r="F51" s="5"/>
      <c r="G51" s="5"/>
      <c r="H51" s="6" t="s">
        <v>9</v>
      </c>
      <c r="I51" s="6" t="s">
        <v>9</v>
      </c>
      <c r="J51" s="5"/>
      <c r="K51" s="5">
        <v>2979</v>
      </c>
      <c r="L51" s="5">
        <v>2117</v>
      </c>
      <c r="M51" s="5">
        <v>1787</v>
      </c>
      <c r="N51" s="5">
        <v>2809</v>
      </c>
      <c r="O51" s="5">
        <v>3544</v>
      </c>
      <c r="P51" s="5">
        <v>2762</v>
      </c>
      <c r="Q51" s="5">
        <v>2714</v>
      </c>
      <c r="R51" s="5"/>
      <c r="S51" s="5"/>
      <c r="T51" s="5"/>
      <c r="U51" s="5"/>
      <c r="V51" s="5"/>
      <c r="W51" s="5"/>
      <c r="X51" s="5"/>
      <c r="Y51" s="5"/>
    </row>
    <row r="52" spans="1:39">
      <c r="A52" s="7" t="s">
        <v>53</v>
      </c>
      <c r="B52" s="8">
        <v>605630</v>
      </c>
      <c r="C52" s="8">
        <v>22863</v>
      </c>
      <c r="D52" s="8">
        <v>13646</v>
      </c>
      <c r="E52" s="8">
        <v>64698</v>
      </c>
      <c r="F52" s="8">
        <v>1876</v>
      </c>
      <c r="G52" s="8">
        <v>1391</v>
      </c>
      <c r="H52" s="12">
        <v>37.700000000000003</v>
      </c>
      <c r="I52" s="12">
        <v>22.5</v>
      </c>
      <c r="J52" s="5"/>
      <c r="K52" s="8">
        <v>115825</v>
      </c>
      <c r="L52" s="8">
        <v>82002</v>
      </c>
      <c r="M52" s="8">
        <v>82138</v>
      </c>
      <c r="N52" s="8">
        <v>68239</v>
      </c>
      <c r="O52" s="8">
        <v>100841</v>
      </c>
      <c r="P52" s="8">
        <v>84123</v>
      </c>
      <c r="Q52" s="8">
        <v>72462</v>
      </c>
      <c r="R52" s="8"/>
      <c r="S52" s="8"/>
      <c r="T52" s="8"/>
      <c r="U52" s="8"/>
      <c r="V52" s="8"/>
      <c r="W52" s="8"/>
      <c r="X52" s="8"/>
      <c r="Y52" s="8"/>
      <c r="AA52" s="37">
        <f>SUM(K52:Y52)</f>
        <v>605630</v>
      </c>
      <c r="AB52" s="37">
        <f>SUM(K53:Y53)</f>
        <v>22863</v>
      </c>
      <c r="AC52" s="37">
        <f>SUM(K54:Y54)</f>
        <v>13646</v>
      </c>
      <c r="AE52" s="37">
        <f>AA52-B52</f>
        <v>0</v>
      </c>
      <c r="AF52" s="37">
        <f>AB52-C52</f>
        <v>0</v>
      </c>
      <c r="AG52" s="37">
        <f>AC52-D52</f>
        <v>0</v>
      </c>
      <c r="AI52" s="38">
        <f>C52/B52*1000</f>
        <v>37.750771923451609</v>
      </c>
      <c r="AJ52" s="38">
        <f>D52/B52*1000</f>
        <v>22.531908921288576</v>
      </c>
      <c r="AL52" s="38">
        <f>AI52-H52</f>
        <v>5.0771923451605971E-2</v>
      </c>
      <c r="AM52" s="38">
        <f>AJ52-I52</f>
        <v>3.1908921288575698E-2</v>
      </c>
    </row>
    <row r="53" spans="1:39">
      <c r="A53" s="4" t="s">
        <v>54</v>
      </c>
      <c r="B53" s="5"/>
      <c r="C53" s="5"/>
      <c r="D53" s="5"/>
      <c r="E53" s="5"/>
      <c r="F53" s="5"/>
      <c r="G53" s="5"/>
      <c r="H53" s="6" t="s">
        <v>9</v>
      </c>
      <c r="I53" s="6" t="s">
        <v>9</v>
      </c>
      <c r="J53" s="5"/>
      <c r="K53" s="5">
        <v>4263</v>
      </c>
      <c r="L53" s="5">
        <v>3260</v>
      </c>
      <c r="M53" s="5">
        <v>2673</v>
      </c>
      <c r="N53" s="5">
        <v>2687</v>
      </c>
      <c r="O53" s="5">
        <v>3835</v>
      </c>
      <c r="P53" s="5">
        <v>3515</v>
      </c>
      <c r="Q53" s="5">
        <v>2630</v>
      </c>
      <c r="R53" s="5"/>
      <c r="S53" s="5"/>
      <c r="T53" s="5"/>
      <c r="U53" s="5"/>
      <c r="V53" s="5"/>
      <c r="W53" s="5"/>
      <c r="X53" s="5"/>
      <c r="Y53" s="5"/>
    </row>
    <row r="54" spans="1:39">
      <c r="A54" s="4" t="s">
        <v>55</v>
      </c>
      <c r="B54" s="5"/>
      <c r="C54" s="5"/>
      <c r="D54" s="5"/>
      <c r="E54" s="5"/>
      <c r="F54" s="5"/>
      <c r="G54" s="5"/>
      <c r="H54" s="6" t="s">
        <v>9</v>
      </c>
      <c r="I54" s="6" t="s">
        <v>9</v>
      </c>
      <c r="J54" s="5"/>
      <c r="K54" s="5">
        <v>2539</v>
      </c>
      <c r="L54" s="5">
        <v>2270</v>
      </c>
      <c r="M54" s="5">
        <v>1796</v>
      </c>
      <c r="N54" s="5">
        <v>1370</v>
      </c>
      <c r="O54" s="5">
        <v>2079</v>
      </c>
      <c r="P54" s="5">
        <v>1936</v>
      </c>
      <c r="Q54" s="5">
        <v>1656</v>
      </c>
      <c r="R54" s="5"/>
      <c r="S54" s="5"/>
      <c r="T54" s="5"/>
      <c r="U54" s="5"/>
      <c r="V54" s="5"/>
      <c r="W54" s="5"/>
      <c r="X54" s="5"/>
      <c r="Y54" s="5"/>
    </row>
    <row r="55" spans="1:39">
      <c r="A55" s="7" t="s">
        <v>56</v>
      </c>
      <c r="B55" s="8">
        <v>1176389</v>
      </c>
      <c r="C55" s="8">
        <v>44537</v>
      </c>
      <c r="D55" s="8">
        <v>26711</v>
      </c>
      <c r="E55" s="8">
        <v>127539</v>
      </c>
      <c r="F55" s="8">
        <v>4429</v>
      </c>
      <c r="G55" s="8">
        <v>2801</v>
      </c>
      <c r="H55" s="12">
        <v>37.9</v>
      </c>
      <c r="I55" s="12">
        <v>22.7</v>
      </c>
      <c r="J55" s="5"/>
      <c r="K55" s="8">
        <v>169011</v>
      </c>
      <c r="L55" s="8">
        <v>107504</v>
      </c>
      <c r="M55" s="8">
        <v>108108</v>
      </c>
      <c r="N55" s="8">
        <v>114336</v>
      </c>
      <c r="O55" s="8">
        <v>102352</v>
      </c>
      <c r="P55" s="8">
        <v>97815</v>
      </c>
      <c r="Q55" s="8">
        <v>131689</v>
      </c>
      <c r="R55" s="8">
        <v>97042</v>
      </c>
      <c r="S55" s="8">
        <v>133965</v>
      </c>
      <c r="T55" s="8">
        <v>114567</v>
      </c>
      <c r="U55" s="8"/>
      <c r="V55" s="8"/>
      <c r="W55" s="8"/>
      <c r="X55" s="8"/>
      <c r="Y55" s="8"/>
      <c r="AA55" s="37">
        <f>SUM(K55:Y55)</f>
        <v>1176389</v>
      </c>
      <c r="AB55" s="37">
        <f>SUM(K56:Y56)</f>
        <v>44537</v>
      </c>
      <c r="AC55" s="37">
        <f>SUM(K57:Y57)</f>
        <v>26711</v>
      </c>
      <c r="AE55" s="37">
        <f>AA55-B55</f>
        <v>0</v>
      </c>
      <c r="AF55" s="37">
        <f>AB55-C55</f>
        <v>0</v>
      </c>
      <c r="AG55" s="37">
        <f>AC55-D55</f>
        <v>0</v>
      </c>
      <c r="AI55" s="38">
        <f>C55/B55*1000</f>
        <v>37.859075526887793</v>
      </c>
      <c r="AJ55" s="38">
        <f>D55/B55*1000</f>
        <v>22.705924655874885</v>
      </c>
      <c r="AL55" s="38">
        <f>AI55-H55</f>
        <v>-4.0924473112205817E-2</v>
      </c>
      <c r="AM55" s="38">
        <f>AJ55-I55</f>
        <v>5.9246558748853317E-3</v>
      </c>
    </row>
    <row r="56" spans="1:39">
      <c r="A56" s="4" t="s">
        <v>57</v>
      </c>
      <c r="B56" s="5"/>
      <c r="C56" s="5"/>
      <c r="D56" s="5"/>
      <c r="E56" s="5"/>
      <c r="F56" s="5"/>
      <c r="G56" s="5"/>
      <c r="H56" s="6" t="s">
        <v>9</v>
      </c>
      <c r="I56" s="6" t="s">
        <v>9</v>
      </c>
      <c r="J56" s="5"/>
      <c r="K56" s="5">
        <v>6308</v>
      </c>
      <c r="L56" s="5">
        <v>4212</v>
      </c>
      <c r="M56" s="5">
        <v>3780</v>
      </c>
      <c r="N56" s="5">
        <v>3860</v>
      </c>
      <c r="O56" s="5">
        <v>3606</v>
      </c>
      <c r="P56" s="5">
        <v>4121</v>
      </c>
      <c r="Q56" s="5">
        <v>5740</v>
      </c>
      <c r="R56" s="5">
        <v>4300</v>
      </c>
      <c r="S56" s="5">
        <v>2326</v>
      </c>
      <c r="T56" s="5">
        <v>6284</v>
      </c>
      <c r="U56" s="5"/>
      <c r="V56" s="5"/>
      <c r="W56" s="5"/>
      <c r="X56" s="5"/>
      <c r="Y56" s="5"/>
    </row>
    <row r="57" spans="1:39">
      <c r="A57" s="4" t="s">
        <v>58</v>
      </c>
      <c r="B57" s="5"/>
      <c r="C57" s="5"/>
      <c r="D57" s="5"/>
      <c r="E57" s="5"/>
      <c r="F57" s="5"/>
      <c r="G57" s="5"/>
      <c r="H57" s="6" t="s">
        <v>9</v>
      </c>
      <c r="I57" s="6" t="s">
        <v>9</v>
      </c>
      <c r="J57" s="5"/>
      <c r="K57" s="5">
        <v>3535</v>
      </c>
      <c r="L57" s="5">
        <v>2770</v>
      </c>
      <c r="M57" s="5">
        <v>2666</v>
      </c>
      <c r="N57" s="5">
        <v>2325</v>
      </c>
      <c r="O57" s="5">
        <v>1948</v>
      </c>
      <c r="P57" s="5">
        <v>2000</v>
      </c>
      <c r="Q57" s="5">
        <v>2634</v>
      </c>
      <c r="R57" s="5">
        <v>2696</v>
      </c>
      <c r="S57" s="5">
        <v>2489</v>
      </c>
      <c r="T57" s="5">
        <v>3648</v>
      </c>
      <c r="U57" s="5"/>
      <c r="V57" s="5"/>
      <c r="W57" s="5"/>
      <c r="X57" s="5"/>
      <c r="Y57" s="5"/>
    </row>
    <row r="58" spans="1:39">
      <c r="A58" s="7" t="s">
        <v>59</v>
      </c>
      <c r="B58" s="8">
        <v>1534649</v>
      </c>
      <c r="C58" s="8">
        <v>60496</v>
      </c>
      <c r="D58" s="8">
        <v>34135</v>
      </c>
      <c r="E58" s="9" t="s">
        <v>9</v>
      </c>
      <c r="F58" s="9" t="s">
        <v>9</v>
      </c>
      <c r="G58" s="9" t="s">
        <v>9</v>
      </c>
      <c r="H58" s="10">
        <v>42.2</v>
      </c>
      <c r="I58" s="10">
        <v>23.8</v>
      </c>
      <c r="J58" s="11"/>
      <c r="K58" s="8">
        <v>191055</v>
      </c>
      <c r="L58" s="8">
        <v>246492</v>
      </c>
      <c r="M58" s="8">
        <v>133191</v>
      </c>
      <c r="N58" s="8">
        <v>153907</v>
      </c>
      <c r="O58" s="8">
        <v>348100</v>
      </c>
      <c r="P58" s="8">
        <v>168070</v>
      </c>
      <c r="Q58" s="8">
        <v>93685</v>
      </c>
      <c r="R58" s="8">
        <v>200149</v>
      </c>
      <c r="S58" s="8"/>
      <c r="T58" s="8"/>
      <c r="U58" s="8"/>
      <c r="V58" s="8"/>
      <c r="W58" s="8"/>
      <c r="X58" s="8"/>
      <c r="Y58" s="8"/>
      <c r="AA58" s="37">
        <f>SUM(K58:Y58)</f>
        <v>1534649</v>
      </c>
      <c r="AB58" s="37">
        <f>SUM(K59:Y59)</f>
        <v>60496</v>
      </c>
      <c r="AC58" s="37">
        <f>SUM(K60:Y60)</f>
        <v>34135</v>
      </c>
      <c r="AE58" s="37">
        <f>AA58-B58</f>
        <v>0</v>
      </c>
      <c r="AF58" s="37">
        <f>AB58-C58</f>
        <v>0</v>
      </c>
      <c r="AG58" s="37">
        <f>AC58-D58</f>
        <v>0</v>
      </c>
      <c r="AI58" s="38">
        <f>C58/B58*1000</f>
        <v>39.420088893290902</v>
      </c>
      <c r="AJ58" s="38">
        <f>D58/B58*1000</f>
        <v>22.242871171192892</v>
      </c>
      <c r="AL58" s="38">
        <f>AI58-H58</f>
        <v>-2.7799111067091005</v>
      </c>
      <c r="AM58" s="38">
        <f>AJ58-I58</f>
        <v>-1.5571288288071088</v>
      </c>
    </row>
    <row r="59" spans="1:39">
      <c r="A59" s="4" t="s">
        <v>60</v>
      </c>
      <c r="B59" s="5"/>
      <c r="C59" s="5"/>
      <c r="D59" s="5"/>
      <c r="E59" s="5"/>
      <c r="F59" s="5"/>
      <c r="G59" s="5"/>
      <c r="H59" s="6" t="s">
        <v>9</v>
      </c>
      <c r="I59" s="6" t="s">
        <v>9</v>
      </c>
      <c r="J59" s="5"/>
      <c r="K59" s="5">
        <v>6278</v>
      </c>
      <c r="L59" s="5">
        <v>11593</v>
      </c>
      <c r="M59" s="5">
        <v>4311</v>
      </c>
      <c r="N59" s="5">
        <v>5687</v>
      </c>
      <c r="O59" s="5">
        <v>14206</v>
      </c>
      <c r="P59" s="5">
        <v>6313</v>
      </c>
      <c r="Q59" s="5">
        <v>3306</v>
      </c>
      <c r="R59" s="5">
        <v>8802</v>
      </c>
      <c r="S59" s="5"/>
      <c r="T59" s="5"/>
      <c r="U59" s="5"/>
      <c r="V59" s="5"/>
      <c r="W59" s="5"/>
      <c r="X59" s="5"/>
      <c r="Y59" s="5"/>
    </row>
    <row r="60" spans="1:39">
      <c r="A60" s="4" t="s">
        <v>61</v>
      </c>
      <c r="B60" s="5"/>
      <c r="C60" s="5"/>
      <c r="D60" s="5"/>
      <c r="E60" s="5"/>
      <c r="F60" s="5"/>
      <c r="G60" s="5"/>
      <c r="H60" s="6" t="s">
        <v>9</v>
      </c>
      <c r="I60" s="6" t="s">
        <v>9</v>
      </c>
      <c r="J60" s="5"/>
      <c r="K60" s="5">
        <v>3213</v>
      </c>
      <c r="L60" s="5">
        <v>5940</v>
      </c>
      <c r="M60" s="5">
        <v>2295</v>
      </c>
      <c r="N60" s="5">
        <v>2714</v>
      </c>
      <c r="O60" s="5">
        <v>9389</v>
      </c>
      <c r="P60" s="5">
        <v>3214</v>
      </c>
      <c r="Q60" s="5">
        <v>2344</v>
      </c>
      <c r="R60" s="5">
        <v>5026</v>
      </c>
      <c r="S60" s="5"/>
      <c r="T60" s="5"/>
      <c r="U60" s="5"/>
      <c r="V60" s="5"/>
      <c r="W60" s="5"/>
      <c r="X60" s="5"/>
      <c r="Y60" s="5"/>
    </row>
    <row r="61" spans="1:39">
      <c r="A61" s="7" t="s">
        <v>62</v>
      </c>
      <c r="B61" s="8">
        <v>650733</v>
      </c>
      <c r="C61" s="8">
        <v>22470</v>
      </c>
      <c r="D61" s="8">
        <v>12727</v>
      </c>
      <c r="E61" s="9" t="s">
        <v>9</v>
      </c>
      <c r="F61" s="9" t="s">
        <v>9</v>
      </c>
      <c r="G61" s="9" t="s">
        <v>9</v>
      </c>
      <c r="H61" s="10">
        <v>34.6</v>
      </c>
      <c r="I61" s="10">
        <v>19.5</v>
      </c>
      <c r="J61" s="11"/>
      <c r="K61" s="8">
        <v>104638</v>
      </c>
      <c r="L61" s="8">
        <v>105040</v>
      </c>
      <c r="M61" s="8">
        <v>99200</v>
      </c>
      <c r="N61" s="8">
        <v>75984</v>
      </c>
      <c r="O61" s="8">
        <v>82113</v>
      </c>
      <c r="P61" s="8">
        <v>77873</v>
      </c>
      <c r="Q61" s="8">
        <v>84402</v>
      </c>
      <c r="R61" s="8"/>
      <c r="S61" s="8"/>
      <c r="T61" s="8"/>
      <c r="U61" s="8"/>
      <c r="V61" s="8"/>
      <c r="W61" s="8"/>
      <c r="X61" s="8"/>
      <c r="Y61" s="8"/>
      <c r="AA61" s="37">
        <f>SUM(K61:Y61)</f>
        <v>629250</v>
      </c>
      <c r="AB61" s="37">
        <f>SUM(K62:Y62)</f>
        <v>22440</v>
      </c>
      <c r="AC61" s="37">
        <f>SUM(K63:Y63)</f>
        <v>12727</v>
      </c>
      <c r="AE61" s="37">
        <f>AA61-B61</f>
        <v>-21483</v>
      </c>
      <c r="AF61" s="37">
        <f>AB61-C61</f>
        <v>-30</v>
      </c>
      <c r="AG61" s="37">
        <f>AC61-D61</f>
        <v>0</v>
      </c>
      <c r="AI61" s="38">
        <f>C61/B61*1000</f>
        <v>34.530291225433473</v>
      </c>
      <c r="AJ61" s="38">
        <f>D61/B61*1000</f>
        <v>19.557944656256865</v>
      </c>
      <c r="AL61" s="38">
        <f>AI61-H61</f>
        <v>-6.9708774566528575E-2</v>
      </c>
      <c r="AM61" s="38">
        <f>AJ61-I61</f>
        <v>5.7944656256864846E-2</v>
      </c>
    </row>
    <row r="62" spans="1:39">
      <c r="A62" s="4" t="s">
        <v>63</v>
      </c>
      <c r="B62" s="5"/>
      <c r="C62" s="5"/>
      <c r="D62" s="5"/>
      <c r="E62" s="5"/>
      <c r="F62" s="5"/>
      <c r="G62" s="5"/>
      <c r="H62" s="6" t="s">
        <v>9</v>
      </c>
      <c r="I62" s="6" t="s">
        <v>9</v>
      </c>
      <c r="J62" s="5"/>
      <c r="K62" s="5">
        <v>4085</v>
      </c>
      <c r="L62" s="5">
        <v>3869</v>
      </c>
      <c r="M62" s="5">
        <v>3611</v>
      </c>
      <c r="N62" s="5">
        <v>2919</v>
      </c>
      <c r="O62" s="5">
        <v>3180</v>
      </c>
      <c r="P62" s="5">
        <v>2773</v>
      </c>
      <c r="Q62" s="5">
        <v>2003</v>
      </c>
      <c r="R62" s="5"/>
      <c r="S62" s="5"/>
      <c r="T62" s="5"/>
      <c r="U62" s="5"/>
      <c r="V62" s="5"/>
      <c r="W62" s="5"/>
      <c r="X62" s="5"/>
      <c r="Y62" s="5"/>
    </row>
    <row r="63" spans="1:39">
      <c r="A63" s="4" t="s">
        <v>64</v>
      </c>
      <c r="B63" s="5"/>
      <c r="C63" s="5"/>
      <c r="D63" s="5"/>
      <c r="E63" s="5"/>
      <c r="F63" s="5"/>
      <c r="G63" s="5"/>
      <c r="H63" s="6" t="s">
        <v>9</v>
      </c>
      <c r="I63" s="6" t="s">
        <v>9</v>
      </c>
      <c r="J63" s="5"/>
      <c r="K63" s="5">
        <v>2149</v>
      </c>
      <c r="L63" s="5">
        <v>2075</v>
      </c>
      <c r="M63" s="5">
        <v>1833</v>
      </c>
      <c r="N63" s="5">
        <v>1572</v>
      </c>
      <c r="O63" s="5">
        <v>1689</v>
      </c>
      <c r="P63" s="5">
        <v>1830</v>
      </c>
      <c r="Q63" s="5">
        <v>1579</v>
      </c>
      <c r="R63" s="5"/>
      <c r="S63" s="5"/>
      <c r="T63" s="5"/>
      <c r="U63" s="5"/>
      <c r="V63" s="5"/>
      <c r="W63" s="5"/>
      <c r="X63" s="5"/>
      <c r="Y63" s="5"/>
    </row>
    <row r="64" spans="1:39">
      <c r="A64" s="7" t="s">
        <v>65</v>
      </c>
      <c r="B64" s="8">
        <v>874393</v>
      </c>
      <c r="C64" s="8">
        <v>35109</v>
      </c>
      <c r="D64" s="8">
        <v>21512</v>
      </c>
      <c r="E64" s="8">
        <v>61270</v>
      </c>
      <c r="F64" s="8">
        <v>1632</v>
      </c>
      <c r="G64" s="8">
        <v>1294</v>
      </c>
      <c r="H64" s="12">
        <v>40.200000000000003</v>
      </c>
      <c r="I64" s="12">
        <v>24.6</v>
      </c>
      <c r="J64" s="5"/>
      <c r="K64" s="8">
        <v>154415</v>
      </c>
      <c r="L64" s="8">
        <v>114978</v>
      </c>
      <c r="M64" s="8">
        <v>117775</v>
      </c>
      <c r="N64" s="8">
        <v>130102</v>
      </c>
      <c r="O64" s="8">
        <v>130959</v>
      </c>
      <c r="P64" s="8">
        <v>115327</v>
      </c>
      <c r="Q64" s="8">
        <v>110837</v>
      </c>
      <c r="R64" s="8"/>
      <c r="S64" s="8"/>
      <c r="T64" s="8"/>
      <c r="U64" s="8"/>
      <c r="V64" s="8"/>
      <c r="W64" s="8"/>
      <c r="X64" s="8"/>
      <c r="Y64" s="8"/>
      <c r="AA64" s="37">
        <f>SUM(K64:Y64)</f>
        <v>874393</v>
      </c>
      <c r="AB64" s="37">
        <f>SUM(K65:Y65)</f>
        <v>35109</v>
      </c>
      <c r="AC64" s="37">
        <f>SUM(K66:Y66)</f>
        <v>21512</v>
      </c>
      <c r="AE64" s="37">
        <f>AA64-B64</f>
        <v>0</v>
      </c>
      <c r="AF64" s="37">
        <f>AB64-C64</f>
        <v>0</v>
      </c>
      <c r="AG64" s="37">
        <f>AC64-D64</f>
        <v>0</v>
      </c>
      <c r="AI64" s="38">
        <f>C64/B64*1000</f>
        <v>40.152425739913291</v>
      </c>
      <c r="AJ64" s="38">
        <f>D64/B64*1000</f>
        <v>24.602209761514558</v>
      </c>
      <c r="AL64" s="38">
        <f>AI64-H64</f>
        <v>-4.7574260086712172E-2</v>
      </c>
      <c r="AM64" s="38">
        <f>AJ64-I64</f>
        <v>2.2097615145568739E-3</v>
      </c>
    </row>
    <row r="65" spans="1:39">
      <c r="A65" s="4" t="s">
        <v>66</v>
      </c>
      <c r="B65" s="5"/>
      <c r="C65" s="5"/>
      <c r="D65" s="5"/>
      <c r="E65" s="5"/>
      <c r="F65" s="5"/>
      <c r="G65" s="5"/>
      <c r="H65" s="6" t="s">
        <v>9</v>
      </c>
      <c r="I65" s="6" t="s">
        <v>9</v>
      </c>
      <c r="J65" s="5"/>
      <c r="K65" s="5">
        <v>5908</v>
      </c>
      <c r="L65" s="5">
        <v>4268</v>
      </c>
      <c r="M65" s="5">
        <v>4820</v>
      </c>
      <c r="N65" s="5">
        <v>4910</v>
      </c>
      <c r="O65" s="5">
        <v>5914</v>
      </c>
      <c r="P65" s="5">
        <v>5285</v>
      </c>
      <c r="Q65" s="5">
        <v>4004</v>
      </c>
      <c r="R65" s="5"/>
      <c r="S65" s="5"/>
      <c r="T65" s="5"/>
      <c r="U65" s="5"/>
      <c r="V65" s="5"/>
      <c r="W65" s="5"/>
      <c r="X65" s="5"/>
      <c r="Y65" s="5"/>
    </row>
    <row r="66" spans="1:39">
      <c r="A66" s="4" t="s">
        <v>67</v>
      </c>
      <c r="B66" s="5"/>
      <c r="C66" s="5"/>
      <c r="D66" s="5"/>
      <c r="E66" s="5"/>
      <c r="F66" s="5"/>
      <c r="G66" s="5"/>
      <c r="H66" s="6" t="s">
        <v>9</v>
      </c>
      <c r="I66" s="6" t="s">
        <v>9</v>
      </c>
      <c r="J66" s="5"/>
      <c r="K66" s="5">
        <v>3528</v>
      </c>
      <c r="L66" s="5">
        <v>2600</v>
      </c>
      <c r="M66" s="5">
        <v>3110</v>
      </c>
      <c r="N66" s="5">
        <v>2815</v>
      </c>
      <c r="O66" s="5">
        <v>3195</v>
      </c>
      <c r="P66" s="5">
        <v>3347</v>
      </c>
      <c r="Q66" s="5">
        <v>2917</v>
      </c>
      <c r="R66" s="5"/>
      <c r="S66" s="5"/>
      <c r="T66" s="5"/>
      <c r="U66" s="5"/>
      <c r="V66" s="5"/>
      <c r="W66" s="5"/>
      <c r="X66" s="5"/>
      <c r="Y66" s="5"/>
    </row>
    <row r="67" spans="1:39">
      <c r="A67" s="7" t="s">
        <v>68</v>
      </c>
      <c r="B67" s="8">
        <v>699245</v>
      </c>
      <c r="C67" s="8">
        <v>21124</v>
      </c>
      <c r="D67" s="8">
        <v>15650</v>
      </c>
      <c r="E67" s="8">
        <v>69242</v>
      </c>
      <c r="F67" s="8">
        <v>957</v>
      </c>
      <c r="G67" s="8">
        <v>859</v>
      </c>
      <c r="H67" s="12">
        <v>30.4</v>
      </c>
      <c r="I67" s="12">
        <v>22.6</v>
      </c>
      <c r="J67" s="5"/>
      <c r="K67" s="8">
        <v>111780</v>
      </c>
      <c r="L67" s="8">
        <v>86563</v>
      </c>
      <c r="M67" s="8">
        <v>78094</v>
      </c>
      <c r="N67" s="8">
        <v>109627</v>
      </c>
      <c r="O67" s="8">
        <v>88720</v>
      </c>
      <c r="P67" s="8">
        <v>118545</v>
      </c>
      <c r="Q67" s="8">
        <v>105916</v>
      </c>
      <c r="R67" s="8"/>
      <c r="S67" s="8"/>
      <c r="T67" s="8"/>
      <c r="U67" s="8"/>
      <c r="V67" s="8"/>
      <c r="W67" s="8"/>
      <c r="X67" s="8"/>
      <c r="Y67" s="8"/>
      <c r="AA67" s="37">
        <f>SUM(K67:Y67)</f>
        <v>699245</v>
      </c>
      <c r="AB67" s="37">
        <f>SUM(K68:Y68)</f>
        <v>21124</v>
      </c>
      <c r="AC67" s="37">
        <f>SUM(K69:Y69)</f>
        <v>15652</v>
      </c>
      <c r="AE67" s="37">
        <f>AA67-B67</f>
        <v>0</v>
      </c>
      <c r="AF67" s="37">
        <f>AB67-C67</f>
        <v>0</v>
      </c>
      <c r="AG67" s="37">
        <f>AC67-D67</f>
        <v>2</v>
      </c>
      <c r="AI67" s="38">
        <f>C67/B67*1000</f>
        <v>30.209726204692203</v>
      </c>
      <c r="AJ67" s="38">
        <f>D67/B67*1000</f>
        <v>22.381282669164598</v>
      </c>
      <c r="AL67" s="38">
        <f>AI67-H67</f>
        <v>-0.19027379530779598</v>
      </c>
      <c r="AM67" s="38">
        <f>AJ67-I67</f>
        <v>-0.21871733083540335</v>
      </c>
    </row>
    <row r="68" spans="1:39">
      <c r="A68" s="4" t="s">
        <v>69</v>
      </c>
      <c r="B68" s="5"/>
      <c r="C68" s="5"/>
      <c r="D68" s="5"/>
      <c r="E68" s="5"/>
      <c r="F68" s="5"/>
      <c r="G68" s="5"/>
      <c r="H68" s="6" t="s">
        <v>9</v>
      </c>
      <c r="I68" s="6" t="s">
        <v>9</v>
      </c>
      <c r="J68" s="5"/>
      <c r="K68" s="5">
        <v>3033</v>
      </c>
      <c r="L68" s="5">
        <v>1261</v>
      </c>
      <c r="M68" s="5">
        <v>2863</v>
      </c>
      <c r="N68" s="5">
        <v>3323</v>
      </c>
      <c r="O68" s="5">
        <v>3456</v>
      </c>
      <c r="P68" s="5">
        <v>3820</v>
      </c>
      <c r="Q68" s="5">
        <v>3368</v>
      </c>
      <c r="R68" s="5"/>
      <c r="S68" s="5"/>
      <c r="T68" s="5"/>
      <c r="U68" s="5"/>
      <c r="V68" s="5"/>
      <c r="W68" s="5"/>
      <c r="X68" s="5"/>
      <c r="Y68" s="5"/>
    </row>
    <row r="69" spans="1:39">
      <c r="A69" s="4" t="s">
        <v>70</v>
      </c>
      <c r="B69" s="5"/>
      <c r="C69" s="5"/>
      <c r="D69" s="5"/>
      <c r="E69" s="5"/>
      <c r="F69" s="5"/>
      <c r="G69" s="5"/>
      <c r="H69" s="6" t="s">
        <v>9</v>
      </c>
      <c r="I69" s="6" t="s">
        <v>9</v>
      </c>
      <c r="J69" s="5"/>
      <c r="K69" s="5">
        <v>1928</v>
      </c>
      <c r="L69" s="5">
        <v>1510</v>
      </c>
      <c r="M69" s="5">
        <v>1810</v>
      </c>
      <c r="N69" s="5">
        <v>2246</v>
      </c>
      <c r="O69" s="5">
        <v>2677</v>
      </c>
      <c r="P69" s="5">
        <v>2606</v>
      </c>
      <c r="Q69" s="5">
        <v>2875</v>
      </c>
      <c r="R69" s="5"/>
      <c r="S69" s="5"/>
      <c r="T69" s="5"/>
      <c r="U69" s="5"/>
      <c r="V69" s="5"/>
      <c r="W69" s="5"/>
      <c r="X69" s="5"/>
      <c r="Y69" s="5"/>
    </row>
    <row r="70" spans="1:39">
      <c r="A70" s="7" t="s">
        <v>71</v>
      </c>
      <c r="B70" s="8">
        <v>800603</v>
      </c>
      <c r="C70" s="8">
        <v>32961</v>
      </c>
      <c r="D70" s="8">
        <v>17486</v>
      </c>
      <c r="E70" s="8">
        <v>77265</v>
      </c>
      <c r="F70" s="8">
        <v>2141</v>
      </c>
      <c r="G70" s="8">
        <v>1130</v>
      </c>
      <c r="H70" s="12">
        <v>40.9</v>
      </c>
      <c r="I70" s="12">
        <v>21.7</v>
      </c>
      <c r="J70" s="5"/>
      <c r="K70" s="8">
        <v>84655</v>
      </c>
      <c r="L70" s="8">
        <v>83329</v>
      </c>
      <c r="M70" s="8">
        <v>80136</v>
      </c>
      <c r="N70" s="8">
        <v>96487</v>
      </c>
      <c r="O70" s="8">
        <v>126761</v>
      </c>
      <c r="P70" s="8">
        <v>67078</v>
      </c>
      <c r="Q70" s="8">
        <v>106476</v>
      </c>
      <c r="R70" s="8">
        <v>85232</v>
      </c>
      <c r="S70" s="8">
        <v>71209</v>
      </c>
      <c r="T70" s="8"/>
      <c r="U70" s="8"/>
      <c r="V70" s="8"/>
      <c r="W70" s="8"/>
      <c r="X70" s="8"/>
      <c r="Y70" s="8"/>
      <c r="AA70" s="37">
        <f>SUM(K70:Y70)</f>
        <v>801363</v>
      </c>
      <c r="AB70" s="37">
        <f>SUM(K71:Y71)</f>
        <v>32931</v>
      </c>
      <c r="AC70" s="37">
        <f>SUM(K72:Y72)</f>
        <v>17486</v>
      </c>
      <c r="AE70" s="37">
        <f>AA70-B70</f>
        <v>760</v>
      </c>
      <c r="AF70" s="37">
        <f>AB70-C70</f>
        <v>-30</v>
      </c>
      <c r="AG70" s="37">
        <f>AC70-D70</f>
        <v>0</v>
      </c>
      <c r="AI70" s="38">
        <f>C70/B70*1000</f>
        <v>41.170217948221534</v>
      </c>
      <c r="AJ70" s="38">
        <f>D70/B70*1000</f>
        <v>21.841037318121469</v>
      </c>
      <c r="AL70" s="38">
        <f>AI70-H70</f>
        <v>0.27021794822153566</v>
      </c>
      <c r="AM70" s="38">
        <f>AJ70-I70</f>
        <v>0.14103731812146947</v>
      </c>
    </row>
    <row r="71" spans="1:39">
      <c r="A71" s="4" t="s">
        <v>72</v>
      </c>
      <c r="B71" s="5"/>
      <c r="C71" s="5"/>
      <c r="D71" s="5"/>
      <c r="E71" s="5"/>
      <c r="F71" s="5"/>
      <c r="G71" s="5"/>
      <c r="H71" s="6" t="s">
        <v>9</v>
      </c>
      <c r="I71" s="6" t="s">
        <v>9</v>
      </c>
      <c r="J71" s="5"/>
      <c r="K71" s="5">
        <v>3505</v>
      </c>
      <c r="L71" s="5">
        <v>4038</v>
      </c>
      <c r="M71" s="5">
        <v>3625</v>
      </c>
      <c r="N71" s="5">
        <v>4196</v>
      </c>
      <c r="O71" s="5">
        <v>5310</v>
      </c>
      <c r="P71" s="5">
        <v>2170</v>
      </c>
      <c r="Q71" s="5">
        <v>4308</v>
      </c>
      <c r="R71" s="5">
        <v>3570</v>
      </c>
      <c r="S71" s="5">
        <v>2209</v>
      </c>
      <c r="T71" s="5"/>
      <c r="U71" s="5"/>
      <c r="V71" s="5"/>
      <c r="W71" s="5"/>
      <c r="X71" s="5"/>
      <c r="Y71" s="5"/>
    </row>
    <row r="72" spans="1:39">
      <c r="A72" s="4" t="s">
        <v>73</v>
      </c>
      <c r="B72" s="5"/>
      <c r="C72" s="5"/>
      <c r="D72" s="5"/>
      <c r="E72" s="5"/>
      <c r="F72" s="5"/>
      <c r="G72" s="5"/>
      <c r="H72" s="6" t="s">
        <v>9</v>
      </c>
      <c r="I72" s="6" t="s">
        <v>9</v>
      </c>
      <c r="J72" s="5"/>
      <c r="K72" s="5">
        <v>1557</v>
      </c>
      <c r="L72" s="5">
        <v>1987</v>
      </c>
      <c r="M72" s="5">
        <v>1442</v>
      </c>
      <c r="N72" s="5">
        <v>2872</v>
      </c>
      <c r="O72" s="5">
        <v>2828</v>
      </c>
      <c r="P72" s="5">
        <v>1172</v>
      </c>
      <c r="Q72" s="5">
        <v>2330</v>
      </c>
      <c r="R72" s="5">
        <v>1946</v>
      </c>
      <c r="S72" s="5">
        <v>1352</v>
      </c>
      <c r="T72" s="5"/>
      <c r="U72" s="5"/>
      <c r="V72" s="5"/>
      <c r="W72" s="5"/>
      <c r="X72" s="5"/>
      <c r="Y72" s="5"/>
    </row>
    <row r="73" spans="1:39">
      <c r="A73" s="13" t="s">
        <v>74</v>
      </c>
      <c r="B73" s="14">
        <v>9959843</v>
      </c>
      <c r="C73" s="14">
        <v>392276</v>
      </c>
      <c r="D73" s="14">
        <v>226459</v>
      </c>
      <c r="E73" s="14"/>
      <c r="F73" s="14"/>
      <c r="G73" s="14"/>
      <c r="H73" s="15">
        <v>39.6</v>
      </c>
      <c r="I73" s="15">
        <v>23</v>
      </c>
      <c r="J73" s="5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AA73" s="43">
        <f>SUM(AA42:AA72)</f>
        <v>9948924</v>
      </c>
      <c r="AB73" s="43">
        <f>SUM(AB42:AB72)</f>
        <v>391116</v>
      </c>
      <c r="AC73" s="43">
        <f>SUM(AC42:AC72)</f>
        <v>226434</v>
      </c>
      <c r="AE73" s="43">
        <f t="shared" ref="AE73:AG74" si="1">AA73-B73</f>
        <v>-10919</v>
      </c>
      <c r="AF73" s="43">
        <f t="shared" si="1"/>
        <v>-1160</v>
      </c>
      <c r="AG73" s="43">
        <f t="shared" si="1"/>
        <v>-25</v>
      </c>
      <c r="AI73" s="44">
        <f>C73/B73*1000</f>
        <v>39.385761402062265</v>
      </c>
      <c r="AJ73" s="44">
        <f>D73/B73*1000</f>
        <v>22.7372057973203</v>
      </c>
      <c r="AL73" s="44">
        <f>AI73-H73</f>
        <v>-0.21423859793773659</v>
      </c>
      <c r="AM73" s="44">
        <f>AJ73-I73</f>
        <v>-0.26279420267970011</v>
      </c>
    </row>
    <row r="74" spans="1:39">
      <c r="A74" s="7" t="s">
        <v>75</v>
      </c>
      <c r="B74" s="8">
        <v>743862</v>
      </c>
      <c r="C74" s="8">
        <v>19226</v>
      </c>
      <c r="D74" s="8">
        <v>13080</v>
      </c>
      <c r="E74" s="8">
        <v>179335</v>
      </c>
      <c r="F74" s="8">
        <v>4046</v>
      </c>
      <c r="G74" s="8">
        <v>3120</v>
      </c>
      <c r="H74" s="12">
        <v>26.6</v>
      </c>
      <c r="I74" s="12">
        <v>17.5</v>
      </c>
      <c r="J74" s="5"/>
      <c r="K74" s="8">
        <v>101703</v>
      </c>
      <c r="L74" s="8">
        <v>80907</v>
      </c>
      <c r="M74" s="8">
        <v>52793</v>
      </c>
      <c r="N74" s="8">
        <v>64137</v>
      </c>
      <c r="O74" s="8">
        <v>77073</v>
      </c>
      <c r="P74" s="8">
        <v>97835</v>
      </c>
      <c r="Q74" s="8">
        <v>81121</v>
      </c>
      <c r="R74" s="8">
        <v>73276</v>
      </c>
      <c r="S74" s="8">
        <v>55688</v>
      </c>
      <c r="T74" s="8">
        <v>72647</v>
      </c>
      <c r="U74" s="8"/>
      <c r="V74" s="8"/>
      <c r="W74" s="8"/>
      <c r="X74" s="8"/>
      <c r="Y74" s="8"/>
      <c r="AA74" s="37">
        <f>SUM(K74:Y74)</f>
        <v>757180</v>
      </c>
      <c r="AB74" s="37">
        <f>SUM(K75:Y75)</f>
        <v>19226</v>
      </c>
      <c r="AC74" s="37">
        <f>SUM(K76:Y76)</f>
        <v>13080</v>
      </c>
      <c r="AE74" s="37">
        <f t="shared" si="1"/>
        <v>13318</v>
      </c>
      <c r="AF74" s="37">
        <f t="shared" si="1"/>
        <v>0</v>
      </c>
      <c r="AG74" s="37">
        <f t="shared" si="1"/>
        <v>0</v>
      </c>
      <c r="AI74" s="38">
        <f>C74/B74*1000</f>
        <v>25.846191901185975</v>
      </c>
      <c r="AJ74" s="38">
        <f>D74/B74*1000</f>
        <v>17.583906692370359</v>
      </c>
      <c r="AL74" s="38">
        <f>AI74-H74</f>
        <v>-0.75380809881402655</v>
      </c>
      <c r="AM74" s="38">
        <f>AJ74-I74</f>
        <v>8.3906692370359082E-2</v>
      </c>
    </row>
    <row r="75" spans="1:39">
      <c r="A75" s="4" t="s">
        <v>76</v>
      </c>
      <c r="B75" s="5"/>
      <c r="C75" s="5"/>
      <c r="D75" s="5"/>
      <c r="E75" s="5"/>
      <c r="F75" s="5"/>
      <c r="G75" s="5"/>
      <c r="H75" s="6" t="s">
        <v>9</v>
      </c>
      <c r="I75" s="6" t="s">
        <v>9</v>
      </c>
      <c r="J75" s="5"/>
      <c r="K75" s="5">
        <v>2480</v>
      </c>
      <c r="L75" s="5">
        <v>1330</v>
      </c>
      <c r="M75" s="5">
        <v>1336</v>
      </c>
      <c r="N75" s="5">
        <v>1630</v>
      </c>
      <c r="O75" s="5">
        <v>2030</v>
      </c>
      <c r="P75" s="5">
        <v>3690</v>
      </c>
      <c r="Q75" s="5">
        <v>2040</v>
      </c>
      <c r="R75" s="5">
        <v>1660</v>
      </c>
      <c r="S75" s="5">
        <v>1240</v>
      </c>
      <c r="T75" s="5">
        <v>1790</v>
      </c>
      <c r="U75" s="5"/>
      <c r="V75" s="5"/>
      <c r="W75" s="5"/>
      <c r="X75" s="5"/>
      <c r="Y75" s="5"/>
    </row>
    <row r="76" spans="1:39">
      <c r="A76" s="4" t="s">
        <v>77</v>
      </c>
      <c r="B76" s="5"/>
      <c r="C76" s="5"/>
      <c r="D76" s="5"/>
      <c r="E76" s="5"/>
      <c r="F76" s="5"/>
      <c r="G76" s="5"/>
      <c r="H76" s="6" t="s">
        <v>9</v>
      </c>
      <c r="I76" s="6" t="s">
        <v>9</v>
      </c>
      <c r="J76" s="5"/>
      <c r="K76" s="5">
        <v>1940</v>
      </c>
      <c r="L76" s="5">
        <v>990</v>
      </c>
      <c r="M76" s="5">
        <v>1030</v>
      </c>
      <c r="N76" s="5">
        <v>390</v>
      </c>
      <c r="O76" s="5">
        <v>1440</v>
      </c>
      <c r="P76" s="5">
        <v>2560</v>
      </c>
      <c r="Q76" s="5">
        <v>1420</v>
      </c>
      <c r="R76" s="5">
        <v>1120</v>
      </c>
      <c r="S76" s="5">
        <v>830</v>
      </c>
      <c r="T76" s="5">
        <v>1360</v>
      </c>
      <c r="U76" s="5"/>
      <c r="V76" s="5"/>
      <c r="W76" s="5"/>
      <c r="X76" s="5"/>
      <c r="Y76" s="5"/>
    </row>
    <row r="77" spans="1:39">
      <c r="A77" s="7" t="s">
        <v>78</v>
      </c>
      <c r="B77" s="8">
        <v>1329271</v>
      </c>
      <c r="C77" s="8">
        <v>37204</v>
      </c>
      <c r="D77" s="8">
        <v>25773</v>
      </c>
      <c r="E77" s="8">
        <v>260035</v>
      </c>
      <c r="F77" s="8">
        <v>8487</v>
      </c>
      <c r="G77" s="8">
        <v>6653</v>
      </c>
      <c r="H77" s="12">
        <v>28.2</v>
      </c>
      <c r="I77" s="12">
        <v>19.600000000000001</v>
      </c>
      <c r="J77" s="5"/>
      <c r="K77" s="8">
        <v>335145</v>
      </c>
      <c r="L77" s="8">
        <v>127856</v>
      </c>
      <c r="M77" s="8">
        <v>138780</v>
      </c>
      <c r="N77" s="8">
        <v>117880</v>
      </c>
      <c r="O77" s="8">
        <v>128942</v>
      </c>
      <c r="P77" s="8">
        <v>107269</v>
      </c>
      <c r="Q77" s="8">
        <v>105675</v>
      </c>
      <c r="R77" s="8">
        <v>63659</v>
      </c>
      <c r="S77" s="8">
        <v>204077</v>
      </c>
      <c r="T77" s="8"/>
      <c r="U77" s="8"/>
      <c r="V77" s="8"/>
      <c r="W77" s="8"/>
      <c r="X77" s="8"/>
      <c r="Y77" s="8"/>
      <c r="AA77" s="37">
        <f>SUM(K77:Y77)</f>
        <v>1329283</v>
      </c>
      <c r="AB77" s="37">
        <f>SUM(K78:Y78)</f>
        <v>37204</v>
      </c>
      <c r="AC77" s="37">
        <f>SUM(K79:Y79)</f>
        <v>25773</v>
      </c>
      <c r="AE77" s="37">
        <f>AA77-B77</f>
        <v>12</v>
      </c>
      <c r="AF77" s="37">
        <f>AB77-C77</f>
        <v>0</v>
      </c>
      <c r="AG77" s="37">
        <f>AC77-D77</f>
        <v>0</v>
      </c>
      <c r="AI77" s="38">
        <f>C77/B77*1000</f>
        <v>27.988273271590216</v>
      </c>
      <c r="AJ77" s="38">
        <f>D77/B77*1000</f>
        <v>19.388822896158874</v>
      </c>
      <c r="AL77" s="38">
        <f>AI77-H77</f>
        <v>-0.21172672840978279</v>
      </c>
      <c r="AM77" s="38">
        <f>AJ77-I77</f>
        <v>-0.21117710384112698</v>
      </c>
    </row>
    <row r="78" spans="1:39">
      <c r="A78" s="4" t="s">
        <v>79</v>
      </c>
      <c r="B78" s="5"/>
      <c r="C78" s="5"/>
      <c r="D78" s="5"/>
      <c r="E78" s="5"/>
      <c r="F78" s="5"/>
      <c r="G78" s="5"/>
      <c r="H78" s="6" t="s">
        <v>9</v>
      </c>
      <c r="I78" s="6" t="s">
        <v>9</v>
      </c>
      <c r="J78" s="5"/>
      <c r="K78" s="5">
        <v>10571</v>
      </c>
      <c r="L78" s="5">
        <v>3697</v>
      </c>
      <c r="M78" s="5">
        <v>3053</v>
      </c>
      <c r="N78" s="5">
        <v>3317</v>
      </c>
      <c r="O78" s="5">
        <v>3640</v>
      </c>
      <c r="P78" s="5">
        <v>2716</v>
      </c>
      <c r="Q78" s="5">
        <v>2695</v>
      </c>
      <c r="R78" s="5">
        <v>1828</v>
      </c>
      <c r="S78" s="5">
        <v>5687</v>
      </c>
      <c r="T78" s="5"/>
      <c r="U78" s="5"/>
      <c r="V78" s="5"/>
      <c r="W78" s="5"/>
      <c r="X78" s="5"/>
      <c r="Y78" s="5"/>
    </row>
    <row r="79" spans="1:39">
      <c r="A79" s="4" t="s">
        <v>80</v>
      </c>
      <c r="B79" s="5"/>
      <c r="C79" s="5"/>
      <c r="D79" s="5"/>
      <c r="E79" s="5"/>
      <c r="F79" s="5"/>
      <c r="G79" s="5"/>
      <c r="H79" s="6" t="s">
        <v>9</v>
      </c>
      <c r="I79" s="6" t="s">
        <v>9</v>
      </c>
      <c r="J79" s="5"/>
      <c r="K79" s="5">
        <v>7787</v>
      </c>
      <c r="L79" s="5">
        <v>2404</v>
      </c>
      <c r="M79" s="5">
        <v>2244</v>
      </c>
      <c r="N79" s="5">
        <v>2184</v>
      </c>
      <c r="O79" s="5">
        <v>2132</v>
      </c>
      <c r="P79" s="5">
        <v>1819</v>
      </c>
      <c r="Q79" s="5">
        <v>1833</v>
      </c>
      <c r="R79" s="5">
        <v>1487</v>
      </c>
      <c r="S79" s="5">
        <v>3883</v>
      </c>
      <c r="T79" s="5"/>
      <c r="U79" s="5"/>
      <c r="V79" s="5"/>
      <c r="W79" s="5"/>
      <c r="X79" s="5"/>
      <c r="Y79" s="5"/>
    </row>
    <row r="80" spans="1:39">
      <c r="A80" s="7" t="s">
        <v>81</v>
      </c>
      <c r="B80" s="8">
        <v>421431</v>
      </c>
      <c r="C80" s="8">
        <v>11922</v>
      </c>
      <c r="D80" s="8">
        <v>8694</v>
      </c>
      <c r="E80" s="9" t="s">
        <v>9</v>
      </c>
      <c r="F80" s="9" t="s">
        <v>9</v>
      </c>
      <c r="G80" s="9" t="s">
        <v>9</v>
      </c>
      <c r="H80" s="10">
        <v>28.3</v>
      </c>
      <c r="I80" s="10">
        <v>20.7</v>
      </c>
      <c r="J80" s="11"/>
      <c r="K80" s="8">
        <v>151969</v>
      </c>
      <c r="L80" s="8">
        <v>126788</v>
      </c>
      <c r="M80" s="8">
        <v>55807</v>
      </c>
      <c r="N80" s="8">
        <v>86867</v>
      </c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AA80" s="37">
        <f>SUM(K80:Y80)</f>
        <v>421431</v>
      </c>
      <c r="AB80" s="37">
        <f>SUM(K81:Y81)</f>
        <v>11922</v>
      </c>
      <c r="AC80" s="37">
        <f>SUM(K82:Y82)</f>
        <v>8694</v>
      </c>
      <c r="AE80" s="37">
        <f>AA80-B80</f>
        <v>0</v>
      </c>
      <c r="AF80" s="37">
        <f>AB80-C80</f>
        <v>0</v>
      </c>
      <c r="AG80" s="37">
        <f>AC80-D80</f>
        <v>0</v>
      </c>
      <c r="AI80" s="38">
        <f>C80/B80*1000</f>
        <v>28.289328502174733</v>
      </c>
      <c r="AJ80" s="38">
        <f>D80/B80*1000</f>
        <v>20.629711625390634</v>
      </c>
      <c r="AL80" s="38">
        <f>AI80-H80</f>
        <v>-1.0671497825267551E-2</v>
      </c>
      <c r="AM80" s="38">
        <f>AJ80-I80</f>
        <v>-7.0288374609365434E-2</v>
      </c>
    </row>
    <row r="81" spans="1:39">
      <c r="A81" s="4" t="s">
        <v>82</v>
      </c>
      <c r="B81" s="5"/>
      <c r="C81" s="5"/>
      <c r="D81" s="5"/>
      <c r="E81" s="5"/>
      <c r="F81" s="5"/>
      <c r="G81" s="5"/>
      <c r="H81" s="6" t="s">
        <v>9</v>
      </c>
      <c r="I81" s="6" t="s">
        <v>9</v>
      </c>
      <c r="J81" s="5"/>
      <c r="K81" s="5">
        <v>4294</v>
      </c>
      <c r="L81" s="5">
        <v>3889</v>
      </c>
      <c r="M81" s="5">
        <v>1561</v>
      </c>
      <c r="N81" s="5">
        <v>2178</v>
      </c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 spans="1:39">
      <c r="A82" s="4" t="s">
        <v>83</v>
      </c>
      <c r="B82" s="5"/>
      <c r="C82" s="5"/>
      <c r="D82" s="5"/>
      <c r="E82" s="5"/>
      <c r="F82" s="5"/>
      <c r="G82" s="5"/>
      <c r="H82" s="6" t="s">
        <v>9</v>
      </c>
      <c r="I82" s="6" t="s">
        <v>9</v>
      </c>
      <c r="J82" s="5"/>
      <c r="K82" s="5">
        <v>3547</v>
      </c>
      <c r="L82" s="5">
        <v>2275</v>
      </c>
      <c r="M82" s="5">
        <v>1226</v>
      </c>
      <c r="N82" s="5">
        <v>1646</v>
      </c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 spans="1:39">
      <c r="A83" s="13" t="s">
        <v>84</v>
      </c>
      <c r="B83" s="14">
        <v>2494567</v>
      </c>
      <c r="C83" s="14">
        <v>68372</v>
      </c>
      <c r="D83" s="14">
        <v>47587</v>
      </c>
      <c r="E83" s="14"/>
      <c r="F83" s="14"/>
      <c r="G83" s="14"/>
      <c r="H83" s="15">
        <v>27.5</v>
      </c>
      <c r="I83" s="15">
        <v>19.2</v>
      </c>
      <c r="J83" s="5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AA83" s="43">
        <f>SUM(AA74:AA82)</f>
        <v>2507894</v>
      </c>
      <c r="AB83" s="43">
        <f>SUM(AB74:AB82)</f>
        <v>68352</v>
      </c>
      <c r="AC83" s="43">
        <f>SUM(AC74:AC82)</f>
        <v>47547</v>
      </c>
      <c r="AE83" s="43">
        <f t="shared" ref="AE83:AG84" si="2">AA83-B83</f>
        <v>13327</v>
      </c>
      <c r="AF83" s="43">
        <f t="shared" si="2"/>
        <v>-20</v>
      </c>
      <c r="AG83" s="43">
        <f t="shared" si="2"/>
        <v>-40</v>
      </c>
      <c r="AI83" s="44">
        <f>C83/B83*1000</f>
        <v>27.408363856332581</v>
      </c>
      <c r="AJ83" s="44">
        <f>D83/B83*1000</f>
        <v>19.076256520670722</v>
      </c>
      <c r="AL83" s="44">
        <f>AI83-H83</f>
        <v>-9.1636143667418679E-2</v>
      </c>
      <c r="AM83" s="44">
        <f>AJ83-I83</f>
        <v>-0.12374347932927776</v>
      </c>
    </row>
    <row r="84" spans="1:39">
      <c r="A84" s="7" t="s">
        <v>85</v>
      </c>
      <c r="B84" s="8">
        <v>1827194</v>
      </c>
      <c r="C84" s="8">
        <v>80492</v>
      </c>
      <c r="D84" s="8">
        <v>49718</v>
      </c>
      <c r="E84" s="8">
        <v>303579</v>
      </c>
      <c r="F84" s="8">
        <v>9049</v>
      </c>
      <c r="G84" s="8">
        <v>6308</v>
      </c>
      <c r="H84" s="12">
        <v>44.1</v>
      </c>
      <c r="I84" s="12">
        <v>27.2</v>
      </c>
      <c r="J84" s="5"/>
      <c r="K84" s="8">
        <v>272395</v>
      </c>
      <c r="L84" s="8">
        <v>300192</v>
      </c>
      <c r="M84" s="8">
        <v>183630</v>
      </c>
      <c r="N84" s="8">
        <v>191237</v>
      </c>
      <c r="O84" s="8">
        <v>219133</v>
      </c>
      <c r="P84" s="8">
        <v>185733</v>
      </c>
      <c r="Q84" s="8">
        <v>193404</v>
      </c>
      <c r="R84" s="8">
        <v>281470</v>
      </c>
      <c r="S84" s="8"/>
      <c r="T84" s="8"/>
      <c r="U84" s="8"/>
      <c r="V84" s="8"/>
      <c r="W84" s="8"/>
      <c r="X84" s="8"/>
      <c r="Y84" s="8"/>
      <c r="AA84" s="37">
        <f>SUM(K84:Y84)</f>
        <v>1827194</v>
      </c>
      <c r="AB84" s="37">
        <f>SUM(K85:Y85)</f>
        <v>80692</v>
      </c>
      <c r="AC84" s="37">
        <f>SUM(K86:Y86)</f>
        <v>49718</v>
      </c>
      <c r="AE84" s="37">
        <f t="shared" si="2"/>
        <v>0</v>
      </c>
      <c r="AF84" s="37">
        <f t="shared" si="2"/>
        <v>200</v>
      </c>
      <c r="AG84" s="37">
        <f t="shared" si="2"/>
        <v>0</v>
      </c>
      <c r="AI84" s="38">
        <f>C84/B84*1000</f>
        <v>44.052246231106274</v>
      </c>
      <c r="AJ84" s="38">
        <f>D84/B84*1000</f>
        <v>27.210028053945013</v>
      </c>
      <c r="AL84" s="38">
        <f>AI84-H84</f>
        <v>-4.7753768893727511E-2</v>
      </c>
      <c r="AM84" s="38">
        <f>AJ84-I84</f>
        <v>1.0028053945013937E-2</v>
      </c>
    </row>
    <row r="85" spans="1:39">
      <c r="A85" s="4" t="s">
        <v>86</v>
      </c>
      <c r="B85" s="5"/>
      <c r="C85" s="5"/>
      <c r="D85" s="5"/>
      <c r="E85" s="5"/>
      <c r="F85" s="5"/>
      <c r="G85" s="5"/>
      <c r="H85" s="6" t="s">
        <v>9</v>
      </c>
      <c r="I85" s="6" t="s">
        <v>9</v>
      </c>
      <c r="J85" s="5"/>
      <c r="K85" s="5">
        <v>10572</v>
      </c>
      <c r="L85" s="5">
        <v>13681</v>
      </c>
      <c r="M85" s="5">
        <v>9016</v>
      </c>
      <c r="N85" s="5">
        <v>8442</v>
      </c>
      <c r="O85" s="5">
        <v>10430</v>
      </c>
      <c r="P85" s="5">
        <v>8648</v>
      </c>
      <c r="Q85" s="5">
        <v>8009</v>
      </c>
      <c r="R85" s="5">
        <v>11894</v>
      </c>
      <c r="S85" s="5"/>
      <c r="T85" s="5"/>
      <c r="U85" s="5"/>
      <c r="V85" s="5"/>
      <c r="W85" s="5"/>
      <c r="X85" s="5"/>
      <c r="Y85" s="5"/>
    </row>
    <row r="86" spans="1:39">
      <c r="A86" s="4" t="s">
        <v>87</v>
      </c>
      <c r="B86" s="5"/>
      <c r="C86" s="5"/>
      <c r="D86" s="5"/>
      <c r="E86" s="5"/>
      <c r="F86" s="5"/>
      <c r="G86" s="5"/>
      <c r="H86" s="6" t="s">
        <v>9</v>
      </c>
      <c r="I86" s="6" t="s">
        <v>9</v>
      </c>
      <c r="J86" s="5"/>
      <c r="K86" s="5">
        <v>7538</v>
      </c>
      <c r="L86" s="5">
        <v>7998</v>
      </c>
      <c r="M86" s="5">
        <v>5231</v>
      </c>
      <c r="N86" s="5">
        <v>4525</v>
      </c>
      <c r="O86" s="5">
        <v>6072</v>
      </c>
      <c r="P86" s="5">
        <v>6142</v>
      </c>
      <c r="Q86" s="5">
        <v>5397</v>
      </c>
      <c r="R86" s="5">
        <v>6815</v>
      </c>
      <c r="S86" s="5"/>
      <c r="T86" s="5"/>
      <c r="U86" s="5"/>
      <c r="V86" s="5"/>
      <c r="W86" s="5"/>
      <c r="X86" s="5"/>
      <c r="Y86" s="5"/>
    </row>
    <row r="87" spans="1:39">
      <c r="A87" s="7" t="s">
        <v>88</v>
      </c>
      <c r="B87" s="8">
        <v>1566856</v>
      </c>
      <c r="C87" s="8">
        <v>76083</v>
      </c>
      <c r="D87" s="8">
        <v>63677</v>
      </c>
      <c r="E87" s="8">
        <v>151894</v>
      </c>
      <c r="F87" s="8">
        <v>6480</v>
      </c>
      <c r="G87" s="8">
        <v>6047</v>
      </c>
      <c r="H87" s="12">
        <v>48.5</v>
      </c>
      <c r="I87" s="12">
        <v>40.6</v>
      </c>
      <c r="J87" s="5"/>
      <c r="K87" s="8">
        <v>175518</v>
      </c>
      <c r="L87" s="8">
        <v>116250</v>
      </c>
      <c r="M87" s="8">
        <v>84968</v>
      </c>
      <c r="N87" s="8">
        <v>109624</v>
      </c>
      <c r="O87" s="8">
        <v>125976</v>
      </c>
      <c r="P87" s="8">
        <v>140833</v>
      </c>
      <c r="Q87" s="8">
        <v>121823</v>
      </c>
      <c r="R87" s="8">
        <v>93425</v>
      </c>
      <c r="S87" s="8">
        <v>118638</v>
      </c>
      <c r="T87" s="8">
        <v>97530</v>
      </c>
      <c r="U87" s="8">
        <v>116728</v>
      </c>
      <c r="V87" s="8">
        <v>156334</v>
      </c>
      <c r="W87" s="8">
        <v>109219</v>
      </c>
      <c r="X87" s="8"/>
      <c r="Y87" s="8"/>
      <c r="AA87" s="37">
        <f>SUM(K87:Y87)</f>
        <v>1566866</v>
      </c>
      <c r="AB87" s="37">
        <f>SUM(K88:Y88)</f>
        <v>76083</v>
      </c>
      <c r="AC87" s="37">
        <f>SUM(K89:Y89)</f>
        <v>63677</v>
      </c>
      <c r="AE87" s="37">
        <f>AA87-B87</f>
        <v>10</v>
      </c>
      <c r="AF87" s="37">
        <f>AB87-C87</f>
        <v>0</v>
      </c>
      <c r="AG87" s="37">
        <f>AC87-D87</f>
        <v>0</v>
      </c>
      <c r="AI87" s="38">
        <f>C87/B87*1000</f>
        <v>48.557748765681083</v>
      </c>
      <c r="AJ87" s="38">
        <f>D87/B87*1000</f>
        <v>40.639982231934525</v>
      </c>
      <c r="AL87" s="38">
        <f>AI87-H87</f>
        <v>5.7748765681083114E-2</v>
      </c>
      <c r="AM87" s="38">
        <f>AJ87-I87</f>
        <v>3.9982231934523327E-2</v>
      </c>
    </row>
    <row r="88" spans="1:39">
      <c r="A88" s="4" t="s">
        <v>89</v>
      </c>
      <c r="B88" s="5"/>
      <c r="C88" s="5"/>
      <c r="D88" s="5"/>
      <c r="E88" s="5"/>
      <c r="F88" s="5"/>
      <c r="G88" s="5"/>
      <c r="H88" s="6" t="s">
        <v>9</v>
      </c>
      <c r="I88" s="6" t="s">
        <v>9</v>
      </c>
      <c r="J88" s="5"/>
      <c r="K88" s="5">
        <v>7025</v>
      </c>
      <c r="L88" s="5">
        <v>4687</v>
      </c>
      <c r="M88" s="5">
        <v>4211</v>
      </c>
      <c r="N88" s="5">
        <v>4731</v>
      </c>
      <c r="O88" s="5">
        <v>5854</v>
      </c>
      <c r="P88" s="5">
        <v>7726</v>
      </c>
      <c r="Q88" s="5">
        <v>5899</v>
      </c>
      <c r="R88" s="5">
        <v>4539</v>
      </c>
      <c r="S88" s="5">
        <v>8225</v>
      </c>
      <c r="T88" s="5">
        <v>4782</v>
      </c>
      <c r="U88" s="5">
        <v>6154</v>
      </c>
      <c r="V88" s="5">
        <v>6739</v>
      </c>
      <c r="W88" s="5">
        <v>5511</v>
      </c>
      <c r="X88" s="5"/>
      <c r="Y88" s="5"/>
    </row>
    <row r="89" spans="1:39">
      <c r="A89" s="4" t="s">
        <v>90</v>
      </c>
      <c r="B89" s="5"/>
      <c r="C89" s="5"/>
      <c r="D89" s="5"/>
      <c r="E89" s="5"/>
      <c r="F89" s="5"/>
      <c r="G89" s="5"/>
      <c r="H89" s="6" t="s">
        <v>9</v>
      </c>
      <c r="I89" s="6" t="s">
        <v>9</v>
      </c>
      <c r="J89" s="5"/>
      <c r="K89" s="5">
        <v>6007</v>
      </c>
      <c r="L89" s="5">
        <v>3934</v>
      </c>
      <c r="M89" s="5">
        <v>3228</v>
      </c>
      <c r="N89" s="5">
        <v>3366</v>
      </c>
      <c r="O89" s="5">
        <v>4351</v>
      </c>
      <c r="P89" s="5">
        <v>5156</v>
      </c>
      <c r="Q89" s="5">
        <v>5681</v>
      </c>
      <c r="R89" s="5">
        <v>4215</v>
      </c>
      <c r="S89" s="5">
        <v>7222</v>
      </c>
      <c r="T89" s="5">
        <v>4116</v>
      </c>
      <c r="U89" s="5">
        <v>5054</v>
      </c>
      <c r="V89" s="5">
        <v>6361</v>
      </c>
      <c r="W89" s="5">
        <v>4986</v>
      </c>
      <c r="X89" s="5"/>
      <c r="Y89" s="5"/>
    </row>
    <row r="90" spans="1:39">
      <c r="A90" s="7" t="s">
        <v>91</v>
      </c>
      <c r="B90" s="8">
        <v>1383875</v>
      </c>
      <c r="C90" s="8">
        <v>60292</v>
      </c>
      <c r="D90" s="8">
        <v>38427</v>
      </c>
      <c r="E90" s="8">
        <v>47632</v>
      </c>
      <c r="F90" s="8">
        <v>1722</v>
      </c>
      <c r="G90" s="8">
        <v>1428</v>
      </c>
      <c r="H90" s="12">
        <v>45.2</v>
      </c>
      <c r="I90" s="12">
        <v>28.8</v>
      </c>
      <c r="J90" s="5"/>
      <c r="K90" s="8">
        <v>176354</v>
      </c>
      <c r="L90" s="8">
        <v>109359</v>
      </c>
      <c r="M90" s="8">
        <v>111862</v>
      </c>
      <c r="N90" s="8">
        <v>192959</v>
      </c>
      <c r="O90" s="8">
        <v>200412</v>
      </c>
      <c r="P90" s="8">
        <v>128039</v>
      </c>
      <c r="Q90" s="8">
        <v>158252</v>
      </c>
      <c r="R90" s="8">
        <v>108876</v>
      </c>
      <c r="S90" s="8">
        <v>146201</v>
      </c>
      <c r="T90" s="8">
        <v>51559</v>
      </c>
      <c r="U90" s="8"/>
      <c r="V90" s="8"/>
      <c r="W90" s="8"/>
      <c r="X90" s="8"/>
      <c r="Y90" s="8"/>
      <c r="AA90" s="37">
        <f>SUM(K90:Y90)</f>
        <v>1383873</v>
      </c>
      <c r="AB90" s="37">
        <f>SUM(K91:Y91)</f>
        <v>60292</v>
      </c>
      <c r="AC90" s="37">
        <f>SUM(K92:Y92)</f>
        <v>38427</v>
      </c>
      <c r="AE90" s="37">
        <f>AA90-B90</f>
        <v>-2</v>
      </c>
      <c r="AF90" s="37">
        <f>AB90-C90</f>
        <v>0</v>
      </c>
      <c r="AG90" s="37">
        <f>AC90-D90</f>
        <v>0</v>
      </c>
      <c r="AI90" s="38">
        <f>C90/B90*1000</f>
        <v>43.567518742661008</v>
      </c>
      <c r="AJ90" s="38">
        <f>D90/B90*1000</f>
        <v>27.767681329599856</v>
      </c>
      <c r="AL90" s="38">
        <f>AI90-H90</f>
        <v>-1.6324812573389949</v>
      </c>
      <c r="AM90" s="38">
        <f>AJ90-I90</f>
        <v>-1.0323186704001444</v>
      </c>
    </row>
    <row r="91" spans="1:39">
      <c r="A91" s="4" t="s">
        <v>92</v>
      </c>
      <c r="B91" s="5"/>
      <c r="C91" s="5"/>
      <c r="D91" s="5"/>
      <c r="E91" s="5"/>
      <c r="F91" s="5"/>
      <c r="G91" s="5"/>
      <c r="H91" s="6" t="s">
        <v>9</v>
      </c>
      <c r="I91" s="6" t="s">
        <v>9</v>
      </c>
      <c r="J91" s="5"/>
      <c r="K91" s="5">
        <v>6803</v>
      </c>
      <c r="L91" s="5">
        <v>4319</v>
      </c>
      <c r="M91" s="5">
        <v>4760</v>
      </c>
      <c r="N91" s="5">
        <v>8189</v>
      </c>
      <c r="O91" s="5">
        <v>10220</v>
      </c>
      <c r="P91" s="5">
        <v>5591</v>
      </c>
      <c r="Q91" s="5">
        <v>6890</v>
      </c>
      <c r="R91" s="5">
        <v>4542</v>
      </c>
      <c r="S91" s="5">
        <v>6875</v>
      </c>
      <c r="T91" s="5">
        <v>2103</v>
      </c>
      <c r="U91" s="5"/>
      <c r="V91" s="5"/>
      <c r="W91" s="5"/>
      <c r="X91" s="5"/>
      <c r="Y91" s="5"/>
    </row>
    <row r="92" spans="1:39">
      <c r="A92" s="4" t="s">
        <v>93</v>
      </c>
      <c r="B92" s="5"/>
      <c r="C92" s="5"/>
      <c r="D92" s="5"/>
      <c r="E92" s="5"/>
      <c r="F92" s="5"/>
      <c r="G92" s="5"/>
      <c r="H92" s="6" t="s">
        <v>9</v>
      </c>
      <c r="I92" s="6" t="s">
        <v>9</v>
      </c>
      <c r="J92" s="5"/>
      <c r="K92" s="5">
        <v>5080</v>
      </c>
      <c r="L92" s="5">
        <v>2522</v>
      </c>
      <c r="M92" s="5">
        <v>3719</v>
      </c>
      <c r="N92" s="5">
        <v>6017</v>
      </c>
      <c r="O92" s="5">
        <v>5490</v>
      </c>
      <c r="P92" s="5">
        <v>3337</v>
      </c>
      <c r="Q92" s="5">
        <v>4535</v>
      </c>
      <c r="R92" s="5">
        <v>2072</v>
      </c>
      <c r="S92" s="5">
        <v>4627</v>
      </c>
      <c r="T92" s="5">
        <v>1028</v>
      </c>
      <c r="U92" s="5"/>
      <c r="V92" s="5"/>
      <c r="W92" s="5"/>
      <c r="X92" s="5"/>
      <c r="Y92" s="5"/>
    </row>
    <row r="93" spans="1:39">
      <c r="A93" s="7" t="s">
        <v>94</v>
      </c>
      <c r="B93" s="8">
        <v>2764765</v>
      </c>
      <c r="C93" s="8">
        <v>142665</v>
      </c>
      <c r="D93" s="8">
        <v>119761</v>
      </c>
      <c r="E93" s="8">
        <v>114667</v>
      </c>
      <c r="F93" s="8">
        <v>4799</v>
      </c>
      <c r="G93" s="8">
        <v>4493</v>
      </c>
      <c r="H93" s="12">
        <v>52</v>
      </c>
      <c r="I93" s="12">
        <v>43.7</v>
      </c>
      <c r="J93" s="5"/>
      <c r="K93" s="8">
        <v>263715</v>
      </c>
      <c r="L93" s="8">
        <v>270050</v>
      </c>
      <c r="M93" s="8">
        <v>322642</v>
      </c>
      <c r="N93" s="8">
        <v>293571</v>
      </c>
      <c r="O93" s="8">
        <v>223419</v>
      </c>
      <c r="P93" s="8">
        <v>153101</v>
      </c>
      <c r="Q93" s="8">
        <v>220283</v>
      </c>
      <c r="R93" s="8">
        <v>165769</v>
      </c>
      <c r="S93" s="8">
        <v>185209</v>
      </c>
      <c r="T93" s="8">
        <v>195366</v>
      </c>
      <c r="U93" s="8">
        <v>281913</v>
      </c>
      <c r="V93" s="8">
        <v>189726</v>
      </c>
      <c r="W93" s="8"/>
      <c r="X93" s="8"/>
      <c r="Y93" s="8"/>
      <c r="AA93" s="37">
        <f>SUM(K93:Y93)</f>
        <v>2764764</v>
      </c>
      <c r="AB93" s="37">
        <f>SUM(K94:Y94)</f>
        <v>142665</v>
      </c>
      <c r="AC93" s="37">
        <f>SUM(K95:Y95)</f>
        <v>119761</v>
      </c>
      <c r="AE93" s="37">
        <f>AA93-B93</f>
        <v>-1</v>
      </c>
      <c r="AF93" s="37">
        <f>AB93-C93</f>
        <v>0</v>
      </c>
      <c r="AG93" s="37">
        <f>AC93-D93</f>
        <v>0</v>
      </c>
      <c r="AI93" s="38">
        <f>C93/B93*1000</f>
        <v>51.601130656674258</v>
      </c>
      <c r="AJ93" s="38">
        <f>D93/B93*1000</f>
        <v>43.316882266666425</v>
      </c>
      <c r="AL93" s="38">
        <f>AI93-H93</f>
        <v>-0.39886934332574242</v>
      </c>
      <c r="AM93" s="38">
        <f>AJ93-I93</f>
        <v>-0.38311773333357735</v>
      </c>
    </row>
    <row r="94" spans="1:39">
      <c r="A94" s="4" t="s">
        <v>95</v>
      </c>
      <c r="B94" s="5"/>
      <c r="C94" s="5"/>
      <c r="D94" s="5"/>
      <c r="E94" s="5"/>
      <c r="F94" s="5"/>
      <c r="G94" s="5"/>
      <c r="H94" s="6" t="s">
        <v>9</v>
      </c>
      <c r="I94" s="6" t="s">
        <v>9</v>
      </c>
      <c r="J94" s="5"/>
      <c r="K94" s="5">
        <v>14183</v>
      </c>
      <c r="L94" s="5">
        <v>11300</v>
      </c>
      <c r="M94" s="5">
        <v>16908</v>
      </c>
      <c r="N94" s="5">
        <v>16030</v>
      </c>
      <c r="O94" s="5">
        <v>8978</v>
      </c>
      <c r="P94" s="5">
        <v>9254</v>
      </c>
      <c r="Q94" s="5">
        <v>12114</v>
      </c>
      <c r="R94" s="5">
        <v>9172</v>
      </c>
      <c r="S94" s="5">
        <v>10233</v>
      </c>
      <c r="T94" s="5">
        <v>11122</v>
      </c>
      <c r="U94" s="5">
        <v>14094</v>
      </c>
      <c r="V94" s="5">
        <v>9277</v>
      </c>
      <c r="W94" s="5"/>
      <c r="X94" s="5"/>
      <c r="Y94" s="5"/>
    </row>
    <row r="95" spans="1:39">
      <c r="A95" s="4" t="s">
        <v>96</v>
      </c>
      <c r="B95" s="5"/>
      <c r="C95" s="5"/>
      <c r="D95" s="5"/>
      <c r="E95" s="5"/>
      <c r="F95" s="5"/>
      <c r="G95" s="5"/>
      <c r="H95" s="6" t="s">
        <v>9</v>
      </c>
      <c r="I95" s="6" t="s">
        <v>9</v>
      </c>
      <c r="J95" s="5"/>
      <c r="K95" s="5">
        <v>13037</v>
      </c>
      <c r="L95" s="5">
        <v>9479</v>
      </c>
      <c r="M95" s="5">
        <v>13614</v>
      </c>
      <c r="N95" s="5">
        <v>15236</v>
      </c>
      <c r="O95" s="5">
        <v>8095</v>
      </c>
      <c r="P95" s="5">
        <v>5547</v>
      </c>
      <c r="Q95" s="5">
        <v>10185</v>
      </c>
      <c r="R95" s="5">
        <v>6987</v>
      </c>
      <c r="S95" s="5">
        <v>8168</v>
      </c>
      <c r="T95" s="5">
        <v>11222</v>
      </c>
      <c r="U95" s="5">
        <v>11493</v>
      </c>
      <c r="V95" s="5">
        <v>6698</v>
      </c>
      <c r="W95" s="5"/>
      <c r="X95" s="5"/>
      <c r="Y95" s="5"/>
    </row>
    <row r="96" spans="1:39">
      <c r="A96" s="7" t="s">
        <v>97</v>
      </c>
      <c r="B96" s="8">
        <v>3042950</v>
      </c>
      <c r="C96" s="8">
        <v>167172</v>
      </c>
      <c r="D96" s="8">
        <v>109279</v>
      </c>
      <c r="E96" s="8">
        <v>90765</v>
      </c>
      <c r="F96" s="8">
        <v>2670</v>
      </c>
      <c r="G96" s="8">
        <v>2171</v>
      </c>
      <c r="H96" s="12">
        <v>53.2</v>
      </c>
      <c r="I96" s="12">
        <v>34.799999999999997</v>
      </c>
      <c r="J96" s="5"/>
      <c r="K96" s="8">
        <v>219297</v>
      </c>
      <c r="L96" s="8">
        <v>387165</v>
      </c>
      <c r="M96" s="8">
        <v>225315</v>
      </c>
      <c r="N96" s="8">
        <v>303477</v>
      </c>
      <c r="O96" s="8">
        <v>275360</v>
      </c>
      <c r="P96" s="8">
        <v>221089</v>
      </c>
      <c r="Q96" s="8">
        <v>224777</v>
      </c>
      <c r="R96" s="8">
        <v>292226</v>
      </c>
      <c r="S96" s="8">
        <v>217281</v>
      </c>
      <c r="T96" s="8">
        <v>292508</v>
      </c>
      <c r="U96" s="8">
        <v>384455</v>
      </c>
      <c r="V96" s="8"/>
      <c r="W96" s="8"/>
      <c r="X96" s="8"/>
      <c r="Y96" s="8"/>
      <c r="AA96" s="37">
        <f>SUM(K96:Y96)</f>
        <v>3042950</v>
      </c>
      <c r="AB96" s="37">
        <f>SUM(K97:Y97)</f>
        <v>167172</v>
      </c>
      <c r="AC96" s="37">
        <f>SUM(K98:Y98)</f>
        <v>109279</v>
      </c>
      <c r="AE96" s="37">
        <f>AA96-B96</f>
        <v>0</v>
      </c>
      <c r="AF96" s="37">
        <f>AB96-C96</f>
        <v>0</v>
      </c>
      <c r="AG96" s="37">
        <f>AC96-D96</f>
        <v>0</v>
      </c>
      <c r="AI96" s="38">
        <f>C96/B96*1000</f>
        <v>54.937478433756716</v>
      </c>
      <c r="AJ96" s="38">
        <f>D96/B96*1000</f>
        <v>35.912190473060683</v>
      </c>
      <c r="AL96" s="38">
        <f>AI96-H96</f>
        <v>1.7374784337567135</v>
      </c>
      <c r="AM96" s="38">
        <f>AJ96-I96</f>
        <v>1.1121904730606857</v>
      </c>
    </row>
    <row r="97" spans="1:39">
      <c r="A97" s="4" t="s">
        <v>98</v>
      </c>
      <c r="B97" s="5"/>
      <c r="C97" s="5"/>
      <c r="D97" s="5"/>
      <c r="E97" s="5"/>
      <c r="F97" s="5"/>
      <c r="G97" s="5"/>
      <c r="H97" s="6" t="s">
        <v>9</v>
      </c>
      <c r="I97" s="6" t="s">
        <v>9</v>
      </c>
      <c r="J97" s="5"/>
      <c r="K97" s="5">
        <v>10876</v>
      </c>
      <c r="L97" s="5">
        <v>20261</v>
      </c>
      <c r="M97" s="5">
        <v>12346</v>
      </c>
      <c r="N97" s="5">
        <v>14968</v>
      </c>
      <c r="O97" s="5">
        <v>15119</v>
      </c>
      <c r="P97" s="5">
        <v>11118</v>
      </c>
      <c r="Q97" s="5">
        <v>12096</v>
      </c>
      <c r="R97" s="5">
        <v>22652</v>
      </c>
      <c r="S97" s="5">
        <v>11921</v>
      </c>
      <c r="T97" s="5">
        <v>15519</v>
      </c>
      <c r="U97" s="5">
        <v>20296</v>
      </c>
      <c r="V97" s="5"/>
      <c r="W97" s="5"/>
      <c r="X97" s="5"/>
      <c r="Y97" s="5"/>
    </row>
    <row r="98" spans="1:39">
      <c r="A98" s="4" t="s">
        <v>99</v>
      </c>
      <c r="B98" s="5"/>
      <c r="C98" s="5"/>
      <c r="D98" s="5"/>
      <c r="E98" s="5"/>
      <c r="F98" s="5"/>
      <c r="G98" s="5"/>
      <c r="H98" s="6" t="s">
        <v>9</v>
      </c>
      <c r="I98" s="6" t="s">
        <v>9</v>
      </c>
      <c r="J98" s="5"/>
      <c r="K98" s="5">
        <v>7311</v>
      </c>
      <c r="L98" s="5">
        <v>13135</v>
      </c>
      <c r="M98" s="5">
        <v>7860</v>
      </c>
      <c r="N98" s="5">
        <v>7671</v>
      </c>
      <c r="O98" s="5">
        <v>9584</v>
      </c>
      <c r="P98" s="5">
        <v>8196</v>
      </c>
      <c r="Q98" s="5">
        <v>6939</v>
      </c>
      <c r="R98" s="5">
        <v>15992</v>
      </c>
      <c r="S98" s="5">
        <v>7334</v>
      </c>
      <c r="T98" s="5">
        <v>10777</v>
      </c>
      <c r="U98" s="5">
        <v>14480</v>
      </c>
      <c r="V98" s="5"/>
      <c r="W98" s="5"/>
      <c r="X98" s="5"/>
      <c r="Y98" s="5"/>
    </row>
    <row r="99" spans="1:39">
      <c r="A99" s="7" t="s">
        <v>100</v>
      </c>
      <c r="B99" s="8">
        <v>2020002</v>
      </c>
      <c r="C99" s="8">
        <v>115254</v>
      </c>
      <c r="D99" s="8">
        <v>65850</v>
      </c>
      <c r="E99" s="8">
        <v>291350</v>
      </c>
      <c r="F99" s="8">
        <v>10805</v>
      </c>
      <c r="G99" s="8">
        <v>6829</v>
      </c>
      <c r="H99" s="12">
        <v>58</v>
      </c>
      <c r="I99" s="12">
        <v>33.299999999999997</v>
      </c>
      <c r="J99" s="5"/>
      <c r="K99" s="8">
        <v>339279</v>
      </c>
      <c r="L99" s="8">
        <v>259735</v>
      </c>
      <c r="M99" s="8">
        <v>274886</v>
      </c>
      <c r="N99" s="8">
        <v>189023</v>
      </c>
      <c r="O99" s="8">
        <v>247008</v>
      </c>
      <c r="P99" s="8">
        <v>234617</v>
      </c>
      <c r="Q99" s="8">
        <v>259817</v>
      </c>
      <c r="R99" s="8">
        <v>215637</v>
      </c>
      <c r="S99" s="8"/>
      <c r="T99" s="8"/>
      <c r="U99" s="8"/>
      <c r="V99" s="8"/>
      <c r="W99" s="8"/>
      <c r="X99" s="8"/>
      <c r="Y99" s="8"/>
      <c r="AA99" s="37">
        <f>SUM(K99:Y99)</f>
        <v>2020002</v>
      </c>
      <c r="AB99" s="37">
        <f>SUM(K100:Y100)</f>
        <v>115254</v>
      </c>
      <c r="AC99" s="37">
        <f>SUM(K101:Y101)</f>
        <v>65850</v>
      </c>
      <c r="AE99" s="37">
        <f>AA99-B99</f>
        <v>0</v>
      </c>
      <c r="AF99" s="37">
        <f>AB99-C99</f>
        <v>0</v>
      </c>
      <c r="AG99" s="37">
        <f>AC99-D99</f>
        <v>0</v>
      </c>
      <c r="AI99" s="38">
        <f>C99/B99*1000</f>
        <v>57.056379152099851</v>
      </c>
      <c r="AJ99" s="38">
        <f>D99/B99*1000</f>
        <v>32.598977624774626</v>
      </c>
      <c r="AL99" s="38">
        <f>AI99-H99</f>
        <v>-0.94362084790014933</v>
      </c>
      <c r="AM99" s="38">
        <f>AJ99-I99</f>
        <v>-0.70102237522537081</v>
      </c>
    </row>
    <row r="100" spans="1:39">
      <c r="A100" s="4" t="s">
        <v>101</v>
      </c>
      <c r="B100" s="5"/>
      <c r="C100" s="5"/>
      <c r="D100" s="5"/>
      <c r="E100" s="5"/>
      <c r="F100" s="5"/>
      <c r="G100" s="5"/>
      <c r="H100" s="6" t="s">
        <v>9</v>
      </c>
      <c r="I100" s="6" t="s">
        <v>9</v>
      </c>
      <c r="J100" s="5"/>
      <c r="K100" s="5">
        <v>17048</v>
      </c>
      <c r="L100" s="5">
        <v>13698</v>
      </c>
      <c r="M100" s="5">
        <v>17971</v>
      </c>
      <c r="N100" s="5">
        <v>11631</v>
      </c>
      <c r="O100" s="5">
        <v>15635</v>
      </c>
      <c r="P100" s="5">
        <v>14968</v>
      </c>
      <c r="Q100" s="5">
        <v>14908</v>
      </c>
      <c r="R100" s="5">
        <v>9395</v>
      </c>
      <c r="S100" s="5"/>
      <c r="T100" s="5"/>
      <c r="U100" s="5"/>
      <c r="V100" s="5"/>
      <c r="W100" s="5"/>
      <c r="X100" s="5"/>
      <c r="Y100" s="5"/>
    </row>
    <row r="101" spans="1:39">
      <c r="A101" s="4" t="s">
        <v>102</v>
      </c>
      <c r="B101" s="5"/>
      <c r="C101" s="5"/>
      <c r="D101" s="5"/>
      <c r="E101" s="5"/>
      <c r="F101" s="5"/>
      <c r="G101" s="5"/>
      <c r="H101" s="6" t="s">
        <v>9</v>
      </c>
      <c r="I101" s="6" t="s">
        <v>9</v>
      </c>
      <c r="J101" s="5"/>
      <c r="K101" s="5">
        <v>9302</v>
      </c>
      <c r="L101" s="5">
        <v>7175</v>
      </c>
      <c r="M101" s="5">
        <v>10233</v>
      </c>
      <c r="N101" s="5">
        <v>6638</v>
      </c>
      <c r="O101" s="5">
        <v>7939</v>
      </c>
      <c r="P101" s="5">
        <v>9247</v>
      </c>
      <c r="Q101" s="5">
        <v>9978</v>
      </c>
      <c r="R101" s="5">
        <v>5338</v>
      </c>
      <c r="S101" s="5"/>
      <c r="T101" s="5"/>
      <c r="U101" s="5"/>
      <c r="V101" s="5"/>
      <c r="W101" s="5"/>
      <c r="X101" s="5"/>
      <c r="Y101" s="5"/>
    </row>
    <row r="102" spans="1:39">
      <c r="A102" s="7" t="s">
        <v>103</v>
      </c>
      <c r="B102" s="8">
        <v>2235336</v>
      </c>
      <c r="C102" s="8">
        <v>104609</v>
      </c>
      <c r="D102" s="8">
        <v>76702</v>
      </c>
      <c r="E102" s="8">
        <v>179257</v>
      </c>
      <c r="F102" s="8">
        <v>6381</v>
      </c>
      <c r="G102" s="8">
        <v>6087</v>
      </c>
      <c r="H102" s="12">
        <v>47.1</v>
      </c>
      <c r="I102" s="12">
        <v>34.6</v>
      </c>
      <c r="J102" s="5"/>
      <c r="K102" s="8">
        <v>354715</v>
      </c>
      <c r="L102" s="8">
        <v>100793</v>
      </c>
      <c r="M102" s="8">
        <v>186261</v>
      </c>
      <c r="N102" s="8">
        <v>200474</v>
      </c>
      <c r="O102" s="8">
        <v>136825</v>
      </c>
      <c r="P102" s="8">
        <v>187387</v>
      </c>
      <c r="Q102" s="8">
        <v>199291</v>
      </c>
      <c r="R102" s="8">
        <v>116423</v>
      </c>
      <c r="S102" s="8">
        <v>161182</v>
      </c>
      <c r="T102" s="8">
        <v>127025</v>
      </c>
      <c r="U102" s="8">
        <v>316635</v>
      </c>
      <c r="V102" s="8">
        <v>148635</v>
      </c>
      <c r="W102" s="8"/>
      <c r="X102" s="8"/>
      <c r="Y102" s="8"/>
      <c r="AA102" s="37">
        <f>SUM(K102:Y102)</f>
        <v>2235646</v>
      </c>
      <c r="AB102" s="37">
        <f>SUM(K103:Y103)</f>
        <v>104609</v>
      </c>
      <c r="AC102" s="37">
        <f>SUM(K104:Y104)</f>
        <v>76702</v>
      </c>
      <c r="AE102" s="37">
        <f>AA102-B102</f>
        <v>310</v>
      </c>
      <c r="AF102" s="37">
        <f>AB102-C102</f>
        <v>0</v>
      </c>
      <c r="AG102" s="37">
        <f>AC102-D102</f>
        <v>0</v>
      </c>
      <c r="AI102" s="38">
        <f>C102/B102*1000</f>
        <v>46.797886313288025</v>
      </c>
      <c r="AJ102" s="38">
        <f>D102/B102*1000</f>
        <v>34.313409706639177</v>
      </c>
      <c r="AL102" s="38">
        <f>AI102-H102</f>
        <v>-0.30211368671197647</v>
      </c>
      <c r="AM102" s="38">
        <f>AJ102-I102</f>
        <v>-0.28659029336082398</v>
      </c>
    </row>
    <row r="103" spans="1:39">
      <c r="A103" s="4" t="s">
        <v>104</v>
      </c>
      <c r="B103" s="5"/>
      <c r="C103" s="5"/>
      <c r="D103" s="5"/>
      <c r="E103" s="5"/>
      <c r="F103" s="5"/>
      <c r="G103" s="5"/>
      <c r="H103" s="6" t="s">
        <v>9</v>
      </c>
      <c r="I103" s="6" t="s">
        <v>9</v>
      </c>
      <c r="J103" s="5"/>
      <c r="K103" s="5">
        <v>15565</v>
      </c>
      <c r="L103" s="5">
        <v>4537</v>
      </c>
      <c r="M103" s="5">
        <v>8892</v>
      </c>
      <c r="N103" s="5">
        <v>8956</v>
      </c>
      <c r="O103" s="5">
        <v>6732</v>
      </c>
      <c r="P103" s="5">
        <v>9201</v>
      </c>
      <c r="Q103" s="5">
        <v>9479</v>
      </c>
      <c r="R103" s="5">
        <v>5410</v>
      </c>
      <c r="S103" s="5">
        <v>7556</v>
      </c>
      <c r="T103" s="5">
        <v>6002</v>
      </c>
      <c r="U103" s="5">
        <v>15295</v>
      </c>
      <c r="V103" s="5">
        <v>6984</v>
      </c>
      <c r="W103" s="5"/>
      <c r="X103" s="5"/>
      <c r="Y103" s="5"/>
    </row>
    <row r="104" spans="1:39">
      <c r="A104" s="4" t="s">
        <v>105</v>
      </c>
      <c r="B104" s="5"/>
      <c r="C104" s="5"/>
      <c r="D104" s="5"/>
      <c r="E104" s="5"/>
      <c r="F104" s="5"/>
      <c r="G104" s="5"/>
      <c r="H104" s="6" t="s">
        <v>9</v>
      </c>
      <c r="I104" s="6" t="s">
        <v>9</v>
      </c>
      <c r="J104" s="5"/>
      <c r="K104" s="5">
        <v>11914</v>
      </c>
      <c r="L104" s="5">
        <v>3463</v>
      </c>
      <c r="M104" s="5">
        <v>6293</v>
      </c>
      <c r="N104" s="5">
        <v>6050</v>
      </c>
      <c r="O104" s="5">
        <v>5368</v>
      </c>
      <c r="P104" s="5">
        <v>7475</v>
      </c>
      <c r="Q104" s="5">
        <v>7419</v>
      </c>
      <c r="R104" s="5">
        <v>3825</v>
      </c>
      <c r="S104" s="5">
        <v>5591</v>
      </c>
      <c r="T104" s="5">
        <v>4183</v>
      </c>
      <c r="U104" s="5">
        <v>10308</v>
      </c>
      <c r="V104" s="5">
        <v>4813</v>
      </c>
      <c r="W104" s="5"/>
      <c r="X104" s="5"/>
      <c r="Y104" s="5"/>
    </row>
    <row r="105" spans="1:39">
      <c r="A105" s="7" t="s">
        <v>106</v>
      </c>
      <c r="B105" s="8">
        <v>1341444</v>
      </c>
      <c r="C105" s="8">
        <v>64942</v>
      </c>
      <c r="D105" s="8">
        <v>50121</v>
      </c>
      <c r="E105" s="8">
        <v>114387</v>
      </c>
      <c r="F105" s="8">
        <v>3008</v>
      </c>
      <c r="G105" s="8">
        <v>2893</v>
      </c>
      <c r="H105" s="12">
        <v>48.9</v>
      </c>
      <c r="I105" s="12">
        <v>38</v>
      </c>
      <c r="J105" s="5"/>
      <c r="K105" s="8">
        <v>133313</v>
      </c>
      <c r="L105" s="8">
        <v>78167</v>
      </c>
      <c r="M105" s="8">
        <v>251857</v>
      </c>
      <c r="N105" s="8">
        <v>140545</v>
      </c>
      <c r="O105" s="8">
        <v>98157</v>
      </c>
      <c r="P105" s="8">
        <v>50514</v>
      </c>
      <c r="Q105" s="8">
        <v>129999</v>
      </c>
      <c r="R105" s="8">
        <v>125153</v>
      </c>
      <c r="S105" s="8">
        <v>173505</v>
      </c>
      <c r="T105" s="8">
        <v>74092</v>
      </c>
      <c r="U105" s="8">
        <v>86142</v>
      </c>
      <c r="V105" s="8"/>
      <c r="W105" s="8"/>
      <c r="X105" s="8"/>
      <c r="Y105" s="8"/>
      <c r="AA105" s="37">
        <f>SUM(K105:Y105)</f>
        <v>1341444</v>
      </c>
      <c r="AB105" s="37">
        <f>SUM(K106:Y106)</f>
        <v>64932</v>
      </c>
      <c r="AC105" s="37">
        <f>SUM(K107:Y107)</f>
        <v>50121</v>
      </c>
      <c r="AE105" s="37">
        <f>AA105-B105</f>
        <v>0</v>
      </c>
      <c r="AF105" s="37">
        <f>AB105-C105</f>
        <v>-10</v>
      </c>
      <c r="AG105" s="37">
        <f>AC105-D105</f>
        <v>0</v>
      </c>
      <c r="AI105" s="38">
        <f>C105/B105*1000</f>
        <v>48.412009744722852</v>
      </c>
      <c r="AJ105" s="38">
        <f>D105/B105*1000</f>
        <v>37.363468024009954</v>
      </c>
      <c r="AL105" s="38">
        <f>AI105-H105</f>
        <v>-0.4879902552771469</v>
      </c>
      <c r="AM105" s="38">
        <f>AJ105-I105</f>
        <v>-0.63653197599004585</v>
      </c>
    </row>
    <row r="106" spans="1:39">
      <c r="A106" s="4" t="s">
        <v>107</v>
      </c>
      <c r="B106" s="5"/>
      <c r="C106" s="5"/>
      <c r="D106" s="5"/>
      <c r="E106" s="5"/>
      <c r="F106" s="5"/>
      <c r="G106" s="5"/>
      <c r="H106" s="6" t="s">
        <v>9</v>
      </c>
      <c r="I106" s="6" t="s">
        <v>9</v>
      </c>
      <c r="J106" s="5"/>
      <c r="K106" s="5">
        <v>5299</v>
      </c>
      <c r="L106" s="5">
        <v>3017</v>
      </c>
      <c r="M106" s="5">
        <v>15315</v>
      </c>
      <c r="N106" s="5">
        <v>7051</v>
      </c>
      <c r="O106" s="5">
        <v>5106</v>
      </c>
      <c r="P106" s="5">
        <v>2334</v>
      </c>
      <c r="Q106" s="5">
        <v>6857</v>
      </c>
      <c r="R106" s="5">
        <v>4882</v>
      </c>
      <c r="S106" s="5">
        <v>8843</v>
      </c>
      <c r="T106" s="5">
        <v>3268</v>
      </c>
      <c r="U106" s="5">
        <v>2960</v>
      </c>
      <c r="V106" s="5"/>
      <c r="W106" s="5"/>
      <c r="X106" s="5"/>
      <c r="Y106" s="5"/>
    </row>
    <row r="107" spans="1:39">
      <c r="A107" s="4" t="s">
        <v>108</v>
      </c>
      <c r="B107" s="5"/>
      <c r="C107" s="5"/>
      <c r="D107" s="5"/>
      <c r="E107" s="5"/>
      <c r="F107" s="5"/>
      <c r="G107" s="5"/>
      <c r="H107" s="6" t="s">
        <v>9</v>
      </c>
      <c r="I107" s="6" t="s">
        <v>9</v>
      </c>
      <c r="J107" s="5"/>
      <c r="K107" s="5">
        <v>4177</v>
      </c>
      <c r="L107" s="5">
        <v>3068</v>
      </c>
      <c r="M107" s="5">
        <v>9335</v>
      </c>
      <c r="N107" s="5">
        <v>5303</v>
      </c>
      <c r="O107" s="5">
        <v>3496</v>
      </c>
      <c r="P107" s="5">
        <v>2639</v>
      </c>
      <c r="Q107" s="5">
        <v>6543</v>
      </c>
      <c r="R107" s="5">
        <v>4162</v>
      </c>
      <c r="S107" s="5">
        <v>6032</v>
      </c>
      <c r="T107" s="5">
        <v>2778</v>
      </c>
      <c r="U107" s="5">
        <v>2588</v>
      </c>
      <c r="V107" s="5"/>
      <c r="W107" s="5"/>
      <c r="X107" s="5"/>
      <c r="Y107" s="5"/>
    </row>
    <row r="108" spans="1:39">
      <c r="A108" s="7" t="s">
        <v>109</v>
      </c>
      <c r="B108" s="8">
        <v>1486314</v>
      </c>
      <c r="C108" s="8">
        <v>69552</v>
      </c>
      <c r="D108" s="8">
        <v>49585</v>
      </c>
      <c r="E108" s="8">
        <v>70956</v>
      </c>
      <c r="F108" s="8">
        <v>3219</v>
      </c>
      <c r="G108" s="8">
        <v>2900</v>
      </c>
      <c r="H108" s="12">
        <v>46.8</v>
      </c>
      <c r="I108" s="12">
        <v>33.4</v>
      </c>
      <c r="J108" s="5"/>
      <c r="K108" s="8">
        <v>184653</v>
      </c>
      <c r="L108" s="8">
        <v>79356</v>
      </c>
      <c r="M108" s="8">
        <v>124757</v>
      </c>
      <c r="N108" s="8">
        <v>119581</v>
      </c>
      <c r="O108" s="8">
        <v>120970</v>
      </c>
      <c r="P108" s="8">
        <v>142818</v>
      </c>
      <c r="Q108" s="8">
        <v>118085</v>
      </c>
      <c r="R108" s="8">
        <v>153657</v>
      </c>
      <c r="S108" s="8">
        <v>173144</v>
      </c>
      <c r="T108" s="8">
        <v>69246</v>
      </c>
      <c r="U108" s="8">
        <v>60489</v>
      </c>
      <c r="V108" s="8">
        <v>139558</v>
      </c>
      <c r="W108" s="8"/>
      <c r="X108" s="8"/>
      <c r="Y108" s="8"/>
      <c r="AA108" s="37">
        <f>SUM(K108:Y108)</f>
        <v>1486314</v>
      </c>
      <c r="AB108" s="37">
        <f>SUM(K109:Y109)</f>
        <v>69552</v>
      </c>
      <c r="AC108" s="37">
        <f>SUM(K110:Y110)</f>
        <v>49585</v>
      </c>
      <c r="AE108" s="37">
        <f>AA108-B108</f>
        <v>0</v>
      </c>
      <c r="AF108" s="37">
        <f>AB108-C108</f>
        <v>0</v>
      </c>
      <c r="AG108" s="37">
        <f>AC108-D108</f>
        <v>0</v>
      </c>
      <c r="AI108" s="38">
        <f>C108/B108*1000</f>
        <v>46.794957189396051</v>
      </c>
      <c r="AJ108" s="38">
        <f>D108/B108*1000</f>
        <v>33.361052913448979</v>
      </c>
      <c r="AL108" s="38">
        <f>AI108-H108</f>
        <v>-5.0428106039461795E-3</v>
      </c>
      <c r="AM108" s="38">
        <f>AJ108-I108</f>
        <v>-3.8947086551019083E-2</v>
      </c>
    </row>
    <row r="109" spans="1:39">
      <c r="A109" s="4" t="s">
        <v>110</v>
      </c>
      <c r="B109" s="5"/>
      <c r="C109" s="5"/>
      <c r="D109" s="5"/>
      <c r="E109" s="5"/>
      <c r="F109" s="5"/>
      <c r="G109" s="5"/>
      <c r="H109" s="6" t="s">
        <v>9</v>
      </c>
      <c r="I109" s="6" t="s">
        <v>9</v>
      </c>
      <c r="J109" s="5"/>
      <c r="K109" s="5">
        <v>8253</v>
      </c>
      <c r="L109" s="5">
        <v>3711</v>
      </c>
      <c r="M109" s="5">
        <v>5091</v>
      </c>
      <c r="N109" s="5">
        <v>7131</v>
      </c>
      <c r="O109" s="5">
        <v>4996</v>
      </c>
      <c r="P109" s="5">
        <v>7169</v>
      </c>
      <c r="Q109" s="5">
        <v>5499</v>
      </c>
      <c r="R109" s="5">
        <v>7343</v>
      </c>
      <c r="S109" s="5">
        <v>8258</v>
      </c>
      <c r="T109" s="5">
        <v>2716</v>
      </c>
      <c r="U109" s="5">
        <v>2494</v>
      </c>
      <c r="V109" s="5">
        <v>6891</v>
      </c>
      <c r="W109" s="5"/>
      <c r="X109" s="5"/>
      <c r="Y109" s="5"/>
    </row>
    <row r="110" spans="1:39">
      <c r="A110" s="4" t="s">
        <v>111</v>
      </c>
      <c r="B110" s="5"/>
      <c r="C110" s="5"/>
      <c r="D110" s="5"/>
      <c r="E110" s="5"/>
      <c r="F110" s="5"/>
      <c r="G110" s="5"/>
      <c r="H110" s="6" t="s">
        <v>9</v>
      </c>
      <c r="I110" s="6" t="s">
        <v>9</v>
      </c>
      <c r="J110" s="5"/>
      <c r="K110" s="5">
        <v>6547</v>
      </c>
      <c r="L110" s="5">
        <v>2429</v>
      </c>
      <c r="M110" s="5">
        <v>3216</v>
      </c>
      <c r="N110" s="5">
        <v>4386</v>
      </c>
      <c r="O110" s="5">
        <v>3271</v>
      </c>
      <c r="P110" s="5">
        <v>5390</v>
      </c>
      <c r="Q110" s="5">
        <v>3245</v>
      </c>
      <c r="R110" s="5">
        <v>5349</v>
      </c>
      <c r="S110" s="5">
        <v>6829</v>
      </c>
      <c r="T110" s="5">
        <v>1775</v>
      </c>
      <c r="U110" s="5">
        <v>1601</v>
      </c>
      <c r="V110" s="5">
        <v>5547</v>
      </c>
      <c r="W110" s="5"/>
      <c r="X110" s="5"/>
      <c r="Y110" s="5"/>
    </row>
    <row r="111" spans="1:39">
      <c r="A111" s="7" t="s">
        <v>112</v>
      </c>
      <c r="B111" s="8">
        <v>2646743</v>
      </c>
      <c r="C111" s="8">
        <v>126416</v>
      </c>
      <c r="D111" s="8">
        <v>88322</v>
      </c>
      <c r="E111" s="8">
        <v>174201</v>
      </c>
      <c r="F111" s="8">
        <v>7354</v>
      </c>
      <c r="G111" s="8">
        <v>6445</v>
      </c>
      <c r="H111" s="12">
        <v>47.8</v>
      </c>
      <c r="I111" s="12">
        <v>33.4</v>
      </c>
      <c r="J111" s="5"/>
      <c r="K111" s="8">
        <v>246933</v>
      </c>
      <c r="L111" s="8">
        <v>202298</v>
      </c>
      <c r="M111" s="8">
        <v>197176</v>
      </c>
      <c r="N111" s="8">
        <v>126574</v>
      </c>
      <c r="O111" s="8">
        <v>185012</v>
      </c>
      <c r="P111" s="8">
        <v>136429</v>
      </c>
      <c r="Q111" s="8">
        <v>188361</v>
      </c>
      <c r="R111" s="8">
        <v>206811</v>
      </c>
      <c r="S111" s="8">
        <v>173633</v>
      </c>
      <c r="T111" s="8">
        <v>161997</v>
      </c>
      <c r="U111" s="8">
        <v>169820</v>
      </c>
      <c r="V111" s="8">
        <v>175450</v>
      </c>
      <c r="W111" s="8">
        <v>154915</v>
      </c>
      <c r="X111" s="8">
        <v>132744</v>
      </c>
      <c r="Y111" s="8">
        <v>178596</v>
      </c>
      <c r="AA111" s="37">
        <f>SUM(K111:Y111)</f>
        <v>2636749</v>
      </c>
      <c r="AB111" s="37">
        <f>SUM(K112:Y112)</f>
        <v>126446</v>
      </c>
      <c r="AC111" s="37">
        <f>SUM(K113:Y113)</f>
        <v>88322</v>
      </c>
      <c r="AE111" s="37">
        <f>AA111-B111</f>
        <v>-9994</v>
      </c>
      <c r="AF111" s="37">
        <f>AB111-C111</f>
        <v>30</v>
      </c>
      <c r="AG111" s="37">
        <f>AC111-D111</f>
        <v>0</v>
      </c>
      <c r="AI111" s="38">
        <f>C111/B111*1000</f>
        <v>47.76285419475937</v>
      </c>
      <c r="AJ111" s="38">
        <f>D111/B111*1000</f>
        <v>33.370070309055315</v>
      </c>
      <c r="AL111" s="38">
        <f>AI111-H111</f>
        <v>-3.7145805240626828E-2</v>
      </c>
      <c r="AM111" s="38">
        <f>AJ111-I111</f>
        <v>-2.9929690944683784E-2</v>
      </c>
    </row>
    <row r="112" spans="1:39">
      <c r="A112" s="4" t="s">
        <v>113</v>
      </c>
      <c r="B112" s="5"/>
      <c r="C112" s="5"/>
      <c r="D112" s="5"/>
      <c r="E112" s="5"/>
      <c r="F112" s="5"/>
      <c r="G112" s="5"/>
      <c r="H112" s="6" t="s">
        <v>9</v>
      </c>
      <c r="I112" s="6" t="s">
        <v>9</v>
      </c>
      <c r="J112" s="5"/>
      <c r="K112" s="5">
        <v>10463</v>
      </c>
      <c r="L112" s="5">
        <v>9433</v>
      </c>
      <c r="M112" s="5">
        <v>8821</v>
      </c>
      <c r="N112" s="5">
        <v>7235</v>
      </c>
      <c r="O112" s="5">
        <v>8700</v>
      </c>
      <c r="P112" s="5">
        <v>7109</v>
      </c>
      <c r="Q112" s="5">
        <v>8047</v>
      </c>
      <c r="R112" s="5">
        <v>10466</v>
      </c>
      <c r="S112" s="5">
        <v>8553</v>
      </c>
      <c r="T112" s="5">
        <v>9019</v>
      </c>
      <c r="U112" s="5">
        <v>7958</v>
      </c>
      <c r="V112" s="5">
        <v>8259</v>
      </c>
      <c r="W112" s="5">
        <v>7503</v>
      </c>
      <c r="X112" s="5">
        <v>6999</v>
      </c>
      <c r="Y112" s="5">
        <v>7881</v>
      </c>
    </row>
    <row r="113" spans="1:39">
      <c r="A113" s="4" t="s">
        <v>114</v>
      </c>
      <c r="B113" s="5"/>
      <c r="C113" s="5"/>
      <c r="D113" s="5"/>
      <c r="E113" s="5"/>
      <c r="F113" s="5"/>
      <c r="G113" s="5"/>
      <c r="H113" s="6" t="s">
        <v>9</v>
      </c>
      <c r="I113" s="6" t="s">
        <v>9</v>
      </c>
      <c r="J113" s="5"/>
      <c r="K113" s="5">
        <v>8190</v>
      </c>
      <c r="L113" s="5">
        <v>7350</v>
      </c>
      <c r="M113" s="5">
        <v>6745</v>
      </c>
      <c r="N113" s="5">
        <v>4822</v>
      </c>
      <c r="O113" s="5">
        <v>5248</v>
      </c>
      <c r="P113" s="5">
        <v>4490</v>
      </c>
      <c r="Q113" s="5">
        <v>5926</v>
      </c>
      <c r="R113" s="5">
        <v>7250</v>
      </c>
      <c r="S113" s="5">
        <v>5621</v>
      </c>
      <c r="T113" s="5">
        <v>5573</v>
      </c>
      <c r="U113" s="5">
        <v>5791</v>
      </c>
      <c r="V113" s="5">
        <v>5310</v>
      </c>
      <c r="W113" s="5">
        <v>5314</v>
      </c>
      <c r="X113" s="5">
        <v>4380</v>
      </c>
      <c r="Y113" s="5">
        <v>6312</v>
      </c>
    </row>
    <row r="114" spans="1:39">
      <c r="A114" s="7" t="s">
        <v>115</v>
      </c>
      <c r="B114" s="8">
        <v>1541936</v>
      </c>
      <c r="C114" s="8">
        <v>72005</v>
      </c>
      <c r="D114" s="8">
        <v>64703</v>
      </c>
      <c r="E114" s="8">
        <v>157448</v>
      </c>
      <c r="F114" s="8">
        <v>3957</v>
      </c>
      <c r="G114" s="8">
        <v>3672</v>
      </c>
      <c r="H114" s="12">
        <v>46.3</v>
      </c>
      <c r="I114" s="12">
        <v>41.6</v>
      </c>
      <c r="J114" s="5"/>
      <c r="K114" s="8">
        <v>170627</v>
      </c>
      <c r="L114" s="8">
        <v>195671</v>
      </c>
      <c r="M114" s="8">
        <v>157978</v>
      </c>
      <c r="N114" s="8">
        <v>62891</v>
      </c>
      <c r="O114" s="8">
        <v>101042</v>
      </c>
      <c r="P114" s="8">
        <v>141569</v>
      </c>
      <c r="Q114" s="8">
        <v>95202</v>
      </c>
      <c r="R114" s="8">
        <v>127187</v>
      </c>
      <c r="S114" s="8">
        <v>118168</v>
      </c>
      <c r="T114" s="8">
        <v>73152</v>
      </c>
      <c r="U114" s="8">
        <v>101034</v>
      </c>
      <c r="V114" s="8">
        <v>72638</v>
      </c>
      <c r="W114" s="8">
        <v>124777</v>
      </c>
      <c r="X114" s="8"/>
      <c r="Y114" s="8"/>
      <c r="AA114" s="37">
        <f>SUM(K114:Y114)</f>
        <v>1541936</v>
      </c>
      <c r="AB114" s="37">
        <f>SUM(K115:Y115)</f>
        <v>72105</v>
      </c>
      <c r="AC114" s="37">
        <f>SUM(K116:Y116)</f>
        <v>66703</v>
      </c>
      <c r="AE114" s="37">
        <f>AA114-B114</f>
        <v>0</v>
      </c>
      <c r="AF114" s="37">
        <f>AB114-C114</f>
        <v>100</v>
      </c>
      <c r="AG114" s="37">
        <f>AC114-D114</f>
        <v>2000</v>
      </c>
      <c r="AI114" s="38">
        <f>C114/B114*1000</f>
        <v>46.697787716221683</v>
      </c>
      <c r="AJ114" s="38">
        <f>D114/B114*1000</f>
        <v>41.962182606800795</v>
      </c>
      <c r="AL114" s="38">
        <f>AI114-H114</f>
        <v>0.39778771622168563</v>
      </c>
      <c r="AM114" s="38">
        <f>AJ114-I114</f>
        <v>0.36218260680079339</v>
      </c>
    </row>
    <row r="115" spans="1:39">
      <c r="A115" s="4" t="s">
        <v>116</v>
      </c>
      <c r="B115" s="5"/>
      <c r="C115" s="5"/>
      <c r="D115" s="5"/>
      <c r="E115" s="5"/>
      <c r="F115" s="5"/>
      <c r="G115" s="5"/>
      <c r="H115" s="6" t="s">
        <v>9</v>
      </c>
      <c r="I115" s="6" t="s">
        <v>9</v>
      </c>
      <c r="J115" s="5"/>
      <c r="K115" s="5">
        <v>9852</v>
      </c>
      <c r="L115" s="5">
        <v>10326</v>
      </c>
      <c r="M115" s="5">
        <v>6744</v>
      </c>
      <c r="N115" s="5">
        <v>2934</v>
      </c>
      <c r="O115" s="5">
        <v>4104</v>
      </c>
      <c r="P115" s="5">
        <v>6235</v>
      </c>
      <c r="Q115" s="5">
        <v>4635</v>
      </c>
      <c r="R115" s="5">
        <v>6058</v>
      </c>
      <c r="S115" s="5">
        <v>5117</v>
      </c>
      <c r="T115" s="5">
        <v>3146</v>
      </c>
      <c r="U115" s="5">
        <v>4420</v>
      </c>
      <c r="V115" s="5">
        <v>3394</v>
      </c>
      <c r="W115" s="5">
        <v>5140</v>
      </c>
      <c r="X115" s="5"/>
      <c r="Y115" s="5"/>
    </row>
    <row r="116" spans="1:39">
      <c r="A116" s="4" t="s">
        <v>117</v>
      </c>
      <c r="B116" s="5"/>
      <c r="C116" s="5"/>
      <c r="D116" s="5"/>
      <c r="E116" s="5"/>
      <c r="F116" s="5"/>
      <c r="G116" s="5"/>
      <c r="H116" s="6" t="s">
        <v>9</v>
      </c>
      <c r="I116" s="6" t="s">
        <v>9</v>
      </c>
      <c r="J116" s="5"/>
      <c r="K116" s="5">
        <v>8516</v>
      </c>
      <c r="L116" s="5">
        <v>8425</v>
      </c>
      <c r="M116" s="5">
        <v>5180</v>
      </c>
      <c r="N116" s="5">
        <v>3214</v>
      </c>
      <c r="O116" s="5">
        <v>3727</v>
      </c>
      <c r="P116" s="5">
        <v>5963</v>
      </c>
      <c r="Q116" s="5">
        <v>4240</v>
      </c>
      <c r="R116" s="5">
        <v>6824</v>
      </c>
      <c r="S116" s="5">
        <v>5024</v>
      </c>
      <c r="T116" s="5">
        <v>3609</v>
      </c>
      <c r="U116" s="5">
        <v>3715</v>
      </c>
      <c r="V116" s="5">
        <v>3843</v>
      </c>
      <c r="W116" s="5">
        <v>4423</v>
      </c>
      <c r="X116" s="5"/>
      <c r="Y116" s="5"/>
    </row>
    <row r="117" spans="1:39">
      <c r="A117" s="7" t="s">
        <v>118</v>
      </c>
      <c r="B117" s="8">
        <v>982321</v>
      </c>
      <c r="C117" s="8">
        <v>30220</v>
      </c>
      <c r="D117" s="8">
        <v>26884</v>
      </c>
      <c r="E117" s="8"/>
      <c r="F117" s="8"/>
      <c r="G117" s="8"/>
      <c r="H117" s="12">
        <v>30.8</v>
      </c>
      <c r="I117" s="12">
        <v>27.4</v>
      </c>
      <c r="J117" s="5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AA117" s="37">
        <f>B117</f>
        <v>982321</v>
      </c>
      <c r="AB117" s="37">
        <f>C117</f>
        <v>30220</v>
      </c>
      <c r="AC117" s="37">
        <f>D117</f>
        <v>26884</v>
      </c>
      <c r="AE117" s="39"/>
      <c r="AF117" s="39"/>
      <c r="AG117" s="39"/>
      <c r="AI117" s="38">
        <f>C117/B117*1000</f>
        <v>30.763874537956532</v>
      </c>
      <c r="AJ117" s="38">
        <f>D117/B117*1000</f>
        <v>27.367835972151667</v>
      </c>
      <c r="AL117" s="38">
        <f>AI117-H117</f>
        <v>-3.6125462043468559E-2</v>
      </c>
      <c r="AM117" s="38">
        <f>AJ117-I117</f>
        <v>-3.21640278483315E-2</v>
      </c>
    </row>
    <row r="118" spans="1:39">
      <c r="A118" s="7" t="s">
        <v>119</v>
      </c>
      <c r="B118" s="8">
        <v>1647571</v>
      </c>
      <c r="C118" s="8">
        <v>85262</v>
      </c>
      <c r="D118" s="8">
        <v>66709</v>
      </c>
      <c r="E118" s="8">
        <v>110226</v>
      </c>
      <c r="F118" s="8">
        <v>4678</v>
      </c>
      <c r="G118" s="8">
        <v>4541</v>
      </c>
      <c r="H118" s="12">
        <v>52.3</v>
      </c>
      <c r="I118" s="12">
        <v>41</v>
      </c>
      <c r="J118" s="5"/>
      <c r="K118" s="8">
        <v>222766</v>
      </c>
      <c r="L118" s="8">
        <v>150548</v>
      </c>
      <c r="M118" s="8">
        <v>150061</v>
      </c>
      <c r="N118" s="8">
        <v>116988</v>
      </c>
      <c r="O118" s="8">
        <v>135470</v>
      </c>
      <c r="P118" s="8">
        <v>141564</v>
      </c>
      <c r="Q118" s="8">
        <v>120384</v>
      </c>
      <c r="R118" s="8">
        <v>147611</v>
      </c>
      <c r="S118" s="8">
        <v>111605</v>
      </c>
      <c r="T118" s="8">
        <v>112222</v>
      </c>
      <c r="U118" s="8">
        <v>128352</v>
      </c>
      <c r="V118" s="8"/>
      <c r="W118" s="8"/>
      <c r="X118" s="8"/>
      <c r="Y118" s="8"/>
      <c r="AA118" s="37">
        <f>SUM(K118:Y118)</f>
        <v>1537571</v>
      </c>
      <c r="AB118" s="37">
        <f>SUM(K119:Y119)</f>
        <v>85262</v>
      </c>
      <c r="AC118" s="37">
        <f>SUM(K120:Y120)</f>
        <v>66709</v>
      </c>
      <c r="AE118" s="37">
        <f>AA118-B118</f>
        <v>-110000</v>
      </c>
      <c r="AF118" s="37">
        <f>AB118-C118</f>
        <v>0</v>
      </c>
      <c r="AG118" s="37">
        <f>AC118-D118</f>
        <v>0</v>
      </c>
      <c r="AI118" s="38">
        <f>C118/B118*1000</f>
        <v>51.750121846038802</v>
      </c>
      <c r="AJ118" s="38">
        <f>D118/B118*1000</f>
        <v>40.489302130226861</v>
      </c>
      <c r="AL118" s="38">
        <f>AI118-H118</f>
        <v>-0.54987815396119544</v>
      </c>
      <c r="AM118" s="38">
        <f>AJ118-I118</f>
        <v>-0.51069786977313925</v>
      </c>
    </row>
    <row r="119" spans="1:39">
      <c r="A119" s="4" t="s">
        <v>120</v>
      </c>
      <c r="B119" s="5"/>
      <c r="C119" s="5"/>
      <c r="D119" s="5"/>
      <c r="E119" s="5"/>
      <c r="F119" s="5"/>
      <c r="G119" s="5"/>
      <c r="H119" s="6" t="s">
        <v>9</v>
      </c>
      <c r="I119" s="6" t="s">
        <v>9</v>
      </c>
      <c r="J119" s="5"/>
      <c r="K119" s="5">
        <v>10942</v>
      </c>
      <c r="L119" s="5">
        <v>8815</v>
      </c>
      <c r="M119" s="5">
        <v>8439</v>
      </c>
      <c r="N119" s="5">
        <v>6713</v>
      </c>
      <c r="O119" s="5">
        <v>6877</v>
      </c>
      <c r="P119" s="5">
        <v>6408</v>
      </c>
      <c r="Q119" s="5">
        <v>6265</v>
      </c>
      <c r="R119" s="5">
        <v>11261</v>
      </c>
      <c r="S119" s="5">
        <v>5667</v>
      </c>
      <c r="T119" s="5">
        <v>5078</v>
      </c>
      <c r="U119" s="5">
        <v>8797</v>
      </c>
      <c r="V119" s="5"/>
      <c r="W119" s="5"/>
      <c r="X119" s="5"/>
      <c r="Y119" s="5"/>
    </row>
    <row r="120" spans="1:39">
      <c r="A120" s="4" t="s">
        <v>121</v>
      </c>
      <c r="B120" s="5"/>
      <c r="C120" s="5"/>
      <c r="D120" s="5"/>
      <c r="E120" s="5"/>
      <c r="F120" s="5"/>
      <c r="G120" s="5"/>
      <c r="H120" s="6" t="s">
        <v>9</v>
      </c>
      <c r="I120" s="6" t="s">
        <v>9</v>
      </c>
      <c r="J120" s="5"/>
      <c r="K120" s="5">
        <v>9776</v>
      </c>
      <c r="L120" s="5">
        <v>6549</v>
      </c>
      <c r="M120" s="5">
        <v>7434</v>
      </c>
      <c r="N120" s="5">
        <v>5507</v>
      </c>
      <c r="O120" s="5">
        <v>4980</v>
      </c>
      <c r="P120" s="5">
        <v>4912</v>
      </c>
      <c r="Q120" s="5">
        <v>5502</v>
      </c>
      <c r="R120" s="5">
        <v>8918</v>
      </c>
      <c r="S120" s="5">
        <v>3969</v>
      </c>
      <c r="T120" s="5">
        <v>2707</v>
      </c>
      <c r="U120" s="5">
        <v>6455</v>
      </c>
      <c r="V120" s="5"/>
      <c r="W120" s="5"/>
      <c r="X120" s="5"/>
      <c r="Y120" s="5"/>
    </row>
    <row r="121" spans="1:39">
      <c r="A121" s="7" t="s">
        <v>122</v>
      </c>
      <c r="B121" s="8">
        <v>1364216</v>
      </c>
      <c r="C121" s="8">
        <v>57057</v>
      </c>
      <c r="D121" s="8">
        <v>43006</v>
      </c>
      <c r="E121" s="8">
        <v>91833</v>
      </c>
      <c r="F121" s="8">
        <v>2581</v>
      </c>
      <c r="G121" s="8">
        <v>2616</v>
      </c>
      <c r="H121" s="12">
        <v>42.1</v>
      </c>
      <c r="I121" s="12">
        <v>31.8</v>
      </c>
      <c r="J121" s="5"/>
      <c r="K121" s="8">
        <v>178137</v>
      </c>
      <c r="L121" s="8">
        <v>153908</v>
      </c>
      <c r="M121" s="8">
        <v>86481</v>
      </c>
      <c r="N121" s="8">
        <v>102144</v>
      </c>
      <c r="O121" s="8">
        <v>74672</v>
      </c>
      <c r="P121" s="8">
        <v>125218</v>
      </c>
      <c r="Q121" s="8">
        <v>86728</v>
      </c>
      <c r="R121" s="8">
        <v>202881</v>
      </c>
      <c r="S121" s="8">
        <v>102582</v>
      </c>
      <c r="T121" s="8">
        <v>93031</v>
      </c>
      <c r="U121" s="8">
        <v>158136</v>
      </c>
      <c r="V121" s="8"/>
      <c r="W121" s="8"/>
      <c r="X121" s="8"/>
      <c r="Y121" s="8"/>
      <c r="AA121" s="37">
        <f>SUM(K121:Y121)</f>
        <v>1363918</v>
      </c>
      <c r="AB121" s="37">
        <f>SUM(K122:Y122)</f>
        <v>57057</v>
      </c>
      <c r="AC121" s="37">
        <f>SUM(K123:Y123)</f>
        <v>43006</v>
      </c>
      <c r="AE121" s="37">
        <f>AA121-B121</f>
        <v>-298</v>
      </c>
      <c r="AF121" s="37">
        <f>AB121-C121</f>
        <v>0</v>
      </c>
      <c r="AG121" s="37">
        <f>AC121-D121</f>
        <v>0</v>
      </c>
      <c r="AI121" s="38">
        <f>C121/B121*1000</f>
        <v>41.824022002380858</v>
      </c>
      <c r="AJ121" s="38">
        <f>D121/B121*1000</f>
        <v>31.524333390020352</v>
      </c>
      <c r="AL121" s="38">
        <f>AI121-H121</f>
        <v>-0.27597799761914388</v>
      </c>
      <c r="AM121" s="38">
        <f>AJ121-I121</f>
        <v>-0.27566660997964831</v>
      </c>
    </row>
    <row r="122" spans="1:39">
      <c r="A122" s="4" t="s">
        <v>123</v>
      </c>
      <c r="B122" s="5"/>
      <c r="C122" s="5"/>
      <c r="D122" s="5"/>
      <c r="E122" s="5"/>
      <c r="F122" s="5"/>
      <c r="G122" s="5"/>
      <c r="H122" s="6" t="s">
        <v>9</v>
      </c>
      <c r="I122" s="6" t="s">
        <v>9</v>
      </c>
      <c r="J122" s="5"/>
      <c r="K122" s="5">
        <v>6231</v>
      </c>
      <c r="L122" s="5">
        <v>6384</v>
      </c>
      <c r="M122" s="5">
        <v>3881</v>
      </c>
      <c r="N122" s="5">
        <v>3830</v>
      </c>
      <c r="O122" s="5">
        <v>3571</v>
      </c>
      <c r="P122" s="5">
        <v>5965</v>
      </c>
      <c r="Q122" s="5">
        <v>4160</v>
      </c>
      <c r="R122" s="5">
        <v>6989</v>
      </c>
      <c r="S122" s="5">
        <v>4295</v>
      </c>
      <c r="T122" s="5">
        <v>4478</v>
      </c>
      <c r="U122" s="5">
        <v>7273</v>
      </c>
      <c r="V122" s="5"/>
      <c r="W122" s="5"/>
      <c r="X122" s="5"/>
      <c r="Y122" s="5"/>
    </row>
    <row r="123" spans="1:39">
      <c r="A123" s="4" t="s">
        <v>124</v>
      </c>
      <c r="B123" s="5"/>
      <c r="C123" s="5"/>
      <c r="D123" s="5"/>
      <c r="E123" s="5"/>
      <c r="F123" s="5"/>
      <c r="G123" s="5"/>
      <c r="H123" s="6" t="s">
        <v>9</v>
      </c>
      <c r="I123" s="6" t="s">
        <v>9</v>
      </c>
      <c r="J123" s="5"/>
      <c r="K123" s="5">
        <v>5797</v>
      </c>
      <c r="L123" s="5">
        <v>4981</v>
      </c>
      <c r="M123" s="5">
        <v>2144</v>
      </c>
      <c r="N123" s="5">
        <v>3191</v>
      </c>
      <c r="O123" s="5">
        <v>2967</v>
      </c>
      <c r="P123" s="5">
        <v>3565</v>
      </c>
      <c r="Q123" s="5">
        <v>3480</v>
      </c>
      <c r="R123" s="5">
        <v>6360</v>
      </c>
      <c r="S123" s="5">
        <v>2741</v>
      </c>
      <c r="T123" s="5">
        <v>3432</v>
      </c>
      <c r="U123" s="5">
        <v>4348</v>
      </c>
      <c r="V123" s="5"/>
      <c r="W123" s="5"/>
      <c r="X123" s="5"/>
      <c r="Y123" s="5"/>
    </row>
    <row r="124" spans="1:39">
      <c r="A124" s="7" t="s">
        <v>125</v>
      </c>
      <c r="B124" s="8">
        <v>376102</v>
      </c>
      <c r="C124" s="8">
        <v>16686</v>
      </c>
      <c r="D124" s="8">
        <v>11628</v>
      </c>
      <c r="E124" s="8">
        <v>25882</v>
      </c>
      <c r="F124" s="8">
        <v>926</v>
      </c>
      <c r="G124" s="8">
        <v>881</v>
      </c>
      <c r="H124" s="12">
        <v>44.4</v>
      </c>
      <c r="I124" s="12">
        <v>31</v>
      </c>
      <c r="J124" s="5"/>
      <c r="K124" s="8">
        <v>86064</v>
      </c>
      <c r="L124" s="8">
        <v>54275</v>
      </c>
      <c r="M124" s="8">
        <v>82631</v>
      </c>
      <c r="N124" s="8">
        <v>46454</v>
      </c>
      <c r="O124" s="8">
        <v>27785</v>
      </c>
      <c r="P124" s="8">
        <v>42180</v>
      </c>
      <c r="Q124" s="8">
        <v>36713</v>
      </c>
      <c r="R124" s="8"/>
      <c r="S124" s="8"/>
      <c r="T124" s="8"/>
      <c r="U124" s="8"/>
      <c r="V124" s="8"/>
      <c r="W124" s="8"/>
      <c r="X124" s="8"/>
      <c r="Y124" s="8"/>
      <c r="AA124" s="37">
        <f>SUM(K124:Y124)</f>
        <v>376102</v>
      </c>
      <c r="AB124" s="37">
        <f>SUM(K125:Y125)</f>
        <v>16685</v>
      </c>
      <c r="AC124" s="37">
        <f>SUM(K126:Y126)</f>
        <v>11628</v>
      </c>
      <c r="AE124" s="37">
        <f>AA124-B124</f>
        <v>0</v>
      </c>
      <c r="AF124" s="37">
        <f>AB124-C124</f>
        <v>-1</v>
      </c>
      <c r="AG124" s="37">
        <f>AC124-D124</f>
        <v>0</v>
      </c>
      <c r="AI124" s="38">
        <f>C124/B124*1000</f>
        <v>44.365624218961877</v>
      </c>
      <c r="AJ124" s="38">
        <f>D124/B124*1000</f>
        <v>30.917144817097491</v>
      </c>
      <c r="AL124" s="38">
        <f>AI124-H124</f>
        <v>-3.4375781038122E-2</v>
      </c>
      <c r="AM124" s="38">
        <f>AJ124-I124</f>
        <v>-8.2855182902509483E-2</v>
      </c>
    </row>
    <row r="125" spans="1:39">
      <c r="A125" s="4" t="s">
        <v>126</v>
      </c>
      <c r="B125" s="5"/>
      <c r="C125" s="5"/>
      <c r="D125" s="5"/>
      <c r="E125" s="5"/>
      <c r="F125" s="5"/>
      <c r="G125" s="5"/>
      <c r="H125" s="6" t="s">
        <v>9</v>
      </c>
      <c r="I125" s="6" t="s">
        <v>9</v>
      </c>
      <c r="J125" s="5"/>
      <c r="K125" s="5">
        <v>3826</v>
      </c>
      <c r="L125" s="5">
        <v>2470</v>
      </c>
      <c r="M125" s="5">
        <v>3767</v>
      </c>
      <c r="N125" s="5">
        <v>2090</v>
      </c>
      <c r="O125" s="5">
        <v>1100</v>
      </c>
      <c r="P125" s="5">
        <v>1762</v>
      </c>
      <c r="Q125" s="5">
        <v>1670</v>
      </c>
      <c r="R125" s="5"/>
      <c r="S125" s="5"/>
      <c r="T125" s="5"/>
      <c r="U125" s="5"/>
      <c r="V125" s="5"/>
      <c r="W125" s="5"/>
      <c r="X125" s="5"/>
      <c r="Y125" s="5"/>
    </row>
    <row r="126" spans="1:39">
      <c r="A126" s="4" t="s">
        <v>127</v>
      </c>
      <c r="B126" s="5"/>
      <c r="C126" s="5"/>
      <c r="D126" s="5"/>
      <c r="E126" s="5"/>
      <c r="F126" s="5"/>
      <c r="G126" s="5"/>
      <c r="H126" s="6" t="s">
        <v>9</v>
      </c>
      <c r="I126" s="6" t="s">
        <v>9</v>
      </c>
      <c r="J126" s="5"/>
      <c r="K126" s="5">
        <v>2979</v>
      </c>
      <c r="L126" s="5">
        <v>1708</v>
      </c>
      <c r="M126" s="5">
        <v>2247</v>
      </c>
      <c r="N126" s="5">
        <v>1559</v>
      </c>
      <c r="O126" s="5">
        <v>736</v>
      </c>
      <c r="P126" s="5">
        <v>1313</v>
      </c>
      <c r="Q126" s="5">
        <v>1086</v>
      </c>
      <c r="R126" s="5"/>
      <c r="S126" s="5"/>
      <c r="T126" s="5"/>
      <c r="U126" s="5"/>
      <c r="V126" s="5"/>
      <c r="W126" s="5"/>
      <c r="X126" s="5"/>
      <c r="Y126" s="5"/>
    </row>
    <row r="127" spans="1:39">
      <c r="A127" s="7" t="s">
        <v>128</v>
      </c>
      <c r="B127" s="8">
        <v>2235047</v>
      </c>
      <c r="C127" s="8">
        <v>111099</v>
      </c>
      <c r="D127" s="8">
        <v>79614</v>
      </c>
      <c r="E127" s="8">
        <v>245442</v>
      </c>
      <c r="F127" s="8">
        <v>7486</v>
      </c>
      <c r="G127" s="8">
        <v>6060</v>
      </c>
      <c r="H127" s="12">
        <v>49.7</v>
      </c>
      <c r="I127" s="12">
        <v>35.6</v>
      </c>
      <c r="J127" s="5"/>
      <c r="K127" s="8">
        <v>233390</v>
      </c>
      <c r="L127" s="8">
        <v>158960</v>
      </c>
      <c r="M127" s="8">
        <v>178335</v>
      </c>
      <c r="N127" s="8">
        <v>111769</v>
      </c>
      <c r="O127" s="8">
        <v>305410</v>
      </c>
      <c r="P127" s="8">
        <v>140781</v>
      </c>
      <c r="Q127" s="8">
        <v>122368</v>
      </c>
      <c r="R127" s="8">
        <v>367309</v>
      </c>
      <c r="S127" s="8">
        <v>195765</v>
      </c>
      <c r="T127" s="8">
        <v>111415</v>
      </c>
      <c r="U127" s="8">
        <v>167038</v>
      </c>
      <c r="V127" s="8">
        <v>142508</v>
      </c>
      <c r="W127" s="8"/>
      <c r="X127" s="8"/>
      <c r="Y127" s="8"/>
      <c r="AA127" s="37">
        <f>SUM(K127:Y127)</f>
        <v>2235048</v>
      </c>
      <c r="AB127" s="37">
        <f>SUM(K128:Y128)</f>
        <v>111099</v>
      </c>
      <c r="AC127" s="37">
        <f>SUM(K129:Y129)</f>
        <v>80614</v>
      </c>
      <c r="AE127" s="37">
        <f>AA127-B127</f>
        <v>1</v>
      </c>
      <c r="AF127" s="37">
        <f>AB127-C127</f>
        <v>0</v>
      </c>
      <c r="AG127" s="37">
        <f>AC127-D127</f>
        <v>1000</v>
      </c>
      <c r="AI127" s="38">
        <f>C127/B127*1000</f>
        <v>49.707679525307526</v>
      </c>
      <c r="AJ127" s="38">
        <f>D127/B127*1000</f>
        <v>35.620727438841328</v>
      </c>
      <c r="AL127" s="38">
        <f>AI127-H127</f>
        <v>7.6795253075232495E-3</v>
      </c>
      <c r="AM127" s="38">
        <f>AJ127-I127</f>
        <v>2.0727438841326773E-2</v>
      </c>
    </row>
    <row r="128" spans="1:39">
      <c r="A128" s="4" t="s">
        <v>129</v>
      </c>
      <c r="B128" s="5"/>
      <c r="C128" s="5"/>
      <c r="D128" s="5"/>
      <c r="E128" s="5"/>
      <c r="F128" s="5"/>
      <c r="G128" s="5"/>
      <c r="H128" s="6" t="s">
        <v>9</v>
      </c>
      <c r="I128" s="6" t="s">
        <v>9</v>
      </c>
      <c r="J128" s="5"/>
      <c r="K128" s="5">
        <v>10622</v>
      </c>
      <c r="L128" s="5">
        <v>8733</v>
      </c>
      <c r="M128" s="5">
        <v>10479</v>
      </c>
      <c r="N128" s="5">
        <v>5758</v>
      </c>
      <c r="O128" s="5">
        <v>15663</v>
      </c>
      <c r="P128" s="5">
        <v>7954</v>
      </c>
      <c r="Q128" s="5">
        <v>5852</v>
      </c>
      <c r="R128" s="5">
        <v>16699</v>
      </c>
      <c r="S128" s="5">
        <v>7138</v>
      </c>
      <c r="T128" s="5">
        <v>5529</v>
      </c>
      <c r="U128" s="5">
        <v>8706</v>
      </c>
      <c r="V128" s="5">
        <v>7966</v>
      </c>
      <c r="W128" s="5"/>
      <c r="X128" s="5"/>
      <c r="Y128" s="5"/>
    </row>
    <row r="129" spans="1:39">
      <c r="A129" s="4" t="s">
        <v>130</v>
      </c>
      <c r="B129" s="5"/>
      <c r="C129" s="5"/>
      <c r="D129" s="5"/>
      <c r="E129" s="5"/>
      <c r="F129" s="5"/>
      <c r="G129" s="5"/>
      <c r="H129" s="6" t="s">
        <v>9</v>
      </c>
      <c r="I129" s="6" t="s">
        <v>9</v>
      </c>
      <c r="J129" s="5"/>
      <c r="K129" s="5">
        <v>8023</v>
      </c>
      <c r="L129" s="5">
        <v>6588</v>
      </c>
      <c r="M129" s="5">
        <v>5722</v>
      </c>
      <c r="N129" s="5">
        <v>3865</v>
      </c>
      <c r="O129" s="5">
        <v>12646</v>
      </c>
      <c r="P129" s="5">
        <v>5301</v>
      </c>
      <c r="Q129" s="5">
        <v>3897</v>
      </c>
      <c r="R129" s="5">
        <v>12977</v>
      </c>
      <c r="S129" s="5">
        <v>7394</v>
      </c>
      <c r="T129" s="5">
        <v>4399</v>
      </c>
      <c r="U129" s="5">
        <v>4967</v>
      </c>
      <c r="V129" s="5">
        <v>4835</v>
      </c>
      <c r="W129" s="5"/>
      <c r="X129" s="5"/>
      <c r="Y129" s="5"/>
    </row>
    <row r="130" spans="1:39">
      <c r="A130" s="7" t="s">
        <v>131</v>
      </c>
      <c r="B130" s="8">
        <v>1617454</v>
      </c>
      <c r="C130" s="8">
        <v>83327</v>
      </c>
      <c r="D130" s="8">
        <v>68718</v>
      </c>
      <c r="E130" s="8">
        <v>138874</v>
      </c>
      <c r="F130" s="8">
        <v>6768</v>
      </c>
      <c r="G130" s="8">
        <v>6223</v>
      </c>
      <c r="H130" s="12">
        <v>51.5</v>
      </c>
      <c r="I130" s="12">
        <v>42.5</v>
      </c>
      <c r="J130" s="5"/>
      <c r="K130" s="8">
        <v>164393</v>
      </c>
      <c r="L130" s="8">
        <v>179700</v>
      </c>
      <c r="M130" s="8">
        <v>212014</v>
      </c>
      <c r="N130" s="8">
        <v>131132</v>
      </c>
      <c r="O130" s="8">
        <v>190653</v>
      </c>
      <c r="P130" s="8">
        <v>116503</v>
      </c>
      <c r="Q130" s="8">
        <v>134363</v>
      </c>
      <c r="R130" s="8">
        <v>170684</v>
      </c>
      <c r="S130" s="8">
        <v>159405</v>
      </c>
      <c r="T130" s="8">
        <v>158607</v>
      </c>
      <c r="U130" s="8"/>
      <c r="V130" s="8"/>
      <c r="W130" s="8"/>
      <c r="X130" s="8"/>
      <c r="Y130" s="8"/>
      <c r="AA130" s="37">
        <f>SUM(K130:Y130)</f>
        <v>1617454</v>
      </c>
      <c r="AB130" s="37">
        <f>SUM(K131:Y131)</f>
        <v>83344</v>
      </c>
      <c r="AC130" s="37">
        <f>SUM(K132:Y132)</f>
        <v>68718</v>
      </c>
      <c r="AE130" s="37">
        <f>AA130-B130</f>
        <v>0</v>
      </c>
      <c r="AF130" s="37">
        <f>AB130-C130</f>
        <v>17</v>
      </c>
      <c r="AG130" s="37">
        <f>AC130-D130</f>
        <v>0</v>
      </c>
      <c r="AI130" s="38">
        <f>C130/B130*1000</f>
        <v>51.517384729333877</v>
      </c>
      <c r="AJ130" s="38">
        <f>D130/B130*1000</f>
        <v>42.485288607898589</v>
      </c>
      <c r="AL130" s="38">
        <f>AI130-H130</f>
        <v>1.7384729333876692E-2</v>
      </c>
      <c r="AM130" s="38">
        <f>AJ130-I130</f>
        <v>-1.4711392101411036E-2</v>
      </c>
    </row>
    <row r="131" spans="1:39">
      <c r="A131" s="4" t="s">
        <v>132</v>
      </c>
      <c r="B131" s="5"/>
      <c r="C131" s="5"/>
      <c r="D131" s="5"/>
      <c r="E131" s="5"/>
      <c r="F131" s="5"/>
      <c r="G131" s="5"/>
      <c r="H131" s="6" t="s">
        <v>9</v>
      </c>
      <c r="I131" s="6" t="s">
        <v>9</v>
      </c>
      <c r="J131" s="5"/>
      <c r="K131" s="5">
        <v>8636</v>
      </c>
      <c r="L131" s="5">
        <v>9833</v>
      </c>
      <c r="M131" s="5">
        <v>10753</v>
      </c>
      <c r="N131" s="5">
        <v>5940</v>
      </c>
      <c r="O131" s="5">
        <v>9507</v>
      </c>
      <c r="P131" s="5">
        <v>6807</v>
      </c>
      <c r="Q131" s="5">
        <v>6992</v>
      </c>
      <c r="R131" s="5">
        <v>8211</v>
      </c>
      <c r="S131" s="5">
        <v>7879</v>
      </c>
      <c r="T131" s="5">
        <v>8786</v>
      </c>
      <c r="U131" s="5"/>
      <c r="V131" s="5"/>
      <c r="W131" s="5"/>
      <c r="X131" s="5"/>
      <c r="Y131" s="5"/>
    </row>
    <row r="132" spans="1:39">
      <c r="A132" s="4" t="s">
        <v>133</v>
      </c>
      <c r="B132" s="5"/>
      <c r="C132" s="5"/>
      <c r="D132" s="5"/>
      <c r="E132" s="5"/>
      <c r="F132" s="5"/>
      <c r="G132" s="5"/>
      <c r="H132" s="6" t="s">
        <v>9</v>
      </c>
      <c r="I132" s="6" t="s">
        <v>9</v>
      </c>
      <c r="J132" s="5"/>
      <c r="K132" s="5">
        <v>8316</v>
      </c>
      <c r="L132" s="5">
        <v>6998</v>
      </c>
      <c r="M132" s="5">
        <v>8344</v>
      </c>
      <c r="N132" s="5">
        <v>4965</v>
      </c>
      <c r="O132" s="5">
        <v>6254</v>
      </c>
      <c r="P132" s="5">
        <v>6468</v>
      </c>
      <c r="Q132" s="5">
        <v>5772</v>
      </c>
      <c r="R132" s="5">
        <v>7453</v>
      </c>
      <c r="S132" s="5">
        <v>5596</v>
      </c>
      <c r="T132" s="5">
        <v>8552</v>
      </c>
      <c r="U132" s="5"/>
      <c r="V132" s="5"/>
      <c r="W132" s="5"/>
      <c r="X132" s="5"/>
      <c r="Y132" s="5"/>
    </row>
    <row r="133" spans="1:39">
      <c r="A133" s="7" t="s">
        <v>134</v>
      </c>
      <c r="B133" s="8">
        <v>2956375</v>
      </c>
      <c r="C133" s="8">
        <v>169088</v>
      </c>
      <c r="D133" s="8">
        <v>121294</v>
      </c>
      <c r="E133" s="8">
        <v>158331</v>
      </c>
      <c r="F133" s="8">
        <v>5928</v>
      </c>
      <c r="G133" s="8">
        <v>4977</v>
      </c>
      <c r="H133" s="12">
        <v>57.2</v>
      </c>
      <c r="I133" s="12">
        <v>41</v>
      </c>
      <c r="J133" s="5"/>
      <c r="K133" s="8">
        <v>252271</v>
      </c>
      <c r="L133" s="8">
        <v>246651</v>
      </c>
      <c r="M133" s="8">
        <v>414919</v>
      </c>
      <c r="N133" s="8">
        <v>154845</v>
      </c>
      <c r="O133" s="8">
        <v>263544</v>
      </c>
      <c r="P133" s="8">
        <v>254068</v>
      </c>
      <c r="Q133" s="8">
        <v>134405</v>
      </c>
      <c r="R133" s="8">
        <v>299543</v>
      </c>
      <c r="S133" s="8">
        <v>272592</v>
      </c>
      <c r="T133" s="8">
        <v>223957</v>
      </c>
      <c r="U133" s="8">
        <v>102924</v>
      </c>
      <c r="V133" s="8">
        <v>336656</v>
      </c>
      <c r="W133" s="8"/>
      <c r="X133" s="8"/>
      <c r="Y133" s="8"/>
      <c r="AA133" s="37">
        <f>SUM(K133:Y133)</f>
        <v>2956375</v>
      </c>
      <c r="AB133" s="37">
        <f>SUM(K134:Y134)</f>
        <v>169088</v>
      </c>
      <c r="AC133" s="37">
        <f>SUM(K135:Y135)</f>
        <v>121294</v>
      </c>
      <c r="AE133" s="37">
        <f>AA133-B133</f>
        <v>0</v>
      </c>
      <c r="AF133" s="37">
        <f>AB133-C133</f>
        <v>0</v>
      </c>
      <c r="AG133" s="37">
        <f>AC133-D133</f>
        <v>0</v>
      </c>
      <c r="AI133" s="38">
        <f>C133/B133*1000</f>
        <v>57.194368102828633</v>
      </c>
      <c r="AJ133" s="38">
        <f>D133/B133*1000</f>
        <v>41.027948078305357</v>
      </c>
      <c r="AL133" s="38">
        <f>AI133-H133</f>
        <v>-5.63189717136936E-3</v>
      </c>
      <c r="AM133" s="38">
        <f>AJ133-I133</f>
        <v>2.7948078305357171E-2</v>
      </c>
    </row>
    <row r="134" spans="1:39">
      <c r="A134" s="4" t="s">
        <v>135</v>
      </c>
      <c r="B134" s="5"/>
      <c r="C134" s="5"/>
      <c r="D134" s="5"/>
      <c r="E134" s="5"/>
      <c r="F134" s="5"/>
      <c r="G134" s="5"/>
      <c r="H134" s="6" t="s">
        <v>9</v>
      </c>
      <c r="I134" s="6" t="s">
        <v>9</v>
      </c>
      <c r="J134" s="5"/>
      <c r="K134" s="5">
        <v>14466</v>
      </c>
      <c r="L134" s="5">
        <v>14159</v>
      </c>
      <c r="M134" s="5">
        <v>22824</v>
      </c>
      <c r="N134" s="5">
        <v>9182</v>
      </c>
      <c r="O134" s="5">
        <v>14912</v>
      </c>
      <c r="P134" s="5">
        <v>14394</v>
      </c>
      <c r="Q134" s="5">
        <v>8384</v>
      </c>
      <c r="R134" s="5">
        <v>18501</v>
      </c>
      <c r="S134" s="5">
        <v>14556</v>
      </c>
      <c r="T134" s="5">
        <v>13606</v>
      </c>
      <c r="U134" s="5">
        <v>6463</v>
      </c>
      <c r="V134" s="5">
        <v>17641</v>
      </c>
      <c r="W134" s="5"/>
      <c r="X134" s="5"/>
      <c r="Y134" s="5"/>
    </row>
    <row r="135" spans="1:39">
      <c r="A135" s="4" t="s">
        <v>136</v>
      </c>
      <c r="B135" s="5"/>
      <c r="C135" s="5"/>
      <c r="D135" s="5"/>
      <c r="E135" s="5"/>
      <c r="F135" s="5"/>
      <c r="G135" s="5"/>
      <c r="H135" s="6" t="s">
        <v>9</v>
      </c>
      <c r="I135" s="6" t="s">
        <v>9</v>
      </c>
      <c r="J135" s="5"/>
      <c r="K135" s="5">
        <v>11353</v>
      </c>
      <c r="L135" s="5">
        <v>9651</v>
      </c>
      <c r="M135" s="5">
        <v>16603</v>
      </c>
      <c r="N135" s="5">
        <v>6995</v>
      </c>
      <c r="O135" s="5">
        <v>11100</v>
      </c>
      <c r="P135" s="5">
        <v>8924</v>
      </c>
      <c r="Q135" s="5">
        <v>6729</v>
      </c>
      <c r="R135" s="5">
        <v>12125</v>
      </c>
      <c r="S135" s="5">
        <v>10922</v>
      </c>
      <c r="T135" s="5">
        <v>10264</v>
      </c>
      <c r="U135" s="5">
        <v>3454</v>
      </c>
      <c r="V135" s="5">
        <v>13174</v>
      </c>
      <c r="W135" s="5"/>
      <c r="X135" s="5"/>
      <c r="Y135" s="5"/>
    </row>
    <row r="136" spans="1:39">
      <c r="A136" s="7" t="s">
        <v>137</v>
      </c>
      <c r="B136" s="8">
        <v>3144051</v>
      </c>
      <c r="C136" s="8">
        <v>132033</v>
      </c>
      <c r="D136" s="8">
        <v>90570</v>
      </c>
      <c r="E136" s="8">
        <v>264987</v>
      </c>
      <c r="F136" s="8">
        <v>10967</v>
      </c>
      <c r="G136" s="8">
        <v>7694</v>
      </c>
      <c r="H136" s="12">
        <v>42</v>
      </c>
      <c r="I136" s="12">
        <v>28.8</v>
      </c>
      <c r="J136" s="5"/>
      <c r="K136" s="8">
        <v>250379</v>
      </c>
      <c r="L136" s="8">
        <v>184491</v>
      </c>
      <c r="M136" s="8">
        <v>255859</v>
      </c>
      <c r="N136" s="8">
        <v>161884</v>
      </c>
      <c r="O136" s="8">
        <v>268610</v>
      </c>
      <c r="P136" s="8">
        <v>219044</v>
      </c>
      <c r="Q136" s="8">
        <v>275082</v>
      </c>
      <c r="R136" s="8">
        <v>162065</v>
      </c>
      <c r="S136" s="8">
        <v>145780</v>
      </c>
      <c r="T136" s="8">
        <v>175143</v>
      </c>
      <c r="U136" s="8">
        <v>216868</v>
      </c>
      <c r="V136" s="8">
        <v>184123</v>
      </c>
      <c r="W136" s="8">
        <v>213455</v>
      </c>
      <c r="X136" s="8">
        <v>224772</v>
      </c>
      <c r="Y136" s="8">
        <v>188496</v>
      </c>
      <c r="AA136" s="37">
        <f>SUM(K136:Y136)</f>
        <v>3126051</v>
      </c>
      <c r="AB136" s="37">
        <f>SUM(K137:Y137)</f>
        <v>132033</v>
      </c>
      <c r="AC136" s="37">
        <f>SUM(K138:Y138)</f>
        <v>90567</v>
      </c>
      <c r="AE136" s="37">
        <f>AA136-B136</f>
        <v>-18000</v>
      </c>
      <c r="AF136" s="37">
        <f>AB136-C136</f>
        <v>0</v>
      </c>
      <c r="AG136" s="37">
        <f>AC136-D136</f>
        <v>-3</v>
      </c>
      <c r="AI136" s="38">
        <f>C136/B136*1000</f>
        <v>41.994547798365865</v>
      </c>
      <c r="AJ136" s="38">
        <f>D136/B136*1000</f>
        <v>28.806784622768522</v>
      </c>
      <c r="AL136" s="38">
        <f>AI136-H136</f>
        <v>-5.4522016341351787E-3</v>
      </c>
      <c r="AM136" s="38">
        <f>AJ136-I136</f>
        <v>6.784622768520876E-3</v>
      </c>
    </row>
    <row r="137" spans="1:39">
      <c r="A137" s="4" t="s">
        <v>138</v>
      </c>
      <c r="B137" s="5"/>
      <c r="C137" s="5"/>
      <c r="D137" s="5"/>
      <c r="E137" s="5"/>
      <c r="F137" s="5"/>
      <c r="G137" s="5"/>
      <c r="H137" s="6" t="s">
        <v>9</v>
      </c>
      <c r="I137" s="6" t="s">
        <v>9</v>
      </c>
      <c r="J137" s="5"/>
      <c r="K137" s="5">
        <v>10250</v>
      </c>
      <c r="L137" s="5">
        <v>6498</v>
      </c>
      <c r="M137" s="5">
        <v>11614</v>
      </c>
      <c r="N137" s="5">
        <v>6657</v>
      </c>
      <c r="O137" s="5">
        <v>10054</v>
      </c>
      <c r="P137" s="5">
        <v>12457</v>
      </c>
      <c r="Q137" s="5">
        <v>10793</v>
      </c>
      <c r="R137" s="5">
        <v>6728</v>
      </c>
      <c r="S137" s="5">
        <v>6944</v>
      </c>
      <c r="T137" s="5">
        <v>7053</v>
      </c>
      <c r="U137" s="5">
        <v>9053</v>
      </c>
      <c r="V137" s="5">
        <v>8097</v>
      </c>
      <c r="W137" s="5">
        <v>9221</v>
      </c>
      <c r="X137" s="5">
        <v>8060</v>
      </c>
      <c r="Y137" s="5">
        <v>8554</v>
      </c>
    </row>
    <row r="138" spans="1:39">
      <c r="A138" s="4" t="s">
        <v>139</v>
      </c>
      <c r="B138" s="5"/>
      <c r="C138" s="5"/>
      <c r="D138" s="5"/>
      <c r="E138" s="5"/>
      <c r="F138" s="5"/>
      <c r="G138" s="5"/>
      <c r="H138" s="6" t="s">
        <v>9</v>
      </c>
      <c r="I138" s="6" t="s">
        <v>9</v>
      </c>
      <c r="J138" s="5"/>
      <c r="K138" s="5">
        <v>6482</v>
      </c>
      <c r="L138" s="5">
        <v>4611</v>
      </c>
      <c r="M138" s="5">
        <v>7532</v>
      </c>
      <c r="N138" s="5">
        <v>4631</v>
      </c>
      <c r="O138" s="5">
        <v>6107</v>
      </c>
      <c r="P138" s="5">
        <v>8139</v>
      </c>
      <c r="Q138" s="5">
        <v>6972</v>
      </c>
      <c r="R138" s="5">
        <v>5186</v>
      </c>
      <c r="S138" s="5">
        <v>5411</v>
      </c>
      <c r="T138" s="5">
        <v>6181</v>
      </c>
      <c r="U138" s="5">
        <v>7169</v>
      </c>
      <c r="V138" s="5">
        <v>5431</v>
      </c>
      <c r="W138" s="5">
        <v>6256</v>
      </c>
      <c r="X138" s="5">
        <v>5117</v>
      </c>
      <c r="Y138" s="5">
        <v>5342</v>
      </c>
    </row>
    <row r="139" spans="1:39">
      <c r="A139" s="7" t="s">
        <v>140</v>
      </c>
      <c r="B139" s="8">
        <v>1095829</v>
      </c>
      <c r="C139" s="8">
        <v>47490</v>
      </c>
      <c r="D139" s="8">
        <v>33822</v>
      </c>
      <c r="E139" s="9" t="s">
        <v>9</v>
      </c>
      <c r="F139" s="9" t="s">
        <v>9</v>
      </c>
      <c r="G139" s="9" t="s">
        <v>9</v>
      </c>
      <c r="H139" s="10">
        <v>42.8</v>
      </c>
      <c r="I139" s="10">
        <v>30.5</v>
      </c>
      <c r="J139" s="11"/>
      <c r="K139" s="8">
        <v>228849</v>
      </c>
      <c r="L139" s="8">
        <v>118283</v>
      </c>
      <c r="M139" s="8">
        <v>110476</v>
      </c>
      <c r="N139" s="8">
        <v>136268</v>
      </c>
      <c r="O139" s="8">
        <v>168515</v>
      </c>
      <c r="P139" s="8">
        <v>173610</v>
      </c>
      <c r="Q139" s="8">
        <v>81397</v>
      </c>
      <c r="R139" s="8">
        <v>78455</v>
      </c>
      <c r="S139" s="8"/>
      <c r="T139" s="8"/>
      <c r="U139" s="8"/>
      <c r="V139" s="8"/>
      <c r="W139" s="8"/>
      <c r="X139" s="8"/>
      <c r="Y139" s="8"/>
      <c r="AA139" s="37">
        <f>SUM(K139:Y139)</f>
        <v>1095853</v>
      </c>
      <c r="AB139" s="37">
        <f>SUM(K140:Y140)</f>
        <v>47490</v>
      </c>
      <c r="AC139" s="37">
        <f>SUM(K141:Y141)</f>
        <v>36291</v>
      </c>
      <c r="AE139" s="37">
        <f>AA139-B139</f>
        <v>24</v>
      </c>
      <c r="AF139" s="37">
        <f>AB139-C139</f>
        <v>0</v>
      </c>
      <c r="AG139" s="37">
        <f>AC139-D139</f>
        <v>2469</v>
      </c>
      <c r="AI139" s="38">
        <f>C139/B139*1000</f>
        <v>43.337053500135518</v>
      </c>
      <c r="AJ139" s="38">
        <f>D139/B139*1000</f>
        <v>30.864304558466696</v>
      </c>
      <c r="AL139" s="38">
        <f>AI139-H139</f>
        <v>0.53705350013552078</v>
      </c>
      <c r="AM139" s="38">
        <f>AJ139-I139</f>
        <v>0.36430455846669574</v>
      </c>
    </row>
    <row r="140" spans="1:39">
      <c r="A140" s="4" t="s">
        <v>141</v>
      </c>
      <c r="B140" s="5"/>
      <c r="C140" s="5"/>
      <c r="D140" s="5"/>
      <c r="E140" s="5"/>
      <c r="F140" s="5"/>
      <c r="G140" s="5"/>
      <c r="H140" s="6" t="s">
        <v>9</v>
      </c>
      <c r="I140" s="6" t="s">
        <v>9</v>
      </c>
      <c r="J140" s="5"/>
      <c r="K140" s="5">
        <v>9168</v>
      </c>
      <c r="L140" s="5">
        <v>5934</v>
      </c>
      <c r="M140" s="5">
        <v>4776</v>
      </c>
      <c r="N140" s="5">
        <v>5940</v>
      </c>
      <c r="O140" s="5">
        <v>6749</v>
      </c>
      <c r="P140" s="5">
        <v>6587</v>
      </c>
      <c r="Q140" s="5">
        <v>4215</v>
      </c>
      <c r="R140" s="5">
        <v>4121</v>
      </c>
      <c r="S140" s="5"/>
      <c r="T140" s="5"/>
      <c r="U140" s="5"/>
      <c r="V140" s="5"/>
      <c r="W140" s="5"/>
      <c r="X140" s="5"/>
      <c r="Y140" s="5"/>
    </row>
    <row r="141" spans="1:39">
      <c r="A141" s="4" t="s">
        <v>142</v>
      </c>
      <c r="B141" s="5"/>
      <c r="C141" s="5"/>
      <c r="D141" s="5"/>
      <c r="E141" s="5"/>
      <c r="F141" s="5"/>
      <c r="G141" s="5"/>
      <c r="H141" s="6" t="s">
        <v>9</v>
      </c>
      <c r="I141" s="6" t="s">
        <v>9</v>
      </c>
      <c r="J141" s="5"/>
      <c r="K141" s="5">
        <v>7094</v>
      </c>
      <c r="L141" s="5">
        <v>4475</v>
      </c>
      <c r="M141" s="5">
        <v>3200</v>
      </c>
      <c r="N141" s="5">
        <v>3699</v>
      </c>
      <c r="O141" s="5">
        <v>4347</v>
      </c>
      <c r="P141" s="5">
        <v>6587</v>
      </c>
      <c r="Q141" s="5">
        <v>2768</v>
      </c>
      <c r="R141" s="5">
        <v>4121</v>
      </c>
      <c r="S141" s="5"/>
      <c r="T141" s="5"/>
      <c r="U141" s="5"/>
      <c r="V141" s="5"/>
      <c r="W141" s="5"/>
      <c r="X141" s="5"/>
      <c r="Y141" s="5"/>
    </row>
    <row r="142" spans="1:39">
      <c r="A142" s="7" t="s">
        <v>143</v>
      </c>
      <c r="B142" s="8">
        <v>1983222</v>
      </c>
      <c r="C142" s="8">
        <v>95943</v>
      </c>
      <c r="D142" s="8">
        <v>67869</v>
      </c>
      <c r="E142" s="8">
        <v>123053</v>
      </c>
      <c r="F142" s="8">
        <v>6053</v>
      </c>
      <c r="G142" s="8">
        <v>5554</v>
      </c>
      <c r="H142" s="12">
        <v>48.4</v>
      </c>
      <c r="I142" s="12">
        <v>34.200000000000003</v>
      </c>
      <c r="J142" s="5"/>
      <c r="K142" s="8">
        <v>229394</v>
      </c>
      <c r="L142" s="8">
        <v>113851</v>
      </c>
      <c r="M142" s="8">
        <v>163520</v>
      </c>
      <c r="N142" s="8">
        <v>151130</v>
      </c>
      <c r="O142" s="8">
        <v>188614</v>
      </c>
      <c r="P142" s="8">
        <v>166965</v>
      </c>
      <c r="Q142" s="8">
        <v>125782</v>
      </c>
      <c r="R142" s="8">
        <v>159586</v>
      </c>
      <c r="S142" s="8">
        <v>148996</v>
      </c>
      <c r="T142" s="8">
        <v>171424</v>
      </c>
      <c r="U142" s="8">
        <v>191773</v>
      </c>
      <c r="V142" s="8">
        <v>172157</v>
      </c>
      <c r="W142" s="8"/>
      <c r="X142" s="8"/>
      <c r="Y142" s="8"/>
      <c r="AA142" s="37">
        <f>SUM(K142:Y142)</f>
        <v>1983192</v>
      </c>
      <c r="AB142" s="37">
        <f>SUM(K143:Y143)</f>
        <v>95843</v>
      </c>
      <c r="AC142" s="37">
        <f>SUM(K144:Y144)</f>
        <v>65550</v>
      </c>
      <c r="AE142" s="37">
        <f>AA142-B142</f>
        <v>-30</v>
      </c>
      <c r="AF142" s="37">
        <f>AB142-C142</f>
        <v>-100</v>
      </c>
      <c r="AG142" s="37">
        <f>AC142-D142</f>
        <v>-2319</v>
      </c>
      <c r="AI142" s="38">
        <f>C142/B142*1000</f>
        <v>48.377337484154573</v>
      </c>
      <c r="AJ142" s="38">
        <f>D142/B142*1000</f>
        <v>34.221584875520747</v>
      </c>
      <c r="AL142" s="38">
        <f>AI142-H142</f>
        <v>-2.2662515845425446E-2</v>
      </c>
      <c r="AM142" s="38">
        <f>AJ142-I142</f>
        <v>2.1584875520744617E-2</v>
      </c>
    </row>
    <row r="143" spans="1:39">
      <c r="A143" s="4" t="s">
        <v>144</v>
      </c>
      <c r="B143" s="5"/>
      <c r="C143" s="5"/>
      <c r="D143" s="5"/>
      <c r="E143" s="5"/>
      <c r="F143" s="5"/>
      <c r="G143" s="5"/>
      <c r="H143" s="6" t="s">
        <v>9</v>
      </c>
      <c r="I143" s="6" t="s">
        <v>9</v>
      </c>
      <c r="J143" s="5"/>
      <c r="K143" s="5">
        <v>10205</v>
      </c>
      <c r="L143" s="5">
        <v>5818</v>
      </c>
      <c r="M143" s="5">
        <v>8299</v>
      </c>
      <c r="N143" s="5">
        <v>5752</v>
      </c>
      <c r="O143" s="5">
        <v>8433</v>
      </c>
      <c r="P143" s="5">
        <v>8352</v>
      </c>
      <c r="Q143" s="5">
        <v>6172</v>
      </c>
      <c r="R143" s="5">
        <v>8547</v>
      </c>
      <c r="S143" s="5">
        <v>7950</v>
      </c>
      <c r="T143" s="5">
        <v>9118</v>
      </c>
      <c r="U143" s="5">
        <v>9870</v>
      </c>
      <c r="V143" s="5">
        <v>7327</v>
      </c>
      <c r="W143" s="5"/>
      <c r="X143" s="5"/>
      <c r="Y143" s="5"/>
    </row>
    <row r="144" spans="1:39">
      <c r="A144" s="4" t="s">
        <v>145</v>
      </c>
      <c r="B144" s="5"/>
      <c r="C144" s="5"/>
      <c r="D144" s="5"/>
      <c r="E144" s="5"/>
      <c r="F144" s="5"/>
      <c r="G144" s="5"/>
      <c r="H144" s="6" t="s">
        <v>9</v>
      </c>
      <c r="I144" s="6" t="s">
        <v>9</v>
      </c>
      <c r="J144" s="5"/>
      <c r="K144" s="5">
        <v>7554</v>
      </c>
      <c r="L144" s="5">
        <v>4056</v>
      </c>
      <c r="M144" s="5">
        <v>5638</v>
      </c>
      <c r="N144" s="5">
        <v>3944</v>
      </c>
      <c r="O144" s="5">
        <v>4635</v>
      </c>
      <c r="P144" s="5">
        <v>5102</v>
      </c>
      <c r="Q144" s="5">
        <v>3910</v>
      </c>
      <c r="R144" s="5">
        <v>6653</v>
      </c>
      <c r="S144" s="5">
        <v>5889</v>
      </c>
      <c r="T144" s="5">
        <v>5936</v>
      </c>
      <c r="U144" s="5">
        <v>6652</v>
      </c>
      <c r="V144" s="5">
        <v>5581</v>
      </c>
      <c r="W144" s="5"/>
      <c r="X144" s="5"/>
      <c r="Y144" s="5"/>
    </row>
    <row r="145" spans="1:39">
      <c r="A145" s="7" t="s">
        <v>146</v>
      </c>
      <c r="B145" s="8">
        <v>2739528</v>
      </c>
      <c r="C145" s="8">
        <v>155503</v>
      </c>
      <c r="D145" s="8">
        <v>120020</v>
      </c>
      <c r="E145" s="8">
        <v>188828</v>
      </c>
      <c r="F145" s="8">
        <v>7399</v>
      </c>
      <c r="G145" s="8">
        <v>6669</v>
      </c>
      <c r="H145" s="12">
        <v>56.7</v>
      </c>
      <c r="I145" s="12">
        <v>44</v>
      </c>
      <c r="J145" s="5"/>
      <c r="K145" s="8">
        <v>329623</v>
      </c>
      <c r="L145" s="8">
        <v>303234</v>
      </c>
      <c r="M145" s="8">
        <v>586235</v>
      </c>
      <c r="N145" s="8">
        <v>473512</v>
      </c>
      <c r="O145" s="8">
        <v>542195</v>
      </c>
      <c r="P145" s="8">
        <v>416372</v>
      </c>
      <c r="Q145" s="8">
        <v>268357</v>
      </c>
      <c r="R145" s="8"/>
      <c r="S145" s="8"/>
      <c r="T145" s="8"/>
      <c r="U145" s="8"/>
      <c r="V145" s="8"/>
      <c r="W145" s="8"/>
      <c r="X145" s="8"/>
      <c r="Y145" s="8"/>
      <c r="AA145" s="37">
        <f>SUM(K145:Y145)</f>
        <v>2919528</v>
      </c>
      <c r="AB145" s="37">
        <f>SUM(K146:Y146)</f>
        <v>155503</v>
      </c>
      <c r="AC145" s="37">
        <f>SUM(K147:Y147)</f>
        <v>120020</v>
      </c>
      <c r="AE145" s="37">
        <f>AA145-B145</f>
        <v>180000</v>
      </c>
      <c r="AF145" s="37">
        <f>AB145-C145</f>
        <v>0</v>
      </c>
      <c r="AG145" s="37">
        <f>AC145-D145</f>
        <v>0</v>
      </c>
      <c r="AI145" s="38">
        <f>C145/B145*1000</f>
        <v>56.762697807797544</v>
      </c>
      <c r="AJ145" s="38">
        <f>D145/B145*1000</f>
        <v>43.810466620527329</v>
      </c>
      <c r="AL145" s="38">
        <f>AI145-H145</f>
        <v>6.2697807797540861E-2</v>
      </c>
      <c r="AM145" s="38">
        <f>AJ145-I145</f>
        <v>-0.18953337947267102</v>
      </c>
    </row>
    <row r="146" spans="1:39">
      <c r="A146" s="4" t="s">
        <v>147</v>
      </c>
      <c r="B146" s="5"/>
      <c r="C146" s="5"/>
      <c r="D146" s="5"/>
      <c r="E146" s="5"/>
      <c r="F146" s="5"/>
      <c r="G146" s="5"/>
      <c r="H146" s="6" t="s">
        <v>9</v>
      </c>
      <c r="I146" s="6" t="s">
        <v>9</v>
      </c>
      <c r="J146" s="5"/>
      <c r="K146" s="5">
        <v>19269</v>
      </c>
      <c r="L146" s="5">
        <v>14845</v>
      </c>
      <c r="M146" s="5">
        <v>22959</v>
      </c>
      <c r="N146" s="5">
        <v>28918</v>
      </c>
      <c r="O146" s="5">
        <v>30686</v>
      </c>
      <c r="P146" s="5">
        <v>23661</v>
      </c>
      <c r="Q146" s="5">
        <v>15165</v>
      </c>
      <c r="R146" s="5"/>
      <c r="S146" s="5"/>
      <c r="T146" s="5"/>
      <c r="U146" s="5"/>
      <c r="V146" s="5"/>
      <c r="W146" s="5"/>
      <c r="X146" s="5"/>
      <c r="Y146" s="5"/>
    </row>
    <row r="147" spans="1:39">
      <c r="A147" s="4" t="s">
        <v>148</v>
      </c>
      <c r="B147" s="5"/>
      <c r="C147" s="5"/>
      <c r="D147" s="5"/>
      <c r="E147" s="5"/>
      <c r="F147" s="5"/>
      <c r="G147" s="5"/>
      <c r="H147" s="6" t="s">
        <v>9</v>
      </c>
      <c r="I147" s="6" t="s">
        <v>9</v>
      </c>
      <c r="J147" s="5"/>
      <c r="K147" s="5">
        <v>15763</v>
      </c>
      <c r="L147" s="5">
        <v>8145</v>
      </c>
      <c r="M147" s="5">
        <v>14787</v>
      </c>
      <c r="N147" s="5">
        <v>24339</v>
      </c>
      <c r="O147" s="5">
        <v>25220</v>
      </c>
      <c r="P147" s="5">
        <v>18375</v>
      </c>
      <c r="Q147" s="5">
        <v>13391</v>
      </c>
      <c r="R147" s="5"/>
      <c r="S147" s="5"/>
      <c r="T147" s="5"/>
      <c r="U147" s="5"/>
      <c r="V147" s="5"/>
      <c r="W147" s="5"/>
      <c r="X147" s="5"/>
      <c r="Y147" s="5"/>
    </row>
    <row r="148" spans="1:39">
      <c r="A148" s="7" t="s">
        <v>149</v>
      </c>
      <c r="B148" s="8">
        <v>956226</v>
      </c>
      <c r="C148" s="8">
        <v>31404</v>
      </c>
      <c r="D148" s="8">
        <v>27789</v>
      </c>
      <c r="E148" s="8"/>
      <c r="F148" s="8"/>
      <c r="G148" s="8"/>
      <c r="H148" s="12">
        <v>30.3</v>
      </c>
      <c r="I148" s="12">
        <v>30.4</v>
      </c>
      <c r="J148" s="5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AA148" s="37">
        <f>B148</f>
        <v>956226</v>
      </c>
      <c r="AB148" s="37">
        <f>C148</f>
        <v>31404</v>
      </c>
      <c r="AC148" s="37">
        <f>D148</f>
        <v>27789</v>
      </c>
      <c r="AE148" s="39"/>
      <c r="AF148" s="39"/>
      <c r="AG148" s="39"/>
      <c r="AI148" s="38">
        <f>C148/B148*1000</f>
        <v>32.841608573705379</v>
      </c>
      <c r="AJ148" s="38">
        <f>D148/B148*1000</f>
        <v>29.061121534030658</v>
      </c>
      <c r="AL148" s="38">
        <f>AI148-H148</f>
        <v>2.5416085737053784</v>
      </c>
      <c r="AM148" s="38">
        <f>AJ148-I148</f>
        <v>-1.3388784659693407</v>
      </c>
    </row>
    <row r="149" spans="1:39">
      <c r="A149" s="7" t="s">
        <v>150</v>
      </c>
      <c r="B149" s="8">
        <v>833544</v>
      </c>
      <c r="C149" s="8">
        <v>30615</v>
      </c>
      <c r="D149" s="8">
        <v>25035</v>
      </c>
      <c r="E149" s="8">
        <v>90596</v>
      </c>
      <c r="F149" s="8">
        <v>3541</v>
      </c>
      <c r="G149" s="8">
        <v>2824</v>
      </c>
      <c r="H149" s="12">
        <v>36.700000000000003</v>
      </c>
      <c r="I149" s="12">
        <v>30</v>
      </c>
      <c r="J149" s="5"/>
      <c r="K149" s="8">
        <v>131998</v>
      </c>
      <c r="L149" s="8">
        <v>144628</v>
      </c>
      <c r="M149" s="8">
        <v>115813</v>
      </c>
      <c r="N149" s="8">
        <v>93253</v>
      </c>
      <c r="O149" s="8">
        <v>72297</v>
      </c>
      <c r="P149" s="8">
        <v>139751</v>
      </c>
      <c r="Q149" s="8">
        <v>51582</v>
      </c>
      <c r="R149" s="8">
        <v>84222</v>
      </c>
      <c r="S149" s="8"/>
      <c r="T149" s="8"/>
      <c r="U149" s="8"/>
      <c r="V149" s="8"/>
      <c r="W149" s="8"/>
      <c r="X149" s="8"/>
      <c r="Y149" s="8"/>
      <c r="AA149" s="37">
        <f>SUM(K149:Y149)</f>
        <v>833544</v>
      </c>
      <c r="AB149" s="37">
        <f>SUM(K150:Y150)</f>
        <v>30615</v>
      </c>
      <c r="AC149" s="37">
        <f>SUM(K151:Y151)</f>
        <v>25035</v>
      </c>
      <c r="AE149" s="37">
        <f>AA149-B149</f>
        <v>0</v>
      </c>
      <c r="AF149" s="37">
        <f>AB149-C149</f>
        <v>0</v>
      </c>
      <c r="AG149" s="37">
        <f>AC149-D149</f>
        <v>0</v>
      </c>
      <c r="AI149" s="38">
        <f>C149/B149*1000</f>
        <v>36.728714980852843</v>
      </c>
      <c r="AJ149" s="38">
        <f>D149/B149*1000</f>
        <v>30.034407301834094</v>
      </c>
      <c r="AL149" s="38">
        <f>AI149-H149</f>
        <v>2.8714980852839744E-2</v>
      </c>
      <c r="AM149" s="38">
        <f>AJ149-I149</f>
        <v>3.4407301834093573E-2</v>
      </c>
    </row>
    <row r="150" spans="1:39">
      <c r="A150" s="4" t="s">
        <v>151</v>
      </c>
      <c r="B150" s="5"/>
      <c r="C150" s="5"/>
      <c r="D150" s="5"/>
      <c r="E150" s="5"/>
      <c r="F150" s="5"/>
      <c r="G150" s="5"/>
      <c r="H150" s="6" t="s">
        <v>9</v>
      </c>
      <c r="I150" s="6" t="s">
        <v>9</v>
      </c>
      <c r="J150" s="5"/>
      <c r="K150" s="5">
        <v>4631</v>
      </c>
      <c r="L150" s="5">
        <v>4564</v>
      </c>
      <c r="M150" s="5">
        <v>4336</v>
      </c>
      <c r="N150" s="5">
        <v>4070</v>
      </c>
      <c r="O150" s="5">
        <v>2780</v>
      </c>
      <c r="P150" s="5">
        <v>5205</v>
      </c>
      <c r="Q150" s="5">
        <v>2170</v>
      </c>
      <c r="R150" s="5">
        <v>2859</v>
      </c>
      <c r="S150" s="5"/>
      <c r="T150" s="5"/>
      <c r="U150" s="5"/>
      <c r="V150" s="5"/>
      <c r="W150" s="5"/>
      <c r="X150" s="5"/>
      <c r="Y150" s="5"/>
    </row>
    <row r="151" spans="1:39">
      <c r="A151" s="4" t="s">
        <v>152</v>
      </c>
      <c r="B151" s="5"/>
      <c r="C151" s="5"/>
      <c r="D151" s="5"/>
      <c r="E151" s="5"/>
      <c r="F151" s="5"/>
      <c r="G151" s="5"/>
      <c r="H151" s="6" t="s">
        <v>9</v>
      </c>
      <c r="I151" s="6" t="s">
        <v>9</v>
      </c>
      <c r="J151" s="5"/>
      <c r="K151" s="5">
        <v>3809</v>
      </c>
      <c r="L151" s="5">
        <v>3766</v>
      </c>
      <c r="M151" s="5">
        <v>3508</v>
      </c>
      <c r="N151" s="5">
        <v>3084</v>
      </c>
      <c r="O151" s="5">
        <v>2478</v>
      </c>
      <c r="P151" s="5">
        <v>4395</v>
      </c>
      <c r="Q151" s="5">
        <v>1809</v>
      </c>
      <c r="R151" s="5">
        <v>2186</v>
      </c>
      <c r="S151" s="5"/>
      <c r="T151" s="5"/>
      <c r="U151" s="5"/>
      <c r="V151" s="5"/>
      <c r="W151" s="5"/>
      <c r="X151" s="5"/>
      <c r="Y151" s="5"/>
    </row>
    <row r="152" spans="1:39">
      <c r="A152" s="7" t="s">
        <v>153</v>
      </c>
      <c r="B152" s="8">
        <v>2545394</v>
      </c>
      <c r="C152" s="8">
        <v>135478</v>
      </c>
      <c r="D152" s="8">
        <v>110799</v>
      </c>
      <c r="E152" s="8">
        <v>320976</v>
      </c>
      <c r="F152" s="8">
        <v>15842</v>
      </c>
      <c r="G152" s="8">
        <v>13361</v>
      </c>
      <c r="H152" s="12">
        <v>53.2</v>
      </c>
      <c r="I152" s="12">
        <v>43.5</v>
      </c>
      <c r="J152" s="5"/>
      <c r="K152" s="8">
        <v>339838</v>
      </c>
      <c r="L152" s="8">
        <v>310136</v>
      </c>
      <c r="M152" s="8">
        <v>303223</v>
      </c>
      <c r="N152" s="8">
        <v>209997</v>
      </c>
      <c r="O152" s="8">
        <v>364130</v>
      </c>
      <c r="P152" s="8">
        <v>189053</v>
      </c>
      <c r="Q152" s="8">
        <v>231973</v>
      </c>
      <c r="R152" s="8">
        <v>226623</v>
      </c>
      <c r="S152" s="8">
        <v>161058</v>
      </c>
      <c r="T152" s="8">
        <v>209373</v>
      </c>
      <c r="U152" s="8"/>
      <c r="V152" s="8"/>
      <c r="W152" s="8"/>
      <c r="X152" s="8"/>
      <c r="Y152" s="8"/>
      <c r="AA152" s="37">
        <f>SUM(K152:Y152)</f>
        <v>2545404</v>
      </c>
      <c r="AB152" s="37">
        <f>SUM(K153:Y153)</f>
        <v>135475</v>
      </c>
      <c r="AC152" s="37">
        <f>SUM(K154:Y154)</f>
        <v>110799</v>
      </c>
      <c r="AE152" s="37">
        <f>AA152-B152</f>
        <v>10</v>
      </c>
      <c r="AF152" s="37">
        <f>AB152-C152</f>
        <v>-3</v>
      </c>
      <c r="AG152" s="37">
        <f>AC152-D152</f>
        <v>0</v>
      </c>
      <c r="AI152" s="38">
        <f>C152/B152*1000</f>
        <v>53.224765989076737</v>
      </c>
      <c r="AJ152" s="38">
        <f>D152/B152*1000</f>
        <v>43.529213944874542</v>
      </c>
      <c r="AL152" s="38">
        <f>AI152-H152</f>
        <v>2.4765989076733774E-2</v>
      </c>
      <c r="AM152" s="38">
        <f>AJ152-I152</f>
        <v>2.9213944874541653E-2</v>
      </c>
    </row>
    <row r="153" spans="1:39">
      <c r="A153" s="4" t="s">
        <v>154</v>
      </c>
      <c r="B153" s="5"/>
      <c r="C153" s="5"/>
      <c r="D153" s="5"/>
      <c r="E153" s="5"/>
      <c r="F153" s="5"/>
      <c r="G153" s="5"/>
      <c r="H153" s="6" t="s">
        <v>9</v>
      </c>
      <c r="I153" s="6" t="s">
        <v>9</v>
      </c>
      <c r="J153" s="5"/>
      <c r="K153" s="5">
        <v>17294</v>
      </c>
      <c r="L153" s="5">
        <v>16853</v>
      </c>
      <c r="M153" s="5">
        <v>17361</v>
      </c>
      <c r="N153" s="5">
        <v>9906</v>
      </c>
      <c r="O153" s="5">
        <v>18770</v>
      </c>
      <c r="P153" s="5">
        <v>10214</v>
      </c>
      <c r="Q153" s="5">
        <v>12602</v>
      </c>
      <c r="R153" s="5">
        <v>12636</v>
      </c>
      <c r="S153" s="5">
        <v>9051</v>
      </c>
      <c r="T153" s="5">
        <v>10788</v>
      </c>
      <c r="U153" s="5"/>
      <c r="V153" s="5"/>
      <c r="W153" s="5"/>
      <c r="X153" s="5"/>
      <c r="Y153" s="5"/>
    </row>
    <row r="154" spans="1:39">
      <c r="A154" s="4" t="s">
        <v>155</v>
      </c>
      <c r="B154" s="5"/>
      <c r="C154" s="5"/>
      <c r="D154" s="5"/>
      <c r="E154" s="5"/>
      <c r="F154" s="5"/>
      <c r="G154" s="5"/>
      <c r="H154" s="6" t="s">
        <v>9</v>
      </c>
      <c r="I154" s="6" t="s">
        <v>9</v>
      </c>
      <c r="J154" s="5"/>
      <c r="K154" s="5">
        <v>14049</v>
      </c>
      <c r="L154" s="5">
        <v>13279</v>
      </c>
      <c r="M154" s="5">
        <v>16073</v>
      </c>
      <c r="N154" s="5">
        <v>8077</v>
      </c>
      <c r="O154" s="5">
        <v>14829</v>
      </c>
      <c r="P154" s="5">
        <v>7584</v>
      </c>
      <c r="Q154" s="5">
        <v>9451</v>
      </c>
      <c r="R154" s="5">
        <v>12510</v>
      </c>
      <c r="S154" s="5">
        <v>6712</v>
      </c>
      <c r="T154" s="5">
        <v>8235</v>
      </c>
      <c r="U154" s="5"/>
      <c r="V154" s="5"/>
      <c r="W154" s="5"/>
      <c r="X154" s="5"/>
      <c r="Y154" s="5"/>
    </row>
    <row r="155" spans="1:39">
      <c r="A155" s="7" t="s">
        <v>156</v>
      </c>
      <c r="B155" s="8">
        <v>1544997</v>
      </c>
      <c r="C155" s="8">
        <v>79159</v>
      </c>
      <c r="D155" s="8">
        <v>64462</v>
      </c>
      <c r="E155" s="9" t="s">
        <v>9</v>
      </c>
      <c r="F155" s="9" t="s">
        <v>9</v>
      </c>
      <c r="G155" s="9" t="s">
        <v>9</v>
      </c>
      <c r="H155" s="10">
        <v>50.4</v>
      </c>
      <c r="I155" s="10">
        <v>41</v>
      </c>
      <c r="J155" s="11"/>
      <c r="K155" s="8">
        <v>228635</v>
      </c>
      <c r="L155" s="8">
        <v>171124</v>
      </c>
      <c r="M155" s="8">
        <v>193308</v>
      </c>
      <c r="N155" s="8">
        <v>182417</v>
      </c>
      <c r="O155" s="8">
        <v>216759</v>
      </c>
      <c r="P155" s="8">
        <v>167198</v>
      </c>
      <c r="Q155" s="8">
        <v>153718</v>
      </c>
      <c r="R155" s="8">
        <v>231838</v>
      </c>
      <c r="S155" s="8"/>
      <c r="T155" s="8"/>
      <c r="U155" s="8"/>
      <c r="V155" s="8"/>
      <c r="W155" s="8"/>
      <c r="X155" s="8"/>
      <c r="Y155" s="8"/>
      <c r="AA155" s="37">
        <f>SUM(K155:Y155)</f>
        <v>1544997</v>
      </c>
      <c r="AB155" s="37">
        <f>SUM(K156:Y156)</f>
        <v>79159</v>
      </c>
      <c r="AC155" s="37">
        <f>SUM(K157:Y157)</f>
        <v>64462</v>
      </c>
      <c r="AE155" s="37">
        <f>AA155-B155</f>
        <v>0</v>
      </c>
      <c r="AF155" s="37">
        <f>AB155-C155</f>
        <v>0</v>
      </c>
      <c r="AG155" s="37">
        <f>AC155-D155</f>
        <v>0</v>
      </c>
      <c r="AI155" s="38">
        <f>C155/B155*1000</f>
        <v>51.235698192294223</v>
      </c>
      <c r="AJ155" s="38">
        <f>D155/B155*1000</f>
        <v>41.723058361925624</v>
      </c>
      <c r="AL155" s="38">
        <f>AI155-H155</f>
        <v>0.83569819229422393</v>
      </c>
      <c r="AM155" s="38">
        <f>AJ155-I155</f>
        <v>0.72305836192562367</v>
      </c>
    </row>
    <row r="156" spans="1:39">
      <c r="A156" s="4" t="s">
        <v>157</v>
      </c>
      <c r="B156" s="5"/>
      <c r="C156" s="5"/>
      <c r="D156" s="5"/>
      <c r="E156" s="5"/>
      <c r="F156" s="5"/>
      <c r="G156" s="5"/>
      <c r="H156" s="6" t="s">
        <v>9</v>
      </c>
      <c r="I156" s="6" t="s">
        <v>9</v>
      </c>
      <c r="J156" s="5"/>
      <c r="K156" s="5">
        <v>10974</v>
      </c>
      <c r="L156" s="5">
        <v>7761</v>
      </c>
      <c r="M156" s="5">
        <v>10371</v>
      </c>
      <c r="N156" s="5">
        <v>9479</v>
      </c>
      <c r="O156" s="5">
        <v>11527</v>
      </c>
      <c r="P156" s="5">
        <v>8139</v>
      </c>
      <c r="Q156" s="5">
        <v>8594</v>
      </c>
      <c r="R156" s="5">
        <v>12314</v>
      </c>
      <c r="S156" s="5"/>
      <c r="T156" s="5"/>
      <c r="U156" s="5"/>
      <c r="V156" s="5"/>
      <c r="W156" s="5"/>
      <c r="X156" s="5"/>
      <c r="Y156" s="5"/>
    </row>
    <row r="157" spans="1:39">
      <c r="A157" s="4" t="s">
        <v>158</v>
      </c>
      <c r="B157" s="5"/>
      <c r="C157" s="5"/>
      <c r="D157" s="5"/>
      <c r="E157" s="5"/>
      <c r="F157" s="5"/>
      <c r="G157" s="5"/>
      <c r="H157" s="6" t="s">
        <v>9</v>
      </c>
      <c r="I157" s="6" t="s">
        <v>9</v>
      </c>
      <c r="J157" s="5"/>
      <c r="K157" s="5">
        <v>9649</v>
      </c>
      <c r="L157" s="5">
        <v>6334</v>
      </c>
      <c r="M157" s="5">
        <v>7079</v>
      </c>
      <c r="N157" s="5">
        <v>7325</v>
      </c>
      <c r="O157" s="5">
        <v>9275</v>
      </c>
      <c r="P157" s="5">
        <v>5486</v>
      </c>
      <c r="Q157" s="5">
        <v>7166</v>
      </c>
      <c r="R157" s="5">
        <v>12148</v>
      </c>
      <c r="S157" s="5"/>
      <c r="T157" s="5"/>
      <c r="U157" s="5"/>
      <c r="V157" s="5"/>
      <c r="W157" s="5"/>
      <c r="X157" s="5"/>
      <c r="Y157" s="5"/>
    </row>
    <row r="158" spans="1:39">
      <c r="A158" s="7" t="s">
        <v>159</v>
      </c>
      <c r="B158" s="8">
        <v>1606686</v>
      </c>
      <c r="C158" s="8">
        <v>81771</v>
      </c>
      <c r="D158" s="8">
        <v>57209</v>
      </c>
      <c r="E158" s="8">
        <v>146320</v>
      </c>
      <c r="F158" s="8">
        <v>3701</v>
      </c>
      <c r="G158" s="8">
        <v>3127</v>
      </c>
      <c r="H158" s="12">
        <v>50.9</v>
      </c>
      <c r="I158" s="12">
        <v>35.6</v>
      </c>
      <c r="J158" s="5"/>
      <c r="K158" s="8">
        <v>144924</v>
      </c>
      <c r="L158" s="8">
        <v>125961</v>
      </c>
      <c r="M158" s="8">
        <v>117360</v>
      </c>
      <c r="N158" s="8">
        <v>138458</v>
      </c>
      <c r="O158" s="8">
        <v>110256</v>
      </c>
      <c r="P158" s="8">
        <v>98644</v>
      </c>
      <c r="Q158" s="8">
        <v>138205</v>
      </c>
      <c r="R158" s="8">
        <v>105211</v>
      </c>
      <c r="S158" s="8">
        <v>121453</v>
      </c>
      <c r="T158" s="8">
        <v>191009</v>
      </c>
      <c r="U158" s="8">
        <v>122600</v>
      </c>
      <c r="V158" s="8">
        <v>192535</v>
      </c>
      <c r="W158" s="8"/>
      <c r="X158" s="8"/>
      <c r="Y158" s="8"/>
      <c r="AA158" s="37">
        <f>SUM(K158:Y158)</f>
        <v>1606616</v>
      </c>
      <c r="AB158" s="37">
        <f>SUM(K159:Y159)</f>
        <v>81769</v>
      </c>
      <c r="AC158" s="37">
        <f>SUM(K160:Y160)</f>
        <v>57209</v>
      </c>
      <c r="AE158" s="37">
        <f>AA158-B158</f>
        <v>-70</v>
      </c>
      <c r="AF158" s="37">
        <f>AB158-C158</f>
        <v>-2</v>
      </c>
      <c r="AG158" s="37">
        <f>AC158-D158</f>
        <v>0</v>
      </c>
      <c r="AI158" s="38">
        <f>C158/B158*1000</f>
        <v>50.894200858163948</v>
      </c>
      <c r="AJ158" s="38">
        <f>D158/B158*1000</f>
        <v>35.606832946823467</v>
      </c>
      <c r="AL158" s="38">
        <f>AI158-H158</f>
        <v>-5.7991418360501257E-3</v>
      </c>
      <c r="AM158" s="38">
        <f>AJ158-I158</f>
        <v>6.8329468234651358E-3</v>
      </c>
    </row>
    <row r="159" spans="1:39">
      <c r="A159" s="4" t="s">
        <v>160</v>
      </c>
      <c r="B159" s="5"/>
      <c r="C159" s="5"/>
      <c r="D159" s="5"/>
      <c r="E159" s="5"/>
      <c r="F159" s="5"/>
      <c r="G159" s="5"/>
      <c r="H159" s="6" t="s">
        <v>9</v>
      </c>
      <c r="I159" s="6" t="s">
        <v>9</v>
      </c>
      <c r="J159" s="5"/>
      <c r="K159" s="5">
        <v>6543</v>
      </c>
      <c r="L159" s="5">
        <v>8803</v>
      </c>
      <c r="M159" s="5">
        <v>5737</v>
      </c>
      <c r="N159" s="5">
        <v>5422</v>
      </c>
      <c r="O159" s="5">
        <v>6077</v>
      </c>
      <c r="P159" s="5">
        <v>6819</v>
      </c>
      <c r="Q159" s="5">
        <v>7715</v>
      </c>
      <c r="R159" s="5">
        <v>5225</v>
      </c>
      <c r="S159" s="5">
        <v>7338</v>
      </c>
      <c r="T159" s="5">
        <v>10048</v>
      </c>
      <c r="U159" s="5">
        <v>5384</v>
      </c>
      <c r="V159" s="5">
        <v>6658</v>
      </c>
      <c r="W159" s="5"/>
      <c r="X159" s="5"/>
      <c r="Y159" s="5"/>
    </row>
    <row r="160" spans="1:39">
      <c r="A160" s="4" t="s">
        <v>161</v>
      </c>
      <c r="B160" s="5"/>
      <c r="C160" s="5"/>
      <c r="D160" s="5"/>
      <c r="E160" s="5"/>
      <c r="F160" s="5"/>
      <c r="G160" s="5"/>
      <c r="H160" s="6" t="s">
        <v>9</v>
      </c>
      <c r="I160" s="6" t="s">
        <v>9</v>
      </c>
      <c r="J160" s="5"/>
      <c r="K160" s="5">
        <v>4696</v>
      </c>
      <c r="L160" s="5">
        <v>6734</v>
      </c>
      <c r="M160" s="5">
        <v>4496</v>
      </c>
      <c r="N160" s="5">
        <v>5175</v>
      </c>
      <c r="O160" s="5">
        <v>3673</v>
      </c>
      <c r="P160" s="5">
        <v>4439</v>
      </c>
      <c r="Q160" s="5">
        <v>4883</v>
      </c>
      <c r="R160" s="5">
        <v>3156</v>
      </c>
      <c r="S160" s="5">
        <v>4368</v>
      </c>
      <c r="T160" s="5">
        <v>5644</v>
      </c>
      <c r="U160" s="5">
        <v>4664</v>
      </c>
      <c r="V160" s="5">
        <v>5281</v>
      </c>
      <c r="W160" s="5"/>
      <c r="X160" s="5"/>
      <c r="Y160" s="5"/>
    </row>
    <row r="161" spans="1:39">
      <c r="A161" s="7" t="s">
        <v>162</v>
      </c>
      <c r="B161" s="8">
        <v>1308382</v>
      </c>
      <c r="C161" s="8">
        <v>65813</v>
      </c>
      <c r="D161" s="8">
        <v>36137</v>
      </c>
      <c r="E161" s="8">
        <v>239782</v>
      </c>
      <c r="F161" s="8">
        <v>11361</v>
      </c>
      <c r="G161" s="8">
        <v>6781</v>
      </c>
      <c r="H161" s="12">
        <v>48.8</v>
      </c>
      <c r="I161" s="12">
        <v>26.2</v>
      </c>
      <c r="J161" s="5"/>
      <c r="K161" s="8">
        <v>145798</v>
      </c>
      <c r="L161" s="8">
        <v>318813</v>
      </c>
      <c r="M161" s="8">
        <v>216322</v>
      </c>
      <c r="N161" s="8">
        <v>52638</v>
      </c>
      <c r="O161" s="8">
        <v>362091</v>
      </c>
      <c r="P161" s="8">
        <v>31640</v>
      </c>
      <c r="Q161" s="8">
        <v>94676</v>
      </c>
      <c r="R161" s="8">
        <v>51838</v>
      </c>
      <c r="S161" s="8">
        <v>34566</v>
      </c>
      <c r="T161" s="8"/>
      <c r="U161" s="8"/>
      <c r="V161" s="8"/>
      <c r="W161" s="8"/>
      <c r="X161" s="8"/>
      <c r="Y161" s="8"/>
      <c r="AA161" s="37">
        <f>SUM(K161:Y161)</f>
        <v>1308382</v>
      </c>
      <c r="AB161" s="37">
        <f>SUM(K162:Y162)</f>
        <v>65813</v>
      </c>
      <c r="AC161" s="37">
        <f>SUM(K163:Y163)</f>
        <v>35327</v>
      </c>
      <c r="AE161" s="37">
        <f>AA161-B161</f>
        <v>0</v>
      </c>
      <c r="AF161" s="37">
        <f>AB161-C161</f>
        <v>0</v>
      </c>
      <c r="AG161" s="37">
        <f>AC161-D161</f>
        <v>-810</v>
      </c>
      <c r="AI161" s="38">
        <f>C161/B161*1000</f>
        <v>50.301058865071518</v>
      </c>
      <c r="AJ161" s="38">
        <f>D161/B161*1000</f>
        <v>27.619609563567828</v>
      </c>
      <c r="AL161" s="38">
        <f>AI161-H161</f>
        <v>1.5010588650715206</v>
      </c>
      <c r="AM161" s="38">
        <f>AJ161-I161</f>
        <v>1.4196095635678283</v>
      </c>
    </row>
    <row r="162" spans="1:39">
      <c r="A162" s="4" t="s">
        <v>163</v>
      </c>
      <c r="B162" s="5"/>
      <c r="C162" s="5"/>
      <c r="D162" s="5"/>
      <c r="E162" s="5"/>
      <c r="F162" s="5"/>
      <c r="G162" s="5"/>
      <c r="H162" s="6" t="s">
        <v>9</v>
      </c>
      <c r="I162" s="6" t="s">
        <v>9</v>
      </c>
      <c r="J162" s="5"/>
      <c r="K162" s="5">
        <v>6300</v>
      </c>
      <c r="L162" s="5">
        <v>15893</v>
      </c>
      <c r="M162" s="5">
        <v>10737</v>
      </c>
      <c r="N162" s="5">
        <v>2796</v>
      </c>
      <c r="O162" s="5">
        <v>19244</v>
      </c>
      <c r="P162" s="5">
        <v>1696</v>
      </c>
      <c r="Q162" s="5">
        <v>4855</v>
      </c>
      <c r="R162" s="5">
        <v>2309</v>
      </c>
      <c r="S162" s="5">
        <v>1983</v>
      </c>
      <c r="T162" s="5"/>
      <c r="U162" s="5"/>
      <c r="V162" s="5"/>
      <c r="W162" s="5"/>
      <c r="X162" s="5"/>
      <c r="Y162" s="5"/>
    </row>
    <row r="163" spans="1:39">
      <c r="A163" s="4" t="s">
        <v>164</v>
      </c>
      <c r="B163" s="5"/>
      <c r="C163" s="5"/>
      <c r="D163" s="5"/>
      <c r="E163" s="5"/>
      <c r="F163" s="5"/>
      <c r="G163" s="5"/>
      <c r="H163" s="6" t="s">
        <v>9</v>
      </c>
      <c r="I163" s="6" t="s">
        <v>9</v>
      </c>
      <c r="J163" s="5"/>
      <c r="K163" s="5">
        <v>4036</v>
      </c>
      <c r="L163" s="5">
        <v>7765</v>
      </c>
      <c r="M163" s="5">
        <v>5068</v>
      </c>
      <c r="N163" s="5">
        <v>1559</v>
      </c>
      <c r="O163" s="5">
        <v>10501</v>
      </c>
      <c r="P163" s="5">
        <v>761</v>
      </c>
      <c r="Q163" s="5">
        <v>3135</v>
      </c>
      <c r="R163" s="5">
        <v>1412</v>
      </c>
      <c r="S163" s="5">
        <v>1090</v>
      </c>
      <c r="T163" s="5"/>
      <c r="U163" s="5"/>
      <c r="V163" s="5"/>
      <c r="W163" s="5"/>
      <c r="X163" s="5"/>
      <c r="Y163" s="5"/>
    </row>
    <row r="164" spans="1:39">
      <c r="A164" s="7" t="s">
        <v>165</v>
      </c>
      <c r="B164" s="8">
        <v>2987710</v>
      </c>
      <c r="C164" s="8">
        <v>145453</v>
      </c>
      <c r="D164" s="8">
        <v>122006</v>
      </c>
      <c r="E164" s="8">
        <v>195108</v>
      </c>
      <c r="F164" s="8">
        <v>6120</v>
      </c>
      <c r="G164" s="8">
        <v>5764</v>
      </c>
      <c r="H164" s="12">
        <v>49.1</v>
      </c>
      <c r="I164" s="12">
        <v>41.2</v>
      </c>
      <c r="J164" s="5"/>
      <c r="K164" s="8">
        <v>425842</v>
      </c>
      <c r="L164" s="8">
        <v>309683</v>
      </c>
      <c r="M164" s="8">
        <v>217736</v>
      </c>
      <c r="N164" s="8">
        <v>295584</v>
      </c>
      <c r="O164" s="8">
        <v>369603</v>
      </c>
      <c r="P164" s="8">
        <v>166724</v>
      </c>
      <c r="Q164" s="8">
        <v>195266</v>
      </c>
      <c r="R164" s="8">
        <v>289048</v>
      </c>
      <c r="S164" s="8">
        <v>145248</v>
      </c>
      <c r="T164" s="8">
        <v>164985</v>
      </c>
      <c r="U164" s="8">
        <v>217697</v>
      </c>
      <c r="V164" s="8">
        <v>181294</v>
      </c>
      <c r="W164" s="8"/>
      <c r="X164" s="8"/>
      <c r="Y164" s="8"/>
      <c r="AA164" s="37">
        <f>SUM(K164:Y164)</f>
        <v>2978710</v>
      </c>
      <c r="AB164" s="37">
        <f>SUM(K165:Y165)</f>
        <v>145453</v>
      </c>
      <c r="AC164" s="37">
        <f>SUM(K166:Y166)</f>
        <v>122006</v>
      </c>
      <c r="AE164" s="37">
        <f>AA164-B164</f>
        <v>-9000</v>
      </c>
      <c r="AF164" s="37">
        <f>AB164-C164</f>
        <v>0</v>
      </c>
      <c r="AG164" s="37">
        <f>AC164-D164</f>
        <v>0</v>
      </c>
      <c r="AI164" s="38">
        <f>C164/B164*1000</f>
        <v>48.683774529656489</v>
      </c>
      <c r="AJ164" s="38">
        <f>D164/B164*1000</f>
        <v>40.835957974502215</v>
      </c>
      <c r="AL164" s="38">
        <f>AI164-H164</f>
        <v>-0.41622547034351243</v>
      </c>
      <c r="AM164" s="38">
        <f>AJ164-I164</f>
        <v>-0.3640420254977883</v>
      </c>
    </row>
    <row r="165" spans="1:39">
      <c r="A165" s="4" t="s">
        <v>166</v>
      </c>
      <c r="B165" s="5"/>
      <c r="C165" s="5"/>
      <c r="D165" s="5"/>
      <c r="E165" s="5"/>
      <c r="F165" s="5"/>
      <c r="G165" s="5"/>
      <c r="H165" s="6" t="s">
        <v>9</v>
      </c>
      <c r="I165" s="6" t="s">
        <v>9</v>
      </c>
      <c r="J165" s="5"/>
      <c r="K165" s="5">
        <v>22236</v>
      </c>
      <c r="L165" s="5">
        <v>16998</v>
      </c>
      <c r="M165" s="5">
        <v>7382</v>
      </c>
      <c r="N165" s="5">
        <v>14658</v>
      </c>
      <c r="O165" s="5">
        <v>18129</v>
      </c>
      <c r="P165" s="5">
        <v>7772</v>
      </c>
      <c r="Q165" s="5">
        <v>8623</v>
      </c>
      <c r="R165" s="5">
        <v>14717</v>
      </c>
      <c r="S165" s="5">
        <v>6628</v>
      </c>
      <c r="T165" s="5">
        <v>7641</v>
      </c>
      <c r="U165" s="5">
        <v>11976</v>
      </c>
      <c r="V165" s="5">
        <v>8693</v>
      </c>
      <c r="W165" s="5"/>
      <c r="X165" s="5"/>
      <c r="Y165" s="5"/>
    </row>
    <row r="166" spans="1:39">
      <c r="A166" s="4" t="s">
        <v>167</v>
      </c>
      <c r="B166" s="5"/>
      <c r="C166" s="5"/>
      <c r="D166" s="5"/>
      <c r="E166" s="5"/>
      <c r="F166" s="5"/>
      <c r="G166" s="5"/>
      <c r="H166" s="6" t="s">
        <v>9</v>
      </c>
      <c r="I166" s="6" t="s">
        <v>9</v>
      </c>
      <c r="J166" s="5"/>
      <c r="K166" s="5">
        <v>19710</v>
      </c>
      <c r="L166" s="5">
        <v>16201</v>
      </c>
      <c r="M166" s="5">
        <v>5507</v>
      </c>
      <c r="N166" s="5">
        <v>13582</v>
      </c>
      <c r="O166" s="5">
        <v>14280</v>
      </c>
      <c r="P166" s="5">
        <v>5350</v>
      </c>
      <c r="Q166" s="5">
        <v>7033</v>
      </c>
      <c r="R166" s="5">
        <v>11032</v>
      </c>
      <c r="S166" s="5">
        <v>4965</v>
      </c>
      <c r="T166" s="5">
        <v>5546</v>
      </c>
      <c r="U166" s="5">
        <v>13492</v>
      </c>
      <c r="V166" s="5">
        <v>5308</v>
      </c>
      <c r="W166" s="5"/>
      <c r="X166" s="5"/>
      <c r="Y166" s="5"/>
    </row>
    <row r="167" spans="1:39">
      <c r="A167" s="7" t="s">
        <v>168</v>
      </c>
      <c r="B167" s="8">
        <v>1970123</v>
      </c>
      <c r="C167" s="8">
        <v>86314</v>
      </c>
      <c r="D167" s="8">
        <v>71094</v>
      </c>
      <c r="E167" s="8">
        <v>155821</v>
      </c>
      <c r="F167" s="8">
        <v>3929</v>
      </c>
      <c r="G167" s="8">
        <v>3310</v>
      </c>
      <c r="H167" s="12">
        <v>43.8</v>
      </c>
      <c r="I167" s="12">
        <v>36.1</v>
      </c>
      <c r="J167" s="5"/>
      <c r="K167" s="8">
        <v>176793</v>
      </c>
      <c r="L167" s="8">
        <v>265053</v>
      </c>
      <c r="M167" s="8">
        <v>163986</v>
      </c>
      <c r="N167" s="8">
        <v>185656</v>
      </c>
      <c r="O167" s="8">
        <v>123322</v>
      </c>
      <c r="P167" s="8">
        <v>144396</v>
      </c>
      <c r="Q167" s="8">
        <v>146928</v>
      </c>
      <c r="R167" s="8">
        <v>138221</v>
      </c>
      <c r="S167" s="8">
        <v>131749</v>
      </c>
      <c r="T167" s="8">
        <v>150808</v>
      </c>
      <c r="U167" s="8">
        <v>168024</v>
      </c>
      <c r="V167" s="8">
        <v>175187</v>
      </c>
      <c r="W167" s="8"/>
      <c r="X167" s="8"/>
      <c r="Y167" s="8"/>
      <c r="AA167" s="37">
        <f>SUM(K167:Y167)</f>
        <v>1970123</v>
      </c>
      <c r="AB167" s="37">
        <f>SUM(K168:Y168)</f>
        <v>86314</v>
      </c>
      <c r="AC167" s="37">
        <f>SUM(K169:Y169)</f>
        <v>71094</v>
      </c>
      <c r="AE167" s="37">
        <f>AA167-B167</f>
        <v>0</v>
      </c>
      <c r="AF167" s="37">
        <f>AB167-C167</f>
        <v>0</v>
      </c>
      <c r="AG167" s="37">
        <f>AC167-D167</f>
        <v>0</v>
      </c>
      <c r="AI167" s="38">
        <f>C167/B167*1000</f>
        <v>43.811477760525612</v>
      </c>
      <c r="AJ167" s="38">
        <f>D167/B167*1000</f>
        <v>36.086071783335349</v>
      </c>
      <c r="AL167" s="38">
        <f>AI167-H167</f>
        <v>1.1477760525615111E-2</v>
      </c>
      <c r="AM167" s="38">
        <f>AJ167-I167</f>
        <v>-1.3928216664652382E-2</v>
      </c>
    </row>
    <row r="168" spans="1:39">
      <c r="A168" s="4" t="s">
        <v>169</v>
      </c>
      <c r="B168" s="5"/>
      <c r="C168" s="5"/>
      <c r="D168" s="5"/>
      <c r="E168" s="5"/>
      <c r="F168" s="5"/>
      <c r="G168" s="5"/>
      <c r="H168" s="6" t="s">
        <v>9</v>
      </c>
      <c r="I168" s="6" t="s">
        <v>9</v>
      </c>
      <c r="J168" s="5"/>
      <c r="K168" s="5">
        <v>7860</v>
      </c>
      <c r="L168" s="5">
        <v>12711</v>
      </c>
      <c r="M168" s="5">
        <v>7338</v>
      </c>
      <c r="N168" s="5">
        <v>8047</v>
      </c>
      <c r="O168" s="5">
        <v>5039</v>
      </c>
      <c r="P168" s="5">
        <v>6147</v>
      </c>
      <c r="Q168" s="5">
        <v>5769</v>
      </c>
      <c r="R168" s="5">
        <v>6240</v>
      </c>
      <c r="S168" s="5">
        <v>5956</v>
      </c>
      <c r="T168" s="5">
        <v>7334</v>
      </c>
      <c r="U168" s="5">
        <v>7105</v>
      </c>
      <c r="V168" s="5">
        <v>6768</v>
      </c>
      <c r="W168" s="5"/>
      <c r="X168" s="5"/>
      <c r="Y168" s="5"/>
    </row>
    <row r="169" spans="1:39">
      <c r="A169" s="4" t="s">
        <v>170</v>
      </c>
      <c r="B169" s="5"/>
      <c r="C169" s="5"/>
      <c r="D169" s="5"/>
      <c r="E169" s="5"/>
      <c r="F169" s="5"/>
      <c r="G169" s="5"/>
      <c r="H169" s="6" t="s">
        <v>9</v>
      </c>
      <c r="I169" s="6" t="s">
        <v>9</v>
      </c>
      <c r="J169" s="5"/>
      <c r="K169" s="5">
        <v>6798</v>
      </c>
      <c r="L169" s="5">
        <v>9500</v>
      </c>
      <c r="M169" s="5">
        <v>5387</v>
      </c>
      <c r="N169" s="5">
        <v>5885</v>
      </c>
      <c r="O169" s="5">
        <v>4675</v>
      </c>
      <c r="P169" s="5">
        <v>5371</v>
      </c>
      <c r="Q169" s="5">
        <v>5071</v>
      </c>
      <c r="R169" s="5">
        <v>5314</v>
      </c>
      <c r="S169" s="5">
        <v>5076</v>
      </c>
      <c r="T169" s="5">
        <v>6110</v>
      </c>
      <c r="U169" s="5">
        <v>6454</v>
      </c>
      <c r="V169" s="5">
        <v>5453</v>
      </c>
      <c r="W169" s="5"/>
      <c r="X169" s="5"/>
      <c r="Y169" s="5"/>
    </row>
    <row r="170" spans="1:39">
      <c r="A170" s="7" t="s">
        <v>171</v>
      </c>
      <c r="B170" s="8">
        <v>1592451</v>
      </c>
      <c r="C170" s="8">
        <v>82389</v>
      </c>
      <c r="D170" s="8">
        <v>64291</v>
      </c>
      <c r="E170" s="8">
        <v>153027</v>
      </c>
      <c r="F170" s="8">
        <v>6432</v>
      </c>
      <c r="G170" s="8">
        <v>5485</v>
      </c>
      <c r="H170" s="12">
        <v>51.7</v>
      </c>
      <c r="I170" s="12">
        <v>40.4</v>
      </c>
      <c r="J170" s="5"/>
      <c r="K170" s="8">
        <v>189468</v>
      </c>
      <c r="L170" s="8">
        <v>93139</v>
      </c>
      <c r="M170" s="8">
        <v>178614</v>
      </c>
      <c r="N170" s="8">
        <v>89454</v>
      </c>
      <c r="O170" s="8">
        <v>127881</v>
      </c>
      <c r="P170" s="8">
        <v>142618</v>
      </c>
      <c r="Q170" s="8">
        <v>188829</v>
      </c>
      <c r="R170" s="8">
        <v>85788</v>
      </c>
      <c r="S170" s="8">
        <v>117359</v>
      </c>
      <c r="T170" s="8">
        <v>152494</v>
      </c>
      <c r="U170" s="8">
        <v>107952</v>
      </c>
      <c r="V170" s="8">
        <v>118855</v>
      </c>
      <c r="W170" s="8"/>
      <c r="X170" s="8"/>
      <c r="Y170" s="8"/>
      <c r="AA170" s="37">
        <f>SUM(K170:Y170)</f>
        <v>1592451</v>
      </c>
      <c r="AB170" s="37">
        <f>SUM(K171:Y171)</f>
        <v>82389</v>
      </c>
      <c r="AC170" s="37">
        <f>SUM(K172:Y172)</f>
        <v>64291</v>
      </c>
      <c r="AE170" s="37">
        <f>AA170-B170</f>
        <v>0</v>
      </c>
      <c r="AF170" s="37">
        <f>AB170-C170</f>
        <v>0</v>
      </c>
      <c r="AG170" s="37">
        <f>AC170-D170</f>
        <v>0</v>
      </c>
      <c r="AI170" s="38">
        <f>C170/B170*1000</f>
        <v>51.737227707477345</v>
      </c>
      <c r="AJ170" s="38">
        <f>D170/B170*1000</f>
        <v>40.372356826049909</v>
      </c>
      <c r="AL170" s="38">
        <f>AI170-H170</f>
        <v>3.7227707477342165E-2</v>
      </c>
      <c r="AM170" s="38">
        <f>AJ170-I170</f>
        <v>-2.7643173950089306E-2</v>
      </c>
    </row>
    <row r="171" spans="1:39">
      <c r="A171" s="4" t="s">
        <v>172</v>
      </c>
      <c r="B171" s="5"/>
      <c r="C171" s="5"/>
      <c r="D171" s="5"/>
      <c r="E171" s="5"/>
      <c r="F171" s="5"/>
      <c r="G171" s="5"/>
      <c r="H171" s="6" t="s">
        <v>9</v>
      </c>
      <c r="I171" s="6" t="s">
        <v>9</v>
      </c>
      <c r="J171" s="5"/>
      <c r="K171" s="5">
        <v>10268</v>
      </c>
      <c r="L171" s="5">
        <v>4335</v>
      </c>
      <c r="M171" s="5">
        <v>9946</v>
      </c>
      <c r="N171" s="5">
        <v>4063</v>
      </c>
      <c r="O171" s="5">
        <v>5900</v>
      </c>
      <c r="P171" s="5">
        <v>6931</v>
      </c>
      <c r="Q171" s="5">
        <v>9875</v>
      </c>
      <c r="R171" s="5">
        <v>3956</v>
      </c>
      <c r="S171" s="5">
        <v>6251</v>
      </c>
      <c r="T171" s="5">
        <v>8874</v>
      </c>
      <c r="U171" s="5">
        <v>5486</v>
      </c>
      <c r="V171" s="5">
        <v>6504</v>
      </c>
      <c r="W171" s="5"/>
      <c r="X171" s="5"/>
      <c r="Y171" s="5"/>
    </row>
    <row r="172" spans="1:39">
      <c r="A172" s="4" t="s">
        <v>173</v>
      </c>
      <c r="B172" s="5"/>
      <c r="C172" s="5"/>
      <c r="D172" s="5"/>
      <c r="E172" s="5"/>
      <c r="F172" s="5"/>
      <c r="G172" s="5"/>
      <c r="H172" s="6" t="s">
        <v>9</v>
      </c>
      <c r="I172" s="6" t="s">
        <v>9</v>
      </c>
      <c r="J172" s="5"/>
      <c r="K172" s="5">
        <v>8811</v>
      </c>
      <c r="L172" s="5">
        <v>3303</v>
      </c>
      <c r="M172" s="5">
        <v>7507</v>
      </c>
      <c r="N172" s="5">
        <v>2673</v>
      </c>
      <c r="O172" s="5">
        <v>5258</v>
      </c>
      <c r="P172" s="5">
        <v>5300</v>
      </c>
      <c r="Q172" s="5">
        <v>7218</v>
      </c>
      <c r="R172" s="5">
        <v>3690</v>
      </c>
      <c r="S172" s="5">
        <v>4742</v>
      </c>
      <c r="T172" s="5">
        <v>6685</v>
      </c>
      <c r="U172" s="5">
        <v>4047</v>
      </c>
      <c r="V172" s="5">
        <v>5057</v>
      </c>
      <c r="W172" s="5"/>
      <c r="X172" s="5"/>
      <c r="Y172" s="5"/>
    </row>
    <row r="173" spans="1:39">
      <c r="A173" s="7" t="s">
        <v>174</v>
      </c>
      <c r="B173" s="8">
        <v>2234262</v>
      </c>
      <c r="C173" s="8">
        <v>111080</v>
      </c>
      <c r="D173" s="8">
        <v>62696</v>
      </c>
      <c r="E173" s="8">
        <v>98835</v>
      </c>
      <c r="F173" s="8">
        <v>4807</v>
      </c>
      <c r="G173" s="8">
        <v>3629</v>
      </c>
      <c r="H173" s="12">
        <v>48.7</v>
      </c>
      <c r="I173" s="12">
        <v>27.5</v>
      </c>
      <c r="J173" s="5"/>
      <c r="K173" s="8">
        <v>370391</v>
      </c>
      <c r="L173" s="8">
        <v>437156</v>
      </c>
      <c r="M173" s="8">
        <v>493622</v>
      </c>
      <c r="N173" s="8">
        <v>192782</v>
      </c>
      <c r="O173" s="8">
        <v>391927</v>
      </c>
      <c r="P173" s="8">
        <v>348344</v>
      </c>
      <c r="Q173" s="8"/>
      <c r="R173" s="8"/>
      <c r="S173" s="8"/>
      <c r="T173" s="8"/>
      <c r="U173" s="8"/>
      <c r="V173" s="8"/>
      <c r="W173" s="8"/>
      <c r="X173" s="8"/>
      <c r="Y173" s="8"/>
      <c r="AA173" s="37">
        <f>SUM(K173:Y173)</f>
        <v>2234222</v>
      </c>
      <c r="AB173" s="37">
        <f>SUM(K174:Y174)</f>
        <v>111080</v>
      </c>
      <c r="AC173" s="37">
        <f>SUM(K175:Y175)</f>
        <v>62696</v>
      </c>
      <c r="AE173" s="37">
        <f>AA173-B173</f>
        <v>-40</v>
      </c>
      <c r="AF173" s="37">
        <f>AB173-C173</f>
        <v>0</v>
      </c>
      <c r="AG173" s="37">
        <f>AC173-D173</f>
        <v>0</v>
      </c>
      <c r="AI173" s="38">
        <f>C173/B173*1000</f>
        <v>49.716640214979265</v>
      </c>
      <c r="AJ173" s="38">
        <f>D173/B173*1000</f>
        <v>28.061167401137379</v>
      </c>
      <c r="AL173" s="38">
        <f>AI173-H173</f>
        <v>1.0166402149792617</v>
      </c>
      <c r="AM173" s="38">
        <f>AJ173-I173</f>
        <v>0.56116740113737862</v>
      </c>
    </row>
    <row r="174" spans="1:39">
      <c r="A174" s="4" t="s">
        <v>175</v>
      </c>
      <c r="B174" s="5"/>
      <c r="C174" s="5"/>
      <c r="D174" s="5"/>
      <c r="E174" s="5"/>
      <c r="F174" s="5"/>
      <c r="G174" s="5"/>
      <c r="H174" s="6" t="s">
        <v>9</v>
      </c>
      <c r="I174" s="6" t="s">
        <v>9</v>
      </c>
      <c r="J174" s="5"/>
      <c r="K174" s="5">
        <v>19624</v>
      </c>
      <c r="L174" s="5">
        <v>21643</v>
      </c>
      <c r="M174" s="5">
        <v>24091</v>
      </c>
      <c r="N174" s="5">
        <v>10529</v>
      </c>
      <c r="O174" s="5">
        <v>18577</v>
      </c>
      <c r="P174" s="5">
        <v>16616</v>
      </c>
      <c r="Q174" s="5"/>
      <c r="R174" s="5"/>
      <c r="S174" s="5"/>
      <c r="T174" s="5"/>
      <c r="U174" s="5"/>
      <c r="V174" s="5"/>
      <c r="W174" s="5"/>
      <c r="X174" s="5"/>
      <c r="Y174" s="5"/>
    </row>
    <row r="175" spans="1:39">
      <c r="A175" s="4" t="s">
        <v>176</v>
      </c>
      <c r="B175" s="5"/>
      <c r="C175" s="5"/>
      <c r="D175" s="5"/>
      <c r="E175" s="5"/>
      <c r="F175" s="5"/>
      <c r="G175" s="5"/>
      <c r="H175" s="6" t="s">
        <v>9</v>
      </c>
      <c r="I175" s="6" t="s">
        <v>9</v>
      </c>
      <c r="J175" s="5"/>
      <c r="K175" s="5">
        <v>11442</v>
      </c>
      <c r="L175" s="5">
        <v>12734</v>
      </c>
      <c r="M175" s="5">
        <v>12856</v>
      </c>
      <c r="N175" s="5">
        <v>5543</v>
      </c>
      <c r="O175" s="5">
        <v>11300</v>
      </c>
      <c r="P175" s="5">
        <v>8821</v>
      </c>
      <c r="Q175" s="5"/>
      <c r="R175" s="5"/>
      <c r="S175" s="5"/>
      <c r="T175" s="5"/>
      <c r="U175" s="5"/>
      <c r="V175" s="5"/>
      <c r="W175" s="5"/>
      <c r="X175" s="5"/>
      <c r="Y175" s="5"/>
    </row>
    <row r="176" spans="1:39">
      <c r="A176" s="17" t="s">
        <v>177</v>
      </c>
      <c r="B176" s="18">
        <v>2678159</v>
      </c>
      <c r="C176" s="18">
        <v>135444</v>
      </c>
      <c r="D176" s="18">
        <v>92121</v>
      </c>
      <c r="E176" s="18">
        <v>343558</v>
      </c>
      <c r="F176" s="18">
        <v>12666</v>
      </c>
      <c r="G176" s="18">
        <v>9520</v>
      </c>
      <c r="H176" s="19">
        <v>50.6</v>
      </c>
      <c r="I176" s="19">
        <v>34.4</v>
      </c>
      <c r="J176" s="5"/>
      <c r="K176" s="18">
        <v>401847</v>
      </c>
      <c r="L176" s="18">
        <v>163234</v>
      </c>
      <c r="M176" s="18">
        <v>155216</v>
      </c>
      <c r="N176" s="18">
        <v>151048</v>
      </c>
      <c r="O176" s="18">
        <v>163699</v>
      </c>
      <c r="P176" s="18">
        <v>235341</v>
      </c>
      <c r="Q176" s="18">
        <v>334907</v>
      </c>
      <c r="R176" s="18">
        <v>245315</v>
      </c>
      <c r="S176" s="18">
        <v>170810</v>
      </c>
      <c r="T176" s="18">
        <v>403571</v>
      </c>
      <c r="U176" s="18">
        <v>252171</v>
      </c>
      <c r="V176" s="18"/>
      <c r="W176" s="18"/>
      <c r="X176" s="18"/>
      <c r="Y176" s="18"/>
      <c r="AA176" s="37">
        <f>SUM(K176:Y176)</f>
        <v>2677159</v>
      </c>
      <c r="AB176" s="37">
        <f>SUM(K177:Y177)</f>
        <v>134444</v>
      </c>
      <c r="AC176" s="37">
        <f>SUM(K178:Y178)</f>
        <v>92121</v>
      </c>
      <c r="AE176" s="37">
        <f>AA176-B176</f>
        <v>-1000</v>
      </c>
      <c r="AF176" s="37">
        <f>AB176-C176</f>
        <v>-1000</v>
      </c>
      <c r="AG176" s="37">
        <f>AC176-D176</f>
        <v>0</v>
      </c>
      <c r="AI176" s="38">
        <f>C176/B176*1000</f>
        <v>50.573546977606632</v>
      </c>
      <c r="AJ176" s="38">
        <f>D176/B176*1000</f>
        <v>34.397136241724262</v>
      </c>
      <c r="AL176" s="38">
        <f>AI176-H176</f>
        <v>-2.6453022393368997E-2</v>
      </c>
      <c r="AM176" s="38">
        <f>AJ176-I176</f>
        <v>-2.8637582757369273E-3</v>
      </c>
    </row>
    <row r="177" spans="1:39">
      <c r="A177" s="20" t="s">
        <v>178</v>
      </c>
      <c r="B177" s="5"/>
      <c r="C177" s="5"/>
      <c r="D177" s="5"/>
      <c r="E177" s="5"/>
      <c r="F177" s="5"/>
      <c r="G177" s="5"/>
      <c r="H177" s="6" t="s">
        <v>9</v>
      </c>
      <c r="I177" s="6" t="s">
        <v>9</v>
      </c>
      <c r="J177" s="5"/>
      <c r="K177" s="5">
        <v>16088</v>
      </c>
      <c r="L177" s="5">
        <v>7221</v>
      </c>
      <c r="M177" s="5">
        <v>8019</v>
      </c>
      <c r="N177" s="5">
        <v>7095</v>
      </c>
      <c r="O177" s="5">
        <v>10164</v>
      </c>
      <c r="P177" s="5">
        <v>12784</v>
      </c>
      <c r="Q177" s="5">
        <v>17240</v>
      </c>
      <c r="R177" s="5">
        <v>13506</v>
      </c>
      <c r="S177" s="5">
        <v>9252</v>
      </c>
      <c r="T177" s="5">
        <v>21772</v>
      </c>
      <c r="U177" s="5">
        <v>11303</v>
      </c>
      <c r="V177" s="5"/>
      <c r="W177" s="5"/>
      <c r="X177" s="5"/>
      <c r="Y177" s="5"/>
    </row>
    <row r="178" spans="1:39">
      <c r="A178" s="20" t="s">
        <v>179</v>
      </c>
      <c r="B178" s="5"/>
      <c r="C178" s="5"/>
      <c r="D178" s="5"/>
      <c r="E178" s="5"/>
      <c r="F178" s="5"/>
      <c r="G178" s="5"/>
      <c r="H178" s="6" t="s">
        <v>9</v>
      </c>
      <c r="I178" s="6" t="s">
        <v>9</v>
      </c>
      <c r="J178" s="5"/>
      <c r="K178" s="5">
        <v>11196</v>
      </c>
      <c r="L178" s="5">
        <v>6312</v>
      </c>
      <c r="M178" s="5">
        <v>5910</v>
      </c>
      <c r="N178" s="5">
        <v>5284</v>
      </c>
      <c r="O178" s="5">
        <v>6620</v>
      </c>
      <c r="P178" s="5">
        <v>8630</v>
      </c>
      <c r="Q178" s="5">
        <v>10548</v>
      </c>
      <c r="R178" s="5">
        <v>8424</v>
      </c>
      <c r="S178" s="5">
        <v>6144</v>
      </c>
      <c r="T178" s="5">
        <v>15810</v>
      </c>
      <c r="U178" s="5">
        <v>7243</v>
      </c>
      <c r="V178" s="5"/>
      <c r="W178" s="5"/>
      <c r="X178" s="5"/>
      <c r="Y178" s="5"/>
    </row>
    <row r="179" spans="1:39">
      <c r="A179" s="17" t="s">
        <v>180</v>
      </c>
      <c r="B179" s="18">
        <v>2029441</v>
      </c>
      <c r="C179" s="18">
        <v>109047</v>
      </c>
      <c r="D179" s="18">
        <v>61309</v>
      </c>
      <c r="E179" s="18">
        <v>190731</v>
      </c>
      <c r="F179" s="18">
        <v>16480</v>
      </c>
      <c r="G179" s="18">
        <v>9775</v>
      </c>
      <c r="H179" s="19">
        <v>53.7</v>
      </c>
      <c r="I179" s="19">
        <v>30.2</v>
      </c>
      <c r="J179" s="5"/>
      <c r="K179" s="18">
        <v>464513</v>
      </c>
      <c r="L179" s="18">
        <v>403985</v>
      </c>
      <c r="M179" s="18">
        <v>215646</v>
      </c>
      <c r="N179" s="18">
        <v>547927</v>
      </c>
      <c r="O179" s="18">
        <v>183617</v>
      </c>
      <c r="P179" s="18">
        <v>222637</v>
      </c>
      <c r="Q179" s="18"/>
      <c r="R179" s="18"/>
      <c r="S179" s="18"/>
      <c r="T179" s="18"/>
      <c r="U179" s="18"/>
      <c r="V179" s="18"/>
      <c r="W179" s="18"/>
      <c r="X179" s="18"/>
      <c r="Y179" s="18"/>
      <c r="AA179" s="37">
        <f>SUM(K179:Y179)</f>
        <v>2038325</v>
      </c>
      <c r="AB179" s="37">
        <f>SUM(K180:Y180)</f>
        <v>109047</v>
      </c>
      <c r="AC179" s="37">
        <f>SUM(K181:Y181)</f>
        <v>61309</v>
      </c>
      <c r="AE179" s="37">
        <f>AA179-B179</f>
        <v>8884</v>
      </c>
      <c r="AF179" s="37">
        <f>AB179-C179</f>
        <v>0</v>
      </c>
      <c r="AG179" s="37">
        <f>AC179-D179</f>
        <v>0</v>
      </c>
      <c r="AI179" s="38">
        <f>C179/B179*1000</f>
        <v>53.732530287897013</v>
      </c>
      <c r="AJ179" s="38">
        <f>D179/B179*1000</f>
        <v>30.209796687856411</v>
      </c>
      <c r="AL179" s="38">
        <f>AI179-H179</f>
        <v>3.2530287897010624E-2</v>
      </c>
      <c r="AM179" s="38">
        <f>AJ179-I179</f>
        <v>9.7966878564115234E-3</v>
      </c>
    </row>
    <row r="180" spans="1:39">
      <c r="A180" s="20" t="s">
        <v>181</v>
      </c>
      <c r="B180" s="5"/>
      <c r="C180" s="5"/>
      <c r="D180" s="5"/>
      <c r="E180" s="5"/>
      <c r="F180" s="5"/>
      <c r="G180" s="5"/>
      <c r="H180" s="6" t="s">
        <v>9</v>
      </c>
      <c r="I180" s="6" t="s">
        <v>9</v>
      </c>
      <c r="J180" s="5"/>
      <c r="K180" s="5">
        <v>23848</v>
      </c>
      <c r="L180" s="5">
        <v>21750</v>
      </c>
      <c r="M180" s="5">
        <v>12352</v>
      </c>
      <c r="N180" s="5">
        <v>30637</v>
      </c>
      <c r="O180" s="5">
        <v>10983</v>
      </c>
      <c r="P180" s="5">
        <v>9477</v>
      </c>
      <c r="Q180" s="5"/>
      <c r="R180" s="5"/>
      <c r="S180" s="5"/>
      <c r="T180" s="5"/>
      <c r="U180" s="5"/>
      <c r="V180" s="5"/>
      <c r="W180" s="5"/>
      <c r="X180" s="5"/>
      <c r="Y180" s="5"/>
    </row>
    <row r="181" spans="1:39">
      <c r="A181" s="20" t="s">
        <v>182</v>
      </c>
      <c r="B181" s="5"/>
      <c r="C181" s="5"/>
      <c r="D181" s="5"/>
      <c r="E181" s="5"/>
      <c r="F181" s="5"/>
      <c r="G181" s="5"/>
      <c r="H181" s="6" t="s">
        <v>9</v>
      </c>
      <c r="I181" s="6" t="s">
        <v>9</v>
      </c>
      <c r="J181" s="5"/>
      <c r="K181" s="5">
        <v>12851</v>
      </c>
      <c r="L181" s="5">
        <v>12862</v>
      </c>
      <c r="M181" s="5">
        <v>7111</v>
      </c>
      <c r="N181" s="5">
        <v>17579</v>
      </c>
      <c r="O181" s="5">
        <v>5614</v>
      </c>
      <c r="P181" s="5">
        <v>5292</v>
      </c>
      <c r="Q181" s="5"/>
      <c r="R181" s="5"/>
      <c r="S181" s="5"/>
      <c r="T181" s="5"/>
      <c r="U181" s="5"/>
      <c r="V181" s="5"/>
      <c r="W181" s="5"/>
      <c r="X181" s="5"/>
      <c r="Y181" s="5"/>
    </row>
    <row r="182" spans="1:39">
      <c r="A182" s="17" t="s">
        <v>183</v>
      </c>
      <c r="B182" s="18">
        <v>78483</v>
      </c>
      <c r="C182" s="18">
        <v>3486</v>
      </c>
      <c r="D182" s="18">
        <v>2355</v>
      </c>
      <c r="E182" s="18"/>
      <c r="F182" s="18"/>
      <c r="G182" s="18"/>
      <c r="H182" s="19" t="s">
        <v>9</v>
      </c>
      <c r="I182" s="19" t="s">
        <v>9</v>
      </c>
      <c r="J182" s="5"/>
      <c r="K182" s="18"/>
      <c r="L182" s="18"/>
      <c r="M182" s="18"/>
      <c r="N182" s="18"/>
      <c r="O182" s="18"/>
      <c r="P182" s="18"/>
      <c r="Q182" s="18"/>
      <c r="R182" s="18"/>
      <c r="S182" s="18"/>
      <c r="T182" s="18"/>
      <c r="U182" s="18"/>
      <c r="V182" s="18"/>
      <c r="W182" s="18"/>
      <c r="X182" s="18"/>
      <c r="Y182" s="18"/>
      <c r="AA182" s="37">
        <f t="shared" ref="AA182:AC183" si="3">B182</f>
        <v>78483</v>
      </c>
      <c r="AB182" s="37">
        <f t="shared" si="3"/>
        <v>3486</v>
      </c>
      <c r="AC182" s="37">
        <f t="shared" si="3"/>
        <v>2355</v>
      </c>
      <c r="AE182" s="39"/>
      <c r="AF182" s="39"/>
      <c r="AG182" s="39"/>
      <c r="AI182" s="38">
        <f>C182/B182*1000</f>
        <v>44.417262337066624</v>
      </c>
      <c r="AJ182" s="38">
        <f>D182/B182*1000</f>
        <v>30.006498222545009</v>
      </c>
      <c r="AL182" s="38"/>
      <c r="AM182" s="38"/>
    </row>
    <row r="183" spans="1:39">
      <c r="A183" s="17" t="s">
        <v>184</v>
      </c>
      <c r="B183" s="18">
        <v>357365</v>
      </c>
      <c r="C183" s="18">
        <v>11937</v>
      </c>
      <c r="D183" s="18">
        <v>8253</v>
      </c>
      <c r="E183" s="18"/>
      <c r="F183" s="18"/>
      <c r="G183" s="18"/>
      <c r="H183" s="19">
        <v>33.4</v>
      </c>
      <c r="I183" s="19">
        <v>23.1</v>
      </c>
      <c r="J183" s="5"/>
      <c r="K183" s="18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  <c r="Y183" s="18"/>
      <c r="AA183" s="37">
        <f t="shared" si="3"/>
        <v>357365</v>
      </c>
      <c r="AB183" s="37">
        <f t="shared" si="3"/>
        <v>11937</v>
      </c>
      <c r="AC183" s="37">
        <f t="shared" si="3"/>
        <v>8253</v>
      </c>
      <c r="AE183" s="39"/>
      <c r="AF183" s="39"/>
      <c r="AG183" s="39"/>
      <c r="AI183" s="38">
        <f>C183/B183*1000</f>
        <v>33.402823443817944</v>
      </c>
      <c r="AJ183" s="38">
        <f>D183/B183*1000</f>
        <v>23.094035509912832</v>
      </c>
      <c r="AL183" s="38">
        <f>AI183-H183</f>
        <v>2.8234438179453036E-3</v>
      </c>
      <c r="AM183" s="38">
        <f>AJ183-I183</f>
        <v>-5.9644900871695938E-3</v>
      </c>
    </row>
    <row r="184" spans="1:39">
      <c r="A184" s="17" t="s">
        <v>185</v>
      </c>
      <c r="B184" s="18">
        <v>2381697</v>
      </c>
      <c r="C184" s="18">
        <v>112080</v>
      </c>
      <c r="D184" s="18">
        <v>72617</v>
      </c>
      <c r="E184" s="18">
        <v>229909</v>
      </c>
      <c r="F184" s="18">
        <v>7276</v>
      </c>
      <c r="G184" s="18">
        <v>5129</v>
      </c>
      <c r="H184" s="19">
        <v>47.1</v>
      </c>
      <c r="I184" s="19">
        <v>30.5</v>
      </c>
      <c r="J184" s="5"/>
      <c r="K184" s="18">
        <v>173519</v>
      </c>
      <c r="L184" s="18">
        <v>145687</v>
      </c>
      <c r="M184" s="18">
        <v>142098</v>
      </c>
      <c r="N184" s="18">
        <v>143199</v>
      </c>
      <c r="O184" s="18">
        <v>133825</v>
      </c>
      <c r="P184" s="18">
        <v>164735</v>
      </c>
      <c r="Q184" s="18">
        <v>139928</v>
      </c>
      <c r="R184" s="18">
        <v>141100</v>
      </c>
      <c r="S184" s="18">
        <v>144210</v>
      </c>
      <c r="T184" s="18">
        <v>183446</v>
      </c>
      <c r="U184" s="18">
        <v>183092</v>
      </c>
      <c r="V184" s="18">
        <v>144254</v>
      </c>
      <c r="W184" s="18">
        <v>165154</v>
      </c>
      <c r="X184" s="18">
        <v>181101</v>
      </c>
      <c r="Y184" s="18">
        <v>196349</v>
      </c>
      <c r="AA184" s="37">
        <f>SUM(K184:Y184)</f>
        <v>2381697</v>
      </c>
      <c r="AB184" s="37">
        <f>SUM(K185:Y185)</f>
        <v>112082</v>
      </c>
      <c r="AC184" s="37">
        <f>SUM(K186:Y186)</f>
        <v>72617</v>
      </c>
      <c r="AE184" s="37">
        <f>AA184-B184</f>
        <v>0</v>
      </c>
      <c r="AF184" s="37">
        <f>AB184-C184</f>
        <v>2</v>
      </c>
      <c r="AG184" s="37">
        <f>AC184-D184</f>
        <v>0</v>
      </c>
      <c r="AI184" s="38">
        <f>C184/B184*1000</f>
        <v>47.058882804991569</v>
      </c>
      <c r="AJ184" s="38">
        <f>D184/B184*1000</f>
        <v>30.489604681032052</v>
      </c>
      <c r="AL184" s="38">
        <f>AI184-H184</f>
        <v>-4.1117195008432361E-2</v>
      </c>
      <c r="AM184" s="38">
        <f>AJ184-I184</f>
        <v>-1.0395318967947986E-2</v>
      </c>
    </row>
    <row r="185" spans="1:39">
      <c r="A185" s="20" t="s">
        <v>186</v>
      </c>
      <c r="B185" s="5"/>
      <c r="C185" s="5"/>
      <c r="D185" s="5"/>
      <c r="E185" s="5"/>
      <c r="F185" s="5"/>
      <c r="G185" s="5"/>
      <c r="H185" s="6" t="s">
        <v>9</v>
      </c>
      <c r="I185" s="6" t="s">
        <v>9</v>
      </c>
      <c r="J185" s="5"/>
      <c r="K185" s="5">
        <v>7104</v>
      </c>
      <c r="L185" s="5">
        <v>7198</v>
      </c>
      <c r="M185" s="5">
        <v>6327</v>
      </c>
      <c r="N185" s="5">
        <v>7747</v>
      </c>
      <c r="O185" s="5">
        <v>6172</v>
      </c>
      <c r="P185" s="5">
        <v>7559</v>
      </c>
      <c r="Q185" s="5">
        <v>6137</v>
      </c>
      <c r="R185" s="5">
        <v>7531</v>
      </c>
      <c r="S185" s="5">
        <v>6379</v>
      </c>
      <c r="T185" s="5">
        <v>8701</v>
      </c>
      <c r="U185" s="5">
        <v>8021</v>
      </c>
      <c r="V185" s="5">
        <v>7965</v>
      </c>
      <c r="W185" s="5">
        <v>7758</v>
      </c>
      <c r="X185" s="5">
        <v>7432</v>
      </c>
      <c r="Y185" s="5">
        <v>10051</v>
      </c>
    </row>
    <row r="186" spans="1:39">
      <c r="A186" s="20" t="s">
        <v>187</v>
      </c>
      <c r="B186" s="5"/>
      <c r="C186" s="5"/>
      <c r="D186" s="5"/>
      <c r="E186" s="5"/>
      <c r="F186" s="5"/>
      <c r="G186" s="5"/>
      <c r="H186" s="6" t="s">
        <v>9</v>
      </c>
      <c r="I186" s="6" t="s">
        <v>9</v>
      </c>
      <c r="J186" s="5"/>
      <c r="K186" s="5">
        <v>4924</v>
      </c>
      <c r="L186" s="5">
        <v>5380</v>
      </c>
      <c r="M186" s="5">
        <v>4777</v>
      </c>
      <c r="N186" s="5">
        <v>4301</v>
      </c>
      <c r="O186" s="5">
        <v>4515</v>
      </c>
      <c r="P186" s="5">
        <v>4935</v>
      </c>
      <c r="Q186" s="5">
        <v>4322</v>
      </c>
      <c r="R186" s="5">
        <v>3928</v>
      </c>
      <c r="S186" s="5">
        <v>4673</v>
      </c>
      <c r="T186" s="5">
        <v>4873</v>
      </c>
      <c r="U186" s="5">
        <v>5197</v>
      </c>
      <c r="V186" s="5">
        <v>5113</v>
      </c>
      <c r="W186" s="5">
        <v>5278</v>
      </c>
      <c r="X186" s="5">
        <v>4606</v>
      </c>
      <c r="Y186" s="5">
        <v>5795</v>
      </c>
    </row>
    <row r="187" spans="1:39">
      <c r="A187" s="17" t="s">
        <v>188</v>
      </c>
      <c r="B187" s="18">
        <v>1191644</v>
      </c>
      <c r="C187" s="18">
        <v>45809</v>
      </c>
      <c r="D187" s="18">
        <v>39259</v>
      </c>
      <c r="E187" s="18">
        <v>159315</v>
      </c>
      <c r="F187" s="18">
        <v>5377</v>
      </c>
      <c r="G187" s="18">
        <v>5216</v>
      </c>
      <c r="H187" s="19">
        <v>38.6</v>
      </c>
      <c r="I187" s="19">
        <v>33.200000000000003</v>
      </c>
      <c r="J187" s="5"/>
      <c r="K187" s="18">
        <v>236017</v>
      </c>
      <c r="L187" s="18">
        <v>68404</v>
      </c>
      <c r="M187" s="18">
        <v>69071</v>
      </c>
      <c r="N187" s="18">
        <v>134399</v>
      </c>
      <c r="O187" s="18">
        <v>97179</v>
      </c>
      <c r="P187" s="18">
        <v>118337</v>
      </c>
      <c r="Q187" s="18">
        <v>80205</v>
      </c>
      <c r="R187" s="18">
        <v>170669</v>
      </c>
      <c r="S187" s="18">
        <v>101153</v>
      </c>
      <c r="T187" s="18">
        <v>116200</v>
      </c>
      <c r="U187" s="18"/>
      <c r="V187" s="18"/>
      <c r="W187" s="18"/>
      <c r="X187" s="18"/>
      <c r="Y187" s="18"/>
      <c r="AA187" s="37">
        <f>SUM(K187:Y187)</f>
        <v>1191634</v>
      </c>
      <c r="AB187" s="37">
        <f>SUM(K188:Y188)</f>
        <v>45809</v>
      </c>
      <c r="AC187" s="37">
        <f>SUM(K189:Y189)</f>
        <v>39259</v>
      </c>
      <c r="AE187" s="37">
        <f>AA187-B187</f>
        <v>-10</v>
      </c>
      <c r="AF187" s="37">
        <f>AB187-C187</f>
        <v>0</v>
      </c>
      <c r="AG187" s="37">
        <f>AC187-D187</f>
        <v>0</v>
      </c>
      <c r="AI187" s="38">
        <f>C187/B187*1000</f>
        <v>38.441850082742832</v>
      </c>
      <c r="AJ187" s="38">
        <f>D187/B187*1000</f>
        <v>32.945242035372985</v>
      </c>
      <c r="AL187" s="38">
        <f>AI187-H187</f>
        <v>-0.15814991725716965</v>
      </c>
      <c r="AM187" s="38">
        <f>AJ187-I187</f>
        <v>-0.25475796462701794</v>
      </c>
    </row>
    <row r="188" spans="1:39">
      <c r="A188" s="20" t="s">
        <v>189</v>
      </c>
      <c r="B188" s="5"/>
      <c r="C188" s="5"/>
      <c r="D188" s="5"/>
      <c r="E188" s="5"/>
      <c r="F188" s="5"/>
      <c r="G188" s="5"/>
      <c r="H188" s="6" t="s">
        <v>9</v>
      </c>
      <c r="I188" s="6" t="s">
        <v>9</v>
      </c>
      <c r="J188" s="5"/>
      <c r="K188" s="5">
        <v>8982</v>
      </c>
      <c r="L188" s="5">
        <v>2575</v>
      </c>
      <c r="M188" s="5">
        <v>2490</v>
      </c>
      <c r="N188" s="5">
        <v>5749</v>
      </c>
      <c r="O188" s="5">
        <v>3834</v>
      </c>
      <c r="P188" s="5">
        <v>4515</v>
      </c>
      <c r="Q188" s="5">
        <v>3007</v>
      </c>
      <c r="R188" s="5">
        <v>6857</v>
      </c>
      <c r="S188" s="5">
        <v>3686</v>
      </c>
      <c r="T188" s="5">
        <v>4114</v>
      </c>
      <c r="U188" s="5"/>
      <c r="V188" s="5"/>
      <c r="W188" s="5"/>
      <c r="X188" s="5"/>
      <c r="Y188" s="5"/>
    </row>
    <row r="189" spans="1:39">
      <c r="A189" s="20" t="s">
        <v>190</v>
      </c>
      <c r="B189" s="5"/>
      <c r="C189" s="5"/>
      <c r="D189" s="5"/>
      <c r="E189" s="5"/>
      <c r="F189" s="5"/>
      <c r="G189" s="5"/>
      <c r="H189" s="6" t="s">
        <v>9</v>
      </c>
      <c r="I189" s="6" t="s">
        <v>9</v>
      </c>
      <c r="J189" s="5"/>
      <c r="K189" s="5">
        <v>7776</v>
      </c>
      <c r="L189" s="5">
        <v>2372</v>
      </c>
      <c r="M189" s="5">
        <v>2124</v>
      </c>
      <c r="N189" s="5">
        <v>4393</v>
      </c>
      <c r="O189" s="5">
        <v>3308</v>
      </c>
      <c r="P189" s="5">
        <v>3514</v>
      </c>
      <c r="Q189" s="5">
        <v>2875</v>
      </c>
      <c r="R189" s="5">
        <v>6382</v>
      </c>
      <c r="S189" s="5">
        <v>3032</v>
      </c>
      <c r="T189" s="5">
        <v>3483</v>
      </c>
      <c r="U189" s="5"/>
      <c r="V189" s="5"/>
      <c r="W189" s="5"/>
      <c r="X189" s="5"/>
      <c r="Y189" s="5"/>
    </row>
    <row r="190" spans="1:39">
      <c r="A190" s="21" t="s">
        <v>191</v>
      </c>
      <c r="B190" s="22">
        <v>68297644</v>
      </c>
      <c r="C190" s="22">
        <v>3341449</v>
      </c>
      <c r="D190" s="22">
        <v>2859617</v>
      </c>
      <c r="E190" s="22"/>
      <c r="F190" s="22"/>
      <c r="G190" s="22"/>
      <c r="H190" s="23">
        <v>48.5</v>
      </c>
      <c r="I190" s="23">
        <v>34.700000000000003</v>
      </c>
      <c r="J190" s="5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AA190" s="43">
        <f>SUM(AA84:AA189)</f>
        <v>68336489</v>
      </c>
      <c r="AB190" s="43">
        <f>SUM(AB84:AB189)</f>
        <v>3329702</v>
      </c>
      <c r="AC190" s="43">
        <f>SUM(AC84:AC189)</f>
        <v>2426048</v>
      </c>
      <c r="AE190" s="43">
        <f t="shared" ref="AE190:AG191" si="4">AA190-B190</f>
        <v>38845</v>
      </c>
      <c r="AF190" s="43">
        <f t="shared" si="4"/>
        <v>-11747</v>
      </c>
      <c r="AG190" s="43">
        <f t="shared" si="4"/>
        <v>-433569</v>
      </c>
      <c r="AI190" s="44">
        <f>C190/B190*1000</f>
        <v>48.924806249539145</v>
      </c>
      <c r="AJ190" s="44">
        <f>D190/B190*1000</f>
        <v>41.8699216037379</v>
      </c>
      <c r="AL190" s="44">
        <f>AI190-H190</f>
        <v>0.42480624953914514</v>
      </c>
      <c r="AM190" s="44">
        <f>AJ190-I190</f>
        <v>7.1699216037378974</v>
      </c>
    </row>
    <row r="191" spans="1:39">
      <c r="A191" s="17" t="s">
        <v>192</v>
      </c>
      <c r="B191" s="18">
        <v>2267947</v>
      </c>
      <c r="C191" s="18">
        <v>135496</v>
      </c>
      <c r="D191" s="18">
        <v>88366</v>
      </c>
      <c r="E191" s="24" t="s">
        <v>9</v>
      </c>
      <c r="F191" s="24" t="s">
        <v>9</v>
      </c>
      <c r="G191" s="24" t="s">
        <v>9</v>
      </c>
      <c r="H191" s="25">
        <v>59.7</v>
      </c>
      <c r="I191" s="25">
        <v>39</v>
      </c>
      <c r="J191" s="11"/>
      <c r="K191" s="18">
        <v>184733</v>
      </c>
      <c r="L191" s="18">
        <v>241056</v>
      </c>
      <c r="M191" s="18">
        <v>203709</v>
      </c>
      <c r="N191" s="18">
        <v>419262</v>
      </c>
      <c r="O191" s="18">
        <v>330769</v>
      </c>
      <c r="P191" s="18">
        <v>56503</v>
      </c>
      <c r="Q191" s="18">
        <v>395246</v>
      </c>
      <c r="R191" s="18">
        <v>222288</v>
      </c>
      <c r="S191" s="18">
        <v>214381</v>
      </c>
      <c r="T191" s="18"/>
      <c r="U191" s="18"/>
      <c r="V191" s="18"/>
      <c r="W191" s="18"/>
      <c r="X191" s="18"/>
      <c r="Y191" s="18"/>
      <c r="AA191" s="37">
        <f>SUM(K191:Y191)</f>
        <v>2267947</v>
      </c>
      <c r="AB191" s="37">
        <f>SUM(K192:Y192)</f>
        <v>135496</v>
      </c>
      <c r="AC191" s="37">
        <f>SUM(K193:Y193)</f>
        <v>88366</v>
      </c>
      <c r="AE191" s="37">
        <f t="shared" si="4"/>
        <v>0</v>
      </c>
      <c r="AF191" s="37">
        <f t="shared" si="4"/>
        <v>0</v>
      </c>
      <c r="AG191" s="37">
        <f t="shared" si="4"/>
        <v>0</v>
      </c>
      <c r="AI191" s="38">
        <f>C191/B191*1000</f>
        <v>59.743900540885662</v>
      </c>
      <c r="AJ191" s="38">
        <f>D191/B191*1000</f>
        <v>38.962991639575357</v>
      </c>
      <c r="AL191" s="38">
        <f>AI191-H191</f>
        <v>4.3900540885658756E-2</v>
      </c>
      <c r="AM191" s="38">
        <f>AJ191-I191</f>
        <v>-3.7008360424643172E-2</v>
      </c>
    </row>
    <row r="192" spans="1:39">
      <c r="A192" s="20" t="s">
        <v>193</v>
      </c>
      <c r="B192" s="5"/>
      <c r="C192" s="5"/>
      <c r="D192" s="5"/>
      <c r="E192" s="5"/>
      <c r="F192" s="5"/>
      <c r="G192" s="5"/>
      <c r="H192" s="6" t="s">
        <v>9</v>
      </c>
      <c r="I192" s="6" t="s">
        <v>9</v>
      </c>
      <c r="J192" s="5"/>
      <c r="K192" s="5">
        <v>14025</v>
      </c>
      <c r="L192" s="5">
        <v>15761</v>
      </c>
      <c r="M192" s="5">
        <v>10397</v>
      </c>
      <c r="N192" s="5">
        <v>27099</v>
      </c>
      <c r="O192" s="5">
        <v>18859</v>
      </c>
      <c r="P192" s="5">
        <v>2992</v>
      </c>
      <c r="Q192" s="5">
        <v>22237</v>
      </c>
      <c r="R192" s="5">
        <v>11859</v>
      </c>
      <c r="S192" s="5">
        <v>12267</v>
      </c>
      <c r="T192" s="5"/>
      <c r="U192" s="5"/>
      <c r="V192" s="5"/>
      <c r="W192" s="5"/>
      <c r="X192" s="5"/>
      <c r="Y192" s="5"/>
    </row>
    <row r="193" spans="1:39">
      <c r="A193" s="20" t="s">
        <v>194</v>
      </c>
      <c r="B193" s="5"/>
      <c r="C193" s="5"/>
      <c r="D193" s="5"/>
      <c r="E193" s="5"/>
      <c r="F193" s="5"/>
      <c r="G193" s="5"/>
      <c r="H193" s="6" t="s">
        <v>9</v>
      </c>
      <c r="I193" s="6" t="s">
        <v>9</v>
      </c>
      <c r="J193" s="5"/>
      <c r="K193" s="5">
        <v>9885</v>
      </c>
      <c r="L193" s="5">
        <v>8264</v>
      </c>
      <c r="M193" s="5">
        <v>5900</v>
      </c>
      <c r="N193" s="5">
        <v>16937</v>
      </c>
      <c r="O193" s="5">
        <v>13024</v>
      </c>
      <c r="P193" s="5">
        <v>1889</v>
      </c>
      <c r="Q193" s="5">
        <v>15096</v>
      </c>
      <c r="R193" s="5">
        <v>6876</v>
      </c>
      <c r="S193" s="5">
        <v>10495</v>
      </c>
      <c r="T193" s="5"/>
      <c r="U193" s="5"/>
      <c r="V193" s="5"/>
      <c r="W193" s="5"/>
      <c r="X193" s="5"/>
      <c r="Y193" s="5"/>
    </row>
    <row r="194" spans="1:39">
      <c r="A194" s="21" t="s">
        <v>195</v>
      </c>
      <c r="B194" s="22">
        <v>104656890</v>
      </c>
      <c r="C194" s="22">
        <v>4916253</v>
      </c>
      <c r="D194" s="22">
        <v>3835455</v>
      </c>
      <c r="E194" s="22"/>
      <c r="F194" s="22"/>
      <c r="G194" s="22"/>
      <c r="H194" s="23">
        <v>47.1</v>
      </c>
      <c r="I194" s="23">
        <v>32.5</v>
      </c>
      <c r="J194" s="5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AA194" s="45">
        <f>SUM(AA41, AA83, AA73, AA190, AA191)</f>
        <v>104577725</v>
      </c>
      <c r="AB194" s="45">
        <f>SUM(AB41, AB83, AB73, AB190, AB191)</f>
        <v>4918532</v>
      </c>
      <c r="AC194" s="45">
        <f>SUM(AC41, AC83, AC73, AC190, AC191)</f>
        <v>3435421</v>
      </c>
      <c r="AE194" s="43">
        <f t="shared" ref="AE194:AG195" si="5">AA194-B194</f>
        <v>-79165</v>
      </c>
      <c r="AF194" s="43">
        <f t="shared" si="5"/>
        <v>2279</v>
      </c>
      <c r="AG194" s="43">
        <f t="shared" si="5"/>
        <v>-400034</v>
      </c>
      <c r="AI194" s="44">
        <f>C194/B194*1000</f>
        <v>46.974957883804883</v>
      </c>
      <c r="AJ194" s="44">
        <f>D194/B194*1000</f>
        <v>36.647897716050998</v>
      </c>
      <c r="AL194" s="44">
        <f>AI194-H194</f>
        <v>-0.12504211619511807</v>
      </c>
      <c r="AM194" s="44">
        <f>AJ194-I194</f>
        <v>4.1478977160509984</v>
      </c>
    </row>
    <row r="195" spans="1:39">
      <c r="A195" s="17" t="s">
        <v>196</v>
      </c>
      <c r="B195" s="18">
        <v>817571</v>
      </c>
      <c r="C195" s="18">
        <v>17107</v>
      </c>
      <c r="D195" s="18">
        <v>12644</v>
      </c>
      <c r="E195" s="18">
        <v>172851</v>
      </c>
      <c r="F195" s="18">
        <v>3433</v>
      </c>
      <c r="G195" s="18">
        <v>2814</v>
      </c>
      <c r="H195" s="19">
        <v>21</v>
      </c>
      <c r="I195" s="19">
        <v>16</v>
      </c>
      <c r="J195" s="5"/>
      <c r="K195" s="18">
        <v>198447</v>
      </c>
      <c r="L195" s="18">
        <v>81508</v>
      </c>
      <c r="M195" s="18">
        <v>102728</v>
      </c>
      <c r="N195" s="18">
        <v>184584</v>
      </c>
      <c r="O195" s="18">
        <v>129816</v>
      </c>
      <c r="P195" s="18">
        <v>120488</v>
      </c>
      <c r="Q195" s="18"/>
      <c r="R195" s="18"/>
      <c r="S195" s="18"/>
      <c r="T195" s="18"/>
      <c r="U195" s="18"/>
      <c r="V195" s="18"/>
      <c r="W195" s="18"/>
      <c r="X195" s="18"/>
      <c r="Y195" s="18"/>
      <c r="AA195" s="37">
        <f>SUM(K195:Y195)</f>
        <v>817571</v>
      </c>
      <c r="AB195" s="37">
        <f>SUM(K196:Y196)</f>
        <v>17107</v>
      </c>
      <c r="AC195" s="37">
        <f>SUM(K197:Y197)</f>
        <v>12644</v>
      </c>
      <c r="AE195" s="37">
        <f t="shared" si="5"/>
        <v>0</v>
      </c>
      <c r="AF195" s="37">
        <f t="shared" si="5"/>
        <v>0</v>
      </c>
      <c r="AG195" s="37">
        <f t="shared" si="5"/>
        <v>0</v>
      </c>
      <c r="AI195" s="38">
        <f>C195/B195*1000</f>
        <v>20.924176615853547</v>
      </c>
      <c r="AJ195" s="38">
        <f>D195/B195*1000</f>
        <v>15.465323500955881</v>
      </c>
      <c r="AL195" s="38">
        <f>AI195-H195</f>
        <v>-7.5823384146453066E-2</v>
      </c>
      <c r="AM195" s="38">
        <f>AJ195-I195</f>
        <v>-0.53467649904411907</v>
      </c>
    </row>
    <row r="196" spans="1:39">
      <c r="A196" s="20" t="s">
        <v>197</v>
      </c>
      <c r="B196" s="5"/>
      <c r="C196" s="5"/>
      <c r="D196" s="5"/>
      <c r="E196" s="5"/>
      <c r="F196" s="5"/>
      <c r="G196" s="5"/>
      <c r="H196" s="6" t="s">
        <v>9</v>
      </c>
      <c r="I196" s="6" t="s">
        <v>9</v>
      </c>
      <c r="J196" s="5"/>
      <c r="K196" s="5">
        <v>3190</v>
      </c>
      <c r="L196" s="5">
        <v>2901</v>
      </c>
      <c r="M196" s="5">
        <v>1157</v>
      </c>
      <c r="N196" s="5">
        <v>4929</v>
      </c>
      <c r="O196" s="5">
        <v>1616</v>
      </c>
      <c r="P196" s="5">
        <v>3314</v>
      </c>
      <c r="Q196" s="5"/>
      <c r="R196" s="5"/>
      <c r="S196" s="5"/>
      <c r="T196" s="5"/>
      <c r="U196" s="5"/>
      <c r="V196" s="5"/>
      <c r="W196" s="5"/>
      <c r="X196" s="5"/>
      <c r="Y196" s="5"/>
    </row>
    <row r="197" spans="1:39">
      <c r="A197" s="20" t="s">
        <v>198</v>
      </c>
      <c r="B197" s="5"/>
      <c r="C197" s="5"/>
      <c r="D197" s="5"/>
      <c r="E197" s="5"/>
      <c r="F197" s="5"/>
      <c r="G197" s="5"/>
      <c r="H197" s="6" t="s">
        <v>9</v>
      </c>
      <c r="I197" s="6" t="s">
        <v>9</v>
      </c>
      <c r="J197" s="5"/>
      <c r="K197" s="5">
        <v>2479</v>
      </c>
      <c r="L197" s="5">
        <v>2163</v>
      </c>
      <c r="M197" s="5">
        <v>765</v>
      </c>
      <c r="N197" s="5">
        <v>4351</v>
      </c>
      <c r="O197" s="5">
        <v>1038</v>
      </c>
      <c r="P197" s="5">
        <v>1848</v>
      </c>
      <c r="Q197" s="5"/>
      <c r="R197" s="5"/>
      <c r="S197" s="5"/>
      <c r="T197" s="5"/>
      <c r="U197" s="5"/>
      <c r="V197" s="5"/>
      <c r="W197" s="5"/>
      <c r="X197" s="5"/>
      <c r="Y197" s="5"/>
    </row>
    <row r="198" spans="1:39">
      <c r="A198" s="17" t="s">
        <v>199</v>
      </c>
      <c r="B198" s="18">
        <v>598915</v>
      </c>
      <c r="C198" s="18">
        <v>14596</v>
      </c>
      <c r="D198" s="18">
        <v>11377</v>
      </c>
      <c r="E198" s="18">
        <v>19671</v>
      </c>
      <c r="F198" s="18">
        <v>850</v>
      </c>
      <c r="G198" s="18">
        <v>644</v>
      </c>
      <c r="H198" s="19" t="s">
        <v>9</v>
      </c>
      <c r="I198" s="19" t="s">
        <v>9</v>
      </c>
      <c r="J198" s="5"/>
      <c r="K198" s="18">
        <v>82018</v>
      </c>
      <c r="L198" s="18">
        <v>34903</v>
      </c>
      <c r="M198" s="18">
        <v>50240</v>
      </c>
      <c r="N198" s="18">
        <v>60766</v>
      </c>
      <c r="O198" s="18">
        <v>80440</v>
      </c>
      <c r="P198" s="18">
        <v>52563</v>
      </c>
      <c r="Q198" s="18">
        <v>76458</v>
      </c>
      <c r="R198" s="18">
        <v>79612</v>
      </c>
      <c r="S198" s="18">
        <v>81915</v>
      </c>
      <c r="T198" s="18"/>
      <c r="U198" s="18"/>
      <c r="V198" s="18"/>
      <c r="W198" s="18"/>
      <c r="X198" s="18"/>
      <c r="Y198" s="18"/>
      <c r="AA198" s="37">
        <f>SUM(K198:Y198)</f>
        <v>598915</v>
      </c>
      <c r="AB198" s="37">
        <f>SUM(K199:Y199)</f>
        <v>14596</v>
      </c>
      <c r="AC198" s="37">
        <f>SUM(K200:Y200)</f>
        <v>11377</v>
      </c>
      <c r="AE198" s="37">
        <f>AA198-B198</f>
        <v>0</v>
      </c>
      <c r="AF198" s="37">
        <f>AB198-C198</f>
        <v>0</v>
      </c>
      <c r="AG198" s="37">
        <f>AC198-D198</f>
        <v>0</v>
      </c>
      <c r="AI198" s="38">
        <f>C198/B198*1000</f>
        <v>24.370737082891562</v>
      </c>
      <c r="AJ198" s="38">
        <f>D198/B198*1000</f>
        <v>18.996017798852925</v>
      </c>
      <c r="AL198" s="38"/>
      <c r="AM198" s="38"/>
    </row>
    <row r="199" spans="1:39">
      <c r="A199" s="20" t="s">
        <v>200</v>
      </c>
      <c r="B199" s="5"/>
      <c r="C199" s="5"/>
      <c r="D199" s="5"/>
      <c r="E199" s="5"/>
      <c r="F199" s="5"/>
      <c r="G199" s="5"/>
      <c r="H199" s="6" t="s">
        <v>9</v>
      </c>
      <c r="I199" s="6" t="s">
        <v>9</v>
      </c>
      <c r="J199" s="5"/>
      <c r="K199" s="5">
        <v>2153</v>
      </c>
      <c r="L199" s="5">
        <v>596</v>
      </c>
      <c r="M199" s="5">
        <v>1538</v>
      </c>
      <c r="N199" s="5">
        <v>1358</v>
      </c>
      <c r="O199" s="5">
        <v>1857</v>
      </c>
      <c r="P199" s="5">
        <v>1627</v>
      </c>
      <c r="Q199" s="5">
        <v>1610</v>
      </c>
      <c r="R199" s="5">
        <v>2016</v>
      </c>
      <c r="S199" s="5">
        <v>1841</v>
      </c>
      <c r="T199" s="5"/>
      <c r="U199" s="5"/>
      <c r="V199" s="5"/>
      <c r="W199" s="5"/>
      <c r="X199" s="5"/>
      <c r="Y199" s="5"/>
    </row>
    <row r="200" spans="1:39">
      <c r="A200" s="20" t="s">
        <v>201</v>
      </c>
      <c r="B200" s="5"/>
      <c r="C200" s="5"/>
      <c r="D200" s="5"/>
      <c r="E200" s="5"/>
      <c r="F200" s="5"/>
      <c r="G200" s="5"/>
      <c r="H200" s="6" t="s">
        <v>9</v>
      </c>
      <c r="I200" s="6" t="s">
        <v>9</v>
      </c>
      <c r="J200" s="5"/>
      <c r="K200" s="5">
        <v>1676</v>
      </c>
      <c r="L200" s="5">
        <v>474</v>
      </c>
      <c r="M200" s="5">
        <v>972</v>
      </c>
      <c r="N200" s="5">
        <v>945</v>
      </c>
      <c r="O200" s="5">
        <v>1671</v>
      </c>
      <c r="P200" s="5">
        <v>1124</v>
      </c>
      <c r="Q200" s="5">
        <v>1469</v>
      </c>
      <c r="R200" s="5">
        <v>1148</v>
      </c>
      <c r="S200" s="5">
        <v>1898</v>
      </c>
      <c r="T200" s="5"/>
      <c r="U200" s="5"/>
      <c r="V200" s="5"/>
      <c r="W200" s="5"/>
      <c r="X200" s="5"/>
      <c r="Y200" s="5"/>
    </row>
    <row r="201" spans="1:39">
      <c r="A201" s="26" t="s">
        <v>202</v>
      </c>
      <c r="B201" s="27">
        <v>70892</v>
      </c>
      <c r="C201" s="27">
        <v>3752</v>
      </c>
      <c r="D201" s="27">
        <v>3320</v>
      </c>
      <c r="E201" s="27">
        <v>2517</v>
      </c>
      <c r="F201" s="27">
        <v>108</v>
      </c>
      <c r="G201" s="27">
        <v>47</v>
      </c>
      <c r="H201" s="28" t="s">
        <v>9</v>
      </c>
      <c r="I201" s="28" t="s">
        <v>9</v>
      </c>
      <c r="J201" s="5"/>
      <c r="K201" s="27"/>
      <c r="L201" s="27"/>
      <c r="M201" s="27"/>
      <c r="N201" s="27"/>
      <c r="O201" s="27"/>
      <c r="P201" s="27"/>
      <c r="Q201" s="27"/>
      <c r="R201" s="27"/>
      <c r="S201" s="27"/>
      <c r="T201" s="27"/>
      <c r="U201" s="27"/>
      <c r="V201" s="27"/>
      <c r="W201" s="27"/>
      <c r="X201" s="27"/>
      <c r="Y201" s="27"/>
      <c r="AA201" s="37">
        <f>B201</f>
        <v>70892</v>
      </c>
      <c r="AB201" s="37">
        <f>C201</f>
        <v>3752</v>
      </c>
      <c r="AC201" s="37">
        <f>D201</f>
        <v>3320</v>
      </c>
      <c r="AE201" s="39"/>
      <c r="AF201" s="39"/>
      <c r="AG201" s="39"/>
      <c r="AI201" s="38">
        <f>C201/B201*1000</f>
        <v>52.925576933927665</v>
      </c>
      <c r="AJ201" s="38">
        <f>D201/B201*1000</f>
        <v>46.831800485245161</v>
      </c>
      <c r="AL201" s="38"/>
      <c r="AM201" s="38"/>
    </row>
    <row r="202" spans="1:39">
      <c r="A202" s="26" t="s">
        <v>203</v>
      </c>
      <c r="B202" s="27">
        <v>827879</v>
      </c>
      <c r="C202" s="27">
        <v>21773</v>
      </c>
      <c r="D202" s="27">
        <v>12900</v>
      </c>
      <c r="E202" s="27">
        <v>88111</v>
      </c>
      <c r="F202" s="27">
        <v>2439</v>
      </c>
      <c r="G202" s="27">
        <v>1558</v>
      </c>
      <c r="H202" s="28">
        <v>23.4</v>
      </c>
      <c r="I202" s="28">
        <v>14</v>
      </c>
      <c r="J202" s="5"/>
      <c r="K202" s="27">
        <v>144597</v>
      </c>
      <c r="L202" s="27">
        <v>60092</v>
      </c>
      <c r="M202" s="27">
        <v>54757</v>
      </c>
      <c r="N202" s="27">
        <v>61486</v>
      </c>
      <c r="O202" s="27">
        <v>138486</v>
      </c>
      <c r="P202" s="27">
        <v>99948</v>
      </c>
      <c r="Q202" s="27">
        <v>120749</v>
      </c>
      <c r="R202" s="27">
        <v>147764</v>
      </c>
      <c r="S202" s="27"/>
      <c r="T202" s="27"/>
      <c r="U202" s="27"/>
      <c r="V202" s="27"/>
      <c r="W202" s="27"/>
      <c r="X202" s="27"/>
      <c r="Y202" s="27"/>
      <c r="AA202" s="37">
        <f>SUM(K202:Y202)</f>
        <v>827879</v>
      </c>
      <c r="AB202" s="37">
        <f>SUM(K203:Y203)</f>
        <v>21773</v>
      </c>
      <c r="AC202" s="37">
        <f>SUM(K204:Y204)</f>
        <v>12898</v>
      </c>
      <c r="AE202" s="37">
        <f>AA202-B202</f>
        <v>0</v>
      </c>
      <c r="AF202" s="37">
        <f>AB202-C202</f>
        <v>0</v>
      </c>
      <c r="AG202" s="37">
        <f>AC202-D202</f>
        <v>-2</v>
      </c>
      <c r="AI202" s="38">
        <f>C202/B202*1000</f>
        <v>26.299737038866791</v>
      </c>
      <c r="AJ202" s="38">
        <f>D202/B202*1000</f>
        <v>15.581987222770477</v>
      </c>
      <c r="AL202" s="38">
        <f>AI202-H202</f>
        <v>2.8997370388667925</v>
      </c>
      <c r="AM202" s="38">
        <f>AJ202-I202</f>
        <v>1.5819872227704774</v>
      </c>
    </row>
    <row r="203" spans="1:39">
      <c r="A203" s="4" t="s">
        <v>204</v>
      </c>
      <c r="B203" s="5"/>
      <c r="C203" s="5"/>
      <c r="D203" s="5"/>
      <c r="E203" s="5"/>
      <c r="F203" s="5"/>
      <c r="G203" s="5"/>
      <c r="H203" s="6" t="s">
        <v>9</v>
      </c>
      <c r="I203" s="6" t="s">
        <v>9</v>
      </c>
      <c r="J203" s="5"/>
      <c r="K203" s="5">
        <v>3207</v>
      </c>
      <c r="L203" s="5">
        <v>1850</v>
      </c>
      <c r="M203" s="5">
        <v>1203</v>
      </c>
      <c r="N203" s="5">
        <v>1318</v>
      </c>
      <c r="O203" s="5">
        <v>3485</v>
      </c>
      <c r="P203" s="5">
        <v>3624</v>
      </c>
      <c r="Q203" s="5">
        <v>3946</v>
      </c>
      <c r="R203" s="5">
        <v>3140</v>
      </c>
      <c r="S203" s="5"/>
      <c r="T203" s="5"/>
      <c r="U203" s="5"/>
      <c r="V203" s="5"/>
      <c r="W203" s="5"/>
      <c r="X203" s="5"/>
      <c r="Y203" s="5"/>
    </row>
    <row r="204" spans="1:39">
      <c r="A204" s="4" t="s">
        <v>205</v>
      </c>
      <c r="B204" s="5"/>
      <c r="C204" s="5"/>
      <c r="D204" s="5"/>
      <c r="E204" s="5"/>
      <c r="F204" s="5"/>
      <c r="G204" s="5"/>
      <c r="H204" s="6" t="s">
        <v>9</v>
      </c>
      <c r="I204" s="6" t="s">
        <v>9</v>
      </c>
      <c r="J204" s="5"/>
      <c r="K204" s="5">
        <v>1548</v>
      </c>
      <c r="L204" s="5">
        <v>1325</v>
      </c>
      <c r="M204" s="5">
        <v>585</v>
      </c>
      <c r="N204" s="5">
        <v>901</v>
      </c>
      <c r="O204" s="5">
        <v>1535</v>
      </c>
      <c r="P204" s="5">
        <v>1809</v>
      </c>
      <c r="Q204" s="5">
        <v>3579</v>
      </c>
      <c r="R204" s="5">
        <v>1616</v>
      </c>
      <c r="S204" s="5"/>
      <c r="T204" s="5"/>
      <c r="U204" s="5"/>
      <c r="V204" s="5"/>
      <c r="W204" s="5"/>
      <c r="X204" s="5"/>
      <c r="Y204" s="5"/>
    </row>
    <row r="205" spans="1:39">
      <c r="A205" s="26" t="s">
        <v>206</v>
      </c>
      <c r="B205" s="27">
        <v>216249</v>
      </c>
      <c r="C205" s="27">
        <v>7715</v>
      </c>
      <c r="D205" s="27">
        <v>3561</v>
      </c>
      <c r="E205" s="27">
        <v>4710</v>
      </c>
      <c r="F205" s="27">
        <v>211</v>
      </c>
      <c r="G205" s="27">
        <v>150</v>
      </c>
      <c r="H205" s="28" t="s">
        <v>9</v>
      </c>
      <c r="I205" s="28" t="s">
        <v>9</v>
      </c>
      <c r="J205" s="5"/>
      <c r="K205" s="27">
        <v>99355</v>
      </c>
      <c r="L205" s="27">
        <v>51021</v>
      </c>
      <c r="M205" s="27">
        <v>41830</v>
      </c>
      <c r="N205" s="27">
        <v>24043</v>
      </c>
      <c r="O205" s="27"/>
      <c r="P205" s="27"/>
      <c r="Q205" s="27"/>
      <c r="R205" s="27"/>
      <c r="S205" s="27"/>
      <c r="T205" s="27"/>
      <c r="U205" s="27"/>
      <c r="V205" s="27"/>
      <c r="W205" s="27"/>
      <c r="X205" s="27"/>
      <c r="Y205" s="27"/>
      <c r="AA205" s="37">
        <f>SUM(K205:Y205)</f>
        <v>216249</v>
      </c>
      <c r="AB205" s="37">
        <f>SUM(K206:Y206)</f>
        <v>7715</v>
      </c>
      <c r="AC205" s="37">
        <f>SUM(K207:Y207)</f>
        <v>3561</v>
      </c>
      <c r="AE205" s="37">
        <f>AA205-B205</f>
        <v>0</v>
      </c>
      <c r="AF205" s="37">
        <f>AB205-C205</f>
        <v>0</v>
      </c>
      <c r="AG205" s="37">
        <f>AC205-D205</f>
        <v>0</v>
      </c>
      <c r="AI205" s="38">
        <f>C205/B205*1000</f>
        <v>35.676465555910085</v>
      </c>
      <c r="AJ205" s="38">
        <f>D205/B205*1000</f>
        <v>16.46712817169097</v>
      </c>
      <c r="AL205" s="38"/>
      <c r="AM205" s="38"/>
    </row>
    <row r="206" spans="1:39">
      <c r="A206" s="4" t="s">
        <v>207</v>
      </c>
      <c r="B206" s="5"/>
      <c r="C206" s="5"/>
      <c r="D206" s="5"/>
      <c r="E206" s="5"/>
      <c r="F206" s="5"/>
      <c r="G206" s="5"/>
      <c r="H206" s="6" t="s">
        <v>9</v>
      </c>
      <c r="I206" s="6" t="s">
        <v>9</v>
      </c>
      <c r="J206" s="5"/>
      <c r="K206" s="5">
        <v>3697</v>
      </c>
      <c r="L206" s="5">
        <v>1604</v>
      </c>
      <c r="M206" s="5">
        <v>1557</v>
      </c>
      <c r="N206" s="5">
        <v>857</v>
      </c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 spans="1:39">
      <c r="A207" s="4" t="s">
        <v>208</v>
      </c>
      <c r="B207" s="5"/>
      <c r="C207" s="5"/>
      <c r="D207" s="5"/>
      <c r="E207" s="5"/>
      <c r="F207" s="5"/>
      <c r="G207" s="5"/>
      <c r="H207" s="6" t="s">
        <v>9</v>
      </c>
      <c r="I207" s="6" t="s">
        <v>9</v>
      </c>
      <c r="J207" s="5"/>
      <c r="K207" s="5">
        <v>1647</v>
      </c>
      <c r="L207" s="5">
        <v>641</v>
      </c>
      <c r="M207" s="5">
        <v>851</v>
      </c>
      <c r="N207" s="5">
        <v>422</v>
      </c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 spans="1:39">
      <c r="A208" s="26" t="s">
        <v>209</v>
      </c>
      <c r="B208" s="27">
        <v>1693581</v>
      </c>
      <c r="C208" s="27">
        <v>110986</v>
      </c>
      <c r="D208" s="27">
        <v>74990</v>
      </c>
      <c r="E208" s="27">
        <v>202201</v>
      </c>
      <c r="F208" s="27">
        <v>7852</v>
      </c>
      <c r="G208" s="27">
        <v>5127</v>
      </c>
      <c r="H208" s="28">
        <v>55.3</v>
      </c>
      <c r="I208" s="28">
        <v>41.8</v>
      </c>
      <c r="J208" s="5"/>
      <c r="K208" s="27">
        <v>235735</v>
      </c>
      <c r="L208" s="27">
        <v>184372</v>
      </c>
      <c r="M208" s="27">
        <v>248388</v>
      </c>
      <c r="N208" s="27">
        <v>208530</v>
      </c>
      <c r="O208" s="27">
        <v>227234</v>
      </c>
      <c r="P208" s="27">
        <v>258697</v>
      </c>
      <c r="Q208" s="27">
        <v>270274</v>
      </c>
      <c r="R208" s="27">
        <v>60851</v>
      </c>
      <c r="S208" s="27"/>
      <c r="T208" s="27"/>
      <c r="U208" s="27"/>
      <c r="V208" s="27"/>
      <c r="W208" s="27"/>
      <c r="X208" s="27"/>
      <c r="Y208" s="27"/>
      <c r="AA208" s="37">
        <f>SUM(K208:Y208)</f>
        <v>1694081</v>
      </c>
      <c r="AB208" s="37">
        <f>SUM(K209:Y209)</f>
        <v>110986</v>
      </c>
      <c r="AC208" s="37">
        <f>SUM(K210:Y210)</f>
        <v>74990</v>
      </c>
      <c r="AE208" s="37">
        <f>AA208-B208</f>
        <v>500</v>
      </c>
      <c r="AF208" s="37">
        <f>AB208-C208</f>
        <v>0</v>
      </c>
      <c r="AG208" s="37">
        <f>AC208-D208</f>
        <v>0</v>
      </c>
      <c r="AI208" s="38">
        <f>C208/B208*1000</f>
        <v>65.533328491521814</v>
      </c>
      <c r="AJ208" s="38">
        <f>D208/B208*1000</f>
        <v>44.278956837612135</v>
      </c>
      <c r="AL208" s="38">
        <f>AI208-H208</f>
        <v>10.233328491521817</v>
      </c>
      <c r="AM208" s="38">
        <f>AJ208-I208</f>
        <v>2.478956837612138</v>
      </c>
    </row>
    <row r="209" spans="1:39">
      <c r="A209" s="4" t="s">
        <v>210</v>
      </c>
      <c r="B209" s="5"/>
      <c r="C209" s="5"/>
      <c r="D209" s="5"/>
      <c r="E209" s="5"/>
      <c r="F209" s="5"/>
      <c r="G209" s="5"/>
      <c r="H209" s="6" t="s">
        <v>9</v>
      </c>
      <c r="I209" s="6" t="s">
        <v>9</v>
      </c>
      <c r="J209" s="5"/>
      <c r="K209" s="5">
        <v>13496</v>
      </c>
      <c r="L209" s="5">
        <v>11454</v>
      </c>
      <c r="M209" s="5">
        <v>15722</v>
      </c>
      <c r="N209" s="5">
        <v>15787</v>
      </c>
      <c r="O209" s="5">
        <v>20314</v>
      </c>
      <c r="P209" s="5">
        <v>13688</v>
      </c>
      <c r="Q209" s="5">
        <v>18487</v>
      </c>
      <c r="R209" s="5">
        <v>2038</v>
      </c>
      <c r="S209" s="5"/>
      <c r="T209" s="5"/>
      <c r="U209" s="5"/>
      <c r="V209" s="5"/>
      <c r="W209" s="5"/>
      <c r="X209" s="5"/>
      <c r="Y209" s="5"/>
    </row>
    <row r="210" spans="1:39">
      <c r="A210" s="4" t="s">
        <v>211</v>
      </c>
      <c r="B210" s="5"/>
      <c r="C210" s="5"/>
      <c r="D210" s="5"/>
      <c r="E210" s="5"/>
      <c r="F210" s="5"/>
      <c r="G210" s="5"/>
      <c r="H210" s="6" t="s">
        <v>9</v>
      </c>
      <c r="I210" s="6" t="s">
        <v>9</v>
      </c>
      <c r="J210" s="5"/>
      <c r="K210" s="5">
        <v>9604</v>
      </c>
      <c r="L210" s="5">
        <v>6611</v>
      </c>
      <c r="M210" s="5">
        <v>9415</v>
      </c>
      <c r="N210" s="5">
        <v>11154</v>
      </c>
      <c r="O210" s="5">
        <v>17087</v>
      </c>
      <c r="P210" s="5">
        <v>10649</v>
      </c>
      <c r="Q210" s="5">
        <v>9038</v>
      </c>
      <c r="R210" s="5">
        <v>1432</v>
      </c>
      <c r="S210" s="5"/>
      <c r="T210" s="5"/>
      <c r="U210" s="5"/>
      <c r="V210" s="5"/>
      <c r="W210" s="5"/>
      <c r="X210" s="5"/>
      <c r="Y210" s="5"/>
    </row>
    <row r="211" spans="1:39">
      <c r="A211" s="26" t="s">
        <v>212</v>
      </c>
      <c r="B211" s="27">
        <v>1088321</v>
      </c>
      <c r="C211" s="27">
        <v>32163</v>
      </c>
      <c r="D211" s="27">
        <v>17530</v>
      </c>
      <c r="E211" s="27">
        <v>49684</v>
      </c>
      <c r="F211" s="27">
        <v>1645</v>
      </c>
      <c r="G211" s="27">
        <v>952</v>
      </c>
      <c r="H211" s="28">
        <v>29.6</v>
      </c>
      <c r="I211" s="28">
        <v>16.100000000000001</v>
      </c>
      <c r="J211" s="5"/>
      <c r="K211" s="27">
        <v>204164</v>
      </c>
      <c r="L211" s="27">
        <v>54715</v>
      </c>
      <c r="M211" s="27">
        <v>73335</v>
      </c>
      <c r="N211" s="27">
        <v>110913</v>
      </c>
      <c r="O211" s="27">
        <v>51910</v>
      </c>
      <c r="P211" s="27">
        <v>87230</v>
      </c>
      <c r="Q211" s="27">
        <v>75155</v>
      </c>
      <c r="R211" s="27">
        <v>113930</v>
      </c>
      <c r="S211" s="27">
        <v>130019</v>
      </c>
      <c r="T211" s="27">
        <v>186950</v>
      </c>
      <c r="U211" s="27"/>
      <c r="V211" s="27"/>
      <c r="W211" s="27"/>
      <c r="X211" s="27"/>
      <c r="Y211" s="27"/>
      <c r="AA211" s="37">
        <f>SUM(K211:Y211)</f>
        <v>1088321</v>
      </c>
      <c r="AB211" s="37">
        <f>SUM(K212:Y212)</f>
        <v>32163</v>
      </c>
      <c r="AC211" s="37">
        <f>SUM(K213:Y213)</f>
        <v>17530</v>
      </c>
      <c r="AE211" s="37">
        <f>AA211-B211</f>
        <v>0</v>
      </c>
      <c r="AF211" s="37">
        <f>AB211-C211</f>
        <v>0</v>
      </c>
      <c r="AG211" s="37">
        <f>AC211-D211</f>
        <v>0</v>
      </c>
      <c r="AI211" s="38">
        <f>C211/B211*1000</f>
        <v>29.552861701648688</v>
      </c>
      <c r="AJ211" s="38">
        <f>D211/B211*1000</f>
        <v>16.107380083633412</v>
      </c>
      <c r="AL211" s="38">
        <f>AI211-H211</f>
        <v>-4.7138298351313779E-2</v>
      </c>
      <c r="AM211" s="38">
        <f>AJ211-I211</f>
        <v>7.3800836334108055E-3</v>
      </c>
    </row>
    <row r="212" spans="1:39">
      <c r="A212" s="4" t="s">
        <v>213</v>
      </c>
      <c r="B212" s="5"/>
      <c r="C212" s="5"/>
      <c r="D212" s="5"/>
      <c r="E212" s="5"/>
      <c r="F212" s="5"/>
      <c r="G212" s="5"/>
      <c r="H212" s="6" t="s">
        <v>9</v>
      </c>
      <c r="I212" s="6" t="s">
        <v>9</v>
      </c>
      <c r="J212" s="5"/>
      <c r="K212" s="5">
        <v>6518</v>
      </c>
      <c r="L212" s="5">
        <v>1926</v>
      </c>
      <c r="M212" s="5">
        <v>1633</v>
      </c>
      <c r="N212" s="5">
        <v>3177</v>
      </c>
      <c r="O212" s="5">
        <v>1503</v>
      </c>
      <c r="P212" s="5">
        <v>3195</v>
      </c>
      <c r="Q212" s="5">
        <v>2368</v>
      </c>
      <c r="R212" s="5">
        <v>3674</v>
      </c>
      <c r="S212" s="5">
        <v>3174</v>
      </c>
      <c r="T212" s="5">
        <v>4995</v>
      </c>
      <c r="U212" s="5"/>
      <c r="V212" s="5"/>
      <c r="W212" s="5"/>
      <c r="X212" s="5"/>
      <c r="Y212" s="5"/>
    </row>
    <row r="213" spans="1:39">
      <c r="A213" s="4" t="s">
        <v>214</v>
      </c>
      <c r="B213" s="5"/>
      <c r="C213" s="5"/>
      <c r="D213" s="5"/>
      <c r="E213" s="5"/>
      <c r="F213" s="5"/>
      <c r="G213" s="5"/>
      <c r="H213" s="6" t="s">
        <v>9</v>
      </c>
      <c r="I213" s="6" t="s">
        <v>9</v>
      </c>
      <c r="J213" s="5"/>
      <c r="K213" s="5">
        <v>3048</v>
      </c>
      <c r="L213" s="5">
        <v>1743</v>
      </c>
      <c r="M213" s="5">
        <v>958</v>
      </c>
      <c r="N213" s="5">
        <v>1888</v>
      </c>
      <c r="O213" s="5">
        <v>838</v>
      </c>
      <c r="P213" s="5">
        <v>1371</v>
      </c>
      <c r="Q213" s="5">
        <v>1134</v>
      </c>
      <c r="R213" s="5">
        <v>2004</v>
      </c>
      <c r="S213" s="5">
        <v>2199</v>
      </c>
      <c r="T213" s="5">
        <v>2347</v>
      </c>
      <c r="U213" s="5"/>
      <c r="V213" s="5"/>
      <c r="W213" s="5"/>
      <c r="X213" s="5"/>
      <c r="Y213" s="5"/>
    </row>
    <row r="214" spans="1:39">
      <c r="A214" s="26" t="s">
        <v>215</v>
      </c>
      <c r="B214" s="27">
        <v>753355</v>
      </c>
      <c r="C214" s="27">
        <v>53625</v>
      </c>
      <c r="D214" s="27">
        <v>34085</v>
      </c>
      <c r="E214" s="27">
        <v>40690</v>
      </c>
      <c r="F214" s="27">
        <v>3140</v>
      </c>
      <c r="G214" s="27">
        <v>2286</v>
      </c>
      <c r="H214" s="28">
        <v>71.2</v>
      </c>
      <c r="I214" s="28">
        <v>43.8</v>
      </c>
      <c r="J214" s="5"/>
      <c r="K214" s="27">
        <v>149120</v>
      </c>
      <c r="L214" s="27">
        <v>154257</v>
      </c>
      <c r="M214" s="27">
        <v>185340</v>
      </c>
      <c r="N214" s="27">
        <v>215726</v>
      </c>
      <c r="O214" s="27">
        <v>48912</v>
      </c>
      <c r="P214" s="27"/>
      <c r="Q214" s="27"/>
      <c r="R214" s="27"/>
      <c r="S214" s="27"/>
      <c r="T214" s="27"/>
      <c r="U214" s="27"/>
      <c r="V214" s="27"/>
      <c r="W214" s="27"/>
      <c r="X214" s="27"/>
      <c r="Y214" s="27"/>
      <c r="AA214" s="37">
        <f>SUM(K214:Y214)</f>
        <v>753355</v>
      </c>
      <c r="AB214" s="37">
        <f>SUM(K215:Y215)</f>
        <v>53625</v>
      </c>
      <c r="AC214" s="37">
        <f>SUM(K216:Y216)</f>
        <v>34085</v>
      </c>
      <c r="AE214" s="37">
        <f>AA214-B214</f>
        <v>0</v>
      </c>
      <c r="AF214" s="37">
        <f>AB214-C214</f>
        <v>0</v>
      </c>
      <c r="AG214" s="37">
        <f>AC214-D214</f>
        <v>0</v>
      </c>
      <c r="AI214" s="38">
        <f>C214/B214*1000</f>
        <v>71.181581060721697</v>
      </c>
      <c r="AJ214" s="38">
        <f>D214/B214*1000</f>
        <v>45.244273947873175</v>
      </c>
      <c r="AL214" s="38">
        <f>AI214-H214</f>
        <v>-1.8418939278305402E-2</v>
      </c>
      <c r="AM214" s="38">
        <f>AJ214-I214</f>
        <v>1.4442739478731781</v>
      </c>
    </row>
    <row r="215" spans="1:39">
      <c r="A215" s="4" t="s">
        <v>216</v>
      </c>
      <c r="B215" s="5"/>
      <c r="C215" s="5"/>
      <c r="D215" s="5"/>
      <c r="E215" s="5"/>
      <c r="F215" s="5"/>
      <c r="G215" s="5"/>
      <c r="H215" s="6" t="s">
        <v>9</v>
      </c>
      <c r="I215" s="6" t="s">
        <v>9</v>
      </c>
      <c r="J215" s="5"/>
      <c r="K215" s="5">
        <v>10891</v>
      </c>
      <c r="L215" s="5">
        <v>10346</v>
      </c>
      <c r="M215" s="5">
        <v>15815</v>
      </c>
      <c r="N215" s="5">
        <v>15407</v>
      </c>
      <c r="O215" s="5">
        <v>1166</v>
      </c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 spans="1:39">
      <c r="A216" s="4" t="s">
        <v>217</v>
      </c>
      <c r="B216" s="5"/>
      <c r="C216" s="5"/>
      <c r="D216" s="5"/>
      <c r="E216" s="5"/>
      <c r="F216" s="5"/>
      <c r="G216" s="5"/>
      <c r="H216" s="6" t="s">
        <v>9</v>
      </c>
      <c r="I216" s="6" t="s">
        <v>9</v>
      </c>
      <c r="J216" s="5"/>
      <c r="K216" s="5">
        <v>7158</v>
      </c>
      <c r="L216" s="5">
        <v>6612</v>
      </c>
      <c r="M216" s="5">
        <v>10301</v>
      </c>
      <c r="N216" s="5">
        <v>9160</v>
      </c>
      <c r="O216" s="5">
        <v>854</v>
      </c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 spans="1:39">
      <c r="A217" s="26" t="s">
        <v>218</v>
      </c>
      <c r="B217" s="27">
        <v>845083</v>
      </c>
      <c r="C217" s="27">
        <v>30200</v>
      </c>
      <c r="D217" s="27">
        <v>18409</v>
      </c>
      <c r="E217" s="27">
        <v>106491</v>
      </c>
      <c r="F217" s="27">
        <v>4175</v>
      </c>
      <c r="G217" s="27">
        <v>2617</v>
      </c>
      <c r="H217" s="28">
        <v>36.1</v>
      </c>
      <c r="I217" s="28">
        <v>22</v>
      </c>
      <c r="J217" s="5"/>
      <c r="K217" s="27">
        <v>134098</v>
      </c>
      <c r="L217" s="27">
        <v>197892</v>
      </c>
      <c r="M217" s="27">
        <v>86838</v>
      </c>
      <c r="N217" s="27">
        <v>113364</v>
      </c>
      <c r="O217" s="27">
        <v>130450</v>
      </c>
      <c r="P217" s="27">
        <v>109707</v>
      </c>
      <c r="Q217" s="27">
        <v>72734</v>
      </c>
      <c r="R217" s="27"/>
      <c r="S217" s="27"/>
      <c r="T217" s="27"/>
      <c r="U217" s="27"/>
      <c r="V217" s="27"/>
      <c r="W217" s="27"/>
      <c r="X217" s="27"/>
      <c r="Y217" s="27"/>
      <c r="AA217" s="37">
        <f>SUM(K217:Y217)</f>
        <v>845083</v>
      </c>
      <c r="AB217" s="37">
        <f>SUM(K218:Y218)</f>
        <v>30200</v>
      </c>
      <c r="AC217" s="37">
        <f>SUM(K219:Y219)</f>
        <v>18409</v>
      </c>
      <c r="AE217" s="37">
        <f>AA217-B217</f>
        <v>0</v>
      </c>
      <c r="AF217" s="37">
        <f>AB217-C217</f>
        <v>0</v>
      </c>
      <c r="AG217" s="37">
        <f>AC217-D217</f>
        <v>0</v>
      </c>
      <c r="AI217" s="38">
        <f>C217/B217*1000</f>
        <v>35.736134793860487</v>
      </c>
      <c r="AJ217" s="38">
        <f>D217/B217*1000</f>
        <v>21.78365911987343</v>
      </c>
      <c r="AL217" s="38">
        <f>AI217-H217</f>
        <v>-0.3638652061395149</v>
      </c>
      <c r="AM217" s="38">
        <f>AJ217-I217</f>
        <v>-0.2163408801265696</v>
      </c>
    </row>
    <row r="218" spans="1:39">
      <c r="A218" s="4" t="s">
        <v>219</v>
      </c>
      <c r="B218" s="5"/>
      <c r="C218" s="5"/>
      <c r="D218" s="5"/>
      <c r="E218" s="5"/>
      <c r="F218" s="5"/>
      <c r="G218" s="5"/>
      <c r="H218" s="6" t="s">
        <v>9</v>
      </c>
      <c r="I218" s="6" t="s">
        <v>9</v>
      </c>
      <c r="J218" s="5"/>
      <c r="K218" s="5">
        <v>4566</v>
      </c>
      <c r="L218" s="5">
        <v>4080</v>
      </c>
      <c r="M218" s="5">
        <v>3726</v>
      </c>
      <c r="N218" s="5">
        <v>3301</v>
      </c>
      <c r="O218" s="5">
        <v>7868</v>
      </c>
      <c r="P218" s="5">
        <v>4147</v>
      </c>
      <c r="Q218" s="5">
        <v>2512</v>
      </c>
      <c r="R218" s="5"/>
      <c r="S218" s="5"/>
      <c r="T218" s="5"/>
      <c r="U218" s="5"/>
      <c r="V218" s="5"/>
      <c r="W218" s="5"/>
      <c r="X218" s="5"/>
      <c r="Y218" s="5"/>
    </row>
    <row r="219" spans="1:39">
      <c r="A219" s="4" t="s">
        <v>220</v>
      </c>
      <c r="B219" s="5"/>
      <c r="C219" s="5"/>
      <c r="D219" s="5"/>
      <c r="E219" s="5"/>
      <c r="F219" s="5"/>
      <c r="G219" s="5"/>
      <c r="H219" s="6" t="s">
        <v>9</v>
      </c>
      <c r="I219" s="6" t="s">
        <v>9</v>
      </c>
      <c r="J219" s="5"/>
      <c r="K219" s="5">
        <v>2336</v>
      </c>
      <c r="L219" s="5">
        <v>2937</v>
      </c>
      <c r="M219" s="5">
        <v>2209</v>
      </c>
      <c r="N219" s="5">
        <v>1598</v>
      </c>
      <c r="O219" s="5">
        <v>5092</v>
      </c>
      <c r="P219" s="5">
        <v>2566</v>
      </c>
      <c r="Q219" s="5">
        <v>1671</v>
      </c>
      <c r="R219" s="5"/>
      <c r="S219" s="5"/>
      <c r="T219" s="5"/>
      <c r="U219" s="5"/>
      <c r="V219" s="5"/>
      <c r="W219" s="5"/>
      <c r="X219" s="5"/>
      <c r="Y219" s="5"/>
    </row>
    <row r="220" spans="1:39">
      <c r="A220" s="26" t="s">
        <v>221</v>
      </c>
      <c r="B220" s="27">
        <v>986247</v>
      </c>
      <c r="C220" s="27">
        <v>32288</v>
      </c>
      <c r="D220" s="27">
        <v>20396</v>
      </c>
      <c r="E220" s="27">
        <v>162351</v>
      </c>
      <c r="F220" s="27">
        <v>4122</v>
      </c>
      <c r="G220" s="27">
        <v>3102</v>
      </c>
      <c r="H220" s="28">
        <v>32.700000000000003</v>
      </c>
      <c r="I220" s="28">
        <v>20.7</v>
      </c>
      <c r="J220" s="5"/>
      <c r="K220" s="27">
        <v>252072</v>
      </c>
      <c r="L220" s="27">
        <v>68958</v>
      </c>
      <c r="M220" s="27">
        <v>65183</v>
      </c>
      <c r="N220" s="27">
        <v>135766</v>
      </c>
      <c r="O220" s="27">
        <v>174987</v>
      </c>
      <c r="P220" s="27">
        <v>74988</v>
      </c>
      <c r="Q220" s="27">
        <v>107095</v>
      </c>
      <c r="R220" s="27">
        <v>71564</v>
      </c>
      <c r="S220" s="27">
        <v>35634</v>
      </c>
      <c r="T220" s="27"/>
      <c r="U220" s="27"/>
      <c r="V220" s="27"/>
      <c r="W220" s="27"/>
      <c r="X220" s="27"/>
      <c r="Y220" s="27"/>
      <c r="AA220" s="37">
        <f>SUM(K220:Y220)</f>
        <v>986247</v>
      </c>
      <c r="AB220" s="37">
        <f>SUM(K221:Y221)</f>
        <v>32288</v>
      </c>
      <c r="AC220" s="37">
        <f>SUM(K222:Y222)</f>
        <v>20396</v>
      </c>
      <c r="AE220" s="37">
        <f>AA220-B220</f>
        <v>0</v>
      </c>
      <c r="AF220" s="37">
        <f>AB220-C220</f>
        <v>0</v>
      </c>
      <c r="AG220" s="37">
        <f>AC220-D220</f>
        <v>0</v>
      </c>
      <c r="AI220" s="38">
        <f>C220/B220*1000</f>
        <v>32.738249140428309</v>
      </c>
      <c r="AJ220" s="38">
        <f>D220/B220*1000</f>
        <v>20.680417785808221</v>
      </c>
      <c r="AL220" s="38">
        <f>AI220-H220</f>
        <v>3.824914042830585E-2</v>
      </c>
      <c r="AM220" s="38">
        <f>AJ220-I220</f>
        <v>-1.9582214191778746E-2</v>
      </c>
    </row>
    <row r="221" spans="1:39">
      <c r="A221" s="4" t="s">
        <v>222</v>
      </c>
      <c r="B221" s="5"/>
      <c r="C221" s="5"/>
      <c r="D221" s="5"/>
      <c r="E221" s="5"/>
      <c r="F221" s="5"/>
      <c r="G221" s="5"/>
      <c r="H221" s="6" t="s">
        <v>9</v>
      </c>
      <c r="I221" s="6" t="s">
        <v>9</v>
      </c>
      <c r="J221" s="5"/>
      <c r="K221" s="5">
        <v>5761</v>
      </c>
      <c r="L221" s="5">
        <v>3135</v>
      </c>
      <c r="M221" s="5">
        <v>2333</v>
      </c>
      <c r="N221" s="5">
        <v>3857</v>
      </c>
      <c r="O221" s="5">
        <v>7003</v>
      </c>
      <c r="P221" s="5">
        <v>2621</v>
      </c>
      <c r="Q221" s="5">
        <v>3901</v>
      </c>
      <c r="R221" s="5">
        <v>2599</v>
      </c>
      <c r="S221" s="5">
        <v>1078</v>
      </c>
      <c r="T221" s="5"/>
      <c r="U221" s="5"/>
      <c r="V221" s="5"/>
      <c r="W221" s="5"/>
      <c r="X221" s="5"/>
      <c r="Y221" s="5"/>
    </row>
    <row r="222" spans="1:39">
      <c r="A222" s="4" t="s">
        <v>223</v>
      </c>
      <c r="B222" s="5"/>
      <c r="C222" s="5"/>
      <c r="D222" s="5"/>
      <c r="E222" s="5"/>
      <c r="F222" s="5"/>
      <c r="G222" s="5"/>
      <c r="H222" s="6" t="s">
        <v>9</v>
      </c>
      <c r="I222" s="6" t="s">
        <v>9</v>
      </c>
      <c r="J222" s="5"/>
      <c r="K222" s="5">
        <v>4096</v>
      </c>
      <c r="L222" s="5">
        <v>1982</v>
      </c>
      <c r="M222" s="5">
        <v>1209</v>
      </c>
      <c r="N222" s="5">
        <v>2191</v>
      </c>
      <c r="O222" s="5">
        <v>3900</v>
      </c>
      <c r="P222" s="5">
        <v>1582</v>
      </c>
      <c r="Q222" s="5">
        <v>2757</v>
      </c>
      <c r="R222" s="5">
        <v>1716</v>
      </c>
      <c r="S222" s="5">
        <v>963</v>
      </c>
      <c r="T222" s="5"/>
      <c r="U222" s="5"/>
      <c r="V222" s="5"/>
      <c r="W222" s="5"/>
      <c r="X222" s="5"/>
      <c r="Y222" s="5"/>
    </row>
    <row r="223" spans="1:39">
      <c r="A223" s="26" t="s">
        <v>224</v>
      </c>
      <c r="B223" s="27">
        <v>741690</v>
      </c>
      <c r="C223" s="27">
        <v>29619</v>
      </c>
      <c r="D223" s="27">
        <v>16257</v>
      </c>
      <c r="E223" s="27">
        <v>61048</v>
      </c>
      <c r="F223" s="27">
        <v>3578</v>
      </c>
      <c r="G223" s="27">
        <v>2149</v>
      </c>
      <c r="H223" s="28">
        <v>35.1</v>
      </c>
      <c r="I223" s="28">
        <v>19</v>
      </c>
      <c r="J223" s="5"/>
      <c r="K223" s="27">
        <v>118951</v>
      </c>
      <c r="L223" s="27">
        <v>155415</v>
      </c>
      <c r="M223" s="27">
        <v>95137</v>
      </c>
      <c r="N223" s="27">
        <v>120123</v>
      </c>
      <c r="O223" s="27">
        <v>68253</v>
      </c>
      <c r="P223" s="27">
        <v>79023</v>
      </c>
      <c r="Q223" s="27">
        <v>104788</v>
      </c>
      <c r="R223" s="27"/>
      <c r="S223" s="27"/>
      <c r="T223" s="27"/>
      <c r="U223" s="27"/>
      <c r="V223" s="27"/>
      <c r="W223" s="27"/>
      <c r="X223" s="27"/>
      <c r="Y223" s="27"/>
      <c r="AA223" s="37">
        <f>SUM(K223:Y223)</f>
        <v>741690</v>
      </c>
      <c r="AB223" s="37">
        <f>SUM(K224:Y224)</f>
        <v>29619</v>
      </c>
      <c r="AC223" s="37">
        <f>SUM(K225:Y225)</f>
        <v>16257</v>
      </c>
      <c r="AE223" s="37">
        <f>AA223-B223</f>
        <v>0</v>
      </c>
      <c r="AF223" s="37">
        <f>AB223-C223</f>
        <v>0</v>
      </c>
      <c r="AG223" s="37">
        <f>AC223-D223</f>
        <v>0</v>
      </c>
      <c r="AI223" s="38">
        <f>C223/B223*1000</f>
        <v>39.934473971605385</v>
      </c>
      <c r="AJ223" s="38">
        <f>D223/B223*1000</f>
        <v>21.918860979654571</v>
      </c>
      <c r="AL223" s="38">
        <f>AI223-H223</f>
        <v>4.8344739716053837</v>
      </c>
      <c r="AM223" s="38">
        <f>AJ223-I223</f>
        <v>2.9188609796545713</v>
      </c>
    </row>
    <row r="224" spans="1:39">
      <c r="A224" s="4" t="s">
        <v>225</v>
      </c>
      <c r="B224" s="5"/>
      <c r="C224" s="5"/>
      <c r="D224" s="5"/>
      <c r="E224" s="5"/>
      <c r="F224" s="5"/>
      <c r="G224" s="5"/>
      <c r="H224" s="6" t="s">
        <v>9</v>
      </c>
      <c r="I224" s="6" t="s">
        <v>9</v>
      </c>
      <c r="J224" s="5"/>
      <c r="K224" s="5">
        <v>4078</v>
      </c>
      <c r="L224" s="5">
        <v>6141</v>
      </c>
      <c r="M224" s="5">
        <v>4767</v>
      </c>
      <c r="N224" s="5">
        <v>5584</v>
      </c>
      <c r="O224" s="5">
        <v>1318</v>
      </c>
      <c r="P224" s="5">
        <v>2881</v>
      </c>
      <c r="Q224" s="5">
        <v>4850</v>
      </c>
      <c r="R224" s="5"/>
      <c r="S224" s="5"/>
      <c r="T224" s="5"/>
      <c r="U224" s="5"/>
      <c r="V224" s="5"/>
      <c r="W224" s="5"/>
      <c r="X224" s="5"/>
      <c r="Y224" s="5"/>
    </row>
    <row r="225" spans="1:39">
      <c r="A225" s="4" t="s">
        <v>226</v>
      </c>
      <c r="B225" s="5"/>
      <c r="C225" s="5"/>
      <c r="D225" s="5"/>
      <c r="E225" s="5"/>
      <c r="F225" s="5"/>
      <c r="G225" s="5"/>
      <c r="H225" s="6" t="s">
        <v>9</v>
      </c>
      <c r="I225" s="6" t="s">
        <v>9</v>
      </c>
      <c r="J225" s="5"/>
      <c r="K225" s="5">
        <v>3058</v>
      </c>
      <c r="L225" s="5">
        <v>3524</v>
      </c>
      <c r="M225" s="5">
        <v>2453</v>
      </c>
      <c r="N225" s="5">
        <v>1972</v>
      </c>
      <c r="O225" s="5">
        <v>577</v>
      </c>
      <c r="P225" s="5">
        <v>1537</v>
      </c>
      <c r="Q225" s="5">
        <v>3136</v>
      </c>
      <c r="R225" s="5"/>
      <c r="S225" s="5"/>
      <c r="T225" s="5"/>
      <c r="U225" s="5"/>
      <c r="V225" s="5"/>
      <c r="W225" s="5"/>
      <c r="X225" s="5"/>
      <c r="Y225" s="5"/>
    </row>
    <row r="226" spans="1:39">
      <c r="A226" s="29" t="s">
        <v>227</v>
      </c>
      <c r="B226" s="30">
        <v>8599598</v>
      </c>
      <c r="C226" s="30">
        <v>347817</v>
      </c>
      <c r="D226" s="30">
        <v>221762</v>
      </c>
      <c r="E226" s="30"/>
      <c r="F226" s="30"/>
      <c r="G226" s="30"/>
      <c r="H226" s="31">
        <v>41.3</v>
      </c>
      <c r="I226" s="31">
        <v>26.1</v>
      </c>
      <c r="J226" s="5"/>
      <c r="K226" s="30"/>
      <c r="L226" s="30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AA226" s="43">
        <f>SUM(AA195:AA225)</f>
        <v>8640283</v>
      </c>
      <c r="AB226" s="43">
        <f>SUM(AB195:AB225)</f>
        <v>353824</v>
      </c>
      <c r="AC226" s="43">
        <f>SUM(AC195:AC225)</f>
        <v>225467</v>
      </c>
      <c r="AE226" s="43">
        <f>AA226-B226</f>
        <v>40685</v>
      </c>
      <c r="AF226" s="43">
        <f>AB226-C226</f>
        <v>6007</v>
      </c>
      <c r="AG226" s="43">
        <f>AC226-D226</f>
        <v>3705</v>
      </c>
      <c r="AI226" s="44">
        <f>C226/B226*1000</f>
        <v>40.445727811927959</v>
      </c>
      <c r="AJ226" s="44">
        <f>D226/B226*1000</f>
        <v>25.787484484739871</v>
      </c>
      <c r="AL226" s="44">
        <f t="shared" ref="AL226:AM228" si="6">AI226-H226</f>
        <v>-0.85427218807203786</v>
      </c>
      <c r="AM226" s="44">
        <f t="shared" si="6"/>
        <v>-0.31251551526013088</v>
      </c>
    </row>
    <row r="227" spans="1:39">
      <c r="A227" s="32" t="s">
        <v>228</v>
      </c>
      <c r="B227" s="33">
        <v>81356</v>
      </c>
      <c r="C227" s="33">
        <v>3883</v>
      </c>
      <c r="D227" s="33">
        <v>2078</v>
      </c>
      <c r="E227" s="33" t="s">
        <v>9</v>
      </c>
      <c r="F227" s="33" t="s">
        <v>9</v>
      </c>
      <c r="G227" s="33" t="s">
        <v>9</v>
      </c>
      <c r="H227" s="34">
        <v>48.5</v>
      </c>
      <c r="I227" s="34">
        <v>26</v>
      </c>
      <c r="J227" s="5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AA227" s="37">
        <f>B227</f>
        <v>81356</v>
      </c>
      <c r="AB227" s="37">
        <f>C227</f>
        <v>3883</v>
      </c>
      <c r="AC227" s="37">
        <f>D227</f>
        <v>2078</v>
      </c>
      <c r="AE227" s="39"/>
      <c r="AF227" s="39"/>
      <c r="AG227" s="39"/>
      <c r="AI227" s="38">
        <f>C227/B227*1000</f>
        <v>47.728501892915091</v>
      </c>
      <c r="AJ227" s="38">
        <f>D227/B227*1000</f>
        <v>25.542062048281625</v>
      </c>
      <c r="AL227" s="38">
        <f t="shared" si="6"/>
        <v>-0.77149810708490918</v>
      </c>
      <c r="AM227" s="38">
        <f t="shared" si="6"/>
        <v>-0.45793795171837459</v>
      </c>
    </row>
    <row r="228" spans="1:39">
      <c r="A228" s="32" t="s">
        <v>229</v>
      </c>
      <c r="B228" s="33">
        <v>547633</v>
      </c>
      <c r="C228" s="33">
        <v>28171</v>
      </c>
      <c r="D228" s="33">
        <v>22551</v>
      </c>
      <c r="E228" s="33">
        <v>55086</v>
      </c>
      <c r="F228" s="33">
        <v>2194</v>
      </c>
      <c r="G228" s="33">
        <v>2625</v>
      </c>
      <c r="H228" s="34">
        <v>52</v>
      </c>
      <c r="I228" s="34">
        <v>41.6</v>
      </c>
      <c r="J228" s="5"/>
      <c r="K228" s="33">
        <v>97562</v>
      </c>
      <c r="L228" s="33">
        <v>104964</v>
      </c>
      <c r="M228" s="33">
        <v>76804</v>
      </c>
      <c r="N228" s="33">
        <v>85678</v>
      </c>
      <c r="O228" s="33">
        <v>169961</v>
      </c>
      <c r="P228" s="33">
        <v>12664</v>
      </c>
      <c r="Q228" s="33"/>
      <c r="R228" s="33"/>
      <c r="S228" s="33"/>
      <c r="T228" s="33"/>
      <c r="U228" s="33"/>
      <c r="V228" s="33"/>
      <c r="W228" s="33"/>
      <c r="X228" s="33"/>
      <c r="Y228" s="33"/>
      <c r="AA228" s="37">
        <f>SUM(K228:Y228)</f>
        <v>547633</v>
      </c>
      <c r="AB228" s="37">
        <f>SUM(K229:Y229)</f>
        <v>28171</v>
      </c>
      <c r="AC228" s="37">
        <f>SUM(K230:Y230)</f>
        <v>22551</v>
      </c>
      <c r="AE228" s="37">
        <f>AA228-B228</f>
        <v>0</v>
      </c>
      <c r="AF228" s="37">
        <f>AB228-C228</f>
        <v>0</v>
      </c>
      <c r="AG228" s="37">
        <f>AC228-D228</f>
        <v>0</v>
      </c>
      <c r="AI228" s="38">
        <f>C228/B228*1000</f>
        <v>51.441385015147006</v>
      </c>
      <c r="AJ228" s="38">
        <f>D228/B228*1000</f>
        <v>41.179037786254661</v>
      </c>
      <c r="AL228" s="38">
        <f t="shared" si="6"/>
        <v>-0.55861498485299421</v>
      </c>
      <c r="AM228" s="38">
        <f t="shared" si="6"/>
        <v>-0.42096221374534082</v>
      </c>
    </row>
    <row r="229" spans="1:39">
      <c r="A229" s="4" t="s">
        <v>230</v>
      </c>
      <c r="B229" s="5"/>
      <c r="C229" s="5"/>
      <c r="D229" s="5"/>
      <c r="E229" s="5"/>
      <c r="F229" s="5"/>
      <c r="G229" s="5"/>
      <c r="H229" s="6" t="s">
        <v>9</v>
      </c>
      <c r="I229" s="6" t="s">
        <v>9</v>
      </c>
      <c r="J229" s="5"/>
      <c r="K229" s="5">
        <v>4412</v>
      </c>
      <c r="L229" s="5">
        <v>5505</v>
      </c>
      <c r="M229" s="5">
        <v>3163</v>
      </c>
      <c r="N229" s="5">
        <v>4674</v>
      </c>
      <c r="O229" s="5">
        <v>10027</v>
      </c>
      <c r="P229" s="5">
        <v>390</v>
      </c>
      <c r="Q229" s="5"/>
      <c r="R229" s="5"/>
      <c r="S229" s="5"/>
      <c r="T229" s="5"/>
      <c r="U229" s="5"/>
      <c r="V229" s="5"/>
      <c r="W229" s="5"/>
      <c r="X229" s="5"/>
      <c r="Y229" s="5"/>
    </row>
    <row r="230" spans="1:39">
      <c r="A230" s="4" t="s">
        <v>231</v>
      </c>
      <c r="B230" s="5"/>
      <c r="C230" s="5"/>
      <c r="D230" s="5"/>
      <c r="E230" s="5"/>
      <c r="F230" s="5"/>
      <c r="G230" s="5"/>
      <c r="H230" s="6" t="s">
        <v>9</v>
      </c>
      <c r="I230" s="6" t="s">
        <v>9</v>
      </c>
      <c r="J230" s="5"/>
      <c r="K230" s="5">
        <v>4385</v>
      </c>
      <c r="L230" s="5">
        <v>4285</v>
      </c>
      <c r="M230" s="5">
        <v>2883</v>
      </c>
      <c r="N230" s="5">
        <v>3838</v>
      </c>
      <c r="O230" s="5">
        <v>6922</v>
      </c>
      <c r="P230" s="5">
        <v>238</v>
      </c>
      <c r="Q230" s="5"/>
      <c r="R230" s="5"/>
      <c r="S230" s="5"/>
      <c r="T230" s="5"/>
      <c r="U230" s="5"/>
      <c r="V230" s="5"/>
      <c r="W230" s="5"/>
      <c r="X230" s="5"/>
      <c r="Y230" s="5"/>
    </row>
    <row r="231" spans="1:39">
      <c r="A231" s="32" t="s">
        <v>232</v>
      </c>
      <c r="B231" s="33">
        <v>609748</v>
      </c>
      <c r="C231" s="33">
        <v>24504</v>
      </c>
      <c r="D231" s="33">
        <v>15653</v>
      </c>
      <c r="E231" s="33" t="s">
        <v>9</v>
      </c>
      <c r="F231" s="33" t="s">
        <v>9</v>
      </c>
      <c r="G231" s="33" t="s">
        <v>9</v>
      </c>
      <c r="H231" s="34">
        <v>39.200000000000003</v>
      </c>
      <c r="I231" s="34">
        <v>23.6</v>
      </c>
      <c r="J231" s="5"/>
      <c r="K231" s="33" t="s">
        <v>9</v>
      </c>
      <c r="L231" s="33" t="s">
        <v>9</v>
      </c>
      <c r="M231" s="33" t="s">
        <v>9</v>
      </c>
      <c r="N231" s="33" t="s">
        <v>9</v>
      </c>
      <c r="O231" s="33" t="s">
        <v>9</v>
      </c>
      <c r="P231" s="33" t="s">
        <v>9</v>
      </c>
      <c r="Q231" s="33" t="s">
        <v>9</v>
      </c>
      <c r="R231" s="33" t="s">
        <v>9</v>
      </c>
      <c r="S231" s="33"/>
      <c r="T231" s="33"/>
      <c r="U231" s="33"/>
      <c r="V231" s="33"/>
      <c r="W231" s="33"/>
      <c r="X231" s="33"/>
      <c r="Y231" s="33"/>
      <c r="AA231" s="37"/>
      <c r="AB231" s="37"/>
      <c r="AC231" s="37"/>
      <c r="AE231" s="37"/>
      <c r="AF231" s="37"/>
      <c r="AG231" s="37"/>
      <c r="AI231" s="38">
        <f>C231/B231*1000</f>
        <v>40.187093684604129</v>
      </c>
      <c r="AJ231" s="38">
        <f>D231/B231*1000</f>
        <v>25.671260914344941</v>
      </c>
      <c r="AL231" s="38">
        <f>AI231-H231</f>
        <v>0.98709368460412605</v>
      </c>
      <c r="AM231" s="38">
        <f>AJ231-I231</f>
        <v>2.0712609143449399</v>
      </c>
    </row>
    <row r="232" spans="1:39">
      <c r="A232" s="4" t="s">
        <v>233</v>
      </c>
      <c r="B232" s="5"/>
      <c r="C232" s="5"/>
      <c r="D232" s="5"/>
      <c r="E232" s="5"/>
      <c r="F232" s="5"/>
      <c r="G232" s="5"/>
      <c r="H232" s="6" t="s">
        <v>9</v>
      </c>
      <c r="I232" s="6" t="s">
        <v>9</v>
      </c>
      <c r="J232" s="5"/>
      <c r="K232" s="5" t="s">
        <v>9</v>
      </c>
      <c r="L232" s="5" t="s">
        <v>9</v>
      </c>
      <c r="M232" s="5" t="s">
        <v>9</v>
      </c>
      <c r="N232" s="5" t="s">
        <v>9</v>
      </c>
      <c r="O232" s="5" t="s">
        <v>9</v>
      </c>
      <c r="P232" s="5" t="s">
        <v>9</v>
      </c>
      <c r="Q232" s="5" t="s">
        <v>9</v>
      </c>
      <c r="R232" s="5" t="s">
        <v>9</v>
      </c>
      <c r="S232" s="5"/>
      <c r="T232" s="5"/>
      <c r="U232" s="5"/>
      <c r="V232" s="5"/>
      <c r="W232" s="5"/>
      <c r="X232" s="5"/>
      <c r="Y232" s="5"/>
    </row>
    <row r="233" spans="1:39">
      <c r="A233" s="4" t="s">
        <v>234</v>
      </c>
      <c r="B233" s="5"/>
      <c r="C233" s="5"/>
      <c r="D233" s="5"/>
      <c r="E233" s="5"/>
      <c r="F233" s="5"/>
      <c r="G233" s="5"/>
      <c r="H233" s="6" t="s">
        <v>9</v>
      </c>
      <c r="I233" s="6" t="s">
        <v>9</v>
      </c>
      <c r="J233" s="5"/>
      <c r="K233" s="5" t="s">
        <v>9</v>
      </c>
      <c r="L233" s="5" t="s">
        <v>9</v>
      </c>
      <c r="M233" s="5" t="s">
        <v>9</v>
      </c>
      <c r="N233" s="5" t="s">
        <v>9</v>
      </c>
      <c r="O233" s="5" t="s">
        <v>9</v>
      </c>
      <c r="P233" s="5" t="s">
        <v>9</v>
      </c>
      <c r="Q233" s="5" t="s">
        <v>9</v>
      </c>
      <c r="R233" s="5" t="s">
        <v>9</v>
      </c>
      <c r="S233" s="5"/>
      <c r="T233" s="5"/>
      <c r="U233" s="5"/>
      <c r="V233" s="5"/>
      <c r="W233" s="5"/>
      <c r="X233" s="5"/>
      <c r="Y233" s="5"/>
    </row>
    <row r="234" spans="1:39">
      <c r="A234" s="32" t="s">
        <v>235</v>
      </c>
      <c r="B234" s="33">
        <v>469417</v>
      </c>
      <c r="C234" s="33">
        <v>23045</v>
      </c>
      <c r="D234" s="33">
        <v>18172</v>
      </c>
      <c r="E234" s="33">
        <v>56896</v>
      </c>
      <c r="F234" s="33">
        <v>2739</v>
      </c>
      <c r="G234" s="33">
        <v>2090</v>
      </c>
      <c r="H234" s="34">
        <v>47.1</v>
      </c>
      <c r="I234" s="34">
        <v>37.200000000000003</v>
      </c>
      <c r="J234" s="5"/>
      <c r="K234" s="33">
        <v>151571</v>
      </c>
      <c r="L234" s="33">
        <v>137006</v>
      </c>
      <c r="M234" s="33">
        <v>70813</v>
      </c>
      <c r="N234" s="33">
        <v>50064</v>
      </c>
      <c r="O234" s="33">
        <v>59963</v>
      </c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AA234" s="37">
        <f>SUM(K234:Y234)</f>
        <v>469417</v>
      </c>
      <c r="AB234" s="37">
        <f>SUM(K235:Y235)</f>
        <v>23045</v>
      </c>
      <c r="AC234" s="37">
        <f>SUM(K236:Y236)</f>
        <v>18172</v>
      </c>
      <c r="AE234" s="37">
        <f>AA234-B234</f>
        <v>0</v>
      </c>
      <c r="AF234" s="37">
        <f>AB234-C234</f>
        <v>0</v>
      </c>
      <c r="AG234" s="37">
        <f>AC234-D234</f>
        <v>0</v>
      </c>
      <c r="AI234" s="38">
        <f>C234/B234*1000</f>
        <v>49.092810869653214</v>
      </c>
      <c r="AJ234" s="38">
        <f>D234/B234*1000</f>
        <v>38.711848953063054</v>
      </c>
      <c r="AL234" s="38">
        <f>AI234-H234</f>
        <v>1.9928108696532121</v>
      </c>
      <c r="AM234" s="38">
        <f>AJ234-I234</f>
        <v>1.5118489530630512</v>
      </c>
    </row>
    <row r="235" spans="1:39">
      <c r="A235" s="4" t="s">
        <v>236</v>
      </c>
      <c r="B235" s="5"/>
      <c r="C235" s="5"/>
      <c r="D235" s="5"/>
      <c r="E235" s="5"/>
      <c r="F235" s="5"/>
      <c r="G235" s="5"/>
      <c r="H235" s="6" t="s">
        <v>9</v>
      </c>
      <c r="I235" s="6" t="s">
        <v>9</v>
      </c>
      <c r="J235" s="5"/>
      <c r="K235" s="5">
        <v>6686</v>
      </c>
      <c r="L235" s="5">
        <v>6335</v>
      </c>
      <c r="M235" s="5">
        <v>3477</v>
      </c>
      <c r="N235" s="5">
        <v>2590</v>
      </c>
      <c r="O235" s="5">
        <v>3957</v>
      </c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 spans="1:39">
      <c r="A236" s="4" t="s">
        <v>237</v>
      </c>
      <c r="B236" s="5"/>
      <c r="C236" s="5"/>
      <c r="D236" s="5"/>
      <c r="E236" s="5"/>
      <c r="F236" s="5"/>
      <c r="G236" s="5"/>
      <c r="H236" s="6" t="s">
        <v>9</v>
      </c>
      <c r="I236" s="6" t="s">
        <v>9</v>
      </c>
      <c r="J236" s="5"/>
      <c r="K236" s="5">
        <v>5209</v>
      </c>
      <c r="L236" s="5">
        <v>5008</v>
      </c>
      <c r="M236" s="5">
        <v>2603</v>
      </c>
      <c r="N236" s="5">
        <v>1857</v>
      </c>
      <c r="O236" s="5">
        <v>3495</v>
      </c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 spans="1:39">
      <c r="A237" s="32" t="s">
        <v>238</v>
      </c>
      <c r="B237" s="33">
        <v>155295</v>
      </c>
      <c r="C237" s="33">
        <v>5967</v>
      </c>
      <c r="D237" s="33">
        <v>2882</v>
      </c>
      <c r="E237" s="33">
        <v>33939</v>
      </c>
      <c r="F237" s="33">
        <v>1038</v>
      </c>
      <c r="G237" s="33">
        <v>743</v>
      </c>
      <c r="H237" s="34" t="s">
        <v>9</v>
      </c>
      <c r="I237" s="34" t="s">
        <v>9</v>
      </c>
      <c r="J237" s="5"/>
      <c r="K237" s="33">
        <v>20032</v>
      </c>
      <c r="L237" s="33">
        <v>10116</v>
      </c>
      <c r="M237" s="33">
        <v>5046</v>
      </c>
      <c r="N237" s="33">
        <v>656</v>
      </c>
      <c r="O237" s="33">
        <v>11164</v>
      </c>
      <c r="P237" s="33">
        <v>4457</v>
      </c>
      <c r="Q237" s="33">
        <v>7962</v>
      </c>
      <c r="R237" s="33">
        <v>7785</v>
      </c>
      <c r="S237" s="33">
        <v>88077</v>
      </c>
      <c r="T237" s="33"/>
      <c r="U237" s="33"/>
      <c r="V237" s="33"/>
      <c r="W237" s="33"/>
      <c r="X237" s="33"/>
      <c r="Y237" s="33"/>
      <c r="AA237" s="37">
        <f>SUM(K237:Y237)</f>
        <v>155295</v>
      </c>
      <c r="AB237" s="37">
        <f>SUM(K238:Y238)</f>
        <v>5967</v>
      </c>
      <c r="AC237" s="37">
        <f>SUM(K239:Y239)</f>
        <v>2882</v>
      </c>
      <c r="AE237" s="37">
        <f>AA237-B237</f>
        <v>0</v>
      </c>
      <c r="AF237" s="37">
        <f>AB237-C237</f>
        <v>0</v>
      </c>
      <c r="AG237" s="37">
        <f>AC237-D237</f>
        <v>0</v>
      </c>
      <c r="AI237" s="38">
        <f>C237/B237*1000</f>
        <v>38.423645320197039</v>
      </c>
      <c r="AJ237" s="38">
        <f>D237/B237*1000</f>
        <v>18.558227888856692</v>
      </c>
      <c r="AL237" s="38"/>
      <c r="AM237" s="38"/>
    </row>
    <row r="238" spans="1:39">
      <c r="A238" s="4" t="s">
        <v>239</v>
      </c>
      <c r="B238" s="5"/>
      <c r="C238" s="5"/>
      <c r="D238" s="5"/>
      <c r="E238" s="5"/>
      <c r="F238" s="5"/>
      <c r="G238" s="5"/>
      <c r="H238" s="6" t="s">
        <v>9</v>
      </c>
      <c r="I238" s="6" t="s">
        <v>9</v>
      </c>
      <c r="J238" s="5"/>
      <c r="K238" s="5">
        <v>749</v>
      </c>
      <c r="L238" s="5" t="s">
        <v>9</v>
      </c>
      <c r="M238" s="5">
        <v>21</v>
      </c>
      <c r="N238" s="5">
        <v>28</v>
      </c>
      <c r="O238" s="5">
        <v>257</v>
      </c>
      <c r="P238" s="5">
        <v>144</v>
      </c>
      <c r="Q238" s="5">
        <v>340</v>
      </c>
      <c r="R238" s="5">
        <v>296</v>
      </c>
      <c r="S238" s="5">
        <v>4132</v>
      </c>
      <c r="T238" s="5"/>
      <c r="U238" s="5"/>
      <c r="V238" s="5"/>
      <c r="W238" s="5"/>
      <c r="X238" s="5"/>
      <c r="Y238" s="5"/>
    </row>
    <row r="239" spans="1:39">
      <c r="A239" s="4" t="s">
        <v>240</v>
      </c>
      <c r="B239" s="5"/>
      <c r="C239" s="5"/>
      <c r="D239" s="5"/>
      <c r="E239" s="5"/>
      <c r="F239" s="5"/>
      <c r="G239" s="5"/>
      <c r="H239" s="6" t="s">
        <v>9</v>
      </c>
      <c r="I239" s="6" t="s">
        <v>9</v>
      </c>
      <c r="J239" s="5"/>
      <c r="K239" s="5">
        <v>390</v>
      </c>
      <c r="L239" s="5" t="s">
        <v>9</v>
      </c>
      <c r="M239" s="5">
        <v>13</v>
      </c>
      <c r="N239" s="5">
        <v>30</v>
      </c>
      <c r="O239" s="5">
        <v>202</v>
      </c>
      <c r="P239" s="5">
        <v>65</v>
      </c>
      <c r="Q239" s="5">
        <v>189</v>
      </c>
      <c r="R239" s="5">
        <v>215</v>
      </c>
      <c r="S239" s="5">
        <v>1778</v>
      </c>
      <c r="T239" s="5"/>
      <c r="U239" s="5"/>
      <c r="V239" s="5"/>
      <c r="W239" s="5"/>
      <c r="X239" s="5"/>
      <c r="Y239" s="5"/>
    </row>
    <row r="240" spans="1:39">
      <c r="A240" s="32" t="s">
        <v>241</v>
      </c>
      <c r="B240" s="33">
        <v>1522144</v>
      </c>
      <c r="C240" s="33">
        <v>76012</v>
      </c>
      <c r="D240" s="33">
        <v>56936</v>
      </c>
      <c r="E240" s="33">
        <v>108064</v>
      </c>
      <c r="F240" s="33">
        <v>3479</v>
      </c>
      <c r="G240" s="33">
        <v>3198</v>
      </c>
      <c r="H240" s="34">
        <v>50.6</v>
      </c>
      <c r="I240" s="34">
        <v>37.9</v>
      </c>
      <c r="J240" s="5"/>
      <c r="K240" s="33">
        <v>138647</v>
      </c>
      <c r="L240" s="33">
        <v>31011</v>
      </c>
      <c r="M240" s="33">
        <v>292494</v>
      </c>
      <c r="N240" s="33">
        <v>267813</v>
      </c>
      <c r="O240" s="33">
        <v>7892</v>
      </c>
      <c r="P240" s="33">
        <v>167134</v>
      </c>
      <c r="Q240" s="33">
        <v>77148</v>
      </c>
      <c r="R240" s="33">
        <v>200872</v>
      </c>
      <c r="S240" s="33">
        <v>133597</v>
      </c>
      <c r="T240" s="33">
        <v>205536</v>
      </c>
      <c r="U240" s="33"/>
      <c r="V240" s="33"/>
      <c r="W240" s="33"/>
      <c r="X240" s="33"/>
      <c r="Y240" s="33"/>
      <c r="AA240" s="37">
        <f>SUM(K240:Y240)</f>
        <v>1522144</v>
      </c>
      <c r="AB240" s="37">
        <f>SUM(K241:Y241)</f>
        <v>76012</v>
      </c>
      <c r="AC240" s="37">
        <f>SUM(K242:Y242)</f>
        <v>56936</v>
      </c>
      <c r="AE240" s="37">
        <f>AA240-B240</f>
        <v>0</v>
      </c>
      <c r="AF240" s="37">
        <f>AB240-C240</f>
        <v>0</v>
      </c>
      <c r="AG240" s="37">
        <f>AC240-D240</f>
        <v>0</v>
      </c>
      <c r="AI240" s="38">
        <f>C240/B240*1000</f>
        <v>49.937456640107641</v>
      </c>
      <c r="AJ240" s="38">
        <f>D240/B240*1000</f>
        <v>37.405133811255702</v>
      </c>
      <c r="AL240" s="38">
        <f>AI240-H240</f>
        <v>-0.66254335989236068</v>
      </c>
      <c r="AM240" s="38">
        <f>AJ240-I240</f>
        <v>-0.49486618874429666</v>
      </c>
    </row>
    <row r="241" spans="1:39">
      <c r="A241" s="4" t="s">
        <v>242</v>
      </c>
      <c r="B241" s="5"/>
      <c r="C241" s="5"/>
      <c r="D241" s="5"/>
      <c r="E241" s="5"/>
      <c r="F241" s="5"/>
      <c r="G241" s="5"/>
      <c r="H241" s="6" t="s">
        <v>9</v>
      </c>
      <c r="I241" s="6" t="s">
        <v>9</v>
      </c>
      <c r="J241" s="5"/>
      <c r="K241" s="5">
        <v>6474</v>
      </c>
      <c r="L241" s="5">
        <v>342</v>
      </c>
      <c r="M241" s="5">
        <v>9968</v>
      </c>
      <c r="N241" s="5">
        <v>14420</v>
      </c>
      <c r="O241" s="5">
        <v>1009</v>
      </c>
      <c r="P241" s="5">
        <v>9102</v>
      </c>
      <c r="Q241" s="5">
        <v>15523</v>
      </c>
      <c r="R241" s="5">
        <v>4104</v>
      </c>
      <c r="S241" s="5">
        <v>5518</v>
      </c>
      <c r="T241" s="5">
        <v>9552</v>
      </c>
      <c r="U241" s="5"/>
      <c r="V241" s="5"/>
      <c r="W241" s="5"/>
      <c r="X241" s="5"/>
      <c r="Y241" s="5"/>
    </row>
    <row r="242" spans="1:39">
      <c r="A242" s="4" t="s">
        <v>243</v>
      </c>
      <c r="B242" s="5"/>
      <c r="C242" s="5"/>
      <c r="D242" s="5"/>
      <c r="E242" s="5"/>
      <c r="F242" s="5"/>
      <c r="G242" s="5"/>
      <c r="H242" s="6" t="s">
        <v>9</v>
      </c>
      <c r="I242" s="6" t="s">
        <v>9</v>
      </c>
      <c r="J242" s="5"/>
      <c r="K242" s="5">
        <v>5068</v>
      </c>
      <c r="L242" s="5">
        <v>219</v>
      </c>
      <c r="M242" s="5">
        <v>6446</v>
      </c>
      <c r="N242" s="5">
        <v>11654</v>
      </c>
      <c r="O242" s="5">
        <v>648</v>
      </c>
      <c r="P242" s="5">
        <v>6174</v>
      </c>
      <c r="Q242" s="5">
        <v>13052</v>
      </c>
      <c r="R242" s="5">
        <v>2760</v>
      </c>
      <c r="S242" s="5">
        <v>3830</v>
      </c>
      <c r="T242" s="5">
        <v>7085</v>
      </c>
      <c r="U242" s="5"/>
      <c r="V242" s="5"/>
      <c r="W242" s="5"/>
      <c r="X242" s="5"/>
      <c r="Y242" s="5"/>
    </row>
    <row r="243" spans="1:39">
      <c r="A243" s="32" t="s">
        <v>244</v>
      </c>
      <c r="B243" s="33">
        <v>1438232</v>
      </c>
      <c r="C243" s="33">
        <v>88441</v>
      </c>
      <c r="D243" s="33">
        <v>52953</v>
      </c>
      <c r="E243" s="33">
        <v>119805</v>
      </c>
      <c r="F243" s="33">
        <v>5915</v>
      </c>
      <c r="G243" s="33">
        <v>3952</v>
      </c>
      <c r="H243" s="34">
        <v>62</v>
      </c>
      <c r="I243" s="34">
        <v>37.1</v>
      </c>
      <c r="J243" s="5"/>
      <c r="K243" s="33">
        <v>238800</v>
      </c>
      <c r="L243" s="33">
        <v>401601</v>
      </c>
      <c r="M243" s="33">
        <v>404322</v>
      </c>
      <c r="N243" s="33">
        <v>149835</v>
      </c>
      <c r="O243" s="33">
        <v>135134</v>
      </c>
      <c r="P243" s="33">
        <v>108540</v>
      </c>
      <c r="Q243" s="33"/>
      <c r="R243" s="33"/>
      <c r="S243" s="33"/>
      <c r="T243" s="33"/>
      <c r="U243" s="33"/>
      <c r="V243" s="33"/>
      <c r="W243" s="33"/>
      <c r="X243" s="33"/>
      <c r="Y243" s="33"/>
      <c r="AA243" s="37">
        <f>SUM(K243:Y243)</f>
        <v>1438232</v>
      </c>
      <c r="AB243" s="37">
        <f>SUM(K244:Y244)</f>
        <v>88439</v>
      </c>
      <c r="AC243" s="37">
        <f>SUM(K245:Y245)</f>
        <v>52953</v>
      </c>
      <c r="AE243" s="37">
        <f>AA243-B243</f>
        <v>0</v>
      </c>
      <c r="AF243" s="37">
        <f>AB243-C243</f>
        <v>-2</v>
      </c>
      <c r="AG243" s="37">
        <f>AC243-D243</f>
        <v>0</v>
      </c>
      <c r="AI243" s="38">
        <f>C243/B243*1000</f>
        <v>61.492860678944702</v>
      </c>
      <c r="AJ243" s="38">
        <f>D243/B243*1000</f>
        <v>36.818121137618967</v>
      </c>
      <c r="AL243" s="38">
        <f>AI243-H243</f>
        <v>-0.50713932105529835</v>
      </c>
      <c r="AM243" s="38">
        <f>AJ243-I243</f>
        <v>-0.28187886238103488</v>
      </c>
    </row>
    <row r="244" spans="1:39">
      <c r="A244" s="4" t="s">
        <v>245</v>
      </c>
      <c r="B244" s="5"/>
      <c r="C244" s="5"/>
      <c r="D244" s="5"/>
      <c r="E244" s="5"/>
      <c r="F244" s="5"/>
      <c r="G244" s="5"/>
      <c r="H244" s="6" t="s">
        <v>9</v>
      </c>
      <c r="I244" s="6" t="s">
        <v>9</v>
      </c>
      <c r="J244" s="5"/>
      <c r="K244" s="5">
        <v>11593</v>
      </c>
      <c r="L244" s="5">
        <v>29954</v>
      </c>
      <c r="M244" s="5">
        <v>27537</v>
      </c>
      <c r="N244" s="5">
        <v>6880</v>
      </c>
      <c r="O244" s="5">
        <v>6630</v>
      </c>
      <c r="P244" s="5">
        <v>5845</v>
      </c>
      <c r="Q244" s="5"/>
      <c r="R244" s="5"/>
      <c r="S244" s="5"/>
      <c r="T244" s="5"/>
      <c r="U244" s="5"/>
      <c r="V244" s="5"/>
      <c r="W244" s="5"/>
      <c r="X244" s="5"/>
      <c r="Y244" s="5"/>
    </row>
    <row r="245" spans="1:39">
      <c r="A245" s="4" t="s">
        <v>246</v>
      </c>
      <c r="B245" s="5"/>
      <c r="C245" s="5"/>
      <c r="D245" s="5"/>
      <c r="E245" s="5"/>
      <c r="F245" s="5"/>
      <c r="G245" s="5"/>
      <c r="H245" s="6" t="s">
        <v>9</v>
      </c>
      <c r="I245" s="6" t="s">
        <v>9</v>
      </c>
      <c r="J245" s="5"/>
      <c r="K245" s="5">
        <v>8260</v>
      </c>
      <c r="L245" s="5">
        <v>14531</v>
      </c>
      <c r="M245" s="5">
        <v>19600</v>
      </c>
      <c r="N245" s="5">
        <v>3502</v>
      </c>
      <c r="O245" s="5">
        <v>3400</v>
      </c>
      <c r="P245" s="5">
        <v>3660</v>
      </c>
      <c r="Q245" s="5"/>
      <c r="R245" s="5"/>
      <c r="S245" s="5"/>
      <c r="T245" s="5"/>
      <c r="U245" s="5"/>
      <c r="V245" s="5"/>
      <c r="W245" s="5"/>
      <c r="X245" s="5"/>
      <c r="Y245" s="5"/>
    </row>
    <row r="246" spans="1:39">
      <c r="A246" s="32" t="s">
        <v>247</v>
      </c>
      <c r="B246" s="33">
        <v>266478</v>
      </c>
      <c r="C246" s="33">
        <v>9205</v>
      </c>
      <c r="D246" s="33">
        <v>7415</v>
      </c>
      <c r="E246" s="33">
        <v>8550</v>
      </c>
      <c r="F246" s="33">
        <v>177</v>
      </c>
      <c r="G246" s="33">
        <v>141</v>
      </c>
      <c r="H246" s="34">
        <v>33</v>
      </c>
      <c r="I246" s="34">
        <v>26.6</v>
      </c>
      <c r="J246" s="5"/>
      <c r="K246" s="33">
        <v>153002</v>
      </c>
      <c r="L246" s="33">
        <v>13467</v>
      </c>
      <c r="M246" s="33">
        <v>77283</v>
      </c>
      <c r="N246" s="33">
        <v>6436</v>
      </c>
      <c r="O246" s="33">
        <v>16290</v>
      </c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AA246" s="37">
        <f>SUM(K246:Y246)</f>
        <v>266478</v>
      </c>
      <c r="AB246" s="37">
        <f>SUM(K247:Y247)</f>
        <v>9205</v>
      </c>
      <c r="AC246" s="37">
        <f>SUM(K248:Y248)</f>
        <v>7415</v>
      </c>
      <c r="AE246" s="37">
        <f>AA246-B246</f>
        <v>0</v>
      </c>
      <c r="AF246" s="37">
        <f>AB246-C246</f>
        <v>0</v>
      </c>
      <c r="AG246" s="37">
        <f>AC246-D246</f>
        <v>0</v>
      </c>
      <c r="AI246" s="38">
        <f>C246/B246*1000</f>
        <v>34.5431893064343</v>
      </c>
      <c r="AJ246" s="38">
        <f>D246/B246*1000</f>
        <v>27.825936850321604</v>
      </c>
      <c r="AL246" s="38">
        <f>AI246-H246</f>
        <v>1.5431893064343001</v>
      </c>
      <c r="AM246" s="38">
        <f>AJ246-I246</f>
        <v>1.2259368503216024</v>
      </c>
    </row>
    <row r="247" spans="1:39">
      <c r="A247" s="4" t="s">
        <v>248</v>
      </c>
      <c r="B247" s="5"/>
      <c r="C247" s="5"/>
      <c r="D247" s="5"/>
      <c r="E247" s="5"/>
      <c r="F247" s="5"/>
      <c r="G247" s="5"/>
      <c r="H247" s="6" t="s">
        <v>9</v>
      </c>
      <c r="I247" s="6" t="s">
        <v>9</v>
      </c>
      <c r="J247" s="5"/>
      <c r="K247" s="5">
        <v>5676</v>
      </c>
      <c r="L247" s="5">
        <v>296</v>
      </c>
      <c r="M247" s="5">
        <v>2051</v>
      </c>
      <c r="N247" s="5">
        <v>204</v>
      </c>
      <c r="O247" s="5">
        <v>978</v>
      </c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 spans="1:39">
      <c r="A248" s="4" t="s">
        <v>249</v>
      </c>
      <c r="B248" s="5"/>
      <c r="C248" s="5"/>
      <c r="D248" s="5"/>
      <c r="E248" s="5"/>
      <c r="F248" s="5"/>
      <c r="G248" s="5"/>
      <c r="H248" s="6" t="s">
        <v>9</v>
      </c>
      <c r="I248" s="6" t="s">
        <v>9</v>
      </c>
      <c r="J248" s="5"/>
      <c r="K248" s="5">
        <v>4476</v>
      </c>
      <c r="L248" s="5">
        <v>195</v>
      </c>
      <c r="M248" s="5">
        <v>1851</v>
      </c>
      <c r="N248" s="5">
        <v>104</v>
      </c>
      <c r="O248" s="5">
        <v>789</v>
      </c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 spans="1:39">
      <c r="A249" s="32" t="s">
        <v>250</v>
      </c>
      <c r="B249" s="33">
        <v>26421</v>
      </c>
      <c r="C249" s="33">
        <v>471</v>
      </c>
      <c r="D249" s="33">
        <v>396</v>
      </c>
      <c r="E249" s="33" t="s">
        <v>9</v>
      </c>
      <c r="F249" s="33" t="s">
        <v>9</v>
      </c>
      <c r="G249" s="33" t="s">
        <v>9</v>
      </c>
      <c r="H249" s="34" t="s">
        <v>9</v>
      </c>
      <c r="I249" s="34" t="s">
        <v>9</v>
      </c>
      <c r="J249" s="5"/>
      <c r="K249" s="33">
        <v>11134</v>
      </c>
      <c r="L249" s="33">
        <v>6627</v>
      </c>
      <c r="M249" s="33">
        <v>8660</v>
      </c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AA249" s="37">
        <f>SUM(K249:Y249)</f>
        <v>26421</v>
      </c>
      <c r="AB249" s="37">
        <f>SUM(K250:Y250)</f>
        <v>471</v>
      </c>
      <c r="AC249" s="37">
        <f>SUM(K251:Y251)</f>
        <v>396</v>
      </c>
      <c r="AE249" s="37">
        <f>AA249-B249</f>
        <v>0</v>
      </c>
      <c r="AF249" s="37">
        <f>AB249-C249</f>
        <v>0</v>
      </c>
      <c r="AG249" s="37">
        <f>AC249-D249</f>
        <v>0</v>
      </c>
      <c r="AI249" s="38">
        <f>C249/B249*1000</f>
        <v>17.826728738503462</v>
      </c>
      <c r="AJ249" s="38">
        <f>D249/B249*1000</f>
        <v>14.988077665493357</v>
      </c>
      <c r="AL249" s="38"/>
      <c r="AM249" s="38"/>
    </row>
    <row r="250" spans="1:39">
      <c r="A250" s="4" t="s">
        <v>251</v>
      </c>
      <c r="B250" s="5"/>
      <c r="C250" s="5"/>
      <c r="D250" s="5"/>
      <c r="E250" s="5"/>
      <c r="F250" s="5"/>
      <c r="G250" s="5"/>
      <c r="H250" s="6" t="s">
        <v>9</v>
      </c>
      <c r="I250" s="6" t="s">
        <v>9</v>
      </c>
      <c r="J250" s="5"/>
      <c r="K250" s="5">
        <v>158</v>
      </c>
      <c r="L250" s="5">
        <v>132</v>
      </c>
      <c r="M250" s="5">
        <v>181</v>
      </c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 spans="1:39">
      <c r="A251" s="4" t="s">
        <v>252</v>
      </c>
      <c r="B251" s="5"/>
      <c r="C251" s="5"/>
      <c r="D251" s="5"/>
      <c r="E251" s="5"/>
      <c r="F251" s="5"/>
      <c r="G251" s="5"/>
      <c r="H251" s="6" t="s">
        <v>9</v>
      </c>
      <c r="I251" s="6" t="s">
        <v>9</v>
      </c>
      <c r="J251" s="5"/>
      <c r="K251" s="5">
        <v>170</v>
      </c>
      <c r="L251" s="5">
        <v>92</v>
      </c>
      <c r="M251" s="5">
        <v>134</v>
      </c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 spans="1:39">
      <c r="A252" s="40" t="s">
        <v>253</v>
      </c>
      <c r="B252" s="41">
        <v>5116724</v>
      </c>
      <c r="C252" s="41">
        <v>259298</v>
      </c>
      <c r="D252" s="41">
        <v>177884</v>
      </c>
      <c r="E252" s="41"/>
      <c r="F252" s="41"/>
      <c r="G252" s="41"/>
      <c r="H252" s="42">
        <v>51.2</v>
      </c>
      <c r="I252" s="42">
        <v>35.4</v>
      </c>
      <c r="J252" s="5"/>
      <c r="K252" s="41"/>
      <c r="L252" s="41"/>
      <c r="M252" s="41"/>
      <c r="N252" s="41"/>
      <c r="O252" s="41"/>
      <c r="P252" s="41"/>
      <c r="Q252" s="41"/>
      <c r="R252" s="41"/>
      <c r="S252" s="41"/>
      <c r="T252" s="41"/>
      <c r="U252" s="41"/>
      <c r="V252" s="41"/>
      <c r="W252" s="41"/>
      <c r="X252" s="41"/>
      <c r="Y252" s="41"/>
      <c r="AA252" s="43">
        <f>SUM(AA227:AA251)</f>
        <v>4506976</v>
      </c>
      <c r="AB252" s="43">
        <f>SUM(AB227:AB251)</f>
        <v>235193</v>
      </c>
      <c r="AC252" s="43">
        <f>SUM(AC227:AC251)</f>
        <v>163383</v>
      </c>
      <c r="AE252" s="43">
        <f t="shared" ref="AE252:AG253" si="7">AA252-B252</f>
        <v>-609748</v>
      </c>
      <c r="AF252" s="43">
        <f t="shared" si="7"/>
        <v>-24105</v>
      </c>
      <c r="AG252" s="43">
        <f t="shared" si="7"/>
        <v>-14501</v>
      </c>
      <c r="AI252" s="44">
        <f>C252/B252*1000</f>
        <v>50.676565708840265</v>
      </c>
      <c r="AJ252" s="44">
        <f>D252/B252*1000</f>
        <v>34.765213054290207</v>
      </c>
      <c r="AL252" s="44">
        <f>AI252-H252</f>
        <v>-0.52343429115973805</v>
      </c>
      <c r="AM252" s="44">
        <f>AJ252-I252</f>
        <v>-0.63478694570979144</v>
      </c>
    </row>
    <row r="253" spans="1:39">
      <c r="A253" s="32" t="s">
        <v>254</v>
      </c>
      <c r="B253" s="33">
        <v>556302</v>
      </c>
      <c r="C253" s="33">
        <v>15244</v>
      </c>
      <c r="D253" s="33">
        <v>9979</v>
      </c>
      <c r="E253" s="33" t="s">
        <v>9</v>
      </c>
      <c r="F253" s="33" t="s">
        <v>9</v>
      </c>
      <c r="G253" s="33" t="s">
        <v>9</v>
      </c>
      <c r="H253" s="34" t="s">
        <v>9</v>
      </c>
      <c r="I253" s="34" t="s">
        <v>9</v>
      </c>
      <c r="J253" s="5"/>
      <c r="K253" s="33">
        <v>96347</v>
      </c>
      <c r="L253" s="33">
        <v>155253</v>
      </c>
      <c r="M253" s="33">
        <v>76081</v>
      </c>
      <c r="N253" s="33">
        <v>123133</v>
      </c>
      <c r="O253" s="33">
        <v>105488</v>
      </c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AA253" s="37">
        <f>SUM(K253:Y253)</f>
        <v>556302</v>
      </c>
      <c r="AB253" s="37">
        <f>SUM(K254:Y254)</f>
        <v>15244</v>
      </c>
      <c r="AC253" s="37">
        <f>SUM(K255:Y255)</f>
        <v>9979</v>
      </c>
      <c r="AE253" s="37">
        <f t="shared" si="7"/>
        <v>0</v>
      </c>
      <c r="AF253" s="37">
        <f t="shared" si="7"/>
        <v>0</v>
      </c>
      <c r="AG253" s="37">
        <f t="shared" si="7"/>
        <v>0</v>
      </c>
      <c r="AI253" s="38">
        <f>C253/B253*1000</f>
        <v>27.40238215933072</v>
      </c>
      <c r="AJ253" s="38">
        <f>D253/B253*1000</f>
        <v>17.938098371028687</v>
      </c>
      <c r="AL253" s="38"/>
      <c r="AM253" s="38"/>
    </row>
    <row r="254" spans="1:39">
      <c r="A254" s="4" t="s">
        <v>255</v>
      </c>
      <c r="B254" s="5"/>
      <c r="C254" s="5"/>
      <c r="D254" s="5"/>
      <c r="E254" s="5"/>
      <c r="F254" s="5"/>
      <c r="G254" s="5"/>
      <c r="H254" s="6" t="s">
        <v>9</v>
      </c>
      <c r="I254" s="6" t="s">
        <v>9</v>
      </c>
      <c r="J254" s="5"/>
      <c r="K254" s="5">
        <v>2895</v>
      </c>
      <c r="L254" s="5">
        <v>3972</v>
      </c>
      <c r="M254" s="5">
        <v>1776</v>
      </c>
      <c r="N254" s="5">
        <v>4646</v>
      </c>
      <c r="O254" s="5">
        <v>1955</v>
      </c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 spans="1:39">
      <c r="A255" s="4" t="s">
        <v>256</v>
      </c>
      <c r="B255" s="5"/>
      <c r="C255" s="5"/>
      <c r="D255" s="5"/>
      <c r="E255" s="5"/>
      <c r="F255" s="5"/>
      <c r="G255" s="5"/>
      <c r="H255" s="6" t="s">
        <v>9</v>
      </c>
      <c r="I255" s="6" t="s">
        <v>9</v>
      </c>
      <c r="J255" s="5"/>
      <c r="K255" s="5">
        <v>2244</v>
      </c>
      <c r="L255" s="5">
        <v>2109</v>
      </c>
      <c r="M255" s="5">
        <v>729</v>
      </c>
      <c r="N255" s="5">
        <v>3720</v>
      </c>
      <c r="O255" s="5">
        <v>1177</v>
      </c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 spans="1:39">
      <c r="A256" s="32" t="s">
        <v>257</v>
      </c>
      <c r="B256" s="33">
        <v>700000</v>
      </c>
      <c r="C256" s="33">
        <v>1129</v>
      </c>
      <c r="D256" s="33">
        <v>752</v>
      </c>
      <c r="E256" s="33" t="s">
        <v>9</v>
      </c>
      <c r="F256" s="33" t="s">
        <v>9</v>
      </c>
      <c r="G256" s="33" t="s">
        <v>9</v>
      </c>
      <c r="H256" s="34" t="s">
        <v>9</v>
      </c>
      <c r="I256" s="34" t="s">
        <v>9</v>
      </c>
      <c r="J256" s="5"/>
      <c r="K256" s="33" t="s">
        <v>9</v>
      </c>
      <c r="L256" s="33" t="s">
        <v>9</v>
      </c>
      <c r="M256" s="33" t="s">
        <v>9</v>
      </c>
      <c r="N256" s="33" t="s">
        <v>9</v>
      </c>
      <c r="O256" s="33" t="s">
        <v>9</v>
      </c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AA256" s="37"/>
      <c r="AB256" s="37">
        <f>SUM(K257:Y257)</f>
        <v>1129</v>
      </c>
      <c r="AC256" s="37">
        <f>SUM(K258:Y258)</f>
        <v>752</v>
      </c>
      <c r="AE256" s="37"/>
      <c r="AF256" s="37">
        <f>AB256-C256</f>
        <v>0</v>
      </c>
      <c r="AG256" s="37">
        <f>AC256-D256</f>
        <v>0</v>
      </c>
      <c r="AI256" s="38">
        <f>C256/B256*1000</f>
        <v>1.6128571428571428</v>
      </c>
      <c r="AJ256" s="38">
        <f>D256/B256*1000</f>
        <v>1.0742857142857143</v>
      </c>
      <c r="AL256" s="38"/>
      <c r="AM256" s="38"/>
    </row>
    <row r="257" spans="1:39">
      <c r="A257" s="4" t="s">
        <v>258</v>
      </c>
      <c r="B257" s="5"/>
      <c r="C257" s="5"/>
      <c r="D257" s="5"/>
      <c r="E257" s="5"/>
      <c r="F257" s="5"/>
      <c r="G257" s="5"/>
      <c r="H257" s="6" t="s">
        <v>9</v>
      </c>
      <c r="I257" s="6" t="s">
        <v>9</v>
      </c>
      <c r="J257" s="5"/>
      <c r="K257" s="5">
        <v>1129</v>
      </c>
      <c r="L257" s="5" t="s">
        <v>9</v>
      </c>
      <c r="M257" s="5" t="s">
        <v>9</v>
      </c>
      <c r="N257" s="5" t="s">
        <v>9</v>
      </c>
      <c r="O257" s="5" t="s">
        <v>9</v>
      </c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 spans="1:39">
      <c r="A258" s="4" t="s">
        <v>259</v>
      </c>
      <c r="B258" s="5"/>
      <c r="C258" s="5"/>
      <c r="D258" s="5"/>
      <c r="E258" s="5"/>
      <c r="F258" s="5"/>
      <c r="G258" s="5"/>
      <c r="H258" s="6" t="s">
        <v>9</v>
      </c>
      <c r="I258" s="6" t="s">
        <v>9</v>
      </c>
      <c r="J258" s="5"/>
      <c r="K258" s="5">
        <v>752</v>
      </c>
      <c r="L258" s="5" t="s">
        <v>9</v>
      </c>
      <c r="M258" s="5" t="s">
        <v>9</v>
      </c>
      <c r="N258" s="5" t="s">
        <v>9</v>
      </c>
      <c r="O258" s="5" t="s">
        <v>9</v>
      </c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 spans="1:39">
      <c r="A259" s="32" t="s">
        <v>260</v>
      </c>
      <c r="B259" s="33">
        <v>783678</v>
      </c>
      <c r="C259" s="33">
        <v>5247</v>
      </c>
      <c r="D259" s="33">
        <v>7225</v>
      </c>
      <c r="E259" s="33">
        <v>106484</v>
      </c>
      <c r="F259" s="33">
        <v>1030</v>
      </c>
      <c r="G259" s="33">
        <v>1100</v>
      </c>
      <c r="H259" s="34" t="s">
        <v>9</v>
      </c>
      <c r="I259" s="34" t="s">
        <v>9</v>
      </c>
      <c r="J259" s="5"/>
      <c r="K259" s="33">
        <v>275885</v>
      </c>
      <c r="L259" s="33">
        <v>192721</v>
      </c>
      <c r="M259" s="33">
        <v>107454</v>
      </c>
      <c r="N259" s="33">
        <v>207618</v>
      </c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AA259" s="37">
        <f>SUM(K259:Y259)</f>
        <v>783678</v>
      </c>
      <c r="AB259" s="37">
        <f>SUM(K260:Y260)</f>
        <v>5247</v>
      </c>
      <c r="AC259" s="37">
        <f>SUM(K261:Y261)</f>
        <v>7235</v>
      </c>
      <c r="AE259" s="37">
        <f>AA259-B259</f>
        <v>0</v>
      </c>
      <c r="AF259" s="37">
        <f>AB259-C259</f>
        <v>0</v>
      </c>
      <c r="AG259" s="37">
        <f>AC259-D259</f>
        <v>10</v>
      </c>
      <c r="AI259" s="38">
        <f>C259/B259*1000</f>
        <v>6.6953519174967262</v>
      </c>
      <c r="AJ259" s="38">
        <f>D259/B259*1000</f>
        <v>9.2193477423125323</v>
      </c>
      <c r="AL259" s="38"/>
      <c r="AM259" s="38"/>
    </row>
    <row r="260" spans="1:39">
      <c r="A260" s="4" t="s">
        <v>261</v>
      </c>
      <c r="B260" s="5"/>
      <c r="C260" s="5"/>
      <c r="D260" s="5"/>
      <c r="E260" s="5"/>
      <c r="F260" s="5"/>
      <c r="G260" s="5"/>
      <c r="H260" s="6" t="s">
        <v>9</v>
      </c>
      <c r="I260" s="6" t="s">
        <v>9</v>
      </c>
      <c r="J260" s="5"/>
      <c r="K260" s="5" t="s">
        <v>9</v>
      </c>
      <c r="L260" s="5" t="s">
        <v>9</v>
      </c>
      <c r="M260" s="5">
        <v>2082</v>
      </c>
      <c r="N260" s="5">
        <v>3165</v>
      </c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 spans="1:39">
      <c r="A261" s="4" t="s">
        <v>262</v>
      </c>
      <c r="B261" s="5"/>
      <c r="C261" s="5"/>
      <c r="D261" s="5"/>
      <c r="E261" s="5"/>
      <c r="F261" s="5"/>
      <c r="G261" s="5"/>
      <c r="H261" s="6" t="s">
        <v>9</v>
      </c>
      <c r="I261" s="6" t="s">
        <v>9</v>
      </c>
      <c r="J261" s="5"/>
      <c r="K261" s="5" t="s">
        <v>9</v>
      </c>
      <c r="L261" s="5" t="s">
        <v>9</v>
      </c>
      <c r="M261" s="5">
        <v>3569</v>
      </c>
      <c r="N261" s="5">
        <v>3666</v>
      </c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 spans="1:39">
      <c r="A262" s="32" t="s">
        <v>263</v>
      </c>
      <c r="B262" s="33">
        <v>607084</v>
      </c>
      <c r="C262" s="33">
        <v>9701</v>
      </c>
      <c r="D262" s="33">
        <v>7295</v>
      </c>
      <c r="E262" s="33">
        <v>50800</v>
      </c>
      <c r="F262" s="33">
        <v>2001</v>
      </c>
      <c r="G262" s="33">
        <v>1657</v>
      </c>
      <c r="H262" s="34" t="s">
        <v>9</v>
      </c>
      <c r="I262" s="34" t="s">
        <v>9</v>
      </c>
      <c r="J262" s="5"/>
      <c r="K262" s="33">
        <v>175762</v>
      </c>
      <c r="L262" s="33">
        <v>80188</v>
      </c>
      <c r="M262" s="33">
        <v>142824</v>
      </c>
      <c r="N262" s="33">
        <v>123767</v>
      </c>
      <c r="O262" s="33">
        <v>84543</v>
      </c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AA262" s="37">
        <f>SUM(K262:Y262)</f>
        <v>607084</v>
      </c>
      <c r="AB262" s="37">
        <f>SUM(K263:Y263)</f>
        <v>9701</v>
      </c>
      <c r="AC262" s="37">
        <f>SUM(K264:Y264)</f>
        <v>8295</v>
      </c>
      <c r="AE262" s="37">
        <f>AA262-B262</f>
        <v>0</v>
      </c>
      <c r="AF262" s="37">
        <f>AB262-C262</f>
        <v>0</v>
      </c>
      <c r="AG262" s="37">
        <f>AC262-D262</f>
        <v>1000</v>
      </c>
      <c r="AI262" s="38">
        <f>C262/B262*1000</f>
        <v>15.979666734751698</v>
      </c>
      <c r="AJ262" s="38">
        <f>D262/B262*1000</f>
        <v>12.016459007320238</v>
      </c>
      <c r="AL262" s="38"/>
      <c r="AM262" s="38"/>
    </row>
    <row r="263" spans="1:39">
      <c r="A263" s="4" t="s">
        <v>264</v>
      </c>
      <c r="B263" s="5"/>
      <c r="C263" s="5"/>
      <c r="D263" s="5"/>
      <c r="E263" s="5"/>
      <c r="F263" s="5"/>
      <c r="G263" s="5"/>
      <c r="H263" s="6" t="s">
        <v>9</v>
      </c>
      <c r="I263" s="6" t="s">
        <v>9</v>
      </c>
      <c r="J263" s="5"/>
      <c r="K263" s="5">
        <v>3338</v>
      </c>
      <c r="L263" s="5">
        <v>1686</v>
      </c>
      <c r="M263" s="5">
        <v>1226</v>
      </c>
      <c r="N263" s="5">
        <v>1692</v>
      </c>
      <c r="O263" s="5">
        <v>1759</v>
      </c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 spans="1:39">
      <c r="A264" s="4" t="s">
        <v>265</v>
      </c>
      <c r="B264" s="5"/>
      <c r="C264" s="5"/>
      <c r="D264" s="5"/>
      <c r="E264" s="5"/>
      <c r="F264" s="5"/>
      <c r="G264" s="5"/>
      <c r="H264" s="6" t="s">
        <v>9</v>
      </c>
      <c r="I264" s="6" t="s">
        <v>9</v>
      </c>
      <c r="J264" s="5"/>
      <c r="K264" s="5">
        <v>2699</v>
      </c>
      <c r="L264" s="5">
        <v>1043</v>
      </c>
      <c r="M264" s="5">
        <v>1855</v>
      </c>
      <c r="N264" s="5">
        <v>1291</v>
      </c>
      <c r="O264" s="5">
        <v>1407</v>
      </c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 spans="1:39">
      <c r="A265" s="32" t="s">
        <v>266</v>
      </c>
      <c r="B265" s="33">
        <v>774191</v>
      </c>
      <c r="C265" s="33">
        <v>5624</v>
      </c>
      <c r="D265" s="33">
        <v>3552</v>
      </c>
      <c r="E265" s="33">
        <v>49277</v>
      </c>
      <c r="F265" s="33">
        <v>1734</v>
      </c>
      <c r="G265" s="33">
        <v>1277</v>
      </c>
      <c r="H265" s="34" t="s">
        <v>9</v>
      </c>
      <c r="I265" s="34" t="s">
        <v>9</v>
      </c>
      <c r="J265" s="5"/>
      <c r="K265" s="33">
        <v>176226</v>
      </c>
      <c r="L265" s="33">
        <v>109721</v>
      </c>
      <c r="M265" s="33">
        <v>138347</v>
      </c>
      <c r="N265" s="33">
        <v>103927</v>
      </c>
      <c r="O265" s="33">
        <v>129812</v>
      </c>
      <c r="P265" s="33">
        <v>116158</v>
      </c>
      <c r="Q265" s="33"/>
      <c r="R265" s="33"/>
      <c r="S265" s="33"/>
      <c r="T265" s="33"/>
      <c r="U265" s="33"/>
      <c r="V265" s="33"/>
      <c r="W265" s="33"/>
      <c r="X265" s="33"/>
      <c r="Y265" s="33"/>
      <c r="AA265" s="37">
        <f>SUM(K265:Y265)</f>
        <v>774191</v>
      </c>
      <c r="AB265" s="37">
        <f>SUM(K266:Y266)</f>
        <v>5624</v>
      </c>
      <c r="AC265" s="37">
        <f>SUM(K267:Y267)</f>
        <v>3552</v>
      </c>
      <c r="AE265" s="37">
        <f>AA265-B265</f>
        <v>0</v>
      </c>
      <c r="AF265" s="37">
        <f>AB265-C265</f>
        <v>0</v>
      </c>
      <c r="AG265" s="37">
        <f>AC265-D265</f>
        <v>0</v>
      </c>
      <c r="AI265" s="38">
        <f>C265/B265*1000</f>
        <v>7.2643572451759324</v>
      </c>
      <c r="AJ265" s="38">
        <f>D265/B265*1000</f>
        <v>4.588015102216378</v>
      </c>
      <c r="AL265" s="38"/>
      <c r="AM265" s="38"/>
    </row>
    <row r="266" spans="1:39">
      <c r="A266" s="4" t="s">
        <v>267</v>
      </c>
      <c r="B266" s="5"/>
      <c r="C266" s="5"/>
      <c r="D266" s="5"/>
      <c r="E266" s="5"/>
      <c r="F266" s="5"/>
      <c r="G266" s="5"/>
      <c r="H266" s="6" t="s">
        <v>9</v>
      </c>
      <c r="I266" s="6" t="s">
        <v>9</v>
      </c>
      <c r="J266" s="5"/>
      <c r="K266" s="5">
        <v>2057</v>
      </c>
      <c r="L266" s="5">
        <v>254</v>
      </c>
      <c r="M266" s="5">
        <v>1296</v>
      </c>
      <c r="N266" s="5">
        <v>533</v>
      </c>
      <c r="O266" s="5">
        <v>796</v>
      </c>
      <c r="P266" s="5">
        <v>688</v>
      </c>
      <c r="Q266" s="5"/>
      <c r="R266" s="5"/>
      <c r="S266" s="5"/>
      <c r="T266" s="5"/>
      <c r="U266" s="5"/>
      <c r="V266" s="5"/>
      <c r="W266" s="5"/>
      <c r="X266" s="5"/>
      <c r="Y266" s="5"/>
    </row>
    <row r="267" spans="1:39">
      <c r="A267" s="4" t="s">
        <v>268</v>
      </c>
      <c r="B267" s="5"/>
      <c r="C267" s="5"/>
      <c r="D267" s="5"/>
      <c r="E267" s="5"/>
      <c r="F267" s="5"/>
      <c r="G267" s="5"/>
      <c r="H267" s="6" t="s">
        <v>9</v>
      </c>
      <c r="I267" s="6" t="s">
        <v>9</v>
      </c>
      <c r="J267" s="5"/>
      <c r="K267" s="5">
        <v>1755</v>
      </c>
      <c r="L267" s="5">
        <v>118</v>
      </c>
      <c r="M267" s="5">
        <v>694</v>
      </c>
      <c r="N267" s="5">
        <v>362</v>
      </c>
      <c r="O267" s="5">
        <v>372</v>
      </c>
      <c r="P267" s="5">
        <v>251</v>
      </c>
      <c r="Q267" s="5"/>
      <c r="R267" s="5"/>
      <c r="S267" s="5"/>
      <c r="T267" s="5"/>
      <c r="U267" s="5"/>
      <c r="V267" s="5"/>
      <c r="W267" s="5"/>
      <c r="X267" s="5"/>
      <c r="Y267" s="5"/>
    </row>
    <row r="268" spans="1:39">
      <c r="A268" s="32" t="s">
        <v>269</v>
      </c>
      <c r="B268" s="33">
        <v>1319810</v>
      </c>
      <c r="C268" s="33">
        <v>30167</v>
      </c>
      <c r="D268" s="33">
        <v>23665</v>
      </c>
      <c r="E268" s="33" t="s">
        <v>9</v>
      </c>
      <c r="F268" s="33" t="s">
        <v>9</v>
      </c>
      <c r="G268" s="33" t="s">
        <v>9</v>
      </c>
      <c r="H268" s="34">
        <v>22.9</v>
      </c>
      <c r="I268" s="34">
        <v>17.600000000000001</v>
      </c>
      <c r="J268" s="5"/>
      <c r="K268" s="33">
        <v>426750</v>
      </c>
      <c r="L268" s="33">
        <v>199883</v>
      </c>
      <c r="M268" s="33">
        <v>145232</v>
      </c>
      <c r="N268" s="33">
        <v>123542</v>
      </c>
      <c r="O268" s="33">
        <v>232383</v>
      </c>
      <c r="P268" s="33">
        <v>192020</v>
      </c>
      <c r="Q268" s="33"/>
      <c r="R268" s="33"/>
      <c r="S268" s="33"/>
      <c r="T268" s="33"/>
      <c r="U268" s="33"/>
      <c r="V268" s="33"/>
      <c r="W268" s="33"/>
      <c r="X268" s="33"/>
      <c r="Y268" s="33"/>
      <c r="AA268" s="37">
        <f>SUM(K268:Y268)</f>
        <v>1319810</v>
      </c>
      <c r="AB268" s="37">
        <f>SUM(K269:Y269)</f>
        <v>30167</v>
      </c>
      <c r="AC268" s="37">
        <f>SUM(K270:Y270)</f>
        <v>23665</v>
      </c>
      <c r="AE268" s="37">
        <f>AA268-B268</f>
        <v>0</v>
      </c>
      <c r="AF268" s="37">
        <f>AB268-C268</f>
        <v>0</v>
      </c>
      <c r="AG268" s="37">
        <f>AC268-D268</f>
        <v>0</v>
      </c>
      <c r="AI268" s="38">
        <f>C268/B268*1000</f>
        <v>22.857077912729864</v>
      </c>
      <c r="AJ268" s="38">
        <f>D268/B268*1000</f>
        <v>17.930611224342897</v>
      </c>
      <c r="AL268" s="38">
        <f>AI268-H268</f>
        <v>-4.2922087270135023E-2</v>
      </c>
      <c r="AM268" s="38">
        <f>AJ268-I268</f>
        <v>0.33061122434289558</v>
      </c>
    </row>
    <row r="269" spans="1:39">
      <c r="A269" s="4" t="s">
        <v>270</v>
      </c>
      <c r="B269" s="5"/>
      <c r="C269" s="5"/>
      <c r="D269" s="5"/>
      <c r="E269" s="5"/>
      <c r="F269" s="5"/>
      <c r="G269" s="5"/>
      <c r="H269" s="6" t="s">
        <v>9</v>
      </c>
      <c r="I269" s="6" t="s">
        <v>9</v>
      </c>
      <c r="J269" s="5"/>
      <c r="K269" s="5">
        <v>543</v>
      </c>
      <c r="L269" s="5">
        <v>8932</v>
      </c>
      <c r="M269" s="5" t="s">
        <v>9</v>
      </c>
      <c r="N269" s="5">
        <v>2959</v>
      </c>
      <c r="O269" s="5">
        <v>17675</v>
      </c>
      <c r="P269" s="5">
        <v>58</v>
      </c>
      <c r="Q269" s="5"/>
      <c r="R269" s="5"/>
      <c r="S269" s="5"/>
      <c r="T269" s="5"/>
      <c r="U269" s="5"/>
      <c r="V269" s="5"/>
      <c r="W269" s="5"/>
      <c r="X269" s="5"/>
      <c r="Y269" s="5"/>
    </row>
    <row r="270" spans="1:39">
      <c r="A270" s="4" t="s">
        <v>271</v>
      </c>
      <c r="B270" s="5"/>
      <c r="C270" s="5"/>
      <c r="D270" s="5"/>
      <c r="E270" s="5"/>
      <c r="F270" s="5"/>
      <c r="G270" s="5"/>
      <c r="H270" s="6" t="s">
        <v>9</v>
      </c>
      <c r="I270" s="6" t="s">
        <v>9</v>
      </c>
      <c r="J270" s="5"/>
      <c r="K270" s="5">
        <v>306</v>
      </c>
      <c r="L270" s="5">
        <v>4766</v>
      </c>
      <c r="M270" s="5" t="s">
        <v>9</v>
      </c>
      <c r="N270" s="5">
        <v>1729</v>
      </c>
      <c r="O270" s="5">
        <v>16843</v>
      </c>
      <c r="P270" s="5">
        <v>21</v>
      </c>
      <c r="Q270" s="5"/>
      <c r="R270" s="5"/>
      <c r="S270" s="5"/>
      <c r="T270" s="5"/>
      <c r="U270" s="5"/>
      <c r="V270" s="5"/>
      <c r="W270" s="5"/>
      <c r="X270" s="5"/>
      <c r="Y270" s="5"/>
    </row>
    <row r="271" spans="1:39">
      <c r="A271" s="32" t="s">
        <v>272</v>
      </c>
      <c r="B271" s="33">
        <v>373385</v>
      </c>
      <c r="C271" s="33">
        <v>10092</v>
      </c>
      <c r="D271" s="33">
        <v>6217</v>
      </c>
      <c r="E271" s="33" t="s">
        <v>9</v>
      </c>
      <c r="F271" s="33" t="s">
        <v>9</v>
      </c>
      <c r="G271" s="33" t="s">
        <v>9</v>
      </c>
      <c r="H271" s="34" t="s">
        <v>9</v>
      </c>
      <c r="I271" s="34" t="s">
        <v>9</v>
      </c>
      <c r="J271" s="5"/>
      <c r="K271" s="33">
        <v>78248</v>
      </c>
      <c r="L271" s="33">
        <v>93310</v>
      </c>
      <c r="M271" s="33">
        <v>71608</v>
      </c>
      <c r="N271" s="33">
        <v>130219</v>
      </c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AA271" s="37">
        <f>SUM(K271:Y271)</f>
        <v>373385</v>
      </c>
      <c r="AB271" s="37">
        <f>SUM(K272:Y272)</f>
        <v>10092</v>
      </c>
      <c r="AC271" s="37">
        <f>SUM(K273:Y273)</f>
        <v>6217</v>
      </c>
      <c r="AE271" s="37">
        <f>AA271-B271</f>
        <v>0</v>
      </c>
      <c r="AF271" s="37">
        <f>AB271-C271</f>
        <v>0</v>
      </c>
      <c r="AG271" s="37">
        <f>AC271-D271</f>
        <v>0</v>
      </c>
      <c r="AI271" s="38">
        <f>C271/B271*1000</f>
        <v>27.028402319321877</v>
      </c>
      <c r="AJ271" s="38">
        <f>D271/B271*1000</f>
        <v>16.650374278559664</v>
      </c>
      <c r="AL271" s="38"/>
      <c r="AM271" s="38"/>
    </row>
    <row r="272" spans="1:39">
      <c r="A272" s="4" t="s">
        <v>273</v>
      </c>
      <c r="B272" s="5"/>
      <c r="C272" s="5"/>
      <c r="D272" s="5"/>
      <c r="E272" s="5"/>
      <c r="F272" s="5"/>
      <c r="G272" s="5"/>
      <c r="H272" s="6" t="s">
        <v>9</v>
      </c>
      <c r="I272" s="6" t="s">
        <v>9</v>
      </c>
      <c r="J272" s="5"/>
      <c r="K272" s="5">
        <v>2394</v>
      </c>
      <c r="L272" s="5">
        <v>134</v>
      </c>
      <c r="M272" s="5">
        <v>2121</v>
      </c>
      <c r="N272" s="5">
        <v>5443</v>
      </c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 spans="1:39">
      <c r="A273" s="4" t="s">
        <v>274</v>
      </c>
      <c r="B273" s="5"/>
      <c r="C273" s="5"/>
      <c r="D273" s="5"/>
      <c r="E273" s="5"/>
      <c r="F273" s="5"/>
      <c r="G273" s="5"/>
      <c r="H273" s="6" t="s">
        <v>9</v>
      </c>
      <c r="I273" s="6" t="s">
        <v>9</v>
      </c>
      <c r="J273" s="5"/>
      <c r="K273" s="5">
        <v>1153</v>
      </c>
      <c r="L273" s="5">
        <v>100</v>
      </c>
      <c r="M273" s="5">
        <v>1449</v>
      </c>
      <c r="N273" s="5">
        <v>3515</v>
      </c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 spans="1:39">
      <c r="A274" s="32" t="s">
        <v>275</v>
      </c>
      <c r="B274" s="33">
        <v>558220</v>
      </c>
      <c r="C274" s="33">
        <v>9110</v>
      </c>
      <c r="D274" s="33">
        <v>5369</v>
      </c>
      <c r="E274" s="33">
        <v>41675</v>
      </c>
      <c r="F274" s="33">
        <v>2518</v>
      </c>
      <c r="G274" s="33">
        <v>1106</v>
      </c>
      <c r="H274" s="34" t="s">
        <v>9</v>
      </c>
      <c r="I274" s="34" t="s">
        <v>9</v>
      </c>
      <c r="J274" s="5"/>
      <c r="K274" s="33">
        <v>236586</v>
      </c>
      <c r="L274" s="33">
        <v>100338</v>
      </c>
      <c r="M274" s="33">
        <v>141390</v>
      </c>
      <c r="N274" s="33">
        <v>89906</v>
      </c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AA274" s="37">
        <f>SUM(K274:Y274)</f>
        <v>568220</v>
      </c>
      <c r="AB274" s="37">
        <f>SUM(K275:Y275)</f>
        <v>9110</v>
      </c>
      <c r="AC274" s="37">
        <f>SUM(K276:Y276)</f>
        <v>5369</v>
      </c>
      <c r="AE274" s="37">
        <f>AA274-B274</f>
        <v>10000</v>
      </c>
      <c r="AF274" s="37">
        <f>AB274-C274</f>
        <v>0</v>
      </c>
      <c r="AG274" s="37">
        <f>AC274-D274</f>
        <v>0</v>
      </c>
      <c r="AI274" s="38">
        <f>C274/B274*1000</f>
        <v>16.319730572175846</v>
      </c>
      <c r="AJ274" s="38">
        <f>D274/B274*1000</f>
        <v>9.6180717279925467</v>
      </c>
      <c r="AL274" s="38"/>
      <c r="AM274" s="38"/>
    </row>
    <row r="275" spans="1:39">
      <c r="A275" s="4" t="s">
        <v>276</v>
      </c>
      <c r="B275" s="5"/>
      <c r="C275" s="5"/>
      <c r="D275" s="5"/>
      <c r="E275" s="5"/>
      <c r="F275" s="5"/>
      <c r="G275" s="5"/>
      <c r="H275" s="6" t="s">
        <v>9</v>
      </c>
      <c r="I275" s="6" t="s">
        <v>9</v>
      </c>
      <c r="J275" s="5"/>
      <c r="K275" s="5">
        <v>6861</v>
      </c>
      <c r="L275" s="5">
        <v>932</v>
      </c>
      <c r="M275" s="5">
        <v>1263</v>
      </c>
      <c r="N275" s="5">
        <v>54</v>
      </c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 spans="1:39">
      <c r="A276" s="4" t="s">
        <v>277</v>
      </c>
      <c r="B276" s="5"/>
      <c r="C276" s="5"/>
      <c r="D276" s="5"/>
      <c r="E276" s="5"/>
      <c r="F276" s="5"/>
      <c r="G276" s="5"/>
      <c r="H276" s="6" t="s">
        <v>9</v>
      </c>
      <c r="I276" s="6" t="s">
        <v>9</v>
      </c>
      <c r="J276" s="5"/>
      <c r="K276" s="5">
        <v>4094</v>
      </c>
      <c r="L276" s="5">
        <v>531</v>
      </c>
      <c r="M276" s="5">
        <v>728</v>
      </c>
      <c r="N276" s="5">
        <v>16</v>
      </c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 spans="1:39">
      <c r="A277" s="32" t="s">
        <v>278</v>
      </c>
      <c r="B277" s="33">
        <v>918148</v>
      </c>
      <c r="C277" s="33">
        <v>41395</v>
      </c>
      <c r="D277" s="33">
        <v>20791</v>
      </c>
      <c r="E277" s="33">
        <v>172562</v>
      </c>
      <c r="F277" s="33">
        <v>7064</v>
      </c>
      <c r="G277" s="33">
        <v>3506</v>
      </c>
      <c r="H277" s="34">
        <v>45.1</v>
      </c>
      <c r="I277" s="34">
        <v>22.6</v>
      </c>
      <c r="J277" s="5"/>
      <c r="K277" s="33">
        <v>202324</v>
      </c>
      <c r="L277" s="33">
        <v>185436</v>
      </c>
      <c r="M277" s="33">
        <v>269801</v>
      </c>
      <c r="N277" s="33">
        <v>197209</v>
      </c>
      <c r="O277" s="33">
        <v>63378</v>
      </c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AA277" s="37">
        <f>SUM(K277:Y277)</f>
        <v>918148</v>
      </c>
      <c r="AB277" s="37">
        <f>SUM(K278:Y278)</f>
        <v>41395</v>
      </c>
      <c r="AC277" s="37">
        <f>SUM(K279:Y279)</f>
        <v>20791</v>
      </c>
      <c r="AE277" s="37">
        <f>AA277-B277</f>
        <v>0</v>
      </c>
      <c r="AF277" s="37">
        <f>AB277-C277</f>
        <v>0</v>
      </c>
      <c r="AG277" s="37">
        <f>AC277-D277</f>
        <v>0</v>
      </c>
      <c r="AI277" s="38">
        <f>C277/B277*1000</f>
        <v>45.085323934703339</v>
      </c>
      <c r="AJ277" s="38">
        <f>D277/B277*1000</f>
        <v>22.644497401290423</v>
      </c>
      <c r="AL277" s="38">
        <f>AI277-H277</f>
        <v>-1.4676065296661989E-2</v>
      </c>
      <c r="AM277" s="38">
        <f>AJ277-I277</f>
        <v>4.4497401290421124E-2</v>
      </c>
    </row>
    <row r="278" spans="1:39">
      <c r="A278" s="4" t="s">
        <v>279</v>
      </c>
      <c r="B278" s="5"/>
      <c r="C278" s="5"/>
      <c r="D278" s="5"/>
      <c r="E278" s="5"/>
      <c r="F278" s="5"/>
      <c r="G278" s="5"/>
      <c r="H278" s="6" t="s">
        <v>9</v>
      </c>
      <c r="I278" s="6" t="s">
        <v>9</v>
      </c>
      <c r="J278" s="5"/>
      <c r="K278" s="5">
        <v>13106</v>
      </c>
      <c r="L278" s="5">
        <v>8664</v>
      </c>
      <c r="M278" s="5">
        <v>17025</v>
      </c>
      <c r="N278" s="5" t="s">
        <v>9</v>
      </c>
      <c r="O278" s="5">
        <v>2600</v>
      </c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 spans="1:39">
      <c r="A279" s="4" t="s">
        <v>280</v>
      </c>
      <c r="B279" s="5"/>
      <c r="C279" s="5"/>
      <c r="D279" s="5"/>
      <c r="E279" s="5"/>
      <c r="F279" s="5"/>
      <c r="G279" s="5"/>
      <c r="H279" s="6" t="s">
        <v>9</v>
      </c>
      <c r="I279" s="6" t="s">
        <v>9</v>
      </c>
      <c r="J279" s="5"/>
      <c r="K279" s="5">
        <v>10559</v>
      </c>
      <c r="L279" s="5">
        <v>3618</v>
      </c>
      <c r="M279" s="5">
        <v>4388</v>
      </c>
      <c r="N279" s="5" t="s">
        <v>9</v>
      </c>
      <c r="O279" s="5">
        <v>2226</v>
      </c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 spans="1:39">
      <c r="A280" s="40" t="s">
        <v>281</v>
      </c>
      <c r="B280" s="41">
        <v>6575501</v>
      </c>
      <c r="C280" s="41">
        <v>127699</v>
      </c>
      <c r="D280" s="41">
        <v>84855</v>
      </c>
      <c r="E280" s="41"/>
      <c r="F280" s="41"/>
      <c r="G280" s="41"/>
      <c r="H280" s="42">
        <v>32</v>
      </c>
      <c r="I280" s="42">
        <v>19.7</v>
      </c>
      <c r="J280" s="5"/>
      <c r="K280" s="41"/>
      <c r="L280" s="41"/>
      <c r="M280" s="41"/>
      <c r="N280" s="41"/>
      <c r="O280" s="41"/>
      <c r="P280" s="41"/>
      <c r="Q280" s="41"/>
      <c r="R280" s="41"/>
      <c r="S280" s="41"/>
      <c r="T280" s="41"/>
      <c r="U280" s="41"/>
      <c r="V280" s="41"/>
      <c r="W280" s="41"/>
      <c r="X280" s="41"/>
      <c r="Y280" s="41"/>
      <c r="AA280" s="43">
        <f>SUM(AA253:AA279)</f>
        <v>5900818</v>
      </c>
      <c r="AB280" s="43">
        <f>SUM(AB253:AB279)</f>
        <v>127709</v>
      </c>
      <c r="AC280" s="43">
        <f>SUM(AC253:AC279)</f>
        <v>85855</v>
      </c>
      <c r="AE280" s="43">
        <f t="shared" ref="AE280:AG281" si="8">AA280-B280</f>
        <v>-674683</v>
      </c>
      <c r="AF280" s="43">
        <f t="shared" si="8"/>
        <v>10</v>
      </c>
      <c r="AG280" s="43">
        <f t="shared" si="8"/>
        <v>1000</v>
      </c>
      <c r="AI280" s="44">
        <f>C280/B280*1000</f>
        <v>19.420421348882769</v>
      </c>
      <c r="AJ280" s="44">
        <f>D280/B280*1000</f>
        <v>12.904720111821137</v>
      </c>
      <c r="AL280" s="44">
        <f>AI280-H280</f>
        <v>-12.579578651117231</v>
      </c>
      <c r="AM280" s="44">
        <f>AJ280-I280</f>
        <v>-6.7952798881788627</v>
      </c>
    </row>
    <row r="281" spans="1:39">
      <c r="A281" s="40" t="s">
        <v>282</v>
      </c>
      <c r="B281" s="41">
        <v>124798698</v>
      </c>
      <c r="C281" s="41">
        <v>5654063</v>
      </c>
      <c r="D281" s="41">
        <v>3869936</v>
      </c>
      <c r="E281" s="41"/>
      <c r="F281" s="41"/>
      <c r="G281" s="41"/>
      <c r="H281" s="42">
        <v>46.6</v>
      </c>
      <c r="I281" s="42">
        <v>31.9</v>
      </c>
      <c r="J281" s="5"/>
      <c r="K281" s="41"/>
      <c r="L281" s="41"/>
      <c r="M281" s="41"/>
      <c r="N281" s="41"/>
      <c r="O281" s="41"/>
      <c r="P281" s="41"/>
      <c r="Q281" s="41"/>
      <c r="R281" s="41"/>
      <c r="S281" s="41"/>
      <c r="T281" s="41"/>
      <c r="U281" s="41"/>
      <c r="V281" s="41"/>
      <c r="W281" s="41"/>
      <c r="X281" s="41"/>
      <c r="Y281" s="41"/>
      <c r="AA281" s="45">
        <f>SUM(AA194, AA226, AA252, AA280)</f>
        <v>123625802</v>
      </c>
      <c r="AB281" s="45">
        <f>SUM(AB194, AB226, AB252, AB280)</f>
        <v>5635258</v>
      </c>
      <c r="AC281" s="45">
        <f>SUM(AC194, AC226, AC252, AC280)</f>
        <v>3910126</v>
      </c>
      <c r="AE281" s="43">
        <f t="shared" si="8"/>
        <v>-1172896</v>
      </c>
      <c r="AF281" s="43">
        <f t="shared" si="8"/>
        <v>-18805</v>
      </c>
      <c r="AG281" s="43">
        <f t="shared" si="8"/>
        <v>40190</v>
      </c>
      <c r="AI281" s="44">
        <f>C281/B281*1000</f>
        <v>45.305464645151986</v>
      </c>
      <c r="AJ281" s="44">
        <f>D281/B281*1000</f>
        <v>31.009426075903452</v>
      </c>
      <c r="AL281" s="44">
        <f>AI281-H281</f>
        <v>-1.2945353548480156</v>
      </c>
      <c r="AM281" s="44">
        <f>AJ281-I281</f>
        <v>-0.89057392409654668</v>
      </c>
    </row>
  </sheetData>
  <mergeCells count="1">
    <mergeCell ref="K1:Y1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Oboguev, Sergey</cp:lastModifiedBy>
  <dcterms:modified xsi:type="dcterms:W3CDTF">2026-06-28T01:11:16Z</dcterms:modified>
</cp:coreProperties>
</file>