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E1BFD969-F8F9-46CD-8473-097695554EA3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<sst xmlns="http://schemas.openxmlformats.org/spreadsheetml/2006/main" count="461" uniqueCount="304">
  <si>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</si>
  <si>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</si>
  <si>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</si>
  <si>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</si>
  <si>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</si>
  <si>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</si>
  <si>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</si>
  <si>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</si>
  <si>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</si>
  <si>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</si>
  <si>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</si>
  <si>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</si>
  <si>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</si>
  <si>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</si>
  <si>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</si>
  <si>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</si>
  <si>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</si>
  <si>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</si>
  <si>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</si>
  <si>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</si>
  <si>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</si>
  <si>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</si>
  <si>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</si>
  <si>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</si>
  <si>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</si>
  <si>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</si>
  <si>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</si>
  <si>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</si>
  <si>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</si>
  <si>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</si>
  <si>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</si>
  <si>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</si>
  <si>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</si>
  <si>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</si>
  <si>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</si>
  <si>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</si>
  <si>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</si>
  <si>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</si>
  <si>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</si>
  <si>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</si>
  <si>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</si>
  <si>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</si>
  <si>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</si>
  <si>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</si>
  <si>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</si>
  <si>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</si>
  <si>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</si>
  <si>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</si>
  <si>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</si>
  <si>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</si>
  <si>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</si>
  <si>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</si>
  <si>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</si>
  <si>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</si>
  <si>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</si>
  <si>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</si>
  <si>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</si>
  <si>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</si>
  <si>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</si>
  <si>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</si>
  <si>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</si>
  <si>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</si>
  <si>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</si>
  <si>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</si>
  <si>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</si>
  <si>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</si>
  <si>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</si>
  <si>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</si>
  <si>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</si>
  <si>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</si>
  <si>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</si>
  <si>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</si>
  <si>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</si>
  <si>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</si>
  <si>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</si>
  <si>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</si>
  <si>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</si>
  <si>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</si>
  <si>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</si>
  <si>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</si>
  <si>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</si>
  <si>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</si>
  <si>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</si>
  <si>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</si>
  <si>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</si>
  <si>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</si>
  <si>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</si>
  <si>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</si>
  <si>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</si>
  <si>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</si>
  <si>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</si>
  <si>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</si>
  <si>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</si>
  <si>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</si>
  <si>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</si>
  <si>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</si>
  <si>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</si>
  <si>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</si>
  <si>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</si>
  <si>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</si>
  <si>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</si>
  <si>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</si>
  <si>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</si>
  <si>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</si>
  <si>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</si>
  <si>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</si>
  <si>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</si>
  <si>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</si>
  <si>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</si>
  <si>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</si>
  <si>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</si>
  <si>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</si>
  <si>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</si>
  <si>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</si>
  <si>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</si>
  <si>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</si>
  <si>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</si>
  <si>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</si>
  <si>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</si>
  <si>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</si>
  <si>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</si>
  <si>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</si>
  <si>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</si>
  <si>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</si>
  <si>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</si>
  <si>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</si>
  <si>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</si>
  <si>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</si>
  <si>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</si>
  <si>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</si>
  <si>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</si>
  <si>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</si>
  <si>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</si>
  <si>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</si>
  <si>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</si>
  <si>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</si>
  <si>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</si>
  <si>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</si>
  <si>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</si>
  <si>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</si>
  <si>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</si>
  <si>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</si>
  <si>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</si>
  <si>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</si>
  <si>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</si>
  <si>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</si>
  <si>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</si>
  <si>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</si>
  <si>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</si>
  <si>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</si>
  <si>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</si>
  <si>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</si>
  <si>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</si>
  <si>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</si>
  <si>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</si>
  <si>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</si>
  <si>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</si>
  <si>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</si>
  <si>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</si>
  <si>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</si>
  <si>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</si>
  <si>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</si>
  <si>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</si>
  <si>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</si>
  <si>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</si>
  <si>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</si>
  <si>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</si>
  <si>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</si>
  <si>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</si>
  <si>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</si>
  <si>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</si>
  <si>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</si>
  <si>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</si>
  <si>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</si>
  <si>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</si>
  <si>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</si>
  <si>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</si>
  <si>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</si>
  <si>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</si>
  <si>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</si>
  <si>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</si>
  <si>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</si>
  <si>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</si>
  <si>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</si>
  <si>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</si>
  <si>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</si>
  <si>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</si>
  <si>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</si>
  <si>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</si>
  <si>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</si>
  <si>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</si>
  <si>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</si>
  <si>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</si>
  <si>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</si>
  <si>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</si>
  <si>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</si>
  <si>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</si>
  <si>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</si>
  <si>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</si>
  <si>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</si>
  <si>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</si>
  <si>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</si>
  <si>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</si>
  <si>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</si>
  <si>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</si>
  <si>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</si>
  <si>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</si>
  <si>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</si>
  <si>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</si>
  <si>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</si>
  <si>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</si>
  <si>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</si>
  <si>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</si>
  <si>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</si>
  <si>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</si>
  <si>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</si>
  <si>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</si>
  <si>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</si>
  <si>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</si>
  <si>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</si>
  <si>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</si>
  <si>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</si>
  <si>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</si>
  <si>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</si>
  <si>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</si>
  <si>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</si>
  <si>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</si>
  <si>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</si>
  <si>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</si>
  <si>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</si>
  <si>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</si>
  <si>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</si>
  <si>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</si>
  <si>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</si>
  <si>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</si>
  <si>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</si>
  <si>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</si>
  <si>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</si>
  <si>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</si>
  <si>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</si>
  <si>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</si>
  <si>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</si>
  <si>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</si>
  <si>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</si>
  <si>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</si>
  <si>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</si>
  <si>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</si>
  <si>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</si>
  <si>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</si>
  <si>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</si>
  <si>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</si>
  <si>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</si>
  <si>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</si>
  <si>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</si>
  <si>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</si>
  <si>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</si>
  <si>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</si>
  <si>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</si>
  <si>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</si>
  <si>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</si>
  <si>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</si>
  <si>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</si>
  <si>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</si>
  <si>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</si>
  <si>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</si>
  <si>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</si>
  <si>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</si>
  <si>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</si>
  <si>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</si>
  <si>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</si>
  <si>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</si>
  <si>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</si>
  <si>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</si>
  <si>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</si>
  <si>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</si>
  <si>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</si>
  <si>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</si>
  <si>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</si>
  <si>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</si>
  <si>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</si>
  <si>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</si>
  <si>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</si>
  <si>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</si>
  <si>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</si>
  <si>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</si>
  <si>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</si>
  <si>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</si>
  <si>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</si>
  <si>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vd-чс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</si>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</sst>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3" fontId="1" fillId="6" borderId="0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282</v>
      </c>
      <c r="L1" s="35" t="s">
        <v>283</v>
      </c>
      <c r="M1" s="26"/>
      <c r="N1" s="53" t="s">
        <v>10</v>
      </c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D1" s="33" t="s">
        <v>279</v>
      </c>
      <c r="AE1" s="34" t="s">
        <v>280</v>
      </c>
      <c r="AF1" s="33" t="s">
        <v>281</v>
      </c>
      <c r="AH1" s="33" t="s">
        <v>286</v>
      </c>
      <c r="AI1" s="34" t="s">
        <v>287</v>
      </c>
      <c r="AJ1" s="33" t="s">
        <v>288</v>
      </c>
      <c r="AL1" s="33" t="s">
        <v>284</v>
      </c>
      <c r="AM1" s="33" t="s">
        <v>285</v>
      </c>
      <c r="AN1" s="42"/>
      <c r="AO1" s="33" t="s">
        <v>289</v>
      </c>
      <c r="AP1" s="33" t="s">
        <v>290</v>
      </c>
      <c r="AR1" s="43" t="s">
        <v>291</v>
      </c>
      <c r="AS1" s="43" t="s">
        <v>292</v>
      </c>
      <c r="AT1" s="43" t="s">
        <v>293</v>
      </c>
      <c r="AV1" s="43" t="s">
        <v>294</v>
      </c>
      <c r="AW1" s="43" t="s">
        <v>295</v>
      </c>
      <c r="AX1" s="43" t="s">
        <v>296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297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298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299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300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301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302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303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54"/>
      <c r="O11" s="54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71629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-18</v>
      </c>
      <c r="AL18" s="47">
        <f>C18/B18*1000</f>
        <v>51.350607767372331</v>
      </c>
      <c r="AM18" s="47">
        <f>D18/B18*1000</f>
        <v>29.238880457313414</v>
      </c>
      <c r="AO18" s="47">
        <f>AL18-K18</f>
        <v>-4.9392232627667454E-2</v>
      </c>
      <c r="AP18" s="47">
        <f>AM18-L18</f>
        <v>3.8880457313414496E-2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1830145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345</v>
      </c>
      <c r="AI30" s="12">
        <f>AE30-C30</f>
        <v>24</v>
      </c>
      <c r="AJ30" s="12">
        <f>AF30-D30</f>
        <v>0</v>
      </c>
      <c r="AL30" s="47">
        <f>C30/B30*1000</f>
        <v>46.728537902734487</v>
      </c>
      <c r="AM30" s="47">
        <f>D30/B30*1000</f>
        <v>26.509374940236977</v>
      </c>
      <c r="AO30" s="47">
        <f>AL30-K30</f>
        <v>0.62853790273448595</v>
      </c>
      <c r="AP30" s="47">
        <f>AM30-L30</f>
        <v>9.3749402369773804E-3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42000</v>
      </c>
      <c r="AG33" s="2"/>
      <c r="AH33" s="12">
        <f>AD33-B33</f>
        <v>3349</v>
      </c>
      <c r="AI33" s="12">
        <f>AE33-C33</f>
        <v>64</v>
      </c>
      <c r="AJ33" s="12">
        <f>AF33-D33</f>
        <v>-1587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2">
        <v>1626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576722</v>
      </c>
      <c r="AG42" s="2"/>
      <c r="AH42" s="23">
        <f>AD42-B42</f>
        <v>-40566</v>
      </c>
      <c r="AI42" s="23">
        <f>AE42-C42</f>
        <v>-808</v>
      </c>
      <c r="AJ42" s="23">
        <f>AF42-D42</f>
        <v>-1590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27120</v>
      </c>
      <c r="AG44" s="2"/>
      <c r="AH44" s="12">
        <f>AD44-B44</f>
        <v>-35461</v>
      </c>
      <c r="AI44" s="12">
        <f>AE44-C44</f>
        <v>0</v>
      </c>
      <c r="AJ44" s="12">
        <f>AF44-D44</f>
        <v>999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2">
        <v>2712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24884</v>
      </c>
      <c r="AG56" s="2"/>
      <c r="AH56" s="12">
        <f>AD56-B56</f>
        <v>-117</v>
      </c>
      <c r="AI56" s="12">
        <f>AE56-C56</f>
        <v>0</v>
      </c>
      <c r="AJ56" s="12">
        <f>AF56-D56</f>
        <v>-1000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2">
        <v>1683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3">
        <v>28596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-2000</v>
      </c>
      <c r="AL59" s="47">
        <f>C59/B59*1000</f>
        <v>41.242995889423732</v>
      </c>
      <c r="AM59" s="47">
        <f>D59/B59*1000</f>
        <v>22.949246180342104</v>
      </c>
      <c r="AO59" s="47">
        <f>AL59-K59</f>
        <v>4.2995889423728784E-2</v>
      </c>
      <c r="AP59" s="47">
        <f>AM59-L59</f>
        <v>1.5492461803421058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208959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-1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2406662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-9364</v>
      </c>
      <c r="AI84" s="23">
        <f t="shared" si="73"/>
        <v>32</v>
      </c>
      <c r="AJ84" s="23">
        <f t="shared" si="73"/>
        <v>-20538</v>
      </c>
      <c r="AL84" s="49">
        <f>C84/B84*1000</f>
        <v>28.360442804182725</v>
      </c>
      <c r="AM84" s="49">
        <f>D84/B84*1000</f>
        <v>19.11028636343616</v>
      </c>
      <c r="AN84" s="48"/>
      <c r="AO84" s="49">
        <f>AL84-K84</f>
        <v>6.0442804182724075E-2</v>
      </c>
      <c r="AP84" s="49">
        <f>AM84-L84</f>
        <v>1.0286363436158297E-2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75911</v>
      </c>
      <c r="AF88" s="12">
        <f>SUM(N90:AB90)</f>
        <v>56493</v>
      </c>
      <c r="AG88" s="2"/>
      <c r="AH88" s="12">
        <f>AD88-B88</f>
        <v>-25065</v>
      </c>
      <c r="AI88" s="12">
        <f>AE88-C88</f>
        <v>-2029</v>
      </c>
      <c r="AJ88" s="12">
        <f>AF88-D88</f>
        <v>-1813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8">
        <v>2729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8">
        <v>1925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117774</v>
      </c>
      <c r="AG94" s="2"/>
      <c r="AH94" s="12">
        <f>AD94-B94</f>
        <v>-20000</v>
      </c>
      <c r="AI94" s="12">
        <f>AE94-C94</f>
        <v>-1</v>
      </c>
      <c r="AJ94" s="12">
        <f>AF94-D94</f>
        <v>-1000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8">
        <v>12785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17">
        <v>48687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3159</v>
      </c>
      <c r="AL106" s="47">
        <f>C106/B106*1000</f>
        <v>45.975250112735296</v>
      </c>
      <c r="AM106" s="47">
        <f>D106/B106*1000</f>
        <v>38.858360569383088</v>
      </c>
      <c r="AO106" s="47">
        <f>AL106-K106</f>
        <v>7.5250112735297137E-2</v>
      </c>
      <c r="AP106" s="47">
        <f>AM106-L106</f>
        <v>-4.1639430616911E-2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89881</v>
      </c>
      <c r="AG112" s="2"/>
      <c r="AH112" s="12">
        <f>AD112-B112</f>
        <v>91130</v>
      </c>
      <c r="AI112" s="12">
        <f>AE112-C112</f>
        <v>0</v>
      </c>
      <c r="AJ112" s="12">
        <f>AF112-D112</f>
        <v>-425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9">
        <v>4659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68783</v>
      </c>
      <c r="AG118" s="2"/>
      <c r="AH118" s="12">
        <f>AD118-B118</f>
        <v>100</v>
      </c>
      <c r="AI118" s="12">
        <f>AE118-C118</f>
        <v>0</v>
      </c>
      <c r="AJ118" s="12">
        <f>AF118-D118</f>
        <v>1069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9">
        <v>11122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109867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-200</v>
      </c>
      <c r="AJ127" s="12">
        <f>AF127-D127</f>
        <v>0</v>
      </c>
      <c r="AL127" s="47">
        <f>C127/B127*1000</f>
        <v>51.643863369178391</v>
      </c>
      <c r="AM127" s="47">
        <f>D127/B127*1000</f>
        <v>42.214969749416774</v>
      </c>
      <c r="AO127" s="47">
        <f>AL127-K127</f>
        <v>4.3863369178389178E-2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17">
        <v>66132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87635</v>
      </c>
      <c r="AF142" s="12">
        <f>SUM(N144:AB144)</f>
        <v>70719</v>
      </c>
      <c r="AG142" s="2"/>
      <c r="AH142" s="12">
        <f>AD142-B142</f>
        <v>-4218</v>
      </c>
      <c r="AI142" s="12">
        <f>AE142-C142</f>
        <v>-4631</v>
      </c>
      <c r="AJ142" s="12">
        <f>AF142-D142</f>
        <v>4587</v>
      </c>
      <c r="AL142" s="47">
        <f>C142/B142*1000</f>
        <v>47.196816238004622</v>
      </c>
      <c r="AM142" s="47">
        <f>D142/B142*1000</f>
        <v>33.828494260634706</v>
      </c>
      <c r="AO142" s="47">
        <f>AL142-K142</f>
        <v>-3.1837619953805074E-3</v>
      </c>
      <c r="AP142" s="47">
        <f>AM142-L142</f>
        <v>2.8494260634708724E-2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9">
        <v>2524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9">
        <v>1686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91273</v>
      </c>
      <c r="AG153" s="2"/>
      <c r="AH153" s="12">
        <f>AD153-B153</f>
        <v>-15186</v>
      </c>
      <c r="AI153" s="12">
        <f>AE153-C153</f>
        <v>-702</v>
      </c>
      <c r="AJ153" s="12">
        <f>AF153-D153</f>
        <v>-13653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9">
        <v>1647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/>
      <c r="W162" s="17"/>
      <c r="X162" s="17"/>
      <c r="Y162" s="17"/>
      <c r="Z162" s="17"/>
      <c r="AA162" s="17"/>
      <c r="AB162" s="17"/>
      <c r="AC162" s="2"/>
      <c r="AD162" s="12">
        <f>SUM(N162:AB162)</f>
        <v>1136479</v>
      </c>
      <c r="AE162" s="12">
        <f>SUM(N163:AB163)</f>
        <v>60920</v>
      </c>
      <c r="AF162" s="12">
        <f>SUM(N164:AB164)</f>
        <v>34186</v>
      </c>
      <c r="AG162" s="2"/>
      <c r="AH162" s="12">
        <f>AD162-B162</f>
        <v>-44690</v>
      </c>
      <c r="AI162" s="12">
        <f>AE162-C162</f>
        <v>3033</v>
      </c>
      <c r="AJ162" s="12">
        <f>AF162-D162</f>
        <v>-1219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/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/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114406</v>
      </c>
      <c r="AG165" s="2"/>
      <c r="AH165" s="12">
        <f>AD165-B165</f>
        <v>-6</v>
      </c>
      <c r="AI165" s="12">
        <f>AE165-C165</f>
        <v>-450</v>
      </c>
      <c r="AJ165" s="12">
        <f>AF165-D165</f>
        <v>-253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">
        <v>5275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57093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-257</v>
      </c>
      <c r="AL168" s="47">
        <f>C168/B168*1000</f>
        <v>46.791073085051785</v>
      </c>
      <c r="AM168" s="47">
        <f>D168/B168*1000</f>
        <v>30.332830734803299</v>
      </c>
      <c r="AO168" s="47">
        <f>AL168-K168</f>
        <v>1.0910730850517822</v>
      </c>
      <c r="AP168" s="47">
        <f>AM168-L168</f>
        <v>3.2830734803297901E-2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67408</v>
      </c>
      <c r="AG174" s="2"/>
      <c r="AH174" s="12">
        <f>AD174-B174</f>
        <v>0</v>
      </c>
      <c r="AI174" s="12">
        <f>AE174-C174</f>
        <v>0</v>
      </c>
      <c r="AJ174" s="12">
        <f>AF174-D174</f>
        <v>-300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">
        <v>6139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65165942</v>
      </c>
      <c r="AE191" s="23">
        <f>SUM(AE85:AE190)</f>
        <v>3204543</v>
      </c>
      <c r="AF191" s="23">
        <f>SUM(AF85:AF190)</f>
        <v>2358640</v>
      </c>
      <c r="AG191" s="2"/>
      <c r="AH191" s="23">
        <f t="shared" ref="AH191:AJ192" si="181">AD191-B191</f>
        <v>-193405</v>
      </c>
      <c r="AI191" s="23">
        <f t="shared" si="181"/>
        <v>-7516</v>
      </c>
      <c r="AJ191" s="23">
        <f t="shared" si="181"/>
        <v>-10115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3288308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98932071</v>
      </c>
      <c r="AE195" s="23">
        <f>SUM(AE42, AE74, AE84, AE191, AE192)</f>
        <v>4695338</v>
      </c>
      <c r="AF195" s="23">
        <f>SUM(AF42, AF74, AF84, AF191, AF192)</f>
        <v>3251564</v>
      </c>
      <c r="AG195" s="2"/>
      <c r="AH195" s="23">
        <f t="shared" ref="AH195:AJ196" si="186">AD195-B195</f>
        <v>-171284</v>
      </c>
      <c r="AI195" s="23">
        <f t="shared" si="186"/>
        <v>-7291</v>
      </c>
      <c r="AJ195" s="23">
        <f t="shared" si="186"/>
        <v>-36744</v>
      </c>
      <c r="AL195" s="49">
        <f>C195/B195*1000</f>
        <v>47.451763868135444</v>
      </c>
      <c r="AM195" s="49">
        <f>D195/B195*1000</f>
        <v>33.180592120216311</v>
      </c>
      <c r="AN195" s="48"/>
      <c r="AO195" s="49">
        <f>AL195-K195</f>
        <v>-0.24823613186455873</v>
      </c>
      <c r="AP195" s="49">
        <f>AM195-L195</f>
        <v>-0.11940787978368661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91403</v>
      </c>
      <c r="AF206" s="12">
        <f>SUM(N208:AB208)</f>
        <v>65553</v>
      </c>
      <c r="AG206" s="2"/>
      <c r="AH206" s="12">
        <f>AD206-B206</f>
        <v>40</v>
      </c>
      <c r="AI206" s="12">
        <f>AE206-C206</f>
        <v>100</v>
      </c>
      <c r="AJ206" s="12">
        <f>AF206-D206</f>
        <v>-1041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10443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984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283752</v>
      </c>
      <c r="AF224" s="23">
        <f>SUM(AF196:AF223)</f>
        <v>205659</v>
      </c>
      <c r="AG224" s="2"/>
      <c r="AH224" s="23">
        <f>AD224-B224</f>
        <v>-105419</v>
      </c>
      <c r="AI224" s="23">
        <f>AE224-C224</f>
        <v>-20569</v>
      </c>
      <c r="AJ224" s="23">
        <f>AF224-D224</f>
        <v>-14349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4330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50</v>
      </c>
      <c r="AJ235" s="12">
        <f>AF235-D235</f>
        <v>0</v>
      </c>
      <c r="AL235" s="47">
        <f>C235/B235*1000</f>
        <v>32.595112991373206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61475</v>
      </c>
      <c r="AG238" s="2"/>
      <c r="AH238" s="12">
        <f>AD238-B238</f>
        <v>0</v>
      </c>
      <c r="AI238" s="12">
        <f>AE238-C238</f>
        <v>0</v>
      </c>
      <c r="AJ238" s="12">
        <f>AF238-D238</f>
        <v>200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">
        <v>624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4817908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150286</v>
      </c>
      <c r="AG250" s="2"/>
      <c r="AH250" s="23">
        <f>AD250-B250</f>
        <v>-1310</v>
      </c>
      <c r="AI250" s="23">
        <f>AE250-C250</f>
        <v>0</v>
      </c>
      <c r="AJ250" s="23">
        <f>AF250-D250</f>
        <v>112</v>
      </c>
      <c r="AL250" s="49">
        <f>C250/B250*1000</f>
        <v>44.633895043242831</v>
      </c>
      <c r="AM250" s="49">
        <f>D250/B250*1000</f>
        <v>31.169960073957409</v>
      </c>
      <c r="AN250" s="48"/>
      <c r="AO250" s="49">
        <f>AL250-K250</f>
        <v>-0.9661049567571709</v>
      </c>
      <c r="AP250" s="49">
        <f>AM250-L250</f>
        <v>-0.93003992604259267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118873150</v>
      </c>
      <c r="C275" s="22">
        <v>5369290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117957347</v>
      </c>
      <c r="AE275" s="23">
        <f>SUM(AE195, AE224, AE250, AE274)</f>
        <v>5341312</v>
      </c>
      <c r="AF275" s="23">
        <f>SUM(AF195, AF224, AF250, AF274)</f>
        <v>3710870</v>
      </c>
      <c r="AG275" s="2"/>
      <c r="AH275" s="23">
        <f t="shared" si="246"/>
        <v>-915803</v>
      </c>
      <c r="AI275" s="23">
        <f t="shared" si="246"/>
        <v>-27978</v>
      </c>
      <c r="AJ275" s="23">
        <f t="shared" si="246"/>
        <v>-46550</v>
      </c>
      <c r="AL275" s="49">
        <f>C275/B275*1000</f>
        <v>45.168231850506189</v>
      </c>
      <c r="AM275" s="49">
        <f>D275/B275*1000</f>
        <v>31.608651743476138</v>
      </c>
      <c r="AN275" s="48"/>
      <c r="AO275" s="49">
        <f>AL275-K275</f>
        <v>-2.0317681494938142</v>
      </c>
      <c r="AP275" s="49">
        <f>AM275-L275</f>
        <v>-1.3913482565238624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2026-06-28T01:16:40Z</dcterms:modified>
</cp:coreProperties>
</file>