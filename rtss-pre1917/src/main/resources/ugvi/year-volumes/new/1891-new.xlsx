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new\"/>
    </mc:Choice>
  </mc:AlternateContent>
  <xr:revisionPtr revIDLastSave="0" documentId="13_ncr:1_{AD6F8304-E2D4-4C3F-8F7E-7471380690A3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AF8" i="1"/>
  <c r="AE8" i="1"/>
  <c r="AD8" i="1"/>
  <c r="B8" i="1"/>
  <c r="AM252" i="1"/>
  <c r="AL252" i="1"/>
  <c r="AM274" i="1"/>
  <c r="AP274" i="1" s="1"/>
  <c r="AL274" i="1"/>
  <c r="AO274" i="1" s="1"/>
  <c r="AM273" i="1"/>
  <c r="AP273" i="1" s="1"/>
  <c r="AL273" i="1"/>
  <c r="AO273" i="1" s="1"/>
  <c r="AM249" i="1"/>
  <c r="AP249" i="1" s="1"/>
  <c r="AL249" i="1"/>
  <c r="AO249" i="1" s="1"/>
  <c r="AM223" i="1"/>
  <c r="AP223" i="1" s="1"/>
  <c r="AL223" i="1"/>
  <c r="AO223" i="1" s="1"/>
  <c r="AM194" i="1"/>
  <c r="AP194" i="1" s="1"/>
  <c r="AL194" i="1"/>
  <c r="AO194" i="1" s="1"/>
  <c r="AM190" i="1"/>
  <c r="AP190" i="1" s="1"/>
  <c r="AL190" i="1"/>
  <c r="AO190" i="1" s="1"/>
  <c r="AM83" i="1"/>
  <c r="AP83" i="1" s="1"/>
  <c r="AL83" i="1"/>
  <c r="AO83" i="1" s="1"/>
  <c r="AM73" i="1"/>
  <c r="AP73" i="1" s="1"/>
  <c r="AL73" i="1"/>
  <c r="AO73" i="1" s="1"/>
  <c r="AM41" i="1"/>
  <c r="AP41" i="1" s="1"/>
  <c r="AL41" i="1"/>
  <c r="AO41" i="1" s="1"/>
  <c r="AR270" i="1"/>
  <c r="AM270" i="1"/>
  <c r="AP270" i="1" s="1"/>
  <c r="AL270" i="1"/>
  <c r="AO270" i="1" s="1"/>
  <c r="AT267" i="1"/>
  <c r="AS267" i="1"/>
  <c r="AR267" i="1"/>
  <c r="AM267" i="1"/>
  <c r="AL267" i="1"/>
  <c r="AR264" i="1"/>
  <c r="AM264" i="1"/>
  <c r="AL264" i="1"/>
  <c r="AR261" i="1"/>
  <c r="AM261" i="1"/>
  <c r="AL261" i="1"/>
  <c r="AT258" i="1"/>
  <c r="AS258" i="1"/>
  <c r="AR258" i="1"/>
  <c r="AM258" i="1"/>
  <c r="AL258" i="1"/>
  <c r="AR255" i="1"/>
  <c r="AM255" i="1"/>
  <c r="AL255" i="1"/>
  <c r="AT250" i="1"/>
  <c r="AS250" i="1"/>
  <c r="AR250" i="1"/>
  <c r="AM250" i="1"/>
  <c r="AP250" i="1" s="1"/>
  <c r="AL250" i="1"/>
  <c r="AO250" i="1" s="1"/>
  <c r="AT246" i="1"/>
  <c r="AS246" i="1"/>
  <c r="AR246" i="1"/>
  <c r="AM246" i="1"/>
  <c r="AP246" i="1" s="1"/>
  <c r="AL246" i="1"/>
  <c r="AO246" i="1" s="1"/>
  <c r="AT243" i="1"/>
  <c r="AS243" i="1"/>
  <c r="AR243" i="1"/>
  <c r="AM243" i="1"/>
  <c r="AP243" i="1" s="1"/>
  <c r="AL243" i="1"/>
  <c r="AO243" i="1" s="1"/>
  <c r="AT240" i="1"/>
  <c r="AS240" i="1"/>
  <c r="AR240" i="1"/>
  <c r="AM240" i="1"/>
  <c r="AP240" i="1" s="1"/>
  <c r="AL240" i="1"/>
  <c r="AO240" i="1" s="1"/>
  <c r="AT237" i="1"/>
  <c r="AS237" i="1"/>
  <c r="AR237" i="1"/>
  <c r="AM237" i="1"/>
  <c r="AP237" i="1" s="1"/>
  <c r="AL237" i="1"/>
  <c r="AO237" i="1" s="1"/>
  <c r="AT234" i="1"/>
  <c r="AS234" i="1"/>
  <c r="AR234" i="1"/>
  <c r="AM234" i="1"/>
  <c r="AL234" i="1"/>
  <c r="AT231" i="1"/>
  <c r="AS231" i="1"/>
  <c r="AR231" i="1"/>
  <c r="AM231" i="1"/>
  <c r="AP231" i="1" s="1"/>
  <c r="AL231" i="1"/>
  <c r="AO231" i="1" s="1"/>
  <c r="AT228" i="1"/>
  <c r="AS228" i="1"/>
  <c r="AR228" i="1"/>
  <c r="AM228" i="1"/>
  <c r="AP228" i="1" s="1"/>
  <c r="AL228" i="1"/>
  <c r="AO228" i="1" s="1"/>
  <c r="AT225" i="1"/>
  <c r="AS225" i="1"/>
  <c r="AR225" i="1"/>
  <c r="AM225" i="1"/>
  <c r="AP225" i="1" s="1"/>
  <c r="AL225" i="1"/>
  <c r="AO225" i="1" s="1"/>
  <c r="AT220" i="1"/>
  <c r="AS220" i="1"/>
  <c r="AR220" i="1"/>
  <c r="AM220" i="1"/>
  <c r="AP220" i="1" s="1"/>
  <c r="AL220" i="1"/>
  <c r="AO220" i="1" s="1"/>
  <c r="AT217" i="1"/>
  <c r="AS217" i="1"/>
  <c r="AR217" i="1"/>
  <c r="AM217" i="1"/>
  <c r="AP217" i="1" s="1"/>
  <c r="AL217" i="1"/>
  <c r="AO217" i="1" s="1"/>
  <c r="AT214" i="1"/>
  <c r="AS214" i="1"/>
  <c r="AR214" i="1"/>
  <c r="AM214" i="1"/>
  <c r="AP214" i="1" s="1"/>
  <c r="AL214" i="1"/>
  <c r="AO214" i="1" s="1"/>
  <c r="AT211" i="1"/>
  <c r="AS211" i="1"/>
  <c r="AR211" i="1"/>
  <c r="AM211" i="1"/>
  <c r="AP211" i="1" s="1"/>
  <c r="AL211" i="1"/>
  <c r="AO211" i="1" s="1"/>
  <c r="AT208" i="1"/>
  <c r="AS208" i="1"/>
  <c r="AR208" i="1"/>
  <c r="AM208" i="1"/>
  <c r="AP208" i="1" s="1"/>
  <c r="AL208" i="1"/>
  <c r="AO208" i="1" s="1"/>
  <c r="AT205" i="1"/>
  <c r="AS205" i="1"/>
  <c r="AR205" i="1"/>
  <c r="AM205" i="1"/>
  <c r="AP205" i="1" s="1"/>
  <c r="AL205" i="1"/>
  <c r="AO205" i="1" s="1"/>
  <c r="AM204" i="1"/>
  <c r="AL204" i="1"/>
  <c r="AT201" i="1"/>
  <c r="AS201" i="1"/>
  <c r="AR201" i="1"/>
  <c r="AM201" i="1"/>
  <c r="AP201" i="1" s="1"/>
  <c r="AL201" i="1"/>
  <c r="AO201" i="1" s="1"/>
  <c r="AT198" i="1"/>
  <c r="AS198" i="1"/>
  <c r="AR198" i="1"/>
  <c r="AM198" i="1"/>
  <c r="AL198" i="1"/>
  <c r="AT195" i="1"/>
  <c r="AS195" i="1"/>
  <c r="AR195" i="1"/>
  <c r="AM195" i="1"/>
  <c r="AP195" i="1" s="1"/>
  <c r="AL195" i="1"/>
  <c r="AO195" i="1" s="1"/>
  <c r="AT191" i="1"/>
  <c r="AS191" i="1"/>
  <c r="AR191" i="1"/>
  <c r="AM191" i="1"/>
  <c r="AP191" i="1" s="1"/>
  <c r="AL191" i="1"/>
  <c r="AO191" i="1" s="1"/>
  <c r="AT187" i="1"/>
  <c r="AS187" i="1"/>
  <c r="AR187" i="1"/>
  <c r="AM187" i="1"/>
  <c r="AP187" i="1" s="1"/>
  <c r="AL187" i="1"/>
  <c r="AO187" i="1" s="1"/>
  <c r="AT184" i="1"/>
  <c r="AS184" i="1"/>
  <c r="AR184" i="1"/>
  <c r="AM184" i="1"/>
  <c r="AP184" i="1" s="1"/>
  <c r="AL184" i="1"/>
  <c r="AO184" i="1" s="1"/>
  <c r="AT183" i="1"/>
  <c r="AS183" i="1"/>
  <c r="AR183" i="1"/>
  <c r="AM183" i="1"/>
  <c r="AP183" i="1" s="1"/>
  <c r="AL183" i="1"/>
  <c r="AO183" i="1" s="1"/>
  <c r="AT182" i="1"/>
  <c r="AS182" i="1"/>
  <c r="AR182" i="1"/>
  <c r="AM182" i="1"/>
  <c r="AP182" i="1" s="1"/>
  <c r="AL182" i="1"/>
  <c r="AO182" i="1" s="1"/>
  <c r="AT179" i="1"/>
  <c r="AS179" i="1"/>
  <c r="AR179" i="1"/>
  <c r="AM179" i="1"/>
  <c r="AP179" i="1" s="1"/>
  <c r="AL179" i="1"/>
  <c r="AO179" i="1" s="1"/>
  <c r="AT176" i="1"/>
  <c r="AS176" i="1"/>
  <c r="AR176" i="1"/>
  <c r="AM176" i="1"/>
  <c r="AP176" i="1" s="1"/>
  <c r="AL176" i="1"/>
  <c r="AO176" i="1" s="1"/>
  <c r="AT173" i="1"/>
  <c r="AS173" i="1"/>
  <c r="AR173" i="1"/>
  <c r="AM173" i="1"/>
  <c r="AP173" i="1" s="1"/>
  <c r="AL173" i="1"/>
  <c r="AO173" i="1" s="1"/>
  <c r="AT170" i="1"/>
  <c r="AS170" i="1"/>
  <c r="AR170" i="1"/>
  <c r="AM170" i="1"/>
  <c r="AP170" i="1" s="1"/>
  <c r="AL170" i="1"/>
  <c r="AO170" i="1" s="1"/>
  <c r="AT167" i="1"/>
  <c r="AS167" i="1"/>
  <c r="AR167" i="1"/>
  <c r="AM167" i="1"/>
  <c r="AP167" i="1" s="1"/>
  <c r="AL167" i="1"/>
  <c r="AO167" i="1" s="1"/>
  <c r="AT164" i="1"/>
  <c r="AS164" i="1"/>
  <c r="AR164" i="1"/>
  <c r="AM164" i="1"/>
  <c r="AP164" i="1" s="1"/>
  <c r="AL164" i="1"/>
  <c r="AO164" i="1" s="1"/>
  <c r="AT161" i="1"/>
  <c r="AS161" i="1"/>
  <c r="AR161" i="1"/>
  <c r="AM161" i="1"/>
  <c r="AP161" i="1" s="1"/>
  <c r="AL161" i="1"/>
  <c r="AO161" i="1" s="1"/>
  <c r="AT158" i="1"/>
  <c r="AS158" i="1"/>
  <c r="AR158" i="1"/>
  <c r="AM158" i="1"/>
  <c r="AP158" i="1" s="1"/>
  <c r="AL158" i="1"/>
  <c r="AO158" i="1" s="1"/>
  <c r="AT155" i="1"/>
  <c r="AS155" i="1"/>
  <c r="AR155" i="1"/>
  <c r="AM155" i="1"/>
  <c r="AP155" i="1" s="1"/>
  <c r="AL155" i="1"/>
  <c r="AO155" i="1" s="1"/>
  <c r="AT152" i="1"/>
  <c r="AS152" i="1"/>
  <c r="AR152" i="1"/>
  <c r="AM152" i="1"/>
  <c r="AP152" i="1" s="1"/>
  <c r="AL152" i="1"/>
  <c r="AO152" i="1" s="1"/>
  <c r="AT149" i="1"/>
  <c r="AS149" i="1"/>
  <c r="AR149" i="1"/>
  <c r="AM149" i="1"/>
  <c r="AP149" i="1" s="1"/>
  <c r="AL149" i="1"/>
  <c r="AO149" i="1" s="1"/>
  <c r="AT148" i="1"/>
  <c r="AS148" i="1"/>
  <c r="AR148" i="1"/>
  <c r="AM148" i="1"/>
  <c r="AP148" i="1" s="1"/>
  <c r="AL148" i="1"/>
  <c r="AO148" i="1" s="1"/>
  <c r="AT147" i="1"/>
  <c r="AS147" i="1"/>
  <c r="AR147" i="1"/>
  <c r="AM147" i="1"/>
  <c r="AP147" i="1" s="1"/>
  <c r="AL147" i="1"/>
  <c r="AO147" i="1" s="1"/>
  <c r="AT144" i="1"/>
  <c r="AS144" i="1"/>
  <c r="AR144" i="1"/>
  <c r="AM144" i="1"/>
  <c r="AP144" i="1" s="1"/>
  <c r="AL144" i="1"/>
  <c r="AO144" i="1" s="1"/>
  <c r="AT141" i="1"/>
  <c r="AS141" i="1"/>
  <c r="AR141" i="1"/>
  <c r="AM141" i="1"/>
  <c r="AP141" i="1" s="1"/>
  <c r="AL141" i="1"/>
  <c r="AO141" i="1" s="1"/>
  <c r="AT138" i="1"/>
  <c r="AS138" i="1"/>
  <c r="AR138" i="1"/>
  <c r="AM138" i="1"/>
  <c r="AP138" i="1" s="1"/>
  <c r="AL138" i="1"/>
  <c r="AO138" i="1" s="1"/>
  <c r="AT135" i="1"/>
  <c r="AS135" i="1"/>
  <c r="AR135" i="1"/>
  <c r="AM135" i="1"/>
  <c r="AP135" i="1" s="1"/>
  <c r="AL135" i="1"/>
  <c r="AO135" i="1" s="1"/>
  <c r="AT132" i="1"/>
  <c r="AS132" i="1"/>
  <c r="AR132" i="1"/>
  <c r="AM132" i="1"/>
  <c r="AP132" i="1" s="1"/>
  <c r="AL132" i="1"/>
  <c r="AO132" i="1" s="1"/>
  <c r="AT129" i="1"/>
  <c r="AS129" i="1"/>
  <c r="AR129" i="1"/>
  <c r="AM129" i="1"/>
  <c r="AP129" i="1" s="1"/>
  <c r="AL129" i="1"/>
  <c r="AO129" i="1" s="1"/>
  <c r="AT126" i="1"/>
  <c r="AS126" i="1"/>
  <c r="AR126" i="1"/>
  <c r="AM126" i="1"/>
  <c r="AP126" i="1" s="1"/>
  <c r="AL126" i="1"/>
  <c r="AO126" i="1" s="1"/>
  <c r="AT123" i="1"/>
  <c r="AS123" i="1"/>
  <c r="AR123" i="1"/>
  <c r="AM123" i="1"/>
  <c r="AP123" i="1" s="1"/>
  <c r="AL123" i="1"/>
  <c r="AO123" i="1" s="1"/>
  <c r="AT120" i="1"/>
  <c r="AS120" i="1"/>
  <c r="AR120" i="1"/>
  <c r="AM120" i="1"/>
  <c r="AP120" i="1" s="1"/>
  <c r="AL120" i="1"/>
  <c r="AO120" i="1" s="1"/>
  <c r="AT117" i="1"/>
  <c r="AS117" i="1"/>
  <c r="AR117" i="1"/>
  <c r="AM117" i="1"/>
  <c r="AP117" i="1" s="1"/>
  <c r="AL117" i="1"/>
  <c r="AO117" i="1" s="1"/>
  <c r="AT114" i="1"/>
  <c r="AS114" i="1"/>
  <c r="AR114" i="1"/>
  <c r="AM114" i="1"/>
  <c r="AP114" i="1" s="1"/>
  <c r="AL114" i="1"/>
  <c r="AO114" i="1" s="1"/>
  <c r="AT111" i="1"/>
  <c r="AS111" i="1"/>
  <c r="AR111" i="1"/>
  <c r="AM111" i="1"/>
  <c r="AP111" i="1" s="1"/>
  <c r="AL111" i="1"/>
  <c r="AO111" i="1" s="1"/>
  <c r="AT108" i="1"/>
  <c r="AS108" i="1"/>
  <c r="AR108" i="1"/>
  <c r="AM108" i="1"/>
  <c r="AP108" i="1" s="1"/>
  <c r="AL108" i="1"/>
  <c r="AO108" i="1" s="1"/>
  <c r="AT105" i="1"/>
  <c r="AS105" i="1"/>
  <c r="AR105" i="1"/>
  <c r="AM105" i="1"/>
  <c r="AP105" i="1" s="1"/>
  <c r="AL105" i="1"/>
  <c r="AO105" i="1" s="1"/>
  <c r="AT102" i="1"/>
  <c r="AS102" i="1"/>
  <c r="AR102" i="1"/>
  <c r="AM102" i="1"/>
  <c r="AP102" i="1" s="1"/>
  <c r="AL102" i="1"/>
  <c r="AO102" i="1" s="1"/>
  <c r="AT99" i="1"/>
  <c r="AS99" i="1"/>
  <c r="AR99" i="1"/>
  <c r="AM99" i="1"/>
  <c r="AP99" i="1" s="1"/>
  <c r="AL99" i="1"/>
  <c r="AO99" i="1" s="1"/>
  <c r="AT96" i="1"/>
  <c r="AS96" i="1"/>
  <c r="AR96" i="1"/>
  <c r="AM96" i="1"/>
  <c r="AP96" i="1" s="1"/>
  <c r="AL96" i="1"/>
  <c r="AO96" i="1" s="1"/>
  <c r="AT93" i="1"/>
  <c r="AS93" i="1"/>
  <c r="AR93" i="1"/>
  <c r="AM93" i="1"/>
  <c r="AP93" i="1" s="1"/>
  <c r="AL93" i="1"/>
  <c r="AO93" i="1" s="1"/>
  <c r="AT90" i="1"/>
  <c r="AS90" i="1"/>
  <c r="AR90" i="1"/>
  <c r="AM90" i="1"/>
  <c r="AP90" i="1" s="1"/>
  <c r="AL90" i="1"/>
  <c r="AO90" i="1" s="1"/>
  <c r="AT87" i="1"/>
  <c r="AS87" i="1"/>
  <c r="AR87" i="1"/>
  <c r="AM87" i="1"/>
  <c r="AP87" i="1" s="1"/>
  <c r="AL87" i="1"/>
  <c r="AO87" i="1" s="1"/>
  <c r="AT84" i="1"/>
  <c r="AS84" i="1"/>
  <c r="AR84" i="1"/>
  <c r="AM84" i="1"/>
  <c r="AP84" i="1" s="1"/>
  <c r="AL84" i="1"/>
  <c r="AO84" i="1" s="1"/>
  <c r="AT77" i="1"/>
  <c r="AS77" i="1"/>
  <c r="AR77" i="1"/>
  <c r="AM77" i="1"/>
  <c r="AP77" i="1" s="1"/>
  <c r="AL77" i="1"/>
  <c r="AO77" i="1" s="1"/>
  <c r="AT74" i="1"/>
  <c r="AS74" i="1"/>
  <c r="AR74" i="1"/>
  <c r="AM74" i="1"/>
  <c r="AP74" i="1" s="1"/>
  <c r="AL74" i="1"/>
  <c r="AO74" i="1" s="1"/>
  <c r="AT70" i="1"/>
  <c r="AS70" i="1"/>
  <c r="AR70" i="1"/>
  <c r="AM70" i="1"/>
  <c r="AP70" i="1" s="1"/>
  <c r="AL70" i="1"/>
  <c r="AO70" i="1" s="1"/>
  <c r="AT67" i="1"/>
  <c r="AS67" i="1"/>
  <c r="AR67" i="1"/>
  <c r="AM67" i="1"/>
  <c r="AP67" i="1" s="1"/>
  <c r="AL67" i="1"/>
  <c r="AO67" i="1" s="1"/>
  <c r="AT64" i="1"/>
  <c r="AS64" i="1"/>
  <c r="AR64" i="1"/>
  <c r="AM64" i="1"/>
  <c r="AP64" i="1" s="1"/>
  <c r="AL64" i="1"/>
  <c r="AO64" i="1" s="1"/>
  <c r="AT61" i="1"/>
  <c r="AS61" i="1"/>
  <c r="AR61" i="1"/>
  <c r="AM61" i="1"/>
  <c r="AP61" i="1" s="1"/>
  <c r="AL61" i="1"/>
  <c r="AO61" i="1" s="1"/>
  <c r="AT58" i="1"/>
  <c r="AS58" i="1"/>
  <c r="AR58" i="1"/>
  <c r="AM58" i="1"/>
  <c r="AP58" i="1" s="1"/>
  <c r="AL58" i="1"/>
  <c r="AO58" i="1" s="1"/>
  <c r="AT55" i="1"/>
  <c r="AS55" i="1"/>
  <c r="AR55" i="1"/>
  <c r="AM55" i="1"/>
  <c r="AP55" i="1" s="1"/>
  <c r="AL55" i="1"/>
  <c r="AO55" i="1" s="1"/>
  <c r="AT52" i="1"/>
  <c r="AS52" i="1"/>
  <c r="AR52" i="1"/>
  <c r="AM52" i="1"/>
  <c r="AP52" i="1" s="1"/>
  <c r="AL52" i="1"/>
  <c r="AO52" i="1" s="1"/>
  <c r="AT49" i="1"/>
  <c r="AS49" i="1"/>
  <c r="AR49" i="1"/>
  <c r="AM49" i="1"/>
  <c r="AP49" i="1" s="1"/>
  <c r="AL49" i="1"/>
  <c r="AO49" i="1" s="1"/>
  <c r="AT46" i="1"/>
  <c r="AS46" i="1"/>
  <c r="AR46" i="1"/>
  <c r="AM46" i="1"/>
  <c r="AP46" i="1" s="1"/>
  <c r="AL46" i="1"/>
  <c r="AO46" i="1" s="1"/>
  <c r="AT43" i="1"/>
  <c r="AS43" i="1"/>
  <c r="AR43" i="1"/>
  <c r="AM43" i="1"/>
  <c r="AP43" i="1" s="1"/>
  <c r="AL43" i="1"/>
  <c r="AO43" i="1" s="1"/>
  <c r="AT42" i="1"/>
  <c r="AS42" i="1"/>
  <c r="AR42" i="1"/>
  <c r="AM42" i="1"/>
  <c r="AP42" i="1" s="1"/>
  <c r="AL42" i="1"/>
  <c r="AO42" i="1" s="1"/>
  <c r="AT38" i="1"/>
  <c r="AS38" i="1"/>
  <c r="AR38" i="1"/>
  <c r="AM38" i="1"/>
  <c r="AP38" i="1" s="1"/>
  <c r="AL38" i="1"/>
  <c r="AO38" i="1" s="1"/>
  <c r="AT35" i="1"/>
  <c r="AS35" i="1"/>
  <c r="AR35" i="1"/>
  <c r="AM35" i="1"/>
  <c r="AP35" i="1" s="1"/>
  <c r="AL35" i="1"/>
  <c r="AO35" i="1" s="1"/>
  <c r="AT32" i="1"/>
  <c r="AS32" i="1"/>
  <c r="AR32" i="1"/>
  <c r="AM32" i="1"/>
  <c r="AP32" i="1" s="1"/>
  <c r="AL32" i="1"/>
  <c r="AO32" i="1" s="1"/>
  <c r="AT29" i="1"/>
  <c r="AS29" i="1"/>
  <c r="AR29" i="1"/>
  <c r="AM29" i="1"/>
  <c r="AP29" i="1" s="1"/>
  <c r="AL29" i="1"/>
  <c r="AO29" i="1" s="1"/>
  <c r="AT26" i="1"/>
  <c r="AS26" i="1"/>
  <c r="AR26" i="1"/>
  <c r="AM26" i="1"/>
  <c r="AP26" i="1" s="1"/>
  <c r="AL26" i="1"/>
  <c r="AO26" i="1" s="1"/>
  <c r="AT23" i="1"/>
  <c r="AS23" i="1"/>
  <c r="AR23" i="1"/>
  <c r="AM23" i="1"/>
  <c r="AP23" i="1" s="1"/>
  <c r="AL23" i="1"/>
  <c r="AO23" i="1" s="1"/>
  <c r="AT20" i="1"/>
  <c r="AS20" i="1"/>
  <c r="AR20" i="1"/>
  <c r="AM20" i="1"/>
  <c r="AP20" i="1" s="1"/>
  <c r="AL20" i="1"/>
  <c r="AO20" i="1" s="1"/>
  <c r="AT17" i="1"/>
  <c r="AS17" i="1"/>
  <c r="AR17" i="1"/>
  <c r="AM17" i="1"/>
  <c r="AP17" i="1" s="1"/>
  <c r="AL17" i="1"/>
  <c r="AO17" i="1" s="1"/>
  <c r="AT14" i="1"/>
  <c r="AS14" i="1"/>
  <c r="AR14" i="1"/>
  <c r="AM14" i="1"/>
  <c r="AP14" i="1" s="1"/>
  <c r="AL14" i="1"/>
  <c r="AO14" i="1" s="1"/>
  <c r="AT11" i="1"/>
  <c r="AS11" i="1"/>
  <c r="AR11" i="1"/>
  <c r="AM11" i="1"/>
  <c r="AP11" i="1" s="1"/>
  <c r="AL11" i="1"/>
  <c r="AO11" i="1" s="1"/>
  <c r="AT5" i="1"/>
  <c r="AS5" i="1"/>
  <c r="AR5" i="1"/>
  <c r="AM5" i="1"/>
  <c r="AP5" i="1" s="1"/>
  <c r="AL5" i="1"/>
  <c r="AO5" i="1" s="1"/>
  <c r="XEW273" i="1"/>
  <c r="AF251" i="1"/>
  <c r="AE251" i="1"/>
  <c r="AD251" i="1"/>
  <c r="AF250" i="1"/>
  <c r="AE250" i="1"/>
  <c r="AD250" i="1"/>
  <c r="AF224" i="1"/>
  <c r="AE224" i="1"/>
  <c r="AD224" i="1"/>
  <c r="AF204" i="1"/>
  <c r="AE204" i="1"/>
  <c r="AD204" i="1"/>
  <c r="AF183" i="1"/>
  <c r="AE183" i="1"/>
  <c r="AD183" i="1"/>
  <c r="AF182" i="1"/>
  <c r="AE182" i="1"/>
  <c r="AD182" i="1"/>
  <c r="AF148" i="1"/>
  <c r="AE148" i="1"/>
  <c r="AD148" i="1"/>
  <c r="AF147" i="1"/>
  <c r="AE147" i="1"/>
  <c r="AD147" i="1"/>
  <c r="AF42" i="1"/>
  <c r="AE42" i="1"/>
  <c r="AD42" i="1"/>
  <c r="AT2" i="1"/>
  <c r="AS2" i="1"/>
  <c r="AR2" i="1"/>
  <c r="AT273" i="1" l="1"/>
  <c r="AS273" i="1"/>
  <c r="AR83" i="1"/>
  <c r="AV83" i="1" s="1"/>
  <c r="AT83" i="1"/>
  <c r="AX83" i="1" s="1"/>
  <c r="AS190" i="1"/>
  <c r="AW190" i="1" s="1"/>
  <c r="AT223" i="1"/>
  <c r="AX223" i="1" s="1"/>
  <c r="AS83" i="1"/>
  <c r="AW83" i="1" s="1"/>
  <c r="AT249" i="1"/>
  <c r="AX249" i="1" s="1"/>
  <c r="AS41" i="1"/>
  <c r="AW41" i="1" s="1"/>
  <c r="AR41" i="1"/>
  <c r="AT41" i="1"/>
  <c r="AR223" i="1"/>
  <c r="AV223" i="1" s="1"/>
  <c r="AR73" i="1"/>
  <c r="AV73" i="1" s="1"/>
  <c r="AS223" i="1"/>
  <c r="AW223" i="1" s="1"/>
  <c r="AS73" i="1"/>
  <c r="AW73" i="1" s="1"/>
  <c r="AT73" i="1"/>
  <c r="AX73" i="1" s="1"/>
  <c r="AR190" i="1"/>
  <c r="AV190" i="1" s="1"/>
  <c r="AS249" i="1"/>
  <c r="AW249" i="1" s="1"/>
  <c r="AR249" i="1"/>
  <c r="AV249" i="1" s="1"/>
  <c r="AT190" i="1"/>
  <c r="AX190" i="1" s="1"/>
  <c r="AR273" i="1"/>
  <c r="AV273" i="1" s="1"/>
  <c r="AM2" i="1"/>
  <c r="AP2" i="1" s="1"/>
  <c r="AL2" i="1"/>
  <c r="AO2" i="1" s="1"/>
  <c r="AF246" i="1"/>
  <c r="AJ246" i="1" s="1"/>
  <c r="AE246" i="1"/>
  <c r="AI246" i="1" s="1"/>
  <c r="AD246" i="1"/>
  <c r="AH246" i="1" s="1"/>
  <c r="AF243" i="1"/>
  <c r="AJ243" i="1" s="1"/>
  <c r="AE243" i="1"/>
  <c r="AI243" i="1" s="1"/>
  <c r="AD243" i="1"/>
  <c r="AH243" i="1" s="1"/>
  <c r="AF240" i="1"/>
  <c r="AJ240" i="1" s="1"/>
  <c r="AE240" i="1"/>
  <c r="AI240" i="1" s="1"/>
  <c r="AD240" i="1"/>
  <c r="AH240" i="1" s="1"/>
  <c r="AF237" i="1"/>
  <c r="AJ237" i="1" s="1"/>
  <c r="AE237" i="1"/>
  <c r="AI237" i="1" s="1"/>
  <c r="AD237" i="1"/>
  <c r="AH237" i="1" s="1"/>
  <c r="AF270" i="1"/>
  <c r="AJ270" i="1" s="1"/>
  <c r="AE270" i="1"/>
  <c r="AI270" i="1" s="1"/>
  <c r="AD270" i="1"/>
  <c r="AH270" i="1" s="1"/>
  <c r="AF267" i="1"/>
  <c r="AJ267" i="1" s="1"/>
  <c r="AE267" i="1"/>
  <c r="AI267" i="1" s="1"/>
  <c r="AD267" i="1"/>
  <c r="AH267" i="1" s="1"/>
  <c r="AF264" i="1"/>
  <c r="AJ264" i="1" s="1"/>
  <c r="AE264" i="1"/>
  <c r="AI264" i="1" s="1"/>
  <c r="AD264" i="1"/>
  <c r="AH264" i="1" s="1"/>
  <c r="AF261" i="1"/>
  <c r="AJ261" i="1" s="1"/>
  <c r="AE261" i="1"/>
  <c r="AI261" i="1" s="1"/>
  <c r="AD261" i="1"/>
  <c r="AH261" i="1" s="1"/>
  <c r="AF258" i="1"/>
  <c r="AJ258" i="1" s="1"/>
  <c r="AE258" i="1"/>
  <c r="AI258" i="1" s="1"/>
  <c r="AD258" i="1"/>
  <c r="AH258" i="1" s="1"/>
  <c r="AF255" i="1"/>
  <c r="AJ255" i="1" s="1"/>
  <c r="AE255" i="1"/>
  <c r="AI255" i="1" s="1"/>
  <c r="AD255" i="1"/>
  <c r="AH255" i="1" s="1"/>
  <c r="AF252" i="1"/>
  <c r="AJ252" i="1" s="1"/>
  <c r="AE252" i="1"/>
  <c r="AI252" i="1" s="1"/>
  <c r="AD252" i="1"/>
  <c r="AH252" i="1" s="1"/>
  <c r="AF234" i="1"/>
  <c r="AJ234" i="1" s="1"/>
  <c r="AE234" i="1"/>
  <c r="AI234" i="1" s="1"/>
  <c r="AD234" i="1"/>
  <c r="AH234" i="1" s="1"/>
  <c r="AF231" i="1"/>
  <c r="AJ231" i="1" s="1"/>
  <c r="AE231" i="1"/>
  <c r="AI231" i="1" s="1"/>
  <c r="AD231" i="1"/>
  <c r="AH231" i="1" s="1"/>
  <c r="AF228" i="1"/>
  <c r="AJ228" i="1" s="1"/>
  <c r="AE228" i="1"/>
  <c r="AI228" i="1" s="1"/>
  <c r="AD228" i="1"/>
  <c r="AH228" i="1" s="1"/>
  <c r="AF225" i="1"/>
  <c r="AE225" i="1"/>
  <c r="AD225" i="1"/>
  <c r="AF220" i="1"/>
  <c r="AE220" i="1"/>
  <c r="AD220" i="1"/>
  <c r="AH220" i="1" s="1"/>
  <c r="AF217" i="1"/>
  <c r="AJ217" i="1" s="1"/>
  <c r="AE217" i="1"/>
  <c r="AI217" i="1" s="1"/>
  <c r="AD217" i="1"/>
  <c r="AH217" i="1" s="1"/>
  <c r="AF214" i="1"/>
  <c r="AJ214" i="1" s="1"/>
  <c r="AE214" i="1"/>
  <c r="AI214" i="1" s="1"/>
  <c r="AD214" i="1"/>
  <c r="AH214" i="1" s="1"/>
  <c r="AF211" i="1"/>
  <c r="AJ211" i="1" s="1"/>
  <c r="AE211" i="1"/>
  <c r="AI211" i="1" s="1"/>
  <c r="AD211" i="1"/>
  <c r="AH211" i="1" s="1"/>
  <c r="AF208" i="1"/>
  <c r="AJ208" i="1" s="1"/>
  <c r="AE208" i="1"/>
  <c r="AI208" i="1" s="1"/>
  <c r="AD208" i="1"/>
  <c r="AH208" i="1" s="1"/>
  <c r="AF205" i="1"/>
  <c r="AJ205" i="1" s="1"/>
  <c r="AE205" i="1"/>
  <c r="AI205" i="1" s="1"/>
  <c r="AD205" i="1"/>
  <c r="AH205" i="1" s="1"/>
  <c r="AF201" i="1"/>
  <c r="AJ201" i="1" s="1"/>
  <c r="AE201" i="1"/>
  <c r="AI201" i="1" s="1"/>
  <c r="AD201" i="1"/>
  <c r="AH201" i="1" s="1"/>
  <c r="AF198" i="1"/>
  <c r="AJ198" i="1" s="1"/>
  <c r="AE198" i="1"/>
  <c r="AI198" i="1" s="1"/>
  <c r="AD198" i="1"/>
  <c r="AH198" i="1" s="1"/>
  <c r="AF195" i="1"/>
  <c r="AE195" i="1"/>
  <c r="AD195" i="1"/>
  <c r="AF191" i="1"/>
  <c r="AJ191" i="1" s="1"/>
  <c r="AE191" i="1"/>
  <c r="AI191" i="1" s="1"/>
  <c r="AD191" i="1"/>
  <c r="AH191" i="1" s="1"/>
  <c r="AF187" i="1"/>
  <c r="AJ187" i="1" s="1"/>
  <c r="AE187" i="1"/>
  <c r="AI187" i="1" s="1"/>
  <c r="AD187" i="1"/>
  <c r="AH187" i="1" s="1"/>
  <c r="AF184" i="1"/>
  <c r="AJ184" i="1" s="1"/>
  <c r="AE184" i="1"/>
  <c r="AI184" i="1" s="1"/>
  <c r="AD184" i="1"/>
  <c r="AH184" i="1" s="1"/>
  <c r="AF179" i="1"/>
  <c r="AJ179" i="1" s="1"/>
  <c r="AE179" i="1"/>
  <c r="AI179" i="1" s="1"/>
  <c r="AD179" i="1"/>
  <c r="AH179" i="1" s="1"/>
  <c r="AF176" i="1"/>
  <c r="AJ176" i="1" s="1"/>
  <c r="AE176" i="1"/>
  <c r="AI176" i="1" s="1"/>
  <c r="AD176" i="1"/>
  <c r="AH176" i="1" s="1"/>
  <c r="AF173" i="1"/>
  <c r="AJ173" i="1" s="1"/>
  <c r="AE173" i="1"/>
  <c r="AI173" i="1" s="1"/>
  <c r="AD173" i="1"/>
  <c r="AH173" i="1" s="1"/>
  <c r="AF170" i="1"/>
  <c r="AJ170" i="1" s="1"/>
  <c r="AE170" i="1"/>
  <c r="AI170" i="1" s="1"/>
  <c r="AD170" i="1"/>
  <c r="AH170" i="1" s="1"/>
  <c r="AF167" i="1"/>
  <c r="AJ167" i="1" s="1"/>
  <c r="AE167" i="1"/>
  <c r="AI167" i="1" s="1"/>
  <c r="AD167" i="1"/>
  <c r="AH167" i="1" s="1"/>
  <c r="AF164" i="1"/>
  <c r="AJ164" i="1" s="1"/>
  <c r="AE164" i="1"/>
  <c r="AI164" i="1" s="1"/>
  <c r="AD164" i="1"/>
  <c r="AH164" i="1" s="1"/>
  <c r="AF161" i="1"/>
  <c r="AJ161" i="1" s="1"/>
  <c r="AE161" i="1"/>
  <c r="AI161" i="1" s="1"/>
  <c r="AD161" i="1"/>
  <c r="AH161" i="1" s="1"/>
  <c r="AF158" i="1"/>
  <c r="AJ158" i="1" s="1"/>
  <c r="AE158" i="1"/>
  <c r="AI158" i="1" s="1"/>
  <c r="AD158" i="1"/>
  <c r="AH158" i="1" s="1"/>
  <c r="AF155" i="1"/>
  <c r="AJ155" i="1" s="1"/>
  <c r="AE155" i="1"/>
  <c r="AI155" i="1" s="1"/>
  <c r="AD155" i="1"/>
  <c r="AH155" i="1" s="1"/>
  <c r="AF152" i="1"/>
  <c r="AJ152" i="1" s="1"/>
  <c r="AE152" i="1"/>
  <c r="AI152" i="1" s="1"/>
  <c r="AD152" i="1"/>
  <c r="AH152" i="1" s="1"/>
  <c r="AF149" i="1"/>
  <c r="AJ149" i="1" s="1"/>
  <c r="AE149" i="1"/>
  <c r="AI149" i="1" s="1"/>
  <c r="AD149" i="1"/>
  <c r="AH149" i="1" s="1"/>
  <c r="AF144" i="1"/>
  <c r="AJ144" i="1" s="1"/>
  <c r="AE144" i="1"/>
  <c r="AI144" i="1" s="1"/>
  <c r="AD144" i="1"/>
  <c r="AH144" i="1" s="1"/>
  <c r="AF141" i="1"/>
  <c r="AJ141" i="1" s="1"/>
  <c r="AE141" i="1"/>
  <c r="AI141" i="1" s="1"/>
  <c r="AD141" i="1"/>
  <c r="AH141" i="1" s="1"/>
  <c r="AF138" i="1"/>
  <c r="AJ138" i="1" s="1"/>
  <c r="AE138" i="1"/>
  <c r="AI138" i="1" s="1"/>
  <c r="AD138" i="1"/>
  <c r="AH138" i="1" s="1"/>
  <c r="AF135" i="1"/>
  <c r="AJ135" i="1" s="1"/>
  <c r="AE135" i="1"/>
  <c r="AI135" i="1" s="1"/>
  <c r="AD135" i="1"/>
  <c r="AH135" i="1" s="1"/>
  <c r="AF132" i="1"/>
  <c r="AJ132" i="1" s="1"/>
  <c r="AE132" i="1"/>
  <c r="AI132" i="1" s="1"/>
  <c r="AD132" i="1"/>
  <c r="AH132" i="1" s="1"/>
  <c r="AF129" i="1"/>
  <c r="AJ129" i="1" s="1"/>
  <c r="AE129" i="1"/>
  <c r="AI129" i="1" s="1"/>
  <c r="AD129" i="1"/>
  <c r="AH129" i="1" s="1"/>
  <c r="AF126" i="1"/>
  <c r="AJ126" i="1" s="1"/>
  <c r="AE126" i="1"/>
  <c r="AI126" i="1" s="1"/>
  <c r="AD126" i="1"/>
  <c r="AH126" i="1" s="1"/>
  <c r="AF123" i="1"/>
  <c r="AJ123" i="1" s="1"/>
  <c r="AE123" i="1"/>
  <c r="AI123" i="1" s="1"/>
  <c r="AD123" i="1"/>
  <c r="AH123" i="1" s="1"/>
  <c r="AF120" i="1"/>
  <c r="AJ120" i="1" s="1"/>
  <c r="AE120" i="1"/>
  <c r="AI120" i="1" s="1"/>
  <c r="AD120" i="1"/>
  <c r="AH120" i="1" s="1"/>
  <c r="AF117" i="1"/>
  <c r="AJ117" i="1" s="1"/>
  <c r="AE117" i="1"/>
  <c r="AI117" i="1" s="1"/>
  <c r="AD117" i="1"/>
  <c r="AH117" i="1" s="1"/>
  <c r="AF114" i="1"/>
  <c r="AJ114" i="1" s="1"/>
  <c r="AE114" i="1"/>
  <c r="AI114" i="1" s="1"/>
  <c r="AD114" i="1"/>
  <c r="AH114" i="1" s="1"/>
  <c r="AF111" i="1"/>
  <c r="AJ111" i="1" s="1"/>
  <c r="AE111" i="1"/>
  <c r="AI111" i="1" s="1"/>
  <c r="AD111" i="1"/>
  <c r="AH111" i="1" s="1"/>
  <c r="AF108" i="1"/>
  <c r="AJ108" i="1" s="1"/>
  <c r="AE108" i="1"/>
  <c r="AI108" i="1" s="1"/>
  <c r="AD108" i="1"/>
  <c r="AH108" i="1" s="1"/>
  <c r="AF105" i="1"/>
  <c r="AJ105" i="1" s="1"/>
  <c r="AE105" i="1"/>
  <c r="AI105" i="1" s="1"/>
  <c r="AD105" i="1"/>
  <c r="AH105" i="1" s="1"/>
  <c r="AF102" i="1"/>
  <c r="AJ102" i="1" s="1"/>
  <c r="AE102" i="1"/>
  <c r="AI102" i="1" s="1"/>
  <c r="AD102" i="1"/>
  <c r="AH102" i="1" s="1"/>
  <c r="AF99" i="1"/>
  <c r="AJ99" i="1" s="1"/>
  <c r="AE99" i="1"/>
  <c r="AI99" i="1" s="1"/>
  <c r="AD99" i="1"/>
  <c r="AH99" i="1" s="1"/>
  <c r="AF96" i="1"/>
  <c r="AJ96" i="1" s="1"/>
  <c r="AE96" i="1"/>
  <c r="AI96" i="1" s="1"/>
  <c r="AD96" i="1"/>
  <c r="AH96" i="1" s="1"/>
  <c r="AF93" i="1"/>
  <c r="AJ93" i="1" s="1"/>
  <c r="AE93" i="1"/>
  <c r="AI93" i="1" s="1"/>
  <c r="AD93" i="1"/>
  <c r="AH93" i="1" s="1"/>
  <c r="AF90" i="1"/>
  <c r="AJ90" i="1" s="1"/>
  <c r="AE90" i="1"/>
  <c r="AI90" i="1" s="1"/>
  <c r="AD90" i="1"/>
  <c r="AH90" i="1" s="1"/>
  <c r="AF87" i="1"/>
  <c r="AJ87" i="1" s="1"/>
  <c r="AE87" i="1"/>
  <c r="AI87" i="1" s="1"/>
  <c r="AD87" i="1"/>
  <c r="AH87" i="1" s="1"/>
  <c r="AF84" i="1"/>
  <c r="AE84" i="1"/>
  <c r="AD84" i="1"/>
  <c r="AF80" i="1"/>
  <c r="AJ80" i="1" s="1"/>
  <c r="AE80" i="1"/>
  <c r="AI80" i="1" s="1"/>
  <c r="AD80" i="1"/>
  <c r="AH80" i="1" s="1"/>
  <c r="AF77" i="1"/>
  <c r="AJ77" i="1" s="1"/>
  <c r="AE77" i="1"/>
  <c r="AI77" i="1" s="1"/>
  <c r="AD77" i="1"/>
  <c r="AH77" i="1" s="1"/>
  <c r="AF74" i="1"/>
  <c r="AE74" i="1"/>
  <c r="AD74" i="1"/>
  <c r="AF70" i="1"/>
  <c r="AJ70" i="1" s="1"/>
  <c r="AE70" i="1"/>
  <c r="AI70" i="1" s="1"/>
  <c r="AD70" i="1"/>
  <c r="AH70" i="1" s="1"/>
  <c r="AF67" i="1"/>
  <c r="AJ67" i="1" s="1"/>
  <c r="AE67" i="1"/>
  <c r="AI67" i="1" s="1"/>
  <c r="AD67" i="1"/>
  <c r="AH67" i="1" s="1"/>
  <c r="AF64" i="1"/>
  <c r="AJ64" i="1" s="1"/>
  <c r="AE64" i="1"/>
  <c r="AI64" i="1" s="1"/>
  <c r="AD64" i="1"/>
  <c r="AH64" i="1" s="1"/>
  <c r="AF61" i="1"/>
  <c r="AJ61" i="1" s="1"/>
  <c r="AE61" i="1"/>
  <c r="AI61" i="1" s="1"/>
  <c r="AD61" i="1"/>
  <c r="AH61" i="1" s="1"/>
  <c r="AF58" i="1"/>
  <c r="AJ58" i="1" s="1"/>
  <c r="AE58" i="1"/>
  <c r="AI58" i="1" s="1"/>
  <c r="AD58" i="1"/>
  <c r="AH58" i="1" s="1"/>
  <c r="AF55" i="1"/>
  <c r="AJ55" i="1" s="1"/>
  <c r="AE55" i="1"/>
  <c r="AI55" i="1" s="1"/>
  <c r="AD55" i="1"/>
  <c r="AH55" i="1" s="1"/>
  <c r="AF52" i="1"/>
  <c r="AJ52" i="1" s="1"/>
  <c r="AE52" i="1"/>
  <c r="AI52" i="1" s="1"/>
  <c r="AD52" i="1"/>
  <c r="AH52" i="1" s="1"/>
  <c r="AF49" i="1"/>
  <c r="AJ49" i="1" s="1"/>
  <c r="AE49" i="1"/>
  <c r="AI49" i="1" s="1"/>
  <c r="AD49" i="1"/>
  <c r="AH49" i="1" s="1"/>
  <c r="AF46" i="1"/>
  <c r="AJ46" i="1" s="1"/>
  <c r="AE46" i="1"/>
  <c r="AI46" i="1" s="1"/>
  <c r="AD46" i="1"/>
  <c r="AH46" i="1" s="1"/>
  <c r="AF43" i="1"/>
  <c r="AE43" i="1"/>
  <c r="AD43" i="1"/>
  <c r="AF38" i="1"/>
  <c r="AJ38" i="1" s="1"/>
  <c r="AE38" i="1"/>
  <c r="AI38" i="1" s="1"/>
  <c r="AD38" i="1"/>
  <c r="AH38" i="1" s="1"/>
  <c r="AF35" i="1"/>
  <c r="AJ35" i="1" s="1"/>
  <c r="AE35" i="1"/>
  <c r="AI35" i="1" s="1"/>
  <c r="AD35" i="1"/>
  <c r="AH35" i="1" s="1"/>
  <c r="AF32" i="1"/>
  <c r="AJ32" i="1" s="1"/>
  <c r="AE32" i="1"/>
  <c r="AI32" i="1" s="1"/>
  <c r="AD32" i="1"/>
  <c r="AH32" i="1" s="1"/>
  <c r="AF29" i="1"/>
  <c r="AJ29" i="1" s="1"/>
  <c r="AE29" i="1"/>
  <c r="AI29" i="1" s="1"/>
  <c r="AD29" i="1"/>
  <c r="AH29" i="1" s="1"/>
  <c r="AF26" i="1"/>
  <c r="AJ26" i="1" s="1"/>
  <c r="AE26" i="1"/>
  <c r="AI26" i="1" s="1"/>
  <c r="AD26" i="1"/>
  <c r="AH26" i="1" s="1"/>
  <c r="AF23" i="1"/>
  <c r="AJ23" i="1" s="1"/>
  <c r="AE23" i="1"/>
  <c r="AI23" i="1" s="1"/>
  <c r="AD23" i="1"/>
  <c r="AH23" i="1" s="1"/>
  <c r="AF20" i="1"/>
  <c r="AJ20" i="1" s="1"/>
  <c r="AE20" i="1"/>
  <c r="AI20" i="1" s="1"/>
  <c r="AD20" i="1"/>
  <c r="AH20" i="1" s="1"/>
  <c r="AF17" i="1"/>
  <c r="AJ17" i="1" s="1"/>
  <c r="AE17" i="1"/>
  <c r="AI17" i="1" s="1"/>
  <c r="AD17" i="1"/>
  <c r="AH17" i="1" s="1"/>
  <c r="AF14" i="1"/>
  <c r="AJ14" i="1" s="1"/>
  <c r="AE14" i="1"/>
  <c r="AI14" i="1" s="1"/>
  <c r="AD14" i="1"/>
  <c r="AH14" i="1" s="1"/>
  <c r="AF11" i="1"/>
  <c r="AJ11" i="1" s="1"/>
  <c r="AE11" i="1"/>
  <c r="AI11" i="1" s="1"/>
  <c r="AD11" i="1"/>
  <c r="AH11" i="1" s="1"/>
  <c r="AF5" i="1"/>
  <c r="AJ5" i="1" s="1"/>
  <c r="AE5" i="1"/>
  <c r="AI5" i="1" s="1"/>
  <c r="AD5" i="1"/>
  <c r="AH5" i="1" s="1"/>
  <c r="AF2" i="1"/>
  <c r="AE2" i="1"/>
  <c r="AD2" i="1"/>
  <c r="AR194" i="1" l="1"/>
  <c r="AV194" i="1" s="1"/>
  <c r="AT194" i="1"/>
  <c r="AX194" i="1" s="1"/>
  <c r="AX41" i="1"/>
  <c r="AV41" i="1"/>
  <c r="AF273" i="1"/>
  <c r="AJ273" i="1" s="1"/>
  <c r="AS194" i="1"/>
  <c r="AH2" i="1"/>
  <c r="AD41" i="1"/>
  <c r="AI2" i="1"/>
  <c r="AE41" i="1"/>
  <c r="AJ2" i="1"/>
  <c r="AF41" i="1"/>
  <c r="AH74" i="1"/>
  <c r="AD83" i="1"/>
  <c r="AH83" i="1" s="1"/>
  <c r="AI225" i="1"/>
  <c r="AE249" i="1"/>
  <c r="AI249" i="1" s="1"/>
  <c r="AT274" i="1"/>
  <c r="AX274" i="1" s="1"/>
  <c r="AH225" i="1"/>
  <c r="AD249" i="1"/>
  <c r="AH249" i="1" s="1"/>
  <c r="AI74" i="1"/>
  <c r="AE83" i="1"/>
  <c r="AI83" i="1" s="1"/>
  <c r="AJ225" i="1"/>
  <c r="AF249" i="1"/>
  <c r="AJ249" i="1" s="1"/>
  <c r="AI84" i="1"/>
  <c r="AE190" i="1"/>
  <c r="AI190" i="1" s="1"/>
  <c r="AH43" i="1"/>
  <c r="AD73" i="1"/>
  <c r="AH73" i="1" s="1"/>
  <c r="AI43" i="1"/>
  <c r="AE73" i="1"/>
  <c r="AI73" i="1" s="1"/>
  <c r="AW194" i="1"/>
  <c r="AS274" i="1"/>
  <c r="AW274" i="1" s="1"/>
  <c r="AJ84" i="1"/>
  <c r="AF190" i="1"/>
  <c r="AJ190" i="1" s="1"/>
  <c r="AJ43" i="1"/>
  <c r="AF73" i="1"/>
  <c r="AJ73" i="1" s="1"/>
  <c r="AH195" i="1"/>
  <c r="AD223" i="1"/>
  <c r="AH223" i="1" s="1"/>
  <c r="AI195" i="1"/>
  <c r="AE223" i="1"/>
  <c r="AI223" i="1" s="1"/>
  <c r="AE273" i="1"/>
  <c r="AI273" i="1" s="1"/>
  <c r="AJ195" i="1"/>
  <c r="AF223" i="1"/>
  <c r="AJ223" i="1" s="1"/>
  <c r="AJ74" i="1"/>
  <c r="AF83" i="1"/>
  <c r="AJ83" i="1" s="1"/>
  <c r="AR274" i="1"/>
  <c r="AV274" i="1" s="1"/>
  <c r="AH84" i="1"/>
  <c r="AD190" i="1"/>
  <c r="AH190" i="1" s="1"/>
  <c r="AD273" i="1"/>
  <c r="AH273" i="1" s="1"/>
  <c r="AJ41" i="1" l="1"/>
  <c r="AF194" i="1"/>
  <c r="AE194" i="1"/>
  <c r="AI41" i="1"/>
  <c r="AH41" i="1"/>
  <c r="AD194" i="1"/>
  <c r="AF274" i="1" l="1"/>
  <c r="AJ274" i="1" s="1"/>
  <c r="AJ194" i="1"/>
  <c r="AE274" i="1"/>
  <c r="AI274" i="1" s="1"/>
  <c r="AI194" i="1"/>
  <c r="AD274" i="1"/>
  <c r="AH274" i="1" s="1"/>
  <c r="AH194" i="1"/>
</calcChain>
</file>

<file path=xl/sharedStrings.xml><?xml version="1.0" encoding="utf-8"?>
<sst xmlns="http://schemas.openxmlformats.org/spreadsheetml/2006/main" count="460" uniqueCount="303">
  <si>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</si>
  <si>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</si>
  <si>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</si>
  <si>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</si>
  <si>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</si>
  <si>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</si>
  <si>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</si>
  <si>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1887-1890</t>
  </si>
  <si>
    <t>ср-чр 1887-1890</t>
  </si>
  <si>
    <t>ср-чу 1887-1890</t>
  </si>
  <si>
    <t>уезды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</si>
  <si>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</si>
  <si>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</si>
  <si>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</si>
  <si>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</si>
  <si>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</si>
  <si>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</si>
  <si>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</si>
  <si>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</si>
  <si>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</si>
  <si>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</si>
  <si>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</si>
  <si>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</si>
  <si>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</si>
  <si>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</si>
  <si>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</si>
  <si>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</si>
  <si>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</si>
  <si>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</si>
  <si>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</si>
  <si>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</si>
  <si>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</si>
  <si>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</si>
  <si>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</si>
  <si>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</si>
  <si>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</si>
  <si>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</si>
  <si>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</si>
  <si>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</si>
  <si>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</si>
  <si>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</si>
  <si>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</si>
  <si>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</si>
  <si>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</si>
  <si>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</si>
  <si>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</si>
  <si>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</si>
  <si>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</si>
  <si>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</si>
  <si>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</si>
  <si>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</si>
  <si>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</si>
  <si>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</si>
  <si>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</si>
  <si>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</si>
  <si>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</si>
  <si>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</si>
  <si>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</si>
  <si>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</si>
  <si>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</si>
  <si>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</si>
  <si>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</si>
  <si>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</si>
  <si>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</si>
  <si>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</si>
  <si>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</si>
  <si>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</si>
  <si>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</si>
  <si>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</si>
  <si>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</si>
  <si>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</si>
  <si>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</si>
  <si>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</si>
  <si>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</si>
  <si>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</si>
  <si>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</si>
  <si>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</si>
  <si>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</si>
  <si>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</si>
  <si>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</si>
  <si>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</si>
  <si>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</si>
  <si>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</si>
  <si>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</si>
  <si>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</si>
  <si>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</si>
  <si>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</si>
  <si>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</si>
  <si>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</si>
  <si>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</si>
  <si>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</si>
  <si>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</si>
  <si>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</si>
  <si>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</si>
  <si>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</si>
  <si>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</si>
  <si>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</si>
  <si>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</si>
  <si>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</si>
  <si>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</si>
  <si>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</si>
  <si>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</si>
  <si>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</si>
  <si>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</si>
  <si>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</si>
  <si>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</si>
  <si>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</si>
  <si>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</si>
  <si>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</si>
  <si>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</si>
  <si>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</si>
  <si>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</si>
  <si>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</si>
  <si>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</si>
  <si>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</si>
  <si>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</si>
  <si>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</si>
  <si>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</si>
  <si>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</si>
  <si>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</si>
  <si>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</si>
  <si>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</si>
  <si>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</si>
  <si>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</si>
  <si>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</si>
  <si>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</si>
  <si>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</si>
  <si>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</si>
  <si>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</si>
  <si>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</si>
  <si>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</si>
  <si>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</si>
  <si>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</si>
  <si>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</si>
  <si>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</si>
  <si>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</si>
  <si>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</si>
  <si>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</si>
  <si>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</si>
  <si>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</si>
  <si>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</si>
  <si>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</si>
  <si>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</si>
  <si>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</si>
  <si>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</si>
  <si>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</si>
  <si>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</si>
  <si>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</si>
  <si>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</si>
  <si>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</si>
  <si>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</si>
  <si>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</si>
  <si>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</si>
  <si>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</si>
  <si>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</si>
  <si>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</si>
  <si>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</si>
  <si>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</si>
  <si>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</si>
  <si>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</si>
  <si>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</si>
  <si>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</si>
  <si>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</si>
  <si>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</si>
  <si>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</si>
  <si>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</si>
  <si>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</si>
  <si>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</si>
  <si>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</si>
  <si>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</si>
  <si>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</si>
  <si>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</si>
  <si>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</si>
  <si>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</si>
  <si>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</si>
  <si>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</si>
  <si>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</si>
  <si>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</si>
  <si>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</si>
  <si>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</si>
  <si>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</si>
  <si>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</si>
  <si>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</si>
  <si>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</si>
  <si>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</si>
  <si>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</si>
  <si>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</si>
  <si>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</si>
  <si>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</si>
  <si>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</si>
  <si>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</si>
  <si>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</si>
  <si>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</si>
  <si>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</si>
  <si>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</si>
  <si>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</si>
  <si>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</si>
  <si>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</si>
  <si>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</si>
  <si>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</si>
  <si>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</si>
  <si>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</si>
  <si>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</si>
  <si>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</si>
  <si>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</si>
  <si>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</si>
  <si>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</si>
  <si>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</si>
  <si>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</si>
  <si>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</si>
  <si>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</si>
  <si>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</si>
  <si>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</si>
  <si>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</si>
  <si>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</si>
  <si>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</si>
  <si>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</si>
  <si>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</si>
  <si>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</si>
  <si>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</si>
  <si>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</si>
  <si>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</si>
  <si>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</si>
  <si>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</si>
  <si>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</si>
  <si>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</si>
  <si>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</si>
  <si>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</si>
  <si>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</si>
  <si>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</si>
  <si>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</si>
  <si>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</si>
  <si>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</si>
  <si>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</si>
  <si>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</si>
  <si>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</si>
  <si>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</si>
  <si>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</si>
  <si>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</si>
  <si>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</si>
  <si>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</si>
  <si>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</si>
  <si>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</si>
  <si>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</si>
  <si>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</si>
  <si>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</si>
  <si>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</si>
  <si>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</si>
  <si>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</si>
  <si>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</si>
  <si>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</si>
  <si>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</si>
  <si>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</si>
  <si>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</si>
  <si>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</si>
  <si>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</si>
  <si>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</si>
  <si>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</si>
  <si>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</si>
  <si>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</si>
  <si>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</si>
  <si>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</si>
  <si>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</si>
  <si>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</si>
  <si>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</si>
  <si>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</si>
  <si>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</si>
  <si>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</si>
  <si>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</si>
  <si>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</si>
  <si>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</si>
  <si>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</si>
  <si>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</si>
  <si>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</si>
  <si>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</si>
  <si>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</si>
  <si>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</si>
  <si>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</si>
  <si>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</si>
  <si>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v-чж</t>
  </si>
  <si>
    <t>v-чр</t>
  </si>
  <si>
    <t>v-чс</t>
  </si>
  <si>
    <t>р YY</t>
  </si>
  <si>
    <t>с YY</t>
  </si>
  <si>
    <t>v-р</t>
  </si>
  <si>
    <t>v-с</t>
  </si>
  <si>
    <t>vd-чж</t>
  </si>
  <si>
    <t>vd-чр</t>
  </si>
  <si>
    <t>vd-чс</t>
  </si>
  <si>
    <t>vd-р</t>
  </si>
  <si>
    <t>vd-c</t>
  </si>
  <si>
    <t>v-ср-чж 1887-1890</t>
  </si>
  <si>
    <t>v-ср-чр 1887-1890</t>
  </si>
  <si>
    <t>v-ср-чу 1887-1890</t>
  </si>
  <si>
    <t>vd-ср-чж 1887-1890</t>
  </si>
  <si>
    <t>vd-ср-чр 1887-1890</t>
  </si>
  <si>
    <t>vd-ср-чу 1887-1890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</si>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</sst>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0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0" fillId="3" borderId="0" xfId="0" applyNumberFormat="1" applyFill="1" applyBorder="1" applyAlignment="1">
      <alignment horizontal="right" vertical="center"/>
    </xf>
    <xf numFmtId="3" fontId="0" fillId="0" borderId="1" xfId="0" applyNumberFormat="1" applyAlignment="1">
      <alignment horizontal="right" vertical="center"/>
    </xf>
    <xf numFmtId="3" fontId="0" fillId="3" borderId="1" xfId="0" applyNumberFormat="1" applyFill="1" applyAlignment="1">
      <alignment horizontal="right" vertical="center"/>
    </xf>
    <xf numFmtId="3" fontId="0" fillId="0" borderId="0" xfId="0" applyNumberFormat="1" applyBorder="1" applyAlignment="1">
      <alignment horizontal="right"/>
    </xf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4" borderId="0" xfId="0" applyNumberFormat="1" applyFill="1" applyBorder="1" applyAlignment="1">
      <alignment horizontal="right" vertical="center"/>
    </xf>
    <xf numFmtId="3" fontId="2" fillId="4" borderId="0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0" fillId="4" borderId="0" xfId="0" applyNumberFormat="1" applyFill="1" applyBorder="1" applyAlignment="1">
      <alignment horizontal="right"/>
    </xf>
    <xf numFmtId="0" fontId="0" fillId="4" borderId="0" xfId="0" applyFill="1" applyBorder="1" applyAlignment="1">
      <alignment horizontal="left"/>
    </xf>
    <xf numFmtId="3" fontId="0" fillId="4" borderId="1" xfId="0" applyNumberFormat="1" applyFill="1" applyAlignment="1">
      <alignment horizontal="right"/>
    </xf>
    <xf numFmtId="0" fontId="0" fillId="4" borderId="1" xfId="0" applyFill="1" applyAlignment="1">
      <alignment horizontal="left"/>
    </xf>
    <xf numFmtId="3" fontId="0" fillId="4" borderId="1" xfId="0" applyNumberFormat="1" applyFill="1" applyAlignment="1">
      <alignment horizontal="right" vertical="center"/>
    </xf>
    <xf numFmtId="0" fontId="0" fillId="4" borderId="1" xfId="0" applyFill="1" applyAlignment="1">
      <alignment horizontal="left" vertical="center"/>
    </xf>
    <xf numFmtId="0" fontId="0" fillId="5" borderId="0" xfId="0" applyFill="1" applyBorder="1"/>
    <xf numFmtId="3" fontId="0" fillId="5" borderId="0" xfId="0" applyNumberFormat="1" applyFill="1" applyBorder="1" applyAlignment="1">
      <alignment horizontal="right"/>
    </xf>
    <xf numFmtId="3" fontId="0" fillId="5" borderId="0" xfId="0" applyNumberFormat="1" applyFill="1" applyBorder="1" applyAlignment="1">
      <alignment horizontal="right" vertical="center"/>
    </xf>
    <xf numFmtId="3" fontId="0" fillId="5" borderId="1" xfId="0" applyNumberFormat="1" applyFill="1" applyAlignment="1">
      <alignment horizontal="right" vertical="center"/>
    </xf>
    <xf numFmtId="3" fontId="0" fillId="5" borderId="1" xfId="0" applyNumberFormat="1" applyFill="1" applyAlignment="1">
      <alignment horizontal="right"/>
    </xf>
    <xf numFmtId="3" fontId="1" fillId="0" borderId="1" xfId="0" applyNumberFormat="1" applyFont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3" fontId="1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Alignment="1">
      <alignment horizontal="center" vertical="center"/>
    </xf>
    <xf numFmtId="164" fontId="0" fillId="4" borderId="1" xfId="0" applyNumberFormat="1" applyFill="1" applyAlignment="1">
      <alignment horizontal="right" vertical="center"/>
    </xf>
    <xf numFmtId="3" fontId="0" fillId="0" borderId="1" xfId="0" applyNumberFormat="1" applyAlignment="1">
      <alignment horizontal="center" vertical="center"/>
    </xf>
    <xf numFmtId="164" fontId="0" fillId="5" borderId="1" xfId="0" applyNumberFormat="1" applyFill="1" applyAlignment="1">
      <alignment horizontal="right" vertical="center"/>
    </xf>
    <xf numFmtId="3" fontId="0" fillId="4" borderId="1" xfId="0" applyNumberFormat="1" applyFill="1" applyAlignment="1">
      <alignment horizontal="center" vertical="center"/>
    </xf>
    <xf numFmtId="0" fontId="0" fillId="0" borderId="1" xfId="0" applyAlignment="1">
      <alignment horizontal="center" vertical="center"/>
    </xf>
    <xf numFmtId="0" fontId="0" fillId="0" borderId="1" xfId="0"/>
    <xf numFmtId="0" fontId="3" fillId="0" borderId="0" xfId="0" applyFont="1" applyBorder="1" applyAlignment="1">
      <alignment horizontal="center" vertical="center"/>
    </xf>
    <xf numFmtId="3" fontId="3" fillId="6" borderId="0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left"/>
    </xf>
    <xf numFmtId="0" fontId="0" fillId="3" borderId="1" xfId="0" applyFill="1" applyAlignment="1">
      <alignment horizontal="left" vertical="center"/>
    </xf>
    <xf numFmtId="3" fontId="0" fillId="4" borderId="0" xfId="0" applyNumberForma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164" fontId="0" fillId="5" borderId="0" xfId="0" applyNumberFormat="1" applyFill="1" applyBorder="1" applyAlignment="1">
      <alignment horizontal="right" vertical="center"/>
    </xf>
    <xf numFmtId="3" fontId="1" fillId="6" borderId="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2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12" defaultRowHeight="14.4" x14ac:dyDescent="0.55000000000000004"/>
  <cols>
    <col min="1" max="1" width="30.83984375" style="1" bestFit="1" customWidth="1"/>
    <col min="2" max="2" width="10.62890625" style="2" bestFit="1" customWidth="1"/>
    <col min="3" max="4" width="8.62890625" style="2" bestFit="1" customWidth="1"/>
    <col min="5" max="5" width="10.47265625" style="2" bestFit="1" customWidth="1"/>
    <col min="6" max="6" width="8.734375" style="2" bestFit="1" customWidth="1"/>
    <col min="7" max="7" width="8.62890625" style="2" bestFit="1" customWidth="1"/>
    <col min="8" max="8" width="14.5234375" style="2" bestFit="1" customWidth="1"/>
    <col min="9" max="9" width="14.15625" style="2" bestFit="1" customWidth="1"/>
    <col min="10" max="10" width="14.05078125" style="2" bestFit="1" customWidth="1"/>
    <col min="11" max="11" width="4.41796875" style="41" bestFit="1" customWidth="1"/>
    <col min="12" max="12" width="4.15625" style="41" bestFit="1" customWidth="1"/>
    <col min="13" max="13" width="2.578125" style="6" customWidth="1"/>
    <col min="14" max="15" width="7.15625" style="2" bestFit="1" customWidth="1"/>
    <col min="16" max="17" width="7.15625" bestFit="1" customWidth="1"/>
    <col min="18" max="18" width="7.15625" style="2" bestFit="1" customWidth="1"/>
    <col min="19" max="20" width="7.15625" bestFit="1" customWidth="1"/>
    <col min="21" max="22" width="7.15625" style="2" bestFit="1" customWidth="1"/>
    <col min="23" max="26" width="7.15625" bestFit="1" customWidth="1"/>
    <col min="27" max="27" width="7.15625" style="1" bestFit="1" customWidth="1"/>
    <col min="28" max="28" width="7.15625" bestFit="1" customWidth="1"/>
    <col min="29" max="29" width="3.68359375" style="1" customWidth="1"/>
    <col min="30" max="30" width="10.62890625" style="1" bestFit="1" customWidth="1"/>
    <col min="31" max="32" width="8.62890625" style="1" bestFit="1" customWidth="1"/>
    <col min="33" max="33" width="3.26171875" style="1" customWidth="1"/>
    <col min="34" max="34" width="7.734375" style="1" bestFit="1" customWidth="1"/>
    <col min="35" max="36" width="6.734375" style="1" bestFit="1" customWidth="1"/>
    <col min="37" max="37" width="2.62890625" style="1" customWidth="1"/>
    <col min="38" max="39" width="4.15625" style="1" bestFit="1" customWidth="1"/>
    <col min="40" max="40" width="2.62890625" style="1" customWidth="1"/>
    <col min="41" max="42" width="4.7890625" style="1" bestFit="1" customWidth="1"/>
    <col min="43" max="43" width="3.15625" style="1" customWidth="1"/>
    <col min="44" max="44" width="16.05078125" style="1" bestFit="1" customWidth="1"/>
    <col min="45" max="45" width="15.68359375" style="1" bestFit="1" customWidth="1"/>
    <col min="46" max="46" width="15.578125" style="1" bestFit="1" customWidth="1"/>
    <col min="47" max="47" width="5" style="1" customWidth="1"/>
    <col min="48" max="48" width="17.15625" style="1" bestFit="1" customWidth="1"/>
    <col min="49" max="49" width="16.7890625" style="1" bestFit="1" customWidth="1"/>
    <col min="50" max="50" width="16.62890625" style="1" bestFit="1" customWidth="1"/>
    <col min="51" max="16376" width="12" style="1"/>
    <col min="16377" max="16377" width="1.7890625" style="1" bestFit="1" customWidth="1"/>
    <col min="16378" max="16384" width="1.7890625" style="1" customWidth="1"/>
  </cols>
  <sheetData>
    <row r="1" spans="1:50" x14ac:dyDescent="0.55000000000000004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5" t="s">
        <v>282</v>
      </c>
      <c r="L1" s="35" t="s">
        <v>283</v>
      </c>
      <c r="M1" s="26"/>
      <c r="N1" s="50" t="s">
        <v>10</v>
      </c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D1" s="33" t="s">
        <v>279</v>
      </c>
      <c r="AE1" s="34" t="s">
        <v>280</v>
      </c>
      <c r="AF1" s="33" t="s">
        <v>281</v>
      </c>
      <c r="AH1" s="33" t="s">
        <v>286</v>
      </c>
      <c r="AI1" s="34" t="s">
        <v>287</v>
      </c>
      <c r="AJ1" s="33" t="s">
        <v>288</v>
      </c>
      <c r="AL1" s="33" t="s">
        <v>284</v>
      </c>
      <c r="AM1" s="33" t="s">
        <v>285</v>
      </c>
      <c r="AN1" s="42"/>
      <c r="AO1" s="33" t="s">
        <v>289</v>
      </c>
      <c r="AP1" s="33" t="s">
        <v>290</v>
      </c>
      <c r="AR1" s="43" t="s">
        <v>291</v>
      </c>
      <c r="AS1" s="43" t="s">
        <v>292</v>
      </c>
      <c r="AT1" s="43" t="s">
        <v>293</v>
      </c>
      <c r="AV1" s="43" t="s">
        <v>294</v>
      </c>
      <c r="AW1" s="43" t="s">
        <v>295</v>
      </c>
      <c r="AX1" s="43" t="s">
        <v>296</v>
      </c>
    </row>
    <row r="2" spans="1:50" x14ac:dyDescent="0.55000000000000004">
      <c r="A2" s="27" t="s">
        <v>11</v>
      </c>
      <c r="B2" s="12">
        <v>359802</v>
      </c>
      <c r="C2" s="12">
        <v>14433</v>
      </c>
      <c r="D2" s="12">
        <v>9042</v>
      </c>
      <c r="E2" s="13">
        <v>28768</v>
      </c>
      <c r="F2" s="12">
        <v>969</v>
      </c>
      <c r="G2" s="12">
        <v>918</v>
      </c>
      <c r="H2" s="13">
        <v>348008</v>
      </c>
      <c r="I2" s="12">
        <v>13439</v>
      </c>
      <c r="J2" s="12">
        <v>8792</v>
      </c>
      <c r="K2" s="36">
        <v>40.1</v>
      </c>
      <c r="L2" s="36">
        <v>25.1</v>
      </c>
      <c r="N2" s="12">
        <v>53711</v>
      </c>
      <c r="O2" s="12">
        <v>60347</v>
      </c>
      <c r="P2" s="12">
        <v>52760</v>
      </c>
      <c r="Q2" s="12">
        <v>40052</v>
      </c>
      <c r="R2" s="12">
        <v>29401</v>
      </c>
      <c r="S2" s="12">
        <v>40180</v>
      </c>
      <c r="T2" s="12">
        <v>83351</v>
      </c>
      <c r="U2" s="12"/>
      <c r="V2" s="12"/>
      <c r="W2" s="15"/>
      <c r="X2" s="15"/>
      <c r="Y2" s="15"/>
      <c r="Z2" s="15"/>
      <c r="AA2" s="12"/>
      <c r="AB2" s="15"/>
      <c r="AC2" s="2"/>
      <c r="AD2" s="12">
        <f>SUM(N2:AB2)</f>
        <v>359802</v>
      </c>
      <c r="AE2" s="12">
        <f>SUM(N3:AB3)</f>
        <v>14433</v>
      </c>
      <c r="AF2" s="12">
        <f>SUM(N4:AB4)</f>
        <v>9042</v>
      </c>
      <c r="AG2" s="2"/>
      <c r="AH2" s="12">
        <f>AD2-B2</f>
        <v>0</v>
      </c>
      <c r="AI2" s="12">
        <f>AE2-C2</f>
        <v>0</v>
      </c>
      <c r="AJ2" s="12">
        <f>AF2-D2</f>
        <v>0</v>
      </c>
      <c r="AL2" s="47">
        <f>C2/B2*1000</f>
        <v>40.11372921773642</v>
      </c>
      <c r="AM2" s="47">
        <f>D2/B2*1000</f>
        <v>25.130488435306084</v>
      </c>
      <c r="AO2" s="47">
        <f>AL2-K2</f>
        <v>1.3729217736418775E-2</v>
      </c>
      <c r="AP2" s="47">
        <f>AM2-L2</f>
        <v>3.0488435306082806E-2</v>
      </c>
      <c r="AR2" s="12">
        <f>H2</f>
        <v>348008</v>
      </c>
      <c r="AS2" s="12">
        <f>I2</f>
        <v>13439</v>
      </c>
      <c r="AT2" s="12">
        <f>J2</f>
        <v>8792</v>
      </c>
    </row>
    <row r="3" spans="1:50" x14ac:dyDescent="0.55000000000000004">
      <c r="A3" s="28" t="s">
        <v>12</v>
      </c>
      <c r="K3" s="37"/>
      <c r="L3" s="37"/>
      <c r="N3" s="2">
        <v>2065</v>
      </c>
      <c r="O3" s="2">
        <v>1522</v>
      </c>
      <c r="P3" s="2">
        <v>2728</v>
      </c>
      <c r="Q3" s="2">
        <v>1644</v>
      </c>
      <c r="R3" s="2">
        <v>1306</v>
      </c>
      <c r="S3" s="2">
        <v>1672</v>
      </c>
      <c r="T3" s="2">
        <v>3496</v>
      </c>
      <c r="W3" s="8"/>
      <c r="X3" s="8"/>
      <c r="Y3" s="8"/>
      <c r="Z3" s="8"/>
      <c r="AA3" s="2"/>
      <c r="AB3" s="8"/>
      <c r="AC3" s="2"/>
      <c r="AD3" s="2"/>
      <c r="AE3" s="2"/>
      <c r="AF3" s="2"/>
      <c r="AG3" s="2"/>
      <c r="AH3" s="2"/>
      <c r="AI3" s="2"/>
      <c r="AJ3" s="2"/>
    </row>
    <row r="4" spans="1:50" x14ac:dyDescent="0.55000000000000004">
      <c r="A4" s="28" t="s">
        <v>13</v>
      </c>
      <c r="K4" s="37"/>
      <c r="L4" s="37"/>
      <c r="N4" s="2">
        <v>1786</v>
      </c>
      <c r="O4" s="2">
        <v>975</v>
      </c>
      <c r="P4" s="2">
        <v>1620</v>
      </c>
      <c r="Q4" s="2">
        <v>1267</v>
      </c>
      <c r="R4" s="2">
        <v>728</v>
      </c>
      <c r="S4" s="2">
        <v>872</v>
      </c>
      <c r="T4" s="2">
        <v>1794</v>
      </c>
      <c r="W4" s="8"/>
      <c r="X4" s="8"/>
      <c r="Y4" s="8"/>
      <c r="Z4" s="8"/>
      <c r="AA4" s="2"/>
      <c r="AB4" s="8"/>
      <c r="AC4" s="2"/>
      <c r="AD4" s="2"/>
      <c r="AE4" s="2"/>
      <c r="AF4" s="2"/>
      <c r="AG4" s="2"/>
      <c r="AH4" s="2"/>
      <c r="AI4" s="2"/>
      <c r="AJ4" s="2"/>
    </row>
    <row r="5" spans="1:50" x14ac:dyDescent="0.55000000000000004">
      <c r="A5" s="27" t="s">
        <v>297</v>
      </c>
      <c r="B5" s="12">
        <f>885846-B8</f>
        <v>534256</v>
      </c>
      <c r="C5" s="12">
        <v>31185</v>
      </c>
      <c r="D5" s="12">
        <v>24330</v>
      </c>
      <c r="E5" s="12">
        <v>121762</v>
      </c>
      <c r="F5" s="12">
        <v>5518</v>
      </c>
      <c r="G5" s="12">
        <v>5681</v>
      </c>
      <c r="H5" s="12">
        <v>870197</v>
      </c>
      <c r="I5" s="12">
        <v>28204</v>
      </c>
      <c r="J5" s="12">
        <v>19821</v>
      </c>
      <c r="K5" s="36">
        <v>58.3</v>
      </c>
      <c r="L5" s="36">
        <v>45.5</v>
      </c>
      <c r="N5" s="12">
        <v>164562</v>
      </c>
      <c r="O5" s="12">
        <v>66325</v>
      </c>
      <c r="P5" s="12">
        <v>33083</v>
      </c>
      <c r="Q5" s="12">
        <v>89613</v>
      </c>
      <c r="R5" s="12">
        <v>180673</v>
      </c>
      <c r="S5" s="12"/>
      <c r="T5" s="12"/>
      <c r="U5" s="12"/>
      <c r="V5" s="12"/>
      <c r="W5" s="15"/>
      <c r="X5" s="15"/>
      <c r="Y5" s="15"/>
      <c r="Z5" s="15"/>
      <c r="AA5" s="12"/>
      <c r="AB5" s="15"/>
      <c r="AC5" s="2"/>
      <c r="AD5" s="12">
        <f>SUM(N5:AB5)</f>
        <v>534256</v>
      </c>
      <c r="AE5" s="12">
        <f>SUM(N6:AB6)</f>
        <v>31185</v>
      </c>
      <c r="AF5" s="12">
        <f>SUM(N7:AB7)</f>
        <v>24330</v>
      </c>
      <c r="AG5" s="2"/>
      <c r="AH5" s="12">
        <f>AD5-B5</f>
        <v>0</v>
      </c>
      <c r="AI5" s="12">
        <f>AE5-C5</f>
        <v>0</v>
      </c>
      <c r="AJ5" s="12">
        <f>AF5-D5</f>
        <v>0</v>
      </c>
      <c r="AL5" s="47">
        <f>C5/B5*1000</f>
        <v>58.370893354496722</v>
      </c>
      <c r="AM5" s="47">
        <f>D5/B5*1000</f>
        <v>45.53996585906382</v>
      </c>
      <c r="AO5" s="47">
        <f>AL5-K5</f>
        <v>7.0893354496725181E-2</v>
      </c>
      <c r="AP5" s="47">
        <f>AM5-L5</f>
        <v>3.9965859063819664E-2</v>
      </c>
      <c r="AR5" s="12">
        <f t="shared" ref="AR5" si="0">H5</f>
        <v>870197</v>
      </c>
      <c r="AS5" s="12">
        <f t="shared" ref="AS5" si="1">I5</f>
        <v>28204</v>
      </c>
      <c r="AT5" s="12">
        <f t="shared" ref="AT5" si="2">J5</f>
        <v>19821</v>
      </c>
    </row>
    <row r="6" spans="1:50" x14ac:dyDescent="0.55000000000000004">
      <c r="A6" s="28" t="s">
        <v>298</v>
      </c>
      <c r="K6" s="37"/>
      <c r="L6" s="37"/>
      <c r="N6" s="2">
        <v>8797</v>
      </c>
      <c r="O6" s="2">
        <v>3820</v>
      </c>
      <c r="P6" s="2">
        <v>2192</v>
      </c>
      <c r="Q6" s="2">
        <v>5571</v>
      </c>
      <c r="R6" s="2">
        <v>10805</v>
      </c>
      <c r="S6" s="2"/>
      <c r="T6" s="2"/>
      <c r="W6" s="8"/>
      <c r="X6" s="8"/>
      <c r="Y6" s="8"/>
      <c r="Z6" s="8"/>
      <c r="AA6" s="2"/>
      <c r="AB6" s="8"/>
      <c r="AC6" s="2"/>
      <c r="AD6" s="2"/>
      <c r="AE6" s="2"/>
      <c r="AF6" s="2"/>
      <c r="AG6" s="2"/>
      <c r="AH6" s="2"/>
      <c r="AI6" s="2"/>
      <c r="AJ6" s="2"/>
    </row>
    <row r="7" spans="1:50" x14ac:dyDescent="0.55000000000000004">
      <c r="A7" s="28" t="s">
        <v>299</v>
      </c>
      <c r="K7" s="37"/>
      <c r="L7" s="37"/>
      <c r="N7" s="2">
        <v>7270</v>
      </c>
      <c r="O7" s="2">
        <v>3121</v>
      </c>
      <c r="P7" s="2">
        <v>1697</v>
      </c>
      <c r="Q7" s="2">
        <v>3476</v>
      </c>
      <c r="R7" s="2">
        <v>8766</v>
      </c>
      <c r="S7" s="2"/>
      <c r="T7" s="2"/>
      <c r="W7" s="8"/>
      <c r="X7" s="8"/>
      <c r="Y7" s="8"/>
      <c r="Z7" s="8"/>
      <c r="AA7" s="2"/>
      <c r="AB7" s="8"/>
      <c r="AC7" s="2"/>
      <c r="AD7" s="2"/>
      <c r="AE7" s="2"/>
      <c r="AF7" s="2"/>
      <c r="AG7" s="2"/>
      <c r="AH7" s="2"/>
      <c r="AI7" s="2"/>
      <c r="AJ7" s="2"/>
    </row>
    <row r="8" spans="1:50" s="54" customFormat="1" x14ac:dyDescent="0.55000000000000004">
      <c r="A8" s="55" t="s">
        <v>300</v>
      </c>
      <c r="B8" s="56">
        <f>SUM(N8:O8)</f>
        <v>351590</v>
      </c>
      <c r="C8" s="46" t="s">
        <v>14</v>
      </c>
      <c r="D8" s="46" t="s">
        <v>14</v>
      </c>
      <c r="E8" s="56"/>
      <c r="F8" s="56"/>
      <c r="G8" s="56"/>
      <c r="H8" s="56"/>
      <c r="I8" s="56"/>
      <c r="J8" s="56"/>
      <c r="K8" s="46" t="s">
        <v>14</v>
      </c>
      <c r="L8" s="46" t="s">
        <v>14</v>
      </c>
      <c r="M8" s="6"/>
      <c r="N8" s="12">
        <v>141696</v>
      </c>
      <c r="O8" s="12">
        <v>209894</v>
      </c>
      <c r="P8" s="56"/>
      <c r="Q8" s="56"/>
      <c r="R8" s="56"/>
      <c r="S8" s="56"/>
      <c r="T8" s="56"/>
      <c r="U8" s="56"/>
      <c r="V8" s="56"/>
      <c r="W8" s="57"/>
      <c r="X8" s="57"/>
      <c r="Y8" s="57"/>
      <c r="Z8" s="57"/>
      <c r="AA8" s="56"/>
      <c r="AB8" s="57"/>
      <c r="AC8" s="52"/>
      <c r="AD8" s="56">
        <f>B8</f>
        <v>351590</v>
      </c>
      <c r="AE8" s="58" t="str">
        <f>C8</f>
        <v>—</v>
      </c>
      <c r="AF8" s="58" t="str">
        <f>D8</f>
        <v>—</v>
      </c>
      <c r="AG8" s="52"/>
      <c r="AH8" s="56"/>
      <c r="AI8" s="56"/>
      <c r="AJ8" s="56"/>
      <c r="AL8" s="59"/>
      <c r="AM8" s="59"/>
      <c r="AO8" s="59"/>
      <c r="AP8" s="59"/>
      <c r="AR8" s="59"/>
      <c r="AS8" s="59"/>
      <c r="AT8" s="59"/>
    </row>
    <row r="9" spans="1:50" s="54" customFormat="1" x14ac:dyDescent="0.55000000000000004">
      <c r="A9" s="51" t="s">
        <v>301</v>
      </c>
      <c r="B9" s="52"/>
      <c r="C9" s="52"/>
      <c r="D9" s="52"/>
      <c r="E9" s="52"/>
      <c r="F9" s="52"/>
      <c r="G9" s="52"/>
      <c r="H9" s="52"/>
      <c r="I9" s="52"/>
      <c r="J9" s="52"/>
      <c r="K9" s="37"/>
      <c r="L9" s="37"/>
      <c r="M9" s="6"/>
      <c r="N9" s="2" t="s">
        <v>14</v>
      </c>
      <c r="O9" s="2" t="s">
        <v>14</v>
      </c>
      <c r="P9" s="52"/>
      <c r="Q9" s="52"/>
      <c r="R9" s="52"/>
      <c r="S9" s="52"/>
      <c r="T9" s="52"/>
      <c r="U9" s="52"/>
      <c r="V9" s="52"/>
      <c r="W9" s="53"/>
      <c r="X9" s="53"/>
      <c r="Y9" s="53"/>
      <c r="Z9" s="53"/>
      <c r="AA9" s="52"/>
      <c r="AB9" s="53"/>
      <c r="AC9" s="52"/>
      <c r="AD9" s="52"/>
      <c r="AE9" s="52"/>
      <c r="AF9" s="52"/>
      <c r="AG9" s="52"/>
      <c r="AH9" s="52"/>
      <c r="AI9" s="52"/>
      <c r="AJ9" s="52"/>
    </row>
    <row r="10" spans="1:50" s="54" customFormat="1" x14ac:dyDescent="0.55000000000000004">
      <c r="A10" s="51" t="s">
        <v>302</v>
      </c>
      <c r="B10" s="52"/>
      <c r="C10" s="52"/>
      <c r="D10" s="52"/>
      <c r="E10" s="52"/>
      <c r="F10" s="52"/>
      <c r="G10" s="52"/>
      <c r="H10" s="52"/>
      <c r="I10" s="52"/>
      <c r="J10" s="52"/>
      <c r="K10" s="37"/>
      <c r="L10" s="37"/>
      <c r="M10" s="6"/>
      <c r="N10" s="2" t="s">
        <v>14</v>
      </c>
      <c r="O10" s="2" t="s">
        <v>14</v>
      </c>
      <c r="P10" s="52"/>
      <c r="Q10" s="52"/>
      <c r="R10" s="52"/>
      <c r="S10" s="52"/>
      <c r="T10" s="52"/>
      <c r="U10" s="52"/>
      <c r="V10" s="52"/>
      <c r="W10" s="53"/>
      <c r="X10" s="53"/>
      <c r="Y10" s="53"/>
      <c r="Z10" s="53"/>
      <c r="AA10" s="52"/>
      <c r="AB10" s="53"/>
      <c r="AC10" s="52"/>
      <c r="AD10" s="52"/>
      <c r="AE10" s="52"/>
      <c r="AF10" s="52"/>
      <c r="AG10" s="52"/>
      <c r="AH10" s="52"/>
      <c r="AI10" s="52"/>
      <c r="AJ10" s="52"/>
    </row>
    <row r="11" spans="1:50" x14ac:dyDescent="0.55000000000000004">
      <c r="A11" s="27" t="s">
        <v>15</v>
      </c>
      <c r="B11" s="12">
        <v>1387742</v>
      </c>
      <c r="C11" s="12">
        <v>59742</v>
      </c>
      <c r="D11" s="12">
        <v>33850</v>
      </c>
      <c r="E11" s="13">
        <v>144909</v>
      </c>
      <c r="F11" s="12">
        <v>4716</v>
      </c>
      <c r="G11" s="12">
        <v>4554</v>
      </c>
      <c r="H11" s="13">
        <v>1327891</v>
      </c>
      <c r="I11" s="12">
        <v>55516</v>
      </c>
      <c r="J11" s="12">
        <v>44088</v>
      </c>
      <c r="K11" s="36">
        <v>43.1</v>
      </c>
      <c r="L11" s="36">
        <v>24.4</v>
      </c>
      <c r="N11" s="12">
        <v>306478</v>
      </c>
      <c r="O11" s="12">
        <v>199659</v>
      </c>
      <c r="P11" s="12">
        <v>184195</v>
      </c>
      <c r="Q11" s="12">
        <v>178982</v>
      </c>
      <c r="R11" s="12">
        <v>212335</v>
      </c>
      <c r="S11" s="12">
        <v>162466</v>
      </c>
      <c r="T11" s="12">
        <v>143627</v>
      </c>
      <c r="U11" s="12"/>
      <c r="V11" s="12"/>
      <c r="W11" s="15"/>
      <c r="X11" s="15"/>
      <c r="Y11" s="15"/>
      <c r="Z11" s="15"/>
      <c r="AA11" s="12"/>
      <c r="AB11" s="15"/>
      <c r="AC11" s="2"/>
      <c r="AD11" s="12">
        <f>SUM(N11:AB11)</f>
        <v>1387742</v>
      </c>
      <c r="AE11" s="12">
        <f>SUM(N12:AB12)</f>
        <v>59744</v>
      </c>
      <c r="AF11" s="12">
        <f>SUM(N13:AB13)</f>
        <v>33850</v>
      </c>
      <c r="AG11" s="2"/>
      <c r="AH11" s="12">
        <f>AD11-B11</f>
        <v>0</v>
      </c>
      <c r="AI11" s="12">
        <f>AE11-C11</f>
        <v>2</v>
      </c>
      <c r="AJ11" s="12">
        <f>AF11-D11</f>
        <v>0</v>
      </c>
      <c r="AL11" s="47">
        <f>C11/B11*1000</f>
        <v>43.049788793594196</v>
      </c>
      <c r="AM11" s="47">
        <f>D11/B11*1000</f>
        <v>24.392142055223523</v>
      </c>
      <c r="AO11" s="47">
        <f>AL11-K11</f>
        <v>-5.0211206405805342E-2</v>
      </c>
      <c r="AP11" s="47">
        <f>AM11-L11</f>
        <v>-7.8579447764752786E-3</v>
      </c>
      <c r="AR11" s="12">
        <f t="shared" ref="AR11" si="3">H11</f>
        <v>1327891</v>
      </c>
      <c r="AS11" s="12">
        <f t="shared" ref="AS11" si="4">I11</f>
        <v>55516</v>
      </c>
      <c r="AT11" s="12">
        <f t="shared" ref="AT11" si="5">J11</f>
        <v>44088</v>
      </c>
    </row>
    <row r="12" spans="1:50" x14ac:dyDescent="0.55000000000000004">
      <c r="A12" s="28" t="s">
        <v>16</v>
      </c>
      <c r="K12" s="37"/>
      <c r="L12" s="37"/>
      <c r="N12" s="2">
        <v>11217</v>
      </c>
      <c r="O12" s="2">
        <v>8627</v>
      </c>
      <c r="P12" s="2">
        <v>7972</v>
      </c>
      <c r="Q12" s="2">
        <v>8161</v>
      </c>
      <c r="R12" s="2">
        <v>8911</v>
      </c>
      <c r="S12" s="2">
        <v>6762</v>
      </c>
      <c r="T12" s="2">
        <v>8094</v>
      </c>
      <c r="W12" s="8"/>
      <c r="X12" s="8"/>
      <c r="Y12" s="8"/>
      <c r="Z12" s="8"/>
      <c r="AA12" s="2"/>
      <c r="AB12" s="8"/>
      <c r="AC12" s="2"/>
      <c r="AD12" s="2"/>
      <c r="AE12" s="2"/>
      <c r="AF12" s="2"/>
      <c r="AG12" s="2"/>
      <c r="AH12" s="2"/>
      <c r="AI12" s="2"/>
      <c r="AJ12" s="2"/>
    </row>
    <row r="13" spans="1:50" x14ac:dyDescent="0.55000000000000004">
      <c r="A13" s="28" t="s">
        <v>17</v>
      </c>
      <c r="K13" s="37"/>
      <c r="L13" s="37"/>
      <c r="N13" s="2">
        <v>8535</v>
      </c>
      <c r="O13" s="2">
        <v>4044</v>
      </c>
      <c r="P13" s="2">
        <v>3911</v>
      </c>
      <c r="Q13" s="2">
        <v>4482</v>
      </c>
      <c r="R13" s="2">
        <v>4452</v>
      </c>
      <c r="S13" s="2">
        <v>3888</v>
      </c>
      <c r="T13" s="2">
        <v>4538</v>
      </c>
      <c r="W13" s="8"/>
      <c r="X13" s="8"/>
      <c r="Y13" s="8"/>
      <c r="Z13" s="8"/>
      <c r="AA13" s="2"/>
      <c r="AB13" s="8"/>
      <c r="AC13" s="2"/>
      <c r="AD13" s="2"/>
      <c r="AE13" s="2"/>
      <c r="AF13" s="2"/>
      <c r="AG13" s="2"/>
      <c r="AH13" s="2"/>
      <c r="AI13" s="2"/>
      <c r="AJ13" s="2"/>
    </row>
    <row r="14" spans="1:50" x14ac:dyDescent="0.55000000000000004">
      <c r="A14" s="27" t="s">
        <v>18</v>
      </c>
      <c r="B14" s="12">
        <v>1397062</v>
      </c>
      <c r="C14" s="12">
        <v>59877</v>
      </c>
      <c r="D14" s="12">
        <v>32288</v>
      </c>
      <c r="E14" s="13">
        <v>214462</v>
      </c>
      <c r="F14" s="12">
        <v>6262</v>
      </c>
      <c r="G14" s="12">
        <v>4074</v>
      </c>
      <c r="H14" s="13">
        <v>1322671</v>
      </c>
      <c r="I14" s="12">
        <v>57262</v>
      </c>
      <c r="J14" s="12">
        <v>33167</v>
      </c>
      <c r="K14" s="36">
        <v>42.8</v>
      </c>
      <c r="L14" s="36">
        <v>23.1</v>
      </c>
      <c r="N14" s="12">
        <v>152745</v>
      </c>
      <c r="O14" s="12">
        <v>90672</v>
      </c>
      <c r="P14" s="12">
        <v>101308</v>
      </c>
      <c r="Q14" s="12">
        <v>235361</v>
      </c>
      <c r="R14" s="12">
        <v>83839</v>
      </c>
      <c r="S14" s="12">
        <v>141893</v>
      </c>
      <c r="T14" s="12">
        <v>121673</v>
      </c>
      <c r="U14" s="12">
        <v>115323</v>
      </c>
      <c r="V14" s="12">
        <v>121625</v>
      </c>
      <c r="W14" s="12">
        <v>137876</v>
      </c>
      <c r="X14" s="12">
        <v>94747</v>
      </c>
      <c r="Y14" s="15"/>
      <c r="Z14" s="15"/>
      <c r="AA14" s="12"/>
      <c r="AB14" s="15"/>
      <c r="AC14" s="2"/>
      <c r="AD14" s="12">
        <f>SUM(N14:AB14)</f>
        <v>1397062</v>
      </c>
      <c r="AE14" s="12">
        <f>SUM(N15:AB15)</f>
        <v>58977</v>
      </c>
      <c r="AF14" s="12">
        <f>SUM(N16:AB16)</f>
        <v>32294</v>
      </c>
      <c r="AG14" s="2"/>
      <c r="AH14" s="12">
        <f>AD14-B14</f>
        <v>0</v>
      </c>
      <c r="AI14" s="12">
        <f>AE14-C14</f>
        <v>-900</v>
      </c>
      <c r="AJ14" s="12">
        <f>AF14-D14</f>
        <v>6</v>
      </c>
      <c r="AL14" s="47">
        <f>C14/B14*1000</f>
        <v>42.859228867437523</v>
      </c>
      <c r="AM14" s="47">
        <f>D14/B14*1000</f>
        <v>23.111357978386071</v>
      </c>
      <c r="AO14" s="47">
        <f>AL14-K14</f>
        <v>5.9228867437525423E-2</v>
      </c>
      <c r="AP14" s="47">
        <f>AM14-L14</f>
        <v>1.1357978386069334E-2</v>
      </c>
      <c r="AR14" s="12">
        <f t="shared" ref="AR14" si="6">H14</f>
        <v>1322671</v>
      </c>
      <c r="AS14" s="12">
        <f t="shared" ref="AS14" si="7">I14</f>
        <v>57262</v>
      </c>
      <c r="AT14" s="12">
        <f t="shared" ref="AT14" si="8">J14</f>
        <v>33167</v>
      </c>
    </row>
    <row r="15" spans="1:50" x14ac:dyDescent="0.55000000000000004">
      <c r="A15" s="28" t="s">
        <v>19</v>
      </c>
      <c r="K15" s="37"/>
      <c r="L15" s="37"/>
      <c r="N15" s="2">
        <v>5712</v>
      </c>
      <c r="O15" s="2">
        <v>5229</v>
      </c>
      <c r="P15" s="2">
        <v>5136</v>
      </c>
      <c r="Q15" s="2">
        <v>6883</v>
      </c>
      <c r="R15" s="2">
        <v>4444</v>
      </c>
      <c r="S15" s="2">
        <v>7005</v>
      </c>
      <c r="T15" s="2">
        <v>4932</v>
      </c>
      <c r="U15" s="2">
        <v>5154</v>
      </c>
      <c r="V15" s="2">
        <v>6013</v>
      </c>
      <c r="W15" s="2">
        <v>4037</v>
      </c>
      <c r="X15" s="2">
        <v>4432</v>
      </c>
      <c r="Y15" s="8"/>
      <c r="Z15" s="8"/>
      <c r="AA15" s="2"/>
      <c r="AB15" s="8"/>
      <c r="AC15" s="2"/>
      <c r="AD15" s="2"/>
      <c r="AE15" s="2"/>
      <c r="AF15" s="2"/>
      <c r="AG15" s="2"/>
      <c r="AH15" s="2"/>
      <c r="AI15" s="2"/>
      <c r="AJ15" s="2"/>
    </row>
    <row r="16" spans="1:50" x14ac:dyDescent="0.55000000000000004">
      <c r="A16" s="28" t="s">
        <v>20</v>
      </c>
      <c r="K16" s="37"/>
      <c r="L16" s="37"/>
      <c r="N16" s="2">
        <v>3755</v>
      </c>
      <c r="O16" s="2">
        <v>2769</v>
      </c>
      <c r="P16" s="2">
        <v>2464</v>
      </c>
      <c r="Q16" s="2">
        <v>4468</v>
      </c>
      <c r="R16" s="2">
        <v>2635</v>
      </c>
      <c r="S16" s="2">
        <v>3277</v>
      </c>
      <c r="T16" s="2">
        <v>2471</v>
      </c>
      <c r="U16" s="2">
        <v>2680</v>
      </c>
      <c r="V16" s="2">
        <v>3308</v>
      </c>
      <c r="W16" s="2">
        <v>2228</v>
      </c>
      <c r="X16" s="2">
        <v>2239</v>
      </c>
      <c r="Y16" s="8"/>
      <c r="Z16" s="8"/>
      <c r="AA16" s="2"/>
      <c r="AB16" s="8"/>
      <c r="AC16" s="2"/>
      <c r="AD16" s="2"/>
      <c r="AE16" s="2"/>
      <c r="AF16" s="2"/>
      <c r="AG16" s="2"/>
      <c r="AH16" s="2"/>
      <c r="AI16" s="2"/>
      <c r="AJ16" s="2"/>
    </row>
    <row r="17" spans="1:46" x14ac:dyDescent="0.55000000000000004">
      <c r="A17" s="27" t="s">
        <v>21</v>
      </c>
      <c r="B17" s="12">
        <v>2449786</v>
      </c>
      <c r="C17" s="12">
        <v>125798</v>
      </c>
      <c r="D17" s="12">
        <v>71629</v>
      </c>
      <c r="E17" s="13">
        <v>193102</v>
      </c>
      <c r="F17" s="12">
        <v>6659</v>
      </c>
      <c r="G17" s="12">
        <v>4400</v>
      </c>
      <c r="H17" s="13">
        <v>2328532</v>
      </c>
      <c r="I17" s="12">
        <v>120418</v>
      </c>
      <c r="J17" s="12">
        <v>76684</v>
      </c>
      <c r="K17" s="36">
        <v>51.4</v>
      </c>
      <c r="L17" s="36">
        <v>29.2</v>
      </c>
      <c r="N17" s="12">
        <v>337723</v>
      </c>
      <c r="O17" s="12">
        <v>216169</v>
      </c>
      <c r="P17" s="12">
        <v>166438</v>
      </c>
      <c r="Q17" s="12">
        <v>175973</v>
      </c>
      <c r="R17" s="12">
        <v>187850</v>
      </c>
      <c r="S17" s="12">
        <v>185877</v>
      </c>
      <c r="T17" s="12">
        <v>190637</v>
      </c>
      <c r="U17" s="12">
        <v>262897</v>
      </c>
      <c r="V17" s="12">
        <v>178744</v>
      </c>
      <c r="W17" s="12">
        <v>155837</v>
      </c>
      <c r="X17" s="12">
        <v>216072</v>
      </c>
      <c r="Y17" s="12">
        <v>175569</v>
      </c>
      <c r="Z17" s="15"/>
      <c r="AA17" s="12"/>
      <c r="AB17" s="15"/>
      <c r="AC17" s="2"/>
      <c r="AD17" s="12">
        <f>SUM(N17:AB17)</f>
        <v>2449786</v>
      </c>
      <c r="AE17" s="12">
        <f>SUM(N18:AB18)</f>
        <v>125900</v>
      </c>
      <c r="AF17" s="12">
        <f>SUM(N19:AB19)</f>
        <v>71611</v>
      </c>
      <c r="AG17" s="2"/>
      <c r="AH17" s="12">
        <f>AD17-B17</f>
        <v>0</v>
      </c>
      <c r="AI17" s="12">
        <f>AE17-C17</f>
        <v>102</v>
      </c>
      <c r="AJ17" s="12">
        <f>AF17-D17</f>
        <v>-18</v>
      </c>
      <c r="AL17" s="47">
        <f>C17/B17*1000</f>
        <v>51.350607767372331</v>
      </c>
      <c r="AM17" s="47">
        <f>D17/B17*1000</f>
        <v>29.238880457313414</v>
      </c>
      <c r="AO17" s="47">
        <f>AL17-K17</f>
        <v>-4.9392232627667454E-2</v>
      </c>
      <c r="AP17" s="47">
        <f>AM17-L17</f>
        <v>3.8880457313414496E-2</v>
      </c>
      <c r="AR17" s="12">
        <f t="shared" ref="AR17" si="9">H17</f>
        <v>2328532</v>
      </c>
      <c r="AS17" s="12">
        <f t="shared" ref="AS17" si="10">I17</f>
        <v>120418</v>
      </c>
      <c r="AT17" s="12">
        <f t="shared" ref="AT17" si="11">J17</f>
        <v>76684</v>
      </c>
    </row>
    <row r="18" spans="1:46" x14ac:dyDescent="0.55000000000000004">
      <c r="A18" s="28" t="s">
        <v>22</v>
      </c>
      <c r="K18" s="37"/>
      <c r="L18" s="37"/>
      <c r="N18" s="2">
        <v>17469</v>
      </c>
      <c r="O18" s="2">
        <v>11803</v>
      </c>
      <c r="P18" s="2">
        <v>8679</v>
      </c>
      <c r="Q18" s="2">
        <v>9004</v>
      </c>
      <c r="R18" s="2">
        <v>8689</v>
      </c>
      <c r="S18" s="2">
        <v>9483</v>
      </c>
      <c r="T18" s="2">
        <v>10216</v>
      </c>
      <c r="U18" s="2">
        <v>14647</v>
      </c>
      <c r="V18" s="2">
        <v>9265</v>
      </c>
      <c r="W18" s="2">
        <v>7099</v>
      </c>
      <c r="X18" s="2">
        <v>11278</v>
      </c>
      <c r="Y18" s="2">
        <v>8268</v>
      </c>
      <c r="Z18" s="8"/>
      <c r="AA18" s="2"/>
      <c r="AB18" s="8"/>
      <c r="AC18" s="2"/>
      <c r="AD18" s="2"/>
      <c r="AE18" s="2"/>
      <c r="AF18" s="2"/>
      <c r="AG18" s="2"/>
      <c r="AH18" s="2"/>
      <c r="AI18" s="2"/>
      <c r="AJ18" s="2"/>
    </row>
    <row r="19" spans="1:46" x14ac:dyDescent="0.55000000000000004">
      <c r="A19" s="28" t="s">
        <v>23</v>
      </c>
      <c r="K19" s="37"/>
      <c r="L19" s="37"/>
      <c r="N19" s="2">
        <v>10169</v>
      </c>
      <c r="O19" s="2">
        <v>6827</v>
      </c>
      <c r="P19" s="2">
        <v>4155</v>
      </c>
      <c r="Q19" s="2">
        <v>6190</v>
      </c>
      <c r="R19" s="2">
        <v>5307</v>
      </c>
      <c r="S19" s="2">
        <v>5490</v>
      </c>
      <c r="T19" s="2">
        <v>5271</v>
      </c>
      <c r="U19" s="2">
        <v>8191</v>
      </c>
      <c r="V19" s="2">
        <v>5037</v>
      </c>
      <c r="W19" s="2">
        <v>4200</v>
      </c>
      <c r="X19" s="2">
        <v>6048</v>
      </c>
      <c r="Y19" s="2">
        <v>4726</v>
      </c>
      <c r="Z19" s="8"/>
      <c r="AA19" s="2"/>
      <c r="AB19" s="8"/>
      <c r="AC19" s="2"/>
      <c r="AD19" s="2"/>
      <c r="AE19" s="2"/>
      <c r="AF19" s="2"/>
      <c r="AG19" s="2"/>
      <c r="AH19" s="2"/>
      <c r="AI19" s="2"/>
      <c r="AJ19" s="2"/>
    </row>
    <row r="20" spans="1:46" x14ac:dyDescent="0.55000000000000004">
      <c r="A20" s="29" t="s">
        <v>24</v>
      </c>
      <c r="B20" s="3">
        <v>1510028</v>
      </c>
      <c r="C20" s="3">
        <v>61716</v>
      </c>
      <c r="D20" s="3">
        <v>38489</v>
      </c>
      <c r="E20" s="4">
        <v>216219</v>
      </c>
      <c r="F20" s="3">
        <v>5804</v>
      </c>
      <c r="G20" s="3">
        <v>4193</v>
      </c>
      <c r="H20" s="4">
        <v>1388679</v>
      </c>
      <c r="I20" s="3">
        <v>57760</v>
      </c>
      <c r="J20" s="3">
        <v>38321</v>
      </c>
      <c r="K20" s="36">
        <v>40.9</v>
      </c>
      <c r="L20" s="36">
        <v>25.5</v>
      </c>
      <c r="N20" s="3">
        <v>187731</v>
      </c>
      <c r="O20" s="3">
        <v>198344</v>
      </c>
      <c r="P20" s="3">
        <v>189213</v>
      </c>
      <c r="Q20" s="3">
        <v>186987</v>
      </c>
      <c r="R20" s="3">
        <v>137159</v>
      </c>
      <c r="S20" s="12">
        <v>154283</v>
      </c>
      <c r="T20" s="12">
        <v>134076</v>
      </c>
      <c r="U20" s="12">
        <v>208407</v>
      </c>
      <c r="V20" s="12">
        <v>113828</v>
      </c>
      <c r="W20" s="15"/>
      <c r="X20" s="15"/>
      <c r="Y20" s="15"/>
      <c r="Z20" s="15"/>
      <c r="AA20" s="12"/>
      <c r="AB20" s="15"/>
      <c r="AC20" s="2"/>
      <c r="AD20" s="12">
        <f>SUM(N20:AB20)</f>
        <v>1510028</v>
      </c>
      <c r="AE20" s="12">
        <f>SUM(N21:AB21)</f>
        <v>61716</v>
      </c>
      <c r="AF20" s="12">
        <f>SUM(N22:AB22)</f>
        <v>38489</v>
      </c>
      <c r="AG20" s="2"/>
      <c r="AH20" s="12">
        <f>AD20-B20</f>
        <v>0</v>
      </c>
      <c r="AI20" s="12">
        <f>AE20-C20</f>
        <v>0</v>
      </c>
      <c r="AJ20" s="12">
        <f>AF20-D20</f>
        <v>0</v>
      </c>
      <c r="AL20" s="47">
        <f>C20/B20*1000</f>
        <v>40.870765310312123</v>
      </c>
      <c r="AM20" s="47">
        <f>D20/B20*1000</f>
        <v>25.488931331074657</v>
      </c>
      <c r="AO20" s="47">
        <f>AL20-K20</f>
        <v>-2.9234689687875459E-2</v>
      </c>
      <c r="AP20" s="47">
        <f>AM20-L20</f>
        <v>-1.1068668925343417E-2</v>
      </c>
      <c r="AR20" s="12">
        <f t="shared" ref="AR20" si="12">H20</f>
        <v>1388679</v>
      </c>
      <c r="AS20" s="12">
        <f t="shared" ref="AS20" si="13">I20</f>
        <v>57760</v>
      </c>
      <c r="AT20" s="12">
        <f t="shared" ref="AT20" si="14">J20</f>
        <v>38321</v>
      </c>
    </row>
    <row r="21" spans="1:46" x14ac:dyDescent="0.55000000000000004">
      <c r="A21" s="28" t="s">
        <v>25</v>
      </c>
      <c r="K21" s="37"/>
      <c r="L21" s="37"/>
      <c r="N21" s="2">
        <v>6576</v>
      </c>
      <c r="O21" s="2">
        <v>8732</v>
      </c>
      <c r="P21" s="2">
        <v>6623</v>
      </c>
      <c r="Q21" s="2">
        <v>6360</v>
      </c>
      <c r="R21" s="2">
        <v>6605</v>
      </c>
      <c r="S21" s="2">
        <v>6054</v>
      </c>
      <c r="T21" s="2">
        <v>7460</v>
      </c>
      <c r="U21" s="2">
        <v>9292</v>
      </c>
      <c r="V21" s="2">
        <v>4014</v>
      </c>
      <c r="W21" s="8"/>
      <c r="X21" s="8"/>
      <c r="Y21" s="8"/>
      <c r="Z21" s="8"/>
      <c r="AA21" s="2"/>
      <c r="AB21" s="8"/>
      <c r="AC21" s="2"/>
      <c r="AD21" s="2"/>
      <c r="AE21" s="2"/>
      <c r="AF21" s="2"/>
      <c r="AG21" s="2"/>
      <c r="AH21" s="2"/>
      <c r="AI21" s="2"/>
      <c r="AJ21" s="2"/>
    </row>
    <row r="22" spans="1:46" x14ac:dyDescent="0.55000000000000004">
      <c r="A22" s="28" t="s">
        <v>26</v>
      </c>
      <c r="K22" s="37"/>
      <c r="L22" s="37"/>
      <c r="N22" s="2">
        <v>4031</v>
      </c>
      <c r="O22" s="2">
        <v>5412</v>
      </c>
      <c r="P22" s="2">
        <v>4175</v>
      </c>
      <c r="Q22" s="2">
        <v>4308</v>
      </c>
      <c r="R22" s="2">
        <v>3769</v>
      </c>
      <c r="S22" s="2">
        <v>4179</v>
      </c>
      <c r="T22" s="2">
        <v>4939</v>
      </c>
      <c r="U22" s="2">
        <v>5088</v>
      </c>
      <c r="V22" s="2">
        <v>2588</v>
      </c>
      <c r="W22" s="8"/>
      <c r="X22" s="8"/>
      <c r="Y22" s="8"/>
      <c r="Z22" s="8"/>
      <c r="AA22" s="2"/>
      <c r="AB22" s="8"/>
      <c r="AC22" s="2"/>
      <c r="AD22" s="2"/>
      <c r="AE22" s="2"/>
      <c r="AF22" s="2"/>
      <c r="AG22" s="2"/>
      <c r="AH22" s="2"/>
      <c r="AI22" s="2"/>
      <c r="AJ22" s="2"/>
    </row>
    <row r="23" spans="1:46" x14ac:dyDescent="0.55000000000000004">
      <c r="A23" s="29" t="s">
        <v>27</v>
      </c>
      <c r="B23" s="3">
        <v>3193296</v>
      </c>
      <c r="C23" s="3">
        <v>161859</v>
      </c>
      <c r="D23" s="3">
        <v>99290</v>
      </c>
      <c r="E23" s="4">
        <v>415006</v>
      </c>
      <c r="F23" s="3">
        <v>15621</v>
      </c>
      <c r="G23" s="3">
        <v>10996</v>
      </c>
      <c r="H23" s="4">
        <v>3015196</v>
      </c>
      <c r="I23" s="3">
        <v>156587</v>
      </c>
      <c r="J23" s="3">
        <v>99899</v>
      </c>
      <c r="K23" s="36">
        <v>50.7</v>
      </c>
      <c r="L23" s="36">
        <v>31.1</v>
      </c>
      <c r="N23" s="3">
        <v>441568</v>
      </c>
      <c r="O23" s="3">
        <v>264580</v>
      </c>
      <c r="P23" s="3">
        <v>289380</v>
      </c>
      <c r="Q23" s="3">
        <v>238662</v>
      </c>
      <c r="R23" s="3">
        <v>249819</v>
      </c>
      <c r="S23" s="3">
        <v>215931</v>
      </c>
      <c r="T23" s="12">
        <v>259871</v>
      </c>
      <c r="U23" s="12">
        <v>222359</v>
      </c>
      <c r="V23" s="12">
        <v>223779</v>
      </c>
      <c r="W23" s="12">
        <v>285092</v>
      </c>
      <c r="X23" s="12">
        <v>279034</v>
      </c>
      <c r="Y23" s="12">
        <v>223221</v>
      </c>
      <c r="Z23" s="15"/>
      <c r="AA23" s="12"/>
      <c r="AB23" s="15"/>
      <c r="AC23" s="2"/>
      <c r="AD23" s="12">
        <f>SUM(N23:AB23)</f>
        <v>3193296</v>
      </c>
      <c r="AE23" s="12">
        <f>SUM(N24:AB24)</f>
        <v>161850</v>
      </c>
      <c r="AF23" s="12">
        <f>SUM(N25:AB25)</f>
        <v>99290</v>
      </c>
      <c r="AG23" s="2"/>
      <c r="AH23" s="12">
        <f>AD23-B23</f>
        <v>0</v>
      </c>
      <c r="AI23" s="12">
        <f>AE23-C23</f>
        <v>-9</v>
      </c>
      <c r="AJ23" s="12">
        <f>AF23-D23</f>
        <v>0</v>
      </c>
      <c r="AL23" s="47">
        <f>C23/B23*1000</f>
        <v>50.687127031130217</v>
      </c>
      <c r="AM23" s="47">
        <f>D23/B23*1000</f>
        <v>31.09326539099413</v>
      </c>
      <c r="AO23" s="47">
        <f>AL23-K23</f>
        <v>-1.287296886978595E-2</v>
      </c>
      <c r="AP23" s="47">
        <f>AM23-L23</f>
        <v>-6.734609005871306E-3</v>
      </c>
      <c r="AR23" s="12">
        <f t="shared" ref="AR23" si="15">H23</f>
        <v>3015196</v>
      </c>
      <c r="AS23" s="12">
        <f t="shared" ref="AS23" si="16">I23</f>
        <v>156587</v>
      </c>
      <c r="AT23" s="12">
        <f t="shared" ref="AT23" si="17">J23</f>
        <v>99899</v>
      </c>
    </row>
    <row r="24" spans="1:46" x14ac:dyDescent="0.55000000000000004">
      <c r="A24" s="28" t="s">
        <v>28</v>
      </c>
      <c r="K24" s="37"/>
      <c r="L24" s="37"/>
      <c r="N24" s="2">
        <v>21092</v>
      </c>
      <c r="O24" s="2">
        <v>12256</v>
      </c>
      <c r="P24" s="2">
        <v>14736</v>
      </c>
      <c r="Q24" s="2">
        <v>13066</v>
      </c>
      <c r="R24" s="2">
        <v>13020</v>
      </c>
      <c r="S24" s="2">
        <v>9769</v>
      </c>
      <c r="T24" s="2">
        <v>13476</v>
      </c>
      <c r="U24" s="2">
        <v>11229</v>
      </c>
      <c r="V24" s="2">
        <v>11296</v>
      </c>
      <c r="W24" s="2">
        <v>14933</v>
      </c>
      <c r="X24" s="2">
        <v>15367</v>
      </c>
      <c r="Y24" s="2">
        <v>11610</v>
      </c>
      <c r="Z24" s="8"/>
      <c r="AA24" s="2"/>
      <c r="AB24" s="8"/>
      <c r="AC24" s="2"/>
      <c r="AD24" s="2"/>
      <c r="AE24" s="2"/>
      <c r="AF24" s="2"/>
      <c r="AG24" s="2"/>
      <c r="AH24" s="2"/>
      <c r="AI24" s="2"/>
      <c r="AJ24" s="2"/>
    </row>
    <row r="25" spans="1:46" x14ac:dyDescent="0.55000000000000004">
      <c r="A25" s="28" t="s">
        <v>29</v>
      </c>
      <c r="K25" s="37"/>
      <c r="L25" s="37"/>
      <c r="N25" s="2">
        <v>14105</v>
      </c>
      <c r="O25" s="2">
        <v>7681</v>
      </c>
      <c r="P25" s="2">
        <v>9017</v>
      </c>
      <c r="Q25" s="2">
        <v>7984</v>
      </c>
      <c r="R25" s="2">
        <v>7568</v>
      </c>
      <c r="S25" s="2">
        <v>6176</v>
      </c>
      <c r="T25" s="2">
        <v>7991</v>
      </c>
      <c r="U25" s="2">
        <v>7854</v>
      </c>
      <c r="V25" s="2">
        <v>6366</v>
      </c>
      <c r="W25" s="2">
        <v>8586</v>
      </c>
      <c r="X25" s="2">
        <v>9531</v>
      </c>
      <c r="Y25" s="2">
        <v>6431</v>
      </c>
      <c r="Z25" s="8"/>
      <c r="AA25" s="2"/>
      <c r="AB25" s="8"/>
      <c r="AC25" s="2"/>
      <c r="AD25" s="2"/>
      <c r="AE25" s="2"/>
      <c r="AF25" s="2"/>
      <c r="AG25" s="2"/>
      <c r="AH25" s="2"/>
      <c r="AI25" s="2"/>
      <c r="AJ25" s="2"/>
    </row>
    <row r="26" spans="1:46" x14ac:dyDescent="0.55000000000000004">
      <c r="A26" s="29" t="s">
        <v>30</v>
      </c>
      <c r="B26" s="3">
        <v>1612779</v>
      </c>
      <c r="C26" s="3">
        <v>57019</v>
      </c>
      <c r="D26" s="3">
        <v>39699</v>
      </c>
      <c r="E26" s="4">
        <v>147815</v>
      </c>
      <c r="F26" s="3">
        <v>3965</v>
      </c>
      <c r="G26" s="3">
        <v>2915</v>
      </c>
      <c r="H26" s="4">
        <v>1560676</v>
      </c>
      <c r="I26" s="3">
        <v>54581</v>
      </c>
      <c r="J26" s="3">
        <v>36336</v>
      </c>
      <c r="K26" s="36">
        <v>35.299999999999997</v>
      </c>
      <c r="L26" s="36">
        <v>24.6</v>
      </c>
      <c r="N26" s="3">
        <v>233999</v>
      </c>
      <c r="O26" s="3">
        <v>239620</v>
      </c>
      <c r="P26" s="3">
        <v>213263</v>
      </c>
      <c r="Q26" s="3">
        <v>224736</v>
      </c>
      <c r="R26" s="3">
        <v>248006</v>
      </c>
      <c r="S26" s="12">
        <v>197395</v>
      </c>
      <c r="T26" s="12">
        <v>255760</v>
      </c>
      <c r="U26" s="12"/>
      <c r="V26" s="12"/>
      <c r="W26" s="15"/>
      <c r="X26" s="15"/>
      <c r="Y26" s="15"/>
      <c r="Z26" s="15"/>
      <c r="AA26" s="12"/>
      <c r="AB26" s="15"/>
      <c r="AC26" s="2"/>
      <c r="AD26" s="12">
        <f>SUM(N26:AB26)</f>
        <v>1612779</v>
      </c>
      <c r="AE26" s="12">
        <f>SUM(N27:AB27)</f>
        <v>57019</v>
      </c>
      <c r="AF26" s="12">
        <f>SUM(N28:AB28)</f>
        <v>39699</v>
      </c>
      <c r="AG26" s="2"/>
      <c r="AH26" s="12">
        <f>AD26-B26</f>
        <v>0</v>
      </c>
      <c r="AI26" s="12">
        <f>AE26-C26</f>
        <v>0</v>
      </c>
      <c r="AJ26" s="12">
        <f>AF26-D26</f>
        <v>0</v>
      </c>
      <c r="AL26" s="47">
        <f>C26/B26*1000</f>
        <v>35.354503003821357</v>
      </c>
      <c r="AM26" s="47">
        <f>D26/B26*1000</f>
        <v>24.615275868547396</v>
      </c>
      <c r="AO26" s="47">
        <f>AL26-K26</f>
        <v>5.4503003821359641E-2</v>
      </c>
      <c r="AP26" s="47">
        <f>AM26-L26</f>
        <v>1.5275868547394822E-2</v>
      </c>
      <c r="AR26" s="12">
        <f t="shared" ref="AR26" si="18">H26</f>
        <v>1560676</v>
      </c>
      <c r="AS26" s="12">
        <f t="shared" ref="AS26" si="19">I26</f>
        <v>54581</v>
      </c>
      <c r="AT26" s="12">
        <f t="shared" ref="AT26" si="20">J26</f>
        <v>36336</v>
      </c>
    </row>
    <row r="27" spans="1:46" x14ac:dyDescent="0.55000000000000004">
      <c r="A27" s="28" t="s">
        <v>31</v>
      </c>
      <c r="K27" s="37"/>
      <c r="L27" s="37"/>
      <c r="N27" s="2">
        <v>8077</v>
      </c>
      <c r="O27" s="2">
        <v>8825</v>
      </c>
      <c r="P27" s="2">
        <v>7534</v>
      </c>
      <c r="Q27" s="2">
        <v>8012</v>
      </c>
      <c r="R27" s="2">
        <v>8960</v>
      </c>
      <c r="S27" s="2">
        <v>7003</v>
      </c>
      <c r="T27" s="2">
        <v>8608</v>
      </c>
      <c r="W27" s="8"/>
      <c r="X27" s="8"/>
      <c r="Y27" s="8"/>
      <c r="Z27" s="8"/>
      <c r="AA27" s="2"/>
      <c r="AB27" s="8"/>
      <c r="AC27" s="2"/>
      <c r="AD27" s="2"/>
      <c r="AE27" s="2"/>
      <c r="AF27" s="2"/>
      <c r="AG27" s="2"/>
      <c r="AH27" s="2"/>
      <c r="AI27" s="2"/>
      <c r="AJ27" s="2"/>
    </row>
    <row r="28" spans="1:46" x14ac:dyDescent="0.55000000000000004">
      <c r="A28" s="28" t="s">
        <v>32</v>
      </c>
      <c r="K28" s="37"/>
      <c r="L28" s="37"/>
      <c r="N28" s="2">
        <v>5685</v>
      </c>
      <c r="O28" s="2">
        <v>5517</v>
      </c>
      <c r="P28" s="2">
        <v>4862</v>
      </c>
      <c r="Q28" s="2">
        <v>5292</v>
      </c>
      <c r="R28" s="2">
        <v>6686</v>
      </c>
      <c r="S28" s="2">
        <v>5713</v>
      </c>
      <c r="T28" s="2">
        <v>5944</v>
      </c>
      <c r="W28" s="8"/>
      <c r="X28" s="8"/>
      <c r="Y28" s="8"/>
      <c r="Z28" s="8"/>
      <c r="AA28" s="2"/>
      <c r="AB28" s="8"/>
      <c r="AC28" s="2"/>
      <c r="AD28" s="2"/>
      <c r="AE28" s="2"/>
      <c r="AF28" s="2"/>
      <c r="AG28" s="2"/>
      <c r="AH28" s="2"/>
      <c r="AI28" s="2"/>
      <c r="AJ28" s="2"/>
    </row>
    <row r="29" spans="1:46" x14ac:dyDescent="0.55000000000000004">
      <c r="A29" s="29" t="s">
        <v>33</v>
      </c>
      <c r="B29" s="3">
        <v>1830145</v>
      </c>
      <c r="C29" s="3">
        <v>85520</v>
      </c>
      <c r="D29" s="3">
        <v>48516</v>
      </c>
      <c r="E29" s="4">
        <v>256856</v>
      </c>
      <c r="F29" s="3">
        <v>6064</v>
      </c>
      <c r="G29" s="3">
        <v>4558</v>
      </c>
      <c r="H29" s="4">
        <v>1734707</v>
      </c>
      <c r="I29" s="3">
        <v>79661</v>
      </c>
      <c r="J29" s="3">
        <v>44830</v>
      </c>
      <c r="K29" s="36">
        <v>46.1</v>
      </c>
      <c r="L29" s="36">
        <v>26.5</v>
      </c>
      <c r="N29" s="3">
        <v>229617</v>
      </c>
      <c r="O29" s="3">
        <v>231961</v>
      </c>
      <c r="P29" s="3">
        <v>189368</v>
      </c>
      <c r="Q29" s="3">
        <v>195543</v>
      </c>
      <c r="R29" s="3">
        <v>139246</v>
      </c>
      <c r="S29" s="3">
        <v>236694</v>
      </c>
      <c r="T29" s="12">
        <v>214264</v>
      </c>
      <c r="U29" s="12">
        <v>171856</v>
      </c>
      <c r="V29" s="12">
        <v>221941</v>
      </c>
      <c r="W29" s="15"/>
      <c r="X29" s="15"/>
      <c r="Y29" s="15"/>
      <c r="Z29" s="15"/>
      <c r="AA29" s="12"/>
      <c r="AB29" s="15"/>
      <c r="AC29" s="2"/>
      <c r="AD29" s="12">
        <f>SUM(N29:AB29)</f>
        <v>1830490</v>
      </c>
      <c r="AE29" s="12">
        <f>SUM(N30:AB30)</f>
        <v>85544</v>
      </c>
      <c r="AF29" s="12">
        <f>SUM(N31:AB31)</f>
        <v>48516</v>
      </c>
      <c r="AG29" s="2"/>
      <c r="AH29" s="12">
        <f>AD29-B29</f>
        <v>345</v>
      </c>
      <c r="AI29" s="12">
        <f>AE29-C29</f>
        <v>24</v>
      </c>
      <c r="AJ29" s="12">
        <f>AF29-D29</f>
        <v>0</v>
      </c>
      <c r="AL29" s="47">
        <f>C29/B29*1000</f>
        <v>46.728537902734487</v>
      </c>
      <c r="AM29" s="47">
        <f>D29/B29*1000</f>
        <v>26.509374940236977</v>
      </c>
      <c r="AO29" s="47">
        <f>AL29-K29</f>
        <v>0.62853790273448595</v>
      </c>
      <c r="AP29" s="47">
        <f>AM29-L29</f>
        <v>9.3749402369773804E-3</v>
      </c>
      <c r="AR29" s="12">
        <f t="shared" ref="AR29" si="21">H29</f>
        <v>1734707</v>
      </c>
      <c r="AS29" s="12">
        <f t="shared" ref="AS29" si="22">I29</f>
        <v>79661</v>
      </c>
      <c r="AT29" s="12">
        <f t="shared" ref="AT29" si="23">J29</f>
        <v>44830</v>
      </c>
    </row>
    <row r="30" spans="1:46" x14ac:dyDescent="0.55000000000000004">
      <c r="A30" s="28" t="s">
        <v>34</v>
      </c>
      <c r="K30" s="37"/>
      <c r="L30" s="37"/>
      <c r="N30" s="2">
        <v>9600</v>
      </c>
      <c r="O30" s="2">
        <v>10375</v>
      </c>
      <c r="P30" s="2">
        <v>9775</v>
      </c>
      <c r="Q30" s="2">
        <v>9569</v>
      </c>
      <c r="R30" s="2">
        <v>7750</v>
      </c>
      <c r="S30" s="2">
        <v>9521</v>
      </c>
      <c r="T30" s="2">
        <v>9271</v>
      </c>
      <c r="U30" s="2">
        <v>9563</v>
      </c>
      <c r="V30" s="2">
        <v>10120</v>
      </c>
      <c r="W30" s="8"/>
      <c r="X30" s="8"/>
      <c r="Y30" s="8"/>
      <c r="Z30" s="8"/>
      <c r="AA30" s="2"/>
      <c r="AB30" s="8"/>
      <c r="AC30" s="2"/>
      <c r="AD30" s="2"/>
      <c r="AE30" s="2"/>
      <c r="AF30" s="2"/>
      <c r="AG30" s="2"/>
      <c r="AH30" s="2"/>
      <c r="AI30" s="2"/>
      <c r="AJ30" s="2"/>
    </row>
    <row r="31" spans="1:46" x14ac:dyDescent="0.55000000000000004">
      <c r="A31" s="28" t="s">
        <v>35</v>
      </c>
      <c r="K31" s="37"/>
      <c r="L31" s="37"/>
      <c r="N31" s="2">
        <v>5990</v>
      </c>
      <c r="O31" s="2">
        <v>5434</v>
      </c>
      <c r="P31" s="2">
        <v>5219</v>
      </c>
      <c r="Q31" s="2">
        <v>5710</v>
      </c>
      <c r="R31" s="2">
        <v>4344</v>
      </c>
      <c r="S31" s="2">
        <v>5075</v>
      </c>
      <c r="T31" s="2">
        <v>5863</v>
      </c>
      <c r="U31" s="2">
        <v>5322</v>
      </c>
      <c r="V31" s="2">
        <v>5559</v>
      </c>
      <c r="W31" s="8"/>
      <c r="X31" s="8"/>
      <c r="Y31" s="8"/>
      <c r="Z31" s="8"/>
      <c r="AA31" s="2"/>
      <c r="AB31" s="8"/>
      <c r="AC31" s="2"/>
      <c r="AD31" s="2"/>
      <c r="AE31" s="2"/>
      <c r="AF31" s="2"/>
      <c r="AG31" s="2"/>
      <c r="AH31" s="2"/>
      <c r="AI31" s="2"/>
      <c r="AJ31" s="2"/>
    </row>
    <row r="32" spans="1:46" x14ac:dyDescent="0.55000000000000004">
      <c r="A32" s="29" t="s">
        <v>36</v>
      </c>
      <c r="B32" s="3">
        <v>1415341</v>
      </c>
      <c r="C32" s="3">
        <v>73348</v>
      </c>
      <c r="D32" s="3">
        <v>43587</v>
      </c>
      <c r="E32" s="4">
        <v>132140</v>
      </c>
      <c r="F32" s="3">
        <v>4077</v>
      </c>
      <c r="G32" s="3">
        <v>3143</v>
      </c>
      <c r="H32" s="4">
        <v>1347990</v>
      </c>
      <c r="I32" s="3">
        <v>67493</v>
      </c>
      <c r="J32" s="3">
        <v>36280</v>
      </c>
      <c r="K32" s="36">
        <v>50.7</v>
      </c>
      <c r="L32" s="36">
        <v>30.2</v>
      </c>
      <c r="N32" s="3">
        <v>150698</v>
      </c>
      <c r="O32" s="3">
        <v>100804</v>
      </c>
      <c r="P32" s="3">
        <v>201371</v>
      </c>
      <c r="Q32" s="3">
        <v>105361</v>
      </c>
      <c r="R32" s="3">
        <v>124101</v>
      </c>
      <c r="S32" s="3">
        <v>83551</v>
      </c>
      <c r="T32" s="12">
        <v>129696</v>
      </c>
      <c r="U32" s="12">
        <v>177953</v>
      </c>
      <c r="V32" s="12">
        <v>135224</v>
      </c>
      <c r="W32" s="12">
        <v>77268</v>
      </c>
      <c r="X32" s="12">
        <v>132663</v>
      </c>
      <c r="Y32" s="15"/>
      <c r="Z32" s="15"/>
      <c r="AA32" s="12"/>
      <c r="AB32" s="15"/>
      <c r="AC32" s="2"/>
      <c r="AD32" s="12">
        <f>SUM(N32:AB32)</f>
        <v>1418690</v>
      </c>
      <c r="AE32" s="12">
        <f>SUM(N33:AB33)</f>
        <v>73412</v>
      </c>
      <c r="AF32" s="12">
        <f>SUM(N34:AB34)</f>
        <v>42000</v>
      </c>
      <c r="AG32" s="2"/>
      <c r="AH32" s="12">
        <f>AD32-B32</f>
        <v>3349</v>
      </c>
      <c r="AI32" s="12">
        <f>AE32-C32</f>
        <v>64</v>
      </c>
      <c r="AJ32" s="12">
        <f>AF32-D32</f>
        <v>-1587</v>
      </c>
      <c r="AL32" s="47">
        <f>C32/B32*1000</f>
        <v>51.823553475805483</v>
      </c>
      <c r="AM32" s="47">
        <f>D32/B32*1000</f>
        <v>30.796112032365343</v>
      </c>
      <c r="AO32" s="47">
        <f>AL32-K32</f>
        <v>1.1235534758054797</v>
      </c>
      <c r="AP32" s="47">
        <f>AM32-L32</f>
        <v>0.59611203236534394</v>
      </c>
      <c r="AR32" s="12">
        <f t="shared" ref="AR32" si="24">H32</f>
        <v>1347990</v>
      </c>
      <c r="AS32" s="12">
        <f t="shared" ref="AS32" si="25">I32</f>
        <v>67493</v>
      </c>
      <c r="AT32" s="12">
        <f t="shared" ref="AT32" si="26">J32</f>
        <v>36280</v>
      </c>
    </row>
    <row r="33" spans="1:50" x14ac:dyDescent="0.55000000000000004">
      <c r="A33" s="28" t="s">
        <v>37</v>
      </c>
      <c r="K33" s="37"/>
      <c r="L33" s="37"/>
      <c r="N33" s="2">
        <v>6057</v>
      </c>
      <c r="O33" s="2">
        <v>5720</v>
      </c>
      <c r="P33" s="2">
        <v>10193</v>
      </c>
      <c r="Q33" s="2">
        <v>5085</v>
      </c>
      <c r="R33" s="2">
        <v>6381</v>
      </c>
      <c r="S33" s="2">
        <v>4414</v>
      </c>
      <c r="T33" s="2">
        <v>7908</v>
      </c>
      <c r="U33" s="2">
        <v>10253</v>
      </c>
      <c r="V33" s="2">
        <v>6812</v>
      </c>
      <c r="W33" s="2">
        <v>3895</v>
      </c>
      <c r="X33" s="2">
        <v>6694</v>
      </c>
      <c r="Y33" s="8"/>
      <c r="Z33" s="8"/>
      <c r="AA33" s="2"/>
      <c r="AB33" s="8"/>
      <c r="AC33" s="2"/>
      <c r="AD33" s="2"/>
      <c r="AE33" s="2"/>
      <c r="AF33" s="2"/>
      <c r="AG33" s="2"/>
      <c r="AH33" s="2"/>
      <c r="AI33" s="2"/>
      <c r="AJ33" s="2"/>
    </row>
    <row r="34" spans="1:50" x14ac:dyDescent="0.55000000000000004">
      <c r="A34" s="28" t="s">
        <v>38</v>
      </c>
      <c r="K34" s="37"/>
      <c r="L34" s="37"/>
      <c r="N34" s="2">
        <v>3690</v>
      </c>
      <c r="O34" s="2">
        <v>1626</v>
      </c>
      <c r="P34" s="2">
        <v>7775</v>
      </c>
      <c r="Q34" s="2">
        <v>2437</v>
      </c>
      <c r="R34" s="2">
        <v>4053</v>
      </c>
      <c r="S34" s="2">
        <v>2580</v>
      </c>
      <c r="T34" s="2">
        <v>4239</v>
      </c>
      <c r="U34" s="2">
        <v>5631</v>
      </c>
      <c r="V34" s="2">
        <v>3594</v>
      </c>
      <c r="W34" s="2">
        <v>2279</v>
      </c>
      <c r="X34" s="2">
        <v>4096</v>
      </c>
      <c r="Y34" s="8"/>
      <c r="Z34" s="8"/>
      <c r="AA34" s="2"/>
      <c r="AB34" s="8"/>
      <c r="AC34" s="2"/>
      <c r="AD34" s="2"/>
      <c r="AE34" s="2"/>
      <c r="AF34" s="2"/>
      <c r="AG34" s="2"/>
      <c r="AH34" s="2"/>
      <c r="AI34" s="2"/>
      <c r="AJ34" s="2"/>
    </row>
    <row r="35" spans="1:50" x14ac:dyDescent="0.55000000000000004">
      <c r="A35" s="29" t="s">
        <v>39</v>
      </c>
      <c r="B35" s="3">
        <v>1380944</v>
      </c>
      <c r="C35" s="3">
        <v>83695</v>
      </c>
      <c r="D35" s="3">
        <v>59416</v>
      </c>
      <c r="E35" s="4">
        <v>110000</v>
      </c>
      <c r="F35" s="3">
        <v>6562</v>
      </c>
      <c r="G35" s="3">
        <v>6144</v>
      </c>
      <c r="H35" s="4">
        <v>1348671</v>
      </c>
      <c r="I35" s="3">
        <v>80667</v>
      </c>
      <c r="J35" s="3">
        <v>55174</v>
      </c>
      <c r="K35" s="36">
        <v>59.6</v>
      </c>
      <c r="L35" s="36">
        <v>42.2</v>
      </c>
      <c r="N35" s="3">
        <v>400969</v>
      </c>
      <c r="O35" s="3">
        <v>204216</v>
      </c>
      <c r="P35" s="3">
        <v>199301</v>
      </c>
      <c r="Q35" s="3">
        <v>179824</v>
      </c>
      <c r="R35" s="12">
        <v>396634</v>
      </c>
      <c r="S35" s="15"/>
      <c r="T35" s="15"/>
      <c r="U35" s="12"/>
      <c r="V35" s="12"/>
      <c r="W35" s="15"/>
      <c r="X35" s="15"/>
      <c r="Y35" s="15"/>
      <c r="Z35" s="15"/>
      <c r="AA35" s="12"/>
      <c r="AB35" s="15"/>
      <c r="AC35" s="2"/>
      <c r="AD35" s="12">
        <f>SUM(N35:AB35)</f>
        <v>1380944</v>
      </c>
      <c r="AE35" s="12">
        <f>SUM(N36:AB36)</f>
        <v>83695</v>
      </c>
      <c r="AF35" s="12">
        <f>SUM(N37:AB37)</f>
        <v>59416</v>
      </c>
      <c r="AG35" s="2"/>
      <c r="AH35" s="12">
        <f>AD35-B35</f>
        <v>0</v>
      </c>
      <c r="AI35" s="12">
        <f>AE35-C35</f>
        <v>0</v>
      </c>
      <c r="AJ35" s="12">
        <f>AF35-D35</f>
        <v>0</v>
      </c>
      <c r="AL35" s="47">
        <f>C35/B35*1000</f>
        <v>60.607091960282247</v>
      </c>
      <c r="AM35" s="47">
        <f>D35/B35*1000</f>
        <v>43.025640431472965</v>
      </c>
      <c r="AO35" s="47">
        <f>AL35-K35</f>
        <v>1.0070919602822457</v>
      </c>
      <c r="AP35" s="47">
        <f>AM35-L35</f>
        <v>0.82564043147296218</v>
      </c>
      <c r="AR35" s="12">
        <f t="shared" ref="AR35" si="27">H35</f>
        <v>1348671</v>
      </c>
      <c r="AS35" s="12">
        <f t="shared" ref="AS35" si="28">I35</f>
        <v>80667</v>
      </c>
      <c r="AT35" s="12">
        <f t="shared" ref="AT35" si="29">J35</f>
        <v>55174</v>
      </c>
    </row>
    <row r="36" spans="1:50" x14ac:dyDescent="0.55000000000000004">
      <c r="A36" s="28" t="s">
        <v>40</v>
      </c>
      <c r="K36" s="37"/>
      <c r="L36" s="37"/>
      <c r="N36" s="2">
        <v>28782</v>
      </c>
      <c r="O36" s="2">
        <v>11109</v>
      </c>
      <c r="P36" s="2">
        <v>9291</v>
      </c>
      <c r="Q36" s="2">
        <v>10672</v>
      </c>
      <c r="R36" s="2">
        <v>23841</v>
      </c>
      <c r="S36" s="8"/>
      <c r="T36" s="8"/>
      <c r="W36" s="8"/>
      <c r="X36" s="8"/>
      <c r="Y36" s="8"/>
      <c r="Z36" s="8"/>
      <c r="AA36" s="2"/>
      <c r="AB36" s="8"/>
      <c r="AC36" s="2"/>
      <c r="AD36" s="2"/>
      <c r="AE36" s="2"/>
      <c r="AF36" s="2"/>
      <c r="AG36" s="2"/>
      <c r="AH36" s="2"/>
      <c r="AI36" s="2"/>
      <c r="AJ36" s="2"/>
    </row>
    <row r="37" spans="1:50" x14ac:dyDescent="0.55000000000000004">
      <c r="A37" s="28" t="s">
        <v>41</v>
      </c>
      <c r="K37" s="37"/>
      <c r="L37" s="37"/>
      <c r="N37" s="2">
        <v>21153</v>
      </c>
      <c r="O37" s="2">
        <v>6502</v>
      </c>
      <c r="P37" s="2">
        <v>5999</v>
      </c>
      <c r="Q37" s="2">
        <v>7568</v>
      </c>
      <c r="R37" s="2">
        <v>18194</v>
      </c>
      <c r="S37" s="8"/>
      <c r="T37" s="8"/>
      <c r="W37" s="8"/>
      <c r="X37" s="8"/>
      <c r="Y37" s="8"/>
      <c r="Z37" s="8"/>
      <c r="AA37" s="2"/>
      <c r="AB37" s="8"/>
      <c r="AC37" s="2"/>
      <c r="AD37" s="2"/>
      <c r="AE37" s="2"/>
      <c r="AF37" s="2"/>
      <c r="AG37" s="2"/>
      <c r="AH37" s="2"/>
      <c r="AI37" s="2"/>
      <c r="AJ37" s="2"/>
    </row>
    <row r="38" spans="1:50" x14ac:dyDescent="0.55000000000000004">
      <c r="A38" s="29" t="s">
        <v>42</v>
      </c>
      <c r="B38" s="3">
        <v>2661613</v>
      </c>
      <c r="C38" s="3">
        <v>129754</v>
      </c>
      <c r="D38" s="3">
        <v>78185</v>
      </c>
      <c r="E38" s="4">
        <v>201146</v>
      </c>
      <c r="F38" s="3">
        <v>6829</v>
      </c>
      <c r="G38" s="3">
        <v>4164</v>
      </c>
      <c r="H38" s="4">
        <v>2524839</v>
      </c>
      <c r="I38" s="3">
        <v>123131</v>
      </c>
      <c r="J38" s="3">
        <v>77982</v>
      </c>
      <c r="K38" s="36">
        <v>48.7</v>
      </c>
      <c r="L38" s="36">
        <v>29.4</v>
      </c>
      <c r="N38" s="3">
        <v>231219</v>
      </c>
      <c r="O38" s="3">
        <v>324887</v>
      </c>
      <c r="P38" s="3">
        <v>213731</v>
      </c>
      <c r="Q38" s="3">
        <v>212413</v>
      </c>
      <c r="R38" s="3">
        <v>225445</v>
      </c>
      <c r="S38" s="3">
        <v>148064</v>
      </c>
      <c r="T38" s="12">
        <v>183934</v>
      </c>
      <c r="U38" s="12">
        <v>203098</v>
      </c>
      <c r="V38" s="12">
        <v>257419</v>
      </c>
      <c r="W38" s="12">
        <v>251900</v>
      </c>
      <c r="X38" s="12">
        <v>179308</v>
      </c>
      <c r="Y38" s="12">
        <v>230195</v>
      </c>
      <c r="Z38" s="15"/>
      <c r="AA38" s="12"/>
      <c r="AB38" s="15"/>
      <c r="AC38" s="2"/>
      <c r="AD38" s="12">
        <f>SUM(N38:AB38)</f>
        <v>2661613</v>
      </c>
      <c r="AE38" s="12">
        <f>SUM(N39:AB39)</f>
        <v>129654</v>
      </c>
      <c r="AF38" s="12">
        <f>SUM(N40:AB40)</f>
        <v>78185</v>
      </c>
      <c r="AG38" s="2"/>
      <c r="AH38" s="12">
        <f>AD38-B38</f>
        <v>0</v>
      </c>
      <c r="AI38" s="12">
        <f>AE38-C38</f>
        <v>-100</v>
      </c>
      <c r="AJ38" s="12">
        <f>AF38-D38</f>
        <v>0</v>
      </c>
      <c r="AL38" s="47">
        <f>C38/B38*1000</f>
        <v>48.750137604527779</v>
      </c>
      <c r="AM38" s="47">
        <f>D38/B38*1000</f>
        <v>29.375044380982509</v>
      </c>
      <c r="AO38" s="47">
        <f>AL38-K38</f>
        <v>5.0137604527776602E-2</v>
      </c>
      <c r="AP38" s="47">
        <f>AM38-L38</f>
        <v>-2.4955619017489994E-2</v>
      </c>
      <c r="AR38" s="12">
        <f t="shared" ref="AR38" si="30">H38</f>
        <v>2524839</v>
      </c>
      <c r="AS38" s="12">
        <f t="shared" ref="AS38" si="31">I38</f>
        <v>123131</v>
      </c>
      <c r="AT38" s="12">
        <f t="shared" ref="AT38" si="32">J38</f>
        <v>77982</v>
      </c>
    </row>
    <row r="39" spans="1:50" x14ac:dyDescent="0.55000000000000004">
      <c r="A39" s="28" t="s">
        <v>43</v>
      </c>
      <c r="K39" s="37"/>
      <c r="L39" s="37"/>
      <c r="N39" s="2">
        <v>10923</v>
      </c>
      <c r="O39" s="2">
        <v>17934</v>
      </c>
      <c r="P39" s="2">
        <v>10203</v>
      </c>
      <c r="Q39" s="2">
        <v>10877</v>
      </c>
      <c r="R39" s="2">
        <v>10941</v>
      </c>
      <c r="S39" s="2">
        <v>7512</v>
      </c>
      <c r="T39" s="2">
        <v>9551</v>
      </c>
      <c r="U39" s="2">
        <v>9925</v>
      </c>
      <c r="V39" s="2">
        <v>9454</v>
      </c>
      <c r="W39" s="2">
        <v>11593</v>
      </c>
      <c r="X39" s="2">
        <v>9373</v>
      </c>
      <c r="Y39" s="2">
        <v>11368</v>
      </c>
      <c r="Z39" s="8"/>
      <c r="AA39" s="2"/>
      <c r="AB39" s="8"/>
      <c r="AC39" s="2"/>
      <c r="AD39" s="2"/>
      <c r="AE39" s="2"/>
      <c r="AF39" s="2"/>
      <c r="AG39" s="2"/>
      <c r="AH39" s="2"/>
      <c r="AI39" s="2"/>
      <c r="AJ39" s="2"/>
    </row>
    <row r="40" spans="1:50" x14ac:dyDescent="0.55000000000000004">
      <c r="A40" s="28" t="s">
        <v>44</v>
      </c>
      <c r="K40" s="37"/>
      <c r="L40" s="37"/>
      <c r="N40" s="2">
        <v>7213</v>
      </c>
      <c r="O40" s="2">
        <v>11492</v>
      </c>
      <c r="P40" s="2">
        <v>5940</v>
      </c>
      <c r="Q40" s="2">
        <v>5748</v>
      </c>
      <c r="R40" s="2">
        <v>6837</v>
      </c>
      <c r="S40" s="2">
        <v>3928</v>
      </c>
      <c r="T40" s="2">
        <v>4846</v>
      </c>
      <c r="U40" s="2">
        <v>6119</v>
      </c>
      <c r="V40" s="2">
        <v>6660</v>
      </c>
      <c r="W40" s="2">
        <v>7785</v>
      </c>
      <c r="X40" s="2">
        <v>5003</v>
      </c>
      <c r="Y40" s="2">
        <v>6614</v>
      </c>
      <c r="Z40" s="8"/>
      <c r="AA40" s="2"/>
      <c r="AB40" s="8"/>
      <c r="AC40" s="2"/>
      <c r="AD40" s="2"/>
      <c r="AE40" s="2"/>
      <c r="AF40" s="2"/>
      <c r="AG40" s="2"/>
      <c r="AH40" s="2"/>
      <c r="AI40" s="2"/>
      <c r="AJ40" s="2"/>
    </row>
    <row r="41" spans="1:50" x14ac:dyDescent="0.55000000000000004">
      <c r="A41" s="30" t="s">
        <v>45</v>
      </c>
      <c r="B41" s="5">
        <v>20128644</v>
      </c>
      <c r="C41" s="5">
        <v>943937</v>
      </c>
      <c r="D41" s="5">
        <v>578312</v>
      </c>
      <c r="E41" s="5"/>
      <c r="F41" s="5"/>
      <c r="G41" s="5"/>
      <c r="H41" s="5">
        <v>19134055</v>
      </c>
      <c r="I41" s="5">
        <v>894718</v>
      </c>
      <c r="J41" s="5">
        <v>561871</v>
      </c>
      <c r="K41" s="38">
        <v>47.7</v>
      </c>
      <c r="L41" s="38">
        <v>29.2</v>
      </c>
      <c r="N41" s="5"/>
      <c r="O41" s="5"/>
      <c r="P41" s="5"/>
      <c r="Q41" s="5"/>
      <c r="R41" s="5"/>
      <c r="S41" s="5"/>
      <c r="T41" s="23"/>
      <c r="U41" s="23"/>
      <c r="V41" s="23"/>
      <c r="W41" s="22"/>
      <c r="X41" s="22"/>
      <c r="Y41" s="22"/>
      <c r="Z41" s="22"/>
      <c r="AA41" s="23"/>
      <c r="AB41" s="22"/>
      <c r="AC41" s="2"/>
      <c r="AD41" s="23">
        <f>SUM(AD2:AD39)</f>
        <v>20088078</v>
      </c>
      <c r="AE41" s="23">
        <f>SUM(AE2:AE39)</f>
        <v>943129</v>
      </c>
      <c r="AF41" s="23">
        <f>SUM(AF2:AF39)</f>
        <v>576722</v>
      </c>
      <c r="AG41" s="2"/>
      <c r="AH41" s="23">
        <f>AD41-B41</f>
        <v>-40566</v>
      </c>
      <c r="AI41" s="23">
        <f>AE41-C41</f>
        <v>-808</v>
      </c>
      <c r="AJ41" s="23">
        <f>AF41-D41</f>
        <v>-1590</v>
      </c>
      <c r="AL41" s="49">
        <f>C41/B41*1000</f>
        <v>46.895210626210087</v>
      </c>
      <c r="AM41" s="49">
        <f>D41/B41*1000</f>
        <v>28.730797762631205</v>
      </c>
      <c r="AN41" s="48"/>
      <c r="AO41" s="49">
        <f t="shared" ref="AO41:AP43" si="33">AL41-K41</f>
        <v>-0.80478937378991589</v>
      </c>
      <c r="AP41" s="49">
        <f t="shared" si="33"/>
        <v>-0.46920223736879407</v>
      </c>
      <c r="AR41" s="23">
        <f t="shared" ref="AR41:AT41" si="34">SUM(AR2:AR39)</f>
        <v>19118057</v>
      </c>
      <c r="AS41" s="23">
        <f t="shared" si="34"/>
        <v>894719</v>
      </c>
      <c r="AT41" s="23">
        <f t="shared" si="34"/>
        <v>571374</v>
      </c>
      <c r="AV41" s="23">
        <f>H41-AR41</f>
        <v>15998</v>
      </c>
      <c r="AW41" s="23">
        <f>I41-AS41</f>
        <v>-1</v>
      </c>
      <c r="AX41" s="23">
        <f>J41-AT41</f>
        <v>-9503</v>
      </c>
    </row>
    <row r="42" spans="1:50" x14ac:dyDescent="0.55000000000000004">
      <c r="A42" s="29" t="s">
        <v>46</v>
      </c>
      <c r="B42" s="3">
        <v>465272</v>
      </c>
      <c r="C42" s="3">
        <v>19401</v>
      </c>
      <c r="D42" s="3">
        <v>11824</v>
      </c>
      <c r="E42" s="3"/>
      <c r="F42" s="3"/>
      <c r="G42" s="3"/>
      <c r="H42" s="3">
        <v>451403</v>
      </c>
      <c r="I42" s="3">
        <v>19524</v>
      </c>
      <c r="J42" s="3">
        <v>12531</v>
      </c>
      <c r="K42" s="36">
        <v>41.7</v>
      </c>
      <c r="L42" s="36">
        <v>25.4</v>
      </c>
      <c r="N42" s="3"/>
      <c r="O42" s="3"/>
      <c r="P42" s="3"/>
      <c r="Q42" s="3"/>
      <c r="R42" s="3"/>
      <c r="S42" s="3"/>
      <c r="T42" s="12"/>
      <c r="U42" s="12"/>
      <c r="V42" s="12"/>
      <c r="W42" s="15"/>
      <c r="X42" s="15"/>
      <c r="Y42" s="15"/>
      <c r="Z42" s="15"/>
      <c r="AA42" s="12"/>
      <c r="AB42" s="15"/>
      <c r="AC42" s="2"/>
      <c r="AD42" s="12">
        <f>B42</f>
        <v>465272</v>
      </c>
      <c r="AE42" s="12">
        <f>C42</f>
        <v>19401</v>
      </c>
      <c r="AF42" s="12">
        <f>D42</f>
        <v>11824</v>
      </c>
      <c r="AG42" s="2"/>
      <c r="AH42" s="12"/>
      <c r="AI42" s="12"/>
      <c r="AJ42" s="12"/>
      <c r="AL42" s="47">
        <f>C42/B42*1000</f>
        <v>41.698189446173423</v>
      </c>
      <c r="AM42" s="47">
        <f>D42/B42*1000</f>
        <v>25.413091696899876</v>
      </c>
      <c r="AO42" s="47">
        <f t="shared" si="33"/>
        <v>-1.8105538265800192E-3</v>
      </c>
      <c r="AP42" s="47">
        <f t="shared" si="33"/>
        <v>1.3091696899877547E-2</v>
      </c>
      <c r="AR42" s="12">
        <f t="shared" ref="AR42:AR43" si="35">H42</f>
        <v>451403</v>
      </c>
      <c r="AS42" s="12">
        <f t="shared" ref="AS42:AS43" si="36">I42</f>
        <v>19524</v>
      </c>
      <c r="AT42" s="12">
        <f t="shared" ref="AT42:AT43" si="37">J42</f>
        <v>12531</v>
      </c>
    </row>
    <row r="43" spans="1:50" x14ac:dyDescent="0.55000000000000004">
      <c r="A43" s="29" t="s">
        <v>47</v>
      </c>
      <c r="B43" s="3">
        <v>1063010</v>
      </c>
      <c r="C43" s="3">
        <v>45719</v>
      </c>
      <c r="D43" s="3">
        <v>26121</v>
      </c>
      <c r="E43" s="4">
        <v>59634</v>
      </c>
      <c r="F43" s="3">
        <v>2087</v>
      </c>
      <c r="G43" s="3">
        <v>1376</v>
      </c>
      <c r="H43" s="4">
        <v>1019876</v>
      </c>
      <c r="I43" s="3">
        <v>42443</v>
      </c>
      <c r="J43" s="3">
        <v>25499</v>
      </c>
      <c r="K43" s="36">
        <v>43</v>
      </c>
      <c r="L43" s="36">
        <v>24.6</v>
      </c>
      <c r="N43" s="3">
        <v>124357</v>
      </c>
      <c r="O43" s="3">
        <v>85876</v>
      </c>
      <c r="P43" s="3">
        <v>96420</v>
      </c>
      <c r="Q43" s="3">
        <v>92426</v>
      </c>
      <c r="R43" s="3">
        <v>86809</v>
      </c>
      <c r="S43" s="3">
        <v>81729</v>
      </c>
      <c r="T43" s="12">
        <v>86842</v>
      </c>
      <c r="U43" s="12">
        <v>91418</v>
      </c>
      <c r="V43" s="12">
        <v>89923</v>
      </c>
      <c r="W43" s="12">
        <v>66896</v>
      </c>
      <c r="X43" s="12">
        <v>49684</v>
      </c>
      <c r="Y43" s="12">
        <v>75169</v>
      </c>
      <c r="Z43" s="15"/>
      <c r="AA43" s="12"/>
      <c r="AB43" s="15"/>
      <c r="AC43" s="2"/>
      <c r="AD43" s="12">
        <f>SUM(N43:AB43)</f>
        <v>1027549</v>
      </c>
      <c r="AE43" s="12">
        <f>SUM(N44:AB44)</f>
        <v>45719</v>
      </c>
      <c r="AF43" s="12">
        <f>SUM(N45:AB45)</f>
        <v>27120</v>
      </c>
      <c r="AG43" s="2"/>
      <c r="AH43" s="12">
        <f>AD43-B43</f>
        <v>-35461</v>
      </c>
      <c r="AI43" s="12">
        <f>AE43-C43</f>
        <v>0</v>
      </c>
      <c r="AJ43" s="12">
        <f>AF43-D43</f>
        <v>999</v>
      </c>
      <c r="AL43" s="47">
        <f>C43/B43*1000</f>
        <v>43.009002737509526</v>
      </c>
      <c r="AM43" s="47">
        <f>D43/B43*1000</f>
        <v>24.572675703897421</v>
      </c>
      <c r="AO43" s="47">
        <f t="shared" si="33"/>
        <v>9.0027375095260709E-3</v>
      </c>
      <c r="AP43" s="47">
        <f t="shared" si="33"/>
        <v>-2.7324296102580803E-2</v>
      </c>
      <c r="AR43" s="12">
        <f t="shared" si="35"/>
        <v>1019876</v>
      </c>
      <c r="AS43" s="12">
        <f t="shared" si="36"/>
        <v>42443</v>
      </c>
      <c r="AT43" s="12">
        <f t="shared" si="37"/>
        <v>25499</v>
      </c>
    </row>
    <row r="44" spans="1:50" x14ac:dyDescent="0.55000000000000004">
      <c r="A44" s="28" t="s">
        <v>48</v>
      </c>
      <c r="K44" s="37"/>
      <c r="L44" s="37"/>
      <c r="N44" s="2">
        <v>6899</v>
      </c>
      <c r="O44" s="2">
        <v>4468</v>
      </c>
      <c r="P44" s="2">
        <v>4002</v>
      </c>
      <c r="Q44" s="2">
        <v>5050</v>
      </c>
      <c r="R44" s="2">
        <v>2855</v>
      </c>
      <c r="S44" s="2">
        <v>3681</v>
      </c>
      <c r="T44" s="2">
        <v>3304</v>
      </c>
      <c r="U44" s="2">
        <v>4537</v>
      </c>
      <c r="V44" s="2">
        <v>2944</v>
      </c>
      <c r="W44" s="2">
        <v>2903</v>
      </c>
      <c r="X44" s="2">
        <v>1940</v>
      </c>
      <c r="Y44" s="2">
        <v>3136</v>
      </c>
      <c r="Z44" s="8"/>
      <c r="AA44" s="2"/>
      <c r="AB44" s="8"/>
      <c r="AC44" s="2"/>
      <c r="AD44" s="2"/>
      <c r="AE44" s="2"/>
      <c r="AF44" s="2"/>
      <c r="AG44" s="2"/>
      <c r="AH44" s="2"/>
      <c r="AI44" s="2"/>
      <c r="AJ44" s="2"/>
    </row>
    <row r="45" spans="1:50" x14ac:dyDescent="0.55000000000000004">
      <c r="A45" s="28" t="s">
        <v>49</v>
      </c>
      <c r="K45" s="37"/>
      <c r="L45" s="37"/>
      <c r="N45" s="2">
        <v>4141</v>
      </c>
      <c r="O45" s="2">
        <v>2523</v>
      </c>
      <c r="P45" s="2">
        <v>2629</v>
      </c>
      <c r="Q45" s="2">
        <v>2551</v>
      </c>
      <c r="R45" s="2">
        <v>2712</v>
      </c>
      <c r="S45" s="2">
        <v>2146</v>
      </c>
      <c r="T45" s="2">
        <v>1725</v>
      </c>
      <c r="U45" s="2">
        <v>2731</v>
      </c>
      <c r="V45" s="2">
        <v>1843</v>
      </c>
      <c r="W45" s="2">
        <v>1813</v>
      </c>
      <c r="X45" s="2">
        <v>983</v>
      </c>
      <c r="Y45" s="2">
        <v>1323</v>
      </c>
      <c r="Z45" s="8"/>
      <c r="AA45" s="2"/>
      <c r="AB45" s="8"/>
      <c r="AC45" s="2"/>
      <c r="AD45" s="2"/>
      <c r="AE45" s="2"/>
      <c r="AF45" s="2"/>
      <c r="AG45" s="2"/>
      <c r="AH45" s="2"/>
      <c r="AI45" s="2"/>
      <c r="AJ45" s="2"/>
    </row>
    <row r="46" spans="1:50" x14ac:dyDescent="0.55000000000000004">
      <c r="A46" s="29" t="s">
        <v>50</v>
      </c>
      <c r="B46" s="3">
        <v>896509</v>
      </c>
      <c r="C46" s="3">
        <v>33679</v>
      </c>
      <c r="D46" s="3">
        <v>18135</v>
      </c>
      <c r="E46" s="4">
        <v>66647</v>
      </c>
      <c r="F46" s="3">
        <v>1873</v>
      </c>
      <c r="G46" s="3">
        <v>1172</v>
      </c>
      <c r="H46" s="4">
        <v>856825</v>
      </c>
      <c r="I46" s="3">
        <v>34318</v>
      </c>
      <c r="J46" s="3">
        <v>20432</v>
      </c>
      <c r="K46" s="36">
        <v>37.5</v>
      </c>
      <c r="L46" s="36">
        <v>20.3</v>
      </c>
      <c r="N46" s="3">
        <v>119406</v>
      </c>
      <c r="O46" s="3">
        <v>138680</v>
      </c>
      <c r="P46" s="3">
        <v>107996</v>
      </c>
      <c r="Q46" s="3">
        <v>90662</v>
      </c>
      <c r="R46" s="3">
        <v>110320</v>
      </c>
      <c r="S46" s="3">
        <v>86950</v>
      </c>
      <c r="T46" s="12">
        <v>130673</v>
      </c>
      <c r="U46" s="12">
        <v>104904</v>
      </c>
      <c r="V46" s="12"/>
      <c r="W46" s="12"/>
      <c r="X46" s="12"/>
      <c r="Y46" s="12"/>
      <c r="Z46" s="15"/>
      <c r="AA46" s="12"/>
      <c r="AB46" s="15"/>
      <c r="AC46" s="2"/>
      <c r="AD46" s="12">
        <f>SUM(N46:AB46)</f>
        <v>889591</v>
      </c>
      <c r="AE46" s="12">
        <f>SUM(N47:AB47)</f>
        <v>33679</v>
      </c>
      <c r="AF46" s="12">
        <f>SUM(N48:AB48)</f>
        <v>18135</v>
      </c>
      <c r="AG46" s="2"/>
      <c r="AH46" s="12">
        <f>AD46-B46</f>
        <v>-6918</v>
      </c>
      <c r="AI46" s="12">
        <f>AE46-C46</f>
        <v>0</v>
      </c>
      <c r="AJ46" s="12">
        <f>AF46-D46</f>
        <v>0</v>
      </c>
      <c r="AL46" s="47">
        <f>C46/B46*1000</f>
        <v>37.566828665412174</v>
      </c>
      <c r="AM46" s="47">
        <f>D46/B46*1000</f>
        <v>20.228463964109672</v>
      </c>
      <c r="AO46" s="47">
        <f>AL46-K46</f>
        <v>6.682866541217436E-2</v>
      </c>
      <c r="AP46" s="47">
        <f>AM46-L46</f>
        <v>-7.1536035890328975E-2</v>
      </c>
      <c r="AR46" s="12">
        <f t="shared" ref="AR46" si="38">H46</f>
        <v>856825</v>
      </c>
      <c r="AS46" s="12">
        <f t="shared" ref="AS46" si="39">I46</f>
        <v>34318</v>
      </c>
      <c r="AT46" s="12">
        <f t="shared" ref="AT46" si="40">J46</f>
        <v>20432</v>
      </c>
    </row>
    <row r="47" spans="1:50" x14ac:dyDescent="0.55000000000000004">
      <c r="A47" s="28" t="s">
        <v>51</v>
      </c>
      <c r="K47" s="37"/>
      <c r="L47" s="37"/>
      <c r="N47" s="2">
        <v>3923</v>
      </c>
      <c r="O47" s="2">
        <v>5973</v>
      </c>
      <c r="P47" s="2">
        <v>4507</v>
      </c>
      <c r="Q47" s="2">
        <v>3434</v>
      </c>
      <c r="R47" s="2">
        <v>4609</v>
      </c>
      <c r="S47" s="2">
        <v>3004</v>
      </c>
      <c r="T47" s="2">
        <v>4154</v>
      </c>
      <c r="U47" s="2">
        <v>4075</v>
      </c>
      <c r="W47" s="2"/>
      <c r="X47" s="2"/>
      <c r="Y47" s="2"/>
      <c r="Z47" s="8"/>
      <c r="AA47" s="2"/>
      <c r="AB47" s="8"/>
      <c r="AC47" s="2"/>
      <c r="AD47" s="2"/>
      <c r="AE47" s="2"/>
      <c r="AF47" s="2"/>
      <c r="AG47" s="2"/>
      <c r="AH47" s="2"/>
      <c r="AI47" s="2"/>
      <c r="AJ47" s="2"/>
    </row>
    <row r="48" spans="1:50" x14ac:dyDescent="0.55000000000000004">
      <c r="A48" s="28" t="s">
        <v>52</v>
      </c>
      <c r="K48" s="37"/>
      <c r="L48" s="37"/>
      <c r="N48" s="2">
        <v>2381</v>
      </c>
      <c r="O48" s="2">
        <v>3065</v>
      </c>
      <c r="P48" s="2">
        <v>2031</v>
      </c>
      <c r="Q48" s="2">
        <v>2885</v>
      </c>
      <c r="R48" s="2">
        <v>2424</v>
      </c>
      <c r="S48" s="2">
        <v>1922</v>
      </c>
      <c r="T48" s="2">
        <v>1385</v>
      </c>
      <c r="U48" s="2">
        <v>2042</v>
      </c>
      <c r="W48" s="2"/>
      <c r="X48" s="2"/>
      <c r="Y48" s="2"/>
      <c r="Z48" s="8"/>
      <c r="AA48" s="2"/>
      <c r="AB48" s="8"/>
      <c r="AC48" s="2"/>
      <c r="AD48" s="2"/>
      <c r="AE48" s="2"/>
      <c r="AF48" s="2"/>
      <c r="AG48" s="2"/>
      <c r="AH48" s="2"/>
      <c r="AI48" s="2"/>
      <c r="AJ48" s="2"/>
    </row>
    <row r="49" spans="1:46" x14ac:dyDescent="0.55000000000000004">
      <c r="A49" s="29" t="s">
        <v>53</v>
      </c>
      <c r="B49" s="3">
        <v>751959</v>
      </c>
      <c r="C49" s="3">
        <v>31180</v>
      </c>
      <c r="D49" s="3">
        <v>16884</v>
      </c>
      <c r="E49" s="4">
        <v>32037</v>
      </c>
      <c r="F49" s="3">
        <v>1003</v>
      </c>
      <c r="G49" s="3">
        <v>654</v>
      </c>
      <c r="H49" s="4">
        <v>714004</v>
      </c>
      <c r="I49" s="3">
        <v>25757</v>
      </c>
      <c r="J49" s="3">
        <v>15551</v>
      </c>
      <c r="K49" s="36">
        <v>41.5</v>
      </c>
      <c r="L49" s="36">
        <v>22.5</v>
      </c>
      <c r="N49" s="3">
        <v>128282</v>
      </c>
      <c r="O49" s="3">
        <v>77020</v>
      </c>
      <c r="P49" s="3">
        <v>74810</v>
      </c>
      <c r="Q49" s="3">
        <v>105839</v>
      </c>
      <c r="R49" s="3">
        <v>113785</v>
      </c>
      <c r="S49" s="3">
        <v>103350</v>
      </c>
      <c r="T49" s="12">
        <v>125748</v>
      </c>
      <c r="U49" s="12"/>
      <c r="V49" s="12"/>
      <c r="W49" s="12"/>
      <c r="X49" s="12"/>
      <c r="Y49" s="12"/>
      <c r="Z49" s="15"/>
      <c r="AA49" s="12"/>
      <c r="AB49" s="15"/>
      <c r="AC49" s="2"/>
      <c r="AD49" s="12">
        <f>SUM(N49:AB49)</f>
        <v>728834</v>
      </c>
      <c r="AE49" s="12">
        <f>SUM(N50:AB50)</f>
        <v>31181</v>
      </c>
      <c r="AF49" s="12">
        <f>SUM(N51:AB51)</f>
        <v>16884</v>
      </c>
      <c r="AG49" s="2"/>
      <c r="AH49" s="12">
        <f>AD49-B49</f>
        <v>-23125</v>
      </c>
      <c r="AI49" s="12">
        <f>AE49-C49</f>
        <v>1</v>
      </c>
      <c r="AJ49" s="12">
        <f>AF49-D49</f>
        <v>0</v>
      </c>
      <c r="AL49" s="47">
        <f>C49/B49*1000</f>
        <v>41.465026683635678</v>
      </c>
      <c r="AM49" s="47">
        <f>D49/B49*1000</f>
        <v>22.453351844980912</v>
      </c>
      <c r="AO49" s="47">
        <f>AL49-K49</f>
        <v>-3.4973316364322216E-2</v>
      </c>
      <c r="AP49" s="47">
        <f>AM49-L49</f>
        <v>-4.6648155019088478E-2</v>
      </c>
      <c r="AR49" s="12">
        <f t="shared" ref="AR49" si="41">H49</f>
        <v>714004</v>
      </c>
      <c r="AS49" s="12">
        <f t="shared" ref="AS49" si="42">I49</f>
        <v>25757</v>
      </c>
      <c r="AT49" s="12">
        <f t="shared" ref="AT49" si="43">J49</f>
        <v>15551</v>
      </c>
    </row>
    <row r="50" spans="1:46" x14ac:dyDescent="0.55000000000000004">
      <c r="A50" s="28" t="s">
        <v>54</v>
      </c>
      <c r="K50" s="37"/>
      <c r="L50" s="37"/>
      <c r="N50" s="2">
        <v>5131</v>
      </c>
      <c r="O50" s="2">
        <v>3127</v>
      </c>
      <c r="P50" s="2">
        <v>3105</v>
      </c>
      <c r="Q50" s="2">
        <v>4987</v>
      </c>
      <c r="R50" s="2">
        <v>5039</v>
      </c>
      <c r="S50" s="2">
        <v>4431</v>
      </c>
      <c r="T50" s="2">
        <v>5361</v>
      </c>
      <c r="W50" s="2"/>
      <c r="X50" s="2"/>
      <c r="Y50" s="2"/>
      <c r="Z50" s="8"/>
      <c r="AA50" s="2"/>
      <c r="AB50" s="8"/>
      <c r="AC50" s="2"/>
      <c r="AD50" s="2"/>
      <c r="AE50" s="2"/>
      <c r="AF50" s="2"/>
      <c r="AG50" s="2"/>
      <c r="AH50" s="2"/>
      <c r="AI50" s="2"/>
      <c r="AJ50" s="2"/>
    </row>
    <row r="51" spans="1:46" x14ac:dyDescent="0.55000000000000004">
      <c r="A51" s="28" t="s">
        <v>55</v>
      </c>
      <c r="K51" s="37"/>
      <c r="L51" s="37"/>
      <c r="N51" s="2">
        <v>2887</v>
      </c>
      <c r="O51" s="2">
        <v>1742</v>
      </c>
      <c r="P51" s="2">
        <v>1606</v>
      </c>
      <c r="Q51" s="2">
        <v>2677</v>
      </c>
      <c r="R51" s="2">
        <v>2448</v>
      </c>
      <c r="S51" s="2">
        <v>2678</v>
      </c>
      <c r="T51" s="2">
        <v>2846</v>
      </c>
      <c r="W51" s="2"/>
      <c r="X51" s="2"/>
      <c r="Y51" s="2"/>
      <c r="Z51" s="8"/>
      <c r="AA51" s="2"/>
      <c r="AB51" s="8"/>
      <c r="AC51" s="2"/>
      <c r="AD51" s="2"/>
      <c r="AE51" s="2"/>
      <c r="AF51" s="2"/>
      <c r="AG51" s="2"/>
      <c r="AH51" s="2"/>
      <c r="AI51" s="2"/>
      <c r="AJ51" s="2"/>
    </row>
    <row r="52" spans="1:46" x14ac:dyDescent="0.55000000000000004">
      <c r="A52" s="29" t="s">
        <v>56</v>
      </c>
      <c r="B52" s="3">
        <v>665763</v>
      </c>
      <c r="C52" s="3">
        <v>26121</v>
      </c>
      <c r="D52" s="3">
        <v>16374</v>
      </c>
      <c r="E52" s="4">
        <v>65126</v>
      </c>
      <c r="F52" s="3">
        <v>2190</v>
      </c>
      <c r="G52" s="3">
        <v>1559</v>
      </c>
      <c r="H52" s="4">
        <v>625281</v>
      </c>
      <c r="I52" s="3">
        <v>25213</v>
      </c>
      <c r="J52" s="3">
        <v>17783</v>
      </c>
      <c r="K52" s="36">
        <v>39.200000000000003</v>
      </c>
      <c r="L52" s="36">
        <v>24.6</v>
      </c>
      <c r="N52" s="3">
        <v>104438</v>
      </c>
      <c r="O52" s="3">
        <v>77330</v>
      </c>
      <c r="P52" s="3">
        <v>76936</v>
      </c>
      <c r="Q52" s="3">
        <v>60562</v>
      </c>
      <c r="R52" s="3">
        <v>94120</v>
      </c>
      <c r="S52" s="3">
        <v>77374</v>
      </c>
      <c r="T52" s="12">
        <v>106494</v>
      </c>
      <c r="U52" s="12">
        <v>68509</v>
      </c>
      <c r="V52" s="12"/>
      <c r="W52" s="12"/>
      <c r="X52" s="12"/>
      <c r="Y52" s="12"/>
      <c r="Z52" s="15"/>
      <c r="AA52" s="12"/>
      <c r="AB52" s="15"/>
      <c r="AC52" s="2"/>
      <c r="AD52" s="12">
        <f>SUM(N52:AB52)</f>
        <v>665763</v>
      </c>
      <c r="AE52" s="12">
        <f>SUM(N53:AB53)</f>
        <v>26121</v>
      </c>
      <c r="AF52" s="12">
        <f>SUM(N54:AB54)</f>
        <v>16374</v>
      </c>
      <c r="AG52" s="2"/>
      <c r="AH52" s="12">
        <f>AD52-B52</f>
        <v>0</v>
      </c>
      <c r="AI52" s="12">
        <f>AE52-C52</f>
        <v>0</v>
      </c>
      <c r="AJ52" s="12">
        <f>AF52-D52</f>
        <v>0</v>
      </c>
      <c r="AL52" s="47">
        <f>C52/B52*1000</f>
        <v>39.234682612280949</v>
      </c>
      <c r="AM52" s="47">
        <f>D52/B52*1000</f>
        <v>24.594337624650215</v>
      </c>
      <c r="AO52" s="47">
        <f>AL52-K52</f>
        <v>3.4682612280946046E-2</v>
      </c>
      <c r="AP52" s="47">
        <f>AM52-L52</f>
        <v>-5.6623753497859752E-3</v>
      </c>
      <c r="AR52" s="12">
        <f t="shared" ref="AR52" si="44">H52</f>
        <v>625281</v>
      </c>
      <c r="AS52" s="12">
        <f t="shared" ref="AS52" si="45">I52</f>
        <v>25213</v>
      </c>
      <c r="AT52" s="12">
        <f t="shared" ref="AT52" si="46">J52</f>
        <v>17783</v>
      </c>
    </row>
    <row r="53" spans="1:46" x14ac:dyDescent="0.55000000000000004">
      <c r="A53" s="28" t="s">
        <v>57</v>
      </c>
      <c r="K53" s="37"/>
      <c r="L53" s="37"/>
      <c r="N53" s="2">
        <v>4144</v>
      </c>
      <c r="O53" s="2">
        <v>3586</v>
      </c>
      <c r="P53" s="2">
        <v>2370</v>
      </c>
      <c r="Q53" s="2">
        <v>2433</v>
      </c>
      <c r="R53" s="2">
        <v>3387</v>
      </c>
      <c r="S53" s="2">
        <v>3513</v>
      </c>
      <c r="T53" s="2">
        <v>4052</v>
      </c>
      <c r="U53" s="2">
        <v>2636</v>
      </c>
      <c r="W53" s="2"/>
      <c r="X53" s="2"/>
      <c r="Y53" s="2"/>
      <c r="Z53" s="8"/>
      <c r="AA53" s="2"/>
      <c r="AB53" s="8"/>
      <c r="AC53" s="2"/>
      <c r="AD53" s="2"/>
      <c r="AE53" s="2"/>
      <c r="AF53" s="2"/>
      <c r="AG53" s="2"/>
      <c r="AH53" s="2"/>
      <c r="AI53" s="2"/>
      <c r="AJ53" s="2"/>
    </row>
    <row r="54" spans="1:46" x14ac:dyDescent="0.55000000000000004">
      <c r="A54" s="28" t="s">
        <v>58</v>
      </c>
      <c r="K54" s="37"/>
      <c r="L54" s="37"/>
      <c r="N54" s="2">
        <v>2667</v>
      </c>
      <c r="O54" s="2">
        <v>2653</v>
      </c>
      <c r="P54" s="2">
        <v>1734</v>
      </c>
      <c r="Q54" s="2">
        <v>1259</v>
      </c>
      <c r="R54" s="2">
        <v>1934</v>
      </c>
      <c r="S54" s="2">
        <v>2246</v>
      </c>
      <c r="T54" s="2">
        <v>2318</v>
      </c>
      <c r="U54" s="2">
        <v>1563</v>
      </c>
      <c r="W54" s="2"/>
      <c r="X54" s="2"/>
      <c r="Y54" s="2"/>
      <c r="Z54" s="8"/>
      <c r="AA54" s="2"/>
      <c r="AB54" s="8"/>
      <c r="AC54" s="2"/>
      <c r="AD54" s="2"/>
      <c r="AE54" s="2"/>
      <c r="AF54" s="2"/>
      <c r="AG54" s="2"/>
      <c r="AH54" s="2"/>
      <c r="AI54" s="2"/>
      <c r="AJ54" s="2"/>
    </row>
    <row r="55" spans="1:46" x14ac:dyDescent="0.55000000000000004">
      <c r="A55" s="29" t="s">
        <v>59</v>
      </c>
      <c r="B55" s="3">
        <v>1091829</v>
      </c>
      <c r="C55" s="3">
        <v>42981</v>
      </c>
      <c r="D55" s="3">
        <v>25884</v>
      </c>
      <c r="E55" s="4">
        <v>125251</v>
      </c>
      <c r="F55" s="3">
        <v>4089</v>
      </c>
      <c r="G55" s="3">
        <v>2337</v>
      </c>
      <c r="H55" s="4">
        <v>1051457</v>
      </c>
      <c r="I55" s="3">
        <v>42044</v>
      </c>
      <c r="J55" s="3">
        <v>25432</v>
      </c>
      <c r="K55" s="36">
        <v>39.4</v>
      </c>
      <c r="L55" s="36">
        <v>23.7</v>
      </c>
      <c r="N55" s="3">
        <v>152985</v>
      </c>
      <c r="O55" s="3">
        <v>107632</v>
      </c>
      <c r="P55" s="3">
        <v>103053</v>
      </c>
      <c r="Q55" s="3">
        <v>106937</v>
      </c>
      <c r="R55" s="3">
        <v>95894</v>
      </c>
      <c r="S55" s="12">
        <v>89103</v>
      </c>
      <c r="T55" s="12">
        <v>121793</v>
      </c>
      <c r="U55" s="12">
        <v>88719</v>
      </c>
      <c r="V55" s="12">
        <v>121247</v>
      </c>
      <c r="W55" s="12">
        <v>104349</v>
      </c>
      <c r="X55" s="12"/>
      <c r="Y55" s="12"/>
      <c r="Z55" s="15"/>
      <c r="AA55" s="12"/>
      <c r="AB55" s="15"/>
      <c r="AC55" s="2"/>
      <c r="AD55" s="12">
        <f>SUM(N55:AB55)</f>
        <v>1091712</v>
      </c>
      <c r="AE55" s="12">
        <f>SUM(N56:AB56)</f>
        <v>42981</v>
      </c>
      <c r="AF55" s="12">
        <f>SUM(N57:AB57)</f>
        <v>24884</v>
      </c>
      <c r="AG55" s="2"/>
      <c r="AH55" s="12">
        <f>AD55-B55</f>
        <v>-117</v>
      </c>
      <c r="AI55" s="12">
        <f>AE55-C55</f>
        <v>0</v>
      </c>
      <c r="AJ55" s="12">
        <f>AF55-D55</f>
        <v>-1000</v>
      </c>
      <c r="AL55" s="47">
        <f>C55/B55*1000</f>
        <v>39.366054574480074</v>
      </c>
      <c r="AM55" s="47">
        <f>D55/B55*1000</f>
        <v>23.707009064606268</v>
      </c>
      <c r="AO55" s="47">
        <f>AL55-K55</f>
        <v>-3.3945425519924299E-2</v>
      </c>
      <c r="AP55" s="47">
        <f>AM55-L55</f>
        <v>7.0090646062688222E-3</v>
      </c>
      <c r="AR55" s="12">
        <f t="shared" ref="AR55" si="47">H55</f>
        <v>1051457</v>
      </c>
      <c r="AS55" s="12">
        <f t="shared" ref="AS55" si="48">I55</f>
        <v>42044</v>
      </c>
      <c r="AT55" s="12">
        <f t="shared" ref="AT55" si="49">J55</f>
        <v>25432</v>
      </c>
    </row>
    <row r="56" spans="1:46" x14ac:dyDescent="0.55000000000000004">
      <c r="A56" s="28" t="s">
        <v>60</v>
      </c>
      <c r="K56" s="37"/>
      <c r="L56" s="37"/>
      <c r="N56" s="2">
        <v>5274</v>
      </c>
      <c r="O56" s="2">
        <v>3790</v>
      </c>
      <c r="P56" s="2">
        <v>4542</v>
      </c>
      <c r="Q56" s="2">
        <v>4621</v>
      </c>
      <c r="R56" s="2">
        <v>3989</v>
      </c>
      <c r="S56" s="2">
        <v>3605</v>
      </c>
      <c r="T56" s="2">
        <v>4876</v>
      </c>
      <c r="U56" s="2">
        <v>3908</v>
      </c>
      <c r="V56" s="2">
        <v>4891</v>
      </c>
      <c r="W56" s="2">
        <v>3485</v>
      </c>
      <c r="X56" s="2"/>
      <c r="Y56" s="2"/>
      <c r="Z56" s="8"/>
      <c r="AA56" s="2"/>
      <c r="AB56" s="8"/>
      <c r="AC56" s="2"/>
      <c r="AD56" s="2"/>
      <c r="AE56" s="2"/>
      <c r="AF56" s="2"/>
      <c r="AG56" s="2"/>
      <c r="AH56" s="2"/>
      <c r="AI56" s="2"/>
      <c r="AJ56" s="2"/>
    </row>
    <row r="57" spans="1:46" x14ac:dyDescent="0.55000000000000004">
      <c r="A57" s="28" t="s">
        <v>61</v>
      </c>
      <c r="K57" s="37"/>
      <c r="L57" s="37"/>
      <c r="N57" s="2">
        <v>3161</v>
      </c>
      <c r="O57" s="2">
        <v>2327</v>
      </c>
      <c r="P57" s="2">
        <v>3284</v>
      </c>
      <c r="Q57" s="2">
        <v>3135</v>
      </c>
      <c r="R57" s="2">
        <v>1854</v>
      </c>
      <c r="S57" s="2">
        <v>1759</v>
      </c>
      <c r="T57" s="2">
        <v>2782</v>
      </c>
      <c r="U57" s="2">
        <v>1683</v>
      </c>
      <c r="V57" s="2">
        <v>2796</v>
      </c>
      <c r="W57" s="2">
        <v>2103</v>
      </c>
      <c r="X57" s="2"/>
      <c r="Y57" s="2"/>
      <c r="Z57" s="8"/>
      <c r="AA57" s="2"/>
      <c r="AB57" s="8"/>
      <c r="AC57" s="2"/>
      <c r="AD57" s="2"/>
      <c r="AE57" s="2"/>
      <c r="AF57" s="2"/>
      <c r="AG57" s="2"/>
      <c r="AH57" s="2"/>
      <c r="AI57" s="2"/>
      <c r="AJ57" s="2"/>
    </row>
    <row r="58" spans="1:46" x14ac:dyDescent="0.55000000000000004">
      <c r="A58" s="29" t="s">
        <v>62</v>
      </c>
      <c r="B58" s="3">
        <v>1246054</v>
      </c>
      <c r="C58" s="3">
        <v>51391</v>
      </c>
      <c r="D58" s="3">
        <v>28596</v>
      </c>
      <c r="E58" s="4">
        <v>248086</v>
      </c>
      <c r="F58" s="3">
        <v>10074</v>
      </c>
      <c r="G58" s="3">
        <v>6682</v>
      </c>
      <c r="H58" s="4">
        <v>1155206</v>
      </c>
      <c r="I58" s="3">
        <v>42466</v>
      </c>
      <c r="J58" s="3">
        <v>24399</v>
      </c>
      <c r="K58" s="36">
        <v>41.2</v>
      </c>
      <c r="L58" s="36">
        <v>21.4</v>
      </c>
      <c r="N58" s="3">
        <v>172873</v>
      </c>
      <c r="O58" s="3">
        <v>185916</v>
      </c>
      <c r="P58" s="3">
        <v>109730</v>
      </c>
      <c r="Q58" s="3">
        <v>123983</v>
      </c>
      <c r="R58" s="3">
        <v>277807</v>
      </c>
      <c r="S58" s="12">
        <v>142268</v>
      </c>
      <c r="T58" s="12">
        <v>81588</v>
      </c>
      <c r="U58" s="12">
        <v>151919</v>
      </c>
      <c r="V58" s="12"/>
      <c r="W58" s="12"/>
      <c r="X58" s="12"/>
      <c r="Y58" s="12"/>
      <c r="Z58" s="15"/>
      <c r="AA58" s="12"/>
      <c r="AB58" s="15"/>
      <c r="AC58" s="2"/>
      <c r="AD58" s="12">
        <f>SUM(N58:AB58)</f>
        <v>1246084</v>
      </c>
      <c r="AE58" s="12">
        <f>SUM(N59:AB59)</f>
        <v>51391</v>
      </c>
      <c r="AF58" s="12">
        <f>SUM(N60:AB60)</f>
        <v>26596</v>
      </c>
      <c r="AG58" s="2"/>
      <c r="AH58" s="12">
        <f>AD58-B58</f>
        <v>30</v>
      </c>
      <c r="AI58" s="12">
        <f>AE58-C58</f>
        <v>0</v>
      </c>
      <c r="AJ58" s="12">
        <f>AF58-D58</f>
        <v>-2000</v>
      </c>
      <c r="AL58" s="47">
        <f>C58/B58*1000</f>
        <v>41.242995889423732</v>
      </c>
      <c r="AM58" s="47">
        <f>D58/B58*1000</f>
        <v>22.949246180342104</v>
      </c>
      <c r="AO58" s="47">
        <f>AL58-K58</f>
        <v>4.2995889423728784E-2</v>
      </c>
      <c r="AP58" s="47">
        <f>AM58-L58</f>
        <v>1.5492461803421058</v>
      </c>
      <c r="AR58" s="12">
        <f t="shared" ref="AR58" si="50">H58</f>
        <v>1155206</v>
      </c>
      <c r="AS58" s="12">
        <f t="shared" ref="AS58" si="51">I58</f>
        <v>42466</v>
      </c>
      <c r="AT58" s="12">
        <f t="shared" ref="AT58" si="52">J58</f>
        <v>24399</v>
      </c>
    </row>
    <row r="59" spans="1:46" x14ac:dyDescent="0.55000000000000004">
      <c r="A59" s="28" t="s">
        <v>63</v>
      </c>
      <c r="K59" s="37"/>
      <c r="L59" s="37"/>
      <c r="N59" s="2">
        <v>6315</v>
      </c>
      <c r="O59" s="2">
        <v>7350</v>
      </c>
      <c r="P59" s="2">
        <v>4219</v>
      </c>
      <c r="Q59" s="2">
        <v>4623</v>
      </c>
      <c r="R59" s="2">
        <v>11997</v>
      </c>
      <c r="S59" s="2">
        <v>5597</v>
      </c>
      <c r="T59" s="2">
        <v>4691</v>
      </c>
      <c r="U59" s="2">
        <v>6599</v>
      </c>
      <c r="W59" s="2"/>
      <c r="X59" s="2"/>
      <c r="Y59" s="2"/>
      <c r="Z59" s="8"/>
      <c r="AA59" s="2"/>
      <c r="AB59" s="8"/>
      <c r="AC59" s="2"/>
      <c r="AD59" s="2"/>
      <c r="AE59" s="2"/>
      <c r="AF59" s="2"/>
      <c r="AG59" s="2"/>
      <c r="AH59" s="2"/>
      <c r="AI59" s="2"/>
      <c r="AJ59" s="2"/>
    </row>
    <row r="60" spans="1:46" x14ac:dyDescent="0.55000000000000004">
      <c r="A60" s="28" t="s">
        <v>64</v>
      </c>
      <c r="K60" s="37"/>
      <c r="L60" s="37"/>
      <c r="N60" s="2">
        <v>3319</v>
      </c>
      <c r="O60" s="2">
        <v>3544</v>
      </c>
      <c r="P60" s="2">
        <v>2192</v>
      </c>
      <c r="Q60" s="2">
        <v>2516</v>
      </c>
      <c r="R60" s="2">
        <v>6775</v>
      </c>
      <c r="S60" s="2">
        <v>2800</v>
      </c>
      <c r="T60" s="2">
        <v>1972</v>
      </c>
      <c r="U60" s="2">
        <v>3478</v>
      </c>
      <c r="W60" s="2"/>
      <c r="X60" s="2"/>
      <c r="Y60" s="2"/>
      <c r="Z60" s="8"/>
      <c r="AA60" s="2"/>
      <c r="AB60" s="8"/>
      <c r="AC60" s="2"/>
      <c r="AD60" s="2"/>
      <c r="AE60" s="2"/>
      <c r="AF60" s="2"/>
      <c r="AG60" s="2"/>
      <c r="AH60" s="2"/>
      <c r="AI60" s="2"/>
      <c r="AJ60" s="2"/>
    </row>
    <row r="61" spans="1:46" x14ac:dyDescent="0.55000000000000004">
      <c r="A61" s="29" t="s">
        <v>65</v>
      </c>
      <c r="B61" s="3">
        <v>653988</v>
      </c>
      <c r="C61" s="3">
        <v>25107</v>
      </c>
      <c r="D61" s="3">
        <v>17161</v>
      </c>
      <c r="E61" s="4"/>
      <c r="F61" s="3"/>
      <c r="G61" s="3"/>
      <c r="H61" s="4">
        <v>631327</v>
      </c>
      <c r="I61" s="3">
        <v>25164</v>
      </c>
      <c r="J61" s="3">
        <v>15757</v>
      </c>
      <c r="K61" s="36">
        <v>37.6</v>
      </c>
      <c r="L61" s="36">
        <v>25.7</v>
      </c>
      <c r="N61" s="3">
        <v>105389</v>
      </c>
      <c r="O61" s="3">
        <v>92871</v>
      </c>
      <c r="P61" s="3">
        <v>83130</v>
      </c>
      <c r="Q61" s="3">
        <v>86428</v>
      </c>
      <c r="R61" s="12">
        <v>66314</v>
      </c>
      <c r="S61" s="12">
        <v>75958</v>
      </c>
      <c r="T61" s="12">
        <v>65292</v>
      </c>
      <c r="U61" s="12">
        <v>73071</v>
      </c>
      <c r="V61" s="12"/>
      <c r="W61" s="12"/>
      <c r="X61" s="12"/>
      <c r="Y61" s="12"/>
      <c r="Z61" s="15"/>
      <c r="AA61" s="12"/>
      <c r="AB61" s="15"/>
      <c r="AC61" s="2"/>
      <c r="AD61" s="12">
        <f>SUM(N61:AB61)</f>
        <v>648453</v>
      </c>
      <c r="AE61" s="12">
        <f>SUM(N62:AB62)</f>
        <v>26107</v>
      </c>
      <c r="AF61" s="12">
        <f>SUM(N63:AB63)</f>
        <v>17161</v>
      </c>
      <c r="AG61" s="2"/>
      <c r="AH61" s="12">
        <f>AD61-B61</f>
        <v>-5535</v>
      </c>
      <c r="AI61" s="12">
        <f>AE61-C61</f>
        <v>1000</v>
      </c>
      <c r="AJ61" s="12">
        <f>AF61-D61</f>
        <v>0</v>
      </c>
      <c r="AL61" s="47">
        <f>C61/B61*1000</f>
        <v>38.390612671792141</v>
      </c>
      <c r="AM61" s="47">
        <f>D61/B61*1000</f>
        <v>26.240542639926115</v>
      </c>
      <c r="AO61" s="47">
        <f>AL61-K61</f>
        <v>0.79061267179213957</v>
      </c>
      <c r="AP61" s="47">
        <f>AM61-L61</f>
        <v>0.54054263992611595</v>
      </c>
      <c r="AR61" s="12">
        <f t="shared" ref="AR61" si="53">H61</f>
        <v>631327</v>
      </c>
      <c r="AS61" s="12">
        <f t="shared" ref="AS61" si="54">I61</f>
        <v>25164</v>
      </c>
      <c r="AT61" s="12">
        <f t="shared" ref="AT61" si="55">J61</f>
        <v>15757</v>
      </c>
    </row>
    <row r="62" spans="1:46" x14ac:dyDescent="0.55000000000000004">
      <c r="A62" s="28" t="s">
        <v>66</v>
      </c>
      <c r="K62" s="37"/>
      <c r="L62" s="37"/>
      <c r="N62" s="2">
        <v>5536</v>
      </c>
      <c r="O62" s="2">
        <v>3658</v>
      </c>
      <c r="P62" s="2">
        <v>2896</v>
      </c>
      <c r="Q62" s="2">
        <v>3124</v>
      </c>
      <c r="R62" s="2">
        <v>2519</v>
      </c>
      <c r="S62" s="2">
        <v>2811</v>
      </c>
      <c r="T62" s="2">
        <v>2567</v>
      </c>
      <c r="U62" s="2">
        <v>2996</v>
      </c>
      <c r="W62" s="2"/>
      <c r="X62" s="2"/>
      <c r="Y62" s="2"/>
      <c r="Z62" s="8"/>
      <c r="AA62" s="2"/>
      <c r="AB62" s="8"/>
      <c r="AC62" s="2"/>
      <c r="AD62" s="2"/>
      <c r="AE62" s="2"/>
      <c r="AF62" s="2"/>
      <c r="AG62" s="2"/>
      <c r="AH62" s="2"/>
      <c r="AI62" s="2"/>
      <c r="AJ62" s="2"/>
    </row>
    <row r="63" spans="1:46" x14ac:dyDescent="0.55000000000000004">
      <c r="A63" s="28" t="s">
        <v>67</v>
      </c>
      <c r="K63" s="37"/>
      <c r="L63" s="37"/>
      <c r="N63" s="2">
        <v>2659</v>
      </c>
      <c r="O63" s="2">
        <v>2584</v>
      </c>
      <c r="P63" s="2">
        <v>2315</v>
      </c>
      <c r="Q63" s="2">
        <v>1835</v>
      </c>
      <c r="R63" s="2">
        <v>1653</v>
      </c>
      <c r="S63" s="2">
        <v>2572</v>
      </c>
      <c r="T63" s="2">
        <v>1889</v>
      </c>
      <c r="U63" s="2">
        <v>1654</v>
      </c>
      <c r="W63" s="2"/>
      <c r="X63" s="2"/>
      <c r="Y63" s="2"/>
      <c r="Z63" s="8"/>
      <c r="AA63" s="2"/>
      <c r="AB63" s="8"/>
      <c r="AC63" s="2"/>
      <c r="AD63" s="2"/>
      <c r="AE63" s="2"/>
      <c r="AF63" s="2"/>
      <c r="AG63" s="2"/>
      <c r="AH63" s="2"/>
      <c r="AI63" s="2"/>
      <c r="AJ63" s="2"/>
    </row>
    <row r="64" spans="1:46" x14ac:dyDescent="0.55000000000000004">
      <c r="A64" s="29" t="s">
        <v>68</v>
      </c>
      <c r="B64" s="3">
        <v>793650</v>
      </c>
      <c r="C64" s="3">
        <v>31305</v>
      </c>
      <c r="D64" s="3">
        <v>16967</v>
      </c>
      <c r="E64" s="4">
        <v>53880</v>
      </c>
      <c r="F64" s="3">
        <v>1470</v>
      </c>
      <c r="G64" s="3">
        <v>912</v>
      </c>
      <c r="H64" s="4">
        <v>745014</v>
      </c>
      <c r="I64" s="3">
        <v>30261</v>
      </c>
      <c r="J64" s="3">
        <v>17247</v>
      </c>
      <c r="K64" s="36">
        <v>39.4</v>
      </c>
      <c r="L64" s="36">
        <v>21.3</v>
      </c>
      <c r="N64" s="3">
        <v>130787</v>
      </c>
      <c r="O64" s="3">
        <v>104287</v>
      </c>
      <c r="P64" s="3">
        <v>107545</v>
      </c>
      <c r="Q64" s="3">
        <v>111352</v>
      </c>
      <c r="R64" s="3">
        <v>117673</v>
      </c>
      <c r="S64" s="12">
        <v>108576</v>
      </c>
      <c r="T64" s="12">
        <v>103420</v>
      </c>
      <c r="U64" s="12"/>
      <c r="V64" s="12"/>
      <c r="W64" s="12"/>
      <c r="X64" s="12"/>
      <c r="Y64" s="12"/>
      <c r="Z64" s="15"/>
      <c r="AA64" s="12"/>
      <c r="AB64" s="15"/>
      <c r="AC64" s="2"/>
      <c r="AD64" s="12">
        <f>SUM(N64:AB64)</f>
        <v>783640</v>
      </c>
      <c r="AE64" s="12">
        <f>SUM(N65:AB65)</f>
        <v>31305</v>
      </c>
      <c r="AF64" s="12">
        <f>SUM(N66:AB66)</f>
        <v>16967</v>
      </c>
      <c r="AG64" s="2"/>
      <c r="AH64" s="12">
        <f>AD64-B64</f>
        <v>-10010</v>
      </c>
      <c r="AI64" s="12">
        <f>AE64-C64</f>
        <v>0</v>
      </c>
      <c r="AJ64" s="12">
        <f>AF64-D64</f>
        <v>0</v>
      </c>
      <c r="AL64" s="47">
        <f>C64/B64*1000</f>
        <v>39.444339444339441</v>
      </c>
      <c r="AM64" s="47">
        <f>D64/B64*1000</f>
        <v>21.378441378441376</v>
      </c>
      <c r="AO64" s="47">
        <f>AL64-K64</f>
        <v>4.433944433944248E-2</v>
      </c>
      <c r="AP64" s="47">
        <f>AM64-L64</f>
        <v>7.8441378441375775E-2</v>
      </c>
      <c r="AR64" s="12">
        <f t="shared" ref="AR64" si="56">H64</f>
        <v>745014</v>
      </c>
      <c r="AS64" s="12">
        <f t="shared" ref="AS64" si="57">I64</f>
        <v>30261</v>
      </c>
      <c r="AT64" s="12">
        <f t="shared" ref="AT64" si="58">J64</f>
        <v>17247</v>
      </c>
    </row>
    <row r="65" spans="1:50" x14ac:dyDescent="0.55000000000000004">
      <c r="A65" s="28" t="s">
        <v>69</v>
      </c>
      <c r="K65" s="37"/>
      <c r="L65" s="37"/>
      <c r="N65" s="2">
        <v>5051</v>
      </c>
      <c r="O65" s="2">
        <v>4870</v>
      </c>
      <c r="P65" s="2">
        <v>4480</v>
      </c>
      <c r="Q65" s="2">
        <v>4324</v>
      </c>
      <c r="R65" s="2">
        <v>5040</v>
      </c>
      <c r="S65" s="2">
        <v>4189</v>
      </c>
      <c r="T65" s="2">
        <v>3351</v>
      </c>
      <c r="W65" s="2"/>
      <c r="X65" s="2"/>
      <c r="Y65" s="2"/>
      <c r="Z65" s="8"/>
      <c r="AA65" s="2"/>
      <c r="AB65" s="8"/>
      <c r="AC65" s="2"/>
      <c r="AD65" s="2"/>
      <c r="AE65" s="2"/>
      <c r="AF65" s="2"/>
      <c r="AG65" s="2"/>
      <c r="AH65" s="2"/>
      <c r="AI65" s="2"/>
      <c r="AJ65" s="2"/>
    </row>
    <row r="66" spans="1:50" x14ac:dyDescent="0.55000000000000004">
      <c r="A66" s="28" t="s">
        <v>70</v>
      </c>
      <c r="K66" s="37"/>
      <c r="L66" s="37"/>
      <c r="N66" s="2">
        <v>2388</v>
      </c>
      <c r="O66" s="2">
        <v>2120</v>
      </c>
      <c r="P66" s="2">
        <v>2890</v>
      </c>
      <c r="Q66" s="2">
        <v>2414</v>
      </c>
      <c r="R66" s="2">
        <v>2670</v>
      </c>
      <c r="S66" s="2">
        <v>2232</v>
      </c>
      <c r="T66" s="2">
        <v>2253</v>
      </c>
      <c r="W66" s="2"/>
      <c r="X66" s="2"/>
      <c r="Y66" s="2"/>
      <c r="Z66" s="8"/>
      <c r="AA66" s="2"/>
      <c r="AB66" s="8"/>
      <c r="AC66" s="2"/>
      <c r="AD66" s="2"/>
      <c r="AE66" s="2"/>
      <c r="AF66" s="2"/>
      <c r="AG66" s="2"/>
      <c r="AH66" s="2"/>
      <c r="AI66" s="2"/>
      <c r="AJ66" s="2"/>
    </row>
    <row r="67" spans="1:50" x14ac:dyDescent="0.55000000000000004">
      <c r="A67" s="29" t="s">
        <v>71</v>
      </c>
      <c r="B67" s="3">
        <v>708453</v>
      </c>
      <c r="C67" s="3">
        <v>20718</v>
      </c>
      <c r="D67" s="3">
        <v>15199</v>
      </c>
      <c r="E67" s="4">
        <v>73096</v>
      </c>
      <c r="F67" s="3">
        <v>1212</v>
      </c>
      <c r="G67" s="3">
        <v>1021</v>
      </c>
      <c r="H67" s="4">
        <v>682730</v>
      </c>
      <c r="I67" s="3">
        <v>20873</v>
      </c>
      <c r="J67" s="3">
        <v>15416</v>
      </c>
      <c r="K67" s="36">
        <v>29.2</v>
      </c>
      <c r="L67" s="36">
        <v>21.5</v>
      </c>
      <c r="N67" s="3">
        <v>107785</v>
      </c>
      <c r="O67" s="3">
        <v>196721</v>
      </c>
      <c r="P67" s="3">
        <v>85886</v>
      </c>
      <c r="Q67" s="3">
        <v>96098</v>
      </c>
      <c r="R67" s="3">
        <v>191094</v>
      </c>
      <c r="S67" s="3">
        <v>124767</v>
      </c>
      <c r="T67" s="12">
        <v>104102</v>
      </c>
      <c r="U67" s="12"/>
      <c r="V67" s="12"/>
      <c r="W67" s="12"/>
      <c r="X67" s="12"/>
      <c r="Y67" s="12"/>
      <c r="Z67" s="15"/>
      <c r="AA67" s="12"/>
      <c r="AB67" s="15"/>
      <c r="AC67" s="2"/>
      <c r="AD67" s="12">
        <f>SUM(N67:AB67)</f>
        <v>906453</v>
      </c>
      <c r="AE67" s="12">
        <f>SUM(N68:AB68)</f>
        <v>20718</v>
      </c>
      <c r="AF67" s="12">
        <f>SUM(N69:AB69)</f>
        <v>15199</v>
      </c>
      <c r="AG67" s="2"/>
      <c r="AH67" s="12">
        <f>AD67-B67</f>
        <v>198000</v>
      </c>
      <c r="AI67" s="12">
        <f>AE67-C67</f>
        <v>0</v>
      </c>
      <c r="AJ67" s="12">
        <f>AF67-D67</f>
        <v>0</v>
      </c>
      <c r="AL67" s="47">
        <f>C67/B67*1000</f>
        <v>29.244000660594281</v>
      </c>
      <c r="AM67" s="47">
        <f>D67/B67*1000</f>
        <v>21.453787336633479</v>
      </c>
      <c r="AO67" s="47">
        <f>AL67-K67</f>
        <v>4.4000660594281982E-2</v>
      </c>
      <c r="AP67" s="47">
        <f>AM67-L67</f>
        <v>-4.6212663366521411E-2</v>
      </c>
      <c r="AR67" s="12">
        <f t="shared" ref="AR67" si="59">H67</f>
        <v>682730</v>
      </c>
      <c r="AS67" s="12">
        <f t="shared" ref="AS67" si="60">I67</f>
        <v>20873</v>
      </c>
      <c r="AT67" s="12">
        <f t="shared" ref="AT67" si="61">J67</f>
        <v>15416</v>
      </c>
    </row>
    <row r="68" spans="1:50" x14ac:dyDescent="0.55000000000000004">
      <c r="A68" s="28" t="s">
        <v>72</v>
      </c>
      <c r="K68" s="37"/>
      <c r="L68" s="37"/>
      <c r="N68" s="2">
        <v>3276</v>
      </c>
      <c r="O68" s="2">
        <v>2588</v>
      </c>
      <c r="P68" s="2">
        <v>2350</v>
      </c>
      <c r="Q68" s="2">
        <v>2774</v>
      </c>
      <c r="R68" s="2">
        <v>2774</v>
      </c>
      <c r="S68" s="2">
        <v>3469</v>
      </c>
      <c r="T68" s="2">
        <v>3487</v>
      </c>
      <c r="W68" s="2"/>
      <c r="X68" s="2"/>
      <c r="Y68" s="2"/>
      <c r="Z68" s="8"/>
      <c r="AA68" s="2"/>
      <c r="AB68" s="8"/>
      <c r="AC68" s="2"/>
      <c r="AD68" s="2"/>
      <c r="AE68" s="2"/>
      <c r="AF68" s="2"/>
      <c r="AG68" s="2"/>
      <c r="AH68" s="2"/>
      <c r="AI68" s="2"/>
      <c r="AJ68" s="2"/>
    </row>
    <row r="69" spans="1:50" x14ac:dyDescent="0.55000000000000004">
      <c r="A69" s="28" t="s">
        <v>73</v>
      </c>
      <c r="K69" s="37"/>
      <c r="L69" s="37"/>
      <c r="N69" s="2">
        <v>2091</v>
      </c>
      <c r="O69" s="2">
        <v>1794</v>
      </c>
      <c r="P69" s="2">
        <v>1946</v>
      </c>
      <c r="Q69" s="2">
        <v>2178</v>
      </c>
      <c r="R69" s="2">
        <v>2254</v>
      </c>
      <c r="S69" s="2">
        <v>2418</v>
      </c>
      <c r="T69" s="2">
        <v>2518</v>
      </c>
      <c r="W69" s="2"/>
      <c r="X69" s="2"/>
      <c r="Y69" s="2"/>
      <c r="Z69" s="8"/>
      <c r="AA69" s="2"/>
      <c r="AB69" s="8"/>
      <c r="AC69" s="2"/>
      <c r="AD69" s="2"/>
      <c r="AE69" s="2"/>
      <c r="AF69" s="2"/>
      <c r="AG69" s="2"/>
      <c r="AH69" s="2"/>
      <c r="AI69" s="2"/>
      <c r="AJ69" s="2"/>
    </row>
    <row r="70" spans="1:50" x14ac:dyDescent="0.55000000000000004">
      <c r="A70" s="29" t="s">
        <v>74</v>
      </c>
      <c r="B70" s="3">
        <v>763581</v>
      </c>
      <c r="C70" s="3">
        <v>29244</v>
      </c>
      <c r="D70" s="3">
        <v>17815</v>
      </c>
      <c r="E70" s="4">
        <v>72342</v>
      </c>
      <c r="F70" s="3">
        <v>2212</v>
      </c>
      <c r="G70" s="3">
        <v>1397</v>
      </c>
      <c r="H70" s="4">
        <v>710434</v>
      </c>
      <c r="I70" s="3">
        <v>27295</v>
      </c>
      <c r="J70" s="3">
        <v>17010</v>
      </c>
      <c r="K70" s="36">
        <v>38.299999999999997</v>
      </c>
      <c r="L70" s="36">
        <v>24.3</v>
      </c>
      <c r="N70" s="3">
        <v>77441</v>
      </c>
      <c r="O70" s="3">
        <v>77632</v>
      </c>
      <c r="P70" s="3">
        <v>72553</v>
      </c>
      <c r="Q70" s="3">
        <v>88515</v>
      </c>
      <c r="R70" s="3">
        <v>115629</v>
      </c>
      <c r="S70" s="3">
        <v>62752</v>
      </c>
      <c r="T70" s="12">
        <v>94744</v>
      </c>
      <c r="U70" s="12">
        <v>78926</v>
      </c>
      <c r="V70" s="12">
        <v>68991</v>
      </c>
      <c r="W70" s="12"/>
      <c r="X70" s="12"/>
      <c r="Y70" s="12"/>
      <c r="Z70" s="15"/>
      <c r="AA70" s="12"/>
      <c r="AB70" s="15"/>
      <c r="AC70" s="2"/>
      <c r="AD70" s="12">
        <f>SUM(N70:AB70)</f>
        <v>737183</v>
      </c>
      <c r="AE70" s="12">
        <f>SUM(N71:AB71)</f>
        <v>29244</v>
      </c>
      <c r="AF70" s="12">
        <f>SUM(N72:AB72)</f>
        <v>17815</v>
      </c>
      <c r="AG70" s="2"/>
      <c r="AH70" s="12">
        <f>AD70-B70</f>
        <v>-26398</v>
      </c>
      <c r="AI70" s="12">
        <f>AE70-C70</f>
        <v>0</v>
      </c>
      <c r="AJ70" s="12">
        <f>AF70-D70</f>
        <v>0</v>
      </c>
      <c r="AL70" s="47">
        <f>C70/B70*1000</f>
        <v>38.298490926306442</v>
      </c>
      <c r="AM70" s="47">
        <f>D70/B70*1000</f>
        <v>23.330858153882822</v>
      </c>
      <c r="AO70" s="47">
        <f>AL70-K70</f>
        <v>-1.5090736935547966E-3</v>
      </c>
      <c r="AP70" s="47">
        <f>AM70-L70</f>
        <v>-0.96914184611717857</v>
      </c>
      <c r="AR70" s="12">
        <f t="shared" ref="AR70" si="62">H70</f>
        <v>710434</v>
      </c>
      <c r="AS70" s="12">
        <f t="shared" ref="AS70" si="63">I70</f>
        <v>27295</v>
      </c>
      <c r="AT70" s="12">
        <f t="shared" ref="AT70" si="64">J70</f>
        <v>17010</v>
      </c>
    </row>
    <row r="71" spans="1:50" x14ac:dyDescent="0.55000000000000004">
      <c r="A71" s="28" t="s">
        <v>75</v>
      </c>
      <c r="K71" s="37"/>
      <c r="L71" s="37"/>
      <c r="N71" s="2">
        <v>2578</v>
      </c>
      <c r="O71" s="2">
        <v>2531</v>
      </c>
      <c r="P71" s="2">
        <v>3008</v>
      </c>
      <c r="Q71" s="2">
        <v>3961</v>
      </c>
      <c r="R71" s="2">
        <v>5247</v>
      </c>
      <c r="S71" s="2">
        <v>2588</v>
      </c>
      <c r="T71" s="2">
        <v>4528</v>
      </c>
      <c r="U71" s="2">
        <v>2378</v>
      </c>
      <c r="V71" s="2">
        <v>2425</v>
      </c>
      <c r="W71" s="2"/>
      <c r="X71" s="2"/>
      <c r="Y71" s="2"/>
      <c r="Z71" s="8"/>
      <c r="AA71" s="2"/>
      <c r="AB71" s="8"/>
      <c r="AC71" s="2"/>
      <c r="AD71" s="2"/>
      <c r="AE71" s="2"/>
      <c r="AF71" s="2"/>
      <c r="AG71" s="2"/>
      <c r="AH71" s="2"/>
      <c r="AI71" s="2"/>
      <c r="AJ71" s="2"/>
    </row>
    <row r="72" spans="1:50" x14ac:dyDescent="0.55000000000000004">
      <c r="A72" s="28" t="s">
        <v>76</v>
      </c>
      <c r="K72" s="37"/>
      <c r="L72" s="37"/>
      <c r="N72" s="2">
        <v>1688</v>
      </c>
      <c r="O72" s="2">
        <v>1666</v>
      </c>
      <c r="P72" s="2">
        <v>1802</v>
      </c>
      <c r="Q72" s="2">
        <v>2227</v>
      </c>
      <c r="R72" s="2">
        <v>2981</v>
      </c>
      <c r="S72" s="2">
        <v>1810</v>
      </c>
      <c r="T72" s="2">
        <v>2488</v>
      </c>
      <c r="U72" s="2">
        <v>1582</v>
      </c>
      <c r="V72" s="2">
        <v>1571</v>
      </c>
      <c r="W72" s="2"/>
      <c r="X72" s="2"/>
      <c r="Y72" s="2"/>
      <c r="Z72" s="8"/>
      <c r="AA72" s="2"/>
      <c r="AB72" s="8"/>
      <c r="AC72" s="2"/>
      <c r="AD72" s="2"/>
      <c r="AE72" s="2"/>
      <c r="AF72" s="2"/>
      <c r="AG72" s="2"/>
      <c r="AH72" s="2"/>
      <c r="AI72" s="2"/>
      <c r="AJ72" s="2"/>
    </row>
    <row r="73" spans="1:50" x14ac:dyDescent="0.55000000000000004">
      <c r="A73" s="30" t="s">
        <v>77</v>
      </c>
      <c r="B73" s="5">
        <v>9114483</v>
      </c>
      <c r="C73" s="5">
        <v>356846</v>
      </c>
      <c r="D73" s="5">
        <v>208960</v>
      </c>
      <c r="E73" s="5"/>
      <c r="F73" s="5"/>
      <c r="G73" s="5"/>
      <c r="H73" s="5">
        <v>8613484</v>
      </c>
      <c r="I73" s="5">
        <v>337417</v>
      </c>
      <c r="J73" s="5">
        <v>207560</v>
      </c>
      <c r="K73" s="38">
        <v>39.200000000000003</v>
      </c>
      <c r="L73" s="38">
        <v>22.9</v>
      </c>
      <c r="N73" s="5"/>
      <c r="O73" s="5"/>
      <c r="P73" s="5"/>
      <c r="Q73" s="5"/>
      <c r="R73" s="5"/>
      <c r="S73" s="5"/>
      <c r="T73" s="23"/>
      <c r="U73" s="23"/>
      <c r="V73" s="23"/>
      <c r="W73" s="22"/>
      <c r="X73" s="22"/>
      <c r="Y73" s="22"/>
      <c r="Z73" s="22"/>
      <c r="AA73" s="23"/>
      <c r="AB73" s="22"/>
      <c r="AC73" s="2"/>
      <c r="AD73" s="23">
        <f>SUM(AD42:AD72)</f>
        <v>9190534</v>
      </c>
      <c r="AE73" s="23">
        <f>SUM(AE42:AE72)</f>
        <v>357847</v>
      </c>
      <c r="AF73" s="23">
        <f>SUM(AF42:AF72)</f>
        <v>208959</v>
      </c>
      <c r="AG73" s="2"/>
      <c r="AH73" s="23">
        <f t="shared" ref="AH73:AJ74" si="65">AD73-B73</f>
        <v>76051</v>
      </c>
      <c r="AI73" s="23">
        <f t="shared" si="65"/>
        <v>1001</v>
      </c>
      <c r="AJ73" s="23">
        <f t="shared" si="65"/>
        <v>-1</v>
      </c>
      <c r="AL73" s="49">
        <f>C73/B73*1000</f>
        <v>39.151534980097061</v>
      </c>
      <c r="AM73" s="49">
        <f>D73/B73*1000</f>
        <v>22.926149513910993</v>
      </c>
      <c r="AN73" s="48"/>
      <c r="AO73" s="49">
        <f>AL73-K73</f>
        <v>-4.8465019902941719E-2</v>
      </c>
      <c r="AP73" s="49">
        <f>AM73-L73</f>
        <v>2.614951391099396E-2</v>
      </c>
      <c r="AR73" s="23">
        <f t="shared" ref="AR73:AT73" si="66">SUM(AR42:AR72)</f>
        <v>8643557</v>
      </c>
      <c r="AS73" s="23">
        <f t="shared" si="66"/>
        <v>335358</v>
      </c>
      <c r="AT73" s="23">
        <f t="shared" si="66"/>
        <v>207057</v>
      </c>
      <c r="AV73" s="23">
        <f>H73-AR73</f>
        <v>-30073</v>
      </c>
      <c r="AW73" s="23">
        <f>I73-AS73</f>
        <v>2059</v>
      </c>
      <c r="AX73" s="23">
        <f>J73-AT73</f>
        <v>503</v>
      </c>
    </row>
    <row r="74" spans="1:50" x14ac:dyDescent="0.55000000000000004">
      <c r="A74" s="16" t="s">
        <v>78</v>
      </c>
      <c r="B74" s="15">
        <v>711900</v>
      </c>
      <c r="C74" s="15">
        <v>19147</v>
      </c>
      <c r="D74" s="15">
        <v>12208</v>
      </c>
      <c r="E74" s="15">
        <v>78951</v>
      </c>
      <c r="F74" s="15">
        <v>2236</v>
      </c>
      <c r="G74" s="15">
        <v>1386</v>
      </c>
      <c r="H74" s="15">
        <v>694578</v>
      </c>
      <c r="I74" s="15">
        <v>19187</v>
      </c>
      <c r="J74" s="15">
        <v>12183</v>
      </c>
      <c r="K74" s="36">
        <v>26.6</v>
      </c>
      <c r="L74" s="36">
        <v>16.899999999999999</v>
      </c>
      <c r="M74" s="9"/>
      <c r="N74" s="15">
        <v>106000</v>
      </c>
      <c r="O74" s="15">
        <v>59000</v>
      </c>
      <c r="P74" s="15">
        <v>50700</v>
      </c>
      <c r="Q74" s="15">
        <v>60000</v>
      </c>
      <c r="R74" s="15">
        <v>73500</v>
      </c>
      <c r="S74" s="15">
        <v>92700</v>
      </c>
      <c r="T74" s="15">
        <v>77000</v>
      </c>
      <c r="U74" s="15">
        <v>70000</v>
      </c>
      <c r="V74" s="15">
        <v>53000</v>
      </c>
      <c r="W74" s="15">
        <v>64600</v>
      </c>
      <c r="X74" s="15"/>
      <c r="Y74" s="15"/>
      <c r="Z74" s="15"/>
      <c r="AA74" s="12"/>
      <c r="AB74" s="15"/>
      <c r="AC74" s="2"/>
      <c r="AD74" s="12">
        <f>SUM(N74:AB74)</f>
        <v>706500</v>
      </c>
      <c r="AE74" s="12">
        <f>SUM(N75:AB75)</f>
        <v>19179</v>
      </c>
      <c r="AF74" s="12">
        <f>SUM(N76:AB76)</f>
        <v>12182</v>
      </c>
      <c r="AG74" s="2"/>
      <c r="AH74" s="12">
        <f t="shared" si="65"/>
        <v>-5400</v>
      </c>
      <c r="AI74" s="12">
        <f t="shared" si="65"/>
        <v>32</v>
      </c>
      <c r="AJ74" s="12">
        <f t="shared" si="65"/>
        <v>-26</v>
      </c>
      <c r="AL74" s="47">
        <f>C74/B74*1000</f>
        <v>26.895631408905746</v>
      </c>
      <c r="AM74" s="47">
        <f>D74/B74*1000</f>
        <v>17.148475909537858</v>
      </c>
      <c r="AO74" s="47">
        <f>AL74-K74</f>
        <v>0.29563140890574502</v>
      </c>
      <c r="AP74" s="47">
        <f>AM74-L74</f>
        <v>0.24847590953785925</v>
      </c>
      <c r="AR74" s="12">
        <f t="shared" ref="AR74" si="67">H74</f>
        <v>694578</v>
      </c>
      <c r="AS74" s="12">
        <f t="shared" ref="AS74" si="68">I74</f>
        <v>19187</v>
      </c>
      <c r="AT74" s="12">
        <f t="shared" ref="AT74" si="69">J74</f>
        <v>12183</v>
      </c>
    </row>
    <row r="75" spans="1:50" x14ac:dyDescent="0.55000000000000004">
      <c r="A75" s="10" t="s">
        <v>79</v>
      </c>
      <c r="B75" s="8"/>
      <c r="C75" s="8"/>
      <c r="D75" s="8"/>
      <c r="E75" s="8"/>
      <c r="F75" s="8"/>
      <c r="G75" s="8"/>
      <c r="H75" s="8"/>
      <c r="I75" s="8"/>
      <c r="J75" s="8"/>
      <c r="K75" s="37"/>
      <c r="L75" s="37"/>
      <c r="M75" s="9"/>
      <c r="N75" s="8">
        <v>2639</v>
      </c>
      <c r="O75" s="8">
        <v>1392</v>
      </c>
      <c r="P75" s="8">
        <v>1311</v>
      </c>
      <c r="Q75" s="8">
        <v>1539</v>
      </c>
      <c r="R75" s="8">
        <v>2040</v>
      </c>
      <c r="S75" s="8">
        <v>3224</v>
      </c>
      <c r="T75" s="8">
        <v>2179</v>
      </c>
      <c r="U75" s="8">
        <v>1733</v>
      </c>
      <c r="V75" s="8">
        <v>1381</v>
      </c>
      <c r="W75" s="8">
        <v>1741</v>
      </c>
      <c r="X75" s="8"/>
      <c r="Y75" s="8"/>
      <c r="Z75" s="8"/>
      <c r="AA75" s="2"/>
      <c r="AB75" s="8"/>
      <c r="AC75" s="2"/>
      <c r="AD75" s="2"/>
      <c r="AE75" s="2"/>
      <c r="AF75" s="2"/>
      <c r="AG75" s="2"/>
      <c r="AH75" s="2"/>
      <c r="AI75" s="2"/>
      <c r="AJ75" s="2"/>
    </row>
    <row r="76" spans="1:50" x14ac:dyDescent="0.55000000000000004">
      <c r="A76" s="10" t="s">
        <v>80</v>
      </c>
      <c r="B76" s="8"/>
      <c r="C76" s="8"/>
      <c r="D76" s="8"/>
      <c r="E76" s="8"/>
      <c r="F76" s="8"/>
      <c r="G76" s="8"/>
      <c r="H76" s="8"/>
      <c r="I76" s="8"/>
      <c r="J76" s="8"/>
      <c r="K76" s="37"/>
      <c r="L76" s="37"/>
      <c r="M76" s="9"/>
      <c r="N76" s="8">
        <v>1742</v>
      </c>
      <c r="O76" s="8">
        <v>898</v>
      </c>
      <c r="P76" s="8">
        <v>771</v>
      </c>
      <c r="Q76" s="8">
        <v>1133</v>
      </c>
      <c r="R76" s="8">
        <v>1221</v>
      </c>
      <c r="S76" s="8">
        <v>1906</v>
      </c>
      <c r="T76" s="8">
        <v>1410</v>
      </c>
      <c r="U76" s="8">
        <v>1016</v>
      </c>
      <c r="V76" s="8">
        <v>768</v>
      </c>
      <c r="W76" s="8">
        <v>1317</v>
      </c>
      <c r="X76" s="8"/>
      <c r="Y76" s="8"/>
      <c r="Z76" s="8"/>
      <c r="AA76" s="2"/>
      <c r="AB76" s="8"/>
      <c r="AC76" s="2"/>
      <c r="AD76" s="2"/>
      <c r="AE76" s="2"/>
      <c r="AF76" s="2"/>
      <c r="AG76" s="2"/>
      <c r="AH76" s="2"/>
      <c r="AI76" s="2"/>
      <c r="AJ76" s="2"/>
    </row>
    <row r="77" spans="1:50" x14ac:dyDescent="0.55000000000000004">
      <c r="A77" s="16" t="s">
        <v>81</v>
      </c>
      <c r="B77" s="15">
        <v>1282199</v>
      </c>
      <c r="C77" s="15">
        <v>37124</v>
      </c>
      <c r="D77" s="15">
        <v>5130</v>
      </c>
      <c r="E77" s="15">
        <v>254115</v>
      </c>
      <c r="F77" s="15">
        <v>8275</v>
      </c>
      <c r="G77" s="15">
        <v>6613</v>
      </c>
      <c r="H77" s="15">
        <v>1244615</v>
      </c>
      <c r="I77" s="15">
        <v>36676</v>
      </c>
      <c r="J77" s="15">
        <v>26309</v>
      </c>
      <c r="K77" s="36">
        <v>28.9</v>
      </c>
      <c r="L77" s="36">
        <v>20</v>
      </c>
      <c r="M77" s="9"/>
      <c r="N77" s="15">
        <v>331103</v>
      </c>
      <c r="O77" s="15">
        <v>123049</v>
      </c>
      <c r="P77" s="15">
        <v>135812</v>
      </c>
      <c r="Q77" s="15">
        <v>102277</v>
      </c>
      <c r="R77" s="15">
        <v>123763</v>
      </c>
      <c r="S77" s="15">
        <v>198103</v>
      </c>
      <c r="T77" s="15">
        <v>103764</v>
      </c>
      <c r="U77" s="15">
        <v>103115</v>
      </c>
      <c r="V77" s="15">
        <v>61213</v>
      </c>
      <c r="W77" s="15"/>
      <c r="X77" s="15"/>
      <c r="Y77" s="15"/>
      <c r="Z77" s="15"/>
      <c r="AA77" s="12"/>
      <c r="AB77" s="15"/>
      <c r="AC77" s="2"/>
      <c r="AD77" s="12">
        <f>SUM(N77:AB77)</f>
        <v>1282199</v>
      </c>
      <c r="AE77" s="12">
        <f>SUM(N78:AB78)</f>
        <v>37124</v>
      </c>
      <c r="AF77" s="12">
        <f>SUM(N79:AB79)</f>
        <v>5150</v>
      </c>
      <c r="AG77" s="2"/>
      <c r="AH77" s="12">
        <f>AD77-B77</f>
        <v>0</v>
      </c>
      <c r="AI77" s="12">
        <f>AE77-C77</f>
        <v>0</v>
      </c>
      <c r="AJ77" s="12">
        <f>AF77-D77</f>
        <v>20</v>
      </c>
      <c r="AL77" s="47">
        <f>C77/B77*1000</f>
        <v>28.953383991096544</v>
      </c>
      <c r="AM77" s="47">
        <f>D77/B77*1000</f>
        <v>4.00093901180706</v>
      </c>
      <c r="AO77" s="47">
        <f>AL77-K77</f>
        <v>5.3383991096545458E-2</v>
      </c>
      <c r="AP77" s="47">
        <f>AM77-L77</f>
        <v>-15.999060988192941</v>
      </c>
      <c r="AR77" s="12">
        <f t="shared" ref="AR77" si="70">H77</f>
        <v>1244615</v>
      </c>
      <c r="AS77" s="12">
        <f t="shared" ref="AS77" si="71">I77</f>
        <v>36676</v>
      </c>
      <c r="AT77" s="12">
        <f t="shared" ref="AT77" si="72">J77</f>
        <v>26309</v>
      </c>
    </row>
    <row r="78" spans="1:50" x14ac:dyDescent="0.55000000000000004">
      <c r="A78" s="10" t="s">
        <v>82</v>
      </c>
      <c r="B78" s="8"/>
      <c r="C78" s="8"/>
      <c r="D78" s="8"/>
      <c r="E78" s="8"/>
      <c r="F78" s="8"/>
      <c r="G78" s="8"/>
      <c r="H78" s="8"/>
      <c r="I78" s="8"/>
      <c r="J78" s="8"/>
      <c r="K78" s="37"/>
      <c r="L78" s="37"/>
      <c r="M78" s="9"/>
      <c r="N78" s="8">
        <v>9989</v>
      </c>
      <c r="O78" s="8">
        <v>3731</v>
      </c>
      <c r="P78" s="8">
        <v>3038</v>
      </c>
      <c r="Q78" s="8">
        <v>3386</v>
      </c>
      <c r="R78" s="8">
        <v>3595</v>
      </c>
      <c r="S78" s="8">
        <v>5760</v>
      </c>
      <c r="T78" s="8">
        <v>2974</v>
      </c>
      <c r="U78" s="8">
        <v>2791</v>
      </c>
      <c r="V78" s="8">
        <v>1860</v>
      </c>
      <c r="W78" s="8"/>
      <c r="X78" s="8"/>
      <c r="Y78" s="8"/>
      <c r="Z78" s="8"/>
      <c r="AA78" s="2"/>
      <c r="AB78" s="8"/>
      <c r="AC78" s="2"/>
      <c r="AD78" s="2"/>
      <c r="AE78" s="2"/>
      <c r="AF78" s="2"/>
      <c r="AG78" s="2"/>
      <c r="AH78" s="2"/>
      <c r="AI78" s="2"/>
      <c r="AJ78" s="2"/>
    </row>
    <row r="79" spans="1:50" x14ac:dyDescent="0.55000000000000004">
      <c r="A79" s="10" t="s">
        <v>83</v>
      </c>
      <c r="B79" s="8"/>
      <c r="C79" s="8"/>
      <c r="D79" s="8"/>
      <c r="E79" s="8"/>
      <c r="F79" s="8"/>
      <c r="G79" s="8"/>
      <c r="H79" s="8"/>
      <c r="I79" s="8"/>
      <c r="J79" s="8"/>
      <c r="K79" s="37"/>
      <c r="L79" s="37"/>
      <c r="M79" s="9"/>
      <c r="N79" s="8">
        <v>2473</v>
      </c>
      <c r="O79" s="8">
        <v>287</v>
      </c>
      <c r="P79" s="8">
        <v>523</v>
      </c>
      <c r="Q79" s="8">
        <v>138</v>
      </c>
      <c r="R79" s="8">
        <v>585</v>
      </c>
      <c r="S79" s="8">
        <v>680</v>
      </c>
      <c r="T79" s="8">
        <v>98</v>
      </c>
      <c r="U79" s="8">
        <v>334</v>
      </c>
      <c r="V79" s="8">
        <v>32</v>
      </c>
      <c r="W79" s="8"/>
      <c r="X79" s="8"/>
      <c r="Y79" s="8"/>
      <c r="Z79" s="8"/>
      <c r="AA79" s="2"/>
      <c r="AB79" s="8"/>
      <c r="AC79" s="2"/>
      <c r="AD79" s="2"/>
      <c r="AE79" s="2"/>
      <c r="AF79" s="2"/>
      <c r="AG79" s="2"/>
      <c r="AH79" s="2"/>
      <c r="AI79" s="2"/>
      <c r="AJ79" s="2"/>
    </row>
    <row r="80" spans="1:50" x14ac:dyDescent="0.55000000000000004">
      <c r="A80" s="16" t="s">
        <v>84</v>
      </c>
      <c r="B80" s="15">
        <v>408563</v>
      </c>
      <c r="C80" s="15">
        <v>11983</v>
      </c>
      <c r="D80" s="15">
        <v>8122</v>
      </c>
      <c r="E80" s="15">
        <v>61421</v>
      </c>
      <c r="F80" s="15">
        <v>1847</v>
      </c>
      <c r="G80" s="15">
        <v>1511</v>
      </c>
      <c r="H80" s="15">
        <v>398579</v>
      </c>
      <c r="I80" s="15">
        <v>11857</v>
      </c>
      <c r="J80" s="15">
        <v>8258</v>
      </c>
      <c r="K80" s="36">
        <v>29.3</v>
      </c>
      <c r="L80" s="36">
        <v>19.899999999999999</v>
      </c>
      <c r="M80" s="9"/>
      <c r="N80" s="15">
        <v>148051</v>
      </c>
      <c r="O80" s="15">
        <v>121510</v>
      </c>
      <c r="P80" s="15">
        <v>54165</v>
      </c>
      <c r="Q80" s="15">
        <v>84873</v>
      </c>
      <c r="R80" s="15"/>
      <c r="S80" s="15"/>
      <c r="T80" s="15"/>
      <c r="U80" s="15"/>
      <c r="V80" s="15"/>
      <c r="W80" s="15"/>
      <c r="X80" s="15"/>
      <c r="Y80" s="15"/>
      <c r="Z80" s="15"/>
      <c r="AA80" s="12"/>
      <c r="AB80" s="15"/>
      <c r="AC80" s="2"/>
      <c r="AD80" s="12">
        <f>SUM(N80:AB80)</f>
        <v>408599</v>
      </c>
      <c r="AE80" s="12">
        <f>SUM(N81:AB81)</f>
        <v>11983</v>
      </c>
      <c r="AF80" s="12">
        <f>SUM(N82:AB82)</f>
        <v>8122</v>
      </c>
      <c r="AG80" s="2"/>
      <c r="AH80" s="12">
        <f>AD80-B80</f>
        <v>36</v>
      </c>
      <c r="AI80" s="12">
        <f>AE80-C80</f>
        <v>0</v>
      </c>
      <c r="AJ80" s="12">
        <f>AF80-D80</f>
        <v>0</v>
      </c>
    </row>
    <row r="81" spans="1:50" x14ac:dyDescent="0.55000000000000004">
      <c r="A81" s="10" t="s">
        <v>85</v>
      </c>
      <c r="B81" s="8"/>
      <c r="C81" s="8"/>
      <c r="D81" s="8"/>
      <c r="E81" s="8"/>
      <c r="F81" s="8"/>
      <c r="G81" s="8"/>
      <c r="H81" s="8"/>
      <c r="I81" s="8"/>
      <c r="J81" s="8"/>
      <c r="K81" s="37"/>
      <c r="L81" s="37"/>
      <c r="M81" s="9"/>
      <c r="N81" s="8">
        <v>4268</v>
      </c>
      <c r="O81" s="8">
        <v>3810</v>
      </c>
      <c r="P81" s="8">
        <v>1521</v>
      </c>
      <c r="Q81" s="8">
        <v>2384</v>
      </c>
      <c r="R81" s="8"/>
      <c r="S81" s="8"/>
      <c r="T81" s="8"/>
      <c r="U81" s="8"/>
      <c r="V81" s="8"/>
      <c r="W81" s="8"/>
      <c r="X81" s="8"/>
      <c r="Y81" s="8"/>
      <c r="Z81" s="8"/>
      <c r="AA81" s="2"/>
      <c r="AB81" s="8"/>
      <c r="AC81" s="2"/>
      <c r="AD81" s="2"/>
      <c r="AE81" s="2"/>
      <c r="AF81" s="2"/>
      <c r="AG81" s="2"/>
      <c r="AH81" s="2"/>
      <c r="AI81" s="2"/>
      <c r="AJ81" s="2"/>
    </row>
    <row r="82" spans="1:50" x14ac:dyDescent="0.55000000000000004">
      <c r="A82" s="10" t="s">
        <v>86</v>
      </c>
      <c r="B82" s="8"/>
      <c r="C82" s="8"/>
      <c r="D82" s="8"/>
      <c r="E82" s="8"/>
      <c r="F82" s="8"/>
      <c r="G82" s="8"/>
      <c r="H82" s="8"/>
      <c r="I82" s="8"/>
      <c r="J82" s="8"/>
      <c r="K82" s="37"/>
      <c r="L82" s="37"/>
      <c r="M82" s="9"/>
      <c r="N82" s="8">
        <v>3156</v>
      </c>
      <c r="O82" s="8">
        <v>2467</v>
      </c>
      <c r="P82" s="8">
        <v>1011</v>
      </c>
      <c r="Q82" s="8">
        <v>1488</v>
      </c>
      <c r="R82" s="8"/>
      <c r="S82" s="8"/>
      <c r="T82" s="8"/>
      <c r="U82" s="8"/>
      <c r="V82" s="8"/>
      <c r="W82" s="8"/>
      <c r="X82" s="8"/>
      <c r="Y82" s="8"/>
      <c r="Z82" s="8"/>
      <c r="AA82" s="2"/>
      <c r="AB82" s="8"/>
      <c r="AC82" s="2"/>
      <c r="AD82" s="2"/>
      <c r="AE82" s="2"/>
      <c r="AF82" s="2"/>
      <c r="AG82" s="2"/>
      <c r="AH82" s="2"/>
      <c r="AI82" s="2"/>
      <c r="AJ82" s="2"/>
    </row>
    <row r="83" spans="1:50" x14ac:dyDescent="0.55000000000000004">
      <c r="A83" s="44" t="s">
        <v>87</v>
      </c>
      <c r="B83" s="22">
        <v>2406662</v>
      </c>
      <c r="C83" s="22">
        <v>68254</v>
      </c>
      <c r="D83" s="22">
        <v>45992</v>
      </c>
      <c r="E83" s="22"/>
      <c r="F83" s="22"/>
      <c r="G83" s="22"/>
      <c r="H83" s="22">
        <v>2338982</v>
      </c>
      <c r="I83" s="22">
        <v>67720</v>
      </c>
      <c r="J83" s="22">
        <v>46749</v>
      </c>
      <c r="K83" s="38">
        <v>28.3</v>
      </c>
      <c r="L83" s="38">
        <v>19.100000000000001</v>
      </c>
      <c r="M83" s="9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3"/>
      <c r="AB83" s="22"/>
      <c r="AC83" s="2"/>
      <c r="AD83" s="23">
        <f>SUM(AD74:AD82)</f>
        <v>2397298</v>
      </c>
      <c r="AE83" s="23">
        <f>SUM(AE74:AE82)</f>
        <v>68286</v>
      </c>
      <c r="AF83" s="23">
        <f>SUM(AF74:AF82)</f>
        <v>25454</v>
      </c>
      <c r="AG83" s="23"/>
      <c r="AH83" s="23">
        <f t="shared" ref="AH83:AJ84" si="73">AD83-B83</f>
        <v>-9364</v>
      </c>
      <c r="AI83" s="23">
        <f t="shared" si="73"/>
        <v>32</v>
      </c>
      <c r="AJ83" s="23">
        <f t="shared" si="73"/>
        <v>-20538</v>
      </c>
      <c r="AL83" s="49">
        <f>C83/B83*1000</f>
        <v>28.360442804182725</v>
      </c>
      <c r="AM83" s="49">
        <f>D83/B83*1000</f>
        <v>19.11028636343616</v>
      </c>
      <c r="AN83" s="48"/>
      <c r="AO83" s="49">
        <f>AL83-K83</f>
        <v>6.0442804182724075E-2</v>
      </c>
      <c r="AP83" s="49">
        <f>AM83-L83</f>
        <v>1.0286363436158297E-2</v>
      </c>
      <c r="AR83" s="23">
        <f t="shared" ref="AR83:AT83" si="74">SUM(AR74:AR82)</f>
        <v>1939193</v>
      </c>
      <c r="AS83" s="23">
        <f t="shared" si="74"/>
        <v>55863</v>
      </c>
      <c r="AT83" s="23">
        <f t="shared" si="74"/>
        <v>38492</v>
      </c>
      <c r="AV83" s="23">
        <f>H83-AR83</f>
        <v>399789</v>
      </c>
      <c r="AW83" s="23">
        <f>I83-AS83</f>
        <v>11857</v>
      </c>
      <c r="AX83" s="23">
        <f>J83-AT83</f>
        <v>8257</v>
      </c>
    </row>
    <row r="84" spans="1:50" x14ac:dyDescent="0.55000000000000004">
      <c r="A84" s="16" t="s">
        <v>88</v>
      </c>
      <c r="B84" s="15">
        <v>1606309</v>
      </c>
      <c r="C84" s="15">
        <v>79325</v>
      </c>
      <c r="D84" s="15">
        <v>52782</v>
      </c>
      <c r="E84" s="15">
        <v>276474</v>
      </c>
      <c r="F84" s="15">
        <v>8938</v>
      </c>
      <c r="G84" s="15">
        <v>6379</v>
      </c>
      <c r="H84" s="15">
        <v>1562466</v>
      </c>
      <c r="I84" s="15">
        <v>73850</v>
      </c>
      <c r="J84" s="15">
        <v>44683</v>
      </c>
      <c r="K84" s="36">
        <v>49.4</v>
      </c>
      <c r="L84" s="36">
        <v>32.799999999999997</v>
      </c>
      <c r="M84" s="9"/>
      <c r="N84" s="15">
        <v>258185</v>
      </c>
      <c r="O84" s="15">
        <v>276569</v>
      </c>
      <c r="P84" s="15">
        <v>163711</v>
      </c>
      <c r="Q84" s="15">
        <v>185350</v>
      </c>
      <c r="R84" s="15">
        <v>165527</v>
      </c>
      <c r="S84" s="15">
        <v>174979</v>
      </c>
      <c r="T84" s="15">
        <v>202354</v>
      </c>
      <c r="U84" s="15">
        <v>153091</v>
      </c>
      <c r="V84" s="15"/>
      <c r="W84" s="15"/>
      <c r="X84" s="15"/>
      <c r="Y84" s="15"/>
      <c r="Z84" s="15"/>
      <c r="AA84" s="12"/>
      <c r="AB84" s="15"/>
      <c r="AC84" s="2"/>
      <c r="AD84" s="12">
        <f>SUM(N84:AB84)</f>
        <v>1579766</v>
      </c>
      <c r="AE84" s="12">
        <f>SUM(N85:AB85)</f>
        <v>79325</v>
      </c>
      <c r="AF84" s="12">
        <f>SUM(N86:AB86)</f>
        <v>52782</v>
      </c>
      <c r="AG84" s="2"/>
      <c r="AH84" s="12">
        <f t="shared" si="73"/>
        <v>-26543</v>
      </c>
      <c r="AI84" s="12">
        <f t="shared" si="73"/>
        <v>0</v>
      </c>
      <c r="AJ84" s="12">
        <f t="shared" si="73"/>
        <v>0</v>
      </c>
      <c r="AL84" s="47">
        <f>C84/B84*1000</f>
        <v>49.383400080557351</v>
      </c>
      <c r="AM84" s="47">
        <f>D84/B84*1000</f>
        <v>32.859182137434331</v>
      </c>
      <c r="AO84" s="47">
        <f>AL84-K84</f>
        <v>-1.6599919442647604E-2</v>
      </c>
      <c r="AP84" s="47">
        <f>AM84-L84</f>
        <v>5.9182137434333981E-2</v>
      </c>
      <c r="AR84" s="12">
        <f t="shared" ref="AR84" si="75">H84</f>
        <v>1562466</v>
      </c>
      <c r="AS84" s="12">
        <f t="shared" ref="AS84" si="76">I84</f>
        <v>73850</v>
      </c>
      <c r="AT84" s="12">
        <f t="shared" ref="AT84" si="77">J84</f>
        <v>44683</v>
      </c>
    </row>
    <row r="85" spans="1:50" x14ac:dyDescent="0.55000000000000004">
      <c r="A85" s="10" t="s">
        <v>89</v>
      </c>
      <c r="B85" s="8"/>
      <c r="C85" s="8"/>
      <c r="D85" s="8"/>
      <c r="E85" s="8"/>
      <c r="F85" s="8"/>
      <c r="G85" s="8"/>
      <c r="H85" s="8"/>
      <c r="I85" s="8"/>
      <c r="J85" s="8"/>
      <c r="K85" s="37"/>
      <c r="L85" s="37"/>
      <c r="M85" s="9"/>
      <c r="N85" s="8">
        <v>11837</v>
      </c>
      <c r="O85" s="8">
        <v>12575</v>
      </c>
      <c r="P85" s="8">
        <v>7691</v>
      </c>
      <c r="Q85" s="8">
        <v>9371</v>
      </c>
      <c r="R85" s="8">
        <v>8346</v>
      </c>
      <c r="S85" s="8">
        <v>8444</v>
      </c>
      <c r="T85" s="8">
        <v>12793</v>
      </c>
      <c r="U85" s="8">
        <v>8268</v>
      </c>
      <c r="V85" s="8"/>
      <c r="W85" s="8"/>
      <c r="X85" s="8"/>
      <c r="Y85" s="8"/>
      <c r="Z85" s="8"/>
      <c r="AA85" s="2"/>
      <c r="AB85" s="8"/>
      <c r="AC85" s="2"/>
      <c r="AD85" s="2"/>
      <c r="AE85" s="2"/>
      <c r="AF85" s="2"/>
      <c r="AG85" s="2"/>
      <c r="AH85" s="2"/>
      <c r="AI85" s="2"/>
      <c r="AJ85" s="2"/>
    </row>
    <row r="86" spans="1:50" x14ac:dyDescent="0.55000000000000004">
      <c r="A86" s="10" t="s">
        <v>90</v>
      </c>
      <c r="B86" s="8"/>
      <c r="C86" s="8"/>
      <c r="D86" s="8"/>
      <c r="E86" s="8"/>
      <c r="F86" s="8"/>
      <c r="G86" s="8"/>
      <c r="H86" s="8"/>
      <c r="I86" s="8"/>
      <c r="J86" s="8"/>
      <c r="K86" s="37"/>
      <c r="L86" s="37"/>
      <c r="M86" s="9"/>
      <c r="N86" s="8">
        <v>8546</v>
      </c>
      <c r="O86" s="8">
        <v>6652</v>
      </c>
      <c r="P86" s="8">
        <v>4867</v>
      </c>
      <c r="Q86" s="8">
        <v>5795</v>
      </c>
      <c r="R86" s="8">
        <v>6008</v>
      </c>
      <c r="S86" s="8">
        <v>5199</v>
      </c>
      <c r="T86" s="8">
        <v>8880</v>
      </c>
      <c r="U86" s="8">
        <v>6835</v>
      </c>
      <c r="V86" s="8"/>
      <c r="W86" s="8"/>
      <c r="X86" s="8"/>
      <c r="Y86" s="8"/>
      <c r="Z86" s="8"/>
      <c r="AA86" s="2"/>
      <c r="AB86" s="8"/>
      <c r="AC86" s="2"/>
      <c r="AD86" s="2"/>
      <c r="AE86" s="2"/>
      <c r="AF86" s="2"/>
      <c r="AG86" s="2"/>
      <c r="AH86" s="2"/>
      <c r="AI86" s="2"/>
      <c r="AJ86" s="2"/>
    </row>
    <row r="87" spans="1:50" x14ac:dyDescent="0.55000000000000004">
      <c r="A87" s="16" t="s">
        <v>91</v>
      </c>
      <c r="B87" s="15">
        <v>1525100</v>
      </c>
      <c r="C87" s="15">
        <v>77940</v>
      </c>
      <c r="D87" s="15">
        <v>58306</v>
      </c>
      <c r="E87" s="15">
        <v>108894</v>
      </c>
      <c r="F87" s="15">
        <v>5343</v>
      </c>
      <c r="G87" s="15">
        <v>4928</v>
      </c>
      <c r="H87" s="15">
        <v>1459030</v>
      </c>
      <c r="I87" s="15">
        <v>76619</v>
      </c>
      <c r="J87" s="15">
        <v>60082</v>
      </c>
      <c r="K87" s="36">
        <v>51.1</v>
      </c>
      <c r="L87" s="36">
        <v>38.200000000000003</v>
      </c>
      <c r="M87" s="9"/>
      <c r="N87" s="15">
        <v>165742</v>
      </c>
      <c r="O87" s="15">
        <v>103591</v>
      </c>
      <c r="P87" s="15">
        <v>91642</v>
      </c>
      <c r="Q87" s="15">
        <v>107880</v>
      </c>
      <c r="R87" s="15">
        <v>121603</v>
      </c>
      <c r="S87" s="15">
        <v>135762</v>
      </c>
      <c r="T87" s="15">
        <v>120548</v>
      </c>
      <c r="U87" s="15">
        <v>94256</v>
      </c>
      <c r="V87" s="15">
        <v>118014</v>
      </c>
      <c r="W87" s="15">
        <v>88665</v>
      </c>
      <c r="X87" s="15">
        <v>116836</v>
      </c>
      <c r="Y87" s="15">
        <v>127810</v>
      </c>
      <c r="Z87" s="15">
        <v>107686</v>
      </c>
      <c r="AA87" s="12"/>
      <c r="AB87" s="15"/>
      <c r="AC87" s="2"/>
      <c r="AD87" s="12">
        <f>SUM(N87:AB87)</f>
        <v>1500035</v>
      </c>
      <c r="AE87" s="12">
        <f>SUM(N88:AB88)</f>
        <v>75911</v>
      </c>
      <c r="AF87" s="12">
        <f>SUM(N89:AB89)</f>
        <v>56493</v>
      </c>
      <c r="AG87" s="2"/>
      <c r="AH87" s="12">
        <f>AD87-B87</f>
        <v>-25065</v>
      </c>
      <c r="AI87" s="12">
        <f>AE87-C87</f>
        <v>-2029</v>
      </c>
      <c r="AJ87" s="12">
        <f>AF87-D87</f>
        <v>-1813</v>
      </c>
      <c r="AL87" s="47">
        <f>C87/B87*1000</f>
        <v>51.104845583896136</v>
      </c>
      <c r="AM87" s="47">
        <f>D87/B87*1000</f>
        <v>38.230935676349091</v>
      </c>
      <c r="AO87" s="47">
        <f>AL87-K87</f>
        <v>4.8455838961345421E-3</v>
      </c>
      <c r="AP87" s="47">
        <f>AM87-L87</f>
        <v>3.0935676349088226E-2</v>
      </c>
      <c r="AR87" s="12">
        <f t="shared" ref="AR87" si="78">H87</f>
        <v>1459030</v>
      </c>
      <c r="AS87" s="12">
        <f t="shared" ref="AS87" si="79">I87</f>
        <v>76619</v>
      </c>
      <c r="AT87" s="12">
        <f t="shared" ref="AT87" si="80">J87</f>
        <v>60082</v>
      </c>
    </row>
    <row r="88" spans="1:50" x14ac:dyDescent="0.55000000000000004">
      <c r="A88" s="10" t="s">
        <v>92</v>
      </c>
      <c r="B88" s="8"/>
      <c r="C88" s="8"/>
      <c r="D88" s="8"/>
      <c r="E88" s="8"/>
      <c r="F88" s="8"/>
      <c r="G88" s="8"/>
      <c r="H88" s="8"/>
      <c r="I88" s="8"/>
      <c r="J88" s="8"/>
      <c r="K88" s="37"/>
      <c r="L88" s="37"/>
      <c r="M88" s="9"/>
      <c r="N88" s="8">
        <v>7913</v>
      </c>
      <c r="O88" s="8">
        <v>5743</v>
      </c>
      <c r="P88" s="8">
        <v>4524</v>
      </c>
      <c r="Q88" s="8">
        <v>4460</v>
      </c>
      <c r="R88" s="8">
        <v>5810</v>
      </c>
      <c r="S88" s="8">
        <v>7815</v>
      </c>
      <c r="T88" s="8">
        <v>6827</v>
      </c>
      <c r="U88" s="8">
        <v>5457</v>
      </c>
      <c r="V88" s="8">
        <v>7386</v>
      </c>
      <c r="W88" s="8">
        <v>2729</v>
      </c>
      <c r="X88" s="8">
        <v>6218</v>
      </c>
      <c r="Y88" s="8">
        <v>5311</v>
      </c>
      <c r="Z88" s="8">
        <v>5718</v>
      </c>
      <c r="AA88" s="2"/>
      <c r="AB88" s="8"/>
      <c r="AC88" s="2"/>
      <c r="AD88" s="2"/>
      <c r="AE88" s="2"/>
      <c r="AF88" s="2"/>
      <c r="AG88" s="2"/>
      <c r="AH88" s="2"/>
      <c r="AI88" s="2"/>
      <c r="AJ88" s="2"/>
    </row>
    <row r="89" spans="1:50" x14ac:dyDescent="0.55000000000000004">
      <c r="A89" s="10" t="s">
        <v>93</v>
      </c>
      <c r="B89" s="8"/>
      <c r="C89" s="8"/>
      <c r="D89" s="8"/>
      <c r="E89" s="8"/>
      <c r="F89" s="8"/>
      <c r="G89" s="8"/>
      <c r="H89" s="8"/>
      <c r="I89" s="8"/>
      <c r="J89" s="8"/>
      <c r="K89" s="37"/>
      <c r="L89" s="37"/>
      <c r="M89" s="9"/>
      <c r="N89" s="8">
        <v>5775</v>
      </c>
      <c r="O89" s="8">
        <v>4213</v>
      </c>
      <c r="P89" s="8">
        <v>3105</v>
      </c>
      <c r="Q89" s="8">
        <v>3509</v>
      </c>
      <c r="R89" s="8">
        <v>4430</v>
      </c>
      <c r="S89" s="8">
        <v>5279</v>
      </c>
      <c r="T89" s="8">
        <v>4735</v>
      </c>
      <c r="U89" s="8">
        <v>4001</v>
      </c>
      <c r="V89" s="8">
        <v>6300</v>
      </c>
      <c r="W89" s="8">
        <v>1925</v>
      </c>
      <c r="X89" s="8">
        <v>4423</v>
      </c>
      <c r="Y89" s="8">
        <v>4349</v>
      </c>
      <c r="Z89" s="8">
        <v>4449</v>
      </c>
      <c r="AA89" s="2"/>
      <c r="AB89" s="8"/>
      <c r="AC89" s="2"/>
      <c r="AD89" s="2"/>
      <c r="AE89" s="2"/>
      <c r="AF89" s="2"/>
      <c r="AG89" s="2"/>
      <c r="AH89" s="2"/>
      <c r="AI89" s="2"/>
      <c r="AJ89" s="2"/>
    </row>
    <row r="90" spans="1:50" x14ac:dyDescent="0.55000000000000004">
      <c r="A90" s="16" t="s">
        <v>94</v>
      </c>
      <c r="B90" s="15">
        <v>1306858</v>
      </c>
      <c r="C90" s="15">
        <v>61622</v>
      </c>
      <c r="D90" s="15">
        <v>37660</v>
      </c>
      <c r="E90" s="15"/>
      <c r="F90" s="15"/>
      <c r="G90" s="15"/>
      <c r="H90" s="15">
        <v>1264931</v>
      </c>
      <c r="I90" s="15">
        <v>55506</v>
      </c>
      <c r="J90" s="15">
        <v>40347</v>
      </c>
      <c r="K90" s="36">
        <v>47.1</v>
      </c>
      <c r="L90" s="36">
        <v>28.8</v>
      </c>
      <c r="M90" s="9"/>
      <c r="N90" s="15">
        <v>164795</v>
      </c>
      <c r="O90" s="15">
        <v>104735</v>
      </c>
      <c r="P90" s="15">
        <v>105693</v>
      </c>
      <c r="Q90" s="15">
        <v>184325</v>
      </c>
      <c r="R90" s="15">
        <v>186872</v>
      </c>
      <c r="S90" s="15">
        <v>121382</v>
      </c>
      <c r="T90" s="15">
        <v>149918</v>
      </c>
      <c r="U90" s="15">
        <v>102214</v>
      </c>
      <c r="V90" s="15">
        <v>137822</v>
      </c>
      <c r="W90" s="15">
        <v>49102</v>
      </c>
      <c r="X90" s="15"/>
      <c r="Y90" s="15"/>
      <c r="Z90" s="15"/>
      <c r="AA90" s="12"/>
      <c r="AB90" s="15"/>
      <c r="AC90" s="2"/>
      <c r="AD90" s="12">
        <f>SUM(N90:AB90)</f>
        <v>1306858</v>
      </c>
      <c r="AE90" s="12">
        <f>SUM(N91:AB91)</f>
        <v>61622</v>
      </c>
      <c r="AF90" s="12">
        <f>SUM(N92:AB92)</f>
        <v>37660</v>
      </c>
      <c r="AG90" s="2"/>
      <c r="AH90" s="12">
        <f>AD90-B90</f>
        <v>0</v>
      </c>
      <c r="AI90" s="12">
        <f>AE90-C90</f>
        <v>0</v>
      </c>
      <c r="AJ90" s="12">
        <f>AF90-D90</f>
        <v>0</v>
      </c>
      <c r="AL90" s="47">
        <f>C90/B90*1000</f>
        <v>47.152789361965873</v>
      </c>
      <c r="AM90" s="47">
        <f>D90/B90*1000</f>
        <v>28.817208908695513</v>
      </c>
      <c r="AO90" s="47">
        <f>AL90-K90</f>
        <v>5.2789361965871251E-2</v>
      </c>
      <c r="AP90" s="47">
        <f>AM90-L90</f>
        <v>1.7208908695511838E-2</v>
      </c>
      <c r="AR90" s="12">
        <f t="shared" ref="AR90" si="81">H90</f>
        <v>1264931</v>
      </c>
      <c r="AS90" s="12">
        <f t="shared" ref="AS90" si="82">I90</f>
        <v>55506</v>
      </c>
      <c r="AT90" s="12">
        <f t="shared" ref="AT90" si="83">J90</f>
        <v>40347</v>
      </c>
    </row>
    <row r="91" spans="1:50" x14ac:dyDescent="0.55000000000000004">
      <c r="A91" s="10" t="s">
        <v>95</v>
      </c>
      <c r="B91" s="8"/>
      <c r="C91" s="8"/>
      <c r="D91" s="8"/>
      <c r="E91" s="8"/>
      <c r="F91" s="8"/>
      <c r="G91" s="8"/>
      <c r="H91" s="8"/>
      <c r="I91" s="8"/>
      <c r="J91" s="8"/>
      <c r="K91" s="37"/>
      <c r="L91" s="37"/>
      <c r="M91" s="9"/>
      <c r="N91" s="8">
        <v>6587</v>
      </c>
      <c r="O91" s="8">
        <v>4753</v>
      </c>
      <c r="P91" s="8">
        <v>4994</v>
      </c>
      <c r="Q91" s="8">
        <v>8575</v>
      </c>
      <c r="R91" s="8">
        <v>10106</v>
      </c>
      <c r="S91" s="8">
        <v>5733</v>
      </c>
      <c r="T91" s="8">
        <v>7341</v>
      </c>
      <c r="U91" s="8">
        <v>4457</v>
      </c>
      <c r="V91" s="8">
        <v>6795</v>
      </c>
      <c r="W91" s="8">
        <v>2281</v>
      </c>
      <c r="X91" s="8"/>
      <c r="Y91" s="8"/>
      <c r="Z91" s="8"/>
      <c r="AA91" s="2"/>
      <c r="AB91" s="8"/>
      <c r="AC91" s="2"/>
      <c r="AD91" s="2"/>
      <c r="AE91" s="2"/>
      <c r="AF91" s="2"/>
      <c r="AG91" s="2"/>
      <c r="AH91" s="2"/>
      <c r="AI91" s="2"/>
      <c r="AJ91" s="2"/>
    </row>
    <row r="92" spans="1:50" x14ac:dyDescent="0.55000000000000004">
      <c r="A92" s="10" t="s">
        <v>96</v>
      </c>
      <c r="B92" s="8"/>
      <c r="C92" s="8"/>
      <c r="D92" s="8"/>
      <c r="E92" s="8"/>
      <c r="F92" s="8"/>
      <c r="G92" s="8"/>
      <c r="H92" s="8"/>
      <c r="I92" s="8"/>
      <c r="J92" s="8"/>
      <c r="K92" s="37"/>
      <c r="L92" s="37"/>
      <c r="M92" s="9"/>
      <c r="N92" s="8">
        <v>5331</v>
      </c>
      <c r="O92" s="8">
        <v>2436</v>
      </c>
      <c r="P92" s="8">
        <v>3270</v>
      </c>
      <c r="Q92" s="8">
        <v>5939</v>
      </c>
      <c r="R92" s="8">
        <v>5172</v>
      </c>
      <c r="S92" s="8">
        <v>3502</v>
      </c>
      <c r="T92" s="8">
        <v>4485</v>
      </c>
      <c r="U92" s="8">
        <v>2397</v>
      </c>
      <c r="V92" s="8">
        <v>3966</v>
      </c>
      <c r="W92" s="8">
        <v>1162</v>
      </c>
      <c r="X92" s="8"/>
      <c r="Y92" s="8"/>
      <c r="Z92" s="8"/>
      <c r="AA92" s="2"/>
      <c r="AB92" s="8"/>
      <c r="AC92" s="2"/>
      <c r="AD92" s="2"/>
      <c r="AE92" s="2"/>
      <c r="AF92" s="2"/>
      <c r="AG92" s="2"/>
      <c r="AH92" s="2"/>
      <c r="AI92" s="2"/>
      <c r="AJ92" s="2"/>
    </row>
    <row r="93" spans="1:50" x14ac:dyDescent="0.55000000000000004">
      <c r="A93" s="16" t="s">
        <v>97</v>
      </c>
      <c r="B93" s="15">
        <v>2712268</v>
      </c>
      <c r="C93" s="15">
        <v>149416</v>
      </c>
      <c r="D93" s="15">
        <v>118774</v>
      </c>
      <c r="E93" s="15">
        <v>106246</v>
      </c>
      <c r="F93" s="15">
        <v>4622</v>
      </c>
      <c r="G93" s="15">
        <v>4255</v>
      </c>
      <c r="H93" s="15">
        <v>2661904</v>
      </c>
      <c r="I93" s="15">
        <v>137850</v>
      </c>
      <c r="J93" s="15">
        <v>98935</v>
      </c>
      <c r="K93" s="36">
        <v>55.1</v>
      </c>
      <c r="L93" s="36">
        <v>43.1</v>
      </c>
      <c r="M93" s="9"/>
      <c r="N93" s="15">
        <v>251662</v>
      </c>
      <c r="O93" s="15">
        <v>264997</v>
      </c>
      <c r="P93" s="15">
        <v>282779</v>
      </c>
      <c r="Q93" s="15">
        <v>355178</v>
      </c>
      <c r="R93" s="15">
        <v>203656</v>
      </c>
      <c r="S93" s="15">
        <v>131562</v>
      </c>
      <c r="T93" s="15">
        <v>212087</v>
      </c>
      <c r="U93" s="15">
        <v>172993</v>
      </c>
      <c r="V93" s="15">
        <v>178573</v>
      </c>
      <c r="W93" s="15">
        <v>170198</v>
      </c>
      <c r="X93" s="15">
        <v>280961</v>
      </c>
      <c r="Y93" s="15">
        <v>187622</v>
      </c>
      <c r="Z93" s="15"/>
      <c r="AA93" s="12"/>
      <c r="AB93" s="15"/>
      <c r="AC93" s="2"/>
      <c r="AD93" s="12">
        <f>SUM(N93:AB93)</f>
        <v>2692268</v>
      </c>
      <c r="AE93" s="12">
        <f>SUM(N94:AB94)</f>
        <v>149415</v>
      </c>
      <c r="AF93" s="12">
        <f>SUM(N95:AB95)</f>
        <v>117774</v>
      </c>
      <c r="AG93" s="2"/>
      <c r="AH93" s="12">
        <f>AD93-B93</f>
        <v>-20000</v>
      </c>
      <c r="AI93" s="12">
        <f>AE93-C93</f>
        <v>-1</v>
      </c>
      <c r="AJ93" s="12">
        <f>AF93-D93</f>
        <v>-1000</v>
      </c>
      <c r="AL93" s="47">
        <f>C93/B93*1000</f>
        <v>55.08895138680986</v>
      </c>
      <c r="AM93" s="47">
        <f>D93/B93*1000</f>
        <v>43.791395245602573</v>
      </c>
      <c r="AO93" s="47">
        <f>AL93-K93</f>
        <v>-1.1048613190141054E-2</v>
      </c>
      <c r="AP93" s="47">
        <f>AM93-L93</f>
        <v>0.69139524560257115</v>
      </c>
      <c r="AR93" s="12">
        <f t="shared" ref="AR93" si="84">H93</f>
        <v>2661904</v>
      </c>
      <c r="AS93" s="12">
        <f t="shared" ref="AS93" si="85">I93</f>
        <v>137850</v>
      </c>
      <c r="AT93" s="12">
        <f t="shared" ref="AT93" si="86">J93</f>
        <v>98935</v>
      </c>
    </row>
    <row r="94" spans="1:50" x14ac:dyDescent="0.55000000000000004">
      <c r="A94" s="10" t="s">
        <v>98</v>
      </c>
      <c r="B94" s="8"/>
      <c r="C94" s="8"/>
      <c r="D94" s="8"/>
      <c r="E94" s="8"/>
      <c r="F94" s="8"/>
      <c r="G94" s="8"/>
      <c r="H94" s="8"/>
      <c r="I94" s="8"/>
      <c r="J94" s="8"/>
      <c r="K94" s="37"/>
      <c r="L94" s="37"/>
      <c r="M94" s="9"/>
      <c r="N94" s="8">
        <v>14263</v>
      </c>
      <c r="O94" s="8">
        <v>12725</v>
      </c>
      <c r="P94" s="8">
        <v>17313</v>
      </c>
      <c r="Q94" s="8">
        <v>19224</v>
      </c>
      <c r="R94" s="8">
        <v>10896</v>
      </c>
      <c r="S94" s="8">
        <v>6707</v>
      </c>
      <c r="T94" s="8">
        <v>12046</v>
      </c>
      <c r="U94" s="8">
        <v>9118</v>
      </c>
      <c r="V94" s="8">
        <v>9545</v>
      </c>
      <c r="W94" s="8">
        <v>11316</v>
      </c>
      <c r="X94" s="8">
        <v>15884</v>
      </c>
      <c r="Y94" s="8">
        <v>10378</v>
      </c>
      <c r="Z94" s="8"/>
      <c r="AA94" s="2"/>
      <c r="AB94" s="8"/>
      <c r="AC94" s="2"/>
      <c r="AD94" s="2"/>
      <c r="AE94" s="2"/>
      <c r="AF94" s="2"/>
      <c r="AG94" s="2"/>
      <c r="AH94" s="2"/>
      <c r="AI94" s="2"/>
      <c r="AJ94" s="2"/>
    </row>
    <row r="95" spans="1:50" x14ac:dyDescent="0.55000000000000004">
      <c r="A95" s="10" t="s">
        <v>99</v>
      </c>
      <c r="B95" s="8"/>
      <c r="C95" s="8"/>
      <c r="D95" s="8"/>
      <c r="E95" s="8"/>
      <c r="F95" s="8"/>
      <c r="G95" s="8"/>
      <c r="H95" s="8"/>
      <c r="I95" s="8"/>
      <c r="J95" s="8"/>
      <c r="K95" s="37"/>
      <c r="L95" s="37"/>
      <c r="M95" s="9"/>
      <c r="N95" s="8">
        <v>11586</v>
      </c>
      <c r="O95" s="8">
        <v>8921</v>
      </c>
      <c r="P95" s="8">
        <v>12785</v>
      </c>
      <c r="Q95" s="8">
        <v>16040</v>
      </c>
      <c r="R95" s="8">
        <v>7961</v>
      </c>
      <c r="S95" s="8">
        <v>6266</v>
      </c>
      <c r="T95" s="8">
        <v>11026</v>
      </c>
      <c r="U95" s="8">
        <v>8087</v>
      </c>
      <c r="V95" s="8">
        <v>7958</v>
      </c>
      <c r="W95" s="8">
        <v>7213</v>
      </c>
      <c r="X95" s="8">
        <v>11938</v>
      </c>
      <c r="Y95" s="8">
        <v>7993</v>
      </c>
      <c r="Z95" s="8"/>
      <c r="AA95" s="2"/>
      <c r="AB95" s="8"/>
      <c r="AC95" s="2"/>
      <c r="AD95" s="2"/>
      <c r="AE95" s="2"/>
      <c r="AF95" s="2"/>
      <c r="AG95" s="2"/>
      <c r="AH95" s="2"/>
      <c r="AI95" s="2"/>
      <c r="AJ95" s="2"/>
    </row>
    <row r="96" spans="1:50" x14ac:dyDescent="0.55000000000000004">
      <c r="A96" s="16" t="s">
        <v>100</v>
      </c>
      <c r="B96" s="15">
        <v>3017038</v>
      </c>
      <c r="C96" s="15">
        <v>165490</v>
      </c>
      <c r="D96" s="15">
        <v>111953</v>
      </c>
      <c r="E96" s="15">
        <v>88494</v>
      </c>
      <c r="F96" s="15">
        <v>2581</v>
      </c>
      <c r="G96" s="15">
        <v>2451</v>
      </c>
      <c r="H96" s="15">
        <v>2958909</v>
      </c>
      <c r="I96" s="15">
        <v>153824</v>
      </c>
      <c r="J96" s="15">
        <v>120135</v>
      </c>
      <c r="K96" s="36">
        <v>54.8</v>
      </c>
      <c r="L96" s="36">
        <v>37.1</v>
      </c>
      <c r="M96" s="17"/>
      <c r="N96" s="15">
        <v>207935</v>
      </c>
      <c r="O96" s="15">
        <v>368176</v>
      </c>
      <c r="P96" s="15">
        <v>218577</v>
      </c>
      <c r="Q96" s="15">
        <v>281332</v>
      </c>
      <c r="R96" s="15">
        <v>267994</v>
      </c>
      <c r="S96" s="15">
        <v>220507</v>
      </c>
      <c r="T96" s="15">
        <v>220602</v>
      </c>
      <c r="U96" s="15">
        <v>367217</v>
      </c>
      <c r="V96" s="15">
        <v>210767</v>
      </c>
      <c r="W96" s="15">
        <v>288691</v>
      </c>
      <c r="X96" s="15">
        <v>365240</v>
      </c>
      <c r="Y96" s="15"/>
      <c r="Z96" s="15"/>
      <c r="AA96" s="12"/>
      <c r="AB96" s="15"/>
      <c r="AC96" s="2"/>
      <c r="AD96" s="12">
        <f>SUM(N96:AB96)</f>
        <v>3017038</v>
      </c>
      <c r="AE96" s="12">
        <f>SUM(N97:AB97)</f>
        <v>165490</v>
      </c>
      <c r="AF96" s="12">
        <f>SUM(N98:AB98)</f>
        <v>111953</v>
      </c>
      <c r="AG96" s="2"/>
      <c r="AH96" s="12">
        <f>AD96-B96</f>
        <v>0</v>
      </c>
      <c r="AI96" s="12">
        <f>AE96-C96</f>
        <v>0</v>
      </c>
      <c r="AJ96" s="12">
        <f>AF96-D96</f>
        <v>0</v>
      </c>
      <c r="AL96" s="47">
        <f>C96/B96*1000</f>
        <v>54.851811611255812</v>
      </c>
      <c r="AM96" s="47">
        <f>D96/B96*1000</f>
        <v>37.106924075865138</v>
      </c>
      <c r="AO96" s="47">
        <f>AL96-K96</f>
        <v>5.1811611255814682E-2</v>
      </c>
      <c r="AP96" s="47">
        <f>AM96-L96</f>
        <v>6.9240758651361034E-3</v>
      </c>
      <c r="AR96" s="12">
        <f t="shared" ref="AR96" si="87">H96</f>
        <v>2958909</v>
      </c>
      <c r="AS96" s="12">
        <f t="shared" ref="AS96" si="88">I96</f>
        <v>153824</v>
      </c>
      <c r="AT96" s="12">
        <f t="shared" ref="AT96" si="89">J96</f>
        <v>120135</v>
      </c>
    </row>
    <row r="97" spans="1:46" x14ac:dyDescent="0.55000000000000004">
      <c r="A97" s="10" t="s">
        <v>101</v>
      </c>
      <c r="B97" s="8"/>
      <c r="C97" s="8"/>
      <c r="D97" s="8"/>
      <c r="E97" s="8"/>
      <c r="F97" s="8"/>
      <c r="G97" s="8"/>
      <c r="H97" s="8"/>
      <c r="I97" s="8"/>
      <c r="J97" s="8"/>
      <c r="K97" s="37"/>
      <c r="L97" s="37"/>
      <c r="M97" s="9"/>
      <c r="N97" s="8">
        <v>10496</v>
      </c>
      <c r="O97" s="8">
        <v>20669</v>
      </c>
      <c r="P97" s="8">
        <v>12242</v>
      </c>
      <c r="Q97" s="8">
        <v>14725</v>
      </c>
      <c r="R97" s="8">
        <v>14668</v>
      </c>
      <c r="S97" s="8">
        <v>11630</v>
      </c>
      <c r="T97" s="8">
        <v>11420</v>
      </c>
      <c r="U97" s="8">
        <v>21208</v>
      </c>
      <c r="V97" s="8">
        <v>11487</v>
      </c>
      <c r="W97" s="8">
        <v>15958</v>
      </c>
      <c r="X97" s="8">
        <v>20987</v>
      </c>
      <c r="Y97" s="8"/>
      <c r="Z97" s="8"/>
      <c r="AA97" s="2"/>
      <c r="AB97" s="8"/>
      <c r="AC97" s="2"/>
      <c r="AD97" s="2"/>
      <c r="AE97" s="2"/>
      <c r="AF97" s="2"/>
      <c r="AG97" s="2"/>
      <c r="AH97" s="2"/>
      <c r="AI97" s="2"/>
      <c r="AJ97" s="2"/>
    </row>
    <row r="98" spans="1:46" x14ac:dyDescent="0.55000000000000004">
      <c r="A98" s="10" t="s">
        <v>102</v>
      </c>
      <c r="B98" s="8"/>
      <c r="C98" s="8"/>
      <c r="D98" s="8"/>
      <c r="E98" s="8"/>
      <c r="F98" s="8"/>
      <c r="G98" s="8"/>
      <c r="H98" s="8"/>
      <c r="I98" s="8"/>
      <c r="J98" s="8"/>
      <c r="K98" s="37"/>
      <c r="L98" s="37"/>
      <c r="M98" s="9"/>
      <c r="N98" s="8">
        <v>8219</v>
      </c>
      <c r="O98" s="8">
        <v>12571</v>
      </c>
      <c r="P98" s="8">
        <v>7616</v>
      </c>
      <c r="Q98" s="8">
        <v>9007</v>
      </c>
      <c r="R98" s="8">
        <v>10368</v>
      </c>
      <c r="S98" s="8">
        <v>8473</v>
      </c>
      <c r="T98" s="8">
        <v>8115</v>
      </c>
      <c r="U98" s="8">
        <v>15126</v>
      </c>
      <c r="V98" s="8">
        <v>8034</v>
      </c>
      <c r="W98" s="8">
        <v>11228</v>
      </c>
      <c r="X98" s="8">
        <v>13196</v>
      </c>
      <c r="Y98" s="8"/>
      <c r="Z98" s="8"/>
      <c r="AA98" s="2"/>
      <c r="AB98" s="8"/>
      <c r="AC98" s="2"/>
      <c r="AD98" s="2"/>
      <c r="AE98" s="2"/>
      <c r="AF98" s="2"/>
      <c r="AG98" s="2"/>
      <c r="AH98" s="2"/>
      <c r="AI98" s="2"/>
      <c r="AJ98" s="2"/>
    </row>
    <row r="99" spans="1:46" x14ac:dyDescent="0.55000000000000004">
      <c r="A99" s="16" t="s">
        <v>103</v>
      </c>
      <c r="B99" s="15">
        <v>1680636</v>
      </c>
      <c r="C99" s="15">
        <v>92173</v>
      </c>
      <c r="D99" s="15">
        <v>65272</v>
      </c>
      <c r="E99" s="15">
        <v>162088</v>
      </c>
      <c r="F99" s="15">
        <v>8320</v>
      </c>
      <c r="G99" s="15">
        <v>5478</v>
      </c>
      <c r="H99" s="15">
        <v>1685508</v>
      </c>
      <c r="I99" s="15">
        <v>93713</v>
      </c>
      <c r="J99" s="15">
        <v>59074</v>
      </c>
      <c r="K99" s="36">
        <v>54.8</v>
      </c>
      <c r="L99" s="36">
        <v>38.799999999999997</v>
      </c>
      <c r="M99" s="9"/>
      <c r="N99" s="15">
        <v>239483</v>
      </c>
      <c r="O99" s="15">
        <v>236094</v>
      </c>
      <c r="P99" s="15">
        <v>234976</v>
      </c>
      <c r="Q99" s="15">
        <v>171984</v>
      </c>
      <c r="R99" s="15">
        <v>214939</v>
      </c>
      <c r="S99" s="15">
        <v>224426</v>
      </c>
      <c r="T99" s="15">
        <v>203250</v>
      </c>
      <c r="U99" s="15">
        <v>155484</v>
      </c>
      <c r="V99" s="15"/>
      <c r="W99" s="15"/>
      <c r="X99" s="15"/>
      <c r="Y99" s="15"/>
      <c r="Z99" s="15"/>
      <c r="AA99" s="12"/>
      <c r="AB99" s="15"/>
      <c r="AC99" s="2"/>
      <c r="AD99" s="12">
        <f>SUM(N99:AB99)</f>
        <v>1680636</v>
      </c>
      <c r="AE99" s="12">
        <f>SUM(N100:AB100)</f>
        <v>92173</v>
      </c>
      <c r="AF99" s="12">
        <f>SUM(N101:AB101)</f>
        <v>65272</v>
      </c>
      <c r="AG99" s="2"/>
      <c r="AH99" s="12">
        <f>AD99-B99</f>
        <v>0</v>
      </c>
      <c r="AI99" s="12">
        <f>AE99-C99</f>
        <v>0</v>
      </c>
      <c r="AJ99" s="12">
        <f>AF99-D99</f>
        <v>0</v>
      </c>
      <c r="AL99" s="47">
        <f>C99/B99*1000</f>
        <v>54.844118536078007</v>
      </c>
      <c r="AM99" s="47">
        <f>D99/B99*1000</f>
        <v>38.837678117093766</v>
      </c>
      <c r="AO99" s="47">
        <f>AL99-K99</f>
        <v>4.411853607800964E-2</v>
      </c>
      <c r="AP99" s="47">
        <f>AM99-L99</f>
        <v>3.7678117093769004E-2</v>
      </c>
      <c r="AR99" s="12">
        <f t="shared" ref="AR99" si="90">H99</f>
        <v>1685508</v>
      </c>
      <c r="AS99" s="12">
        <f t="shared" ref="AS99" si="91">I99</f>
        <v>93713</v>
      </c>
      <c r="AT99" s="12">
        <f t="shared" ref="AT99" si="92">J99</f>
        <v>59074</v>
      </c>
    </row>
    <row r="100" spans="1:46" x14ac:dyDescent="0.55000000000000004">
      <c r="A100" s="10" t="s">
        <v>104</v>
      </c>
      <c r="B100" s="8"/>
      <c r="C100" s="8"/>
      <c r="D100" s="8"/>
      <c r="E100" s="8"/>
      <c r="F100" s="8"/>
      <c r="G100" s="8"/>
      <c r="H100" s="8"/>
      <c r="I100" s="8"/>
      <c r="J100" s="8"/>
      <c r="K100" s="37"/>
      <c r="L100" s="37"/>
      <c r="M100" s="9"/>
      <c r="N100" s="8">
        <v>13562</v>
      </c>
      <c r="O100" s="8">
        <v>12242</v>
      </c>
      <c r="P100" s="8">
        <v>13257</v>
      </c>
      <c r="Q100" s="8">
        <v>9715</v>
      </c>
      <c r="R100" s="8">
        <v>11878</v>
      </c>
      <c r="S100" s="8">
        <v>11708</v>
      </c>
      <c r="T100" s="8">
        <v>11508</v>
      </c>
      <c r="U100" s="8">
        <v>8303</v>
      </c>
      <c r="V100" s="8"/>
      <c r="W100" s="8"/>
      <c r="X100" s="8"/>
      <c r="Y100" s="8"/>
      <c r="Z100" s="8"/>
      <c r="AA100" s="2"/>
      <c r="AB100" s="8"/>
      <c r="AC100" s="2"/>
      <c r="AD100" s="2"/>
      <c r="AE100" s="2"/>
      <c r="AF100" s="2"/>
      <c r="AG100" s="2"/>
      <c r="AH100" s="2"/>
      <c r="AI100" s="2"/>
      <c r="AJ100" s="2"/>
    </row>
    <row r="101" spans="1:46" x14ac:dyDescent="0.55000000000000004">
      <c r="A101" s="10" t="s">
        <v>105</v>
      </c>
      <c r="B101" s="8"/>
      <c r="C101" s="8"/>
      <c r="D101" s="8"/>
      <c r="E101" s="8"/>
      <c r="F101" s="8"/>
      <c r="G101" s="8"/>
      <c r="H101" s="8"/>
      <c r="I101" s="8"/>
      <c r="J101" s="8"/>
      <c r="K101" s="37"/>
      <c r="L101" s="37"/>
      <c r="M101" s="9"/>
      <c r="N101" s="8">
        <v>8183</v>
      </c>
      <c r="O101" s="8">
        <v>8104</v>
      </c>
      <c r="P101" s="8">
        <v>10194</v>
      </c>
      <c r="Q101" s="8">
        <v>5993</v>
      </c>
      <c r="R101" s="8">
        <v>10191</v>
      </c>
      <c r="S101" s="8">
        <v>8018</v>
      </c>
      <c r="T101" s="8">
        <v>7845</v>
      </c>
      <c r="U101" s="8">
        <v>6744</v>
      </c>
      <c r="V101" s="8"/>
      <c r="W101" s="8"/>
      <c r="X101" s="8"/>
      <c r="Y101" s="8"/>
      <c r="Z101" s="8"/>
      <c r="AA101" s="2"/>
      <c r="AB101" s="8"/>
      <c r="AC101" s="2"/>
      <c r="AD101" s="2"/>
      <c r="AE101" s="2"/>
      <c r="AF101" s="2"/>
      <c r="AG101" s="2"/>
      <c r="AH101" s="2"/>
      <c r="AI101" s="2"/>
      <c r="AJ101" s="2"/>
    </row>
    <row r="102" spans="1:46" x14ac:dyDescent="0.55000000000000004">
      <c r="A102" s="18" t="s">
        <v>106</v>
      </c>
      <c r="B102" s="17">
        <v>2219686</v>
      </c>
      <c r="C102" s="17">
        <v>101539</v>
      </c>
      <c r="D102" s="17">
        <v>77267</v>
      </c>
      <c r="E102" s="17">
        <v>186798</v>
      </c>
      <c r="F102" s="17">
        <v>14901</v>
      </c>
      <c r="G102" s="17">
        <v>1046</v>
      </c>
      <c r="H102" s="17">
        <v>2180827</v>
      </c>
      <c r="I102" s="17">
        <v>105177</v>
      </c>
      <c r="J102" s="17">
        <v>72188</v>
      </c>
      <c r="K102" s="36">
        <v>45.7</v>
      </c>
      <c r="L102" s="36">
        <v>34.799999999999997</v>
      </c>
      <c r="M102" s="9"/>
      <c r="N102" s="17">
        <v>374840</v>
      </c>
      <c r="O102" s="17">
        <v>98005</v>
      </c>
      <c r="P102" s="17">
        <v>197990</v>
      </c>
      <c r="Q102" s="17">
        <v>200406</v>
      </c>
      <c r="R102" s="17">
        <v>128679</v>
      </c>
      <c r="S102" s="17">
        <v>179284</v>
      </c>
      <c r="T102" s="17">
        <v>197735</v>
      </c>
      <c r="U102" s="17">
        <v>111440</v>
      </c>
      <c r="V102" s="17">
        <v>161097</v>
      </c>
      <c r="W102" s="17">
        <v>118247</v>
      </c>
      <c r="X102" s="17">
        <v>314139</v>
      </c>
      <c r="Y102" s="17">
        <v>137934</v>
      </c>
      <c r="Z102" s="17"/>
      <c r="AA102" s="12"/>
      <c r="AB102" s="15"/>
      <c r="AC102" s="2"/>
      <c r="AD102" s="12">
        <f>SUM(N102:AB102)</f>
        <v>2219796</v>
      </c>
      <c r="AE102" s="12">
        <f>SUM(N103:AB103)</f>
        <v>101539</v>
      </c>
      <c r="AF102" s="12">
        <f>SUM(N104:AB104)</f>
        <v>77157</v>
      </c>
      <c r="AG102" s="2"/>
      <c r="AH102" s="12">
        <f>AD102-B102</f>
        <v>110</v>
      </c>
      <c r="AI102" s="12">
        <f>AE102-C102</f>
        <v>0</v>
      </c>
      <c r="AJ102" s="12">
        <f>AF102-D102</f>
        <v>-110</v>
      </c>
      <c r="AL102" s="47">
        <f>C102/B102*1000</f>
        <v>45.744758492867909</v>
      </c>
      <c r="AM102" s="47">
        <f>D102/B102*1000</f>
        <v>34.809878514348426</v>
      </c>
      <c r="AO102" s="47">
        <f>AL102-K102</f>
        <v>4.4758492867906341E-2</v>
      </c>
      <c r="AP102" s="47">
        <f>AM102-L102</f>
        <v>9.8785143484292348E-3</v>
      </c>
      <c r="AR102" s="12">
        <f t="shared" ref="AR102" si="93">H102</f>
        <v>2180827</v>
      </c>
      <c r="AS102" s="12">
        <f t="shared" ref="AS102" si="94">I102</f>
        <v>105177</v>
      </c>
      <c r="AT102" s="12">
        <f t="shared" ref="AT102" si="95">J102</f>
        <v>72188</v>
      </c>
    </row>
    <row r="103" spans="1:46" x14ac:dyDescent="0.55000000000000004">
      <c r="A103" s="11" t="s">
        <v>107</v>
      </c>
      <c r="B103" s="9"/>
      <c r="C103" s="9"/>
      <c r="D103" s="9"/>
      <c r="E103" s="9"/>
      <c r="F103" s="9"/>
      <c r="G103" s="9"/>
      <c r="H103" s="9"/>
      <c r="I103" s="9"/>
      <c r="J103" s="9"/>
      <c r="K103" s="37"/>
      <c r="L103" s="37"/>
      <c r="M103" s="9"/>
      <c r="N103" s="9">
        <v>15119</v>
      </c>
      <c r="O103" s="9">
        <v>4238</v>
      </c>
      <c r="P103" s="9">
        <v>8552</v>
      </c>
      <c r="Q103" s="9">
        <v>8833</v>
      </c>
      <c r="R103" s="9">
        <v>6326</v>
      </c>
      <c r="S103" s="9">
        <v>9415</v>
      </c>
      <c r="T103" s="9">
        <v>9182</v>
      </c>
      <c r="U103" s="9">
        <v>5424</v>
      </c>
      <c r="V103" s="9">
        <v>6997</v>
      </c>
      <c r="W103" s="9">
        <v>5105</v>
      </c>
      <c r="X103" s="9">
        <v>15663</v>
      </c>
      <c r="Y103" s="9">
        <v>6685</v>
      </c>
      <c r="Z103" s="9"/>
      <c r="AA103" s="9"/>
      <c r="AB103" s="9"/>
      <c r="AC103" s="2"/>
      <c r="AD103" s="2"/>
      <c r="AE103" s="2"/>
      <c r="AF103" s="2"/>
      <c r="AG103" s="2"/>
      <c r="AH103" s="2"/>
      <c r="AI103" s="2"/>
      <c r="AJ103" s="2"/>
    </row>
    <row r="104" spans="1:46" x14ac:dyDescent="0.55000000000000004">
      <c r="A104" s="11" t="s">
        <v>108</v>
      </c>
      <c r="B104" s="9"/>
      <c r="C104" s="9"/>
      <c r="D104" s="9"/>
      <c r="E104" s="9"/>
      <c r="F104" s="9"/>
      <c r="G104" s="9"/>
      <c r="H104" s="9"/>
      <c r="I104" s="9"/>
      <c r="J104" s="9"/>
      <c r="K104" s="37"/>
      <c r="L104" s="37"/>
      <c r="M104" s="9"/>
      <c r="N104" s="9">
        <v>12061</v>
      </c>
      <c r="O104" s="9">
        <v>3633</v>
      </c>
      <c r="P104" s="9">
        <v>6999</v>
      </c>
      <c r="Q104" s="9">
        <v>6012</v>
      </c>
      <c r="R104" s="9">
        <v>5361</v>
      </c>
      <c r="S104" s="9">
        <v>6155</v>
      </c>
      <c r="T104" s="9">
        <v>6871</v>
      </c>
      <c r="U104" s="9">
        <v>3459</v>
      </c>
      <c r="V104" s="9">
        <v>6156</v>
      </c>
      <c r="W104" s="9">
        <v>4339</v>
      </c>
      <c r="X104" s="9">
        <v>10037</v>
      </c>
      <c r="Y104" s="9">
        <v>6074</v>
      </c>
      <c r="Z104" s="9"/>
      <c r="AA104" s="9"/>
      <c r="AB104" s="9"/>
      <c r="AC104" s="2"/>
      <c r="AD104" s="2"/>
      <c r="AE104" s="2"/>
      <c r="AF104" s="2"/>
      <c r="AG104" s="2"/>
      <c r="AH104" s="2"/>
      <c r="AI104" s="2"/>
      <c r="AJ104" s="2"/>
    </row>
    <row r="105" spans="1:46" x14ac:dyDescent="0.55000000000000004">
      <c r="A105" s="18" t="s">
        <v>109</v>
      </c>
      <c r="B105" s="17">
        <v>1252935</v>
      </c>
      <c r="C105" s="17">
        <v>57604</v>
      </c>
      <c r="D105" s="17">
        <v>48687</v>
      </c>
      <c r="E105" s="17">
        <v>97057</v>
      </c>
      <c r="F105" s="17">
        <v>2912</v>
      </c>
      <c r="G105" s="17">
        <v>2850</v>
      </c>
      <c r="H105" s="17">
        <v>1224700</v>
      </c>
      <c r="I105" s="17">
        <v>58471</v>
      </c>
      <c r="J105" s="17">
        <v>44326</v>
      </c>
      <c r="K105" s="36">
        <v>45.9</v>
      </c>
      <c r="L105" s="36">
        <v>38.9</v>
      </c>
      <c r="M105" s="9"/>
      <c r="N105" s="17">
        <v>112539</v>
      </c>
      <c r="O105" s="17">
        <v>77052</v>
      </c>
      <c r="P105" s="17">
        <v>234878</v>
      </c>
      <c r="Q105" s="17">
        <v>132488</v>
      </c>
      <c r="R105" s="17">
        <v>93292</v>
      </c>
      <c r="S105" s="17">
        <v>50658</v>
      </c>
      <c r="T105" s="17">
        <v>125859</v>
      </c>
      <c r="U105" s="17">
        <v>120289</v>
      </c>
      <c r="V105" s="17">
        <v>163642</v>
      </c>
      <c r="W105" s="17">
        <v>71119</v>
      </c>
      <c r="X105" s="17">
        <v>71142</v>
      </c>
      <c r="Y105" s="17"/>
      <c r="Z105" s="17"/>
      <c r="AA105" s="17"/>
      <c r="AB105" s="17"/>
      <c r="AC105" s="2"/>
      <c r="AD105" s="12">
        <f>SUM(N105:AB105)</f>
        <v>1252958</v>
      </c>
      <c r="AE105" s="12">
        <f>SUM(N106:AB106)</f>
        <v>60785</v>
      </c>
      <c r="AF105" s="12">
        <f>SUM(N107:AB107)</f>
        <v>51846</v>
      </c>
      <c r="AG105" s="2"/>
      <c r="AH105" s="12">
        <f>AD105-B105</f>
        <v>23</v>
      </c>
      <c r="AI105" s="12">
        <f>AE105-C105</f>
        <v>3181</v>
      </c>
      <c r="AJ105" s="12">
        <f>AF105-D105</f>
        <v>3159</v>
      </c>
      <c r="AL105" s="47">
        <f>C105/B105*1000</f>
        <v>45.975250112735296</v>
      </c>
      <c r="AM105" s="47">
        <f>D105/B105*1000</f>
        <v>38.858360569383088</v>
      </c>
      <c r="AO105" s="47">
        <f>AL105-K105</f>
        <v>7.5250112735297137E-2</v>
      </c>
      <c r="AP105" s="47">
        <f>AM105-L105</f>
        <v>-4.1639430616911E-2</v>
      </c>
      <c r="AR105" s="12">
        <f t="shared" ref="AR105" si="96">H105</f>
        <v>1224700</v>
      </c>
      <c r="AS105" s="12">
        <f t="shared" ref="AS105" si="97">I105</f>
        <v>58471</v>
      </c>
      <c r="AT105" s="12">
        <f t="shared" ref="AT105" si="98">J105</f>
        <v>44326</v>
      </c>
    </row>
    <row r="106" spans="1:46" x14ac:dyDescent="0.55000000000000004">
      <c r="A106" s="11" t="s">
        <v>110</v>
      </c>
      <c r="B106" s="9"/>
      <c r="C106" s="9"/>
      <c r="D106" s="9"/>
      <c r="E106" s="9"/>
      <c r="F106" s="9"/>
      <c r="G106" s="9"/>
      <c r="H106" s="9"/>
      <c r="I106" s="9"/>
      <c r="J106" s="9"/>
      <c r="K106" s="37"/>
      <c r="L106" s="37"/>
      <c r="M106" s="9"/>
      <c r="N106" s="9">
        <v>4945</v>
      </c>
      <c r="O106" s="9">
        <v>3010</v>
      </c>
      <c r="P106" s="9">
        <v>13034</v>
      </c>
      <c r="Q106" s="9">
        <v>6616</v>
      </c>
      <c r="R106" s="9">
        <v>5025</v>
      </c>
      <c r="S106" s="9">
        <v>2037</v>
      </c>
      <c r="T106" s="9">
        <v>6580</v>
      </c>
      <c r="U106" s="9">
        <v>4468</v>
      </c>
      <c r="V106" s="9">
        <v>8826</v>
      </c>
      <c r="W106" s="9">
        <v>3238</v>
      </c>
      <c r="X106" s="9">
        <v>3006</v>
      </c>
      <c r="Y106" s="9"/>
      <c r="Z106" s="9"/>
      <c r="AA106" s="9"/>
      <c r="AB106" s="9"/>
      <c r="AC106" s="2"/>
      <c r="AD106" s="2"/>
      <c r="AE106" s="2"/>
      <c r="AF106" s="2"/>
      <c r="AG106" s="2"/>
      <c r="AH106" s="2"/>
      <c r="AI106" s="2"/>
      <c r="AJ106" s="2"/>
    </row>
    <row r="107" spans="1:46" x14ac:dyDescent="0.55000000000000004">
      <c r="A107" s="11" t="s">
        <v>111</v>
      </c>
      <c r="B107" s="9"/>
      <c r="C107" s="9"/>
      <c r="D107" s="9"/>
      <c r="E107" s="9"/>
      <c r="F107" s="9"/>
      <c r="G107" s="9"/>
      <c r="H107" s="9"/>
      <c r="I107" s="9"/>
      <c r="J107" s="9"/>
      <c r="K107" s="37"/>
      <c r="L107" s="37"/>
      <c r="M107" s="9"/>
      <c r="N107" s="9">
        <v>3816</v>
      </c>
      <c r="O107" s="9">
        <v>3184</v>
      </c>
      <c r="P107" s="9">
        <v>11870</v>
      </c>
      <c r="Q107" s="9">
        <v>4972</v>
      </c>
      <c r="R107" s="9">
        <v>3291</v>
      </c>
      <c r="S107" s="9">
        <v>2324</v>
      </c>
      <c r="T107" s="9">
        <v>6035</v>
      </c>
      <c r="U107" s="9">
        <v>3913</v>
      </c>
      <c r="V107" s="9">
        <v>7226</v>
      </c>
      <c r="W107" s="9">
        <v>2444</v>
      </c>
      <c r="X107" s="9">
        <v>2771</v>
      </c>
      <c r="Y107" s="9"/>
      <c r="Z107" s="9"/>
      <c r="AA107" s="9"/>
      <c r="AB107" s="9"/>
      <c r="AC107" s="2"/>
      <c r="AD107" s="2"/>
      <c r="AE107" s="2"/>
      <c r="AF107" s="2"/>
      <c r="AG107" s="2"/>
      <c r="AH107" s="2"/>
      <c r="AI107" s="2"/>
      <c r="AJ107" s="2"/>
    </row>
    <row r="108" spans="1:46" x14ac:dyDescent="0.55000000000000004">
      <c r="A108" s="18" t="s">
        <v>112</v>
      </c>
      <c r="B108" s="17">
        <v>1416077</v>
      </c>
      <c r="C108" s="17">
        <v>66764</v>
      </c>
      <c r="D108" s="17">
        <v>41238</v>
      </c>
      <c r="E108" s="17">
        <v>69785</v>
      </c>
      <c r="F108" s="17">
        <v>3812</v>
      </c>
      <c r="G108" s="17">
        <v>2927</v>
      </c>
      <c r="H108" s="17">
        <v>1374608</v>
      </c>
      <c r="I108" s="17">
        <v>63891</v>
      </c>
      <c r="J108" s="17">
        <v>51040</v>
      </c>
      <c r="K108" s="36">
        <v>47.2</v>
      </c>
      <c r="L108" s="36">
        <v>29.1</v>
      </c>
      <c r="M108" s="9"/>
      <c r="N108" s="17">
        <v>176405</v>
      </c>
      <c r="O108" s="17">
        <v>75356</v>
      </c>
      <c r="P108" s="17">
        <v>117470</v>
      </c>
      <c r="Q108" s="17">
        <v>111340</v>
      </c>
      <c r="R108" s="17">
        <v>115600</v>
      </c>
      <c r="S108" s="17">
        <v>137128</v>
      </c>
      <c r="T108" s="17">
        <v>110573</v>
      </c>
      <c r="U108" s="17">
        <v>146238</v>
      </c>
      <c r="V108" s="17">
        <v>167374</v>
      </c>
      <c r="W108" s="17">
        <v>65658</v>
      </c>
      <c r="X108" s="17">
        <v>57973</v>
      </c>
      <c r="Y108" s="17">
        <v>134962</v>
      </c>
      <c r="Z108" s="17"/>
      <c r="AA108" s="17"/>
      <c r="AB108" s="17"/>
      <c r="AC108" s="2"/>
      <c r="AD108" s="12">
        <f>SUM(N108:AB108)</f>
        <v>1416077</v>
      </c>
      <c r="AE108" s="12">
        <f>SUM(N109:AB109)</f>
        <v>66664</v>
      </c>
      <c r="AF108" s="12">
        <f>SUM(N110:AB110)</f>
        <v>41238</v>
      </c>
      <c r="AG108" s="2"/>
      <c r="AH108" s="12">
        <f>AD108-B108</f>
        <v>0</v>
      </c>
      <c r="AI108" s="12">
        <f>AE108-C108</f>
        <v>-100</v>
      </c>
      <c r="AJ108" s="12">
        <f>AF108-D108</f>
        <v>0</v>
      </c>
      <c r="AL108" s="47">
        <f>C108/B108*1000</f>
        <v>47.147153721160642</v>
      </c>
      <c r="AM108" s="47">
        <f>D108/B108*1000</f>
        <v>29.121297782535837</v>
      </c>
      <c r="AO108" s="47">
        <f>AL108-K108</f>
        <v>-5.2846278839361105E-2</v>
      </c>
      <c r="AP108" s="47">
        <f>AM108-L108</f>
        <v>2.1297782535835807E-2</v>
      </c>
      <c r="AR108" s="12">
        <f t="shared" ref="AR108" si="99">H108</f>
        <v>1374608</v>
      </c>
      <c r="AS108" s="12">
        <f t="shared" ref="AS108" si="100">I108</f>
        <v>63891</v>
      </c>
      <c r="AT108" s="12">
        <f t="shared" ref="AT108" si="101">J108</f>
        <v>51040</v>
      </c>
    </row>
    <row r="109" spans="1:46" x14ac:dyDescent="0.55000000000000004">
      <c r="A109" s="11" t="s">
        <v>113</v>
      </c>
      <c r="B109" s="9"/>
      <c r="C109" s="9"/>
      <c r="D109" s="9"/>
      <c r="E109" s="9"/>
      <c r="F109" s="9"/>
      <c r="G109" s="9"/>
      <c r="H109" s="9"/>
      <c r="I109" s="9"/>
      <c r="J109" s="9"/>
      <c r="K109" s="37"/>
      <c r="L109" s="37"/>
      <c r="M109" s="9"/>
      <c r="N109" s="9">
        <v>8352</v>
      </c>
      <c r="O109" s="9">
        <v>3537</v>
      </c>
      <c r="P109" s="9">
        <v>4724</v>
      </c>
      <c r="Q109" s="9">
        <v>6850</v>
      </c>
      <c r="R109" s="9">
        <v>4940</v>
      </c>
      <c r="S109" s="9">
        <v>6028</v>
      </c>
      <c r="T109" s="9">
        <v>5384</v>
      </c>
      <c r="U109" s="9">
        <v>7177</v>
      </c>
      <c r="V109" s="9">
        <v>8199</v>
      </c>
      <c r="W109" s="9">
        <v>2686</v>
      </c>
      <c r="X109" s="9">
        <v>2445</v>
      </c>
      <c r="Y109" s="9">
        <v>6342</v>
      </c>
      <c r="Z109" s="9"/>
      <c r="AA109" s="9"/>
      <c r="AB109" s="9"/>
      <c r="AC109" s="2"/>
      <c r="AD109" s="2"/>
      <c r="AE109" s="2"/>
      <c r="AF109" s="2"/>
      <c r="AG109" s="2"/>
      <c r="AH109" s="2"/>
      <c r="AI109" s="2"/>
      <c r="AJ109" s="2"/>
    </row>
    <row r="110" spans="1:46" x14ac:dyDescent="0.55000000000000004">
      <c r="A110" s="11" t="s">
        <v>114</v>
      </c>
      <c r="B110" s="9"/>
      <c r="C110" s="9"/>
      <c r="D110" s="9"/>
      <c r="E110" s="9"/>
      <c r="F110" s="9"/>
      <c r="G110" s="9"/>
      <c r="H110" s="9"/>
      <c r="I110" s="9"/>
      <c r="J110" s="9"/>
      <c r="K110" s="37"/>
      <c r="L110" s="37"/>
      <c r="M110" s="9"/>
      <c r="N110" s="9">
        <v>5139</v>
      </c>
      <c r="O110" s="9">
        <v>2013</v>
      </c>
      <c r="P110" s="9">
        <v>2477</v>
      </c>
      <c r="Q110" s="9">
        <v>3835</v>
      </c>
      <c r="R110" s="9">
        <v>2767</v>
      </c>
      <c r="S110" s="9">
        <v>4042</v>
      </c>
      <c r="T110" s="9">
        <v>3218</v>
      </c>
      <c r="U110" s="9">
        <v>4389</v>
      </c>
      <c r="V110" s="9">
        <v>5629</v>
      </c>
      <c r="W110" s="9">
        <v>1548</v>
      </c>
      <c r="X110" s="9">
        <v>1645</v>
      </c>
      <c r="Y110" s="9">
        <v>4536</v>
      </c>
      <c r="Z110" s="9"/>
      <c r="AA110" s="9"/>
      <c r="AB110" s="9"/>
      <c r="AC110" s="2"/>
      <c r="AD110" s="2"/>
      <c r="AE110" s="2"/>
      <c r="AF110" s="2"/>
      <c r="AG110" s="2"/>
      <c r="AH110" s="2"/>
      <c r="AI110" s="2"/>
      <c r="AJ110" s="2"/>
    </row>
    <row r="111" spans="1:46" x14ac:dyDescent="0.55000000000000004">
      <c r="A111" s="18" t="s">
        <v>115</v>
      </c>
      <c r="B111" s="17">
        <v>2584201</v>
      </c>
      <c r="C111" s="17">
        <v>122565</v>
      </c>
      <c r="D111" s="17">
        <v>90306</v>
      </c>
      <c r="E111" s="17">
        <v>173701</v>
      </c>
      <c r="F111" s="17">
        <v>9447</v>
      </c>
      <c r="G111" s="17">
        <v>7804</v>
      </c>
      <c r="H111" s="17">
        <v>2513738</v>
      </c>
      <c r="I111" s="17">
        <v>118263</v>
      </c>
      <c r="J111" s="17">
        <v>78783</v>
      </c>
      <c r="K111" s="36">
        <v>47.4</v>
      </c>
      <c r="L111" s="36">
        <v>34.9</v>
      </c>
      <c r="M111" s="9"/>
      <c r="N111" s="17">
        <v>240390</v>
      </c>
      <c r="O111" s="17">
        <v>186625</v>
      </c>
      <c r="P111" s="17">
        <v>199366</v>
      </c>
      <c r="Q111" s="17">
        <v>223019</v>
      </c>
      <c r="R111" s="17">
        <v>188494</v>
      </c>
      <c r="S111" s="17">
        <v>122556</v>
      </c>
      <c r="T111" s="17">
        <v>185448</v>
      </c>
      <c r="U111" s="17">
        <v>195111</v>
      </c>
      <c r="V111" s="17">
        <v>171251</v>
      </c>
      <c r="W111" s="17">
        <v>164343</v>
      </c>
      <c r="X111" s="17">
        <v>170205</v>
      </c>
      <c r="Y111" s="17">
        <v>158293</v>
      </c>
      <c r="Z111" s="17">
        <v>173637</v>
      </c>
      <c r="AA111" s="17">
        <v>140392</v>
      </c>
      <c r="AB111" s="17">
        <v>156201</v>
      </c>
      <c r="AC111" s="2"/>
      <c r="AD111" s="12">
        <f>SUM(N111:AB111)</f>
        <v>2675331</v>
      </c>
      <c r="AE111" s="12">
        <f>SUM(N112:AB112)</f>
        <v>122565</v>
      </c>
      <c r="AF111" s="12">
        <f>SUM(N113:AB113)</f>
        <v>89881</v>
      </c>
      <c r="AG111" s="2"/>
      <c r="AH111" s="12">
        <f>AD111-B111</f>
        <v>91130</v>
      </c>
      <c r="AI111" s="12">
        <f>AE111-C111</f>
        <v>0</v>
      </c>
      <c r="AJ111" s="12">
        <f>AF111-D111</f>
        <v>-425</v>
      </c>
      <c r="AL111" s="47">
        <f>C111/B111*1000</f>
        <v>47.428586243871898</v>
      </c>
      <c r="AM111" s="47">
        <f>D111/B111*1000</f>
        <v>34.945424136899568</v>
      </c>
      <c r="AO111" s="47">
        <f>AL111-K111</f>
        <v>2.8586243871899342E-2</v>
      </c>
      <c r="AP111" s="47">
        <f>AM111-L111</f>
        <v>4.5424136899569589E-2</v>
      </c>
      <c r="AR111" s="12">
        <f t="shared" ref="AR111" si="102">H111</f>
        <v>2513738</v>
      </c>
      <c r="AS111" s="12">
        <f t="shared" ref="AS111" si="103">I111</f>
        <v>118263</v>
      </c>
      <c r="AT111" s="12">
        <f t="shared" ref="AT111" si="104">J111</f>
        <v>78783</v>
      </c>
    </row>
    <row r="112" spans="1:46" x14ac:dyDescent="0.55000000000000004">
      <c r="A112" s="11" t="s">
        <v>116</v>
      </c>
      <c r="B112" s="9"/>
      <c r="C112" s="9"/>
      <c r="D112" s="9"/>
      <c r="E112" s="9"/>
      <c r="F112" s="9"/>
      <c r="G112" s="9"/>
      <c r="H112" s="9"/>
      <c r="I112" s="9"/>
      <c r="J112" s="9"/>
      <c r="K112" s="37"/>
      <c r="L112" s="37"/>
      <c r="M112" s="9"/>
      <c r="N112" s="9">
        <v>11397</v>
      </c>
      <c r="O112" s="9">
        <v>8856</v>
      </c>
      <c r="P112" s="9">
        <v>8751</v>
      </c>
      <c r="Q112" s="9">
        <v>6698</v>
      </c>
      <c r="R112" s="9">
        <v>8875</v>
      </c>
      <c r="S112" s="9">
        <v>6770</v>
      </c>
      <c r="T112" s="9">
        <v>8471</v>
      </c>
      <c r="U112" s="9">
        <v>10064</v>
      </c>
      <c r="V112" s="9">
        <v>7996</v>
      </c>
      <c r="W112" s="9">
        <v>8154</v>
      </c>
      <c r="X112" s="9">
        <v>7855</v>
      </c>
      <c r="Y112" s="9">
        <v>7334</v>
      </c>
      <c r="Z112" s="9">
        <v>7207</v>
      </c>
      <c r="AA112" s="9">
        <v>6050</v>
      </c>
      <c r="AB112" s="9">
        <v>8087</v>
      </c>
      <c r="AC112" s="2"/>
      <c r="AD112" s="2"/>
      <c r="AE112" s="2"/>
      <c r="AF112" s="2"/>
      <c r="AG112" s="2"/>
      <c r="AH112" s="2"/>
      <c r="AI112" s="2"/>
      <c r="AJ112" s="2"/>
    </row>
    <row r="113" spans="1:46" x14ac:dyDescent="0.55000000000000004">
      <c r="A113" s="11" t="s">
        <v>117</v>
      </c>
      <c r="B113" s="9"/>
      <c r="C113" s="9"/>
      <c r="D113" s="9"/>
      <c r="E113" s="9"/>
      <c r="F113" s="9"/>
      <c r="G113" s="9"/>
      <c r="H113" s="9"/>
      <c r="I113" s="9"/>
      <c r="J113" s="9"/>
      <c r="K113" s="37"/>
      <c r="L113" s="37"/>
      <c r="M113" s="9"/>
      <c r="N113" s="9">
        <v>8874</v>
      </c>
      <c r="O113" s="9">
        <v>6702</v>
      </c>
      <c r="P113" s="9">
        <v>6741</v>
      </c>
      <c r="Q113" s="9">
        <v>4659</v>
      </c>
      <c r="R113" s="9">
        <v>6375</v>
      </c>
      <c r="S113" s="9">
        <v>5922</v>
      </c>
      <c r="T113" s="9">
        <v>5915</v>
      </c>
      <c r="U113" s="9">
        <v>7113</v>
      </c>
      <c r="V113" s="9">
        <v>4960</v>
      </c>
      <c r="W113" s="9">
        <v>4744</v>
      </c>
      <c r="X113" s="9">
        <v>5509</v>
      </c>
      <c r="Y113" s="9">
        <v>6285</v>
      </c>
      <c r="Z113" s="9">
        <v>5484</v>
      </c>
      <c r="AA113" s="9">
        <v>4519</v>
      </c>
      <c r="AB113" s="9">
        <v>6079</v>
      </c>
      <c r="AC113" s="2"/>
      <c r="AD113" s="2"/>
      <c r="AE113" s="2"/>
      <c r="AF113" s="2"/>
      <c r="AG113" s="2"/>
      <c r="AH113" s="2"/>
      <c r="AI113" s="2"/>
      <c r="AJ113" s="2"/>
    </row>
    <row r="114" spans="1:46" x14ac:dyDescent="0.55000000000000004">
      <c r="A114" s="18" t="s">
        <v>118</v>
      </c>
      <c r="B114" s="17">
        <v>1519125</v>
      </c>
      <c r="C114" s="17">
        <v>72581</v>
      </c>
      <c r="D114" s="17">
        <v>59480</v>
      </c>
      <c r="E114" s="17">
        <v>151551</v>
      </c>
      <c r="F114" s="17">
        <v>3878</v>
      </c>
      <c r="G114" s="17">
        <v>3411</v>
      </c>
      <c r="H114" s="17">
        <v>1485853</v>
      </c>
      <c r="I114" s="17">
        <v>67977</v>
      </c>
      <c r="J114" s="17">
        <v>58051</v>
      </c>
      <c r="K114" s="36">
        <v>47.7</v>
      </c>
      <c r="L114" s="36">
        <v>39.200000000000003</v>
      </c>
      <c r="M114" s="9"/>
      <c r="N114" s="17">
        <v>146701</v>
      </c>
      <c r="O114" s="17">
        <v>184023</v>
      </c>
      <c r="P114" s="17">
        <v>216815</v>
      </c>
      <c r="Q114" s="17">
        <v>59413</v>
      </c>
      <c r="R114" s="17">
        <v>96758</v>
      </c>
      <c r="S114" s="17">
        <v>153829</v>
      </c>
      <c r="T114" s="17">
        <v>92928</v>
      </c>
      <c r="U114" s="17">
        <v>122750</v>
      </c>
      <c r="V114" s="17">
        <v>130728</v>
      </c>
      <c r="W114" s="17">
        <v>73716</v>
      </c>
      <c r="X114" s="17">
        <v>100649</v>
      </c>
      <c r="Y114" s="17">
        <v>70459</v>
      </c>
      <c r="Z114" s="17">
        <v>135456</v>
      </c>
      <c r="AA114" s="17"/>
      <c r="AB114" s="17"/>
      <c r="AC114" s="2"/>
      <c r="AD114" s="12">
        <f>SUM(N114:AB114)</f>
        <v>1584225</v>
      </c>
      <c r="AE114" s="12">
        <f>SUM(N115:AB115)</f>
        <v>67246</v>
      </c>
      <c r="AF114" s="12">
        <f>SUM(N116:AB116)</f>
        <v>59480</v>
      </c>
      <c r="AG114" s="2"/>
      <c r="AH114" s="12">
        <f>AD114-B114</f>
        <v>65100</v>
      </c>
      <c r="AI114" s="12">
        <f>AE114-C114</f>
        <v>-5335</v>
      </c>
      <c r="AJ114" s="12">
        <f>AF114-D114</f>
        <v>0</v>
      </c>
      <c r="AL114" s="47">
        <f>C114/B114*1000</f>
        <v>47.778161770756192</v>
      </c>
      <c r="AM114" s="47">
        <f>D114/B114*1000</f>
        <v>39.154118324693492</v>
      </c>
      <c r="AO114" s="47">
        <f>AL114-K114</f>
        <v>7.8161770756189242E-2</v>
      </c>
      <c r="AP114" s="47">
        <f>AM114-L114</f>
        <v>-4.5881675306510772E-2</v>
      </c>
      <c r="AR114" s="12">
        <f t="shared" ref="AR114" si="105">H114</f>
        <v>1485853</v>
      </c>
      <c r="AS114" s="12">
        <f t="shared" ref="AS114" si="106">I114</f>
        <v>67977</v>
      </c>
      <c r="AT114" s="12">
        <f t="shared" ref="AT114" si="107">J114</f>
        <v>58051</v>
      </c>
    </row>
    <row r="115" spans="1:46" x14ac:dyDescent="0.55000000000000004">
      <c r="A115" s="11" t="s">
        <v>119</v>
      </c>
      <c r="B115" s="9"/>
      <c r="C115" s="9"/>
      <c r="D115" s="9"/>
      <c r="E115" s="9"/>
      <c r="F115" s="9"/>
      <c r="G115" s="9"/>
      <c r="H115" s="9"/>
      <c r="I115" s="9"/>
      <c r="J115" s="9"/>
      <c r="K115" s="37"/>
      <c r="L115" s="37"/>
      <c r="M115" s="9"/>
      <c r="N115" s="9">
        <v>9566</v>
      </c>
      <c r="O115" s="9">
        <v>5298</v>
      </c>
      <c r="P115" s="9">
        <v>7077</v>
      </c>
      <c r="Q115" s="9">
        <v>2915</v>
      </c>
      <c r="R115" s="9">
        <v>4384</v>
      </c>
      <c r="S115" s="9">
        <v>6092</v>
      </c>
      <c r="T115" s="9">
        <v>4480</v>
      </c>
      <c r="U115" s="9">
        <v>6187</v>
      </c>
      <c r="V115" s="9">
        <v>5063</v>
      </c>
      <c r="W115" s="9">
        <v>3206</v>
      </c>
      <c r="X115" s="9">
        <v>4411</v>
      </c>
      <c r="Y115" s="9">
        <v>3333</v>
      </c>
      <c r="Z115" s="9">
        <v>5234</v>
      </c>
      <c r="AA115" s="9"/>
      <c r="AB115" s="9"/>
      <c r="AC115" s="2"/>
      <c r="AD115" s="2"/>
      <c r="AE115" s="2"/>
      <c r="AF115" s="2"/>
      <c r="AG115" s="2"/>
      <c r="AH115" s="2"/>
      <c r="AI115" s="2"/>
      <c r="AJ115" s="2"/>
    </row>
    <row r="116" spans="1:46" x14ac:dyDescent="0.55000000000000004">
      <c r="A116" s="11" t="s">
        <v>120</v>
      </c>
      <c r="B116" s="9"/>
      <c r="C116" s="9"/>
      <c r="D116" s="9"/>
      <c r="E116" s="9"/>
      <c r="F116" s="9"/>
      <c r="G116" s="9"/>
      <c r="H116" s="9"/>
      <c r="I116" s="9"/>
      <c r="J116" s="9"/>
      <c r="K116" s="37"/>
      <c r="L116" s="37"/>
      <c r="M116" s="9"/>
      <c r="N116" s="9">
        <v>7775</v>
      </c>
      <c r="O116" s="9">
        <v>7686</v>
      </c>
      <c r="P116" s="9">
        <v>5405</v>
      </c>
      <c r="Q116" s="9">
        <v>2967</v>
      </c>
      <c r="R116" s="9">
        <v>3781</v>
      </c>
      <c r="S116" s="9">
        <v>5122</v>
      </c>
      <c r="T116" s="9">
        <v>3839</v>
      </c>
      <c r="U116" s="9">
        <v>4906</v>
      </c>
      <c r="V116" s="9">
        <v>3910</v>
      </c>
      <c r="W116" s="9">
        <v>3066</v>
      </c>
      <c r="X116" s="9">
        <v>3674</v>
      </c>
      <c r="Y116" s="9">
        <v>3326</v>
      </c>
      <c r="Z116" s="9">
        <v>4023</v>
      </c>
      <c r="AA116" s="9"/>
      <c r="AB116" s="9"/>
      <c r="AC116" s="2"/>
      <c r="AD116" s="2"/>
      <c r="AE116" s="2"/>
      <c r="AF116" s="2"/>
      <c r="AG116" s="2"/>
      <c r="AH116" s="2"/>
      <c r="AI116" s="2"/>
      <c r="AJ116" s="2"/>
    </row>
    <row r="117" spans="1:46" x14ac:dyDescent="0.55000000000000004">
      <c r="A117" s="18" t="s">
        <v>121</v>
      </c>
      <c r="B117" s="17">
        <v>1569462</v>
      </c>
      <c r="C117" s="17">
        <v>80631</v>
      </c>
      <c r="D117" s="17">
        <v>67714</v>
      </c>
      <c r="E117" s="17">
        <v>109801</v>
      </c>
      <c r="F117" s="17">
        <v>4832</v>
      </c>
      <c r="G117" s="17">
        <v>4429</v>
      </c>
      <c r="H117" s="17">
        <v>1534884</v>
      </c>
      <c r="I117" s="17">
        <v>82959</v>
      </c>
      <c r="J117" s="17">
        <v>65761</v>
      </c>
      <c r="K117" s="36">
        <v>51.4</v>
      </c>
      <c r="L117" s="36">
        <v>43.1</v>
      </c>
      <c r="M117" s="9"/>
      <c r="N117" s="17">
        <v>210309</v>
      </c>
      <c r="O117" s="17">
        <v>140659</v>
      </c>
      <c r="P117" s="17">
        <v>146685</v>
      </c>
      <c r="Q117" s="17">
        <v>114443</v>
      </c>
      <c r="R117" s="17">
        <v>130531</v>
      </c>
      <c r="S117" s="17">
        <v>132224</v>
      </c>
      <c r="T117" s="17">
        <v>118787</v>
      </c>
      <c r="U117" s="17">
        <v>192181</v>
      </c>
      <c r="V117" s="17">
        <v>106823</v>
      </c>
      <c r="W117" s="17">
        <v>110443</v>
      </c>
      <c r="X117" s="17">
        <v>166477</v>
      </c>
      <c r="Y117" s="17"/>
      <c r="Z117" s="17"/>
      <c r="AA117" s="17"/>
      <c r="AB117" s="17"/>
      <c r="AC117" s="2"/>
      <c r="AD117" s="12">
        <f>SUM(N117:AB117)</f>
        <v>1569562</v>
      </c>
      <c r="AE117" s="12">
        <f>SUM(N118:AB118)</f>
        <v>80631</v>
      </c>
      <c r="AF117" s="12">
        <f>SUM(N119:AB119)</f>
        <v>68783</v>
      </c>
      <c r="AG117" s="2"/>
      <c r="AH117" s="12">
        <f>AD117-B117</f>
        <v>100</v>
      </c>
      <c r="AI117" s="12">
        <f>AE117-C117</f>
        <v>0</v>
      </c>
      <c r="AJ117" s="12">
        <f>AF117-D117</f>
        <v>1069</v>
      </c>
      <c r="AL117" s="47">
        <f>C117/B117*1000</f>
        <v>51.374929752998163</v>
      </c>
      <c r="AM117" s="47">
        <f>D117/B117*1000</f>
        <v>43.144720929847303</v>
      </c>
      <c r="AO117" s="47">
        <f>AL117-K117</f>
        <v>-2.5070247001835355E-2</v>
      </c>
      <c r="AP117" s="47">
        <f>AM117-L117</f>
        <v>4.472092984730125E-2</v>
      </c>
      <c r="AR117" s="12">
        <f t="shared" ref="AR117" si="108">H117</f>
        <v>1534884</v>
      </c>
      <c r="AS117" s="12">
        <f t="shared" ref="AS117" si="109">I117</f>
        <v>82959</v>
      </c>
      <c r="AT117" s="12">
        <f t="shared" ref="AT117" si="110">J117</f>
        <v>65761</v>
      </c>
    </row>
    <row r="118" spans="1:46" x14ac:dyDescent="0.55000000000000004">
      <c r="A118" s="11" t="s">
        <v>122</v>
      </c>
      <c r="B118" s="9"/>
      <c r="C118" s="9"/>
      <c r="D118" s="9"/>
      <c r="E118" s="9"/>
      <c r="F118" s="9"/>
      <c r="G118" s="9"/>
      <c r="H118" s="9"/>
      <c r="I118" s="9"/>
      <c r="J118" s="9"/>
      <c r="K118" s="37"/>
      <c r="L118" s="37"/>
      <c r="M118" s="9"/>
      <c r="N118" s="9">
        <v>10534</v>
      </c>
      <c r="O118" s="9">
        <v>8387</v>
      </c>
      <c r="P118" s="9">
        <v>8264</v>
      </c>
      <c r="Q118" s="9">
        <v>6031</v>
      </c>
      <c r="R118" s="9">
        <v>6565</v>
      </c>
      <c r="S118" s="9">
        <v>6671</v>
      </c>
      <c r="T118" s="9">
        <v>5951</v>
      </c>
      <c r="U118" s="9">
        <v>9567</v>
      </c>
      <c r="V118" s="9">
        <v>5785</v>
      </c>
      <c r="W118" s="9">
        <v>5022</v>
      </c>
      <c r="X118" s="9">
        <v>7854</v>
      </c>
      <c r="Y118" s="9"/>
      <c r="Z118" s="9"/>
      <c r="AA118" s="9"/>
      <c r="AB118" s="9"/>
      <c r="AC118" s="2"/>
      <c r="AD118" s="2"/>
      <c r="AE118" s="2"/>
      <c r="AF118" s="2"/>
      <c r="AG118" s="2"/>
      <c r="AH118" s="2"/>
      <c r="AI118" s="2"/>
      <c r="AJ118" s="2"/>
    </row>
    <row r="119" spans="1:46" x14ac:dyDescent="0.55000000000000004">
      <c r="A119" s="11" t="s">
        <v>123</v>
      </c>
      <c r="B119" s="9"/>
      <c r="C119" s="9"/>
      <c r="D119" s="9"/>
      <c r="E119" s="9"/>
      <c r="F119" s="9"/>
      <c r="G119" s="9"/>
      <c r="H119" s="9"/>
      <c r="I119" s="9"/>
      <c r="J119" s="9"/>
      <c r="K119" s="37"/>
      <c r="L119" s="37"/>
      <c r="M119" s="9"/>
      <c r="N119" s="9">
        <v>8329</v>
      </c>
      <c r="O119" s="9">
        <v>6095</v>
      </c>
      <c r="P119" s="9">
        <v>6983</v>
      </c>
      <c r="Q119" s="9">
        <v>5149</v>
      </c>
      <c r="R119" s="9">
        <v>5443</v>
      </c>
      <c r="S119" s="9">
        <v>5381</v>
      </c>
      <c r="T119" s="9">
        <v>5309</v>
      </c>
      <c r="U119" s="9">
        <v>11122</v>
      </c>
      <c r="V119" s="9">
        <v>4008</v>
      </c>
      <c r="W119" s="9">
        <v>3987</v>
      </c>
      <c r="X119" s="9">
        <v>6977</v>
      </c>
      <c r="Y119" s="9"/>
      <c r="Z119" s="9"/>
      <c r="AA119" s="9"/>
      <c r="AB119" s="9"/>
      <c r="AC119" s="2"/>
      <c r="AD119" s="2"/>
      <c r="AE119" s="2"/>
      <c r="AF119" s="2"/>
      <c r="AG119" s="2"/>
      <c r="AH119" s="2"/>
      <c r="AI119" s="2"/>
      <c r="AJ119" s="2"/>
    </row>
    <row r="120" spans="1:46" x14ac:dyDescent="0.55000000000000004">
      <c r="A120" s="18" t="s">
        <v>124</v>
      </c>
      <c r="B120" s="17">
        <v>1311129</v>
      </c>
      <c r="C120" s="17">
        <v>59179</v>
      </c>
      <c r="D120" s="17">
        <v>38557</v>
      </c>
      <c r="E120" s="17">
        <v>89000</v>
      </c>
      <c r="F120" s="17">
        <v>2643</v>
      </c>
      <c r="G120" s="17">
        <v>2309</v>
      </c>
      <c r="H120" s="17">
        <v>1250725</v>
      </c>
      <c r="I120" s="17">
        <v>54223</v>
      </c>
      <c r="J120" s="17">
        <v>39804</v>
      </c>
      <c r="K120" s="36">
        <v>45.1</v>
      </c>
      <c r="L120" s="36">
        <v>29.4</v>
      </c>
      <c r="M120" s="9"/>
      <c r="N120" s="17">
        <v>171821</v>
      </c>
      <c r="O120" s="17">
        <v>147652</v>
      </c>
      <c r="P120" s="17">
        <v>78747</v>
      </c>
      <c r="Q120" s="17">
        <v>92934</v>
      </c>
      <c r="R120" s="17">
        <v>70595</v>
      </c>
      <c r="S120" s="17">
        <v>115988</v>
      </c>
      <c r="T120" s="17">
        <v>89587</v>
      </c>
      <c r="U120" s="17">
        <v>186833</v>
      </c>
      <c r="V120" s="17">
        <v>95259</v>
      </c>
      <c r="W120" s="17">
        <v>92006</v>
      </c>
      <c r="X120" s="17">
        <v>146413</v>
      </c>
      <c r="Y120" s="17"/>
      <c r="Z120" s="17"/>
      <c r="AA120" s="17"/>
      <c r="AB120" s="17"/>
      <c r="AC120" s="2"/>
      <c r="AD120" s="12">
        <f>SUM(N120:AB120)</f>
        <v>1287835</v>
      </c>
      <c r="AE120" s="12">
        <f>SUM(N121:AB121)</f>
        <v>59179</v>
      </c>
      <c r="AF120" s="12">
        <f>SUM(N122:AB122)</f>
        <v>38557</v>
      </c>
      <c r="AG120" s="2"/>
      <c r="AH120" s="12">
        <f>AD120-B120</f>
        <v>-23294</v>
      </c>
      <c r="AI120" s="12">
        <f>AE120-C120</f>
        <v>0</v>
      </c>
      <c r="AJ120" s="12">
        <f>AF120-D120</f>
        <v>0</v>
      </c>
      <c r="AL120" s="47">
        <f>C120/B120*1000</f>
        <v>45.135909586318355</v>
      </c>
      <c r="AM120" s="47">
        <f>D120/B120*1000</f>
        <v>29.407480118279743</v>
      </c>
      <c r="AO120" s="47">
        <f>AL120-K120</f>
        <v>3.5909586318354059E-2</v>
      </c>
      <c r="AP120" s="47">
        <f>AM120-L120</f>
        <v>7.4801182797443744E-3</v>
      </c>
      <c r="AR120" s="12">
        <f t="shared" ref="AR120" si="111">H120</f>
        <v>1250725</v>
      </c>
      <c r="AS120" s="12">
        <f t="shared" ref="AS120" si="112">I120</f>
        <v>54223</v>
      </c>
      <c r="AT120" s="12">
        <f t="shared" ref="AT120" si="113">J120</f>
        <v>39804</v>
      </c>
    </row>
    <row r="121" spans="1:46" x14ac:dyDescent="0.55000000000000004">
      <c r="A121" s="11" t="s">
        <v>125</v>
      </c>
      <c r="B121" s="9"/>
      <c r="C121" s="9"/>
      <c r="D121" s="9"/>
      <c r="E121" s="9"/>
      <c r="F121" s="9"/>
      <c r="G121" s="9"/>
      <c r="H121" s="9"/>
      <c r="I121" s="9"/>
      <c r="J121" s="9"/>
      <c r="K121" s="37"/>
      <c r="L121" s="37"/>
      <c r="M121" s="9"/>
      <c r="N121" s="9">
        <v>7023</v>
      </c>
      <c r="O121" s="9">
        <v>6269</v>
      </c>
      <c r="P121" s="9">
        <v>3741</v>
      </c>
      <c r="Q121" s="9">
        <v>4121</v>
      </c>
      <c r="R121" s="9">
        <v>4235</v>
      </c>
      <c r="S121" s="9">
        <v>5711</v>
      </c>
      <c r="T121" s="9">
        <v>3690</v>
      </c>
      <c r="U121" s="9">
        <v>8179</v>
      </c>
      <c r="V121" s="9">
        <v>4559</v>
      </c>
      <c r="W121" s="9">
        <v>4496</v>
      </c>
      <c r="X121" s="9">
        <v>7155</v>
      </c>
      <c r="Y121" s="9"/>
      <c r="Z121" s="9"/>
      <c r="AA121" s="9"/>
      <c r="AB121" s="9"/>
      <c r="AC121" s="2"/>
      <c r="AD121" s="2"/>
      <c r="AE121" s="2"/>
      <c r="AF121" s="2"/>
      <c r="AG121" s="2"/>
      <c r="AH121" s="2"/>
      <c r="AI121" s="2"/>
      <c r="AJ121" s="2"/>
    </row>
    <row r="122" spans="1:46" x14ac:dyDescent="0.55000000000000004">
      <c r="A122" s="11" t="s">
        <v>126</v>
      </c>
      <c r="B122" s="9"/>
      <c r="C122" s="9"/>
      <c r="D122" s="9"/>
      <c r="E122" s="9"/>
      <c r="F122" s="9"/>
      <c r="G122" s="9"/>
      <c r="H122" s="9"/>
      <c r="I122" s="9"/>
      <c r="J122" s="9"/>
      <c r="K122" s="37"/>
      <c r="L122" s="37"/>
      <c r="M122" s="9"/>
      <c r="N122" s="9">
        <v>4732</v>
      </c>
      <c r="O122" s="9">
        <v>4121</v>
      </c>
      <c r="P122" s="9">
        <v>2566</v>
      </c>
      <c r="Q122" s="9">
        <v>2848</v>
      </c>
      <c r="R122" s="9">
        <v>2416</v>
      </c>
      <c r="S122" s="9">
        <v>3597</v>
      </c>
      <c r="T122" s="9">
        <v>2907</v>
      </c>
      <c r="U122" s="9">
        <v>4920</v>
      </c>
      <c r="V122" s="9">
        <v>2752</v>
      </c>
      <c r="W122" s="9">
        <v>2503</v>
      </c>
      <c r="X122" s="9">
        <v>5195</v>
      </c>
      <c r="Y122" s="9"/>
      <c r="Z122" s="9"/>
      <c r="AA122" s="9"/>
      <c r="AB122" s="9"/>
      <c r="AC122" s="2"/>
      <c r="AD122" s="2"/>
      <c r="AE122" s="2"/>
      <c r="AF122" s="2"/>
      <c r="AG122" s="2"/>
      <c r="AH122" s="2"/>
      <c r="AI122" s="2"/>
      <c r="AJ122" s="2"/>
    </row>
    <row r="123" spans="1:46" x14ac:dyDescent="0.55000000000000004">
      <c r="A123" s="18" t="s">
        <v>127</v>
      </c>
      <c r="B123" s="17">
        <v>363955</v>
      </c>
      <c r="C123" s="17">
        <v>17441</v>
      </c>
      <c r="D123" s="17">
        <v>12810</v>
      </c>
      <c r="E123" s="17">
        <v>23765</v>
      </c>
      <c r="F123" s="17">
        <v>889</v>
      </c>
      <c r="G123" s="17">
        <v>882</v>
      </c>
      <c r="H123" s="17">
        <v>350138</v>
      </c>
      <c r="I123" s="17">
        <v>16905</v>
      </c>
      <c r="J123" s="17">
        <v>12122</v>
      </c>
      <c r="K123" s="36">
        <v>47.9</v>
      </c>
      <c r="L123" s="36">
        <v>35.200000000000003</v>
      </c>
      <c r="M123" s="9"/>
      <c r="N123" s="17">
        <v>84302</v>
      </c>
      <c r="O123" s="17">
        <v>52752</v>
      </c>
      <c r="P123" s="17">
        <v>78496</v>
      </c>
      <c r="Q123" s="17">
        <v>45587</v>
      </c>
      <c r="R123" s="17">
        <v>28144</v>
      </c>
      <c r="S123" s="17">
        <v>40387</v>
      </c>
      <c r="T123" s="17">
        <v>34287</v>
      </c>
      <c r="U123" s="17"/>
      <c r="V123" s="17"/>
      <c r="W123" s="17"/>
      <c r="X123" s="17"/>
      <c r="Y123" s="17"/>
      <c r="Z123" s="17"/>
      <c r="AA123" s="17"/>
      <c r="AB123" s="17"/>
      <c r="AC123" s="2"/>
      <c r="AD123" s="12">
        <f>SUM(N123:AB123)</f>
        <v>363955</v>
      </c>
      <c r="AE123" s="12">
        <f>SUM(N124:AB124)</f>
        <v>17451</v>
      </c>
      <c r="AF123" s="12">
        <f>SUM(N125:AB125)</f>
        <v>12810</v>
      </c>
      <c r="AG123" s="2"/>
      <c r="AH123" s="12">
        <f>AD123-B123</f>
        <v>0</v>
      </c>
      <c r="AI123" s="12">
        <f>AE123-C123</f>
        <v>10</v>
      </c>
      <c r="AJ123" s="12">
        <f>AF123-D123</f>
        <v>0</v>
      </c>
      <c r="AL123" s="47">
        <f>C123/B123*1000</f>
        <v>47.920759434545474</v>
      </c>
      <c r="AM123" s="47">
        <f>D123/B123*1000</f>
        <v>35.196658927614678</v>
      </c>
      <c r="AO123" s="47">
        <f>AL123-K123</f>
        <v>2.0759434545475131E-2</v>
      </c>
      <c r="AP123" s="47">
        <f>AM123-L123</f>
        <v>-3.3410723853251056E-3</v>
      </c>
      <c r="AR123" s="12">
        <f t="shared" ref="AR123" si="114">H123</f>
        <v>350138</v>
      </c>
      <c r="AS123" s="12">
        <f t="shared" ref="AS123" si="115">I123</f>
        <v>16905</v>
      </c>
      <c r="AT123" s="12">
        <f t="shared" ref="AT123" si="116">J123</f>
        <v>12122</v>
      </c>
    </row>
    <row r="124" spans="1:46" x14ac:dyDescent="0.55000000000000004">
      <c r="A124" s="11" t="s">
        <v>128</v>
      </c>
      <c r="B124" s="9"/>
      <c r="C124" s="9"/>
      <c r="D124" s="9"/>
      <c r="E124" s="9"/>
      <c r="F124" s="9"/>
      <c r="G124" s="9"/>
      <c r="H124" s="9"/>
      <c r="I124" s="9"/>
      <c r="J124" s="9"/>
      <c r="K124" s="37"/>
      <c r="L124" s="37"/>
      <c r="M124" s="9"/>
      <c r="N124" s="9">
        <v>3844</v>
      </c>
      <c r="O124" s="9">
        <v>2447</v>
      </c>
      <c r="P124" s="9">
        <v>4048</v>
      </c>
      <c r="Q124" s="9">
        <v>2174</v>
      </c>
      <c r="R124" s="9">
        <v>1155</v>
      </c>
      <c r="S124" s="9">
        <v>1892</v>
      </c>
      <c r="T124" s="9">
        <v>1891</v>
      </c>
      <c r="U124" s="9"/>
      <c r="V124" s="9"/>
      <c r="W124" s="9"/>
      <c r="X124" s="9"/>
      <c r="Y124" s="9"/>
      <c r="Z124" s="9"/>
      <c r="AA124" s="9"/>
      <c r="AB124" s="9"/>
      <c r="AC124" s="2"/>
      <c r="AD124" s="2"/>
      <c r="AE124" s="2"/>
      <c r="AF124" s="2"/>
      <c r="AG124" s="2"/>
      <c r="AH124" s="2"/>
      <c r="AI124" s="2"/>
      <c r="AJ124" s="2"/>
    </row>
    <row r="125" spans="1:46" x14ac:dyDescent="0.55000000000000004">
      <c r="A125" s="11" t="s">
        <v>129</v>
      </c>
      <c r="B125" s="9"/>
      <c r="C125" s="9"/>
      <c r="D125" s="9"/>
      <c r="E125" s="9"/>
      <c r="F125" s="9"/>
      <c r="G125" s="9"/>
      <c r="H125" s="9"/>
      <c r="I125" s="9"/>
      <c r="J125" s="9"/>
      <c r="K125" s="37"/>
      <c r="L125" s="37"/>
      <c r="M125" s="9"/>
      <c r="N125" s="9">
        <v>3137</v>
      </c>
      <c r="O125" s="9">
        <v>1838</v>
      </c>
      <c r="P125" s="9">
        <v>2606</v>
      </c>
      <c r="Q125" s="9">
        <v>1691</v>
      </c>
      <c r="R125" s="9">
        <v>867</v>
      </c>
      <c r="S125" s="9">
        <v>1365</v>
      </c>
      <c r="T125" s="9">
        <v>1306</v>
      </c>
      <c r="U125" s="9"/>
      <c r="V125" s="9"/>
      <c r="W125" s="9"/>
      <c r="X125" s="9"/>
      <c r="Y125" s="9"/>
      <c r="Z125" s="9"/>
      <c r="AA125" s="9"/>
      <c r="AB125" s="9"/>
      <c r="AC125" s="2"/>
      <c r="AD125" s="2"/>
      <c r="AE125" s="2"/>
      <c r="AF125" s="2"/>
      <c r="AG125" s="2"/>
      <c r="AH125" s="2"/>
      <c r="AI125" s="2"/>
      <c r="AJ125" s="2"/>
    </row>
    <row r="126" spans="1:46" x14ac:dyDescent="0.55000000000000004">
      <c r="A126" s="18" t="s">
        <v>130</v>
      </c>
      <c r="B126" s="17">
        <v>2127397</v>
      </c>
      <c r="C126" s="17">
        <v>109867</v>
      </c>
      <c r="D126" s="17">
        <v>89808</v>
      </c>
      <c r="E126" s="17" t="s">
        <v>14</v>
      </c>
      <c r="F126" s="17" t="s">
        <v>14</v>
      </c>
      <c r="G126" s="17" t="s">
        <v>14</v>
      </c>
      <c r="H126" s="17">
        <v>2048969</v>
      </c>
      <c r="I126" s="17">
        <v>105815</v>
      </c>
      <c r="J126" s="17">
        <v>75183</v>
      </c>
      <c r="K126" s="36">
        <v>51.6</v>
      </c>
      <c r="L126" s="36">
        <v>42.2</v>
      </c>
      <c r="M126" s="9"/>
      <c r="N126" s="17">
        <v>226582</v>
      </c>
      <c r="O126" s="17">
        <v>153690</v>
      </c>
      <c r="P126" s="17">
        <v>166266</v>
      </c>
      <c r="Q126" s="17">
        <v>105555</v>
      </c>
      <c r="R126" s="17">
        <v>293436</v>
      </c>
      <c r="S126" s="17">
        <v>132690</v>
      </c>
      <c r="T126" s="17">
        <v>117294</v>
      </c>
      <c r="U126" s="17">
        <v>353483</v>
      </c>
      <c r="V126" s="17">
        <v>191395</v>
      </c>
      <c r="W126" s="17">
        <v>109489</v>
      </c>
      <c r="X126" s="17">
        <v>145665</v>
      </c>
      <c r="Y126" s="17">
        <v>131762</v>
      </c>
      <c r="Z126" s="17"/>
      <c r="AA126" s="17"/>
      <c r="AB126" s="17"/>
      <c r="AC126" s="2"/>
      <c r="AD126" s="12">
        <f>SUM(N126:AB126)</f>
        <v>2127307</v>
      </c>
      <c r="AE126" s="12">
        <f>SUM(N127:AB127)</f>
        <v>109667</v>
      </c>
      <c r="AF126" s="12">
        <f>SUM(N128:AB128)</f>
        <v>89808</v>
      </c>
      <c r="AG126" s="2"/>
      <c r="AH126" s="12">
        <f>AD126-B126</f>
        <v>-90</v>
      </c>
      <c r="AI126" s="12">
        <f>AE126-C126</f>
        <v>-200</v>
      </c>
      <c r="AJ126" s="12">
        <f>AF126-D126</f>
        <v>0</v>
      </c>
      <c r="AL126" s="47">
        <f>C126/B126*1000</f>
        <v>51.643863369178391</v>
      </c>
      <c r="AM126" s="47">
        <f>D126/B126*1000</f>
        <v>42.214969749416774</v>
      </c>
      <c r="AO126" s="47">
        <f>AL126-K126</f>
        <v>4.3863369178389178E-2</v>
      </c>
      <c r="AP126" s="47">
        <f>AM126-L126</f>
        <v>1.4969749416771094E-2</v>
      </c>
      <c r="AR126" s="12">
        <f t="shared" ref="AR126" si="117">H126</f>
        <v>2048969</v>
      </c>
      <c r="AS126" s="12">
        <f t="shared" ref="AS126" si="118">I126</f>
        <v>105815</v>
      </c>
      <c r="AT126" s="12">
        <f t="shared" ref="AT126" si="119">J126</f>
        <v>75183</v>
      </c>
    </row>
    <row r="127" spans="1:46" x14ac:dyDescent="0.55000000000000004">
      <c r="A127" s="11" t="s">
        <v>131</v>
      </c>
      <c r="B127" s="9"/>
      <c r="C127" s="9"/>
      <c r="D127" s="9"/>
      <c r="E127" s="9"/>
      <c r="F127" s="9"/>
      <c r="G127" s="9"/>
      <c r="H127" s="9"/>
      <c r="I127" s="9"/>
      <c r="J127" s="9"/>
      <c r="K127" s="37"/>
      <c r="L127" s="37"/>
      <c r="M127" s="9"/>
      <c r="N127" s="9">
        <v>10732</v>
      </c>
      <c r="O127" s="9">
        <v>7716</v>
      </c>
      <c r="P127" s="9">
        <v>9515</v>
      </c>
      <c r="Q127" s="9">
        <v>5565</v>
      </c>
      <c r="R127" s="9">
        <v>15548</v>
      </c>
      <c r="S127" s="9">
        <v>7452</v>
      </c>
      <c r="T127" s="9">
        <v>6083</v>
      </c>
      <c r="U127" s="9">
        <v>16688</v>
      </c>
      <c r="V127" s="9">
        <v>10040</v>
      </c>
      <c r="W127" s="9">
        <v>5827</v>
      </c>
      <c r="X127" s="9">
        <v>7629</v>
      </c>
      <c r="Y127" s="9">
        <v>6872</v>
      </c>
      <c r="Z127" s="9"/>
      <c r="AA127" s="9"/>
      <c r="AB127" s="9"/>
      <c r="AC127" s="2"/>
      <c r="AD127" s="2"/>
      <c r="AE127" s="2"/>
      <c r="AF127" s="2"/>
      <c r="AG127" s="2"/>
      <c r="AH127" s="2"/>
      <c r="AI127" s="2"/>
      <c r="AJ127" s="2"/>
    </row>
    <row r="128" spans="1:46" x14ac:dyDescent="0.55000000000000004">
      <c r="A128" s="11" t="s">
        <v>132</v>
      </c>
      <c r="B128" s="9"/>
      <c r="C128" s="9"/>
      <c r="D128" s="9"/>
      <c r="E128" s="9"/>
      <c r="F128" s="9"/>
      <c r="G128" s="9"/>
      <c r="H128" s="9"/>
      <c r="I128" s="9"/>
      <c r="J128" s="9"/>
      <c r="K128" s="37"/>
      <c r="L128" s="37"/>
      <c r="M128" s="9"/>
      <c r="N128" s="9">
        <v>8785</v>
      </c>
      <c r="O128" s="9">
        <v>5858</v>
      </c>
      <c r="P128" s="9">
        <v>6412</v>
      </c>
      <c r="Q128" s="9">
        <v>4571</v>
      </c>
      <c r="R128" s="9">
        <v>13957</v>
      </c>
      <c r="S128" s="9">
        <v>6151</v>
      </c>
      <c r="T128" s="9">
        <v>4982</v>
      </c>
      <c r="U128" s="9">
        <v>15440</v>
      </c>
      <c r="V128" s="9">
        <v>8335</v>
      </c>
      <c r="W128" s="9">
        <v>4551</v>
      </c>
      <c r="X128" s="9">
        <v>5450</v>
      </c>
      <c r="Y128" s="9">
        <v>5316</v>
      </c>
      <c r="Z128" s="9"/>
      <c r="AA128" s="9"/>
      <c r="AB128" s="9"/>
      <c r="AC128" s="2"/>
      <c r="AD128" s="2"/>
      <c r="AE128" s="2"/>
      <c r="AF128" s="2"/>
      <c r="AG128" s="2"/>
      <c r="AH128" s="2"/>
      <c r="AI128" s="2"/>
      <c r="AJ128" s="2"/>
    </row>
    <row r="129" spans="1:46" x14ac:dyDescent="0.55000000000000004">
      <c r="A129" s="18" t="s">
        <v>133</v>
      </c>
      <c r="B129" s="17">
        <v>1606013</v>
      </c>
      <c r="C129" s="17">
        <v>78785</v>
      </c>
      <c r="D129" s="17">
        <v>74230</v>
      </c>
      <c r="E129" s="17">
        <v>142166</v>
      </c>
      <c r="F129" s="17">
        <v>6626</v>
      </c>
      <c r="G129" s="17">
        <v>6656</v>
      </c>
      <c r="H129" s="17">
        <v>1562917</v>
      </c>
      <c r="I129" s="17">
        <v>81527</v>
      </c>
      <c r="J129" s="17">
        <v>60505</v>
      </c>
      <c r="K129" s="36">
        <v>49.1</v>
      </c>
      <c r="L129" s="36">
        <v>46.2</v>
      </c>
      <c r="M129" s="9"/>
      <c r="N129" s="17">
        <v>165067</v>
      </c>
      <c r="O129" s="17">
        <v>173007</v>
      </c>
      <c r="P129" s="17">
        <v>210406</v>
      </c>
      <c r="Q129" s="17">
        <v>137124</v>
      </c>
      <c r="R129" s="17">
        <v>182453</v>
      </c>
      <c r="S129" s="17">
        <v>115285</v>
      </c>
      <c r="T129" s="17">
        <v>131337</v>
      </c>
      <c r="U129" s="17">
        <v>154725</v>
      </c>
      <c r="V129" s="17">
        <v>165113</v>
      </c>
      <c r="W129" s="17">
        <v>156990</v>
      </c>
      <c r="X129" s="17"/>
      <c r="Y129" s="17"/>
      <c r="Z129" s="17"/>
      <c r="AA129" s="17"/>
      <c r="AB129" s="17"/>
      <c r="AC129" s="2"/>
      <c r="AD129" s="12">
        <f>SUM(N129:AB129)</f>
        <v>1591507</v>
      </c>
      <c r="AE129" s="12">
        <f>SUM(N130:AB130)</f>
        <v>78785</v>
      </c>
      <c r="AF129" s="12">
        <f>SUM(N131:AB131)</f>
        <v>74230</v>
      </c>
      <c r="AG129" s="2"/>
      <c r="AH129" s="12">
        <f>AD129-B129</f>
        <v>-14506</v>
      </c>
      <c r="AI129" s="12">
        <f>AE129-C129</f>
        <v>0</v>
      </c>
      <c r="AJ129" s="12">
        <f>AF129-D129</f>
        <v>0</v>
      </c>
      <c r="AL129" s="47">
        <f>C129/B129*1000</f>
        <v>49.056265422509036</v>
      </c>
      <c r="AM129" s="47">
        <f>D129/B129*1000</f>
        <v>46.220049277309712</v>
      </c>
      <c r="AO129" s="47">
        <f>AL129-K129</f>
        <v>-4.3734577490965876E-2</v>
      </c>
      <c r="AP129" s="47">
        <f>AM129-L129</f>
        <v>2.0049277309709623E-2</v>
      </c>
      <c r="AR129" s="12">
        <f t="shared" ref="AR129" si="120">H129</f>
        <v>1562917</v>
      </c>
      <c r="AS129" s="12">
        <f t="shared" ref="AS129" si="121">I129</f>
        <v>81527</v>
      </c>
      <c r="AT129" s="12">
        <f t="shared" ref="AT129" si="122">J129</f>
        <v>60505</v>
      </c>
    </row>
    <row r="130" spans="1:46" x14ac:dyDescent="0.55000000000000004">
      <c r="A130" s="11" t="s">
        <v>134</v>
      </c>
      <c r="B130" s="9"/>
      <c r="C130" s="9"/>
      <c r="D130" s="9"/>
      <c r="E130" s="9"/>
      <c r="F130" s="9"/>
      <c r="G130" s="9"/>
      <c r="H130" s="9"/>
      <c r="I130" s="9"/>
      <c r="J130" s="9"/>
      <c r="K130" s="37"/>
      <c r="L130" s="37"/>
      <c r="M130" s="9"/>
      <c r="N130" s="9">
        <v>8964</v>
      </c>
      <c r="O130" s="9">
        <v>9741</v>
      </c>
      <c r="P130" s="9">
        <v>9118</v>
      </c>
      <c r="Q130" s="9">
        <v>5676</v>
      </c>
      <c r="R130" s="9">
        <v>8777</v>
      </c>
      <c r="S130" s="9">
        <v>6962</v>
      </c>
      <c r="T130" s="9">
        <v>6362</v>
      </c>
      <c r="U130" s="9">
        <v>7651</v>
      </c>
      <c r="V130" s="9">
        <v>7041</v>
      </c>
      <c r="W130" s="9">
        <v>8493</v>
      </c>
      <c r="X130" s="9"/>
      <c r="Y130" s="9"/>
      <c r="Z130" s="9"/>
      <c r="AA130" s="9"/>
      <c r="AB130" s="9"/>
      <c r="AC130" s="2"/>
      <c r="AD130" s="2"/>
      <c r="AE130" s="2"/>
      <c r="AF130" s="2"/>
      <c r="AG130" s="2"/>
      <c r="AH130" s="2"/>
      <c r="AI130" s="2"/>
      <c r="AJ130" s="2"/>
    </row>
    <row r="131" spans="1:46" x14ac:dyDescent="0.55000000000000004">
      <c r="A131" s="11" t="s">
        <v>135</v>
      </c>
      <c r="B131" s="9"/>
      <c r="C131" s="9"/>
      <c r="D131" s="9"/>
      <c r="E131" s="9"/>
      <c r="F131" s="9"/>
      <c r="G131" s="9"/>
      <c r="H131" s="9"/>
      <c r="I131" s="9"/>
      <c r="J131" s="9"/>
      <c r="K131" s="37"/>
      <c r="L131" s="37"/>
      <c r="M131" s="9"/>
      <c r="N131" s="9">
        <v>8896</v>
      </c>
      <c r="O131" s="9">
        <v>6829</v>
      </c>
      <c r="P131" s="9">
        <v>10831</v>
      </c>
      <c r="Q131" s="9">
        <v>5171</v>
      </c>
      <c r="R131" s="9">
        <v>6593</v>
      </c>
      <c r="S131" s="9">
        <v>6330</v>
      </c>
      <c r="T131" s="9">
        <v>6688</v>
      </c>
      <c r="U131" s="9">
        <v>7669</v>
      </c>
      <c r="V131" s="9">
        <v>7332</v>
      </c>
      <c r="W131" s="9">
        <v>7891</v>
      </c>
      <c r="X131" s="9"/>
      <c r="Y131" s="9"/>
      <c r="Z131" s="9"/>
      <c r="AA131" s="9"/>
      <c r="AB131" s="9"/>
      <c r="AC131" s="2"/>
      <c r="AD131" s="2"/>
      <c r="AE131" s="2"/>
      <c r="AF131" s="2"/>
      <c r="AG131" s="2"/>
      <c r="AH131" s="2"/>
      <c r="AI131" s="2"/>
      <c r="AJ131" s="2"/>
    </row>
    <row r="132" spans="1:46" x14ac:dyDescent="0.55000000000000004">
      <c r="A132" s="18" t="s">
        <v>136</v>
      </c>
      <c r="B132" s="17">
        <v>2806879</v>
      </c>
      <c r="C132" s="17">
        <v>156712</v>
      </c>
      <c r="D132" s="17">
        <v>117028</v>
      </c>
      <c r="E132" s="17">
        <v>151634</v>
      </c>
      <c r="F132" s="17">
        <v>5651</v>
      </c>
      <c r="G132" s="17">
        <v>5909</v>
      </c>
      <c r="H132" s="17">
        <v>2755065</v>
      </c>
      <c r="I132" s="17">
        <v>152361</v>
      </c>
      <c r="J132" s="17">
        <v>121495</v>
      </c>
      <c r="K132" s="36">
        <v>55.8</v>
      </c>
      <c r="L132" s="36">
        <v>41.7</v>
      </c>
      <c r="M132" s="9"/>
      <c r="N132" s="17">
        <v>233657</v>
      </c>
      <c r="O132" s="17">
        <v>225594</v>
      </c>
      <c r="P132" s="17">
        <v>391716</v>
      </c>
      <c r="Q132" s="17">
        <v>145157</v>
      </c>
      <c r="R132" s="17">
        <v>257842</v>
      </c>
      <c r="S132" s="17">
        <v>238765</v>
      </c>
      <c r="T132" s="17">
        <v>124177</v>
      </c>
      <c r="U132" s="17">
        <v>283174</v>
      </c>
      <c r="V132" s="17">
        <v>261235</v>
      </c>
      <c r="W132" s="17">
        <v>215282</v>
      </c>
      <c r="X132" s="17">
        <v>91303</v>
      </c>
      <c r="Y132" s="17">
        <v>337383</v>
      </c>
      <c r="Z132" s="17"/>
      <c r="AA132" s="17"/>
      <c r="AB132" s="17"/>
      <c r="AC132" s="2"/>
      <c r="AD132" s="12">
        <f>SUM(N132:AB132)</f>
        <v>2805285</v>
      </c>
      <c r="AE132" s="12">
        <f>SUM(N133:AB133)</f>
        <v>156022</v>
      </c>
      <c r="AF132" s="12">
        <f>SUM(N134:AB134)</f>
        <v>117008</v>
      </c>
      <c r="AG132" s="2"/>
      <c r="AH132" s="12">
        <f>AD132-B132</f>
        <v>-1594</v>
      </c>
      <c r="AI132" s="12">
        <f>AE132-C132</f>
        <v>-690</v>
      </c>
      <c r="AJ132" s="12">
        <f>AF132-D132</f>
        <v>-20</v>
      </c>
      <c r="AL132" s="47">
        <f>C132/B132*1000</f>
        <v>55.831405628814061</v>
      </c>
      <c r="AM132" s="47">
        <f>D132/B132*1000</f>
        <v>41.693282824090382</v>
      </c>
      <c r="AO132" s="47">
        <f>AL132-K132</f>
        <v>3.1405628814063391E-2</v>
      </c>
      <c r="AP132" s="47">
        <f>AM132-L132</f>
        <v>-6.7171759096211758E-3</v>
      </c>
      <c r="AR132" s="12">
        <f t="shared" ref="AR132" si="123">H132</f>
        <v>2755065</v>
      </c>
      <c r="AS132" s="12">
        <f t="shared" ref="AS132" si="124">I132</f>
        <v>152361</v>
      </c>
      <c r="AT132" s="12">
        <f t="shared" ref="AT132" si="125">J132</f>
        <v>121495</v>
      </c>
    </row>
    <row r="133" spans="1:46" x14ac:dyDescent="0.55000000000000004">
      <c r="A133" s="11" t="s">
        <v>137</v>
      </c>
      <c r="B133" s="9"/>
      <c r="C133" s="9"/>
      <c r="D133" s="9"/>
      <c r="E133" s="9"/>
      <c r="F133" s="9"/>
      <c r="G133" s="9"/>
      <c r="H133" s="9"/>
      <c r="I133" s="9"/>
      <c r="J133" s="9"/>
      <c r="K133" s="37"/>
      <c r="L133" s="37"/>
      <c r="M133" s="9"/>
      <c r="N133" s="9">
        <v>13181</v>
      </c>
      <c r="O133" s="9">
        <v>12177</v>
      </c>
      <c r="P133" s="9">
        <v>21218</v>
      </c>
      <c r="Q133" s="9">
        <v>8602</v>
      </c>
      <c r="R133" s="9">
        <v>13230</v>
      </c>
      <c r="S133" s="9">
        <v>13580</v>
      </c>
      <c r="T133" s="9">
        <v>7944</v>
      </c>
      <c r="U133" s="9">
        <v>16856</v>
      </c>
      <c r="V133" s="9">
        <v>13416</v>
      </c>
      <c r="W133" s="9">
        <v>12659</v>
      </c>
      <c r="X133" s="9">
        <v>5500</v>
      </c>
      <c r="Y133" s="9">
        <v>17659</v>
      </c>
      <c r="Z133" s="9"/>
      <c r="AA133" s="9"/>
      <c r="AB133" s="9"/>
      <c r="AC133" s="2"/>
      <c r="AD133" s="2"/>
      <c r="AE133" s="2"/>
      <c r="AF133" s="2"/>
      <c r="AG133" s="2"/>
      <c r="AH133" s="2"/>
      <c r="AI133" s="2"/>
      <c r="AJ133" s="2"/>
    </row>
    <row r="134" spans="1:46" x14ac:dyDescent="0.55000000000000004">
      <c r="A134" s="11" t="s">
        <v>138</v>
      </c>
      <c r="B134" s="9"/>
      <c r="C134" s="9"/>
      <c r="D134" s="9"/>
      <c r="E134" s="9"/>
      <c r="F134" s="9"/>
      <c r="G134" s="9"/>
      <c r="H134" s="9"/>
      <c r="I134" s="9"/>
      <c r="J134" s="9"/>
      <c r="K134" s="37"/>
      <c r="L134" s="37"/>
      <c r="M134" s="9"/>
      <c r="N134" s="9">
        <v>9780</v>
      </c>
      <c r="O134" s="9">
        <v>8941</v>
      </c>
      <c r="P134" s="9">
        <v>17474</v>
      </c>
      <c r="Q134" s="9">
        <v>6497</v>
      </c>
      <c r="R134" s="9">
        <v>10676</v>
      </c>
      <c r="S134" s="9">
        <v>10695</v>
      </c>
      <c r="T134" s="9">
        <v>5839</v>
      </c>
      <c r="U134" s="9">
        <v>12101</v>
      </c>
      <c r="V134" s="9">
        <v>8782</v>
      </c>
      <c r="W134" s="9">
        <v>8819</v>
      </c>
      <c r="X134" s="9">
        <v>2957</v>
      </c>
      <c r="Y134" s="9">
        <v>14447</v>
      </c>
      <c r="Z134" s="9"/>
      <c r="AA134" s="9"/>
      <c r="AB134" s="9"/>
      <c r="AC134" s="2"/>
      <c r="AD134" s="2"/>
      <c r="AE134" s="2"/>
      <c r="AF134" s="2"/>
      <c r="AG134" s="2"/>
      <c r="AH134" s="2"/>
      <c r="AI134" s="2"/>
      <c r="AJ134" s="2"/>
    </row>
    <row r="135" spans="1:46" x14ac:dyDescent="0.55000000000000004">
      <c r="A135" s="18" t="s">
        <v>139</v>
      </c>
      <c r="B135" s="17">
        <v>2945338</v>
      </c>
      <c r="C135" s="17">
        <v>134529</v>
      </c>
      <c r="D135" s="17">
        <v>83286</v>
      </c>
      <c r="E135" s="17">
        <v>251382</v>
      </c>
      <c r="F135" s="17">
        <v>10838</v>
      </c>
      <c r="G135" s="17">
        <v>7495</v>
      </c>
      <c r="H135" s="17">
        <v>2849416</v>
      </c>
      <c r="I135" s="17">
        <v>130294</v>
      </c>
      <c r="J135" s="17">
        <v>82146</v>
      </c>
      <c r="K135" s="36">
        <v>45.7</v>
      </c>
      <c r="L135" s="36">
        <v>28.3</v>
      </c>
      <c r="M135" s="9"/>
      <c r="N135" s="17">
        <v>235578</v>
      </c>
      <c r="O135" s="17">
        <v>173543</v>
      </c>
      <c r="P135" s="17">
        <v>237609</v>
      </c>
      <c r="Q135" s="17">
        <v>152409</v>
      </c>
      <c r="R135" s="17">
        <v>252169</v>
      </c>
      <c r="S135" s="17">
        <v>205882</v>
      </c>
      <c r="T135" s="17">
        <v>247023</v>
      </c>
      <c r="U135" s="17">
        <v>153935</v>
      </c>
      <c r="V135" s="17">
        <v>136829</v>
      </c>
      <c r="W135" s="17">
        <v>166732</v>
      </c>
      <c r="X135" s="17">
        <v>204261</v>
      </c>
      <c r="Y135" s="17">
        <v>173325</v>
      </c>
      <c r="Z135" s="17">
        <v>218679</v>
      </c>
      <c r="AA135" s="17">
        <v>212588</v>
      </c>
      <c r="AB135" s="17">
        <v>175776</v>
      </c>
      <c r="AC135" s="2"/>
      <c r="AD135" s="12">
        <f>SUM(N135:AB135)</f>
        <v>2946338</v>
      </c>
      <c r="AE135" s="12">
        <f>SUM(N136:AB136)</f>
        <v>134539</v>
      </c>
      <c r="AF135" s="12">
        <f>SUM(N137:AB137)</f>
        <v>83386</v>
      </c>
      <c r="AG135" s="2"/>
      <c r="AH135" s="12">
        <f>AD135-B135</f>
        <v>1000</v>
      </c>
      <c r="AI135" s="12">
        <f>AE135-C135</f>
        <v>10</v>
      </c>
      <c r="AJ135" s="12">
        <f>AF135-D135</f>
        <v>100</v>
      </c>
      <c r="AL135" s="47">
        <f>C135/B135*1000</f>
        <v>45.675233199042012</v>
      </c>
      <c r="AM135" s="47">
        <f>D135/B135*1000</f>
        <v>28.277229981754218</v>
      </c>
      <c r="AO135" s="47">
        <f>AL135-K135</f>
        <v>-2.4766800957991109E-2</v>
      </c>
      <c r="AP135" s="47">
        <f>AM135-L135</f>
        <v>-2.2770018245783064E-2</v>
      </c>
      <c r="AR135" s="12">
        <f t="shared" ref="AR135" si="126">H135</f>
        <v>2849416</v>
      </c>
      <c r="AS135" s="12">
        <f t="shared" ref="AS135" si="127">I135</f>
        <v>130294</v>
      </c>
      <c r="AT135" s="12">
        <f t="shared" ref="AT135" si="128">J135</f>
        <v>82146</v>
      </c>
    </row>
    <row r="136" spans="1:46" x14ac:dyDescent="0.55000000000000004">
      <c r="A136" s="11" t="s">
        <v>140</v>
      </c>
      <c r="B136" s="9"/>
      <c r="C136" s="9"/>
      <c r="D136" s="9"/>
      <c r="E136" s="9"/>
      <c r="F136" s="9"/>
      <c r="G136" s="9"/>
      <c r="H136" s="9"/>
      <c r="I136" s="9"/>
      <c r="J136" s="9"/>
      <c r="K136" s="37"/>
      <c r="L136" s="37"/>
      <c r="M136" s="9"/>
      <c r="N136" s="9">
        <v>10540</v>
      </c>
      <c r="O136" s="9">
        <v>7666</v>
      </c>
      <c r="P136" s="9">
        <v>11594</v>
      </c>
      <c r="Q136" s="9">
        <v>6859</v>
      </c>
      <c r="R136" s="9">
        <v>9769</v>
      </c>
      <c r="S136" s="9">
        <v>11029</v>
      </c>
      <c r="T136" s="9">
        <v>10491</v>
      </c>
      <c r="U136" s="9">
        <v>7582</v>
      </c>
      <c r="V136" s="9">
        <v>6973</v>
      </c>
      <c r="W136" s="9">
        <v>7592</v>
      </c>
      <c r="X136" s="9">
        <v>9445</v>
      </c>
      <c r="Y136" s="9">
        <v>8250</v>
      </c>
      <c r="Z136" s="9">
        <v>9249</v>
      </c>
      <c r="AA136" s="9">
        <v>8549</v>
      </c>
      <c r="AB136" s="9">
        <v>8951</v>
      </c>
      <c r="AC136" s="2"/>
      <c r="AD136" s="2"/>
      <c r="AE136" s="2"/>
      <c r="AF136" s="2"/>
      <c r="AG136" s="2"/>
      <c r="AH136" s="2"/>
      <c r="AI136" s="2"/>
      <c r="AJ136" s="2"/>
    </row>
    <row r="137" spans="1:46" x14ac:dyDescent="0.55000000000000004">
      <c r="A137" s="11" t="s">
        <v>141</v>
      </c>
      <c r="B137" s="9"/>
      <c r="C137" s="9"/>
      <c r="D137" s="9"/>
      <c r="E137" s="9"/>
      <c r="F137" s="9"/>
      <c r="G137" s="9"/>
      <c r="H137" s="9"/>
      <c r="I137" s="9"/>
      <c r="J137" s="9"/>
      <c r="K137" s="37"/>
      <c r="L137" s="37"/>
      <c r="M137" s="9"/>
      <c r="N137" s="9">
        <v>7157</v>
      </c>
      <c r="O137" s="9">
        <v>4747</v>
      </c>
      <c r="P137" s="9">
        <v>6768</v>
      </c>
      <c r="Q137" s="9">
        <v>3848</v>
      </c>
      <c r="R137" s="9">
        <v>5771</v>
      </c>
      <c r="S137" s="9">
        <v>8726</v>
      </c>
      <c r="T137" s="9">
        <v>6242</v>
      </c>
      <c r="U137" s="9">
        <v>4264</v>
      </c>
      <c r="V137" s="9">
        <v>4619</v>
      </c>
      <c r="W137" s="9">
        <v>4496</v>
      </c>
      <c r="X137" s="9">
        <v>5695</v>
      </c>
      <c r="Y137" s="9">
        <v>4952</v>
      </c>
      <c r="Z137" s="9">
        <v>6411</v>
      </c>
      <c r="AA137" s="9">
        <v>4947</v>
      </c>
      <c r="AB137" s="9">
        <v>4743</v>
      </c>
      <c r="AC137" s="2"/>
      <c r="AD137" s="2"/>
      <c r="AE137" s="2"/>
      <c r="AF137" s="2"/>
      <c r="AG137" s="2"/>
      <c r="AH137" s="2"/>
      <c r="AI137" s="2"/>
      <c r="AJ137" s="2"/>
    </row>
    <row r="138" spans="1:46" x14ac:dyDescent="0.55000000000000004">
      <c r="A138" s="18" t="s">
        <v>142</v>
      </c>
      <c r="B138" s="17">
        <v>1034125</v>
      </c>
      <c r="C138" s="17">
        <v>52632</v>
      </c>
      <c r="D138" s="17">
        <v>29690</v>
      </c>
      <c r="E138" s="17" t="s">
        <v>14</v>
      </c>
      <c r="F138" s="17" t="s">
        <v>14</v>
      </c>
      <c r="G138" s="17" t="s">
        <v>14</v>
      </c>
      <c r="H138" s="17">
        <v>999043</v>
      </c>
      <c r="I138" s="17">
        <v>49159</v>
      </c>
      <c r="J138" s="17">
        <v>34066</v>
      </c>
      <c r="K138" s="36">
        <v>50.9</v>
      </c>
      <c r="L138" s="36">
        <v>28.7</v>
      </c>
      <c r="M138" s="9"/>
      <c r="N138" s="17">
        <v>217969</v>
      </c>
      <c r="O138" s="17">
        <v>111378</v>
      </c>
      <c r="P138" s="17">
        <v>103357</v>
      </c>
      <c r="Q138" s="17">
        <v>126975</v>
      </c>
      <c r="R138" s="17">
        <v>158319</v>
      </c>
      <c r="S138" s="17">
        <v>165560</v>
      </c>
      <c r="T138" s="17">
        <v>76480</v>
      </c>
      <c r="U138" s="17">
        <v>74099</v>
      </c>
      <c r="V138" s="17"/>
      <c r="W138" s="17"/>
      <c r="X138" s="17"/>
      <c r="Y138" s="17"/>
      <c r="Z138" s="17"/>
      <c r="AA138" s="17"/>
      <c r="AB138" s="17"/>
      <c r="AC138" s="2"/>
      <c r="AD138" s="12">
        <f>SUM(N138:AB138)</f>
        <v>1034137</v>
      </c>
      <c r="AE138" s="12">
        <f>SUM(N139:AB139)</f>
        <v>52632</v>
      </c>
      <c r="AF138" s="12">
        <f>SUM(N140:AB140)</f>
        <v>29690</v>
      </c>
      <c r="AG138" s="2"/>
      <c r="AH138" s="12">
        <f>AD138-B138</f>
        <v>12</v>
      </c>
      <c r="AI138" s="12">
        <f>AE138-C138</f>
        <v>0</v>
      </c>
      <c r="AJ138" s="12">
        <f>AF138-D138</f>
        <v>0</v>
      </c>
      <c r="AL138" s="47">
        <f>C138/B138*1000</f>
        <v>50.895201257101419</v>
      </c>
      <c r="AM138" s="47">
        <f>D138/B138*1000</f>
        <v>28.710262299045088</v>
      </c>
      <c r="AO138" s="47">
        <f>AL138-K138</f>
        <v>-4.798742898579178E-3</v>
      </c>
      <c r="AP138" s="47">
        <f>AM138-L138</f>
        <v>1.0262299045088241E-2</v>
      </c>
      <c r="AR138" s="12">
        <f t="shared" ref="AR138" si="129">H138</f>
        <v>999043</v>
      </c>
      <c r="AS138" s="12">
        <f t="shared" ref="AS138" si="130">I138</f>
        <v>49159</v>
      </c>
      <c r="AT138" s="12">
        <f t="shared" ref="AT138" si="131">J138</f>
        <v>34066</v>
      </c>
    </row>
    <row r="139" spans="1:46" x14ac:dyDescent="0.55000000000000004">
      <c r="A139" s="11" t="s">
        <v>143</v>
      </c>
      <c r="B139" s="9"/>
      <c r="C139" s="9"/>
      <c r="D139" s="9"/>
      <c r="E139" s="9"/>
      <c r="F139" s="9"/>
      <c r="G139" s="9"/>
      <c r="H139" s="9"/>
      <c r="I139" s="9"/>
      <c r="J139" s="9"/>
      <c r="K139" s="37"/>
      <c r="L139" s="37"/>
      <c r="M139" s="9"/>
      <c r="N139" s="9">
        <v>9919</v>
      </c>
      <c r="O139" s="9">
        <v>6379</v>
      </c>
      <c r="P139" s="9">
        <v>5434</v>
      </c>
      <c r="Q139" s="9">
        <v>6350</v>
      </c>
      <c r="R139" s="9">
        <v>7761</v>
      </c>
      <c r="S139" s="9">
        <v>7741</v>
      </c>
      <c r="T139" s="9">
        <v>4767</v>
      </c>
      <c r="U139" s="9">
        <v>4281</v>
      </c>
      <c r="V139" s="9"/>
      <c r="W139" s="9"/>
      <c r="X139" s="9"/>
      <c r="Y139" s="9"/>
      <c r="Z139" s="9"/>
      <c r="AA139" s="9"/>
      <c r="AB139" s="9"/>
      <c r="AC139" s="2"/>
      <c r="AD139" s="2"/>
      <c r="AE139" s="2"/>
      <c r="AF139" s="2"/>
      <c r="AG139" s="2"/>
      <c r="AH139" s="2"/>
      <c r="AI139" s="2"/>
      <c r="AJ139" s="2"/>
    </row>
    <row r="140" spans="1:46" x14ac:dyDescent="0.55000000000000004">
      <c r="A140" s="11" t="s">
        <v>144</v>
      </c>
      <c r="B140" s="9"/>
      <c r="C140" s="9"/>
      <c r="D140" s="9"/>
      <c r="E140" s="9"/>
      <c r="F140" s="9"/>
      <c r="G140" s="9"/>
      <c r="H140" s="9"/>
      <c r="I140" s="9"/>
      <c r="J140" s="9"/>
      <c r="K140" s="37"/>
      <c r="L140" s="37"/>
      <c r="M140" s="9"/>
      <c r="N140" s="9">
        <v>6221</v>
      </c>
      <c r="O140" s="9">
        <v>3678</v>
      </c>
      <c r="P140" s="9">
        <v>2706</v>
      </c>
      <c r="Q140" s="9">
        <v>3357</v>
      </c>
      <c r="R140" s="9">
        <v>4110</v>
      </c>
      <c r="S140" s="9">
        <v>4369</v>
      </c>
      <c r="T140" s="9">
        <v>2801</v>
      </c>
      <c r="U140" s="9">
        <v>2448</v>
      </c>
      <c r="V140" s="9"/>
      <c r="W140" s="9"/>
      <c r="X140" s="9"/>
      <c r="Y140" s="9"/>
      <c r="Z140" s="9"/>
      <c r="AA140" s="9"/>
      <c r="AB140" s="9"/>
      <c r="AC140" s="2"/>
      <c r="AD140" s="2"/>
      <c r="AE140" s="2"/>
      <c r="AF140" s="2"/>
      <c r="AG140" s="2"/>
      <c r="AH140" s="2"/>
      <c r="AI140" s="2"/>
      <c r="AJ140" s="2"/>
    </row>
    <row r="141" spans="1:46" x14ac:dyDescent="0.55000000000000004">
      <c r="A141" s="18" t="s">
        <v>145</v>
      </c>
      <c r="B141" s="17">
        <v>1954920</v>
      </c>
      <c r="C141" s="17">
        <v>92266</v>
      </c>
      <c r="D141" s="17">
        <v>66132</v>
      </c>
      <c r="E141" s="17">
        <v>96679</v>
      </c>
      <c r="F141" s="17">
        <v>5454</v>
      </c>
      <c r="G141" s="17">
        <v>4914</v>
      </c>
      <c r="H141" s="17">
        <v>1888401</v>
      </c>
      <c r="I141" s="17">
        <v>92410</v>
      </c>
      <c r="J141" s="17">
        <v>62602</v>
      </c>
      <c r="K141" s="36">
        <v>47.2</v>
      </c>
      <c r="L141" s="36">
        <v>33.799999999999997</v>
      </c>
      <c r="M141" s="9"/>
      <c r="N141" s="17">
        <v>221060</v>
      </c>
      <c r="O141" s="17">
        <v>122077</v>
      </c>
      <c r="P141" s="17">
        <v>150607</v>
      </c>
      <c r="Q141" s="17">
        <v>138252</v>
      </c>
      <c r="R141" s="17">
        <v>188278</v>
      </c>
      <c r="S141" s="17">
        <v>167777</v>
      </c>
      <c r="T141" s="17">
        <v>125253</v>
      </c>
      <c r="U141" s="17">
        <v>159884</v>
      </c>
      <c r="V141" s="17">
        <v>147938</v>
      </c>
      <c r="W141" s="17">
        <v>173487</v>
      </c>
      <c r="X141" s="17">
        <v>187113</v>
      </c>
      <c r="Y141" s="17">
        <v>168976</v>
      </c>
      <c r="Z141" s="17"/>
      <c r="AA141" s="17"/>
      <c r="AB141" s="17"/>
      <c r="AC141" s="2"/>
      <c r="AD141" s="12">
        <f>SUM(N141:AB141)</f>
        <v>1950702</v>
      </c>
      <c r="AE141" s="12">
        <f>SUM(N142:AB142)</f>
        <v>87635</v>
      </c>
      <c r="AF141" s="12">
        <f>SUM(N143:AB143)</f>
        <v>70719</v>
      </c>
      <c r="AG141" s="2"/>
      <c r="AH141" s="12">
        <f>AD141-B141</f>
        <v>-4218</v>
      </c>
      <c r="AI141" s="12">
        <f>AE141-C141</f>
        <v>-4631</v>
      </c>
      <c r="AJ141" s="12">
        <f>AF141-D141</f>
        <v>4587</v>
      </c>
      <c r="AL141" s="47">
        <f>C141/B141*1000</f>
        <v>47.196816238004622</v>
      </c>
      <c r="AM141" s="47">
        <f>D141/B141*1000</f>
        <v>33.828494260634706</v>
      </c>
      <c r="AO141" s="47">
        <f>AL141-K141</f>
        <v>-3.1837619953805074E-3</v>
      </c>
      <c r="AP141" s="47">
        <f>AM141-L141</f>
        <v>2.8494260634708724E-2</v>
      </c>
      <c r="AR141" s="12">
        <f t="shared" ref="AR141" si="132">H141</f>
        <v>1888401</v>
      </c>
      <c r="AS141" s="12">
        <f t="shared" ref="AS141" si="133">I141</f>
        <v>92410</v>
      </c>
      <c r="AT141" s="12">
        <f t="shared" ref="AT141" si="134">J141</f>
        <v>62602</v>
      </c>
    </row>
    <row r="142" spans="1:46" x14ac:dyDescent="0.55000000000000004">
      <c r="A142" s="11" t="s">
        <v>146</v>
      </c>
      <c r="B142" s="9"/>
      <c r="C142" s="9"/>
      <c r="D142" s="9"/>
      <c r="E142" s="9"/>
      <c r="F142" s="9"/>
      <c r="G142" s="9"/>
      <c r="H142" s="9"/>
      <c r="I142" s="9"/>
      <c r="J142" s="9"/>
      <c r="K142" s="37"/>
      <c r="L142" s="37"/>
      <c r="M142" s="9"/>
      <c r="N142" s="9">
        <v>10336</v>
      </c>
      <c r="O142" s="9">
        <v>5385</v>
      </c>
      <c r="P142" s="9">
        <v>8056</v>
      </c>
      <c r="Q142" s="9">
        <v>5764</v>
      </c>
      <c r="R142" s="9">
        <v>8455</v>
      </c>
      <c r="S142" s="9">
        <v>7897</v>
      </c>
      <c r="T142" s="9">
        <v>5453</v>
      </c>
      <c r="U142" s="9">
        <v>8872</v>
      </c>
      <c r="V142" s="9">
        <v>7646</v>
      </c>
      <c r="W142" s="9">
        <v>8193</v>
      </c>
      <c r="X142" s="9">
        <v>9054</v>
      </c>
      <c r="Y142" s="9">
        <v>2524</v>
      </c>
      <c r="Z142" s="9"/>
      <c r="AA142" s="9"/>
      <c r="AB142" s="9"/>
      <c r="AC142" s="2"/>
      <c r="AD142" s="2"/>
      <c r="AE142" s="2"/>
      <c r="AF142" s="2"/>
      <c r="AG142" s="2"/>
      <c r="AH142" s="2"/>
      <c r="AI142" s="2"/>
      <c r="AJ142" s="2"/>
    </row>
    <row r="143" spans="1:46" x14ac:dyDescent="0.55000000000000004">
      <c r="A143" s="11" t="s">
        <v>147</v>
      </c>
      <c r="B143" s="9"/>
      <c r="C143" s="9"/>
      <c r="D143" s="9"/>
      <c r="E143" s="9"/>
      <c r="F143" s="9"/>
      <c r="G143" s="9"/>
      <c r="H143" s="9"/>
      <c r="I143" s="9"/>
      <c r="J143" s="9"/>
      <c r="K143" s="37"/>
      <c r="L143" s="37"/>
      <c r="M143" s="9"/>
      <c r="N143" s="9">
        <v>7367</v>
      </c>
      <c r="O143" s="9">
        <v>4912</v>
      </c>
      <c r="P143" s="9">
        <v>5306</v>
      </c>
      <c r="Q143" s="9">
        <v>4060</v>
      </c>
      <c r="R143" s="9">
        <v>6011</v>
      </c>
      <c r="S143" s="9">
        <v>6533</v>
      </c>
      <c r="T143" s="9">
        <v>4269</v>
      </c>
      <c r="U143" s="9">
        <v>7522</v>
      </c>
      <c r="V143" s="9">
        <v>7389</v>
      </c>
      <c r="W143" s="9">
        <v>7099</v>
      </c>
      <c r="X143" s="9">
        <v>8565</v>
      </c>
      <c r="Y143" s="9">
        <v>1686</v>
      </c>
      <c r="Z143" s="9"/>
      <c r="AA143" s="9"/>
      <c r="AB143" s="9"/>
      <c r="AC143" s="2"/>
      <c r="AD143" s="2"/>
      <c r="AE143" s="2"/>
      <c r="AF143" s="2"/>
      <c r="AG143" s="2"/>
      <c r="AH143" s="2"/>
      <c r="AI143" s="2"/>
      <c r="AJ143" s="2"/>
    </row>
    <row r="144" spans="1:46" x14ac:dyDescent="0.55000000000000004">
      <c r="A144" s="18" t="s">
        <v>148</v>
      </c>
      <c r="B144" s="17">
        <v>2700494</v>
      </c>
      <c r="C144" s="17">
        <v>149458</v>
      </c>
      <c r="D144" s="17">
        <v>106837</v>
      </c>
      <c r="E144" s="17">
        <v>172679</v>
      </c>
      <c r="F144" s="17">
        <v>7800</v>
      </c>
      <c r="G144" s="17">
        <v>7114</v>
      </c>
      <c r="H144" s="17">
        <v>2590156</v>
      </c>
      <c r="I144" s="17">
        <v>150713</v>
      </c>
      <c r="J144" s="17">
        <v>102581</v>
      </c>
      <c r="K144" s="36">
        <v>55.4</v>
      </c>
      <c r="L144" s="36">
        <v>39.5</v>
      </c>
      <c r="M144" s="9"/>
      <c r="N144" s="17">
        <v>351951</v>
      </c>
      <c r="O144" s="17">
        <v>295652</v>
      </c>
      <c r="P144" s="17">
        <v>392358</v>
      </c>
      <c r="Q144" s="17">
        <v>456837</v>
      </c>
      <c r="R144" s="17">
        <v>516262</v>
      </c>
      <c r="S144" s="17">
        <v>406350</v>
      </c>
      <c r="T144" s="17">
        <v>281084</v>
      </c>
      <c r="U144" s="17"/>
      <c r="V144" s="17"/>
      <c r="W144" s="17"/>
      <c r="X144" s="17"/>
      <c r="Y144" s="17"/>
      <c r="Z144" s="17"/>
      <c r="AA144" s="17"/>
      <c r="AB144" s="17"/>
      <c r="AC144" s="2"/>
      <c r="AD144" s="12">
        <f>SUM(N144:AB144)</f>
        <v>2700494</v>
      </c>
      <c r="AE144" s="12">
        <f>SUM(N145:AB145)</f>
        <v>149458</v>
      </c>
      <c r="AF144" s="12">
        <f>SUM(N146:AB146)</f>
        <v>106838</v>
      </c>
      <c r="AG144" s="2"/>
      <c r="AH144" s="12">
        <f>AD144-B144</f>
        <v>0</v>
      </c>
      <c r="AI144" s="12">
        <f>AE144-C144</f>
        <v>0</v>
      </c>
      <c r="AJ144" s="12">
        <f>AF144-D144</f>
        <v>1</v>
      </c>
      <c r="AL144" s="47">
        <f>C144/B144*1000</f>
        <v>55.34468878657016</v>
      </c>
      <c r="AM144" s="47">
        <f>D144/B144*1000</f>
        <v>39.562020874699222</v>
      </c>
      <c r="AO144" s="47">
        <f>AL144-K144</f>
        <v>-5.5311213429838801E-2</v>
      </c>
      <c r="AP144" s="47">
        <f>AM144-L144</f>
        <v>6.2020874699221906E-2</v>
      </c>
      <c r="AR144" s="12">
        <f t="shared" ref="AR144" si="135">H144</f>
        <v>2590156</v>
      </c>
      <c r="AS144" s="12">
        <f t="shared" ref="AS144" si="136">I144</f>
        <v>150713</v>
      </c>
      <c r="AT144" s="12">
        <f t="shared" ref="AT144" si="137">J144</f>
        <v>102581</v>
      </c>
    </row>
    <row r="145" spans="1:46" x14ac:dyDescent="0.55000000000000004">
      <c r="A145" s="11" t="s">
        <v>149</v>
      </c>
      <c r="B145" s="9"/>
      <c r="C145" s="9"/>
      <c r="D145" s="9"/>
      <c r="E145" s="9"/>
      <c r="F145" s="9"/>
      <c r="G145" s="9"/>
      <c r="H145" s="9"/>
      <c r="I145" s="9"/>
      <c r="J145" s="9"/>
      <c r="K145" s="37"/>
      <c r="L145" s="37"/>
      <c r="M145" s="9"/>
      <c r="N145" s="9">
        <v>18674</v>
      </c>
      <c r="O145" s="9">
        <v>14741</v>
      </c>
      <c r="P145" s="9">
        <v>22351</v>
      </c>
      <c r="Q145" s="9">
        <v>28867</v>
      </c>
      <c r="R145" s="9">
        <v>28374</v>
      </c>
      <c r="S145" s="9">
        <v>20014</v>
      </c>
      <c r="T145" s="9">
        <v>16437</v>
      </c>
      <c r="U145" s="9"/>
      <c r="V145" s="9"/>
      <c r="W145" s="9"/>
      <c r="X145" s="9"/>
      <c r="Y145" s="9"/>
      <c r="Z145" s="9"/>
      <c r="AA145" s="9"/>
      <c r="AB145" s="9"/>
      <c r="AC145" s="2"/>
      <c r="AD145" s="2"/>
      <c r="AE145" s="2"/>
      <c r="AF145" s="2"/>
      <c r="AG145" s="2"/>
      <c r="AH145" s="2"/>
      <c r="AI145" s="2"/>
      <c r="AJ145" s="2"/>
    </row>
    <row r="146" spans="1:46" x14ac:dyDescent="0.55000000000000004">
      <c r="A146" s="11" t="s">
        <v>150</v>
      </c>
      <c r="B146" s="9"/>
      <c r="C146" s="9"/>
      <c r="D146" s="9"/>
      <c r="E146" s="9"/>
      <c r="F146" s="9"/>
      <c r="G146" s="9"/>
      <c r="H146" s="9"/>
      <c r="I146" s="9"/>
      <c r="J146" s="9"/>
      <c r="K146" s="37"/>
      <c r="L146" s="37"/>
      <c r="M146" s="9"/>
      <c r="N146" s="9">
        <v>14073</v>
      </c>
      <c r="O146" s="9">
        <v>10056</v>
      </c>
      <c r="P146" s="9">
        <v>13243</v>
      </c>
      <c r="Q146" s="9">
        <v>20449</v>
      </c>
      <c r="R146" s="9">
        <v>20148</v>
      </c>
      <c r="S146" s="9">
        <v>16551</v>
      </c>
      <c r="T146" s="9">
        <v>12318</v>
      </c>
      <c r="U146" s="9"/>
      <c r="V146" s="9"/>
      <c r="W146" s="9"/>
      <c r="X146" s="9"/>
      <c r="Y146" s="9"/>
      <c r="Z146" s="9"/>
      <c r="AA146" s="9"/>
      <c r="AB146" s="9"/>
      <c r="AC146" s="2"/>
      <c r="AD146" s="2"/>
      <c r="AE146" s="2"/>
      <c r="AF146" s="2"/>
      <c r="AG146" s="2"/>
      <c r="AH146" s="2"/>
      <c r="AI146" s="2"/>
      <c r="AJ146" s="2"/>
    </row>
    <row r="147" spans="1:46" x14ac:dyDescent="0.55000000000000004">
      <c r="A147" s="20" t="s">
        <v>151</v>
      </c>
      <c r="B147" s="19">
        <v>839339</v>
      </c>
      <c r="C147" s="19">
        <v>31355</v>
      </c>
      <c r="D147" s="19">
        <v>27915</v>
      </c>
      <c r="E147" s="19"/>
      <c r="F147" s="19"/>
      <c r="G147" s="19"/>
      <c r="H147" s="19">
        <v>788505</v>
      </c>
      <c r="I147" s="19">
        <v>33072</v>
      </c>
      <c r="J147" s="19">
        <v>28401</v>
      </c>
      <c r="K147" s="36">
        <v>37.4</v>
      </c>
      <c r="L147" s="36">
        <v>33.299999999999997</v>
      </c>
      <c r="N147" s="19"/>
      <c r="O147" s="19"/>
      <c r="P147" s="19"/>
      <c r="Q147" s="19"/>
      <c r="R147" s="19"/>
      <c r="S147" s="19"/>
      <c r="T147" s="19"/>
      <c r="U147" s="17"/>
      <c r="V147" s="17"/>
      <c r="W147" s="17"/>
      <c r="X147" s="17"/>
      <c r="Y147" s="17"/>
      <c r="Z147" s="17"/>
      <c r="AA147" s="17"/>
      <c r="AB147" s="17"/>
      <c r="AC147" s="2"/>
      <c r="AD147" s="12">
        <f t="shared" ref="AD147:AF148" si="138">B147</f>
        <v>839339</v>
      </c>
      <c r="AE147" s="12">
        <f t="shared" si="138"/>
        <v>31355</v>
      </c>
      <c r="AF147" s="12">
        <f t="shared" si="138"/>
        <v>27915</v>
      </c>
      <c r="AG147" s="2"/>
      <c r="AH147" s="12"/>
      <c r="AI147" s="12"/>
      <c r="AJ147" s="12"/>
      <c r="AL147" s="47">
        <f>C147/B147*1000</f>
        <v>37.356777178231916</v>
      </c>
      <c r="AM147" s="47">
        <f>D147/B147*1000</f>
        <v>33.258313982788835</v>
      </c>
      <c r="AO147" s="47">
        <f t="shared" ref="AO147:AP149" si="139">AL147-K147</f>
        <v>-4.3222821768083008E-2</v>
      </c>
      <c r="AP147" s="47">
        <f t="shared" si="139"/>
        <v>-4.1686017211162607E-2</v>
      </c>
      <c r="AR147" s="12">
        <f t="shared" ref="AR147:AR149" si="140">H147</f>
        <v>788505</v>
      </c>
      <c r="AS147" s="12">
        <f t="shared" ref="AS147:AS149" si="141">I147</f>
        <v>33072</v>
      </c>
      <c r="AT147" s="12">
        <f t="shared" ref="AT147:AT149" si="142">J147</f>
        <v>28401</v>
      </c>
    </row>
    <row r="148" spans="1:46" x14ac:dyDescent="0.55000000000000004">
      <c r="A148" s="20" t="s">
        <v>152</v>
      </c>
      <c r="B148" s="19">
        <v>1035439</v>
      </c>
      <c r="C148" s="19">
        <v>31223</v>
      </c>
      <c r="D148" s="19">
        <v>27592</v>
      </c>
      <c r="E148" s="19"/>
      <c r="F148" s="19"/>
      <c r="G148" s="19"/>
      <c r="H148" s="19">
        <v>942007</v>
      </c>
      <c r="I148" s="19">
        <v>28762</v>
      </c>
      <c r="J148" s="19">
        <v>26234</v>
      </c>
      <c r="K148" s="36">
        <v>30.2</v>
      </c>
      <c r="L148" s="36">
        <v>26.6</v>
      </c>
      <c r="N148" s="19"/>
      <c r="O148" s="19"/>
      <c r="P148" s="19"/>
      <c r="Q148" s="19"/>
      <c r="R148" s="19"/>
      <c r="S148" s="19"/>
      <c r="T148" s="19"/>
      <c r="U148" s="17"/>
      <c r="V148" s="17"/>
      <c r="W148" s="17"/>
      <c r="X148" s="17"/>
      <c r="Y148" s="17"/>
      <c r="Z148" s="17"/>
      <c r="AA148" s="17"/>
      <c r="AB148" s="17"/>
      <c r="AC148" s="2"/>
      <c r="AD148" s="12">
        <f t="shared" si="138"/>
        <v>1035439</v>
      </c>
      <c r="AE148" s="12">
        <f t="shared" si="138"/>
        <v>31223</v>
      </c>
      <c r="AF148" s="12">
        <f t="shared" si="138"/>
        <v>27592</v>
      </c>
      <c r="AG148" s="2"/>
      <c r="AH148" s="12"/>
      <c r="AI148" s="12"/>
      <c r="AJ148" s="12"/>
      <c r="AL148" s="47">
        <f>C148/B148*1000</f>
        <v>30.154359648419657</v>
      </c>
      <c r="AM148" s="47">
        <f>D148/B148*1000</f>
        <v>26.647634481606353</v>
      </c>
      <c r="AO148" s="47">
        <f t="shared" si="139"/>
        <v>-4.5640351580342298E-2</v>
      </c>
      <c r="AP148" s="47">
        <f t="shared" si="139"/>
        <v>4.7634481606351642E-2</v>
      </c>
      <c r="AR148" s="12">
        <f t="shared" si="140"/>
        <v>942007</v>
      </c>
      <c r="AS148" s="12">
        <f t="shared" si="141"/>
        <v>28762</v>
      </c>
      <c r="AT148" s="12">
        <f t="shared" si="142"/>
        <v>26234</v>
      </c>
    </row>
    <row r="149" spans="1:46" x14ac:dyDescent="0.55000000000000004">
      <c r="A149" s="18" t="s">
        <v>153</v>
      </c>
      <c r="B149" s="17">
        <v>841317</v>
      </c>
      <c r="C149" s="17">
        <v>30156</v>
      </c>
      <c r="D149" s="17">
        <v>23152</v>
      </c>
      <c r="E149" s="17" t="s">
        <v>14</v>
      </c>
      <c r="F149" s="17" t="s">
        <v>14</v>
      </c>
      <c r="G149" s="17" t="s">
        <v>14</v>
      </c>
      <c r="H149" s="17">
        <v>826659</v>
      </c>
      <c r="I149" s="17">
        <v>30781</v>
      </c>
      <c r="J149" s="17">
        <v>25550</v>
      </c>
      <c r="K149" s="36">
        <v>49.4</v>
      </c>
      <c r="L149" s="36">
        <v>38</v>
      </c>
      <c r="M149" s="9"/>
      <c r="N149" s="17">
        <v>130758</v>
      </c>
      <c r="O149" s="17">
        <v>136695</v>
      </c>
      <c r="P149" s="17">
        <v>112386</v>
      </c>
      <c r="Q149" s="17">
        <v>89066</v>
      </c>
      <c r="R149" s="17">
        <v>60302</v>
      </c>
      <c r="S149" s="17">
        <v>87656</v>
      </c>
      <c r="T149" s="17">
        <v>46069</v>
      </c>
      <c r="U149" s="17">
        <v>92575</v>
      </c>
      <c r="V149" s="17"/>
      <c r="W149" s="17"/>
      <c r="X149" s="17"/>
      <c r="Y149" s="17"/>
      <c r="Z149" s="17"/>
      <c r="AA149" s="17"/>
      <c r="AB149" s="17"/>
      <c r="AC149" s="2"/>
      <c r="AD149" s="12">
        <f>SUM(N149:AB149)</f>
        <v>755507</v>
      </c>
      <c r="AE149" s="12">
        <f>SUM(N150:AB150)</f>
        <v>30146</v>
      </c>
      <c r="AF149" s="12">
        <f>SUM(N151:AB151)</f>
        <v>23152</v>
      </c>
      <c r="AG149" s="2"/>
      <c r="AH149" s="12">
        <f>AD149-B149</f>
        <v>-85810</v>
      </c>
      <c r="AI149" s="12">
        <f>AE149-C149</f>
        <v>-10</v>
      </c>
      <c r="AJ149" s="12">
        <f>AF149-D149</f>
        <v>0</v>
      </c>
      <c r="AL149" s="47">
        <f>C149/B149*1000</f>
        <v>35.84380203894608</v>
      </c>
      <c r="AM149" s="47">
        <f>D149/B149*1000</f>
        <v>27.518759278607231</v>
      </c>
      <c r="AO149" s="47">
        <f t="shared" si="139"/>
        <v>-13.556197961053918</v>
      </c>
      <c r="AP149" s="47">
        <f t="shared" si="139"/>
        <v>-10.481240721392769</v>
      </c>
      <c r="AR149" s="12">
        <f t="shared" si="140"/>
        <v>826659</v>
      </c>
      <c r="AS149" s="12">
        <f t="shared" si="141"/>
        <v>30781</v>
      </c>
      <c r="AT149" s="12">
        <f t="shared" si="142"/>
        <v>25550</v>
      </c>
    </row>
    <row r="150" spans="1:46" x14ac:dyDescent="0.55000000000000004">
      <c r="A150" s="11" t="s">
        <v>154</v>
      </c>
      <c r="B150" s="9"/>
      <c r="C150" s="9"/>
      <c r="D150" s="9"/>
      <c r="E150" s="9"/>
      <c r="F150" s="9"/>
      <c r="G150" s="9"/>
      <c r="H150" s="9"/>
      <c r="I150" s="9"/>
      <c r="J150" s="9"/>
      <c r="K150" s="37"/>
      <c r="L150" s="37"/>
      <c r="M150" s="9"/>
      <c r="N150" s="9">
        <v>4299</v>
      </c>
      <c r="O150" s="9">
        <v>5667</v>
      </c>
      <c r="P150" s="9">
        <v>4939</v>
      </c>
      <c r="Q150" s="9">
        <v>3640</v>
      </c>
      <c r="R150" s="9">
        <v>2816</v>
      </c>
      <c r="S150" s="9">
        <v>3613</v>
      </c>
      <c r="T150" s="9">
        <v>2126</v>
      </c>
      <c r="U150" s="9">
        <v>3046</v>
      </c>
      <c r="V150" s="9"/>
      <c r="W150" s="9"/>
      <c r="X150" s="9"/>
      <c r="Y150" s="9"/>
      <c r="Z150" s="9"/>
      <c r="AA150" s="9"/>
      <c r="AB150" s="9"/>
      <c r="AC150" s="2"/>
      <c r="AD150" s="2"/>
      <c r="AE150" s="2"/>
      <c r="AF150" s="2"/>
      <c r="AG150" s="2"/>
      <c r="AH150" s="2"/>
      <c r="AI150" s="2"/>
      <c r="AJ150" s="2"/>
    </row>
    <row r="151" spans="1:46" x14ac:dyDescent="0.55000000000000004">
      <c r="A151" s="11" t="s">
        <v>155</v>
      </c>
      <c r="B151" s="9"/>
      <c r="C151" s="9"/>
      <c r="D151" s="9"/>
      <c r="E151" s="9"/>
      <c r="F151" s="9"/>
      <c r="G151" s="9"/>
      <c r="H151" s="9"/>
      <c r="I151" s="9"/>
      <c r="J151" s="9"/>
      <c r="K151" s="37"/>
      <c r="L151" s="37"/>
      <c r="M151" s="9"/>
      <c r="N151" s="9">
        <v>3412</v>
      </c>
      <c r="O151" s="9">
        <v>3385</v>
      </c>
      <c r="P151" s="9">
        <v>3959</v>
      </c>
      <c r="Q151" s="9">
        <v>2753</v>
      </c>
      <c r="R151" s="9">
        <v>2261</v>
      </c>
      <c r="S151" s="9">
        <v>2823</v>
      </c>
      <c r="T151" s="9">
        <v>1879</v>
      </c>
      <c r="U151" s="9">
        <v>2680</v>
      </c>
      <c r="V151" s="9"/>
      <c r="W151" s="9"/>
      <c r="X151" s="9"/>
      <c r="Y151" s="9"/>
      <c r="Z151" s="9"/>
      <c r="AA151" s="9"/>
      <c r="AB151" s="9"/>
      <c r="AC151" s="2"/>
      <c r="AD151" s="2"/>
      <c r="AE151" s="2"/>
      <c r="AF151" s="2"/>
      <c r="AG151" s="2"/>
      <c r="AH151" s="2"/>
      <c r="AI151" s="2"/>
      <c r="AJ151" s="2"/>
    </row>
    <row r="152" spans="1:46" x14ac:dyDescent="0.55000000000000004">
      <c r="A152" s="18" t="s">
        <v>156</v>
      </c>
      <c r="B152" s="17">
        <v>2438571</v>
      </c>
      <c r="C152" s="17">
        <v>126373</v>
      </c>
      <c r="D152" s="17">
        <v>104926</v>
      </c>
      <c r="E152" s="17">
        <v>304160</v>
      </c>
      <c r="F152" s="17">
        <v>12657</v>
      </c>
      <c r="G152" s="17">
        <v>14412</v>
      </c>
      <c r="H152" s="17">
        <v>2376451</v>
      </c>
      <c r="I152" s="17">
        <v>124872</v>
      </c>
      <c r="J152" s="17">
        <v>86961</v>
      </c>
      <c r="K152" s="36">
        <v>51.8</v>
      </c>
      <c r="L152" s="36">
        <v>43</v>
      </c>
      <c r="M152" s="9"/>
      <c r="N152" s="17">
        <v>315403</v>
      </c>
      <c r="O152" s="17">
        <v>288153</v>
      </c>
      <c r="P152" s="17">
        <v>290326</v>
      </c>
      <c r="Q152" s="17">
        <v>202760</v>
      </c>
      <c r="R152" s="17">
        <v>350156</v>
      </c>
      <c r="S152" s="17">
        <v>197615</v>
      </c>
      <c r="T152" s="17">
        <v>222870</v>
      </c>
      <c r="U152" s="17">
        <v>217588</v>
      </c>
      <c r="V152" s="17">
        <v>214957</v>
      </c>
      <c r="W152" s="17">
        <v>123557</v>
      </c>
      <c r="X152" s="17"/>
      <c r="Y152" s="17"/>
      <c r="Z152" s="17"/>
      <c r="AA152" s="17"/>
      <c r="AB152" s="17"/>
      <c r="AC152" s="2"/>
      <c r="AD152" s="12">
        <f>SUM(N152:AB152)</f>
        <v>2423385</v>
      </c>
      <c r="AE152" s="12">
        <f>SUM(N153:AB153)</f>
        <v>125671</v>
      </c>
      <c r="AF152" s="12">
        <f>SUM(N154:AB154)</f>
        <v>91273</v>
      </c>
      <c r="AG152" s="2"/>
      <c r="AH152" s="12">
        <f>AD152-B152</f>
        <v>-15186</v>
      </c>
      <c r="AI152" s="12">
        <f>AE152-C152</f>
        <v>-702</v>
      </c>
      <c r="AJ152" s="12">
        <f>AF152-D152</f>
        <v>-13653</v>
      </c>
      <c r="AL152" s="47">
        <f>C152/B152*1000</f>
        <v>51.822563296291143</v>
      </c>
      <c r="AM152" s="47">
        <f>D152/B152*1000</f>
        <v>43.027658411422102</v>
      </c>
      <c r="AO152" s="47">
        <f>AL152-K152</f>
        <v>2.2563296291146173E-2</v>
      </c>
      <c r="AP152" s="47">
        <f>AM152-L152</f>
        <v>2.7658411422102347E-2</v>
      </c>
      <c r="AR152" s="12">
        <f t="shared" ref="AR152" si="143">H152</f>
        <v>2376451</v>
      </c>
      <c r="AS152" s="12">
        <f t="shared" ref="AS152" si="144">I152</f>
        <v>124872</v>
      </c>
      <c r="AT152" s="12">
        <f t="shared" ref="AT152" si="145">J152</f>
        <v>86961</v>
      </c>
    </row>
    <row r="153" spans="1:46" x14ac:dyDescent="0.55000000000000004">
      <c r="A153" s="11" t="s">
        <v>157</v>
      </c>
      <c r="B153" s="9"/>
      <c r="C153" s="9"/>
      <c r="D153" s="9"/>
      <c r="E153" s="9"/>
      <c r="F153" s="9"/>
      <c r="G153" s="9"/>
      <c r="H153" s="9"/>
      <c r="I153" s="9"/>
      <c r="J153" s="9"/>
      <c r="K153" s="37"/>
      <c r="L153" s="37"/>
      <c r="M153" s="9"/>
      <c r="N153" s="9">
        <v>15822</v>
      </c>
      <c r="O153" s="9">
        <v>16356</v>
      </c>
      <c r="P153" s="9">
        <v>16382</v>
      </c>
      <c r="Q153" s="9">
        <v>9519</v>
      </c>
      <c r="R153" s="9">
        <v>16751</v>
      </c>
      <c r="S153" s="9">
        <v>9064</v>
      </c>
      <c r="T153" s="9">
        <v>12316</v>
      </c>
      <c r="U153" s="9">
        <v>12969</v>
      </c>
      <c r="V153" s="9">
        <v>9261</v>
      </c>
      <c r="W153" s="9">
        <v>7231</v>
      </c>
      <c r="X153" s="9"/>
      <c r="Y153" s="9"/>
      <c r="Z153" s="9"/>
      <c r="AA153" s="9"/>
      <c r="AB153" s="9"/>
      <c r="AC153" s="2"/>
      <c r="AD153" s="2"/>
      <c r="AE153" s="2"/>
      <c r="AF153" s="2"/>
      <c r="AG153" s="2"/>
      <c r="AH153" s="2"/>
      <c r="AI153" s="2"/>
      <c r="AJ153" s="2"/>
    </row>
    <row r="154" spans="1:46" x14ac:dyDescent="0.55000000000000004">
      <c r="A154" s="11" t="s">
        <v>158</v>
      </c>
      <c r="B154" s="9"/>
      <c r="C154" s="9"/>
      <c r="D154" s="9"/>
      <c r="E154" s="9"/>
      <c r="F154" s="9"/>
      <c r="G154" s="9"/>
      <c r="H154" s="9"/>
      <c r="I154" s="9"/>
      <c r="J154" s="9"/>
      <c r="K154" s="37"/>
      <c r="L154" s="37"/>
      <c r="M154" s="9"/>
      <c r="N154" s="9">
        <v>13905</v>
      </c>
      <c r="O154" s="9">
        <v>1647</v>
      </c>
      <c r="P154" s="9">
        <v>13571</v>
      </c>
      <c r="Q154" s="9">
        <v>7315</v>
      </c>
      <c r="R154" s="9">
        <v>12425</v>
      </c>
      <c r="S154" s="9">
        <v>7262</v>
      </c>
      <c r="T154" s="9">
        <v>10914</v>
      </c>
      <c r="U154" s="9">
        <v>11757</v>
      </c>
      <c r="V154" s="9">
        <v>6898</v>
      </c>
      <c r="W154" s="9">
        <v>5579</v>
      </c>
      <c r="X154" s="9"/>
      <c r="Y154" s="9"/>
      <c r="Z154" s="9"/>
      <c r="AA154" s="9"/>
      <c r="AB154" s="9"/>
      <c r="AC154" s="2"/>
      <c r="AD154" s="2"/>
      <c r="AE154" s="2"/>
      <c r="AF154" s="2"/>
      <c r="AG154" s="2"/>
      <c r="AH154" s="2"/>
      <c r="AI154" s="2"/>
      <c r="AJ154" s="2"/>
    </row>
    <row r="155" spans="1:46" x14ac:dyDescent="0.55000000000000004">
      <c r="A155" s="18" t="s">
        <v>159</v>
      </c>
      <c r="B155" s="17">
        <v>1651736</v>
      </c>
      <c r="C155" s="17">
        <v>76289</v>
      </c>
      <c r="D155" s="17">
        <v>62764</v>
      </c>
      <c r="E155" s="17" t="s">
        <v>14</v>
      </c>
      <c r="F155" s="17" t="s">
        <v>14</v>
      </c>
      <c r="G155" s="17" t="s">
        <v>14</v>
      </c>
      <c r="H155" s="17">
        <v>1612375</v>
      </c>
      <c r="I155" s="17">
        <v>78770</v>
      </c>
      <c r="J155" s="17">
        <v>56268</v>
      </c>
      <c r="K155" s="36">
        <v>46.2</v>
      </c>
      <c r="L155" s="36">
        <v>38</v>
      </c>
      <c r="M155" s="9"/>
      <c r="N155" s="17">
        <v>223550</v>
      </c>
      <c r="O155" s="17">
        <v>165701</v>
      </c>
      <c r="P155" s="17">
        <v>196664</v>
      </c>
      <c r="Q155" s="17">
        <v>184417</v>
      </c>
      <c r="R155" s="17">
        <v>219339</v>
      </c>
      <c r="S155" s="17">
        <v>157234</v>
      </c>
      <c r="T155" s="17">
        <v>154264</v>
      </c>
      <c r="U155" s="17">
        <v>228580</v>
      </c>
      <c r="V155" s="17"/>
      <c r="W155" s="17"/>
      <c r="X155" s="17"/>
      <c r="Y155" s="17"/>
      <c r="Z155" s="17"/>
      <c r="AA155" s="17"/>
      <c r="AB155" s="17"/>
      <c r="AC155" s="2"/>
      <c r="AD155" s="12">
        <f>SUM(N155:AB155)</f>
        <v>1529749</v>
      </c>
      <c r="AE155" s="12">
        <f>SUM(N156:AB156)</f>
        <v>76289</v>
      </c>
      <c r="AF155" s="12">
        <f>SUM(N157:AB157)</f>
        <v>62784</v>
      </c>
      <c r="AG155" s="2"/>
      <c r="AH155" s="12">
        <f>AD155-B155</f>
        <v>-121987</v>
      </c>
      <c r="AI155" s="12">
        <f>AE155-C155</f>
        <v>0</v>
      </c>
      <c r="AJ155" s="12">
        <f>AF155-D155</f>
        <v>20</v>
      </c>
      <c r="AL155" s="47">
        <f>C155/B155*1000</f>
        <v>46.187163081751564</v>
      </c>
      <c r="AM155" s="47">
        <f>D155/B155*1000</f>
        <v>37.998808526302028</v>
      </c>
      <c r="AO155" s="47">
        <f>AL155-K155</f>
        <v>-1.2836918248439133E-2</v>
      </c>
      <c r="AP155" s="47">
        <f>AM155-L155</f>
        <v>-1.1914736979719009E-3</v>
      </c>
      <c r="AR155" s="12">
        <f t="shared" ref="AR155" si="146">H155</f>
        <v>1612375</v>
      </c>
      <c r="AS155" s="12">
        <f t="shared" ref="AS155" si="147">I155</f>
        <v>78770</v>
      </c>
      <c r="AT155" s="12">
        <f t="shared" ref="AT155" si="148">J155</f>
        <v>56268</v>
      </c>
    </row>
    <row r="156" spans="1:46" x14ac:dyDescent="0.55000000000000004">
      <c r="A156" s="11" t="s">
        <v>160</v>
      </c>
      <c r="B156" s="9"/>
      <c r="C156" s="9"/>
      <c r="D156" s="9"/>
      <c r="E156" s="9"/>
      <c r="F156" s="9"/>
      <c r="G156" s="9"/>
      <c r="H156" s="9"/>
      <c r="I156" s="9"/>
      <c r="J156" s="9"/>
      <c r="K156" s="37"/>
      <c r="L156" s="37"/>
      <c r="M156" s="9"/>
      <c r="N156" s="9">
        <v>11416</v>
      </c>
      <c r="O156" s="9">
        <v>7171</v>
      </c>
      <c r="P156" s="9">
        <v>9134</v>
      </c>
      <c r="Q156" s="9">
        <v>8634</v>
      </c>
      <c r="R156" s="9">
        <v>10999</v>
      </c>
      <c r="S156" s="9">
        <v>7420</v>
      </c>
      <c r="T156" s="9">
        <v>8590</v>
      </c>
      <c r="U156" s="9">
        <v>12925</v>
      </c>
      <c r="V156" s="9"/>
      <c r="W156" s="9"/>
      <c r="X156" s="9"/>
      <c r="Y156" s="9"/>
      <c r="Z156" s="9"/>
      <c r="AA156" s="9"/>
      <c r="AB156" s="9"/>
      <c r="AC156" s="2"/>
      <c r="AD156" s="2"/>
      <c r="AE156" s="2"/>
      <c r="AF156" s="2"/>
      <c r="AG156" s="2"/>
      <c r="AH156" s="2"/>
      <c r="AI156" s="2"/>
      <c r="AJ156" s="2"/>
    </row>
    <row r="157" spans="1:46" x14ac:dyDescent="0.55000000000000004">
      <c r="A157" s="11" t="s">
        <v>161</v>
      </c>
      <c r="B157" s="9"/>
      <c r="C157" s="9"/>
      <c r="D157" s="9"/>
      <c r="E157" s="9"/>
      <c r="F157" s="9"/>
      <c r="G157" s="9"/>
      <c r="H157" s="9"/>
      <c r="I157" s="9"/>
      <c r="J157" s="9"/>
      <c r="K157" s="37"/>
      <c r="L157" s="37"/>
      <c r="M157" s="9"/>
      <c r="N157" s="9">
        <v>9765</v>
      </c>
      <c r="O157" s="9">
        <v>6282</v>
      </c>
      <c r="P157" s="9">
        <v>9405</v>
      </c>
      <c r="Q157" s="9">
        <v>6211</v>
      </c>
      <c r="R157" s="9">
        <v>9219</v>
      </c>
      <c r="S157" s="9">
        <v>5355</v>
      </c>
      <c r="T157" s="9">
        <v>6848</v>
      </c>
      <c r="U157" s="9">
        <v>9699</v>
      </c>
      <c r="V157" s="9"/>
      <c r="W157" s="9"/>
      <c r="X157" s="9"/>
      <c r="Y157" s="9"/>
      <c r="Z157" s="9"/>
      <c r="AA157" s="9"/>
      <c r="AB157" s="9"/>
      <c r="AC157" s="2"/>
      <c r="AD157" s="2"/>
      <c r="AE157" s="2"/>
      <c r="AF157" s="2"/>
      <c r="AG157" s="2"/>
      <c r="AH157" s="2"/>
      <c r="AI157" s="2"/>
      <c r="AJ157" s="2"/>
    </row>
    <row r="158" spans="1:46" x14ac:dyDescent="0.55000000000000004">
      <c r="A158" s="18" t="s">
        <v>162</v>
      </c>
      <c r="B158" s="17">
        <v>1454787</v>
      </c>
      <c r="C158" s="17">
        <v>79589</v>
      </c>
      <c r="D158" s="17">
        <v>57173</v>
      </c>
      <c r="E158" s="17">
        <v>119553</v>
      </c>
      <c r="F158" s="17">
        <v>3452</v>
      </c>
      <c r="G158" s="17">
        <v>2588</v>
      </c>
      <c r="H158" s="17">
        <v>1382550</v>
      </c>
      <c r="I158" s="17">
        <v>71836</v>
      </c>
      <c r="J158" s="17">
        <v>53594</v>
      </c>
      <c r="K158" s="36">
        <v>54.7</v>
      </c>
      <c r="L158" s="36">
        <v>39.299999999999997</v>
      </c>
      <c r="M158" s="9"/>
      <c r="N158" s="17">
        <v>124646</v>
      </c>
      <c r="O158" s="17">
        <v>122114</v>
      </c>
      <c r="P158" s="17">
        <v>100787</v>
      </c>
      <c r="Q158" s="17">
        <v>138523</v>
      </c>
      <c r="R158" s="17">
        <v>101017</v>
      </c>
      <c r="S158" s="17">
        <v>100298</v>
      </c>
      <c r="T158" s="17">
        <v>122024</v>
      </c>
      <c r="U158" s="17">
        <v>95896</v>
      </c>
      <c r="V158" s="17">
        <v>111095</v>
      </c>
      <c r="W158" s="17">
        <v>166718</v>
      </c>
      <c r="X158" s="17">
        <v>113162</v>
      </c>
      <c r="Y158" s="17">
        <v>115885</v>
      </c>
      <c r="Z158" s="17"/>
      <c r="AA158" s="17"/>
      <c r="AB158" s="17"/>
      <c r="AC158" s="2"/>
      <c r="AD158" s="12">
        <f>SUM(N158:AB158)</f>
        <v>1412165</v>
      </c>
      <c r="AE158" s="12">
        <f>SUM(N159:AB159)</f>
        <v>79589</v>
      </c>
      <c r="AF158" s="12">
        <f>SUM(N160:AB160)</f>
        <v>57173</v>
      </c>
      <c r="AG158" s="2"/>
      <c r="AH158" s="12">
        <f>AD158-B158</f>
        <v>-42622</v>
      </c>
      <c r="AI158" s="12">
        <f>AE158-C158</f>
        <v>0</v>
      </c>
      <c r="AJ158" s="12">
        <f>AF158-D158</f>
        <v>0</v>
      </c>
      <c r="AL158" s="47">
        <f>C158/B158*1000</f>
        <v>54.708352494213926</v>
      </c>
      <c r="AM158" s="47">
        <f>D158/B158*1000</f>
        <v>39.299911258486638</v>
      </c>
      <c r="AO158" s="47">
        <f>AL158-K158</f>
        <v>8.3524942139234781E-3</v>
      </c>
      <c r="AP158" s="47">
        <f>AM158-L158</f>
        <v>-8.8741513359025248E-5</v>
      </c>
      <c r="AR158" s="12">
        <f t="shared" ref="AR158" si="149">H158</f>
        <v>1382550</v>
      </c>
      <c r="AS158" s="12">
        <f t="shared" ref="AS158" si="150">I158</f>
        <v>71836</v>
      </c>
      <c r="AT158" s="12">
        <f t="shared" ref="AT158" si="151">J158</f>
        <v>53594</v>
      </c>
    </row>
    <row r="159" spans="1:46" x14ac:dyDescent="0.55000000000000004">
      <c r="A159" s="11" t="s">
        <v>163</v>
      </c>
      <c r="B159" s="9"/>
      <c r="C159" s="9"/>
      <c r="D159" s="9"/>
      <c r="E159" s="9"/>
      <c r="F159" s="9"/>
      <c r="G159" s="9"/>
      <c r="H159" s="9"/>
      <c r="I159" s="9"/>
      <c r="J159" s="9"/>
      <c r="K159" s="37"/>
      <c r="L159" s="37"/>
      <c r="M159" s="9"/>
      <c r="N159" s="9">
        <v>6386</v>
      </c>
      <c r="O159" s="9">
        <v>8657</v>
      </c>
      <c r="P159" s="9">
        <v>5624</v>
      </c>
      <c r="Q159" s="9">
        <v>5104</v>
      </c>
      <c r="R159" s="9">
        <v>5915</v>
      </c>
      <c r="S159" s="9">
        <v>6864</v>
      </c>
      <c r="T159" s="9">
        <v>7731</v>
      </c>
      <c r="U159" s="9">
        <v>5075</v>
      </c>
      <c r="V159" s="9">
        <v>6855</v>
      </c>
      <c r="W159" s="9">
        <v>9609</v>
      </c>
      <c r="X159" s="9">
        <v>5092</v>
      </c>
      <c r="Y159" s="9">
        <v>6677</v>
      </c>
      <c r="Z159" s="9"/>
      <c r="AA159" s="9"/>
      <c r="AB159" s="9"/>
      <c r="AC159" s="2"/>
      <c r="AD159" s="2"/>
      <c r="AE159" s="2"/>
      <c r="AF159" s="2"/>
      <c r="AG159" s="2"/>
      <c r="AH159" s="2"/>
      <c r="AI159" s="2"/>
      <c r="AJ159" s="2"/>
    </row>
    <row r="160" spans="1:46" x14ac:dyDescent="0.55000000000000004">
      <c r="A160" s="11" t="s">
        <v>164</v>
      </c>
      <c r="B160" s="9"/>
      <c r="C160" s="9"/>
      <c r="D160" s="9"/>
      <c r="E160" s="9"/>
      <c r="F160" s="9"/>
      <c r="G160" s="9"/>
      <c r="H160" s="9"/>
      <c r="I160" s="9"/>
      <c r="J160" s="9"/>
      <c r="K160" s="37"/>
      <c r="L160" s="37"/>
      <c r="M160" s="9"/>
      <c r="N160" s="9">
        <v>4660</v>
      </c>
      <c r="O160" s="9">
        <v>6208</v>
      </c>
      <c r="P160" s="9">
        <v>3844</v>
      </c>
      <c r="Q160" s="9">
        <v>4595</v>
      </c>
      <c r="R160" s="9">
        <v>4275</v>
      </c>
      <c r="S160" s="9">
        <v>5198</v>
      </c>
      <c r="T160" s="9">
        <v>5918</v>
      </c>
      <c r="U160" s="9">
        <v>3344</v>
      </c>
      <c r="V160" s="9">
        <v>4473</v>
      </c>
      <c r="W160" s="9">
        <v>6158</v>
      </c>
      <c r="X160" s="9">
        <v>3450</v>
      </c>
      <c r="Y160" s="9">
        <v>5050</v>
      </c>
      <c r="Z160" s="9"/>
      <c r="AA160" s="9"/>
      <c r="AB160" s="9"/>
      <c r="AC160" s="2"/>
      <c r="AD160" s="2"/>
      <c r="AE160" s="2"/>
      <c r="AF160" s="2"/>
      <c r="AG160" s="2"/>
      <c r="AH160" s="2"/>
      <c r="AI160" s="2"/>
      <c r="AJ160" s="2"/>
    </row>
    <row r="161" spans="1:46" x14ac:dyDescent="0.55000000000000004">
      <c r="A161" s="18" t="s">
        <v>165</v>
      </c>
      <c r="B161" s="17">
        <v>1181169</v>
      </c>
      <c r="C161" s="17">
        <v>57887</v>
      </c>
      <c r="D161" s="17">
        <v>35405</v>
      </c>
      <c r="E161" s="17">
        <v>207934</v>
      </c>
      <c r="F161" s="17">
        <v>9882</v>
      </c>
      <c r="G161" s="17">
        <v>6891</v>
      </c>
      <c r="H161" s="17">
        <v>1105665</v>
      </c>
      <c r="I161" s="17">
        <v>56095</v>
      </c>
      <c r="J161" s="17">
        <v>34141</v>
      </c>
      <c r="K161" s="36">
        <v>49</v>
      </c>
      <c r="L161" s="36">
        <v>30</v>
      </c>
      <c r="M161" s="9"/>
      <c r="N161" s="17">
        <v>110934</v>
      </c>
      <c r="O161" s="17">
        <v>294690</v>
      </c>
      <c r="P161" s="17">
        <v>187087</v>
      </c>
      <c r="Q161" s="17">
        <v>47682</v>
      </c>
      <c r="R161" s="17">
        <v>328475</v>
      </c>
      <c r="S161" s="17">
        <v>37602</v>
      </c>
      <c r="T161" s="17">
        <v>82831</v>
      </c>
      <c r="U161" s="17">
        <v>47178</v>
      </c>
      <c r="V161" s="17"/>
      <c r="W161" s="17"/>
      <c r="X161" s="17"/>
      <c r="Y161" s="17"/>
      <c r="Z161" s="17"/>
      <c r="AA161" s="17"/>
      <c r="AB161" s="17"/>
      <c r="AC161" s="2"/>
      <c r="AD161" s="12">
        <f>SUM(N161:AB161)</f>
        <v>1136479</v>
      </c>
      <c r="AE161" s="12">
        <f>SUM(N162:AB162)</f>
        <v>60920</v>
      </c>
      <c r="AF161" s="12">
        <f>SUM(N163:AB163)</f>
        <v>34186</v>
      </c>
      <c r="AG161" s="2"/>
      <c r="AH161" s="12">
        <f>AD161-B161</f>
        <v>-44690</v>
      </c>
      <c r="AI161" s="12">
        <f>AE161-C161</f>
        <v>3033</v>
      </c>
      <c r="AJ161" s="12">
        <f>AF161-D161</f>
        <v>-1219</v>
      </c>
      <c r="AL161" s="47">
        <f>C161/B161*1000</f>
        <v>49.008228289093267</v>
      </c>
      <c r="AM161" s="47">
        <f>D161/B161*1000</f>
        <v>29.974542169664119</v>
      </c>
      <c r="AO161" s="47">
        <f>AL161-K161</f>
        <v>8.2282890932674491E-3</v>
      </c>
      <c r="AP161" s="47">
        <f>AM161-L161</f>
        <v>-2.5457830335881226E-2</v>
      </c>
      <c r="AR161" s="12">
        <f t="shared" ref="AR161" si="152">H161</f>
        <v>1105665</v>
      </c>
      <c r="AS161" s="12">
        <f t="shared" ref="AS161" si="153">I161</f>
        <v>56095</v>
      </c>
      <c r="AT161" s="12">
        <f t="shared" ref="AT161" si="154">J161</f>
        <v>34141</v>
      </c>
    </row>
    <row r="162" spans="1:46" x14ac:dyDescent="0.55000000000000004">
      <c r="A162" s="11" t="s">
        <v>166</v>
      </c>
      <c r="B162" s="9"/>
      <c r="C162" s="9"/>
      <c r="D162" s="9"/>
      <c r="E162" s="9"/>
      <c r="F162" s="9"/>
      <c r="G162" s="9"/>
      <c r="H162" s="9"/>
      <c r="I162" s="9"/>
      <c r="J162" s="9"/>
      <c r="K162" s="37"/>
      <c r="L162" s="37"/>
      <c r="M162" s="9"/>
      <c r="N162" s="9">
        <v>5649</v>
      </c>
      <c r="O162" s="9">
        <v>14886</v>
      </c>
      <c r="P162" s="9">
        <v>9061</v>
      </c>
      <c r="Q162" s="9">
        <v>2336</v>
      </c>
      <c r="R162" s="9">
        <v>17589</v>
      </c>
      <c r="S162" s="9">
        <v>823</v>
      </c>
      <c r="T162" s="9">
        <v>8376</v>
      </c>
      <c r="U162" s="9">
        <v>2200</v>
      </c>
      <c r="V162" s="9"/>
      <c r="W162" s="9"/>
      <c r="X162" s="9"/>
      <c r="Y162" s="9"/>
      <c r="Z162" s="9"/>
      <c r="AA162" s="9"/>
      <c r="AB162" s="9"/>
      <c r="AC162" s="2"/>
      <c r="AD162" s="2"/>
      <c r="AE162" s="2"/>
      <c r="AF162" s="2"/>
      <c r="AG162" s="2"/>
      <c r="AH162" s="2"/>
      <c r="AI162" s="2"/>
      <c r="AJ162" s="2"/>
    </row>
    <row r="163" spans="1:46" x14ac:dyDescent="0.55000000000000004">
      <c r="A163" s="11" t="s">
        <v>167</v>
      </c>
      <c r="B163" s="9"/>
      <c r="C163" s="9"/>
      <c r="D163" s="9"/>
      <c r="E163" s="9"/>
      <c r="F163" s="9"/>
      <c r="G163" s="9"/>
      <c r="H163" s="9"/>
      <c r="I163" s="9"/>
      <c r="J163" s="9"/>
      <c r="K163" s="37"/>
      <c r="L163" s="37"/>
      <c r="M163" s="9"/>
      <c r="N163" s="9">
        <v>4559</v>
      </c>
      <c r="O163" s="9">
        <v>8253</v>
      </c>
      <c r="P163" s="9">
        <v>5264</v>
      </c>
      <c r="Q163" s="9">
        <v>1261</v>
      </c>
      <c r="R163" s="9">
        <v>10613</v>
      </c>
      <c r="S163" s="9">
        <v>425</v>
      </c>
      <c r="T163" s="9">
        <v>2356</v>
      </c>
      <c r="U163" s="9">
        <v>1455</v>
      </c>
      <c r="V163" s="9"/>
      <c r="W163" s="9"/>
      <c r="X163" s="9"/>
      <c r="Y163" s="9"/>
      <c r="Z163" s="9"/>
      <c r="AA163" s="9"/>
      <c r="AB163" s="9"/>
      <c r="AC163" s="2"/>
      <c r="AD163" s="2"/>
      <c r="AE163" s="2"/>
      <c r="AF163" s="2"/>
      <c r="AG163" s="2"/>
      <c r="AH163" s="2"/>
      <c r="AI163" s="2"/>
      <c r="AJ163" s="2"/>
    </row>
    <row r="164" spans="1:46" x14ac:dyDescent="0.55000000000000004">
      <c r="A164" s="18" t="s">
        <v>168</v>
      </c>
      <c r="B164" s="19">
        <v>2907014</v>
      </c>
      <c r="C164" s="19">
        <v>139796</v>
      </c>
      <c r="D164" s="19">
        <v>114659</v>
      </c>
      <c r="E164" s="19">
        <v>200110</v>
      </c>
      <c r="F164" s="19">
        <v>6550</v>
      </c>
      <c r="G164" s="19">
        <v>6241</v>
      </c>
      <c r="H164" s="19">
        <v>2810259</v>
      </c>
      <c r="I164" s="19">
        <v>138538</v>
      </c>
      <c r="J164" s="19">
        <v>94346</v>
      </c>
      <c r="K164" s="36">
        <v>47.9</v>
      </c>
      <c r="L164" s="36">
        <v>39.4</v>
      </c>
      <c r="N164" s="19">
        <v>406697</v>
      </c>
      <c r="O164" s="19">
        <v>322097</v>
      </c>
      <c r="P164" s="19">
        <v>188251</v>
      </c>
      <c r="Q164" s="19">
        <v>287430</v>
      </c>
      <c r="R164" s="19">
        <v>392021</v>
      </c>
      <c r="S164" s="19">
        <v>159652</v>
      </c>
      <c r="T164" s="19">
        <v>187856</v>
      </c>
      <c r="U164" s="19">
        <v>278967</v>
      </c>
      <c r="V164" s="19">
        <v>138657</v>
      </c>
      <c r="W164" s="19">
        <v>156993</v>
      </c>
      <c r="X164" s="19">
        <v>214385</v>
      </c>
      <c r="Y164" s="19">
        <v>174002</v>
      </c>
      <c r="Z164" s="17"/>
      <c r="AA164" s="17"/>
      <c r="AB164" s="17"/>
      <c r="AC164" s="2"/>
      <c r="AD164" s="12">
        <f>SUM(N164:AB164)</f>
        <v>2907008</v>
      </c>
      <c r="AE164" s="12">
        <f>SUM(N165:AB165)</f>
        <v>139346</v>
      </c>
      <c r="AF164" s="12">
        <f>SUM(N166:AB166)</f>
        <v>114406</v>
      </c>
      <c r="AG164" s="2"/>
      <c r="AH164" s="12">
        <f>AD164-B164</f>
        <v>-6</v>
      </c>
      <c r="AI164" s="12">
        <f>AE164-C164</f>
        <v>-450</v>
      </c>
      <c r="AJ164" s="12">
        <f>AF164-D164</f>
        <v>-253</v>
      </c>
      <c r="AL164" s="47">
        <f>C164/B164*1000</f>
        <v>48.089207688714261</v>
      </c>
      <c r="AM164" s="47">
        <f>D164/B164*1000</f>
        <v>39.442190508886434</v>
      </c>
      <c r="AO164" s="47">
        <f>AL164-K164</f>
        <v>0.18920768871426219</v>
      </c>
      <c r="AP164" s="47">
        <f>AM164-L164</f>
        <v>4.2190508886434941E-2</v>
      </c>
      <c r="AR164" s="12">
        <f t="shared" ref="AR164" si="155">H164</f>
        <v>2810259</v>
      </c>
      <c r="AS164" s="12">
        <f t="shared" ref="AS164" si="156">I164</f>
        <v>138538</v>
      </c>
      <c r="AT164" s="12">
        <f t="shared" ref="AT164" si="157">J164</f>
        <v>94346</v>
      </c>
    </row>
    <row r="165" spans="1:46" x14ac:dyDescent="0.55000000000000004">
      <c r="A165" s="11" t="s">
        <v>169</v>
      </c>
      <c r="B165" s="9"/>
      <c r="C165" s="9"/>
      <c r="D165" s="9"/>
      <c r="E165" s="9"/>
      <c r="F165" s="9"/>
      <c r="G165" s="9"/>
      <c r="H165" s="9"/>
      <c r="I165" s="9"/>
      <c r="J165" s="9"/>
      <c r="K165" s="37"/>
      <c r="L165" s="37"/>
      <c r="M165" s="9"/>
      <c r="N165" s="6">
        <v>20911</v>
      </c>
      <c r="O165" s="6">
        <v>16563</v>
      </c>
      <c r="P165" s="6">
        <v>7513</v>
      </c>
      <c r="Q165" s="6">
        <v>14099</v>
      </c>
      <c r="R165" s="6">
        <v>17891</v>
      </c>
      <c r="S165" s="6">
        <v>7673</v>
      </c>
      <c r="T165" s="6">
        <v>9096</v>
      </c>
      <c r="U165" s="6">
        <v>12704</v>
      </c>
      <c r="V165" s="6">
        <v>6234</v>
      </c>
      <c r="W165" s="6">
        <v>6815</v>
      </c>
      <c r="X165" s="6">
        <v>11784</v>
      </c>
      <c r="Y165" s="6">
        <v>8063</v>
      </c>
      <c r="Z165" s="9"/>
      <c r="AA165" s="9"/>
      <c r="AB165" s="9"/>
      <c r="AC165" s="2"/>
      <c r="AD165" s="2"/>
      <c r="AE165" s="2"/>
      <c r="AF165" s="2"/>
      <c r="AG165" s="2"/>
      <c r="AH165" s="2"/>
      <c r="AI165" s="2"/>
      <c r="AJ165" s="2"/>
    </row>
    <row r="166" spans="1:46" x14ac:dyDescent="0.55000000000000004">
      <c r="A166" s="11" t="s">
        <v>170</v>
      </c>
      <c r="B166" s="9"/>
      <c r="C166" s="9"/>
      <c r="D166" s="9"/>
      <c r="E166" s="9"/>
      <c r="F166" s="9"/>
      <c r="G166" s="9"/>
      <c r="H166" s="9"/>
      <c r="I166" s="9"/>
      <c r="J166" s="9"/>
      <c r="K166" s="37"/>
      <c r="L166" s="37"/>
      <c r="M166" s="9"/>
      <c r="N166" s="6">
        <v>17191</v>
      </c>
      <c r="O166" s="6">
        <v>12215</v>
      </c>
      <c r="P166" s="6">
        <v>5275</v>
      </c>
      <c r="Q166" s="6">
        <v>13075</v>
      </c>
      <c r="R166" s="6">
        <v>15012</v>
      </c>
      <c r="S166" s="6">
        <v>6525</v>
      </c>
      <c r="T166" s="6">
        <v>6475</v>
      </c>
      <c r="U166" s="6">
        <v>12160</v>
      </c>
      <c r="V166" s="6">
        <v>5770</v>
      </c>
      <c r="W166" s="6">
        <v>5310</v>
      </c>
      <c r="X166" s="6">
        <v>9047</v>
      </c>
      <c r="Y166" s="6">
        <v>6351</v>
      </c>
      <c r="Z166" s="9"/>
      <c r="AA166" s="9"/>
      <c r="AB166" s="9"/>
      <c r="AC166" s="2"/>
      <c r="AD166" s="2"/>
      <c r="AE166" s="2"/>
      <c r="AF166" s="2"/>
      <c r="AG166" s="2"/>
      <c r="AH166" s="2"/>
      <c r="AI166" s="2"/>
      <c r="AJ166" s="2"/>
    </row>
    <row r="167" spans="1:46" x14ac:dyDescent="0.55000000000000004">
      <c r="A167" s="18" t="s">
        <v>171</v>
      </c>
      <c r="B167" s="19">
        <v>1882218</v>
      </c>
      <c r="C167" s="19">
        <v>88071</v>
      </c>
      <c r="D167" s="19">
        <v>57093</v>
      </c>
      <c r="E167" s="19">
        <v>158414</v>
      </c>
      <c r="F167" s="19">
        <v>5754</v>
      </c>
      <c r="G167" s="19">
        <v>4262</v>
      </c>
      <c r="H167" s="19">
        <v>1818410</v>
      </c>
      <c r="I167" s="19">
        <v>83500</v>
      </c>
      <c r="J167" s="19">
        <v>59944</v>
      </c>
      <c r="K167" s="36">
        <v>45.7</v>
      </c>
      <c r="L167" s="36">
        <v>30.3</v>
      </c>
      <c r="N167" s="19">
        <v>169143</v>
      </c>
      <c r="O167" s="19">
        <v>249570</v>
      </c>
      <c r="P167" s="19">
        <v>153656</v>
      </c>
      <c r="Q167" s="19">
        <v>177879</v>
      </c>
      <c r="R167" s="19">
        <v>116110</v>
      </c>
      <c r="S167" s="19">
        <v>138406</v>
      </c>
      <c r="T167" s="19">
        <v>141718</v>
      </c>
      <c r="U167" s="19">
        <v>131444</v>
      </c>
      <c r="V167" s="19">
        <v>125298</v>
      </c>
      <c r="W167" s="19">
        <v>143806</v>
      </c>
      <c r="X167" s="19">
        <v>160408</v>
      </c>
      <c r="Y167" s="19">
        <v>268864</v>
      </c>
      <c r="Z167" s="17"/>
      <c r="AA167" s="17"/>
      <c r="AB167" s="17"/>
      <c r="AC167" s="2"/>
      <c r="AD167" s="12">
        <f>SUM(N167:AB167)</f>
        <v>1976302</v>
      </c>
      <c r="AE167" s="12">
        <f>SUM(N168:AB168)</f>
        <v>87822</v>
      </c>
      <c r="AF167" s="12">
        <f>SUM(N169:AB169)</f>
        <v>56836</v>
      </c>
      <c r="AG167" s="2"/>
      <c r="AH167" s="12">
        <f>AD167-B167</f>
        <v>94084</v>
      </c>
      <c r="AI167" s="12">
        <f>AE167-C167</f>
        <v>-249</v>
      </c>
      <c r="AJ167" s="12">
        <f>AF167-D167</f>
        <v>-257</v>
      </c>
      <c r="AL167" s="47">
        <f>C167/B167*1000</f>
        <v>46.791073085051785</v>
      </c>
      <c r="AM167" s="47">
        <f>D167/B167*1000</f>
        <v>30.332830734803299</v>
      </c>
      <c r="AO167" s="47">
        <f>AL167-K167</f>
        <v>1.0910730850517822</v>
      </c>
      <c r="AP167" s="47">
        <f>AM167-L167</f>
        <v>3.2830734803297901E-2</v>
      </c>
      <c r="AR167" s="12">
        <f t="shared" ref="AR167" si="158">H167</f>
        <v>1818410</v>
      </c>
      <c r="AS167" s="12">
        <f t="shared" ref="AS167" si="159">I167</f>
        <v>83500</v>
      </c>
      <c r="AT167" s="12">
        <f t="shared" ref="AT167" si="160">J167</f>
        <v>59944</v>
      </c>
    </row>
    <row r="168" spans="1:46" x14ac:dyDescent="0.55000000000000004">
      <c r="A168" s="11" t="s">
        <v>172</v>
      </c>
      <c r="B168" s="9"/>
      <c r="C168" s="9"/>
      <c r="D168" s="9"/>
      <c r="E168" s="9"/>
      <c r="F168" s="9"/>
      <c r="G168" s="9"/>
      <c r="H168" s="9"/>
      <c r="I168" s="9"/>
      <c r="J168" s="9"/>
      <c r="K168" s="37"/>
      <c r="L168" s="37"/>
      <c r="M168" s="9"/>
      <c r="N168" s="6">
        <v>8476</v>
      </c>
      <c r="O168" s="6">
        <v>12699</v>
      </c>
      <c r="P168" s="6">
        <v>7219</v>
      </c>
      <c r="Q168" s="6">
        <v>7887</v>
      </c>
      <c r="R168" s="6">
        <v>5339</v>
      </c>
      <c r="S168" s="6">
        <v>5908</v>
      </c>
      <c r="T168" s="6">
        <v>6028</v>
      </c>
      <c r="U168" s="6">
        <v>6043</v>
      </c>
      <c r="V168" s="6">
        <v>6577</v>
      </c>
      <c r="W168" s="6">
        <v>7683</v>
      </c>
      <c r="X168" s="6">
        <v>7235</v>
      </c>
      <c r="Y168" s="6">
        <v>6728</v>
      </c>
      <c r="Z168" s="9"/>
      <c r="AA168" s="9"/>
      <c r="AB168" s="9"/>
      <c r="AC168" s="2"/>
      <c r="AD168" s="2"/>
      <c r="AE168" s="2"/>
      <c r="AF168" s="2"/>
      <c r="AG168" s="2"/>
      <c r="AH168" s="2"/>
      <c r="AI168" s="2"/>
      <c r="AJ168" s="2"/>
    </row>
    <row r="169" spans="1:46" x14ac:dyDescent="0.55000000000000004">
      <c r="A169" s="11" t="s">
        <v>173</v>
      </c>
      <c r="B169" s="9"/>
      <c r="C169" s="9"/>
      <c r="D169" s="9"/>
      <c r="E169" s="9"/>
      <c r="F169" s="9"/>
      <c r="G169" s="9"/>
      <c r="H169" s="9"/>
      <c r="I169" s="9"/>
      <c r="J169" s="9"/>
      <c r="K169" s="37"/>
      <c r="L169" s="37"/>
      <c r="M169" s="9"/>
      <c r="N169" s="6">
        <v>5318</v>
      </c>
      <c r="O169" s="6">
        <v>7928</v>
      </c>
      <c r="P169" s="6">
        <v>4799</v>
      </c>
      <c r="Q169" s="6">
        <v>4737</v>
      </c>
      <c r="R169" s="6">
        <v>3424</v>
      </c>
      <c r="S169" s="6">
        <v>4316</v>
      </c>
      <c r="T169" s="6">
        <v>4261</v>
      </c>
      <c r="U169" s="6">
        <v>4404</v>
      </c>
      <c r="V169" s="6">
        <v>3691</v>
      </c>
      <c r="W169" s="6">
        <v>4698</v>
      </c>
      <c r="X169" s="6">
        <v>4831</v>
      </c>
      <c r="Y169" s="6">
        <v>4429</v>
      </c>
      <c r="Z169" s="9"/>
      <c r="AA169" s="9"/>
      <c r="AB169" s="9"/>
      <c r="AC169" s="2"/>
      <c r="AD169" s="2"/>
      <c r="AE169" s="2"/>
      <c r="AF169" s="2"/>
      <c r="AG169" s="2"/>
      <c r="AH169" s="2"/>
      <c r="AI169" s="2"/>
      <c r="AJ169" s="2"/>
    </row>
    <row r="170" spans="1:46" x14ac:dyDescent="0.55000000000000004">
      <c r="A170" s="18" t="s">
        <v>174</v>
      </c>
      <c r="B170" s="19">
        <v>1544786</v>
      </c>
      <c r="C170" s="19">
        <v>77644</v>
      </c>
      <c r="D170" s="19">
        <v>68307</v>
      </c>
      <c r="E170" s="19">
        <v>148180</v>
      </c>
      <c r="F170" s="19">
        <v>5274</v>
      </c>
      <c r="G170" s="19">
        <v>4836</v>
      </c>
      <c r="H170" s="19">
        <v>1480715</v>
      </c>
      <c r="I170" s="19">
        <v>75714</v>
      </c>
      <c r="J170" s="19">
        <v>56895</v>
      </c>
      <c r="K170" s="36">
        <v>50.3</v>
      </c>
      <c r="L170" s="36">
        <v>44.2</v>
      </c>
      <c r="N170" s="19">
        <v>184341</v>
      </c>
      <c r="O170" s="19">
        <v>92550</v>
      </c>
      <c r="P170" s="19">
        <v>174272</v>
      </c>
      <c r="Q170" s="19">
        <v>88308</v>
      </c>
      <c r="R170" s="19">
        <v>127536</v>
      </c>
      <c r="S170" s="19">
        <v>139973</v>
      </c>
      <c r="T170" s="19">
        <v>175273</v>
      </c>
      <c r="U170" s="19">
        <v>80958</v>
      </c>
      <c r="V170" s="19">
        <v>109606</v>
      </c>
      <c r="W170" s="19">
        <v>152762</v>
      </c>
      <c r="X170" s="19">
        <v>103852</v>
      </c>
      <c r="Y170" s="19">
        <v>115355</v>
      </c>
      <c r="Z170" s="17"/>
      <c r="AA170" s="17"/>
      <c r="AB170" s="17"/>
      <c r="AC170" s="2"/>
      <c r="AD170" s="12">
        <f>SUM(N170:AB170)</f>
        <v>1544786</v>
      </c>
      <c r="AE170" s="12">
        <f>SUM(N171:AB171)</f>
        <v>77641</v>
      </c>
      <c r="AF170" s="12">
        <f>SUM(N172:AB172)</f>
        <v>68207</v>
      </c>
      <c r="AG170" s="2"/>
      <c r="AH170" s="12">
        <f>AD170-B170</f>
        <v>0</v>
      </c>
      <c r="AI170" s="12">
        <f>AE170-C170</f>
        <v>-3</v>
      </c>
      <c r="AJ170" s="12">
        <f>AF170-D170</f>
        <v>-100</v>
      </c>
      <c r="AL170" s="47">
        <f>C170/B170*1000</f>
        <v>50.261978034497979</v>
      </c>
      <c r="AM170" s="47">
        <f>D170/B170*1000</f>
        <v>44.217775148143495</v>
      </c>
      <c r="AO170" s="47">
        <f>AL170-K170</f>
        <v>-3.8021965502018418E-2</v>
      </c>
      <c r="AP170" s="47">
        <f>AM170-L170</f>
        <v>1.7775148143492459E-2</v>
      </c>
      <c r="AR170" s="12">
        <f t="shared" ref="AR170" si="161">H170</f>
        <v>1480715</v>
      </c>
      <c r="AS170" s="12">
        <f t="shared" ref="AS170" si="162">I170</f>
        <v>75714</v>
      </c>
      <c r="AT170" s="12">
        <f t="shared" ref="AT170" si="163">J170</f>
        <v>56895</v>
      </c>
    </row>
    <row r="171" spans="1:46" x14ac:dyDescent="0.55000000000000004">
      <c r="A171" s="11" t="s">
        <v>175</v>
      </c>
      <c r="B171" s="9"/>
      <c r="C171" s="9"/>
      <c r="D171" s="9"/>
      <c r="E171" s="9"/>
      <c r="F171" s="9"/>
      <c r="G171" s="9"/>
      <c r="H171" s="9"/>
      <c r="I171" s="9"/>
      <c r="J171" s="9"/>
      <c r="K171" s="37"/>
      <c r="L171" s="37"/>
      <c r="M171" s="9"/>
      <c r="N171" s="6">
        <v>8974</v>
      </c>
      <c r="O171" s="6">
        <v>4027</v>
      </c>
      <c r="P171" s="6">
        <v>9719</v>
      </c>
      <c r="Q171" s="6">
        <v>3905</v>
      </c>
      <c r="R171" s="6">
        <v>6101</v>
      </c>
      <c r="S171" s="6">
        <v>6467</v>
      </c>
      <c r="T171" s="6">
        <v>9272</v>
      </c>
      <c r="U171" s="6">
        <v>3821</v>
      </c>
      <c r="V171" s="6">
        <v>6002</v>
      </c>
      <c r="W171" s="6">
        <v>8115</v>
      </c>
      <c r="X171" s="6">
        <v>5087</v>
      </c>
      <c r="Y171" s="6">
        <v>6151</v>
      </c>
      <c r="Z171" s="9"/>
      <c r="AA171" s="9"/>
      <c r="AB171" s="9"/>
      <c r="AC171" s="2"/>
      <c r="AD171" s="2"/>
      <c r="AE171" s="2"/>
      <c r="AF171" s="2"/>
      <c r="AG171" s="2"/>
      <c r="AH171" s="2"/>
      <c r="AI171" s="2"/>
      <c r="AJ171" s="2"/>
    </row>
    <row r="172" spans="1:46" x14ac:dyDescent="0.55000000000000004">
      <c r="A172" s="11" t="s">
        <v>176</v>
      </c>
      <c r="B172" s="9"/>
      <c r="C172" s="9"/>
      <c r="D172" s="9"/>
      <c r="E172" s="9"/>
      <c r="F172" s="9"/>
      <c r="G172" s="9"/>
      <c r="H172" s="9"/>
      <c r="I172" s="9"/>
      <c r="J172" s="9"/>
      <c r="K172" s="37"/>
      <c r="L172" s="37"/>
      <c r="M172" s="9"/>
      <c r="N172" s="6">
        <v>8196</v>
      </c>
      <c r="O172" s="6">
        <v>3249</v>
      </c>
      <c r="P172" s="6">
        <v>9032</v>
      </c>
      <c r="Q172" s="6">
        <v>2940</v>
      </c>
      <c r="R172" s="6">
        <v>4836</v>
      </c>
      <c r="S172" s="6">
        <v>5658</v>
      </c>
      <c r="T172" s="6">
        <v>8538</v>
      </c>
      <c r="U172" s="6">
        <v>4357</v>
      </c>
      <c r="V172" s="6">
        <v>4940</v>
      </c>
      <c r="W172" s="6">
        <v>7416</v>
      </c>
      <c r="X172" s="6">
        <v>3589</v>
      </c>
      <c r="Y172" s="6">
        <v>5456</v>
      </c>
      <c r="Z172" s="9"/>
      <c r="AA172" s="9"/>
      <c r="AB172" s="9"/>
      <c r="AC172" s="2"/>
      <c r="AD172" s="2"/>
      <c r="AE172" s="2"/>
      <c r="AF172" s="2"/>
      <c r="AG172" s="2"/>
      <c r="AH172" s="2"/>
      <c r="AI172" s="2"/>
      <c r="AJ172" s="2"/>
    </row>
    <row r="173" spans="1:46" x14ac:dyDescent="0.55000000000000004">
      <c r="A173" s="18" t="s">
        <v>177</v>
      </c>
      <c r="B173" s="19">
        <v>2088602</v>
      </c>
      <c r="C173" s="19">
        <v>102867</v>
      </c>
      <c r="D173" s="19">
        <v>67708</v>
      </c>
      <c r="E173" s="19" t="s">
        <v>14</v>
      </c>
      <c r="F173" s="19" t="s">
        <v>14</v>
      </c>
      <c r="G173" s="19" t="s">
        <v>14</v>
      </c>
      <c r="H173" s="19">
        <v>2005536</v>
      </c>
      <c r="I173" s="19">
        <v>94883</v>
      </c>
      <c r="J173" s="19">
        <v>63824</v>
      </c>
      <c r="K173" s="36">
        <v>49.3</v>
      </c>
      <c r="L173" s="36">
        <v>32.4</v>
      </c>
      <c r="N173" s="19">
        <v>338794</v>
      </c>
      <c r="O173" s="19">
        <v>400848</v>
      </c>
      <c r="P173" s="19">
        <v>470199</v>
      </c>
      <c r="Q173" s="19">
        <v>177210</v>
      </c>
      <c r="R173" s="19">
        <v>380370</v>
      </c>
      <c r="S173" s="19">
        <v>321181</v>
      </c>
      <c r="T173" s="17"/>
      <c r="U173" s="17"/>
      <c r="V173" s="17"/>
      <c r="W173" s="17"/>
      <c r="X173" s="17"/>
      <c r="Y173" s="17"/>
      <c r="Z173" s="17"/>
      <c r="AA173" s="17"/>
      <c r="AB173" s="17"/>
      <c r="AC173" s="2"/>
      <c r="AD173" s="12">
        <f>SUM(N173:AB173)</f>
        <v>2088602</v>
      </c>
      <c r="AE173" s="12">
        <f>SUM(N174:AB174)</f>
        <v>102867</v>
      </c>
      <c r="AF173" s="12">
        <f>SUM(N175:AB175)</f>
        <v>67408</v>
      </c>
      <c r="AG173" s="2"/>
      <c r="AH173" s="12">
        <f>AD173-B173</f>
        <v>0</v>
      </c>
      <c r="AI173" s="12">
        <f>AE173-C173</f>
        <v>0</v>
      </c>
      <c r="AJ173" s="12">
        <f>AF173-D173</f>
        <v>-300</v>
      </c>
      <c r="AL173" s="47">
        <f>C173/B173*1000</f>
        <v>49.25160466187431</v>
      </c>
      <c r="AM173" s="47">
        <f>D173/B173*1000</f>
        <v>32.417856537530845</v>
      </c>
      <c r="AO173" s="47">
        <f>AL173-K173</f>
        <v>-4.8395338125686749E-2</v>
      </c>
      <c r="AP173" s="47">
        <f>AM173-L173</f>
        <v>1.7856537530846595E-2</v>
      </c>
      <c r="AR173" s="12">
        <f t="shared" ref="AR173" si="164">H173</f>
        <v>2005536</v>
      </c>
      <c r="AS173" s="12">
        <f t="shared" ref="AS173" si="165">I173</f>
        <v>94883</v>
      </c>
      <c r="AT173" s="12">
        <f t="shared" ref="AT173" si="166">J173</f>
        <v>63824</v>
      </c>
    </row>
    <row r="174" spans="1:46" x14ac:dyDescent="0.55000000000000004">
      <c r="A174" s="11" t="s">
        <v>178</v>
      </c>
      <c r="B174" s="9"/>
      <c r="C174" s="9"/>
      <c r="D174" s="9"/>
      <c r="E174" s="9"/>
      <c r="F174" s="9"/>
      <c r="G174" s="9"/>
      <c r="H174" s="9"/>
      <c r="I174" s="9"/>
      <c r="J174" s="9"/>
      <c r="K174" s="37"/>
      <c r="L174" s="37"/>
      <c r="M174" s="9"/>
      <c r="N174" s="6">
        <v>17135</v>
      </c>
      <c r="O174" s="6">
        <v>19203</v>
      </c>
      <c r="P174" s="6">
        <v>22659</v>
      </c>
      <c r="Q174" s="6">
        <v>9961</v>
      </c>
      <c r="R174" s="6">
        <v>18378</v>
      </c>
      <c r="S174" s="6">
        <v>15531</v>
      </c>
      <c r="T174" s="9"/>
      <c r="U174" s="9"/>
      <c r="V174" s="9"/>
      <c r="W174" s="9"/>
      <c r="X174" s="9"/>
      <c r="Y174" s="9"/>
      <c r="Z174" s="9"/>
      <c r="AA174" s="9"/>
      <c r="AB174" s="9"/>
      <c r="AC174" s="2"/>
      <c r="AD174" s="2"/>
      <c r="AE174" s="2"/>
      <c r="AF174" s="2"/>
      <c r="AG174" s="2"/>
      <c r="AH174" s="2"/>
      <c r="AI174" s="2"/>
      <c r="AJ174" s="2"/>
    </row>
    <row r="175" spans="1:46" x14ac:dyDescent="0.55000000000000004">
      <c r="A175" s="11" t="s">
        <v>179</v>
      </c>
      <c r="B175" s="9"/>
      <c r="C175" s="9"/>
      <c r="D175" s="9"/>
      <c r="E175" s="9"/>
      <c r="F175" s="9"/>
      <c r="G175" s="9"/>
      <c r="H175" s="9"/>
      <c r="I175" s="9"/>
      <c r="J175" s="9"/>
      <c r="K175" s="37"/>
      <c r="L175" s="37"/>
      <c r="M175" s="9"/>
      <c r="N175" s="6">
        <v>11283</v>
      </c>
      <c r="O175" s="6">
        <v>11899</v>
      </c>
      <c r="P175" s="6">
        <v>15944</v>
      </c>
      <c r="Q175" s="6">
        <v>6139</v>
      </c>
      <c r="R175" s="6">
        <v>12245</v>
      </c>
      <c r="S175" s="6">
        <v>9898</v>
      </c>
      <c r="T175" s="9"/>
      <c r="U175" s="9"/>
      <c r="V175" s="9"/>
      <c r="W175" s="9"/>
      <c r="X175" s="9"/>
      <c r="Y175" s="9"/>
      <c r="Z175" s="9"/>
      <c r="AA175" s="9"/>
      <c r="AB175" s="9"/>
      <c r="AC175" s="2"/>
      <c r="AD175" s="2"/>
      <c r="AE175" s="2"/>
      <c r="AF175" s="2"/>
      <c r="AG175" s="2"/>
      <c r="AH175" s="2"/>
      <c r="AI175" s="2"/>
      <c r="AJ175" s="2"/>
    </row>
    <row r="176" spans="1:46" x14ac:dyDescent="0.55000000000000004">
      <c r="A176" s="18" t="s">
        <v>180</v>
      </c>
      <c r="B176" s="19">
        <v>2537339</v>
      </c>
      <c r="C176" s="19">
        <v>114682</v>
      </c>
      <c r="D176" s="19">
        <v>91992</v>
      </c>
      <c r="E176" s="19">
        <v>325767</v>
      </c>
      <c r="F176" s="19">
        <v>10553</v>
      </c>
      <c r="G176" s="19">
        <v>8396</v>
      </c>
      <c r="H176" s="19">
        <v>2391170</v>
      </c>
      <c r="I176" s="19">
        <v>118233</v>
      </c>
      <c r="J176" s="19">
        <v>85859</v>
      </c>
      <c r="K176" s="36">
        <v>45.2</v>
      </c>
      <c r="L176" s="36">
        <v>35.299999999999997</v>
      </c>
      <c r="N176" s="19">
        <v>369618</v>
      </c>
      <c r="O176" s="19">
        <v>143431</v>
      </c>
      <c r="P176" s="19">
        <v>162514</v>
      </c>
      <c r="Q176" s="19">
        <v>135853</v>
      </c>
      <c r="R176" s="19">
        <v>160701</v>
      </c>
      <c r="S176" s="19">
        <v>223077</v>
      </c>
      <c r="T176" s="19">
        <v>333378</v>
      </c>
      <c r="U176" s="19">
        <v>228571</v>
      </c>
      <c r="V176" s="19">
        <v>168770</v>
      </c>
      <c r="W176" s="19">
        <v>387253</v>
      </c>
      <c r="X176" s="19">
        <v>224173</v>
      </c>
      <c r="Y176" s="17"/>
      <c r="Z176" s="17"/>
      <c r="AA176" s="17"/>
      <c r="AB176" s="17"/>
      <c r="AC176" s="2"/>
      <c r="AD176" s="12">
        <f>SUM(N176:AB176)</f>
        <v>2537339</v>
      </c>
      <c r="AE176" s="12">
        <f>SUM(N177:AB177)</f>
        <v>114682</v>
      </c>
      <c r="AF176" s="12">
        <f>SUM(N178:AB178)</f>
        <v>91992</v>
      </c>
      <c r="AG176" s="2"/>
      <c r="AH176" s="12">
        <f>AD176-B176</f>
        <v>0</v>
      </c>
      <c r="AI176" s="12">
        <f>AE176-C176</f>
        <v>0</v>
      </c>
      <c r="AJ176" s="12">
        <f>AF176-D176</f>
        <v>0</v>
      </c>
      <c r="AL176" s="47">
        <f>C176/B176*1000</f>
        <v>45.197744566256219</v>
      </c>
      <c r="AM176" s="47">
        <f>D176/B176*1000</f>
        <v>36.255305262718146</v>
      </c>
      <c r="AO176" s="47">
        <f>AL176-K176</f>
        <v>-2.2554337437838967E-3</v>
      </c>
      <c r="AP176" s="47">
        <f>AM176-L176</f>
        <v>0.95530526271814864</v>
      </c>
      <c r="AR176" s="12">
        <f t="shared" ref="AR176" si="167">H176</f>
        <v>2391170</v>
      </c>
      <c r="AS176" s="12">
        <f t="shared" ref="AS176" si="168">I176</f>
        <v>118233</v>
      </c>
      <c r="AT176" s="12">
        <f t="shared" ref="AT176" si="169">J176</f>
        <v>85859</v>
      </c>
    </row>
    <row r="177" spans="1:50" x14ac:dyDescent="0.55000000000000004">
      <c r="A177" s="11" t="s">
        <v>181</v>
      </c>
      <c r="B177" s="9"/>
      <c r="C177" s="9"/>
      <c r="D177" s="9"/>
      <c r="E177" s="9"/>
      <c r="F177" s="9"/>
      <c r="G177" s="9"/>
      <c r="H177" s="9"/>
      <c r="I177" s="9"/>
      <c r="J177" s="9"/>
      <c r="K177" s="37"/>
      <c r="L177" s="37"/>
      <c r="M177" s="9"/>
      <c r="N177" s="6">
        <v>14057</v>
      </c>
      <c r="O177" s="6">
        <v>7822</v>
      </c>
      <c r="P177" s="6">
        <v>7175</v>
      </c>
      <c r="Q177" s="6">
        <v>6058</v>
      </c>
      <c r="R177" s="6">
        <v>9099</v>
      </c>
      <c r="S177" s="6">
        <v>10569</v>
      </c>
      <c r="T177" s="6">
        <v>12911</v>
      </c>
      <c r="U177" s="6">
        <v>10833</v>
      </c>
      <c r="V177" s="6">
        <v>8699</v>
      </c>
      <c r="W177" s="6">
        <v>16487</v>
      </c>
      <c r="X177" s="6">
        <v>10972</v>
      </c>
      <c r="Y177" s="9"/>
      <c r="Z177" s="9"/>
      <c r="AA177" s="9"/>
      <c r="AB177" s="9"/>
      <c r="AC177" s="2"/>
      <c r="AD177" s="2"/>
      <c r="AE177" s="2"/>
      <c r="AF177" s="2"/>
      <c r="AG177" s="2"/>
      <c r="AH177" s="2"/>
      <c r="AI177" s="2"/>
      <c r="AJ177" s="2"/>
    </row>
    <row r="178" spans="1:50" x14ac:dyDescent="0.55000000000000004">
      <c r="A178" s="11" t="s">
        <v>182</v>
      </c>
      <c r="B178" s="9"/>
      <c r="C178" s="9"/>
      <c r="D178" s="9"/>
      <c r="E178" s="9"/>
      <c r="F178" s="9"/>
      <c r="G178" s="9"/>
      <c r="H178" s="9"/>
      <c r="I178" s="9"/>
      <c r="J178" s="9"/>
      <c r="K178" s="37"/>
      <c r="L178" s="37"/>
      <c r="M178" s="9"/>
      <c r="N178" s="6">
        <v>10871</v>
      </c>
      <c r="O178" s="6">
        <v>4598</v>
      </c>
      <c r="P178" s="6">
        <v>4889</v>
      </c>
      <c r="Q178" s="6">
        <v>4370</v>
      </c>
      <c r="R178" s="6">
        <v>7517</v>
      </c>
      <c r="S178" s="6">
        <v>9191</v>
      </c>
      <c r="T178" s="6">
        <v>12325</v>
      </c>
      <c r="U178" s="6">
        <v>9511</v>
      </c>
      <c r="V178" s="6">
        <v>5733</v>
      </c>
      <c r="W178" s="6">
        <v>16348</v>
      </c>
      <c r="X178" s="6">
        <v>6639</v>
      </c>
      <c r="Y178" s="9"/>
      <c r="Z178" s="9"/>
      <c r="AA178" s="9"/>
      <c r="AB178" s="9"/>
      <c r="AC178" s="2"/>
      <c r="AD178" s="2"/>
      <c r="AE178" s="2"/>
      <c r="AF178" s="2"/>
      <c r="AG178" s="2"/>
      <c r="AH178" s="2"/>
      <c r="AI178" s="2"/>
      <c r="AJ178" s="2"/>
    </row>
    <row r="179" spans="1:50" x14ac:dyDescent="0.55000000000000004">
      <c r="A179" s="18" t="s">
        <v>183</v>
      </c>
      <c r="B179" s="19">
        <v>1859034</v>
      </c>
      <c r="C179" s="19">
        <v>107428</v>
      </c>
      <c r="D179" s="19">
        <v>60764</v>
      </c>
      <c r="E179" s="19">
        <v>168766</v>
      </c>
      <c r="F179" s="19">
        <v>7453</v>
      </c>
      <c r="G179" s="19">
        <v>5307</v>
      </c>
      <c r="H179" s="19">
        <v>1803655</v>
      </c>
      <c r="I179" s="19">
        <v>98602</v>
      </c>
      <c r="J179" s="19">
        <v>57290</v>
      </c>
      <c r="K179" s="36">
        <v>57.8</v>
      </c>
      <c r="L179" s="36">
        <v>32.6</v>
      </c>
      <c r="N179" s="19">
        <v>425817</v>
      </c>
      <c r="O179" s="19">
        <v>562976</v>
      </c>
      <c r="P179" s="19">
        <v>501681</v>
      </c>
      <c r="Q179" s="19">
        <v>195781</v>
      </c>
      <c r="R179" s="19">
        <v>26483</v>
      </c>
      <c r="S179" s="19">
        <v>166296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2"/>
      <c r="AD179" s="12">
        <f>SUM(N179:AB179)</f>
        <v>1879034</v>
      </c>
      <c r="AE179" s="12">
        <f>SUM(N180:AB180)</f>
        <v>107428</v>
      </c>
      <c r="AF179" s="12">
        <f>SUM(N181:AB181)</f>
        <v>60764</v>
      </c>
      <c r="AG179" s="2"/>
      <c r="AH179" s="12">
        <f>AD179-B179</f>
        <v>20000</v>
      </c>
      <c r="AI179" s="12">
        <f>AE179-C179</f>
        <v>0</v>
      </c>
      <c r="AJ179" s="12">
        <f>AF179-D179</f>
        <v>0</v>
      </c>
      <c r="AL179" s="47">
        <f>C179/B179*1000</f>
        <v>57.787001206002685</v>
      </c>
      <c r="AM179" s="47">
        <f>D179/B179*1000</f>
        <v>32.685792728911892</v>
      </c>
      <c r="AO179" s="47">
        <f>AL179-K179</f>
        <v>-1.2998793997311964E-2</v>
      </c>
      <c r="AP179" s="47">
        <f>AM179-L179</f>
        <v>8.5792728911890492E-2</v>
      </c>
      <c r="AR179" s="12">
        <f t="shared" ref="AR179" si="170">H179</f>
        <v>1803655</v>
      </c>
      <c r="AS179" s="12">
        <f t="shared" ref="AS179" si="171">I179</f>
        <v>98602</v>
      </c>
      <c r="AT179" s="12">
        <f t="shared" ref="AT179" si="172">J179</f>
        <v>57290</v>
      </c>
    </row>
    <row r="180" spans="1:50" x14ac:dyDescent="0.55000000000000004">
      <c r="A180" s="11" t="s">
        <v>184</v>
      </c>
      <c r="B180" s="9"/>
      <c r="C180" s="9"/>
      <c r="D180" s="9"/>
      <c r="E180" s="9"/>
      <c r="F180" s="9"/>
      <c r="G180" s="9"/>
      <c r="H180" s="9"/>
      <c r="I180" s="9"/>
      <c r="J180" s="9"/>
      <c r="K180" s="37"/>
      <c r="L180" s="37"/>
      <c r="M180" s="9"/>
      <c r="N180" s="6">
        <v>22432</v>
      </c>
      <c r="O180" s="6">
        <v>20978</v>
      </c>
      <c r="P180" s="6">
        <v>28549</v>
      </c>
      <c r="Q180" s="6">
        <v>12175</v>
      </c>
      <c r="R180" s="6">
        <v>11985</v>
      </c>
      <c r="S180" s="6">
        <v>11309</v>
      </c>
      <c r="T180" s="9"/>
      <c r="U180" s="9"/>
      <c r="V180" s="9"/>
      <c r="W180" s="9"/>
      <c r="X180" s="9"/>
      <c r="Y180" s="9"/>
      <c r="Z180" s="9"/>
      <c r="AA180" s="9"/>
      <c r="AB180" s="9"/>
      <c r="AC180" s="2"/>
      <c r="AD180" s="2"/>
      <c r="AE180" s="2"/>
      <c r="AF180" s="2"/>
      <c r="AG180" s="2"/>
      <c r="AH180" s="2"/>
      <c r="AI180" s="2"/>
      <c r="AJ180" s="2"/>
    </row>
    <row r="181" spans="1:50" x14ac:dyDescent="0.55000000000000004">
      <c r="A181" s="11" t="s">
        <v>185</v>
      </c>
      <c r="B181" s="9"/>
      <c r="C181" s="9"/>
      <c r="D181" s="9"/>
      <c r="E181" s="9"/>
      <c r="F181" s="9"/>
      <c r="G181" s="9"/>
      <c r="H181" s="9"/>
      <c r="I181" s="9"/>
      <c r="J181" s="9"/>
      <c r="K181" s="37"/>
      <c r="L181" s="37"/>
      <c r="M181" s="9"/>
      <c r="N181" s="6">
        <v>13712</v>
      </c>
      <c r="O181" s="6">
        <v>11551</v>
      </c>
      <c r="P181" s="6">
        <v>16447</v>
      </c>
      <c r="Q181" s="6">
        <v>6248</v>
      </c>
      <c r="R181" s="6">
        <v>7121</v>
      </c>
      <c r="S181" s="6">
        <v>5685</v>
      </c>
      <c r="T181" s="9"/>
      <c r="U181" s="9"/>
      <c r="V181" s="9"/>
      <c r="W181" s="9"/>
      <c r="X181" s="9"/>
      <c r="Y181" s="9"/>
      <c r="Z181" s="9"/>
      <c r="AA181" s="9"/>
      <c r="AB181" s="9"/>
      <c r="AC181" s="2"/>
      <c r="AD181" s="2"/>
      <c r="AE181" s="2"/>
      <c r="AF181" s="2"/>
      <c r="AG181" s="2"/>
      <c r="AH181" s="2"/>
      <c r="AI181" s="2"/>
      <c r="AJ181" s="2"/>
    </row>
    <row r="182" spans="1:50" x14ac:dyDescent="0.55000000000000004">
      <c r="A182" s="20" t="s">
        <v>186</v>
      </c>
      <c r="B182" s="19">
        <v>77211</v>
      </c>
      <c r="C182" s="19">
        <v>3224</v>
      </c>
      <c r="D182" s="19">
        <v>2627</v>
      </c>
      <c r="E182" s="19"/>
      <c r="F182" s="19"/>
      <c r="G182" s="19"/>
      <c r="H182" s="19">
        <v>76528</v>
      </c>
      <c r="I182" s="19">
        <v>3210</v>
      </c>
      <c r="J182" s="19">
        <v>2470</v>
      </c>
      <c r="K182" s="36">
        <v>41.9</v>
      </c>
      <c r="L182" s="36">
        <v>34.1</v>
      </c>
      <c r="N182" s="19"/>
      <c r="O182" s="19"/>
      <c r="P182" s="19"/>
      <c r="Q182" s="19"/>
      <c r="R182" s="19"/>
      <c r="S182" s="19"/>
      <c r="T182" s="19"/>
      <c r="U182" s="17"/>
      <c r="V182" s="17"/>
      <c r="W182" s="17"/>
      <c r="X182" s="17"/>
      <c r="Y182" s="17"/>
      <c r="Z182" s="17"/>
      <c r="AA182" s="17"/>
      <c r="AB182" s="17"/>
      <c r="AC182" s="2"/>
      <c r="AD182" s="12">
        <f t="shared" ref="AD182:AF183" si="173">B182</f>
        <v>77211</v>
      </c>
      <c r="AE182" s="12">
        <f t="shared" si="173"/>
        <v>3224</v>
      </c>
      <c r="AF182" s="12">
        <f t="shared" si="173"/>
        <v>2627</v>
      </c>
      <c r="AG182" s="2"/>
      <c r="AH182" s="12"/>
      <c r="AI182" s="12"/>
      <c r="AJ182" s="12"/>
      <c r="AL182" s="47">
        <f>C182/B182*1000</f>
        <v>41.755708383520485</v>
      </c>
      <c r="AM182" s="47">
        <f>D182/B182*1000</f>
        <v>34.023649479996372</v>
      </c>
      <c r="AO182" s="47">
        <f t="shared" ref="AO182:AP184" si="174">AL182-K182</f>
        <v>-0.14429161647951361</v>
      </c>
      <c r="AP182" s="47">
        <f t="shared" si="174"/>
        <v>-7.6350520003629185E-2</v>
      </c>
      <c r="AR182" s="12">
        <f t="shared" ref="AR182:AR184" si="175">H182</f>
        <v>76528</v>
      </c>
      <c r="AS182" s="12">
        <f t="shared" ref="AS182:AS184" si="176">I182</f>
        <v>3210</v>
      </c>
      <c r="AT182" s="12">
        <f t="shared" ref="AT182:AT184" si="177">J182</f>
        <v>2470</v>
      </c>
    </row>
    <row r="183" spans="1:50" x14ac:dyDescent="0.55000000000000004">
      <c r="A183" s="20" t="s">
        <v>187</v>
      </c>
      <c r="B183" s="19">
        <v>300000</v>
      </c>
      <c r="C183" s="19">
        <v>11381</v>
      </c>
      <c r="D183" s="19">
        <v>8205</v>
      </c>
      <c r="E183" s="19"/>
      <c r="F183" s="19"/>
      <c r="G183" s="19"/>
      <c r="H183" s="19">
        <v>285262</v>
      </c>
      <c r="I183" s="19">
        <v>10514</v>
      </c>
      <c r="J183" s="19">
        <v>7737</v>
      </c>
      <c r="K183" s="36">
        <v>37.9</v>
      </c>
      <c r="L183" s="36">
        <v>27.4</v>
      </c>
      <c r="N183" s="19"/>
      <c r="O183" s="19"/>
      <c r="P183" s="19"/>
      <c r="Q183" s="19"/>
      <c r="R183" s="19"/>
      <c r="S183" s="19"/>
      <c r="T183" s="19"/>
      <c r="U183" s="17"/>
      <c r="V183" s="17"/>
      <c r="W183" s="17"/>
      <c r="X183" s="17"/>
      <c r="Y183" s="17"/>
      <c r="Z183" s="17"/>
      <c r="AA183" s="17"/>
      <c r="AB183" s="17"/>
      <c r="AC183" s="2"/>
      <c r="AD183" s="12">
        <f t="shared" si="173"/>
        <v>300000</v>
      </c>
      <c r="AE183" s="12">
        <f t="shared" si="173"/>
        <v>11381</v>
      </c>
      <c r="AF183" s="12">
        <f t="shared" si="173"/>
        <v>8205</v>
      </c>
      <c r="AG183" s="2"/>
      <c r="AH183" s="12"/>
      <c r="AI183" s="12"/>
      <c r="AJ183" s="12"/>
      <c r="AL183" s="47">
        <f>C183/B183*1000</f>
        <v>37.936666666666667</v>
      </c>
      <c r="AM183" s="47">
        <f>D183/B183*1000</f>
        <v>27.349999999999998</v>
      </c>
      <c r="AO183" s="47">
        <f t="shared" si="174"/>
        <v>3.6666666666668846E-2</v>
      </c>
      <c r="AP183" s="47">
        <f t="shared" si="174"/>
        <v>-5.0000000000000711E-2</v>
      </c>
      <c r="AR183" s="12">
        <f t="shared" si="175"/>
        <v>285262</v>
      </c>
      <c r="AS183" s="12">
        <f t="shared" si="176"/>
        <v>10514</v>
      </c>
      <c r="AT183" s="12">
        <f t="shared" si="177"/>
        <v>7737</v>
      </c>
    </row>
    <row r="184" spans="1:50" x14ac:dyDescent="0.55000000000000004">
      <c r="A184" s="18" t="s">
        <v>188</v>
      </c>
      <c r="B184" s="19">
        <v>2248716</v>
      </c>
      <c r="C184" s="19">
        <v>108812</v>
      </c>
      <c r="D184" s="19">
        <v>77233</v>
      </c>
      <c r="E184" s="19" t="s">
        <v>14</v>
      </c>
      <c r="F184" s="19" t="s">
        <v>14</v>
      </c>
      <c r="G184" s="19" t="s">
        <v>14</v>
      </c>
      <c r="H184" s="19">
        <v>2182743</v>
      </c>
      <c r="I184" s="19">
        <v>106284</v>
      </c>
      <c r="J184" s="19">
        <v>69619</v>
      </c>
      <c r="K184" s="36">
        <v>48.4</v>
      </c>
      <c r="L184" s="36">
        <v>34.4</v>
      </c>
      <c r="N184" s="19">
        <v>162611</v>
      </c>
      <c r="O184" s="19">
        <v>142227</v>
      </c>
      <c r="P184" s="19">
        <v>135587</v>
      </c>
      <c r="Q184" s="19">
        <v>135891</v>
      </c>
      <c r="R184" s="19">
        <v>131555</v>
      </c>
      <c r="S184" s="19">
        <v>153022</v>
      </c>
      <c r="T184" s="19">
        <v>127507</v>
      </c>
      <c r="U184" s="19">
        <v>137846</v>
      </c>
      <c r="V184" s="19">
        <v>136554</v>
      </c>
      <c r="W184" s="19">
        <v>174817</v>
      </c>
      <c r="X184" s="19">
        <v>170714</v>
      </c>
      <c r="Y184" s="19">
        <v>139000</v>
      </c>
      <c r="Z184" s="19">
        <v>153223</v>
      </c>
      <c r="AA184" s="19">
        <v>169238</v>
      </c>
      <c r="AB184" s="19">
        <v>178924</v>
      </c>
      <c r="AC184" s="2"/>
      <c r="AD184" s="12">
        <f>SUM(N184:AB184)</f>
        <v>2248716</v>
      </c>
      <c r="AE184" s="12">
        <f>SUM(N185:AB185)</f>
        <v>108812</v>
      </c>
      <c r="AF184" s="12">
        <f>SUM(N186:AB186)</f>
        <v>77233</v>
      </c>
      <c r="AG184" s="2"/>
      <c r="AH184" s="12">
        <f>AD184-B184</f>
        <v>0</v>
      </c>
      <c r="AI184" s="12">
        <f>AE184-C184</f>
        <v>0</v>
      </c>
      <c r="AJ184" s="12">
        <f>AF184-D184</f>
        <v>0</v>
      </c>
      <c r="AL184" s="47">
        <f>C184/B184*1000</f>
        <v>48.388502594369406</v>
      </c>
      <c r="AM184" s="47">
        <f>D184/B184*1000</f>
        <v>34.345377539893875</v>
      </c>
      <c r="AO184" s="47">
        <f t="shared" si="174"/>
        <v>-1.1497405630592539E-2</v>
      </c>
      <c r="AP184" s="47">
        <f t="shared" si="174"/>
        <v>-5.4622460106124038E-2</v>
      </c>
      <c r="AR184" s="12">
        <f t="shared" si="175"/>
        <v>2182743</v>
      </c>
      <c r="AS184" s="12">
        <f t="shared" si="176"/>
        <v>106284</v>
      </c>
      <c r="AT184" s="12">
        <f t="shared" si="177"/>
        <v>69619</v>
      </c>
    </row>
    <row r="185" spans="1:50" x14ac:dyDescent="0.55000000000000004">
      <c r="A185" s="11" t="s">
        <v>189</v>
      </c>
      <c r="B185" s="9"/>
      <c r="C185" s="9"/>
      <c r="D185" s="9"/>
      <c r="E185" s="9"/>
      <c r="F185" s="9"/>
      <c r="G185" s="9"/>
      <c r="H185" s="9"/>
      <c r="I185" s="9"/>
      <c r="J185" s="9"/>
      <c r="K185" s="37"/>
      <c r="L185" s="37"/>
      <c r="M185" s="9"/>
      <c r="N185" s="6">
        <v>7310</v>
      </c>
      <c r="O185" s="6">
        <v>7169</v>
      </c>
      <c r="P185" s="6">
        <v>6139</v>
      </c>
      <c r="Q185" s="6">
        <v>7389</v>
      </c>
      <c r="R185" s="6">
        <v>6285</v>
      </c>
      <c r="S185" s="6">
        <v>7486</v>
      </c>
      <c r="T185" s="6">
        <v>5998</v>
      </c>
      <c r="U185" s="6">
        <v>5969</v>
      </c>
      <c r="V185" s="6">
        <v>6996</v>
      </c>
      <c r="W185" s="6">
        <v>8069</v>
      </c>
      <c r="X185" s="6">
        <v>7683</v>
      </c>
      <c r="Y185" s="6">
        <v>7526</v>
      </c>
      <c r="Z185" s="6">
        <v>7636</v>
      </c>
      <c r="AA185" s="6">
        <v>7151</v>
      </c>
      <c r="AB185" s="6">
        <v>10006</v>
      </c>
      <c r="AC185" s="2"/>
      <c r="AD185" s="2"/>
      <c r="AE185" s="2"/>
      <c r="AF185" s="2"/>
      <c r="AG185" s="2"/>
      <c r="AH185" s="2"/>
      <c r="AI185" s="2"/>
      <c r="AJ185" s="2"/>
    </row>
    <row r="186" spans="1:50" x14ac:dyDescent="0.55000000000000004">
      <c r="A186" s="11" t="s">
        <v>190</v>
      </c>
      <c r="B186" s="9"/>
      <c r="C186" s="9"/>
      <c r="D186" s="9"/>
      <c r="E186" s="9"/>
      <c r="F186" s="9"/>
      <c r="G186" s="9"/>
      <c r="H186" s="9"/>
      <c r="I186" s="9"/>
      <c r="J186" s="9"/>
      <c r="K186" s="37"/>
      <c r="L186" s="37"/>
      <c r="M186" s="9"/>
      <c r="N186" s="6">
        <v>5441</v>
      </c>
      <c r="O186" s="6">
        <v>5351</v>
      </c>
      <c r="P186" s="6">
        <v>4726</v>
      </c>
      <c r="Q186" s="6">
        <v>5450</v>
      </c>
      <c r="R186" s="6">
        <v>4060</v>
      </c>
      <c r="S186" s="6">
        <v>4736</v>
      </c>
      <c r="T186" s="6">
        <v>4505</v>
      </c>
      <c r="U186" s="6">
        <v>3820</v>
      </c>
      <c r="V186" s="6">
        <v>5171</v>
      </c>
      <c r="W186" s="6">
        <v>6150</v>
      </c>
      <c r="X186" s="6">
        <v>6019</v>
      </c>
      <c r="Y186" s="6">
        <v>4397</v>
      </c>
      <c r="Z186" s="6">
        <v>5080</v>
      </c>
      <c r="AA186" s="6">
        <v>4682</v>
      </c>
      <c r="AB186" s="6">
        <v>7645</v>
      </c>
      <c r="AC186" s="2"/>
      <c r="AD186" s="2"/>
      <c r="AE186" s="2"/>
      <c r="AF186" s="2"/>
      <c r="AG186" s="2"/>
      <c r="AH186" s="2"/>
      <c r="AI186" s="2"/>
      <c r="AJ186" s="2"/>
    </row>
    <row r="187" spans="1:50" x14ac:dyDescent="0.55000000000000004">
      <c r="A187" s="18" t="s">
        <v>191</v>
      </c>
      <c r="B187" s="19">
        <v>1212216</v>
      </c>
      <c r="C187" s="19">
        <v>47413</v>
      </c>
      <c r="D187" s="19">
        <v>33522</v>
      </c>
      <c r="E187" s="19">
        <v>169182</v>
      </c>
      <c r="F187" s="19">
        <v>5204</v>
      </c>
      <c r="G187" s="19">
        <v>4596</v>
      </c>
      <c r="H187" s="19">
        <v>1166919</v>
      </c>
      <c r="I187" s="19">
        <v>44201</v>
      </c>
      <c r="J187" s="19">
        <v>36205</v>
      </c>
      <c r="K187" s="36">
        <v>39.1</v>
      </c>
      <c r="L187" s="36">
        <v>27.7</v>
      </c>
      <c r="N187" s="19">
        <v>221967</v>
      </c>
      <c r="O187" s="19">
        <v>76966</v>
      </c>
      <c r="P187" s="19">
        <v>70942</v>
      </c>
      <c r="Q187" s="19">
        <v>124472</v>
      </c>
      <c r="R187" s="19">
        <v>90056</v>
      </c>
      <c r="S187" s="19">
        <v>111658</v>
      </c>
      <c r="T187" s="19">
        <v>78807</v>
      </c>
      <c r="U187" s="19">
        <v>170291</v>
      </c>
      <c r="V187" s="19">
        <v>116709</v>
      </c>
      <c r="W187" s="19">
        <v>110903</v>
      </c>
      <c r="X187" s="17"/>
      <c r="Y187" s="17"/>
      <c r="Z187" s="17"/>
      <c r="AA187" s="17"/>
      <c r="AB187" s="17"/>
      <c r="AC187" s="2"/>
      <c r="AD187" s="12">
        <f>SUM(N187:AB187)</f>
        <v>1172771</v>
      </c>
      <c r="AE187" s="12">
        <f>SUM(N188:AB188)</f>
        <v>47413</v>
      </c>
      <c r="AF187" s="12">
        <f>SUM(N189:AB189)</f>
        <v>33522</v>
      </c>
      <c r="AG187" s="2"/>
      <c r="AH187" s="12">
        <f>AD187-B187</f>
        <v>-39445</v>
      </c>
      <c r="AI187" s="12">
        <f>AE187-C187</f>
        <v>0</v>
      </c>
      <c r="AJ187" s="12">
        <f>AF187-D187</f>
        <v>0</v>
      </c>
      <c r="AL187" s="47">
        <f>C187/B187*1000</f>
        <v>39.112666389488339</v>
      </c>
      <c r="AM187" s="47">
        <f>D187/B187*1000</f>
        <v>27.653487497277712</v>
      </c>
      <c r="AO187" s="47">
        <f>AL187-K187</f>
        <v>1.266638948833787E-2</v>
      </c>
      <c r="AP187" s="47">
        <f>AM187-L187</f>
        <v>-4.6512502722286797E-2</v>
      </c>
      <c r="AR187" s="12">
        <f t="shared" ref="AR187" si="178">H187</f>
        <v>1166919</v>
      </c>
      <c r="AS187" s="12">
        <f t="shared" ref="AS187" si="179">I187</f>
        <v>44201</v>
      </c>
      <c r="AT187" s="12">
        <f t="shared" ref="AT187" si="180">J187</f>
        <v>36205</v>
      </c>
    </row>
    <row r="188" spans="1:50" x14ac:dyDescent="0.55000000000000004">
      <c r="A188" s="11" t="s">
        <v>192</v>
      </c>
      <c r="B188" s="9"/>
      <c r="C188" s="9"/>
      <c r="D188" s="9"/>
      <c r="E188" s="9"/>
      <c r="F188" s="9"/>
      <c r="G188" s="9"/>
      <c r="H188" s="9"/>
      <c r="I188" s="9"/>
      <c r="J188" s="9"/>
      <c r="K188" s="37"/>
      <c r="L188" s="37"/>
      <c r="M188" s="9"/>
      <c r="N188" s="6">
        <v>9257</v>
      </c>
      <c r="O188" s="6">
        <v>2824</v>
      </c>
      <c r="P188" s="6">
        <v>2544</v>
      </c>
      <c r="Q188" s="6">
        <v>5738</v>
      </c>
      <c r="R188" s="6">
        <v>4108</v>
      </c>
      <c r="S188" s="6">
        <v>4651</v>
      </c>
      <c r="T188" s="6">
        <v>3333</v>
      </c>
      <c r="U188" s="6">
        <v>7165</v>
      </c>
      <c r="V188" s="6">
        <v>3663</v>
      </c>
      <c r="W188" s="6">
        <v>4130</v>
      </c>
      <c r="X188" s="9"/>
      <c r="Y188" s="9"/>
      <c r="Z188" s="9"/>
      <c r="AA188" s="9"/>
      <c r="AB188" s="9"/>
      <c r="AC188" s="2"/>
      <c r="AD188" s="2"/>
      <c r="AE188" s="2"/>
      <c r="AF188" s="2"/>
      <c r="AG188" s="2"/>
      <c r="AH188" s="2"/>
      <c r="AI188" s="2"/>
      <c r="AJ188" s="2"/>
    </row>
    <row r="189" spans="1:50" x14ac:dyDescent="0.55000000000000004">
      <c r="A189" s="11" t="s">
        <v>193</v>
      </c>
      <c r="B189" s="9"/>
      <c r="C189" s="9"/>
      <c r="D189" s="9"/>
      <c r="E189" s="9"/>
      <c r="F189" s="9"/>
      <c r="G189" s="9"/>
      <c r="H189" s="9"/>
      <c r="I189" s="9"/>
      <c r="J189" s="9"/>
      <c r="K189" s="37"/>
      <c r="L189" s="37"/>
      <c r="M189" s="9"/>
      <c r="N189" s="6">
        <v>6741</v>
      </c>
      <c r="O189" s="6">
        <v>2054</v>
      </c>
      <c r="P189" s="6">
        <v>1896</v>
      </c>
      <c r="Q189" s="6">
        <v>3607</v>
      </c>
      <c r="R189" s="6">
        <v>2812</v>
      </c>
      <c r="S189" s="6">
        <v>3529</v>
      </c>
      <c r="T189" s="6">
        <v>2671</v>
      </c>
      <c r="U189" s="6">
        <v>4705</v>
      </c>
      <c r="V189" s="6">
        <v>2658</v>
      </c>
      <c r="W189" s="6">
        <v>2849</v>
      </c>
      <c r="X189" s="9"/>
      <c r="Y189" s="9"/>
      <c r="Z189" s="9"/>
      <c r="AA189" s="9"/>
      <c r="AB189" s="9"/>
      <c r="AC189" s="2"/>
      <c r="AD189" s="2"/>
      <c r="AE189" s="2"/>
      <c r="AF189" s="2"/>
      <c r="AG189" s="2"/>
      <c r="AH189" s="2"/>
      <c r="AI189" s="2"/>
      <c r="AJ189" s="2"/>
    </row>
    <row r="190" spans="1:50" x14ac:dyDescent="0.55000000000000004">
      <c r="A190" s="45" t="s">
        <v>194</v>
      </c>
      <c r="B190" s="7">
        <v>65359347</v>
      </c>
      <c r="C190" s="7">
        <v>3212059</v>
      </c>
      <c r="D190" s="7">
        <v>2368755</v>
      </c>
      <c r="E190" s="7"/>
      <c r="F190" s="7"/>
      <c r="G190" s="7"/>
      <c r="H190" s="7">
        <v>63230360</v>
      </c>
      <c r="I190" s="7">
        <v>3117694</v>
      </c>
      <c r="J190" s="7">
        <v>2229321</v>
      </c>
      <c r="K190" s="38">
        <v>49.3</v>
      </c>
      <c r="L190" s="38">
        <v>36.4</v>
      </c>
      <c r="N190" s="7"/>
      <c r="O190" s="7"/>
      <c r="P190" s="7"/>
      <c r="Q190" s="7"/>
      <c r="R190" s="7"/>
      <c r="S190" s="7"/>
      <c r="T190" s="24"/>
      <c r="U190" s="25"/>
      <c r="V190" s="25"/>
      <c r="W190" s="25"/>
      <c r="X190" s="25"/>
      <c r="Y190" s="25"/>
      <c r="Z190" s="25"/>
      <c r="AA190" s="25"/>
      <c r="AB190" s="25"/>
      <c r="AC190" s="2"/>
      <c r="AD190" s="23">
        <f>SUM(AD84:AD189)</f>
        <v>65165942</v>
      </c>
      <c r="AE190" s="23">
        <f>SUM(AE84:AE189)</f>
        <v>3204543</v>
      </c>
      <c r="AF190" s="23">
        <f>SUM(AF84:AF189)</f>
        <v>2358640</v>
      </c>
      <c r="AG190" s="2"/>
      <c r="AH190" s="23">
        <f t="shared" ref="AH190:AJ191" si="181">AD190-B190</f>
        <v>-193405</v>
      </c>
      <c r="AI190" s="23">
        <f t="shared" si="181"/>
        <v>-7516</v>
      </c>
      <c r="AJ190" s="23">
        <f t="shared" si="181"/>
        <v>-10115</v>
      </c>
      <c r="AL190" s="49">
        <f>C190/B190*1000</f>
        <v>49.14460054198522</v>
      </c>
      <c r="AM190" s="49">
        <f>D190/B190*1000</f>
        <v>36.242023654244889</v>
      </c>
      <c r="AN190" s="48"/>
      <c r="AO190" s="49">
        <f>AL190-K190</f>
        <v>-0.15539945801477728</v>
      </c>
      <c r="AP190" s="49">
        <f>AM190-L190</f>
        <v>-0.15797634575510955</v>
      </c>
      <c r="AR190" s="23">
        <f t="shared" ref="AR190:AT190" si="182">SUM(AR84:AR189)</f>
        <v>63257597</v>
      </c>
      <c r="AS190" s="23">
        <f t="shared" si="182"/>
        <v>3119374</v>
      </c>
      <c r="AT190" s="23">
        <f t="shared" si="182"/>
        <v>2229247</v>
      </c>
      <c r="AV190" s="23">
        <f>H190-AR190</f>
        <v>-27237</v>
      </c>
      <c r="AW190" s="23">
        <f>I190-AS190</f>
        <v>-1680</v>
      </c>
      <c r="AX190" s="23">
        <f>J190-AT190</f>
        <v>74</v>
      </c>
    </row>
    <row r="191" spans="1:50" x14ac:dyDescent="0.55000000000000004">
      <c r="A191" s="18" t="s">
        <v>195</v>
      </c>
      <c r="B191" s="19">
        <v>2090219</v>
      </c>
      <c r="C191" s="19">
        <v>121533</v>
      </c>
      <c r="D191" s="19">
        <v>81789</v>
      </c>
      <c r="E191" s="19" t="s">
        <v>14</v>
      </c>
      <c r="F191" s="19" t="s">
        <v>14</v>
      </c>
      <c r="G191" s="19" t="s">
        <v>14</v>
      </c>
      <c r="H191" s="19">
        <v>1915192</v>
      </c>
      <c r="I191" s="19">
        <v>115919</v>
      </c>
      <c r="J191" s="19">
        <v>68890</v>
      </c>
      <c r="K191" s="36">
        <v>58.1</v>
      </c>
      <c r="L191" s="36">
        <v>39.1</v>
      </c>
      <c r="N191" s="19">
        <v>140734</v>
      </c>
      <c r="O191" s="19">
        <v>219866</v>
      </c>
      <c r="P191" s="19">
        <v>196346</v>
      </c>
      <c r="Q191" s="19">
        <v>405055</v>
      </c>
      <c r="R191" s="19">
        <v>296934</v>
      </c>
      <c r="S191" s="19">
        <v>55536</v>
      </c>
      <c r="T191" s="19">
        <v>360824</v>
      </c>
      <c r="U191" s="19">
        <v>204487</v>
      </c>
      <c r="V191" s="19">
        <v>210437</v>
      </c>
      <c r="W191" s="17"/>
      <c r="X191" s="17"/>
      <c r="Y191" s="17"/>
      <c r="Z191" s="17"/>
      <c r="AA191" s="17"/>
      <c r="AB191" s="17"/>
      <c r="AC191" s="2"/>
      <c r="AD191" s="12">
        <f>SUM(N191:AB191)</f>
        <v>2090219</v>
      </c>
      <c r="AE191" s="12">
        <f>SUM(N192:AB192)</f>
        <v>121533</v>
      </c>
      <c r="AF191" s="12">
        <f>SUM(N193:AB193)</f>
        <v>81789</v>
      </c>
      <c r="AG191" s="2"/>
      <c r="AH191" s="12">
        <f t="shared" si="181"/>
        <v>0</v>
      </c>
      <c r="AI191" s="12">
        <f t="shared" si="181"/>
        <v>0</v>
      </c>
      <c r="AJ191" s="12">
        <f t="shared" si="181"/>
        <v>0</v>
      </c>
      <c r="AL191" s="47">
        <f>C191/B191*1000</f>
        <v>58.143668199360924</v>
      </c>
      <c r="AM191" s="47">
        <f>D191/B191*1000</f>
        <v>39.129392661725873</v>
      </c>
      <c r="AO191" s="47">
        <f>AL191-K191</f>
        <v>4.3668199360922699E-2</v>
      </c>
      <c r="AP191" s="47">
        <f>AM191-L191</f>
        <v>2.939266172587196E-2</v>
      </c>
      <c r="AR191" s="12">
        <f t="shared" ref="AR191" si="183">H191</f>
        <v>1915192</v>
      </c>
      <c r="AS191" s="12">
        <f t="shared" ref="AS191" si="184">I191</f>
        <v>115919</v>
      </c>
      <c r="AT191" s="12">
        <f t="shared" ref="AT191" si="185">J191</f>
        <v>68890</v>
      </c>
    </row>
    <row r="192" spans="1:50" x14ac:dyDescent="0.55000000000000004">
      <c r="A192" s="11" t="s">
        <v>196</v>
      </c>
      <c r="B192" s="9"/>
      <c r="C192" s="9"/>
      <c r="D192" s="9"/>
      <c r="E192" s="9"/>
      <c r="F192" s="9"/>
      <c r="G192" s="9"/>
      <c r="H192" s="9"/>
      <c r="I192" s="9"/>
      <c r="J192" s="9"/>
      <c r="K192" s="37"/>
      <c r="L192" s="37"/>
      <c r="M192" s="9"/>
      <c r="N192" s="6">
        <v>11418</v>
      </c>
      <c r="O192" s="6">
        <v>13630</v>
      </c>
      <c r="P192" s="6">
        <v>9318</v>
      </c>
      <c r="Q192" s="6">
        <v>25027</v>
      </c>
      <c r="R192" s="6">
        <v>16275</v>
      </c>
      <c r="S192" s="6">
        <v>2393</v>
      </c>
      <c r="T192" s="6">
        <v>19073</v>
      </c>
      <c r="U192" s="6">
        <v>11196</v>
      </c>
      <c r="V192" s="6">
        <v>13203</v>
      </c>
      <c r="W192" s="9"/>
      <c r="X192" s="9"/>
      <c r="Y192" s="9"/>
      <c r="Z192" s="9"/>
      <c r="AA192" s="9"/>
      <c r="AB192" s="9"/>
      <c r="AC192" s="2"/>
      <c r="AD192" s="2"/>
      <c r="AE192" s="2"/>
      <c r="AF192" s="2"/>
      <c r="AG192" s="2"/>
      <c r="AH192" s="2"/>
      <c r="AI192" s="2"/>
      <c r="AJ192" s="2"/>
    </row>
    <row r="193" spans="1:50" x14ac:dyDescent="0.55000000000000004">
      <c r="A193" s="11" t="s">
        <v>197</v>
      </c>
      <c r="B193" s="9"/>
      <c r="C193" s="9"/>
      <c r="D193" s="9"/>
      <c r="E193" s="9"/>
      <c r="F193" s="9"/>
      <c r="G193" s="9"/>
      <c r="H193" s="9"/>
      <c r="I193" s="9"/>
      <c r="J193" s="9"/>
      <c r="K193" s="37"/>
      <c r="L193" s="37"/>
      <c r="M193" s="9"/>
      <c r="N193" s="6">
        <v>8422</v>
      </c>
      <c r="O193" s="6">
        <v>7297</v>
      </c>
      <c r="P193" s="6">
        <v>5669</v>
      </c>
      <c r="Q193" s="6">
        <v>15276</v>
      </c>
      <c r="R193" s="6">
        <v>11727</v>
      </c>
      <c r="S193" s="6">
        <v>1682</v>
      </c>
      <c r="T193" s="6">
        <v>17193</v>
      </c>
      <c r="U193" s="6">
        <v>6062</v>
      </c>
      <c r="V193" s="6">
        <v>8461</v>
      </c>
      <c r="W193" s="9"/>
      <c r="X193" s="9"/>
      <c r="Y193" s="9"/>
      <c r="Z193" s="9"/>
      <c r="AA193" s="9"/>
      <c r="AB193" s="9"/>
      <c r="AC193" s="2"/>
      <c r="AD193" s="2"/>
      <c r="AE193" s="2"/>
      <c r="AF193" s="2"/>
      <c r="AG193" s="2"/>
      <c r="AH193" s="2"/>
      <c r="AI193" s="2"/>
      <c r="AJ193" s="2"/>
    </row>
    <row r="194" spans="1:50" x14ac:dyDescent="0.55000000000000004">
      <c r="A194" s="45" t="s">
        <v>198</v>
      </c>
      <c r="B194" s="7">
        <v>99103355</v>
      </c>
      <c r="C194" s="7">
        <v>4702629</v>
      </c>
      <c r="D194" s="7">
        <v>3288308</v>
      </c>
      <c r="E194" s="7"/>
      <c r="F194" s="7"/>
      <c r="G194" s="7"/>
      <c r="H194" s="7">
        <v>95232073</v>
      </c>
      <c r="I194" s="7">
        <v>4527992</v>
      </c>
      <c r="J194" s="7">
        <v>2862871</v>
      </c>
      <c r="K194" s="38">
        <v>47.7</v>
      </c>
      <c r="L194" s="38">
        <v>33.299999999999997</v>
      </c>
      <c r="N194" s="7"/>
      <c r="O194" s="7"/>
      <c r="P194" s="7"/>
      <c r="Q194" s="7"/>
      <c r="R194" s="7"/>
      <c r="S194" s="24"/>
      <c r="T194" s="24"/>
      <c r="U194" s="25"/>
      <c r="V194" s="25"/>
      <c r="W194" s="25"/>
      <c r="X194" s="25"/>
      <c r="Y194" s="25"/>
      <c r="Z194" s="25"/>
      <c r="AA194" s="25"/>
      <c r="AB194" s="25"/>
      <c r="AC194" s="2"/>
      <c r="AD194" s="23">
        <f>SUM(AD41, AD73, AD83, AD190, AD191)</f>
        <v>98932071</v>
      </c>
      <c r="AE194" s="23">
        <f>SUM(AE41, AE73, AE83, AE190, AE191)</f>
        <v>4695338</v>
      </c>
      <c r="AF194" s="23">
        <f>SUM(AF41, AF73, AF83, AF190, AF191)</f>
        <v>3251564</v>
      </c>
      <c r="AG194" s="2"/>
      <c r="AH194" s="23">
        <f t="shared" ref="AH194:AJ195" si="186">AD194-B194</f>
        <v>-171284</v>
      </c>
      <c r="AI194" s="23">
        <f t="shared" si="186"/>
        <v>-7291</v>
      </c>
      <c r="AJ194" s="23">
        <f t="shared" si="186"/>
        <v>-36744</v>
      </c>
      <c r="AL194" s="49">
        <f>C194/B194*1000</f>
        <v>47.451763868135444</v>
      </c>
      <c r="AM194" s="49">
        <f>D194/B194*1000</f>
        <v>33.180592120216311</v>
      </c>
      <c r="AN194" s="48"/>
      <c r="AO194" s="49">
        <f>AL194-K194</f>
        <v>-0.24823613186455873</v>
      </c>
      <c r="AP194" s="49">
        <f>AM194-L194</f>
        <v>-0.11940787978368661</v>
      </c>
      <c r="AR194" s="23">
        <f t="shared" ref="AR194:AT194" si="187">SUM(AR41, AR73, AR83, AR190, AR191)</f>
        <v>94873596</v>
      </c>
      <c r="AS194" s="23">
        <f t="shared" si="187"/>
        <v>4521233</v>
      </c>
      <c r="AT194" s="23">
        <f t="shared" si="187"/>
        <v>3115060</v>
      </c>
      <c r="AV194" s="23">
        <f>H194-AR194</f>
        <v>358477</v>
      </c>
      <c r="AW194" s="23">
        <f>I194-AS194</f>
        <v>6759</v>
      </c>
      <c r="AX194" s="23">
        <f>J194-AT194</f>
        <v>-252189</v>
      </c>
    </row>
    <row r="195" spans="1:50" x14ac:dyDescent="0.55000000000000004">
      <c r="A195" s="18" t="s">
        <v>199</v>
      </c>
      <c r="B195" s="19">
        <v>881926</v>
      </c>
      <c r="C195" s="19">
        <v>21497</v>
      </c>
      <c r="D195" s="19">
        <v>19879</v>
      </c>
      <c r="E195" s="19">
        <v>169360</v>
      </c>
      <c r="F195" s="19">
        <v>4941</v>
      </c>
      <c r="G195" s="19">
        <v>4479</v>
      </c>
      <c r="H195" s="19">
        <v>777932</v>
      </c>
      <c r="I195" s="19">
        <v>19070</v>
      </c>
      <c r="J195" s="19">
        <v>15719</v>
      </c>
      <c r="K195" s="36">
        <v>24.4</v>
      </c>
      <c r="L195" s="36">
        <v>22.5</v>
      </c>
      <c r="N195" s="19">
        <v>174759</v>
      </c>
      <c r="O195" s="19">
        <v>78573</v>
      </c>
      <c r="P195" s="19">
        <v>98932</v>
      </c>
      <c r="Q195" s="19">
        <v>162931</v>
      </c>
      <c r="R195" s="19">
        <v>128777</v>
      </c>
      <c r="S195" s="19">
        <v>121841</v>
      </c>
      <c r="T195" s="19">
        <v>14682</v>
      </c>
      <c r="U195" s="19"/>
      <c r="V195" s="19"/>
      <c r="W195" s="19"/>
      <c r="X195" s="19"/>
      <c r="Y195" s="19"/>
      <c r="Z195" s="17"/>
      <c r="AA195" s="17"/>
      <c r="AB195" s="17"/>
      <c r="AC195" s="2"/>
      <c r="AD195" s="12">
        <f>SUM(N195:AB195)</f>
        <v>780495</v>
      </c>
      <c r="AE195" s="12">
        <f>SUM(N196:AB196)</f>
        <v>21497</v>
      </c>
      <c r="AF195" s="12">
        <f>SUM(N197:AB197)</f>
        <v>19871</v>
      </c>
      <c r="AG195" s="2"/>
      <c r="AH195" s="12">
        <f t="shared" si="186"/>
        <v>-101431</v>
      </c>
      <c r="AI195" s="12">
        <f t="shared" si="186"/>
        <v>0</v>
      </c>
      <c r="AJ195" s="12">
        <f t="shared" si="186"/>
        <v>-8</v>
      </c>
      <c r="AL195" s="47">
        <f>C195/B195*1000</f>
        <v>24.375060946156481</v>
      </c>
      <c r="AM195" s="47">
        <f>D195/B195*1000</f>
        <v>22.540439900853361</v>
      </c>
      <c r="AO195" s="47">
        <f>AL195-K195</f>
        <v>-2.4939053843517911E-2</v>
      </c>
      <c r="AP195" s="47">
        <f>AM195-L195</f>
        <v>4.0439900853360911E-2</v>
      </c>
      <c r="AR195" s="12">
        <f t="shared" ref="AR195" si="188">H195</f>
        <v>777932</v>
      </c>
      <c r="AS195" s="12">
        <f t="shared" ref="AS195" si="189">I195</f>
        <v>19070</v>
      </c>
      <c r="AT195" s="12">
        <f t="shared" ref="AT195" si="190">J195</f>
        <v>15719</v>
      </c>
    </row>
    <row r="196" spans="1:50" x14ac:dyDescent="0.55000000000000004">
      <c r="A196" s="11" t="s">
        <v>200</v>
      </c>
      <c r="B196" s="9"/>
      <c r="C196" s="9"/>
      <c r="D196" s="9"/>
      <c r="E196" s="9"/>
      <c r="F196" s="9"/>
      <c r="G196" s="9"/>
      <c r="H196" s="9"/>
      <c r="I196" s="9"/>
      <c r="J196" s="9"/>
      <c r="K196" s="37"/>
      <c r="L196" s="37"/>
      <c r="M196" s="9"/>
      <c r="N196" s="6">
        <v>4015</v>
      </c>
      <c r="O196" s="6">
        <v>2402</v>
      </c>
      <c r="P196" s="6">
        <v>1831</v>
      </c>
      <c r="Q196" s="6">
        <v>6333</v>
      </c>
      <c r="R196" s="6">
        <v>4514</v>
      </c>
      <c r="S196" s="6">
        <v>2063</v>
      </c>
      <c r="T196" s="6">
        <v>339</v>
      </c>
      <c r="U196" s="6"/>
      <c r="V196" s="6"/>
      <c r="W196" s="6"/>
      <c r="X196" s="6"/>
      <c r="Y196" s="6"/>
      <c r="Z196" s="9"/>
      <c r="AA196" s="9"/>
      <c r="AB196" s="9"/>
      <c r="AC196" s="2"/>
      <c r="AD196" s="2"/>
      <c r="AE196" s="2"/>
      <c r="AF196" s="2"/>
      <c r="AG196" s="2"/>
      <c r="AH196" s="2"/>
      <c r="AI196" s="2"/>
      <c r="AJ196" s="2"/>
    </row>
    <row r="197" spans="1:50" x14ac:dyDescent="0.55000000000000004">
      <c r="A197" s="11" t="s">
        <v>201</v>
      </c>
      <c r="B197" s="9"/>
      <c r="C197" s="9"/>
      <c r="D197" s="9"/>
      <c r="E197" s="9"/>
      <c r="F197" s="9"/>
      <c r="G197" s="9"/>
      <c r="H197" s="9"/>
      <c r="I197" s="9"/>
      <c r="J197" s="9"/>
      <c r="K197" s="37"/>
      <c r="L197" s="37"/>
      <c r="M197" s="9"/>
      <c r="N197" s="6">
        <v>3850</v>
      </c>
      <c r="O197" s="6">
        <v>2328</v>
      </c>
      <c r="P197" s="6">
        <v>1801</v>
      </c>
      <c r="Q197" s="6">
        <v>5848</v>
      </c>
      <c r="R197" s="6">
        <v>4455</v>
      </c>
      <c r="S197" s="6">
        <v>1317</v>
      </c>
      <c r="T197" s="6">
        <v>272</v>
      </c>
      <c r="U197" s="6"/>
      <c r="V197" s="6"/>
      <c r="W197" s="6"/>
      <c r="X197" s="6"/>
      <c r="Y197" s="6"/>
      <c r="Z197" s="9"/>
      <c r="AA197" s="9"/>
      <c r="AB197" s="9"/>
      <c r="AC197" s="2"/>
      <c r="AD197" s="2"/>
      <c r="AE197" s="2"/>
      <c r="AF197" s="2"/>
      <c r="AG197" s="2"/>
      <c r="AH197" s="2"/>
      <c r="AI197" s="2"/>
      <c r="AJ197" s="2"/>
    </row>
    <row r="198" spans="1:50" x14ac:dyDescent="0.55000000000000004">
      <c r="A198" s="18" t="s">
        <v>202</v>
      </c>
      <c r="B198" s="19">
        <v>661444</v>
      </c>
      <c r="C198" s="19">
        <v>10321</v>
      </c>
      <c r="D198" s="19">
        <v>11554</v>
      </c>
      <c r="E198" s="19" t="s">
        <v>14</v>
      </c>
      <c r="F198" s="19" t="s">
        <v>14</v>
      </c>
      <c r="G198" s="19" t="s">
        <v>14</v>
      </c>
      <c r="H198" s="19">
        <v>626981</v>
      </c>
      <c r="I198" s="19">
        <v>13908</v>
      </c>
      <c r="J198" s="19">
        <v>12320</v>
      </c>
      <c r="K198" s="39" t="s">
        <v>14</v>
      </c>
      <c r="L198" s="39" t="s">
        <v>14</v>
      </c>
      <c r="N198" s="19">
        <v>35362</v>
      </c>
      <c r="O198" s="19">
        <v>49508</v>
      </c>
      <c r="P198" s="19">
        <v>60541</v>
      </c>
      <c r="Q198" s="19">
        <v>80667</v>
      </c>
      <c r="R198" s="19">
        <v>73218</v>
      </c>
      <c r="S198" s="19">
        <v>79597</v>
      </c>
      <c r="T198" s="19">
        <v>52168</v>
      </c>
      <c r="U198" s="19">
        <v>79998</v>
      </c>
      <c r="V198" s="19">
        <v>70160</v>
      </c>
      <c r="W198" s="19">
        <v>80225</v>
      </c>
      <c r="X198" s="19"/>
      <c r="Y198" s="19"/>
      <c r="Z198" s="17"/>
      <c r="AA198" s="17"/>
      <c r="AB198" s="17"/>
      <c r="AC198" s="2"/>
      <c r="AD198" s="12">
        <f>SUM(N198:AB198)</f>
        <v>661444</v>
      </c>
      <c r="AE198" s="12">
        <f>SUM(N199:AB199)</f>
        <v>10322</v>
      </c>
      <c r="AF198" s="12">
        <f>SUM(N200:AB200)</f>
        <v>11554</v>
      </c>
      <c r="AG198" s="2"/>
      <c r="AH198" s="12">
        <f>AD198-B198</f>
        <v>0</v>
      </c>
      <c r="AI198" s="12">
        <f>AE198-C198</f>
        <v>1</v>
      </c>
      <c r="AJ198" s="12">
        <f>AF198-D198</f>
        <v>0</v>
      </c>
      <c r="AL198" s="47">
        <f>C198/B198*1000</f>
        <v>15.603739696784611</v>
      </c>
      <c r="AM198" s="47">
        <f>D198/B198*1000</f>
        <v>17.467843082709951</v>
      </c>
      <c r="AO198" s="47"/>
      <c r="AP198" s="47"/>
      <c r="AR198" s="12">
        <f t="shared" ref="AR198" si="191">H198</f>
        <v>626981</v>
      </c>
      <c r="AS198" s="12">
        <f t="shared" ref="AS198" si="192">I198</f>
        <v>13908</v>
      </c>
      <c r="AT198" s="12">
        <f t="shared" ref="AT198" si="193">J198</f>
        <v>12320</v>
      </c>
    </row>
    <row r="199" spans="1:50" x14ac:dyDescent="0.55000000000000004">
      <c r="A199" s="11" t="s">
        <v>203</v>
      </c>
      <c r="B199" s="9"/>
      <c r="C199" s="9"/>
      <c r="D199" s="9"/>
      <c r="E199" s="9"/>
      <c r="F199" s="9"/>
      <c r="G199" s="9"/>
      <c r="H199" s="9"/>
      <c r="I199" s="9"/>
      <c r="J199" s="9"/>
      <c r="K199" s="37"/>
      <c r="L199" s="37"/>
      <c r="M199" s="9"/>
      <c r="N199" s="6" t="s">
        <v>14</v>
      </c>
      <c r="O199" s="6">
        <v>1104</v>
      </c>
      <c r="P199" s="6">
        <v>1250</v>
      </c>
      <c r="Q199" s="6">
        <v>1849</v>
      </c>
      <c r="R199" s="6">
        <v>1344</v>
      </c>
      <c r="S199" s="6">
        <v>1600</v>
      </c>
      <c r="T199" s="6">
        <v>1583</v>
      </c>
      <c r="U199" s="6" t="s">
        <v>14</v>
      </c>
      <c r="V199" s="6" t="s">
        <v>14</v>
      </c>
      <c r="W199" s="6">
        <v>1592</v>
      </c>
      <c r="X199" s="6"/>
      <c r="Y199" s="6"/>
      <c r="Z199" s="9"/>
      <c r="AA199" s="9"/>
      <c r="AB199" s="9"/>
      <c r="AC199" s="2"/>
      <c r="AD199" s="2"/>
      <c r="AE199" s="2"/>
      <c r="AF199" s="2"/>
      <c r="AG199" s="2"/>
      <c r="AH199" s="2"/>
      <c r="AI199" s="2"/>
      <c r="AJ199" s="2"/>
    </row>
    <row r="200" spans="1:50" x14ac:dyDescent="0.55000000000000004">
      <c r="A200" s="11" t="s">
        <v>204</v>
      </c>
      <c r="B200" s="9"/>
      <c r="C200" s="9"/>
      <c r="D200" s="9"/>
      <c r="E200" s="9"/>
      <c r="F200" s="9"/>
      <c r="G200" s="9"/>
      <c r="H200" s="9"/>
      <c r="I200" s="9"/>
      <c r="J200" s="9"/>
      <c r="K200" s="37"/>
      <c r="L200" s="37"/>
      <c r="M200" s="9"/>
      <c r="N200" s="6" t="s">
        <v>14</v>
      </c>
      <c r="O200" s="6">
        <v>1100</v>
      </c>
      <c r="P200" s="6">
        <v>848</v>
      </c>
      <c r="Q200" s="6">
        <v>1566</v>
      </c>
      <c r="R200" s="6">
        <v>3372</v>
      </c>
      <c r="S200" s="6">
        <v>1732</v>
      </c>
      <c r="T200" s="6">
        <v>919</v>
      </c>
      <c r="U200" s="6" t="s">
        <v>14</v>
      </c>
      <c r="V200" s="6" t="s">
        <v>14</v>
      </c>
      <c r="W200" s="6">
        <v>2017</v>
      </c>
      <c r="X200" s="6"/>
      <c r="Y200" s="6"/>
      <c r="Z200" s="9"/>
      <c r="AA200" s="9"/>
      <c r="AB200" s="9"/>
      <c r="AC200" s="2"/>
      <c r="AD200" s="2"/>
      <c r="AE200" s="2"/>
      <c r="AF200" s="2"/>
      <c r="AG200" s="2"/>
      <c r="AH200" s="2"/>
      <c r="AI200" s="2"/>
      <c r="AJ200" s="2"/>
    </row>
    <row r="201" spans="1:50" x14ac:dyDescent="0.55000000000000004">
      <c r="A201" s="18" t="s">
        <v>205</v>
      </c>
      <c r="B201" s="19">
        <v>793969</v>
      </c>
      <c r="C201" s="19">
        <v>22575</v>
      </c>
      <c r="D201" s="19">
        <v>16174</v>
      </c>
      <c r="E201" s="19">
        <v>85984</v>
      </c>
      <c r="F201" s="19">
        <v>2324</v>
      </c>
      <c r="G201" s="19">
        <v>1995</v>
      </c>
      <c r="H201" s="19">
        <v>780820</v>
      </c>
      <c r="I201" s="19">
        <v>20320</v>
      </c>
      <c r="J201" s="19">
        <v>13860</v>
      </c>
      <c r="K201" s="36">
        <v>28.4</v>
      </c>
      <c r="L201" s="36">
        <v>20.399999999999999</v>
      </c>
      <c r="N201" s="19">
        <v>137990</v>
      </c>
      <c r="O201" s="19">
        <v>57480</v>
      </c>
      <c r="P201" s="19">
        <v>51837</v>
      </c>
      <c r="Q201" s="19">
        <v>58725</v>
      </c>
      <c r="R201" s="19">
        <v>132671</v>
      </c>
      <c r="S201" s="19">
        <v>92823</v>
      </c>
      <c r="T201" s="19">
        <v>120499</v>
      </c>
      <c r="U201" s="19">
        <v>141944</v>
      </c>
      <c r="V201" s="19"/>
      <c r="W201" s="19"/>
      <c r="X201" s="19"/>
      <c r="Y201" s="19"/>
      <c r="Z201" s="17"/>
      <c r="AA201" s="17"/>
      <c r="AB201" s="17"/>
      <c r="AC201" s="2"/>
      <c r="AD201" s="12">
        <f>SUM(N201:AB201)</f>
        <v>793969</v>
      </c>
      <c r="AE201" s="12">
        <f>SUM(N202:AB202)</f>
        <v>22665</v>
      </c>
      <c r="AF201" s="12">
        <f>SUM(N203:AB203)</f>
        <v>16174</v>
      </c>
      <c r="AG201" s="2"/>
      <c r="AH201" s="12">
        <f>AD201-B201</f>
        <v>0</v>
      </c>
      <c r="AI201" s="12">
        <f>AE201-C201</f>
        <v>90</v>
      </c>
      <c r="AJ201" s="12">
        <f>AF201-D201</f>
        <v>0</v>
      </c>
      <c r="AL201" s="47">
        <f>C201/B201*1000</f>
        <v>28.433100032872819</v>
      </c>
      <c r="AM201" s="47">
        <f>D201/B201*1000</f>
        <v>20.371072422223033</v>
      </c>
      <c r="AO201" s="47">
        <f>AL201-K201</f>
        <v>3.3100032872820151E-2</v>
      </c>
      <c r="AP201" s="47">
        <f>AM201-L201</f>
        <v>-2.8927577776965308E-2</v>
      </c>
      <c r="AR201" s="12">
        <f t="shared" ref="AR201" si="194">H201</f>
        <v>780820</v>
      </c>
      <c r="AS201" s="12">
        <f t="shared" ref="AS201" si="195">I201</f>
        <v>20320</v>
      </c>
      <c r="AT201" s="12">
        <f t="shared" ref="AT201" si="196">J201</f>
        <v>13860</v>
      </c>
    </row>
    <row r="202" spans="1:50" x14ac:dyDescent="0.55000000000000004">
      <c r="A202" s="11" t="s">
        <v>206</v>
      </c>
      <c r="B202" s="9"/>
      <c r="C202" s="9"/>
      <c r="D202" s="9"/>
      <c r="E202" s="9"/>
      <c r="F202" s="9"/>
      <c r="G202" s="9"/>
      <c r="H202" s="9"/>
      <c r="I202" s="9"/>
      <c r="J202" s="9"/>
      <c r="K202" s="37"/>
      <c r="L202" s="37"/>
      <c r="M202" s="9"/>
      <c r="N202" s="6">
        <v>3099</v>
      </c>
      <c r="O202" s="6">
        <v>2462</v>
      </c>
      <c r="P202" s="6">
        <v>849</v>
      </c>
      <c r="Q202" s="6">
        <v>2622</v>
      </c>
      <c r="R202" s="6">
        <v>2711</v>
      </c>
      <c r="S202" s="6">
        <v>3097</v>
      </c>
      <c r="T202" s="6">
        <v>4040</v>
      </c>
      <c r="U202" s="6">
        <v>3785</v>
      </c>
      <c r="V202" s="6"/>
      <c r="W202" s="6"/>
      <c r="X202" s="6"/>
      <c r="Y202" s="6"/>
      <c r="Z202" s="9"/>
      <c r="AA202" s="9"/>
      <c r="AB202" s="9"/>
      <c r="AC202" s="2"/>
      <c r="AD202" s="2"/>
      <c r="AE202" s="2"/>
      <c r="AF202" s="2"/>
      <c r="AG202" s="2"/>
      <c r="AH202" s="2"/>
      <c r="AI202" s="2"/>
      <c r="AJ202" s="2"/>
    </row>
    <row r="203" spans="1:50" x14ac:dyDescent="0.55000000000000004">
      <c r="A203" s="11" t="s">
        <v>207</v>
      </c>
      <c r="B203" s="9"/>
      <c r="C203" s="9"/>
      <c r="D203" s="9"/>
      <c r="E203" s="9"/>
      <c r="F203" s="9"/>
      <c r="G203" s="9"/>
      <c r="H203" s="9"/>
      <c r="I203" s="9"/>
      <c r="J203" s="9"/>
      <c r="K203" s="37"/>
      <c r="L203" s="37"/>
      <c r="M203" s="9"/>
      <c r="N203" s="6">
        <v>1804</v>
      </c>
      <c r="O203" s="6">
        <v>1570</v>
      </c>
      <c r="P203" s="6">
        <v>460</v>
      </c>
      <c r="Q203" s="6">
        <v>1674</v>
      </c>
      <c r="R203" s="6">
        <v>1784</v>
      </c>
      <c r="S203" s="6">
        <v>2328</v>
      </c>
      <c r="T203" s="6">
        <v>4169</v>
      </c>
      <c r="U203" s="6">
        <v>2385</v>
      </c>
      <c r="V203" s="6"/>
      <c r="W203" s="6"/>
      <c r="X203" s="6"/>
      <c r="Y203" s="6"/>
      <c r="Z203" s="9"/>
      <c r="AA203" s="9"/>
      <c r="AB203" s="9"/>
      <c r="AC203" s="2"/>
      <c r="AD203" s="2"/>
      <c r="AE203" s="2"/>
      <c r="AF203" s="2"/>
      <c r="AG203" s="2"/>
      <c r="AH203" s="2"/>
      <c r="AI203" s="2"/>
      <c r="AJ203" s="2"/>
    </row>
    <row r="204" spans="1:50" x14ac:dyDescent="0.55000000000000004">
      <c r="A204" s="20" t="s">
        <v>208</v>
      </c>
      <c r="B204" s="19">
        <v>237114</v>
      </c>
      <c r="C204" s="19">
        <v>3894</v>
      </c>
      <c r="D204" s="19">
        <v>1552</v>
      </c>
      <c r="E204" s="19" t="s">
        <v>14</v>
      </c>
      <c r="F204" s="19" t="s">
        <v>14</v>
      </c>
      <c r="G204" s="19" t="s">
        <v>14</v>
      </c>
      <c r="H204" s="19" t="s">
        <v>14</v>
      </c>
      <c r="I204" s="19" t="s">
        <v>14</v>
      </c>
      <c r="J204" s="19" t="s">
        <v>14</v>
      </c>
      <c r="K204" s="39" t="s">
        <v>14</v>
      </c>
      <c r="L204" s="39" t="s">
        <v>14</v>
      </c>
      <c r="N204" s="19"/>
      <c r="O204" s="19"/>
      <c r="P204" s="19"/>
      <c r="Q204" s="19"/>
      <c r="R204" s="19"/>
      <c r="S204" s="19"/>
      <c r="T204" s="19"/>
      <c r="U204" s="17"/>
      <c r="V204" s="17"/>
      <c r="W204" s="17"/>
      <c r="X204" s="17"/>
      <c r="Y204" s="17"/>
      <c r="Z204" s="17"/>
      <c r="AA204" s="17"/>
      <c r="AB204" s="17"/>
      <c r="AC204" s="2"/>
      <c r="AD204" s="12">
        <f>B204</f>
        <v>237114</v>
      </c>
      <c r="AE204" s="12">
        <f>C204</f>
        <v>3894</v>
      </c>
      <c r="AF204" s="12">
        <f>D204</f>
        <v>1552</v>
      </c>
      <c r="AG204" s="2"/>
      <c r="AH204" s="12"/>
      <c r="AI204" s="12"/>
      <c r="AJ204" s="12"/>
      <c r="AL204" s="47">
        <f>C204/B204*1000</f>
        <v>16.422480325919178</v>
      </c>
      <c r="AM204" s="47">
        <f>D204/B204*1000</f>
        <v>6.545374798620073</v>
      </c>
      <c r="AO204" s="47"/>
      <c r="AP204" s="47"/>
      <c r="AR204" s="12"/>
      <c r="AS204" s="12"/>
      <c r="AT204" s="12"/>
    </row>
    <row r="205" spans="1:50" x14ac:dyDescent="0.55000000000000004">
      <c r="A205" s="18" t="s">
        <v>209</v>
      </c>
      <c r="B205" s="19">
        <v>1544358</v>
      </c>
      <c r="C205" s="19">
        <v>91303</v>
      </c>
      <c r="D205" s="19">
        <v>66594</v>
      </c>
      <c r="E205" s="19">
        <v>178697</v>
      </c>
      <c r="F205" s="19">
        <v>7752</v>
      </c>
      <c r="G205" s="19">
        <v>5338</v>
      </c>
      <c r="H205" s="19">
        <v>1385525</v>
      </c>
      <c r="I205" s="19">
        <v>85159</v>
      </c>
      <c r="J205" s="19">
        <v>57139</v>
      </c>
      <c r="K205" s="36">
        <v>59.1</v>
      </c>
      <c r="L205" s="36">
        <v>43.1</v>
      </c>
      <c r="N205" s="19">
        <v>204721</v>
      </c>
      <c r="O205" s="19">
        <v>187344</v>
      </c>
      <c r="P205" s="19">
        <v>215596</v>
      </c>
      <c r="Q205" s="19">
        <v>198030</v>
      </c>
      <c r="R205" s="19">
        <v>250716</v>
      </c>
      <c r="S205" s="19">
        <v>214380</v>
      </c>
      <c r="T205" s="19">
        <v>237509</v>
      </c>
      <c r="U205" s="19">
        <v>36102</v>
      </c>
      <c r="V205" s="19"/>
      <c r="W205" s="19"/>
      <c r="X205" s="19"/>
      <c r="Y205" s="19"/>
      <c r="Z205" s="17"/>
      <c r="AA205" s="17"/>
      <c r="AB205" s="17"/>
      <c r="AC205" s="2"/>
      <c r="AD205" s="12">
        <f>SUM(N205:AB205)</f>
        <v>1544398</v>
      </c>
      <c r="AE205" s="12">
        <f>SUM(N206:AB206)</f>
        <v>91403</v>
      </c>
      <c r="AF205" s="12">
        <f>SUM(N207:AB207)</f>
        <v>65553</v>
      </c>
      <c r="AG205" s="2"/>
      <c r="AH205" s="12">
        <f>AD205-B205</f>
        <v>40</v>
      </c>
      <c r="AI205" s="12">
        <f>AE205-C205</f>
        <v>100</v>
      </c>
      <c r="AJ205" s="12">
        <f>AF205-D205</f>
        <v>-1041</v>
      </c>
      <c r="AL205" s="47">
        <f>C205/B205*1000</f>
        <v>59.120359398533239</v>
      </c>
      <c r="AM205" s="47">
        <f>D205/B205*1000</f>
        <v>43.120830791824176</v>
      </c>
      <c r="AO205" s="47">
        <f>AL205-K205</f>
        <v>2.0359398533237538E-2</v>
      </c>
      <c r="AP205" s="47">
        <f>AM205-L205</f>
        <v>2.0830791824174355E-2</v>
      </c>
      <c r="AR205" s="12">
        <f>H205</f>
        <v>1385525</v>
      </c>
      <c r="AS205" s="12">
        <f>I205</f>
        <v>85159</v>
      </c>
      <c r="AT205" s="12">
        <f>J205</f>
        <v>57139</v>
      </c>
    </row>
    <row r="206" spans="1:50" x14ac:dyDescent="0.55000000000000004">
      <c r="A206" s="11" t="s">
        <v>210</v>
      </c>
      <c r="B206" s="9"/>
      <c r="C206" s="9"/>
      <c r="D206" s="9"/>
      <c r="E206" s="9"/>
      <c r="F206" s="9"/>
      <c r="G206" s="9"/>
      <c r="H206" s="9"/>
      <c r="I206" s="9"/>
      <c r="J206" s="9"/>
      <c r="K206" s="37"/>
      <c r="L206" s="37"/>
      <c r="M206" s="9"/>
      <c r="N206" s="6">
        <v>11212</v>
      </c>
      <c r="O206" s="6">
        <v>10984</v>
      </c>
      <c r="P206" s="6">
        <v>13715</v>
      </c>
      <c r="Q206" s="6">
        <v>13259</v>
      </c>
      <c r="R206" s="6">
        <v>15797</v>
      </c>
      <c r="S206" s="6">
        <v>10443</v>
      </c>
      <c r="T206" s="6">
        <v>14820</v>
      </c>
      <c r="U206" s="6">
        <v>1173</v>
      </c>
      <c r="V206" s="6"/>
      <c r="W206" s="6"/>
      <c r="X206" s="6"/>
      <c r="Y206" s="6"/>
      <c r="Z206" s="9"/>
      <c r="AA206" s="9"/>
      <c r="AB206" s="9"/>
      <c r="AC206" s="2"/>
      <c r="AD206" s="2"/>
      <c r="AE206" s="2"/>
      <c r="AF206" s="2"/>
      <c r="AG206" s="2"/>
      <c r="AH206" s="2"/>
      <c r="AI206" s="2"/>
      <c r="AJ206" s="2"/>
    </row>
    <row r="207" spans="1:50" x14ac:dyDescent="0.55000000000000004">
      <c r="A207" s="11" t="s">
        <v>211</v>
      </c>
      <c r="B207" s="9"/>
      <c r="C207" s="9"/>
      <c r="D207" s="9"/>
      <c r="E207" s="9"/>
      <c r="F207" s="9"/>
      <c r="G207" s="9"/>
      <c r="H207" s="9"/>
      <c r="I207" s="9"/>
      <c r="J207" s="9"/>
      <c r="K207" s="37"/>
      <c r="L207" s="37"/>
      <c r="M207" s="9"/>
      <c r="N207" s="6">
        <v>6801</v>
      </c>
      <c r="O207" s="6">
        <v>7893</v>
      </c>
      <c r="P207" s="6">
        <v>9696</v>
      </c>
      <c r="Q207" s="6">
        <v>9756</v>
      </c>
      <c r="R207" s="6">
        <v>13538</v>
      </c>
      <c r="S207" s="6">
        <v>8107</v>
      </c>
      <c r="T207" s="6">
        <v>8778</v>
      </c>
      <c r="U207" s="6">
        <v>984</v>
      </c>
      <c r="V207" s="6"/>
      <c r="W207" s="6"/>
      <c r="X207" s="6"/>
      <c r="Y207" s="6"/>
      <c r="Z207" s="9"/>
      <c r="AA207" s="9"/>
      <c r="AB207" s="9"/>
      <c r="AC207" s="2"/>
      <c r="AD207" s="2"/>
      <c r="AE207" s="2"/>
      <c r="AF207" s="2"/>
      <c r="AG207" s="2"/>
      <c r="AH207" s="2"/>
      <c r="AI207" s="2"/>
      <c r="AJ207" s="2"/>
    </row>
    <row r="208" spans="1:50" x14ac:dyDescent="0.55000000000000004">
      <c r="A208" s="18" t="s">
        <v>212</v>
      </c>
      <c r="B208" s="19">
        <v>965511</v>
      </c>
      <c r="C208" s="19">
        <v>31290</v>
      </c>
      <c r="D208" s="19">
        <v>17245</v>
      </c>
      <c r="E208" s="19" t="s">
        <v>14</v>
      </c>
      <c r="F208" s="19" t="s">
        <v>14</v>
      </c>
      <c r="G208" s="19" t="s">
        <v>14</v>
      </c>
      <c r="H208" s="19">
        <v>956660</v>
      </c>
      <c r="I208" s="19">
        <v>27377</v>
      </c>
      <c r="J208" s="19">
        <v>14579</v>
      </c>
      <c r="K208" s="36">
        <v>32.4</v>
      </c>
      <c r="L208" s="36">
        <v>17.899999999999999</v>
      </c>
      <c r="N208" s="19">
        <v>195488</v>
      </c>
      <c r="O208" s="19">
        <v>53999</v>
      </c>
      <c r="P208" s="19">
        <v>70106</v>
      </c>
      <c r="Q208" s="19">
        <v>105793</v>
      </c>
      <c r="R208" s="19">
        <v>49282</v>
      </c>
      <c r="S208" s="19">
        <v>80331</v>
      </c>
      <c r="T208" s="19">
        <v>77837</v>
      </c>
      <c r="U208" s="19">
        <v>103000</v>
      </c>
      <c r="V208" s="19">
        <v>79028</v>
      </c>
      <c r="W208" s="19">
        <v>150647</v>
      </c>
      <c r="X208" s="19"/>
      <c r="Y208" s="19"/>
      <c r="Z208" s="17"/>
      <c r="AA208" s="17"/>
      <c r="AB208" s="17"/>
      <c r="AC208" s="2"/>
      <c r="AD208" s="12">
        <f>SUM(N208:AB208)</f>
        <v>965511</v>
      </c>
      <c r="AE208" s="12">
        <f>SUM(N209:AB209)</f>
        <v>31230</v>
      </c>
      <c r="AF208" s="12">
        <f>SUM(N210:AB210)</f>
        <v>17245</v>
      </c>
      <c r="AG208" s="2"/>
      <c r="AH208" s="12">
        <f>AD208-B208</f>
        <v>0</v>
      </c>
      <c r="AI208" s="12">
        <f>AE208-C208</f>
        <v>-60</v>
      </c>
      <c r="AJ208" s="12">
        <f>AF208-D208</f>
        <v>0</v>
      </c>
      <c r="AL208" s="47">
        <f>C208/B208*1000</f>
        <v>32.407709492693506</v>
      </c>
      <c r="AM208" s="47">
        <f>D208/B208*1000</f>
        <v>17.861008315803755</v>
      </c>
      <c r="AO208" s="47">
        <f>AL208-K208</f>
        <v>7.7094926935075136E-3</v>
      </c>
      <c r="AP208" s="47">
        <f>AM208-L208</f>
        <v>-3.8991684196243881E-2</v>
      </c>
      <c r="AR208" s="12">
        <f t="shared" ref="AR208" si="197">H208</f>
        <v>956660</v>
      </c>
      <c r="AS208" s="12">
        <f t="shared" ref="AS208" si="198">I208</f>
        <v>27377</v>
      </c>
      <c r="AT208" s="12">
        <f t="shared" ref="AT208" si="199">J208</f>
        <v>14579</v>
      </c>
    </row>
    <row r="209" spans="1:50" x14ac:dyDescent="0.55000000000000004">
      <c r="A209" s="11" t="s">
        <v>213</v>
      </c>
      <c r="B209" s="9"/>
      <c r="C209" s="9"/>
      <c r="D209" s="9"/>
      <c r="E209" s="9"/>
      <c r="F209" s="9"/>
      <c r="G209" s="9"/>
      <c r="H209" s="9"/>
      <c r="I209" s="9"/>
      <c r="J209" s="9"/>
      <c r="K209" s="37"/>
      <c r="L209" s="37"/>
      <c r="M209" s="9"/>
      <c r="N209" s="6">
        <v>7653</v>
      </c>
      <c r="O209" s="6">
        <v>1718</v>
      </c>
      <c r="P209" s="6">
        <v>1619</v>
      </c>
      <c r="Q209" s="6">
        <v>2780</v>
      </c>
      <c r="R209" s="6">
        <v>1383</v>
      </c>
      <c r="S209" s="6">
        <v>2744</v>
      </c>
      <c r="T209" s="6">
        <v>2368</v>
      </c>
      <c r="U209" s="6">
        <v>3554</v>
      </c>
      <c r="V209" s="6">
        <v>1801</v>
      </c>
      <c r="W209" s="6">
        <v>5610</v>
      </c>
      <c r="X209" s="6"/>
      <c r="Y209" s="6"/>
      <c r="Z209" s="9"/>
      <c r="AA209" s="9"/>
      <c r="AB209" s="9"/>
      <c r="AC209" s="2"/>
      <c r="AD209" s="2"/>
      <c r="AE209" s="2"/>
      <c r="AF209" s="2"/>
      <c r="AG209" s="2"/>
      <c r="AH209" s="2"/>
      <c r="AI209" s="2"/>
      <c r="AJ209" s="2"/>
    </row>
    <row r="210" spans="1:50" x14ac:dyDescent="0.55000000000000004">
      <c r="A210" s="11" t="s">
        <v>214</v>
      </c>
      <c r="B210" s="9"/>
      <c r="C210" s="9"/>
      <c r="D210" s="9"/>
      <c r="E210" s="9"/>
      <c r="F210" s="9"/>
      <c r="G210" s="9"/>
      <c r="H210" s="9"/>
      <c r="I210" s="9"/>
      <c r="J210" s="9"/>
      <c r="K210" s="37"/>
      <c r="L210" s="37"/>
      <c r="M210" s="9"/>
      <c r="N210" s="6">
        <v>3881</v>
      </c>
      <c r="O210" s="6">
        <v>1293</v>
      </c>
      <c r="P210" s="6">
        <v>796</v>
      </c>
      <c r="Q210" s="6">
        <v>1872</v>
      </c>
      <c r="R210" s="6">
        <v>762</v>
      </c>
      <c r="S210" s="6">
        <v>1241</v>
      </c>
      <c r="T210" s="6">
        <v>1321</v>
      </c>
      <c r="U210" s="6">
        <v>1742</v>
      </c>
      <c r="V210" s="6">
        <v>1684</v>
      </c>
      <c r="W210" s="6">
        <v>2653</v>
      </c>
      <c r="X210" s="6"/>
      <c r="Y210" s="6"/>
      <c r="Z210" s="9"/>
      <c r="AA210" s="9"/>
      <c r="AB210" s="9"/>
      <c r="AC210" s="2"/>
      <c r="AD210" s="2"/>
      <c r="AE210" s="2"/>
      <c r="AF210" s="2"/>
      <c r="AG210" s="2"/>
      <c r="AH210" s="2"/>
      <c r="AI210" s="2"/>
      <c r="AJ210" s="2"/>
    </row>
    <row r="211" spans="1:50" x14ac:dyDescent="0.55000000000000004">
      <c r="A211" s="18" t="s">
        <v>215</v>
      </c>
      <c r="B211" s="19">
        <v>695577</v>
      </c>
      <c r="C211" s="19">
        <v>43549</v>
      </c>
      <c r="D211" s="19">
        <v>36430</v>
      </c>
      <c r="E211" s="19" t="s">
        <v>14</v>
      </c>
      <c r="F211" s="19" t="s">
        <v>14</v>
      </c>
      <c r="G211" s="19" t="s">
        <v>14</v>
      </c>
      <c r="H211" s="19">
        <v>674237</v>
      </c>
      <c r="I211" s="19">
        <v>41989</v>
      </c>
      <c r="J211" s="19">
        <v>28752</v>
      </c>
      <c r="K211" s="36">
        <v>62.5</v>
      </c>
      <c r="L211" s="36">
        <v>52.3</v>
      </c>
      <c r="N211" s="19">
        <v>136235</v>
      </c>
      <c r="O211" s="19">
        <v>143548</v>
      </c>
      <c r="P211" s="19">
        <v>170246</v>
      </c>
      <c r="Q211" s="19">
        <v>197096</v>
      </c>
      <c r="R211" s="19">
        <v>48452</v>
      </c>
      <c r="S211" s="19"/>
      <c r="T211" s="19"/>
      <c r="U211" s="19"/>
      <c r="V211" s="19"/>
      <c r="W211" s="19"/>
      <c r="X211" s="19"/>
      <c r="Y211" s="19"/>
      <c r="Z211" s="17"/>
      <c r="AA211" s="17"/>
      <c r="AB211" s="17"/>
      <c r="AC211" s="2"/>
      <c r="AD211" s="12">
        <f>SUM(N211:AB211)</f>
        <v>695577</v>
      </c>
      <c r="AE211" s="12">
        <f>SUM(N212:AB212)</f>
        <v>43549</v>
      </c>
      <c r="AF211" s="12">
        <f>SUM(N213:AB213)</f>
        <v>36430</v>
      </c>
      <c r="AG211" s="2"/>
      <c r="AH211" s="12">
        <f>AD211-B211</f>
        <v>0</v>
      </c>
      <c r="AI211" s="12">
        <f>AE211-C211</f>
        <v>0</v>
      </c>
      <c r="AJ211" s="12">
        <f>AF211-D211</f>
        <v>0</v>
      </c>
      <c r="AL211" s="47">
        <f>C211/B211*1000</f>
        <v>62.60845312596593</v>
      </c>
      <c r="AM211" s="47">
        <f>D211/B211*1000</f>
        <v>52.373784642102883</v>
      </c>
      <c r="AO211" s="47">
        <f>AL211-K211</f>
        <v>0.10845312596593004</v>
      </c>
      <c r="AP211" s="47">
        <f>AM211-L211</f>
        <v>7.3784642102886266E-2</v>
      </c>
      <c r="AR211" s="12">
        <f t="shared" ref="AR211" si="200">H211</f>
        <v>674237</v>
      </c>
      <c r="AS211" s="12">
        <f t="shared" ref="AS211" si="201">I211</f>
        <v>41989</v>
      </c>
      <c r="AT211" s="12">
        <f t="shared" ref="AT211" si="202">J211</f>
        <v>28752</v>
      </c>
    </row>
    <row r="212" spans="1:50" x14ac:dyDescent="0.55000000000000004">
      <c r="A212" s="11" t="s">
        <v>216</v>
      </c>
      <c r="B212" s="9"/>
      <c r="C212" s="9"/>
      <c r="D212" s="9"/>
      <c r="E212" s="9"/>
      <c r="F212" s="9"/>
      <c r="G212" s="9"/>
      <c r="H212" s="9"/>
      <c r="I212" s="9"/>
      <c r="J212" s="9"/>
      <c r="K212" s="37"/>
      <c r="L212" s="37"/>
      <c r="M212" s="9"/>
      <c r="N212" s="6">
        <v>8111</v>
      </c>
      <c r="O212" s="6">
        <v>9258</v>
      </c>
      <c r="P212" s="6">
        <v>12404</v>
      </c>
      <c r="Q212" s="6">
        <v>12551</v>
      </c>
      <c r="R212" s="6">
        <v>1225</v>
      </c>
      <c r="S212" s="6"/>
      <c r="T212" s="6"/>
      <c r="U212" s="6"/>
      <c r="V212" s="6"/>
      <c r="W212" s="6"/>
      <c r="X212" s="6"/>
      <c r="Y212" s="6"/>
      <c r="Z212" s="9"/>
      <c r="AA212" s="9"/>
      <c r="AB212" s="9"/>
      <c r="AC212" s="2"/>
      <c r="AD212" s="2"/>
      <c r="AE212" s="2"/>
      <c r="AF212" s="2"/>
      <c r="AG212" s="2"/>
      <c r="AH212" s="2"/>
      <c r="AI212" s="2"/>
      <c r="AJ212" s="2"/>
    </row>
    <row r="213" spans="1:50" x14ac:dyDescent="0.55000000000000004">
      <c r="A213" s="11" t="s">
        <v>217</v>
      </c>
      <c r="B213" s="9"/>
      <c r="C213" s="9"/>
      <c r="D213" s="9"/>
      <c r="E213" s="9"/>
      <c r="F213" s="9"/>
      <c r="G213" s="9"/>
      <c r="H213" s="9"/>
      <c r="I213" s="9"/>
      <c r="J213" s="9"/>
      <c r="K213" s="37"/>
      <c r="L213" s="37"/>
      <c r="M213" s="9"/>
      <c r="N213" s="6">
        <v>8146</v>
      </c>
      <c r="O213" s="6">
        <v>6078</v>
      </c>
      <c r="P213" s="6">
        <v>12347</v>
      </c>
      <c r="Q213" s="6">
        <v>8793</v>
      </c>
      <c r="R213" s="6">
        <v>1066</v>
      </c>
      <c r="S213" s="6"/>
      <c r="T213" s="6"/>
      <c r="U213" s="6"/>
      <c r="V213" s="6"/>
      <c r="W213" s="6"/>
      <c r="X213" s="6"/>
      <c r="Y213" s="6"/>
      <c r="Z213" s="9"/>
      <c r="AA213" s="9"/>
      <c r="AB213" s="9"/>
      <c r="AC213" s="2"/>
      <c r="AD213" s="2"/>
      <c r="AE213" s="2"/>
      <c r="AF213" s="2"/>
      <c r="AG213" s="2"/>
      <c r="AH213" s="2"/>
      <c r="AI213" s="2"/>
      <c r="AJ213" s="2"/>
    </row>
    <row r="214" spans="1:50" x14ac:dyDescent="0.55000000000000004">
      <c r="A214" s="18" t="s">
        <v>218</v>
      </c>
      <c r="B214" s="19">
        <v>782596</v>
      </c>
      <c r="C214" s="19">
        <v>27658</v>
      </c>
      <c r="D214" s="19">
        <v>17084</v>
      </c>
      <c r="E214" s="19">
        <v>97964</v>
      </c>
      <c r="F214" s="19">
        <v>4138</v>
      </c>
      <c r="G214" s="19">
        <v>2212</v>
      </c>
      <c r="H214" s="19">
        <v>729790</v>
      </c>
      <c r="I214" s="19">
        <v>23751</v>
      </c>
      <c r="J214" s="19">
        <v>16626</v>
      </c>
      <c r="K214" s="36">
        <v>35.4</v>
      </c>
      <c r="L214" s="36">
        <v>21.9</v>
      </c>
      <c r="N214" s="19">
        <v>134271</v>
      </c>
      <c r="O214" s="19">
        <v>177132</v>
      </c>
      <c r="P214" s="19">
        <v>78181</v>
      </c>
      <c r="Q214" s="19">
        <v>111398</v>
      </c>
      <c r="R214" s="19">
        <v>119439</v>
      </c>
      <c r="S214" s="19">
        <v>102567</v>
      </c>
      <c r="T214" s="19">
        <v>59608</v>
      </c>
      <c r="U214" s="19"/>
      <c r="V214" s="19"/>
      <c r="W214" s="19"/>
      <c r="X214" s="19"/>
      <c r="Y214" s="19"/>
      <c r="Z214" s="17"/>
      <c r="AA214" s="17"/>
      <c r="AB214" s="17"/>
      <c r="AC214" s="2"/>
      <c r="AD214" s="12">
        <f>SUM(N214:AB214)</f>
        <v>782596</v>
      </c>
      <c r="AE214" s="12">
        <f>SUM(N215:AB215)</f>
        <v>27658</v>
      </c>
      <c r="AF214" s="12">
        <f>SUM(N216:AB216)</f>
        <v>17084</v>
      </c>
      <c r="AG214" s="2"/>
      <c r="AH214" s="12">
        <f>AD214-B214</f>
        <v>0</v>
      </c>
      <c r="AI214" s="12">
        <f>AE214-C214</f>
        <v>0</v>
      </c>
      <c r="AJ214" s="12">
        <f>AF214-D214</f>
        <v>0</v>
      </c>
      <c r="AL214" s="47">
        <f>C214/B214*1000</f>
        <v>35.341351093028841</v>
      </c>
      <c r="AM214" s="47">
        <f>D214/B214*1000</f>
        <v>21.82990968520156</v>
      </c>
      <c r="AO214" s="47">
        <f>AL214-K214</f>
        <v>-5.8648906971157544E-2</v>
      </c>
      <c r="AP214" s="47">
        <f>AM214-L214</f>
        <v>-7.0090314798438413E-2</v>
      </c>
      <c r="AR214" s="12">
        <f t="shared" ref="AR214" si="203">H214</f>
        <v>729790</v>
      </c>
      <c r="AS214" s="12">
        <f t="shared" ref="AS214" si="204">I214</f>
        <v>23751</v>
      </c>
      <c r="AT214" s="12">
        <f t="shared" ref="AT214" si="205">J214</f>
        <v>16626</v>
      </c>
    </row>
    <row r="215" spans="1:50" x14ac:dyDescent="0.55000000000000004">
      <c r="A215" s="11" t="s">
        <v>219</v>
      </c>
      <c r="B215" s="9"/>
      <c r="C215" s="9"/>
      <c r="D215" s="9"/>
      <c r="E215" s="9"/>
      <c r="F215" s="9"/>
      <c r="G215" s="9"/>
      <c r="H215" s="9"/>
      <c r="I215" s="9"/>
      <c r="J215" s="9"/>
      <c r="K215" s="37"/>
      <c r="L215" s="37"/>
      <c r="M215" s="9"/>
      <c r="N215" s="6">
        <v>4586</v>
      </c>
      <c r="O215" s="6">
        <v>3680</v>
      </c>
      <c r="P215" s="6">
        <v>3364</v>
      </c>
      <c r="Q215" s="6">
        <v>3718</v>
      </c>
      <c r="R215" s="6">
        <v>6961</v>
      </c>
      <c r="S215" s="6">
        <v>3672</v>
      </c>
      <c r="T215" s="6">
        <v>1677</v>
      </c>
      <c r="U215" s="6"/>
      <c r="V215" s="6"/>
      <c r="W215" s="6"/>
      <c r="X215" s="6"/>
      <c r="Y215" s="6"/>
      <c r="Z215" s="9"/>
      <c r="AA215" s="9"/>
      <c r="AB215" s="9"/>
      <c r="AC215" s="2"/>
      <c r="AD215" s="2"/>
      <c r="AE215" s="2"/>
      <c r="AF215" s="2"/>
      <c r="AG215" s="2"/>
      <c r="AH215" s="2"/>
      <c r="AI215" s="2"/>
      <c r="AJ215" s="2"/>
    </row>
    <row r="216" spans="1:50" x14ac:dyDescent="0.55000000000000004">
      <c r="A216" s="11" t="s">
        <v>220</v>
      </c>
      <c r="B216" s="9"/>
      <c r="C216" s="9"/>
      <c r="D216" s="9"/>
      <c r="E216" s="9"/>
      <c r="F216" s="9"/>
      <c r="G216" s="9"/>
      <c r="H216" s="9"/>
      <c r="I216" s="9"/>
      <c r="J216" s="9"/>
      <c r="K216" s="37"/>
      <c r="L216" s="37"/>
      <c r="M216" s="9"/>
      <c r="N216" s="6">
        <v>1861</v>
      </c>
      <c r="O216" s="6">
        <v>1541</v>
      </c>
      <c r="P216" s="6">
        <v>2183</v>
      </c>
      <c r="Q216" s="6">
        <v>1878</v>
      </c>
      <c r="R216" s="6">
        <v>5534</v>
      </c>
      <c r="S216" s="6">
        <v>2439</v>
      </c>
      <c r="T216" s="6">
        <v>1648</v>
      </c>
      <c r="U216" s="6"/>
      <c r="V216" s="6"/>
      <c r="W216" s="6"/>
      <c r="X216" s="6"/>
      <c r="Y216" s="6"/>
      <c r="Z216" s="9"/>
      <c r="AA216" s="9"/>
      <c r="AB216" s="9"/>
      <c r="AC216" s="2"/>
      <c r="AD216" s="2"/>
      <c r="AE216" s="2"/>
      <c r="AF216" s="2"/>
      <c r="AG216" s="2"/>
      <c r="AH216" s="2"/>
      <c r="AI216" s="2"/>
      <c r="AJ216" s="2"/>
    </row>
    <row r="217" spans="1:50" x14ac:dyDescent="0.55000000000000004">
      <c r="A217" s="18" t="s">
        <v>221</v>
      </c>
      <c r="B217" s="19">
        <v>832384</v>
      </c>
      <c r="C217" s="19">
        <v>30534</v>
      </c>
      <c r="D217" s="19">
        <v>20196</v>
      </c>
      <c r="E217" s="19" t="s">
        <v>14</v>
      </c>
      <c r="F217" s="19" t="s">
        <v>14</v>
      </c>
      <c r="G217" s="19" t="s">
        <v>14</v>
      </c>
      <c r="H217" s="19">
        <v>818949</v>
      </c>
      <c r="I217" s="19">
        <v>28791</v>
      </c>
      <c r="J217" s="19">
        <v>17424</v>
      </c>
      <c r="K217" s="36">
        <v>36.700000000000003</v>
      </c>
      <c r="L217" s="36">
        <v>24.3</v>
      </c>
      <c r="N217" s="19">
        <v>170299</v>
      </c>
      <c r="O217" s="19">
        <v>63799</v>
      </c>
      <c r="P217" s="19">
        <v>58791</v>
      </c>
      <c r="Q217" s="19">
        <v>101482</v>
      </c>
      <c r="R217" s="19">
        <v>177656</v>
      </c>
      <c r="S217" s="19">
        <v>70017</v>
      </c>
      <c r="T217" s="19">
        <v>89881</v>
      </c>
      <c r="U217" s="19">
        <v>65119</v>
      </c>
      <c r="V217" s="19">
        <v>35340</v>
      </c>
      <c r="W217" s="19"/>
      <c r="X217" s="19"/>
      <c r="Y217" s="19"/>
      <c r="Z217" s="17"/>
      <c r="AA217" s="17"/>
      <c r="AB217" s="17"/>
      <c r="AC217" s="2"/>
      <c r="AD217" s="12">
        <f>SUM(N217:AB217)</f>
        <v>832384</v>
      </c>
      <c r="AE217" s="12">
        <f>SUM(N218:AB218)</f>
        <v>31534</v>
      </c>
      <c r="AF217" s="12">
        <f>SUM(N219:AB219)</f>
        <v>20196</v>
      </c>
      <c r="AG217" s="2"/>
      <c r="AH217" s="12">
        <f>AD217-B217</f>
        <v>0</v>
      </c>
      <c r="AI217" s="12">
        <f>AE217-C217</f>
        <v>1000</v>
      </c>
      <c r="AJ217" s="12">
        <f>AF217-D217</f>
        <v>0</v>
      </c>
      <c r="AL217" s="47">
        <f>C217/B217*1000</f>
        <v>36.682588805166844</v>
      </c>
      <c r="AM217" s="47">
        <f>D217/B217*1000</f>
        <v>24.262840227587265</v>
      </c>
      <c r="AO217" s="47">
        <f>AL217-K217</f>
        <v>-1.7411194833158561E-2</v>
      </c>
      <c r="AP217" s="47">
        <f>AM217-L217</f>
        <v>-3.7159772412735492E-2</v>
      </c>
      <c r="AR217" s="12">
        <f t="shared" ref="AR217" si="206">H217</f>
        <v>818949</v>
      </c>
      <c r="AS217" s="12">
        <f t="shared" ref="AS217" si="207">I217</f>
        <v>28791</v>
      </c>
      <c r="AT217" s="12">
        <f t="shared" ref="AT217" si="208">J217</f>
        <v>17424</v>
      </c>
    </row>
    <row r="218" spans="1:50" x14ac:dyDescent="0.55000000000000004">
      <c r="A218" s="11" t="s">
        <v>222</v>
      </c>
      <c r="B218" s="9"/>
      <c r="C218" s="9"/>
      <c r="D218" s="9"/>
      <c r="E218" s="9"/>
      <c r="F218" s="9"/>
      <c r="G218" s="9"/>
      <c r="H218" s="9"/>
      <c r="I218" s="9"/>
      <c r="J218" s="9"/>
      <c r="K218" s="37"/>
      <c r="L218" s="37"/>
      <c r="M218" s="9"/>
      <c r="N218" s="6">
        <v>6124</v>
      </c>
      <c r="O218" s="6">
        <v>3663</v>
      </c>
      <c r="P218" s="6">
        <v>2203</v>
      </c>
      <c r="Q218" s="6">
        <v>2886</v>
      </c>
      <c r="R218" s="6">
        <v>6698</v>
      </c>
      <c r="S218" s="6">
        <v>2312</v>
      </c>
      <c r="T218" s="6">
        <v>3830</v>
      </c>
      <c r="U218" s="6">
        <v>2640</v>
      </c>
      <c r="V218" s="6">
        <v>1178</v>
      </c>
      <c r="W218" s="6"/>
      <c r="X218" s="6"/>
      <c r="Y218" s="6"/>
      <c r="Z218" s="9"/>
      <c r="AA218" s="9"/>
      <c r="AB218" s="9"/>
      <c r="AC218" s="2"/>
      <c r="AD218" s="2"/>
      <c r="AE218" s="2"/>
      <c r="AF218" s="2"/>
      <c r="AG218" s="2"/>
      <c r="AH218" s="2"/>
      <c r="AI218" s="2"/>
      <c r="AJ218" s="2"/>
    </row>
    <row r="219" spans="1:50" x14ac:dyDescent="0.55000000000000004">
      <c r="A219" s="11" t="s">
        <v>223</v>
      </c>
      <c r="B219" s="9"/>
      <c r="C219" s="9"/>
      <c r="D219" s="9"/>
      <c r="E219" s="9"/>
      <c r="F219" s="9"/>
      <c r="G219" s="9"/>
      <c r="H219" s="9"/>
      <c r="I219" s="9"/>
      <c r="J219" s="9"/>
      <c r="K219" s="37"/>
      <c r="L219" s="37"/>
      <c r="M219" s="9"/>
      <c r="N219" s="6">
        <v>4293</v>
      </c>
      <c r="O219" s="6">
        <v>1469</v>
      </c>
      <c r="P219" s="6">
        <v>1008</v>
      </c>
      <c r="Q219" s="6">
        <v>1807</v>
      </c>
      <c r="R219" s="6">
        <v>3573</v>
      </c>
      <c r="S219" s="6">
        <v>1487</v>
      </c>
      <c r="T219" s="6">
        <v>2711</v>
      </c>
      <c r="U219" s="6">
        <v>2984</v>
      </c>
      <c r="V219" s="6">
        <v>864</v>
      </c>
      <c r="W219" s="6"/>
      <c r="X219" s="6"/>
      <c r="Y219" s="6"/>
      <c r="Z219" s="9"/>
      <c r="AA219" s="9"/>
      <c r="AB219" s="9"/>
      <c r="AC219" s="2"/>
      <c r="AD219" s="2"/>
      <c r="AE219" s="2"/>
      <c r="AF219" s="2"/>
      <c r="AG219" s="2"/>
      <c r="AH219" s="2"/>
      <c r="AI219" s="2"/>
      <c r="AJ219" s="2"/>
    </row>
    <row r="220" spans="1:50" x14ac:dyDescent="0.55000000000000004">
      <c r="A220" s="18" t="s">
        <v>224</v>
      </c>
      <c r="B220" s="19">
        <v>690528</v>
      </c>
      <c r="C220" s="19">
        <v>21700</v>
      </c>
      <c r="D220" s="19">
        <v>13300</v>
      </c>
      <c r="E220" s="19">
        <v>54354</v>
      </c>
      <c r="F220" s="19" t="s">
        <v>14</v>
      </c>
      <c r="G220" s="19" t="s">
        <v>14</v>
      </c>
      <c r="H220" s="19">
        <v>679663</v>
      </c>
      <c r="I220" s="19">
        <v>23022</v>
      </c>
      <c r="J220" s="19">
        <v>14815</v>
      </c>
      <c r="K220" s="36">
        <v>31.4</v>
      </c>
      <c r="L220" s="36">
        <v>19.3</v>
      </c>
      <c r="N220" s="19">
        <v>113450</v>
      </c>
      <c r="O220" s="19">
        <v>144933</v>
      </c>
      <c r="P220" s="19">
        <v>82183</v>
      </c>
      <c r="Q220" s="19">
        <v>109902</v>
      </c>
      <c r="R220" s="19">
        <v>73833</v>
      </c>
      <c r="S220" s="19">
        <v>63346</v>
      </c>
      <c r="T220" s="19">
        <v>98853</v>
      </c>
      <c r="U220" s="19"/>
      <c r="V220" s="19"/>
      <c r="W220" s="19"/>
      <c r="X220" s="19"/>
      <c r="Y220" s="19"/>
      <c r="Z220" s="17"/>
      <c r="AA220" s="17"/>
      <c r="AB220" s="17"/>
      <c r="AC220" s="2"/>
      <c r="AD220" s="12">
        <f>SUM(N220:AB220)</f>
        <v>686500</v>
      </c>
      <c r="AE220" s="12">
        <f>SUM(N221:AB221)</f>
        <v>0</v>
      </c>
      <c r="AF220" s="12">
        <f>SUM(N222:AB222)</f>
        <v>0</v>
      </c>
      <c r="AG220" s="2"/>
      <c r="AH220" s="12">
        <f>AD220-B220</f>
        <v>-4028</v>
      </c>
      <c r="AI220" s="12"/>
      <c r="AJ220" s="12"/>
      <c r="AL220" s="47">
        <f>C220/B220*1000</f>
        <v>31.425228231150655</v>
      </c>
      <c r="AM220" s="47">
        <f>D220/B220*1000</f>
        <v>19.260623754576208</v>
      </c>
      <c r="AO220" s="47">
        <f>AL220-K220</f>
        <v>2.52282311506562E-2</v>
      </c>
      <c r="AP220" s="47">
        <f>AM220-L220</f>
        <v>-3.9376245423792255E-2</v>
      </c>
      <c r="AR220" s="12">
        <f t="shared" ref="AR220" si="209">H220</f>
        <v>679663</v>
      </c>
      <c r="AS220" s="12">
        <f t="shared" ref="AS220" si="210">I220</f>
        <v>23022</v>
      </c>
      <c r="AT220" s="12">
        <f t="shared" ref="AT220" si="211">J220</f>
        <v>14815</v>
      </c>
    </row>
    <row r="221" spans="1:50" x14ac:dyDescent="0.55000000000000004">
      <c r="A221" s="11" t="s">
        <v>225</v>
      </c>
      <c r="B221" s="9"/>
      <c r="C221" s="9"/>
      <c r="D221" s="9"/>
      <c r="E221" s="9"/>
      <c r="F221" s="9"/>
      <c r="G221" s="9"/>
      <c r="H221" s="9"/>
      <c r="I221" s="9"/>
      <c r="J221" s="9"/>
      <c r="K221" s="37"/>
      <c r="L221" s="37"/>
      <c r="M221" s="9"/>
      <c r="N221" s="6" t="s">
        <v>14</v>
      </c>
      <c r="O221" s="6" t="s">
        <v>14</v>
      </c>
      <c r="P221" s="6" t="s">
        <v>14</v>
      </c>
      <c r="Q221" s="6" t="s">
        <v>14</v>
      </c>
      <c r="R221" s="6" t="s">
        <v>14</v>
      </c>
      <c r="S221" s="6" t="s">
        <v>14</v>
      </c>
      <c r="T221" s="6" t="s">
        <v>14</v>
      </c>
      <c r="U221" s="6"/>
      <c r="V221" s="6"/>
      <c r="W221" s="6"/>
      <c r="X221" s="6"/>
      <c r="Y221" s="6"/>
      <c r="Z221" s="9"/>
      <c r="AA221" s="9"/>
      <c r="AB221" s="9"/>
      <c r="AC221" s="2"/>
      <c r="AD221" s="2"/>
      <c r="AE221" s="2"/>
      <c r="AF221" s="2"/>
      <c r="AG221" s="2"/>
      <c r="AH221" s="2"/>
      <c r="AI221" s="2"/>
      <c r="AJ221" s="2"/>
    </row>
    <row r="222" spans="1:50" x14ac:dyDescent="0.55000000000000004">
      <c r="A222" s="11" t="s">
        <v>226</v>
      </c>
      <c r="B222" s="9"/>
      <c r="C222" s="9"/>
      <c r="D222" s="9"/>
      <c r="E222" s="9"/>
      <c r="F222" s="9"/>
      <c r="G222" s="9"/>
      <c r="H222" s="9"/>
      <c r="I222" s="9"/>
      <c r="J222" s="9"/>
      <c r="K222" s="37"/>
      <c r="L222" s="37"/>
      <c r="M222" s="9"/>
      <c r="N222" s="6" t="s">
        <v>14</v>
      </c>
      <c r="O222" s="6" t="s">
        <v>14</v>
      </c>
      <c r="P222" s="6" t="s">
        <v>14</v>
      </c>
      <c r="Q222" s="6" t="s">
        <v>14</v>
      </c>
      <c r="R222" s="6" t="s">
        <v>14</v>
      </c>
      <c r="S222" s="6" t="s">
        <v>14</v>
      </c>
      <c r="T222" s="6" t="s">
        <v>14</v>
      </c>
      <c r="U222" s="6"/>
      <c r="V222" s="6"/>
      <c r="W222" s="6"/>
      <c r="X222" s="6"/>
      <c r="Y222" s="6"/>
      <c r="Z222" s="9"/>
      <c r="AA222" s="9"/>
      <c r="AB222" s="9"/>
      <c r="AC222" s="2"/>
      <c r="AD222" s="2"/>
      <c r="AE222" s="2"/>
      <c r="AF222" s="2"/>
      <c r="AG222" s="2"/>
      <c r="AH222" s="2"/>
      <c r="AI222" s="2"/>
      <c r="AJ222" s="2"/>
    </row>
    <row r="223" spans="1:50" x14ac:dyDescent="0.55000000000000004">
      <c r="A223" s="45" t="s">
        <v>227</v>
      </c>
      <c r="B223" s="7">
        <v>8085407</v>
      </c>
      <c r="C223" s="7">
        <v>304321</v>
      </c>
      <c r="D223" s="7">
        <v>220008</v>
      </c>
      <c r="E223" s="7"/>
      <c r="F223" s="7"/>
      <c r="G223" s="7"/>
      <c r="H223" s="7">
        <v>7692269</v>
      </c>
      <c r="I223" s="7">
        <v>352849</v>
      </c>
      <c r="J223" s="7">
        <v>188555</v>
      </c>
      <c r="K223" s="38">
        <v>40.4</v>
      </c>
      <c r="L223" s="38">
        <v>28.8</v>
      </c>
      <c r="N223" s="7"/>
      <c r="O223" s="7"/>
      <c r="P223" s="7"/>
      <c r="Q223" s="7"/>
      <c r="R223" s="7"/>
      <c r="S223" s="24"/>
      <c r="T223" s="24"/>
      <c r="U223" s="25"/>
      <c r="V223" s="25"/>
      <c r="W223" s="25"/>
      <c r="X223" s="25"/>
      <c r="Y223" s="25"/>
      <c r="Z223" s="25"/>
      <c r="AA223" s="25"/>
      <c r="AB223" s="25"/>
      <c r="AC223" s="2"/>
      <c r="AD223" s="23">
        <f>SUM(AD195:AD222)</f>
        <v>7979988</v>
      </c>
      <c r="AE223" s="23">
        <f>SUM(AE195:AE222)</f>
        <v>283752</v>
      </c>
      <c r="AF223" s="23">
        <f>SUM(AF195:AF222)</f>
        <v>205659</v>
      </c>
      <c r="AG223" s="2"/>
      <c r="AH223" s="23">
        <f>AD223-B223</f>
        <v>-105419</v>
      </c>
      <c r="AI223" s="23">
        <f>AE223-C223</f>
        <v>-20569</v>
      </c>
      <c r="AJ223" s="23">
        <f>AF223-D223</f>
        <v>-14349</v>
      </c>
      <c r="AL223" s="49">
        <f>C223/B223*1000</f>
        <v>37.638303180037816</v>
      </c>
      <c r="AM223" s="49">
        <f>D223/B223*1000</f>
        <v>27.21050405996878</v>
      </c>
      <c r="AN223" s="48"/>
      <c r="AO223" s="49">
        <f>AL223-K223</f>
        <v>-2.7616968199621823</v>
      </c>
      <c r="AP223" s="49">
        <f>AM223-L223</f>
        <v>-1.5894959400312203</v>
      </c>
      <c r="AR223" s="23">
        <f t="shared" ref="AR223:AT223" si="212">SUM(AR195:AR222)</f>
        <v>7430557</v>
      </c>
      <c r="AS223" s="23">
        <f t="shared" si="212"/>
        <v>283387</v>
      </c>
      <c r="AT223" s="23">
        <f t="shared" si="212"/>
        <v>191234</v>
      </c>
      <c r="AV223" s="23">
        <f>H223-AR223</f>
        <v>261712</v>
      </c>
      <c r="AW223" s="23">
        <f>I223-AS223</f>
        <v>69462</v>
      </c>
      <c r="AX223" s="23">
        <f>J223-AT223</f>
        <v>-2679</v>
      </c>
    </row>
    <row r="224" spans="1:50" x14ac:dyDescent="0.55000000000000004">
      <c r="A224" s="18" t="s">
        <v>228</v>
      </c>
      <c r="B224" s="19">
        <v>63221</v>
      </c>
      <c r="C224" s="19" t="s">
        <v>14</v>
      </c>
      <c r="D224" s="19" t="s">
        <v>14</v>
      </c>
      <c r="E224" s="19" t="s">
        <v>14</v>
      </c>
      <c r="F224" s="19" t="s">
        <v>14</v>
      </c>
      <c r="G224" s="19" t="s">
        <v>14</v>
      </c>
      <c r="H224" s="19" t="s">
        <v>14</v>
      </c>
      <c r="I224" s="19" t="s">
        <v>14</v>
      </c>
      <c r="J224" s="19" t="s">
        <v>14</v>
      </c>
      <c r="K224" s="39" t="s">
        <v>14</v>
      </c>
      <c r="L224" s="39" t="s">
        <v>14</v>
      </c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7"/>
      <c r="AA224" s="17"/>
      <c r="AB224" s="17"/>
      <c r="AC224" s="2"/>
      <c r="AD224" s="12">
        <f>B224</f>
        <v>63221</v>
      </c>
      <c r="AE224" s="46" t="str">
        <f>C224</f>
        <v>—</v>
      </c>
      <c r="AF224" s="46" t="str">
        <f>D224</f>
        <v>—</v>
      </c>
      <c r="AG224" s="2"/>
      <c r="AH224" s="12"/>
      <c r="AI224" s="12"/>
      <c r="AJ224" s="12"/>
      <c r="AL224" s="47"/>
      <c r="AM224" s="47"/>
      <c r="AO224" s="47"/>
      <c r="AP224" s="47"/>
      <c r="AR224" s="12"/>
      <c r="AS224" s="12"/>
      <c r="AT224" s="12"/>
    </row>
    <row r="225" spans="1:46" x14ac:dyDescent="0.55000000000000004">
      <c r="A225" s="18" t="s">
        <v>229</v>
      </c>
      <c r="B225" s="19">
        <v>459105</v>
      </c>
      <c r="C225" s="19">
        <v>23946</v>
      </c>
      <c r="D225" s="19">
        <v>19733</v>
      </c>
      <c r="E225" s="19">
        <v>39827</v>
      </c>
      <c r="F225" s="19">
        <v>1997</v>
      </c>
      <c r="G225" s="19">
        <v>2302</v>
      </c>
      <c r="H225" s="19">
        <v>471810</v>
      </c>
      <c r="I225" s="19">
        <v>24012</v>
      </c>
      <c r="J225" s="19">
        <v>17487</v>
      </c>
      <c r="K225" s="36">
        <v>52.1</v>
      </c>
      <c r="L225" s="36">
        <v>33</v>
      </c>
      <c r="N225" s="19">
        <v>86548</v>
      </c>
      <c r="O225" s="19">
        <v>85994</v>
      </c>
      <c r="P225" s="19">
        <v>64305</v>
      </c>
      <c r="Q225" s="19">
        <v>79041</v>
      </c>
      <c r="R225" s="19">
        <v>134187</v>
      </c>
      <c r="S225" s="19">
        <v>9030</v>
      </c>
      <c r="T225" s="19"/>
      <c r="U225" s="19"/>
      <c r="V225" s="19"/>
      <c r="W225" s="19"/>
      <c r="X225" s="19"/>
      <c r="Y225" s="19"/>
      <c r="Z225" s="17"/>
      <c r="AA225" s="17"/>
      <c r="AB225" s="17"/>
      <c r="AC225" s="2"/>
      <c r="AD225" s="12">
        <f>SUM(N225:AB225)</f>
        <v>459105</v>
      </c>
      <c r="AE225" s="12">
        <f>SUM(N226:AB226)</f>
        <v>23946</v>
      </c>
      <c r="AF225" s="12">
        <f>SUM(N227:AB227)</f>
        <v>19833</v>
      </c>
      <c r="AG225" s="2"/>
      <c r="AH225" s="12">
        <f>AD225-B225</f>
        <v>0</v>
      </c>
      <c r="AI225" s="12">
        <f>AE225-C225</f>
        <v>0</v>
      </c>
      <c r="AJ225" s="12">
        <f>AF225-D225</f>
        <v>100</v>
      </c>
      <c r="AL225" s="47">
        <f>C225/B225*1000</f>
        <v>52.158003071192866</v>
      </c>
      <c r="AM225" s="47">
        <f>D225/B225*1000</f>
        <v>42.981453044510516</v>
      </c>
      <c r="AO225" s="47">
        <f>AL225-K225</f>
        <v>5.8003071192864297E-2</v>
      </c>
      <c r="AP225" s="47">
        <f>AM225-L225</f>
        <v>9.9814530445105163</v>
      </c>
      <c r="AR225" s="12">
        <f>H225</f>
        <v>471810</v>
      </c>
      <c r="AS225" s="12">
        <f>I225</f>
        <v>24012</v>
      </c>
      <c r="AT225" s="12">
        <f>J225</f>
        <v>17487</v>
      </c>
    </row>
    <row r="226" spans="1:46" x14ac:dyDescent="0.55000000000000004">
      <c r="A226" s="11" t="s">
        <v>230</v>
      </c>
      <c r="B226" s="9"/>
      <c r="C226" s="9"/>
      <c r="D226" s="9"/>
      <c r="E226" s="9"/>
      <c r="F226" s="9"/>
      <c r="G226" s="9"/>
      <c r="H226" s="9"/>
      <c r="I226" s="9"/>
      <c r="J226" s="9"/>
      <c r="K226" s="37"/>
      <c r="L226" s="37"/>
      <c r="M226" s="9"/>
      <c r="N226" s="6">
        <v>3886</v>
      </c>
      <c r="O226" s="6">
        <v>4812</v>
      </c>
      <c r="P226" s="6">
        <v>2977</v>
      </c>
      <c r="Q226" s="6">
        <v>3678</v>
      </c>
      <c r="R226" s="6">
        <v>8361</v>
      </c>
      <c r="S226" s="6">
        <v>232</v>
      </c>
      <c r="T226" s="6"/>
      <c r="U226" s="6"/>
      <c r="V226" s="6"/>
      <c r="W226" s="6"/>
      <c r="X226" s="6"/>
      <c r="Y226" s="6"/>
      <c r="Z226" s="9"/>
      <c r="AA226" s="9"/>
      <c r="AB226" s="9"/>
      <c r="AC226" s="2"/>
      <c r="AD226" s="2"/>
      <c r="AE226" s="2"/>
      <c r="AF226" s="2"/>
      <c r="AG226" s="2"/>
      <c r="AH226" s="2"/>
      <c r="AI226" s="2"/>
      <c r="AJ226" s="2"/>
    </row>
    <row r="227" spans="1:46" x14ac:dyDescent="0.55000000000000004">
      <c r="A227" s="11" t="s">
        <v>231</v>
      </c>
      <c r="B227" s="9"/>
      <c r="C227" s="9"/>
      <c r="D227" s="9"/>
      <c r="E227" s="9"/>
      <c r="F227" s="9"/>
      <c r="G227" s="9"/>
      <c r="H227" s="9"/>
      <c r="I227" s="9"/>
      <c r="J227" s="9"/>
      <c r="K227" s="37"/>
      <c r="L227" s="37"/>
      <c r="M227" s="9"/>
      <c r="N227" s="6">
        <v>3995</v>
      </c>
      <c r="O227" s="6">
        <v>3912</v>
      </c>
      <c r="P227" s="6">
        <v>2400</v>
      </c>
      <c r="Q227" s="6">
        <v>3255</v>
      </c>
      <c r="R227" s="6">
        <v>6139</v>
      </c>
      <c r="S227" s="6">
        <v>132</v>
      </c>
      <c r="T227" s="6"/>
      <c r="U227" s="6"/>
      <c r="V227" s="6"/>
      <c r="W227" s="6"/>
      <c r="X227" s="6"/>
      <c r="Y227" s="6"/>
      <c r="Z227" s="9"/>
      <c r="AA227" s="9"/>
      <c r="AB227" s="9"/>
      <c r="AC227" s="2"/>
      <c r="AD227" s="2"/>
      <c r="AE227" s="2"/>
      <c r="AF227" s="2"/>
      <c r="AG227" s="2"/>
      <c r="AH227" s="2"/>
      <c r="AI227" s="2"/>
      <c r="AJ227" s="2"/>
    </row>
    <row r="228" spans="1:46" x14ac:dyDescent="0.55000000000000004">
      <c r="A228" s="18" t="s">
        <v>232</v>
      </c>
      <c r="B228" s="19">
        <v>586002</v>
      </c>
      <c r="C228" s="19">
        <v>20933</v>
      </c>
      <c r="D228" s="19">
        <v>12119</v>
      </c>
      <c r="E228" s="19" t="s">
        <v>14</v>
      </c>
      <c r="F228" s="19" t="s">
        <v>14</v>
      </c>
      <c r="G228" s="19" t="s">
        <v>14</v>
      </c>
      <c r="H228" s="19">
        <v>525915</v>
      </c>
      <c r="I228" s="19">
        <v>18454</v>
      </c>
      <c r="J228" s="19">
        <v>12724</v>
      </c>
      <c r="K228" s="36">
        <v>36.299999999999997</v>
      </c>
      <c r="L228" s="36">
        <v>21.1</v>
      </c>
      <c r="N228" s="19">
        <v>118387</v>
      </c>
      <c r="O228" s="19">
        <v>29370</v>
      </c>
      <c r="P228" s="19">
        <v>21237</v>
      </c>
      <c r="Q228" s="19">
        <v>146998</v>
      </c>
      <c r="R228" s="19">
        <v>71773</v>
      </c>
      <c r="S228" s="19">
        <v>63112</v>
      </c>
      <c r="T228" s="19">
        <v>96468</v>
      </c>
      <c r="U228" s="19">
        <v>28657</v>
      </c>
      <c r="V228" s="19"/>
      <c r="W228" s="19"/>
      <c r="X228" s="19"/>
      <c r="Y228" s="19"/>
      <c r="Z228" s="17"/>
      <c r="AA228" s="17"/>
      <c r="AB228" s="17"/>
      <c r="AC228" s="2"/>
      <c r="AD228" s="12">
        <f>SUM(N228:AB228)</f>
        <v>576002</v>
      </c>
      <c r="AE228" s="12">
        <f>SUM(N229:AB229)</f>
        <v>20933</v>
      </c>
      <c r="AF228" s="12">
        <f>SUM(N230:AB230)</f>
        <v>12119</v>
      </c>
      <c r="AG228" s="2"/>
      <c r="AH228" s="12">
        <f>AD228-B228</f>
        <v>-10000</v>
      </c>
      <c r="AI228" s="12">
        <f>AE228-C228</f>
        <v>0</v>
      </c>
      <c r="AJ228" s="12">
        <f>AF228-D228</f>
        <v>0</v>
      </c>
      <c r="AL228" s="47">
        <f>C228/B228*1000</f>
        <v>35.721721086276155</v>
      </c>
      <c r="AM228" s="47">
        <f>D228/B228*1000</f>
        <v>20.680816789021197</v>
      </c>
      <c r="AO228" s="47">
        <f>AL228-K228</f>
        <v>-0.57827891372384244</v>
      </c>
      <c r="AP228" s="47">
        <f>AM228-L228</f>
        <v>-0.41918321097880451</v>
      </c>
      <c r="AR228" s="12">
        <f t="shared" ref="AR228" si="213">H228</f>
        <v>525915</v>
      </c>
      <c r="AS228" s="12">
        <f t="shared" ref="AS228" si="214">I228</f>
        <v>18454</v>
      </c>
      <c r="AT228" s="12">
        <f t="shared" ref="AT228" si="215">J228</f>
        <v>12724</v>
      </c>
    </row>
    <row r="229" spans="1:46" x14ac:dyDescent="0.55000000000000004">
      <c r="A229" s="11" t="s">
        <v>233</v>
      </c>
      <c r="B229" s="9"/>
      <c r="C229" s="9"/>
      <c r="D229" s="9"/>
      <c r="E229" s="9"/>
      <c r="F229" s="9"/>
      <c r="G229" s="9"/>
      <c r="H229" s="9"/>
      <c r="I229" s="9"/>
      <c r="J229" s="9"/>
      <c r="K229" s="37"/>
      <c r="L229" s="37"/>
      <c r="M229" s="9"/>
      <c r="N229" s="6">
        <v>4470</v>
      </c>
      <c r="O229" s="6">
        <v>1025</v>
      </c>
      <c r="P229" s="6">
        <v>658</v>
      </c>
      <c r="Q229" s="6">
        <v>5724</v>
      </c>
      <c r="R229" s="6">
        <v>3726</v>
      </c>
      <c r="S229" s="6">
        <v>839</v>
      </c>
      <c r="T229" s="6">
        <v>3367</v>
      </c>
      <c r="U229" s="6">
        <v>1124</v>
      </c>
      <c r="V229" s="6"/>
      <c r="W229" s="6"/>
      <c r="X229" s="6"/>
      <c r="Y229" s="6"/>
      <c r="Z229" s="9"/>
      <c r="AA229" s="9"/>
      <c r="AB229" s="9"/>
      <c r="AC229" s="2"/>
      <c r="AD229" s="2"/>
      <c r="AE229" s="2"/>
      <c r="AF229" s="2"/>
      <c r="AG229" s="2"/>
      <c r="AH229" s="2"/>
      <c r="AI229" s="2"/>
      <c r="AJ229" s="2"/>
    </row>
    <row r="230" spans="1:46" x14ac:dyDescent="0.55000000000000004">
      <c r="A230" s="11" t="s">
        <v>234</v>
      </c>
      <c r="B230" s="9"/>
      <c r="C230" s="9"/>
      <c r="D230" s="9"/>
      <c r="E230" s="9"/>
      <c r="F230" s="9"/>
      <c r="G230" s="9"/>
      <c r="H230" s="9"/>
      <c r="I230" s="9"/>
      <c r="J230" s="9"/>
      <c r="K230" s="37"/>
      <c r="L230" s="37"/>
      <c r="M230" s="9"/>
      <c r="N230" s="6">
        <v>2396</v>
      </c>
      <c r="O230" s="6">
        <v>573</v>
      </c>
      <c r="P230" s="6">
        <v>354</v>
      </c>
      <c r="Q230" s="6">
        <v>3294</v>
      </c>
      <c r="R230" s="6">
        <v>2310</v>
      </c>
      <c r="S230" s="6">
        <v>559</v>
      </c>
      <c r="T230" s="6">
        <v>1961</v>
      </c>
      <c r="U230" s="6">
        <v>672</v>
      </c>
      <c r="V230" s="6"/>
      <c r="W230" s="6"/>
      <c r="X230" s="6"/>
      <c r="Y230" s="6"/>
      <c r="Z230" s="9"/>
      <c r="AA230" s="9"/>
      <c r="AB230" s="9"/>
      <c r="AC230" s="2"/>
      <c r="AD230" s="2"/>
      <c r="AE230" s="2"/>
      <c r="AF230" s="2"/>
      <c r="AG230" s="2"/>
      <c r="AH230" s="2"/>
      <c r="AI230" s="2"/>
      <c r="AJ230" s="2"/>
    </row>
    <row r="231" spans="1:46" x14ac:dyDescent="0.55000000000000004">
      <c r="A231" s="18" t="s">
        <v>235</v>
      </c>
      <c r="B231" s="19">
        <v>456617</v>
      </c>
      <c r="C231" s="19">
        <v>20985</v>
      </c>
      <c r="D231" s="19">
        <v>14919</v>
      </c>
      <c r="E231" s="19">
        <v>58660</v>
      </c>
      <c r="F231" s="19">
        <v>2404</v>
      </c>
      <c r="G231" s="19">
        <v>2015</v>
      </c>
      <c r="H231" s="19">
        <v>457085</v>
      </c>
      <c r="I231" s="19">
        <v>20316</v>
      </c>
      <c r="J231" s="19">
        <v>16324</v>
      </c>
      <c r="K231" s="36">
        <v>46</v>
      </c>
      <c r="L231" s="36">
        <v>32.6</v>
      </c>
      <c r="N231" s="19">
        <v>149807</v>
      </c>
      <c r="O231" s="19">
        <v>131855</v>
      </c>
      <c r="P231" s="19">
        <v>66931</v>
      </c>
      <c r="Q231" s="19">
        <v>50737</v>
      </c>
      <c r="R231" s="19">
        <v>57287</v>
      </c>
      <c r="S231" s="19"/>
      <c r="T231" s="19"/>
      <c r="U231" s="19"/>
      <c r="V231" s="19"/>
      <c r="W231" s="19"/>
      <c r="X231" s="19"/>
      <c r="Y231" s="19"/>
      <c r="Z231" s="17"/>
      <c r="AA231" s="17"/>
      <c r="AB231" s="17"/>
      <c r="AC231" s="2"/>
      <c r="AD231" s="12">
        <f>SUM(N231:AB231)</f>
        <v>456617</v>
      </c>
      <c r="AE231" s="12">
        <f>SUM(N232:AB232)</f>
        <v>20985</v>
      </c>
      <c r="AF231" s="12">
        <f>SUM(N233:AB233)</f>
        <v>14908</v>
      </c>
      <c r="AG231" s="2"/>
      <c r="AH231" s="12">
        <f>AD231-B231</f>
        <v>0</v>
      </c>
      <c r="AI231" s="12">
        <f>AE231-C231</f>
        <v>0</v>
      </c>
      <c r="AJ231" s="12">
        <f>AF231-D231</f>
        <v>-11</v>
      </c>
      <c r="AL231" s="47">
        <f>C231/B231*1000</f>
        <v>45.957553047740227</v>
      </c>
      <c r="AM231" s="47">
        <f>D231/B231*1000</f>
        <v>32.67289654130267</v>
      </c>
      <c r="AO231" s="47">
        <f>AL231-K231</f>
        <v>-4.2446952259773241E-2</v>
      </c>
      <c r="AP231" s="47">
        <f>AM231-L231</f>
        <v>7.2896541302668538E-2</v>
      </c>
      <c r="AR231" s="12">
        <f t="shared" ref="AR231" si="216">H231</f>
        <v>457085</v>
      </c>
      <c r="AS231" s="12">
        <f t="shared" ref="AS231" si="217">I231</f>
        <v>20316</v>
      </c>
      <c r="AT231" s="12">
        <f t="shared" ref="AT231" si="218">J231</f>
        <v>16324</v>
      </c>
    </row>
    <row r="232" spans="1:46" x14ac:dyDescent="0.55000000000000004">
      <c r="A232" s="11" t="s">
        <v>236</v>
      </c>
      <c r="B232" s="9"/>
      <c r="C232" s="9"/>
      <c r="D232" s="9"/>
      <c r="E232" s="9"/>
      <c r="F232" s="9"/>
      <c r="G232" s="9"/>
      <c r="H232" s="9"/>
      <c r="I232" s="9"/>
      <c r="J232" s="9"/>
      <c r="K232" s="37"/>
      <c r="L232" s="37"/>
      <c r="M232" s="9"/>
      <c r="N232" s="6">
        <v>6376</v>
      </c>
      <c r="O232" s="6">
        <v>5728</v>
      </c>
      <c r="P232" s="6">
        <v>3094</v>
      </c>
      <c r="Q232" s="6">
        <v>2646</v>
      </c>
      <c r="R232" s="6">
        <v>3141</v>
      </c>
      <c r="S232" s="6"/>
      <c r="T232" s="6"/>
      <c r="U232" s="6"/>
      <c r="V232" s="6"/>
      <c r="W232" s="6"/>
      <c r="X232" s="6"/>
      <c r="Y232" s="6"/>
      <c r="Z232" s="9"/>
      <c r="AA232" s="9"/>
      <c r="AB232" s="9"/>
      <c r="AC232" s="2"/>
      <c r="AD232" s="2"/>
      <c r="AE232" s="2"/>
      <c r="AF232" s="2"/>
      <c r="AG232" s="2"/>
      <c r="AH232" s="2"/>
      <c r="AI232" s="2"/>
      <c r="AJ232" s="2"/>
    </row>
    <row r="233" spans="1:46" x14ac:dyDescent="0.55000000000000004">
      <c r="A233" s="11" t="s">
        <v>237</v>
      </c>
      <c r="B233" s="9"/>
      <c r="C233" s="9"/>
      <c r="D233" s="9"/>
      <c r="E233" s="9"/>
      <c r="F233" s="9"/>
      <c r="G233" s="9"/>
      <c r="H233" s="9"/>
      <c r="I233" s="9"/>
      <c r="J233" s="9"/>
      <c r="K233" s="37"/>
      <c r="L233" s="37"/>
      <c r="M233" s="9"/>
      <c r="N233" s="6">
        <v>4722</v>
      </c>
      <c r="O233" s="6">
        <v>4254</v>
      </c>
      <c r="P233" s="6">
        <v>1887</v>
      </c>
      <c r="Q233" s="6">
        <v>1554</v>
      </c>
      <c r="R233" s="6">
        <v>2491</v>
      </c>
      <c r="S233" s="6"/>
      <c r="T233" s="6"/>
      <c r="U233" s="6"/>
      <c r="V233" s="6"/>
      <c r="W233" s="6"/>
      <c r="X233" s="6"/>
      <c r="Y233" s="6"/>
      <c r="Z233" s="9"/>
      <c r="AA233" s="9"/>
      <c r="AB233" s="9"/>
      <c r="AC233" s="2"/>
      <c r="AD233" s="2"/>
      <c r="AE233" s="2"/>
      <c r="AF233" s="2"/>
      <c r="AG233" s="2"/>
      <c r="AH233" s="2"/>
      <c r="AI233" s="2"/>
      <c r="AJ233" s="2"/>
    </row>
    <row r="234" spans="1:46" x14ac:dyDescent="0.55000000000000004">
      <c r="A234" s="18" t="s">
        <v>238</v>
      </c>
      <c r="B234" s="19">
        <v>132842</v>
      </c>
      <c r="C234" s="19">
        <v>4330</v>
      </c>
      <c r="D234" s="19">
        <v>2032</v>
      </c>
      <c r="E234" s="19">
        <v>26929</v>
      </c>
      <c r="F234" s="19">
        <v>1065</v>
      </c>
      <c r="G234" s="19">
        <v>606</v>
      </c>
      <c r="H234" s="19">
        <v>107079</v>
      </c>
      <c r="I234" s="19">
        <v>4443</v>
      </c>
      <c r="J234" s="19">
        <v>2760</v>
      </c>
      <c r="K234" s="39" t="s">
        <v>14</v>
      </c>
      <c r="L234" s="39" t="s">
        <v>14</v>
      </c>
      <c r="N234" s="19">
        <v>15706</v>
      </c>
      <c r="O234" s="19">
        <v>10350</v>
      </c>
      <c r="P234" s="19">
        <v>5441</v>
      </c>
      <c r="Q234" s="19">
        <v>675</v>
      </c>
      <c r="R234" s="19">
        <v>10539</v>
      </c>
      <c r="S234" s="19">
        <v>3921</v>
      </c>
      <c r="T234" s="19">
        <v>7370</v>
      </c>
      <c r="U234" s="19">
        <v>7506</v>
      </c>
      <c r="V234" s="19">
        <v>71334</v>
      </c>
      <c r="W234" s="19"/>
      <c r="X234" s="19"/>
      <c r="Y234" s="19"/>
      <c r="Z234" s="17"/>
      <c r="AA234" s="17"/>
      <c r="AB234" s="17"/>
      <c r="AC234" s="2"/>
      <c r="AD234" s="12">
        <f>SUM(N234:AB234)</f>
        <v>132842</v>
      </c>
      <c r="AE234" s="12">
        <f>SUM(N235:AB235)</f>
        <v>4380</v>
      </c>
      <c r="AF234" s="12">
        <f>SUM(N236:AB236)</f>
        <v>2032</v>
      </c>
      <c r="AG234" s="2"/>
      <c r="AH234" s="12">
        <f>AD234-B234</f>
        <v>0</v>
      </c>
      <c r="AI234" s="12">
        <f>AE234-C234</f>
        <v>50</v>
      </c>
      <c r="AJ234" s="12">
        <f>AF234-D234</f>
        <v>0</v>
      </c>
      <c r="AL234" s="47">
        <f>C234/B234*1000</f>
        <v>32.595112991373206</v>
      </c>
      <c r="AM234" s="47">
        <f>D234/B234*1000</f>
        <v>15.296367112810707</v>
      </c>
      <c r="AO234" s="47"/>
      <c r="AP234" s="47"/>
      <c r="AR234" s="12">
        <f t="shared" ref="AR234" si="219">H234</f>
        <v>107079</v>
      </c>
      <c r="AS234" s="12">
        <f t="shared" ref="AS234" si="220">I234</f>
        <v>4443</v>
      </c>
      <c r="AT234" s="12">
        <f t="shared" ref="AT234" si="221">J234</f>
        <v>2760</v>
      </c>
    </row>
    <row r="235" spans="1:46" x14ac:dyDescent="0.55000000000000004">
      <c r="A235" s="11" t="s">
        <v>239</v>
      </c>
      <c r="B235" s="9"/>
      <c r="C235" s="9"/>
      <c r="D235" s="9"/>
      <c r="E235" s="9"/>
      <c r="F235" s="9"/>
      <c r="G235" s="9"/>
      <c r="H235" s="9"/>
      <c r="I235" s="9"/>
      <c r="J235" s="9"/>
      <c r="K235" s="37"/>
      <c r="L235" s="37"/>
      <c r="M235" s="9"/>
      <c r="N235" s="6">
        <v>684</v>
      </c>
      <c r="O235" s="6" t="s">
        <v>14</v>
      </c>
      <c r="P235" s="6">
        <v>73</v>
      </c>
      <c r="Q235" s="6">
        <v>26</v>
      </c>
      <c r="R235" s="6">
        <v>257</v>
      </c>
      <c r="S235" s="6">
        <v>112</v>
      </c>
      <c r="T235" s="6">
        <v>347</v>
      </c>
      <c r="U235" s="6">
        <v>321</v>
      </c>
      <c r="V235" s="6">
        <v>2560</v>
      </c>
      <c r="W235" s="6"/>
      <c r="X235" s="6"/>
      <c r="Y235" s="6"/>
      <c r="Z235" s="9"/>
      <c r="AA235" s="9"/>
      <c r="AB235" s="9"/>
      <c r="AC235" s="2"/>
      <c r="AD235" s="2"/>
      <c r="AE235" s="2"/>
      <c r="AF235" s="2"/>
      <c r="AG235" s="2"/>
      <c r="AH235" s="2"/>
      <c r="AI235" s="2"/>
      <c r="AJ235" s="2"/>
    </row>
    <row r="236" spans="1:46" x14ac:dyDescent="0.55000000000000004">
      <c r="A236" s="11" t="s">
        <v>240</v>
      </c>
      <c r="B236" s="9"/>
      <c r="C236" s="9"/>
      <c r="D236" s="9"/>
      <c r="E236" s="9"/>
      <c r="F236" s="9"/>
      <c r="G236" s="9"/>
      <c r="H236" s="9"/>
      <c r="I236" s="9"/>
      <c r="J236" s="9"/>
      <c r="K236" s="37"/>
      <c r="L236" s="37"/>
      <c r="M236" s="9"/>
      <c r="N236" s="6">
        <v>261</v>
      </c>
      <c r="O236" s="6" t="s">
        <v>14</v>
      </c>
      <c r="P236" s="6">
        <v>23</v>
      </c>
      <c r="Q236" s="6">
        <v>14</v>
      </c>
      <c r="R236" s="6">
        <v>211</v>
      </c>
      <c r="S236" s="6">
        <v>88</v>
      </c>
      <c r="T236" s="6">
        <v>174</v>
      </c>
      <c r="U236" s="6">
        <v>133</v>
      </c>
      <c r="V236" s="6">
        <v>1128</v>
      </c>
      <c r="W236" s="6"/>
      <c r="X236" s="6"/>
      <c r="Y236" s="6"/>
      <c r="Z236" s="9"/>
      <c r="AA236" s="9"/>
      <c r="AB236" s="9"/>
      <c r="AC236" s="2"/>
      <c r="AD236" s="2"/>
      <c r="AE236" s="2"/>
      <c r="AF236" s="2"/>
      <c r="AG236" s="2"/>
      <c r="AH236" s="2"/>
      <c r="AI236" s="2"/>
      <c r="AJ236" s="2"/>
    </row>
    <row r="237" spans="1:46" x14ac:dyDescent="0.55000000000000004">
      <c r="A237" s="18" t="s">
        <v>241</v>
      </c>
      <c r="B237" s="19">
        <v>1424767</v>
      </c>
      <c r="C237" s="19">
        <v>73710</v>
      </c>
      <c r="D237" s="19">
        <v>61275</v>
      </c>
      <c r="E237" s="19">
        <v>100657</v>
      </c>
      <c r="F237" s="19">
        <v>2276</v>
      </c>
      <c r="G237" s="19">
        <v>2406</v>
      </c>
      <c r="H237" s="19">
        <v>1397943</v>
      </c>
      <c r="I237" s="19">
        <v>73067</v>
      </c>
      <c r="J237" s="19">
        <v>60357</v>
      </c>
      <c r="K237" s="36">
        <v>51.8</v>
      </c>
      <c r="L237" s="36">
        <v>43</v>
      </c>
      <c r="N237" s="19">
        <v>130139</v>
      </c>
      <c r="O237" s="19">
        <v>31258</v>
      </c>
      <c r="P237" s="19">
        <v>279628</v>
      </c>
      <c r="Q237" s="19">
        <v>270109</v>
      </c>
      <c r="R237" s="19">
        <v>8464</v>
      </c>
      <c r="S237" s="19">
        <v>151955</v>
      </c>
      <c r="T237" s="19">
        <v>71970</v>
      </c>
      <c r="U237" s="19">
        <v>160213</v>
      </c>
      <c r="V237" s="19">
        <v>123713</v>
      </c>
      <c r="W237" s="19">
        <v>197318</v>
      </c>
      <c r="X237" s="19"/>
      <c r="Y237" s="19"/>
      <c r="Z237" s="17"/>
      <c r="AA237" s="17"/>
      <c r="AB237" s="17"/>
      <c r="AC237" s="2"/>
      <c r="AD237" s="12">
        <f>SUM(N237:AB237)</f>
        <v>1424767</v>
      </c>
      <c r="AE237" s="12">
        <f>SUM(N238:AB238)</f>
        <v>73710</v>
      </c>
      <c r="AF237" s="12">
        <f>SUM(N239:AB239)</f>
        <v>61475</v>
      </c>
      <c r="AG237" s="2"/>
      <c r="AH237" s="12">
        <f>AD237-B237</f>
        <v>0</v>
      </c>
      <c r="AI237" s="12">
        <f>AE237-C237</f>
        <v>0</v>
      </c>
      <c r="AJ237" s="12">
        <f>AF237-D237</f>
        <v>200</v>
      </c>
      <c r="AL237" s="47">
        <f>C237/B237*1000</f>
        <v>51.734774878980211</v>
      </c>
      <c r="AM237" s="47">
        <f>D237/B237*1000</f>
        <v>43.007032026991077</v>
      </c>
      <c r="AO237" s="47">
        <f>AL237-K237</f>
        <v>-6.5225121019786059E-2</v>
      </c>
      <c r="AP237" s="47">
        <f>AM237-L237</f>
        <v>7.0320269910766342E-3</v>
      </c>
      <c r="AR237" s="12">
        <f t="shared" ref="AR237" si="222">H237</f>
        <v>1397943</v>
      </c>
      <c r="AS237" s="12">
        <f t="shared" ref="AS237" si="223">I237</f>
        <v>73067</v>
      </c>
      <c r="AT237" s="12">
        <f t="shared" ref="AT237" si="224">J237</f>
        <v>60357</v>
      </c>
    </row>
    <row r="238" spans="1:46" x14ac:dyDescent="0.55000000000000004">
      <c r="A238" s="11" t="s">
        <v>242</v>
      </c>
      <c r="B238" s="9"/>
      <c r="C238" s="9"/>
      <c r="D238" s="9"/>
      <c r="E238" s="9"/>
      <c r="F238" s="9"/>
      <c r="G238" s="9"/>
      <c r="H238" s="9"/>
      <c r="I238" s="9"/>
      <c r="J238" s="9"/>
      <c r="K238" s="40"/>
      <c r="L238" s="40"/>
      <c r="M238" s="9"/>
      <c r="N238" s="6">
        <v>6256</v>
      </c>
      <c r="O238" s="6">
        <v>1355</v>
      </c>
      <c r="P238" s="6">
        <v>15434</v>
      </c>
      <c r="Q238" s="6">
        <v>14308</v>
      </c>
      <c r="R238" s="6">
        <v>331</v>
      </c>
      <c r="S238" s="6">
        <v>7849</v>
      </c>
      <c r="T238" s="6">
        <v>3860</v>
      </c>
      <c r="U238" s="6">
        <v>9547</v>
      </c>
      <c r="V238" s="6">
        <v>4881</v>
      </c>
      <c r="W238" s="6">
        <v>9889</v>
      </c>
      <c r="X238" s="6"/>
      <c r="Y238" s="6"/>
      <c r="Z238" s="9"/>
      <c r="AA238" s="9"/>
      <c r="AB238" s="9"/>
      <c r="AC238" s="2"/>
    </row>
    <row r="239" spans="1:46" x14ac:dyDescent="0.55000000000000004">
      <c r="A239" s="11" t="s">
        <v>243</v>
      </c>
      <c r="B239" s="9"/>
      <c r="C239" s="9"/>
      <c r="D239" s="9"/>
      <c r="E239" s="9"/>
      <c r="F239" s="9"/>
      <c r="G239" s="9"/>
      <c r="H239" s="9"/>
      <c r="I239" s="9"/>
      <c r="J239" s="9"/>
      <c r="K239" s="37"/>
      <c r="L239" s="37"/>
      <c r="M239" s="9"/>
      <c r="N239" s="6">
        <v>4377</v>
      </c>
      <c r="O239" s="6">
        <v>1037</v>
      </c>
      <c r="P239" s="6">
        <v>14649</v>
      </c>
      <c r="Q239" s="6">
        <v>10542</v>
      </c>
      <c r="R239" s="6">
        <v>624</v>
      </c>
      <c r="S239" s="6">
        <v>5698</v>
      </c>
      <c r="T239" s="6">
        <v>2967</v>
      </c>
      <c r="U239" s="6">
        <v>8539</v>
      </c>
      <c r="V239" s="6">
        <v>4398</v>
      </c>
      <c r="W239" s="6">
        <v>8644</v>
      </c>
      <c r="X239" s="6"/>
      <c r="Y239" s="6"/>
      <c r="Z239" s="9"/>
      <c r="AA239" s="9"/>
      <c r="AB239" s="9"/>
      <c r="AC239" s="2"/>
      <c r="AD239" s="2"/>
      <c r="AE239" s="2"/>
      <c r="AF239" s="2"/>
      <c r="AG239" s="2"/>
      <c r="AH239" s="2"/>
      <c r="AI239" s="2"/>
      <c r="AJ239" s="2"/>
    </row>
    <row r="240" spans="1:46" x14ac:dyDescent="0.55000000000000004">
      <c r="A240" s="18" t="s">
        <v>244</v>
      </c>
      <c r="B240" s="19">
        <v>1423100</v>
      </c>
      <c r="C240" s="19">
        <v>62629</v>
      </c>
      <c r="D240" s="19">
        <v>34862</v>
      </c>
      <c r="E240" s="19" t="s">
        <v>14</v>
      </c>
      <c r="F240" s="19" t="s">
        <v>14</v>
      </c>
      <c r="G240" s="19" t="s">
        <v>14</v>
      </c>
      <c r="H240" s="19">
        <v>1352876</v>
      </c>
      <c r="I240" s="19">
        <v>64491</v>
      </c>
      <c r="J240" s="19">
        <v>36016</v>
      </c>
      <c r="K240" s="36">
        <v>44</v>
      </c>
      <c r="L240" s="36">
        <v>24.5</v>
      </c>
      <c r="N240" s="19">
        <v>217000</v>
      </c>
      <c r="O240" s="19">
        <v>328500</v>
      </c>
      <c r="P240" s="19">
        <v>387600</v>
      </c>
      <c r="Q240" s="19">
        <v>185000</v>
      </c>
      <c r="R240" s="19">
        <v>178000</v>
      </c>
      <c r="S240" s="19">
        <v>126500</v>
      </c>
      <c r="T240" s="19"/>
      <c r="U240" s="19"/>
      <c r="V240" s="19"/>
      <c r="W240" s="19"/>
      <c r="X240" s="19"/>
      <c r="Y240" s="19"/>
      <c r="Z240" s="17"/>
      <c r="AA240" s="17"/>
      <c r="AB240" s="17"/>
      <c r="AC240" s="2"/>
      <c r="AD240" s="12">
        <f>SUM(N240:AB240)</f>
        <v>1422600</v>
      </c>
      <c r="AE240" s="12">
        <f>SUM(N241:AB241)</f>
        <v>62629</v>
      </c>
      <c r="AF240" s="12">
        <f>SUM(N242:AB242)</f>
        <v>34863</v>
      </c>
      <c r="AG240" s="2"/>
      <c r="AH240" s="12">
        <f>AD240-B240</f>
        <v>-500</v>
      </c>
      <c r="AI240" s="12">
        <f>AE240-C240</f>
        <v>0</v>
      </c>
      <c r="AJ240" s="12">
        <f>AF240-D240</f>
        <v>1</v>
      </c>
      <c r="AL240" s="47">
        <f>C240/B240*1000</f>
        <v>44.008853910477121</v>
      </c>
      <c r="AM240" s="47">
        <f>D240/B240*1000</f>
        <v>24.49722436933455</v>
      </c>
      <c r="AO240" s="47">
        <f>AL240-K240</f>
        <v>8.8539104771214738E-3</v>
      </c>
      <c r="AP240" s="47">
        <f>AM240-L240</f>
        <v>-2.7756306654502794E-3</v>
      </c>
      <c r="AR240" s="12">
        <f t="shared" ref="AR240" si="225">H240</f>
        <v>1352876</v>
      </c>
      <c r="AS240" s="12">
        <f t="shared" ref="AS240" si="226">I240</f>
        <v>64491</v>
      </c>
      <c r="AT240" s="12">
        <f t="shared" ref="AT240" si="227">J240</f>
        <v>36016</v>
      </c>
    </row>
    <row r="241" spans="1:50" x14ac:dyDescent="0.55000000000000004">
      <c r="A241" s="11" t="s">
        <v>245</v>
      </c>
      <c r="B241" s="9"/>
      <c r="C241" s="9"/>
      <c r="D241" s="9"/>
      <c r="E241" s="9"/>
      <c r="F241" s="9"/>
      <c r="G241" s="9"/>
      <c r="H241" s="9"/>
      <c r="I241" s="9"/>
      <c r="J241" s="9"/>
      <c r="K241" s="37"/>
      <c r="L241" s="37"/>
      <c r="M241" s="9"/>
      <c r="N241" s="6">
        <v>8296</v>
      </c>
      <c r="O241" s="6">
        <v>19092</v>
      </c>
      <c r="P241" s="6">
        <v>16936</v>
      </c>
      <c r="Q241" s="6">
        <v>7642</v>
      </c>
      <c r="R241" s="6">
        <v>4612</v>
      </c>
      <c r="S241" s="6">
        <v>6051</v>
      </c>
      <c r="T241" s="6"/>
      <c r="U241" s="6"/>
      <c r="V241" s="6"/>
      <c r="W241" s="6"/>
      <c r="X241" s="6"/>
      <c r="Y241" s="6"/>
      <c r="Z241" s="9"/>
      <c r="AA241" s="9"/>
      <c r="AB241" s="9"/>
      <c r="AC241" s="2"/>
      <c r="AD241" s="2"/>
      <c r="AE241" s="2"/>
      <c r="AF241" s="2"/>
      <c r="AG241" s="2"/>
      <c r="AH241" s="2"/>
      <c r="AI241" s="2"/>
      <c r="AJ241" s="2"/>
    </row>
    <row r="242" spans="1:50" x14ac:dyDescent="0.55000000000000004">
      <c r="A242" s="11" t="s">
        <v>246</v>
      </c>
      <c r="B242" s="9"/>
      <c r="C242" s="9"/>
      <c r="D242" s="9"/>
      <c r="E242" s="9"/>
      <c r="F242" s="9"/>
      <c r="G242" s="9"/>
      <c r="H242" s="9"/>
      <c r="I242" s="9"/>
      <c r="J242" s="9"/>
      <c r="K242" s="37"/>
      <c r="L242" s="37"/>
      <c r="M242" s="9"/>
      <c r="N242" s="6">
        <v>6462</v>
      </c>
      <c r="O242" s="6">
        <v>8386</v>
      </c>
      <c r="P242" s="6">
        <v>9042</v>
      </c>
      <c r="Q242" s="6">
        <v>4026</v>
      </c>
      <c r="R242" s="6">
        <v>2492</v>
      </c>
      <c r="S242" s="6">
        <v>4455</v>
      </c>
      <c r="T242" s="6"/>
      <c r="U242" s="6"/>
      <c r="V242" s="6"/>
      <c r="W242" s="6"/>
      <c r="X242" s="6"/>
      <c r="Y242" s="6"/>
      <c r="Z242" s="9"/>
      <c r="AA242" s="9"/>
      <c r="AB242" s="9"/>
      <c r="AC242" s="2"/>
      <c r="AD242" s="2"/>
      <c r="AE242" s="2"/>
      <c r="AF242" s="2"/>
      <c r="AG242" s="2"/>
      <c r="AH242" s="2"/>
      <c r="AI242" s="2"/>
      <c r="AJ242" s="2"/>
    </row>
    <row r="243" spans="1:50" x14ac:dyDescent="0.55000000000000004">
      <c r="A243" s="18" t="s">
        <v>247</v>
      </c>
      <c r="B243" s="19">
        <v>261142</v>
      </c>
      <c r="C243" s="19">
        <v>8064</v>
      </c>
      <c r="D243" s="19">
        <v>4839</v>
      </c>
      <c r="E243" s="19">
        <v>8428</v>
      </c>
      <c r="F243" s="19">
        <v>163</v>
      </c>
      <c r="G243" s="19">
        <v>110</v>
      </c>
      <c r="H243" s="19">
        <v>256184</v>
      </c>
      <c r="I243" s="19">
        <v>7244</v>
      </c>
      <c r="J243" s="19">
        <v>6128</v>
      </c>
      <c r="K243" s="36">
        <v>30.9</v>
      </c>
      <c r="L243" s="36">
        <v>18.5</v>
      </c>
      <c r="N243" s="19">
        <v>152701</v>
      </c>
      <c r="O243" s="19">
        <v>13026</v>
      </c>
      <c r="P243" s="19">
        <v>74077</v>
      </c>
      <c r="Q243" s="19">
        <v>6194</v>
      </c>
      <c r="R243" s="19">
        <v>15144</v>
      </c>
      <c r="S243" s="19"/>
      <c r="T243" s="19"/>
      <c r="U243" s="19"/>
      <c r="V243" s="19"/>
      <c r="W243" s="19"/>
      <c r="X243" s="19"/>
      <c r="Y243" s="19"/>
      <c r="Z243" s="17"/>
      <c r="AA243" s="17"/>
      <c r="AB243" s="17"/>
      <c r="AC243" s="2"/>
      <c r="AD243" s="12">
        <f>SUM(N243:AB243)</f>
        <v>261142</v>
      </c>
      <c r="AE243" s="12">
        <f>SUM(N244:AB244)</f>
        <v>8064</v>
      </c>
      <c r="AF243" s="12">
        <f>SUM(N245:AB245)</f>
        <v>4841</v>
      </c>
      <c r="AG243" s="2"/>
      <c r="AH243" s="12">
        <f>AD243-B243</f>
        <v>0</v>
      </c>
      <c r="AI243" s="12">
        <f>AE243-C243</f>
        <v>0</v>
      </c>
      <c r="AJ243" s="12">
        <f>AF243-D243</f>
        <v>2</v>
      </c>
      <c r="AL243" s="47">
        <f>C243/B243*1000</f>
        <v>30.879751246448294</v>
      </c>
      <c r="AM243" s="47">
        <f>D243/B243*1000</f>
        <v>18.530148348408147</v>
      </c>
      <c r="AO243" s="47">
        <f>AL243-K243</f>
        <v>-2.0248753551705079E-2</v>
      </c>
      <c r="AP243" s="47">
        <f>AM243-L243</f>
        <v>3.0148348408147285E-2</v>
      </c>
      <c r="AR243" s="12">
        <f t="shared" ref="AR243" si="228">H243</f>
        <v>256184</v>
      </c>
      <c r="AS243" s="12">
        <f t="shared" ref="AS243" si="229">I243</f>
        <v>7244</v>
      </c>
      <c r="AT243" s="12">
        <f t="shared" ref="AT243" si="230">J243</f>
        <v>6128</v>
      </c>
    </row>
    <row r="244" spans="1:50" x14ac:dyDescent="0.55000000000000004">
      <c r="A244" s="11" t="s">
        <v>248</v>
      </c>
      <c r="B244" s="9"/>
      <c r="C244" s="9"/>
      <c r="D244" s="9"/>
      <c r="E244" s="9"/>
      <c r="F244" s="9"/>
      <c r="G244" s="9"/>
      <c r="H244" s="9"/>
      <c r="I244" s="9"/>
      <c r="J244" s="9"/>
      <c r="K244" s="37"/>
      <c r="L244" s="37"/>
      <c r="M244" s="9"/>
      <c r="N244" s="6">
        <v>4838</v>
      </c>
      <c r="O244" s="6">
        <v>176</v>
      </c>
      <c r="P244" s="6">
        <v>2445</v>
      </c>
      <c r="Q244" s="6">
        <v>127</v>
      </c>
      <c r="R244" s="6">
        <v>478</v>
      </c>
      <c r="S244" s="6"/>
      <c r="T244" s="6"/>
      <c r="U244" s="6"/>
      <c r="V244" s="6"/>
      <c r="W244" s="6"/>
      <c r="X244" s="6"/>
      <c r="Y244" s="6"/>
      <c r="Z244" s="9"/>
      <c r="AA244" s="9"/>
      <c r="AB244" s="9"/>
      <c r="AC244" s="2"/>
      <c r="AD244" s="2"/>
      <c r="AE244" s="2"/>
      <c r="AF244" s="2"/>
      <c r="AG244" s="2"/>
      <c r="AH244" s="2"/>
      <c r="AI244" s="2"/>
      <c r="AJ244" s="2"/>
    </row>
    <row r="245" spans="1:50" x14ac:dyDescent="0.55000000000000004">
      <c r="A245" s="11" t="s">
        <v>249</v>
      </c>
      <c r="B245" s="9"/>
      <c r="C245" s="9"/>
      <c r="D245" s="9"/>
      <c r="E245" s="9"/>
      <c r="F245" s="9"/>
      <c r="G245" s="9"/>
      <c r="H245" s="9"/>
      <c r="I245" s="9"/>
      <c r="J245" s="9"/>
      <c r="K245" s="37"/>
      <c r="L245" s="37"/>
      <c r="M245" s="9"/>
      <c r="N245" s="6">
        <v>3161</v>
      </c>
      <c r="O245" s="6">
        <v>140</v>
      </c>
      <c r="P245" s="6">
        <v>1225</v>
      </c>
      <c r="Q245" s="6">
        <v>101</v>
      </c>
      <c r="R245" s="6">
        <v>214</v>
      </c>
      <c r="S245" s="6"/>
      <c r="T245" s="6"/>
      <c r="U245" s="6"/>
      <c r="V245" s="6"/>
      <c r="W245" s="6"/>
      <c r="X245" s="6"/>
      <c r="Y245" s="6"/>
      <c r="Z245" s="9"/>
      <c r="AA245" s="9"/>
      <c r="AB245" s="9"/>
      <c r="AC245" s="2"/>
      <c r="AD245" s="2"/>
      <c r="AE245" s="2"/>
      <c r="AF245" s="2"/>
      <c r="AG245" s="2"/>
      <c r="AH245" s="2"/>
      <c r="AI245" s="2"/>
      <c r="AJ245" s="2"/>
    </row>
    <row r="246" spans="1:50" x14ac:dyDescent="0.55000000000000004">
      <c r="A246" s="18" t="s">
        <v>250</v>
      </c>
      <c r="B246" s="19">
        <v>20302</v>
      </c>
      <c r="C246" s="19">
        <v>395</v>
      </c>
      <c r="D246" s="19">
        <v>395</v>
      </c>
      <c r="E246" s="19" t="s">
        <v>14</v>
      </c>
      <c r="F246" s="19" t="s">
        <v>14</v>
      </c>
      <c r="G246" s="19" t="s">
        <v>14</v>
      </c>
      <c r="H246" s="19">
        <v>15696</v>
      </c>
      <c r="I246" s="19">
        <v>353</v>
      </c>
      <c r="J246" s="19">
        <v>265</v>
      </c>
      <c r="K246" s="36">
        <v>19.7</v>
      </c>
      <c r="L246" s="36">
        <v>19.7</v>
      </c>
      <c r="N246" s="19">
        <v>8068</v>
      </c>
      <c r="O246" s="19">
        <v>5025</v>
      </c>
      <c r="P246" s="19">
        <v>7209</v>
      </c>
      <c r="Q246" s="19"/>
      <c r="R246" s="19"/>
      <c r="S246" s="19"/>
      <c r="T246" s="19"/>
      <c r="U246" s="19"/>
      <c r="V246" s="19"/>
      <c r="W246" s="19"/>
      <c r="X246" s="19"/>
      <c r="Y246" s="19"/>
      <c r="Z246" s="17"/>
      <c r="AA246" s="17"/>
      <c r="AB246" s="17"/>
      <c r="AC246" s="2"/>
      <c r="AD246" s="12">
        <f>SUM(N246:AB246)</f>
        <v>20302</v>
      </c>
      <c r="AE246" s="12">
        <f>SUM(N247:AB247)</f>
        <v>395</v>
      </c>
      <c r="AF246" s="12">
        <f>SUM(N248:AB248)</f>
        <v>215</v>
      </c>
      <c r="AG246" s="2"/>
      <c r="AH246" s="12">
        <f>AD246-B246</f>
        <v>0</v>
      </c>
      <c r="AI246" s="12">
        <f>AE246-C246</f>
        <v>0</v>
      </c>
      <c r="AJ246" s="12">
        <f>AF246-D246</f>
        <v>-180</v>
      </c>
      <c r="AL246" s="47">
        <f>C246/B246*1000</f>
        <v>19.456211210718156</v>
      </c>
      <c r="AM246" s="47">
        <f>D246/B246*1000</f>
        <v>19.456211210718156</v>
      </c>
      <c r="AO246" s="47">
        <f>AL246-K246</f>
        <v>-0.24378878928184378</v>
      </c>
      <c r="AP246" s="47">
        <f>AM246-L246</f>
        <v>-0.24378878928184378</v>
      </c>
      <c r="AR246" s="12">
        <f t="shared" ref="AR246" si="231">H246</f>
        <v>15696</v>
      </c>
      <c r="AS246" s="12">
        <f t="shared" ref="AS246" si="232">I246</f>
        <v>353</v>
      </c>
      <c r="AT246" s="12">
        <f t="shared" ref="AT246" si="233">J246</f>
        <v>265</v>
      </c>
    </row>
    <row r="247" spans="1:50" x14ac:dyDescent="0.55000000000000004">
      <c r="A247" s="11" t="s">
        <v>251</v>
      </c>
      <c r="B247" s="9"/>
      <c r="C247" s="9"/>
      <c r="D247" s="9"/>
      <c r="E247" s="9"/>
      <c r="F247" s="9"/>
      <c r="G247" s="9"/>
      <c r="H247" s="9"/>
      <c r="I247" s="9"/>
      <c r="J247" s="9"/>
      <c r="K247" s="37"/>
      <c r="L247" s="37"/>
      <c r="M247" s="9"/>
      <c r="N247" s="6">
        <v>168</v>
      </c>
      <c r="O247" s="6">
        <v>63</v>
      </c>
      <c r="P247" s="6">
        <v>164</v>
      </c>
      <c r="Q247" s="6"/>
      <c r="R247" s="6"/>
      <c r="S247" s="6"/>
      <c r="T247" s="6"/>
      <c r="U247" s="6"/>
      <c r="V247" s="6"/>
      <c r="W247" s="6"/>
      <c r="X247" s="6"/>
      <c r="Y247" s="6"/>
      <c r="Z247" s="9"/>
      <c r="AA247" s="9"/>
      <c r="AB247" s="9"/>
      <c r="AC247" s="2"/>
      <c r="AD247" s="2"/>
      <c r="AE247" s="2"/>
      <c r="AF247" s="2"/>
      <c r="AG247" s="2"/>
      <c r="AH247" s="2"/>
      <c r="AI247" s="2"/>
      <c r="AJ247" s="2"/>
    </row>
    <row r="248" spans="1:50" x14ac:dyDescent="0.55000000000000004">
      <c r="A248" s="11" t="s">
        <v>252</v>
      </c>
      <c r="B248" s="9"/>
      <c r="C248" s="9"/>
      <c r="D248" s="9"/>
      <c r="E248" s="9"/>
      <c r="F248" s="9"/>
      <c r="G248" s="9"/>
      <c r="H248" s="9"/>
      <c r="I248" s="9"/>
      <c r="J248" s="9"/>
      <c r="K248" s="37"/>
      <c r="L248" s="37"/>
      <c r="M248" s="9"/>
      <c r="N248" s="6">
        <v>111</v>
      </c>
      <c r="O248" s="6">
        <v>39</v>
      </c>
      <c r="P248" s="6">
        <v>65</v>
      </c>
      <c r="Q248" s="6"/>
      <c r="R248" s="6"/>
      <c r="S248" s="6"/>
      <c r="T248" s="6"/>
      <c r="U248" s="6"/>
      <c r="V248" s="6"/>
      <c r="W248" s="6"/>
      <c r="X248" s="6"/>
      <c r="Y248" s="6"/>
      <c r="Z248" s="9"/>
      <c r="AA248" s="9"/>
      <c r="AB248" s="9"/>
      <c r="AC248" s="2"/>
      <c r="AD248" s="2"/>
      <c r="AE248" s="2"/>
      <c r="AF248" s="2"/>
      <c r="AG248" s="2"/>
      <c r="AH248" s="2"/>
      <c r="AI248" s="2"/>
      <c r="AJ248" s="2"/>
    </row>
    <row r="249" spans="1:50" x14ac:dyDescent="0.55000000000000004">
      <c r="A249" s="45" t="s">
        <v>253</v>
      </c>
      <c r="B249" s="7">
        <v>4817908</v>
      </c>
      <c r="C249" s="7">
        <v>215042</v>
      </c>
      <c r="D249" s="7">
        <v>150174</v>
      </c>
      <c r="E249" s="7"/>
      <c r="F249" s="7"/>
      <c r="G249" s="7"/>
      <c r="H249" s="7">
        <v>4536518</v>
      </c>
      <c r="I249" s="7">
        <v>203902</v>
      </c>
      <c r="J249" s="7">
        <v>146737</v>
      </c>
      <c r="K249" s="38">
        <v>45.6</v>
      </c>
      <c r="L249" s="38">
        <v>32.1</v>
      </c>
      <c r="N249" s="7"/>
      <c r="O249" s="24"/>
      <c r="P249" s="24"/>
      <c r="Q249" s="24"/>
      <c r="R249" s="24"/>
      <c r="S249" s="24"/>
      <c r="T249" s="24"/>
      <c r="U249" s="25"/>
      <c r="V249" s="25"/>
      <c r="W249" s="25"/>
      <c r="X249" s="25"/>
      <c r="Y249" s="25"/>
      <c r="Z249" s="25"/>
      <c r="AA249" s="25"/>
      <c r="AB249" s="25"/>
      <c r="AC249" s="2"/>
      <c r="AD249" s="23">
        <f>SUM(AD224:AD248)</f>
        <v>4816598</v>
      </c>
      <c r="AE249" s="23">
        <f>SUM(AE224:AE248)</f>
        <v>215042</v>
      </c>
      <c r="AF249" s="23">
        <f>SUM(AF224:AF248)</f>
        <v>150286</v>
      </c>
      <c r="AG249" s="2"/>
      <c r="AH249" s="23">
        <f>AD249-B249</f>
        <v>-1310</v>
      </c>
      <c r="AI249" s="23">
        <f>AE249-C249</f>
        <v>0</v>
      </c>
      <c r="AJ249" s="23">
        <f>AF249-D249</f>
        <v>112</v>
      </c>
      <c r="AL249" s="49">
        <f>C249/B249*1000</f>
        <v>44.633895043242831</v>
      </c>
      <c r="AM249" s="49">
        <f>D249/B249*1000</f>
        <v>31.169960073957409</v>
      </c>
      <c r="AN249" s="48"/>
      <c r="AO249" s="49">
        <f>AL249-K249</f>
        <v>-0.9661049567571709</v>
      </c>
      <c r="AP249" s="49">
        <f>AM249-L249</f>
        <v>-0.93003992604259267</v>
      </c>
      <c r="AR249" s="23">
        <f t="shared" ref="AR249:AT249" si="234">SUM(AR224:AR248)</f>
        <v>4584588</v>
      </c>
      <c r="AS249" s="23">
        <f t="shared" si="234"/>
        <v>212380</v>
      </c>
      <c r="AT249" s="23">
        <f t="shared" si="234"/>
        <v>152061</v>
      </c>
      <c r="AV249" s="23">
        <f>H249-AR249</f>
        <v>-48070</v>
      </c>
      <c r="AW249" s="23">
        <f>I249-AS249</f>
        <v>-8478</v>
      </c>
      <c r="AX249" s="23">
        <f>J249-AT249</f>
        <v>-5324</v>
      </c>
    </row>
    <row r="250" spans="1:50" x14ac:dyDescent="0.55000000000000004">
      <c r="A250" s="14" t="s">
        <v>254</v>
      </c>
      <c r="B250" s="15">
        <v>602654</v>
      </c>
      <c r="C250" s="15">
        <v>18237</v>
      </c>
      <c r="D250" s="15">
        <v>16174</v>
      </c>
      <c r="E250" s="15" t="s">
        <v>14</v>
      </c>
      <c r="F250" s="15" t="s">
        <v>14</v>
      </c>
      <c r="G250" s="15" t="s">
        <v>14</v>
      </c>
      <c r="H250" s="15">
        <v>496665</v>
      </c>
      <c r="I250" s="15">
        <v>14910</v>
      </c>
      <c r="J250" s="15">
        <v>10239</v>
      </c>
      <c r="K250" s="36">
        <v>30.2</v>
      </c>
      <c r="L250" s="36">
        <v>26.8</v>
      </c>
      <c r="M250" s="9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2"/>
      <c r="AD250" s="12">
        <f t="shared" ref="AD250:AF251" si="235">B250</f>
        <v>602654</v>
      </c>
      <c r="AE250" s="12">
        <f t="shared" si="235"/>
        <v>18237</v>
      </c>
      <c r="AF250" s="12">
        <f t="shared" si="235"/>
        <v>16174</v>
      </c>
      <c r="AG250" s="2"/>
      <c r="AH250" s="12"/>
      <c r="AI250" s="12"/>
      <c r="AJ250" s="12"/>
      <c r="AL250" s="47">
        <f>C250/B250*1000</f>
        <v>30.26114486919526</v>
      </c>
      <c r="AM250" s="47">
        <f>D250/B250*1000</f>
        <v>26.837953452561504</v>
      </c>
      <c r="AO250" s="47">
        <f>AL250-K250</f>
        <v>6.1144869195260299E-2</v>
      </c>
      <c r="AP250" s="47">
        <f>AM250-L250</f>
        <v>3.7953452561502843E-2</v>
      </c>
      <c r="AR250" s="12">
        <f>H250</f>
        <v>496665</v>
      </c>
      <c r="AS250" s="12">
        <f>I250</f>
        <v>14910</v>
      </c>
      <c r="AT250" s="12">
        <f>J250</f>
        <v>10239</v>
      </c>
    </row>
    <row r="251" spans="1:50" x14ac:dyDescent="0.55000000000000004">
      <c r="A251" s="14" t="s">
        <v>255</v>
      </c>
      <c r="B251" s="15">
        <v>700000</v>
      </c>
      <c r="C251" s="15" t="s">
        <v>14</v>
      </c>
      <c r="D251" s="15" t="s">
        <v>14</v>
      </c>
      <c r="E251" s="15" t="s">
        <v>14</v>
      </c>
      <c r="F251" s="15" t="s">
        <v>14</v>
      </c>
      <c r="G251" s="15" t="s">
        <v>14</v>
      </c>
      <c r="H251" s="15" t="s">
        <v>14</v>
      </c>
      <c r="I251" s="15" t="s">
        <v>14</v>
      </c>
      <c r="J251" s="15" t="s">
        <v>14</v>
      </c>
      <c r="K251" s="39" t="s">
        <v>14</v>
      </c>
      <c r="L251" s="39" t="s">
        <v>14</v>
      </c>
      <c r="M251" s="9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2"/>
      <c r="AD251" s="12">
        <f t="shared" si="235"/>
        <v>700000</v>
      </c>
      <c r="AE251" s="46" t="str">
        <f t="shared" si="235"/>
        <v>—</v>
      </c>
      <c r="AF251" s="46" t="str">
        <f t="shared" si="235"/>
        <v>—</v>
      </c>
      <c r="AG251" s="2"/>
      <c r="AH251" s="12"/>
      <c r="AI251" s="12"/>
      <c r="AJ251" s="12"/>
      <c r="AL251" s="47"/>
      <c r="AM251" s="47"/>
      <c r="AO251" s="47"/>
      <c r="AP251" s="47"/>
      <c r="AR251" s="12"/>
      <c r="AS251" s="12"/>
      <c r="AT251" s="12"/>
    </row>
    <row r="252" spans="1:50" x14ac:dyDescent="0.55000000000000004">
      <c r="A252" s="14" t="s">
        <v>256</v>
      </c>
      <c r="B252" s="15">
        <v>810714</v>
      </c>
      <c r="C252" s="15">
        <v>16772</v>
      </c>
      <c r="D252" s="15">
        <v>14630</v>
      </c>
      <c r="E252" s="15">
        <v>97094</v>
      </c>
      <c r="F252" s="15" t="s">
        <v>14</v>
      </c>
      <c r="G252" s="15" t="s">
        <v>14</v>
      </c>
      <c r="H252" s="15">
        <v>705125</v>
      </c>
      <c r="I252" s="15" t="s">
        <v>14</v>
      </c>
      <c r="J252" s="15" t="s">
        <v>14</v>
      </c>
      <c r="K252" s="39" t="s">
        <v>14</v>
      </c>
      <c r="L252" s="39" t="s">
        <v>14</v>
      </c>
      <c r="M252" s="9"/>
      <c r="N252" s="15">
        <v>300289</v>
      </c>
      <c r="O252" s="15">
        <v>171076</v>
      </c>
      <c r="P252" s="15">
        <v>180688</v>
      </c>
      <c r="Q252" s="15">
        <v>158661</v>
      </c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2"/>
      <c r="AD252" s="12">
        <f>SUM(N252:AB252)</f>
        <v>810714</v>
      </c>
      <c r="AE252" s="12">
        <f>SUM(N253:AB253)</f>
        <v>16772</v>
      </c>
      <c r="AF252" s="12">
        <f>SUM(N254:AB254)</f>
        <v>14630</v>
      </c>
      <c r="AG252" s="2"/>
      <c r="AH252" s="12">
        <f>AD252-B252</f>
        <v>0</v>
      </c>
      <c r="AI252" s="12">
        <f>AE252-C252</f>
        <v>0</v>
      </c>
      <c r="AJ252" s="12">
        <f>AF252-D252</f>
        <v>0</v>
      </c>
      <c r="AL252" s="47">
        <f>C252/B252*1000</f>
        <v>20.687936806321339</v>
      </c>
      <c r="AM252" s="47">
        <f>D252/B252*1000</f>
        <v>18.045821337734392</v>
      </c>
    </row>
    <row r="253" spans="1:50" x14ac:dyDescent="0.55000000000000004">
      <c r="A253" t="s">
        <v>257</v>
      </c>
      <c r="B253" s="8"/>
      <c r="C253" s="8"/>
      <c r="D253" s="8"/>
      <c r="E253" s="8"/>
      <c r="F253" s="8"/>
      <c r="G253" s="8"/>
      <c r="H253" s="8"/>
      <c r="I253" s="8"/>
      <c r="J253" s="8"/>
      <c r="K253" s="37"/>
      <c r="L253" s="37"/>
      <c r="M253" s="9"/>
      <c r="N253" s="8">
        <v>16138</v>
      </c>
      <c r="O253" s="8" t="s">
        <v>14</v>
      </c>
      <c r="P253" s="8" t="s">
        <v>14</v>
      </c>
      <c r="Q253" s="8">
        <v>634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2"/>
      <c r="AD253" s="2"/>
      <c r="AE253" s="2"/>
      <c r="AF253" s="2"/>
      <c r="AG253" s="2"/>
      <c r="AH253" s="2"/>
      <c r="AI253" s="2"/>
      <c r="AJ253" s="2"/>
    </row>
    <row r="254" spans="1:50" x14ac:dyDescent="0.55000000000000004">
      <c r="A254" t="s">
        <v>258</v>
      </c>
      <c r="B254" s="8"/>
      <c r="C254" s="8"/>
      <c r="D254" s="8"/>
      <c r="E254" s="8"/>
      <c r="F254" s="8"/>
      <c r="G254" s="8"/>
      <c r="H254" s="8"/>
      <c r="I254" s="8"/>
      <c r="J254" s="8"/>
      <c r="K254" s="37"/>
      <c r="L254" s="37"/>
      <c r="M254" s="9"/>
      <c r="N254" s="8">
        <v>13941</v>
      </c>
      <c r="O254" s="8" t="s">
        <v>14</v>
      </c>
      <c r="P254" s="8" t="s">
        <v>14</v>
      </c>
      <c r="Q254" s="8">
        <v>689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2"/>
      <c r="AD254" s="2"/>
      <c r="AE254" s="2"/>
      <c r="AF254" s="2"/>
      <c r="AG254" s="2"/>
      <c r="AH254" s="2"/>
      <c r="AI254" s="2"/>
      <c r="AJ254" s="2"/>
    </row>
    <row r="255" spans="1:50" x14ac:dyDescent="0.55000000000000004">
      <c r="A255" s="14" t="s">
        <v>259</v>
      </c>
      <c r="B255" s="15">
        <v>595254</v>
      </c>
      <c r="C255" s="15">
        <v>10055</v>
      </c>
      <c r="D255" s="15">
        <v>8496</v>
      </c>
      <c r="E255" s="15">
        <v>37935</v>
      </c>
      <c r="F255" s="15">
        <v>1849</v>
      </c>
      <c r="G255" s="15">
        <v>1535</v>
      </c>
      <c r="H255" s="15">
        <v>579015</v>
      </c>
      <c r="I255" s="15" t="s">
        <v>14</v>
      </c>
      <c r="J255" s="15" t="s">
        <v>14</v>
      </c>
      <c r="K255" s="39" t="s">
        <v>14</v>
      </c>
      <c r="L255" s="39" t="s">
        <v>14</v>
      </c>
      <c r="M255" s="9"/>
      <c r="N255" s="15">
        <v>162725</v>
      </c>
      <c r="O255" s="15">
        <v>72820</v>
      </c>
      <c r="P255" s="15">
        <v>116164</v>
      </c>
      <c r="Q255" s="15">
        <v>126158</v>
      </c>
      <c r="R255" s="15">
        <v>94474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2"/>
      <c r="AD255" s="12">
        <f>SUM(N255:AB255)</f>
        <v>572341</v>
      </c>
      <c r="AE255" s="12">
        <f>SUM(N256:AB256)</f>
        <v>9605</v>
      </c>
      <c r="AF255" s="12">
        <f>SUM(N257:AB257)</f>
        <v>8427</v>
      </c>
      <c r="AG255" s="2"/>
      <c r="AH255" s="12">
        <f>AD255-B255</f>
        <v>-22913</v>
      </c>
      <c r="AI255" s="12">
        <f>AE255-C255</f>
        <v>-450</v>
      </c>
      <c r="AJ255" s="12">
        <f>AF255-D255</f>
        <v>-69</v>
      </c>
      <c r="AL255" s="47">
        <f>C255/B255*1000</f>
        <v>16.89194864713215</v>
      </c>
      <c r="AM255" s="47">
        <f>D255/B255*1000</f>
        <v>14.272898628148656</v>
      </c>
      <c r="AO255" s="47"/>
      <c r="AP255" s="47"/>
      <c r="AR255" s="12">
        <f t="shared" ref="AR255" si="236">H255</f>
        <v>579015</v>
      </c>
      <c r="AS255" s="12"/>
      <c r="AT255" s="12"/>
    </row>
    <row r="256" spans="1:50" x14ac:dyDescent="0.55000000000000004">
      <c r="A256" t="s">
        <v>260</v>
      </c>
      <c r="B256" s="8"/>
      <c r="C256" s="8"/>
      <c r="D256" s="8"/>
      <c r="E256" s="8"/>
      <c r="F256" s="8"/>
      <c r="G256" s="8"/>
      <c r="H256" s="8"/>
      <c r="I256" s="8"/>
      <c r="J256" s="8"/>
      <c r="K256" s="37"/>
      <c r="L256" s="37"/>
      <c r="M256" s="9"/>
      <c r="N256" s="8">
        <v>3100</v>
      </c>
      <c r="O256" s="8">
        <v>1291</v>
      </c>
      <c r="P256" s="8">
        <v>1374</v>
      </c>
      <c r="Q256" s="8">
        <v>1538</v>
      </c>
      <c r="R256" s="8">
        <v>2302</v>
      </c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2"/>
      <c r="AD256" s="2"/>
      <c r="AE256" s="2"/>
      <c r="AF256" s="2"/>
      <c r="AG256" s="2"/>
      <c r="AH256" s="2"/>
      <c r="AI256" s="2"/>
      <c r="AJ256" s="2"/>
    </row>
    <row r="257" spans="1:46" x14ac:dyDescent="0.55000000000000004">
      <c r="A257" t="s">
        <v>261</v>
      </c>
      <c r="B257" s="8"/>
      <c r="C257" s="8"/>
      <c r="D257" s="8"/>
      <c r="E257" s="8"/>
      <c r="F257" s="8"/>
      <c r="G257" s="8"/>
      <c r="H257" s="8"/>
      <c r="I257" s="8"/>
      <c r="J257" s="8"/>
      <c r="K257" s="37"/>
      <c r="L257" s="37"/>
      <c r="M257" s="9"/>
      <c r="N257" s="8">
        <v>2769</v>
      </c>
      <c r="O257" s="8">
        <v>1096</v>
      </c>
      <c r="P257" s="8">
        <v>1008</v>
      </c>
      <c r="Q257" s="8">
        <v>1552</v>
      </c>
      <c r="R257" s="8">
        <v>2002</v>
      </c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2"/>
      <c r="AD257" s="2"/>
      <c r="AE257" s="2"/>
      <c r="AF257" s="2"/>
      <c r="AG257" s="2"/>
      <c r="AH257" s="2"/>
      <c r="AI257" s="2"/>
      <c r="AJ257" s="2"/>
    </row>
    <row r="258" spans="1:46" x14ac:dyDescent="0.55000000000000004">
      <c r="A258" s="14" t="s">
        <v>262</v>
      </c>
      <c r="B258" s="15">
        <v>681434</v>
      </c>
      <c r="C258" s="15">
        <v>15108</v>
      </c>
      <c r="D258" s="15">
        <v>10001</v>
      </c>
      <c r="E258" s="15" t="s">
        <v>14</v>
      </c>
      <c r="F258" s="15" t="s">
        <v>14</v>
      </c>
      <c r="G258" s="15" t="s">
        <v>14</v>
      </c>
      <c r="H258" s="15">
        <v>644257</v>
      </c>
      <c r="I258" s="15">
        <v>13101</v>
      </c>
      <c r="J258" s="15">
        <v>9335</v>
      </c>
      <c r="K258" s="39" t="s">
        <v>14</v>
      </c>
      <c r="L258" s="39" t="s">
        <v>14</v>
      </c>
      <c r="M258" s="9"/>
      <c r="N258" s="15">
        <v>179646</v>
      </c>
      <c r="O258" s="15">
        <v>79531</v>
      </c>
      <c r="P258" s="15">
        <v>77020</v>
      </c>
      <c r="Q258" s="15">
        <v>112396</v>
      </c>
      <c r="R258" s="15">
        <v>109720</v>
      </c>
      <c r="S258" s="15">
        <v>99629</v>
      </c>
      <c r="T258" s="15"/>
      <c r="U258" s="15"/>
      <c r="V258" s="15"/>
      <c r="W258" s="15"/>
      <c r="X258" s="15"/>
      <c r="Y258" s="15"/>
      <c r="Z258" s="15"/>
      <c r="AA258" s="15"/>
      <c r="AB258" s="15"/>
      <c r="AC258" s="2"/>
      <c r="AD258" s="12">
        <f>SUM(N258:AB258)</f>
        <v>657942</v>
      </c>
      <c r="AE258" s="12">
        <f>SUM(N259:AB259)</f>
        <v>15486</v>
      </c>
      <c r="AF258" s="12">
        <f>SUM(N260:AB260)</f>
        <v>10001</v>
      </c>
      <c r="AG258" s="2"/>
      <c r="AH258" s="12">
        <f>AD258-B258</f>
        <v>-23492</v>
      </c>
      <c r="AI258" s="12">
        <f>AE258-C258</f>
        <v>378</v>
      </c>
      <c r="AJ258" s="12">
        <f>AF258-D258</f>
        <v>0</v>
      </c>
      <c r="AL258" s="47">
        <f>C258/B258*1000</f>
        <v>22.170892558927203</v>
      </c>
      <c r="AM258" s="47">
        <f>D258/B258*1000</f>
        <v>14.676402997208827</v>
      </c>
      <c r="AO258" s="47"/>
      <c r="AP258" s="47"/>
      <c r="AR258" s="12">
        <f t="shared" ref="AR258" si="237">H258</f>
        <v>644257</v>
      </c>
      <c r="AS258" s="12">
        <f t="shared" ref="AS258" si="238">I258</f>
        <v>13101</v>
      </c>
      <c r="AT258" s="12">
        <f t="shared" ref="AT258" si="239">J258</f>
        <v>9335</v>
      </c>
    </row>
    <row r="259" spans="1:46" x14ac:dyDescent="0.55000000000000004">
      <c r="A259" t="s">
        <v>263</v>
      </c>
      <c r="B259" s="8"/>
      <c r="C259" s="8"/>
      <c r="D259" s="8"/>
      <c r="E259" s="8"/>
      <c r="F259" s="8"/>
      <c r="G259" s="8"/>
      <c r="H259" s="8"/>
      <c r="I259" s="8"/>
      <c r="J259" s="8"/>
      <c r="K259" s="37"/>
      <c r="L259" s="37"/>
      <c r="M259" s="9"/>
      <c r="N259" s="8">
        <v>5716</v>
      </c>
      <c r="O259" s="8">
        <v>258</v>
      </c>
      <c r="P259" s="8">
        <v>532</v>
      </c>
      <c r="Q259" s="8">
        <v>2639</v>
      </c>
      <c r="R259" s="8">
        <v>3300</v>
      </c>
      <c r="S259" s="8">
        <v>3041</v>
      </c>
      <c r="T259" s="8"/>
      <c r="U259" s="8"/>
      <c r="V259" s="8"/>
      <c r="W259" s="8"/>
      <c r="X259" s="8"/>
      <c r="Y259" s="8"/>
      <c r="Z259" s="8"/>
      <c r="AA259" s="8"/>
      <c r="AB259" s="8"/>
      <c r="AC259" s="2"/>
      <c r="AD259" s="2"/>
      <c r="AE259" s="2"/>
      <c r="AF259" s="2"/>
      <c r="AG259" s="2"/>
      <c r="AH259" s="2"/>
      <c r="AI259" s="2"/>
      <c r="AJ259" s="2"/>
    </row>
    <row r="260" spans="1:46" x14ac:dyDescent="0.55000000000000004">
      <c r="A260" t="s">
        <v>264</v>
      </c>
      <c r="B260" s="8"/>
      <c r="C260" s="8"/>
      <c r="D260" s="8"/>
      <c r="E260" s="8"/>
      <c r="F260" s="8"/>
      <c r="G260" s="8"/>
      <c r="H260" s="8"/>
      <c r="I260" s="8"/>
      <c r="J260" s="8"/>
      <c r="K260" s="37"/>
      <c r="L260" s="37"/>
      <c r="M260" s="9"/>
      <c r="N260" s="8">
        <v>3139</v>
      </c>
      <c r="O260" s="8">
        <v>99</v>
      </c>
      <c r="P260" s="8">
        <v>154</v>
      </c>
      <c r="Q260" s="8">
        <v>2228</v>
      </c>
      <c r="R260" s="8">
        <v>2882</v>
      </c>
      <c r="S260" s="8">
        <v>1499</v>
      </c>
      <c r="T260" s="8"/>
      <c r="U260" s="8"/>
      <c r="V260" s="8"/>
      <c r="W260" s="8"/>
      <c r="X260" s="8"/>
      <c r="Y260" s="8"/>
      <c r="Z260" s="8"/>
      <c r="AA260" s="8"/>
      <c r="AB260" s="8"/>
      <c r="AC260" s="2"/>
      <c r="AD260" s="2"/>
      <c r="AE260" s="2"/>
      <c r="AF260" s="2"/>
      <c r="AG260" s="2"/>
      <c r="AH260" s="2"/>
      <c r="AI260" s="2"/>
      <c r="AJ260" s="2"/>
    </row>
    <row r="261" spans="1:46" x14ac:dyDescent="0.55000000000000004">
      <c r="A261" s="14" t="s">
        <v>265</v>
      </c>
      <c r="B261" s="15">
        <v>1164507</v>
      </c>
      <c r="C261" s="15">
        <v>15688</v>
      </c>
      <c r="D261" s="15">
        <v>7598</v>
      </c>
      <c r="E261" s="15">
        <v>133263</v>
      </c>
      <c r="F261" s="15" t="s">
        <v>14</v>
      </c>
      <c r="G261" s="15" t="s">
        <v>14</v>
      </c>
      <c r="H261" s="15">
        <v>1121628</v>
      </c>
      <c r="I261" s="15" t="s">
        <v>14</v>
      </c>
      <c r="J261" s="15" t="s">
        <v>14</v>
      </c>
      <c r="K261" s="39" t="s">
        <v>14</v>
      </c>
      <c r="L261" s="39" t="s">
        <v>14</v>
      </c>
      <c r="M261" s="9"/>
      <c r="N261" s="15">
        <v>360430</v>
      </c>
      <c r="O261" s="15">
        <v>186999</v>
      </c>
      <c r="P261" s="15">
        <v>128375</v>
      </c>
      <c r="Q261" s="15">
        <v>105253</v>
      </c>
      <c r="R261" s="15">
        <v>199340</v>
      </c>
      <c r="S261" s="15">
        <v>174110</v>
      </c>
      <c r="T261" s="15"/>
      <c r="U261" s="15"/>
      <c r="V261" s="15"/>
      <c r="W261" s="15"/>
      <c r="X261" s="15"/>
      <c r="Y261" s="15"/>
      <c r="Z261" s="15"/>
      <c r="AA261" s="15"/>
      <c r="AB261" s="15"/>
      <c r="AC261" s="2"/>
      <c r="AD261" s="12">
        <f>SUM(N261:AB261)</f>
        <v>1154507</v>
      </c>
      <c r="AE261" s="12">
        <f>SUM(N262:AB262)</f>
        <v>15688</v>
      </c>
      <c r="AF261" s="12">
        <f>SUM(N263:AB263)</f>
        <v>7598</v>
      </c>
      <c r="AG261" s="2"/>
      <c r="AH261" s="12">
        <f>AD261-B261</f>
        <v>-10000</v>
      </c>
      <c r="AI261" s="12">
        <f>AE261-C261</f>
        <v>0</v>
      </c>
      <c r="AJ261" s="12">
        <f>AF261-D261</f>
        <v>0</v>
      </c>
      <c r="AL261" s="47">
        <f>C261/B261*1000</f>
        <v>13.47179536061183</v>
      </c>
      <c r="AM261" s="47">
        <f>D261/B261*1000</f>
        <v>6.5246494868643978</v>
      </c>
      <c r="AO261" s="47"/>
      <c r="AP261" s="47"/>
      <c r="AR261" s="12">
        <f t="shared" ref="AR261" si="240">H261</f>
        <v>1121628</v>
      </c>
      <c r="AS261" s="12"/>
      <c r="AT261" s="12"/>
    </row>
    <row r="262" spans="1:46" x14ac:dyDescent="0.55000000000000004">
      <c r="A262" t="s">
        <v>266</v>
      </c>
      <c r="B262" s="8"/>
      <c r="C262" s="8"/>
      <c r="D262" s="8"/>
      <c r="E262" s="8"/>
      <c r="F262" s="8"/>
      <c r="G262" s="8"/>
      <c r="H262" s="8"/>
      <c r="I262" s="8"/>
      <c r="J262" s="8"/>
      <c r="K262" s="37"/>
      <c r="L262" s="37"/>
      <c r="M262" s="9"/>
      <c r="N262" s="8">
        <v>288</v>
      </c>
      <c r="O262" s="8">
        <v>15400</v>
      </c>
      <c r="P262" s="8" t="s">
        <v>14</v>
      </c>
      <c r="Q262" s="8" t="s">
        <v>14</v>
      </c>
      <c r="R262" s="8" t="s">
        <v>14</v>
      </c>
      <c r="S262" s="8" t="s">
        <v>14</v>
      </c>
      <c r="T262" s="8"/>
      <c r="U262" s="8"/>
      <c r="V262" s="8"/>
      <c r="W262" s="8"/>
      <c r="X262" s="8"/>
      <c r="Y262" s="8"/>
      <c r="Z262" s="8"/>
      <c r="AA262" s="8"/>
      <c r="AB262" s="8"/>
      <c r="AC262" s="2"/>
      <c r="AD262" s="2"/>
      <c r="AE262" s="2"/>
      <c r="AF262" s="2"/>
      <c r="AG262" s="2"/>
      <c r="AH262" s="2"/>
      <c r="AI262" s="2"/>
      <c r="AJ262" s="2"/>
    </row>
    <row r="263" spans="1:46" x14ac:dyDescent="0.55000000000000004">
      <c r="A263" t="s">
        <v>267</v>
      </c>
      <c r="B263" s="8"/>
      <c r="C263" s="8"/>
      <c r="D263" s="8"/>
      <c r="E263" s="8"/>
      <c r="F263" s="8"/>
      <c r="G263" s="8"/>
      <c r="H263" s="8"/>
      <c r="I263" s="8"/>
      <c r="J263" s="8"/>
      <c r="K263" s="37"/>
      <c r="L263" s="37"/>
      <c r="M263" s="9"/>
      <c r="N263" s="8">
        <v>187</v>
      </c>
      <c r="O263" s="8">
        <v>7411</v>
      </c>
      <c r="P263" s="8" t="s">
        <v>14</v>
      </c>
      <c r="Q263" s="8" t="s">
        <v>14</v>
      </c>
      <c r="R263" s="8" t="s">
        <v>14</v>
      </c>
      <c r="S263" s="8" t="s">
        <v>14</v>
      </c>
      <c r="T263" s="8"/>
      <c r="U263" s="8"/>
      <c r="V263" s="8"/>
      <c r="W263" s="8"/>
      <c r="X263" s="8"/>
      <c r="Y263" s="8"/>
      <c r="Z263" s="8"/>
      <c r="AA263" s="8"/>
      <c r="AB263" s="8"/>
      <c r="AC263" s="2"/>
      <c r="AD263" s="2"/>
      <c r="AE263" s="2"/>
      <c r="AF263" s="2"/>
      <c r="AG263" s="2"/>
      <c r="AH263" s="2"/>
      <c r="AI263" s="2"/>
      <c r="AJ263" s="2"/>
    </row>
    <row r="264" spans="1:46" x14ac:dyDescent="0.55000000000000004">
      <c r="A264" s="14" t="s">
        <v>268</v>
      </c>
      <c r="B264" s="15">
        <v>397959</v>
      </c>
      <c r="C264" s="15">
        <v>10456</v>
      </c>
      <c r="D264" s="15">
        <v>6631</v>
      </c>
      <c r="E264" s="15" t="s">
        <v>14</v>
      </c>
      <c r="F264" s="15" t="s">
        <v>14</v>
      </c>
      <c r="G264" s="15" t="s">
        <v>14</v>
      </c>
      <c r="H264" s="15">
        <v>385714</v>
      </c>
      <c r="I264" s="15" t="s">
        <v>14</v>
      </c>
      <c r="J264" s="15" t="s">
        <v>14</v>
      </c>
      <c r="K264" s="39" t="s">
        <v>14</v>
      </c>
      <c r="L264" s="39" t="s">
        <v>14</v>
      </c>
      <c r="M264" s="9"/>
      <c r="N264" s="15">
        <v>71339</v>
      </c>
      <c r="O264" s="15">
        <v>46394</v>
      </c>
      <c r="P264" s="15">
        <v>84625</v>
      </c>
      <c r="Q264" s="15">
        <v>138286</v>
      </c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2"/>
      <c r="AD264" s="12">
        <f>SUM(N264:AB264)</f>
        <v>340644</v>
      </c>
      <c r="AE264" s="12">
        <f>SUM(N265:AB265)</f>
        <v>10486</v>
      </c>
      <c r="AF264" s="12">
        <f>SUM(N266:AB266)</f>
        <v>6631</v>
      </c>
      <c r="AG264" s="2"/>
      <c r="AH264" s="12">
        <f>AD264-B264</f>
        <v>-57315</v>
      </c>
      <c r="AI264" s="12">
        <f>AE264-C264</f>
        <v>30</v>
      </c>
      <c r="AJ264" s="12">
        <f>AF264-D264</f>
        <v>0</v>
      </c>
      <c r="AL264" s="47">
        <f>C264/B264*1000</f>
        <v>26.274063408542087</v>
      </c>
      <c r="AM264" s="47">
        <f>D264/B264*1000</f>
        <v>16.662520510906905</v>
      </c>
      <c r="AO264" s="47"/>
      <c r="AP264" s="47"/>
      <c r="AR264" s="12">
        <f t="shared" ref="AR264" si="241">H264</f>
        <v>385714</v>
      </c>
      <c r="AS264" s="12"/>
      <c r="AT264" s="12"/>
    </row>
    <row r="265" spans="1:46" x14ac:dyDescent="0.55000000000000004">
      <c r="A265" t="s">
        <v>269</v>
      </c>
      <c r="B265" s="8"/>
      <c r="C265" s="8"/>
      <c r="D265" s="8"/>
      <c r="E265" s="8"/>
      <c r="F265" s="8"/>
      <c r="G265" s="8"/>
      <c r="H265" s="8"/>
      <c r="I265" s="8"/>
      <c r="J265" s="8"/>
      <c r="K265" s="37"/>
      <c r="L265" s="37"/>
      <c r="M265" s="9"/>
      <c r="N265" s="8">
        <v>1600</v>
      </c>
      <c r="O265" s="8">
        <v>149</v>
      </c>
      <c r="P265" s="8">
        <v>2672</v>
      </c>
      <c r="Q265" s="8">
        <v>6065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2"/>
      <c r="AD265" s="2"/>
      <c r="AE265" s="2"/>
      <c r="AF265" s="2"/>
      <c r="AG265" s="2"/>
      <c r="AH265" s="2"/>
      <c r="AI265" s="2"/>
      <c r="AJ265" s="2"/>
    </row>
    <row r="266" spans="1:46" x14ac:dyDescent="0.55000000000000004">
      <c r="A266" t="s">
        <v>270</v>
      </c>
      <c r="B266" s="8"/>
      <c r="C266" s="8"/>
      <c r="D266" s="8"/>
      <c r="E266" s="8"/>
      <c r="F266" s="8"/>
      <c r="G266" s="8"/>
      <c r="H266" s="8"/>
      <c r="I266" s="8"/>
      <c r="J266" s="8"/>
      <c r="K266" s="37"/>
      <c r="L266" s="37"/>
      <c r="M266" s="9"/>
      <c r="N266" s="8">
        <v>1295</v>
      </c>
      <c r="O266" s="8">
        <v>90</v>
      </c>
      <c r="P266" s="8">
        <v>1974</v>
      </c>
      <c r="Q266" s="8">
        <v>3272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2"/>
      <c r="AD266" s="2"/>
      <c r="AE266" s="2"/>
      <c r="AF266" s="2"/>
      <c r="AG266" s="2"/>
      <c r="AH266" s="2"/>
      <c r="AI266" s="2"/>
      <c r="AJ266" s="2"/>
    </row>
    <row r="267" spans="1:46" x14ac:dyDescent="0.55000000000000004">
      <c r="A267" s="14" t="s">
        <v>271</v>
      </c>
      <c r="B267" s="15">
        <v>584903</v>
      </c>
      <c r="C267" s="15">
        <v>7527</v>
      </c>
      <c r="D267" s="15">
        <v>5682</v>
      </c>
      <c r="E267" s="15" t="s">
        <v>14</v>
      </c>
      <c r="F267" s="15" t="s">
        <v>14</v>
      </c>
      <c r="G267" s="15" t="s">
        <v>14</v>
      </c>
      <c r="H267" s="15">
        <v>554048</v>
      </c>
      <c r="I267" s="15">
        <v>6760</v>
      </c>
      <c r="J267" s="15">
        <v>4397</v>
      </c>
      <c r="K267" s="39" t="s">
        <v>14</v>
      </c>
      <c r="L267" s="39" t="s">
        <v>14</v>
      </c>
      <c r="M267" s="9"/>
      <c r="N267" s="15">
        <v>223996</v>
      </c>
      <c r="O267" s="15">
        <v>102536</v>
      </c>
      <c r="P267" s="15">
        <v>136977</v>
      </c>
      <c r="Q267" s="15">
        <v>91394</v>
      </c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2"/>
      <c r="AD267" s="12">
        <f>SUM(N267:AB267)</f>
        <v>554903</v>
      </c>
      <c r="AE267" s="12">
        <f>SUM(N268:AB268)</f>
        <v>7532</v>
      </c>
      <c r="AF267" s="12">
        <f>SUM(N269:AB269)</f>
        <v>5682</v>
      </c>
      <c r="AG267" s="2"/>
      <c r="AH267" s="12">
        <f>AD267-B267</f>
        <v>-30000</v>
      </c>
      <c r="AI267" s="12">
        <f>AE267-C267</f>
        <v>5</v>
      </c>
      <c r="AJ267" s="12">
        <f>AF267-D267</f>
        <v>0</v>
      </c>
      <c r="AL267" s="47">
        <f>C267/B267*1000</f>
        <v>12.868800467769869</v>
      </c>
      <c r="AM267" s="47">
        <f>D267/B267*1000</f>
        <v>9.7144312817680891</v>
      </c>
      <c r="AO267" s="47"/>
      <c r="AP267" s="47"/>
      <c r="AR267" s="12">
        <f t="shared" ref="AR267" si="242">H267</f>
        <v>554048</v>
      </c>
      <c r="AS267" s="12">
        <f t="shared" ref="AS267" si="243">I267</f>
        <v>6760</v>
      </c>
      <c r="AT267" s="12">
        <f t="shared" ref="AT267" si="244">J267</f>
        <v>4397</v>
      </c>
    </row>
    <row r="268" spans="1:46" x14ac:dyDescent="0.55000000000000004">
      <c r="A268" t="s">
        <v>272</v>
      </c>
      <c r="B268" s="8"/>
      <c r="C268" s="8"/>
      <c r="D268" s="8"/>
      <c r="E268" s="8"/>
      <c r="F268" s="8"/>
      <c r="G268" s="8"/>
      <c r="H268" s="8"/>
      <c r="I268" s="8"/>
      <c r="J268" s="8"/>
      <c r="K268" s="37"/>
      <c r="L268" s="37"/>
      <c r="M268" s="9"/>
      <c r="N268" s="8">
        <v>5442</v>
      </c>
      <c r="O268" s="8">
        <v>786</v>
      </c>
      <c r="P268" s="8">
        <v>1267</v>
      </c>
      <c r="Q268" s="8">
        <v>37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2"/>
      <c r="AD268" s="2"/>
      <c r="AE268" s="2"/>
      <c r="AF268" s="2"/>
      <c r="AG268" s="2"/>
      <c r="AH268" s="2"/>
      <c r="AI268" s="2"/>
      <c r="AJ268" s="2"/>
    </row>
    <row r="269" spans="1:46" x14ac:dyDescent="0.55000000000000004">
      <c r="A269" t="s">
        <v>273</v>
      </c>
      <c r="B269" s="8"/>
      <c r="C269" s="8"/>
      <c r="D269" s="8"/>
      <c r="E269" s="8"/>
      <c r="F269" s="8"/>
      <c r="G269" s="8"/>
      <c r="H269" s="8"/>
      <c r="I269" s="8"/>
      <c r="J269" s="8"/>
      <c r="K269" s="37"/>
      <c r="L269" s="37"/>
      <c r="M269" s="9"/>
      <c r="N269" s="8">
        <v>4549</v>
      </c>
      <c r="O269" s="8">
        <v>466</v>
      </c>
      <c r="P269" s="8">
        <v>647</v>
      </c>
      <c r="Q269" s="8">
        <v>20</v>
      </c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2"/>
      <c r="AD269" s="2"/>
      <c r="AE269" s="2"/>
      <c r="AF269" s="2"/>
      <c r="AG269" s="2"/>
      <c r="AH269" s="2"/>
      <c r="AI269" s="2"/>
      <c r="AJ269" s="2"/>
    </row>
    <row r="270" spans="1:46" x14ac:dyDescent="0.55000000000000004">
      <c r="A270" s="14" t="s">
        <v>274</v>
      </c>
      <c r="B270" s="15">
        <v>834965</v>
      </c>
      <c r="C270" s="15">
        <v>53374</v>
      </c>
      <c r="D270" s="15">
        <v>34218</v>
      </c>
      <c r="E270" s="15">
        <v>145375</v>
      </c>
      <c r="F270" s="15">
        <v>5275</v>
      </c>
      <c r="G270" s="15">
        <v>2546</v>
      </c>
      <c r="H270" s="15">
        <v>788205</v>
      </c>
      <c r="I270" s="15" t="s">
        <v>14</v>
      </c>
      <c r="J270" s="15" t="s">
        <v>14</v>
      </c>
      <c r="K270" s="36">
        <v>63.9</v>
      </c>
      <c r="L270" s="36">
        <v>41</v>
      </c>
      <c r="M270" s="9"/>
      <c r="N270" s="15">
        <v>193192</v>
      </c>
      <c r="O270" s="15">
        <v>145168</v>
      </c>
      <c r="P270" s="15">
        <v>254000</v>
      </c>
      <c r="Q270" s="15">
        <v>197209</v>
      </c>
      <c r="R270" s="15">
        <v>45416</v>
      </c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2"/>
      <c r="AD270" s="12">
        <f>SUM(N270:AB270)</f>
        <v>834985</v>
      </c>
      <c r="AE270" s="12">
        <f>SUM(N271:AB271)</f>
        <v>53374</v>
      </c>
      <c r="AF270" s="12">
        <f>SUM(N272:AB272)</f>
        <v>34218</v>
      </c>
      <c r="AG270" s="2"/>
      <c r="AH270" s="12">
        <f>AD270-B270</f>
        <v>20</v>
      </c>
      <c r="AI270" s="12">
        <f>AE270-C270</f>
        <v>0</v>
      </c>
      <c r="AJ270" s="12">
        <f>AF270-D270</f>
        <v>0</v>
      </c>
      <c r="AL270" s="47">
        <f>C270/B270*1000</f>
        <v>63.923637517740261</v>
      </c>
      <c r="AM270" s="47">
        <f>D270/B270*1000</f>
        <v>40.981358500056885</v>
      </c>
      <c r="AO270" s="47">
        <f>AL270-K270</f>
        <v>2.3637517740262126E-2</v>
      </c>
      <c r="AP270" s="47">
        <f>AM270-L270</f>
        <v>-1.8641499943115036E-2</v>
      </c>
      <c r="AR270" s="12">
        <f t="shared" ref="AR270" si="245">H270</f>
        <v>788205</v>
      </c>
      <c r="AS270" s="12"/>
      <c r="AT270" s="12"/>
    </row>
    <row r="271" spans="1:46" x14ac:dyDescent="0.55000000000000004">
      <c r="A271" t="s">
        <v>275</v>
      </c>
      <c r="B271" s="8"/>
      <c r="C271" s="8"/>
      <c r="D271" s="8"/>
      <c r="E271" s="8"/>
      <c r="F271" s="8"/>
      <c r="G271" s="8"/>
      <c r="H271" s="8"/>
      <c r="I271" s="8"/>
      <c r="J271" s="8"/>
      <c r="K271" s="37"/>
      <c r="L271" s="37"/>
      <c r="M271" s="9"/>
      <c r="N271" s="8">
        <v>25096</v>
      </c>
      <c r="O271" s="8">
        <v>12665</v>
      </c>
      <c r="P271" s="8">
        <v>6814</v>
      </c>
      <c r="Q271" s="8">
        <v>7168</v>
      </c>
      <c r="R271" s="8">
        <v>1631</v>
      </c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2"/>
      <c r="AD271" s="2"/>
      <c r="AE271" s="2"/>
      <c r="AF271" s="2"/>
      <c r="AG271" s="2"/>
      <c r="AH271" s="2"/>
      <c r="AI271" s="2"/>
      <c r="AJ271" s="2"/>
    </row>
    <row r="272" spans="1:46" x14ac:dyDescent="0.55000000000000004">
      <c r="A272" t="s">
        <v>276</v>
      </c>
      <c r="B272" s="8"/>
      <c r="C272" s="8"/>
      <c r="D272" s="8"/>
      <c r="E272" s="8"/>
      <c r="F272" s="8"/>
      <c r="G272" s="8"/>
      <c r="H272" s="8"/>
      <c r="I272" s="8"/>
      <c r="J272" s="8"/>
      <c r="K272" s="37"/>
      <c r="L272" s="37"/>
      <c r="M272" s="9"/>
      <c r="N272" s="8">
        <v>20151</v>
      </c>
      <c r="O272" s="8">
        <v>3158</v>
      </c>
      <c r="P272" s="8">
        <v>4919</v>
      </c>
      <c r="Q272" s="8">
        <v>5241</v>
      </c>
      <c r="R272" s="8">
        <v>749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2"/>
      <c r="AD272" s="2"/>
      <c r="AE272" s="2"/>
      <c r="AF272" s="2"/>
      <c r="AG272" s="2"/>
      <c r="AH272" s="2"/>
      <c r="AI272" s="2"/>
      <c r="AJ272" s="2"/>
    </row>
    <row r="273" spans="1:50 16377:16377" x14ac:dyDescent="0.55000000000000004">
      <c r="A273" s="21" t="s">
        <v>277</v>
      </c>
      <c r="B273" s="22">
        <v>6372290</v>
      </c>
      <c r="C273" s="22">
        <v>147217</v>
      </c>
      <c r="D273" s="22">
        <v>103430</v>
      </c>
      <c r="E273" s="22"/>
      <c r="F273" s="22"/>
      <c r="G273" s="22"/>
      <c r="H273" s="22">
        <v>5952621</v>
      </c>
      <c r="I273" s="22" t="s">
        <v>14</v>
      </c>
      <c r="J273" s="22" t="s">
        <v>14</v>
      </c>
      <c r="K273" s="38">
        <v>49.8</v>
      </c>
      <c r="L273" s="38">
        <v>35</v>
      </c>
      <c r="M273" s="9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"/>
      <c r="AD273" s="23">
        <f>SUM(AD250:AD272)</f>
        <v>6228690</v>
      </c>
      <c r="AE273" s="23">
        <f>SUM(AE250:AE272)</f>
        <v>147180</v>
      </c>
      <c r="AF273" s="23">
        <f>SUM(AF250:AF272)</f>
        <v>103361</v>
      </c>
      <c r="AG273" s="2"/>
      <c r="AH273" s="23">
        <f t="shared" ref="AH273:AJ274" si="246">AD273-B273</f>
        <v>-143600</v>
      </c>
      <c r="AI273" s="23">
        <f t="shared" si="246"/>
        <v>-37</v>
      </c>
      <c r="AJ273" s="23">
        <f t="shared" si="246"/>
        <v>-69</v>
      </c>
      <c r="AL273" s="49">
        <f>C273/B273*1000</f>
        <v>23.102683650618538</v>
      </c>
      <c r="AM273" s="49">
        <f>D273/B273*1000</f>
        <v>16.231213582558233</v>
      </c>
      <c r="AN273" s="48"/>
      <c r="AO273" s="49">
        <f>AL273-K273</f>
        <v>-26.69731634938146</v>
      </c>
      <c r="AP273" s="49">
        <f>AM273-L273</f>
        <v>-18.768786417441767</v>
      </c>
      <c r="AR273" s="23">
        <f t="shared" ref="AR273:AT273" si="247">SUM(AR250:AR272)</f>
        <v>4569532</v>
      </c>
      <c r="AS273" s="23">
        <f t="shared" si="247"/>
        <v>34771</v>
      </c>
      <c r="AT273" s="23">
        <f t="shared" si="247"/>
        <v>23971</v>
      </c>
      <c r="AV273" s="23">
        <f>H273-AR273</f>
        <v>1383089</v>
      </c>
      <c r="AW273" s="23"/>
      <c r="AX273" s="23"/>
      <c r="XEW273" s="23">
        <f>SUM(XEW250:XFD272)</f>
        <v>0</v>
      </c>
    </row>
    <row r="274" spans="1:50 16377:16377" x14ac:dyDescent="0.55000000000000004">
      <c r="A274" s="21" t="s">
        <v>278</v>
      </c>
      <c r="B274" s="22">
        <v>118873150</v>
      </c>
      <c r="C274" s="22">
        <v>5369290</v>
      </c>
      <c r="D274" s="22">
        <v>3757420</v>
      </c>
      <c r="E274" s="22"/>
      <c r="F274" s="22"/>
      <c r="G274" s="22"/>
      <c r="H274" s="22">
        <v>113464127</v>
      </c>
      <c r="I274" s="22">
        <v>5088526</v>
      </c>
      <c r="J274" s="22">
        <v>3502395</v>
      </c>
      <c r="K274" s="38">
        <v>47.2</v>
      </c>
      <c r="L274" s="38">
        <v>33</v>
      </c>
      <c r="M274" s="9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"/>
      <c r="AD274" s="23">
        <f>SUM(AD194, AD223, AD249, AD273)</f>
        <v>117957347</v>
      </c>
      <c r="AE274" s="23">
        <f>SUM(AE194, AE223, AE249, AE273)</f>
        <v>5341312</v>
      </c>
      <c r="AF274" s="23">
        <f>SUM(AF194, AF223, AF249, AF273)</f>
        <v>3710870</v>
      </c>
      <c r="AG274" s="2"/>
      <c r="AH274" s="23">
        <f t="shared" si="246"/>
        <v>-915803</v>
      </c>
      <c r="AI274" s="23">
        <f t="shared" si="246"/>
        <v>-27978</v>
      </c>
      <c r="AJ274" s="23">
        <f t="shared" si="246"/>
        <v>-46550</v>
      </c>
      <c r="AL274" s="49">
        <f>C274/B274*1000</f>
        <v>45.168231850506189</v>
      </c>
      <c r="AM274" s="49">
        <f>D274/B274*1000</f>
        <v>31.608651743476138</v>
      </c>
      <c r="AN274" s="48"/>
      <c r="AO274" s="49">
        <f>AL274-K274</f>
        <v>-2.0317681494938142</v>
      </c>
      <c r="AP274" s="49">
        <f>AM274-L274</f>
        <v>-1.3913482565238624</v>
      </c>
      <c r="AR274" s="23">
        <f t="shared" ref="AR274:AT274" si="248">SUM(AR194, AR223, AR249, AR273)</f>
        <v>111458273</v>
      </c>
      <c r="AS274" s="23">
        <f t="shared" si="248"/>
        <v>5051771</v>
      </c>
      <c r="AT274" s="23">
        <f t="shared" si="248"/>
        <v>3482326</v>
      </c>
      <c r="AV274" s="23">
        <f>H274-AR274</f>
        <v>2005854</v>
      </c>
      <c r="AW274" s="23">
        <f>I274-AS274</f>
        <v>36755</v>
      </c>
      <c r="AX274" s="23">
        <f>J274-AT274</f>
        <v>20069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2026-06-28T00:55:10Z</dcterms:modified>
</cp:coreProperties>
</file>