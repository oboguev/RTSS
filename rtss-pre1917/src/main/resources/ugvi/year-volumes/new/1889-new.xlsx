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new\"/>
    </mc:Choice>
  </mc:AlternateContent>
  <xr:revisionPtr revIDLastSave="0" documentId="13_ncr:1_{72E37D56-A59E-43A4-9D3D-620212CE6368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8" i="1"/>
  <c r="AD8" i="1"/>
  <c r="AM274" i="1"/>
  <c r="AP274" i="1" s="1"/>
  <c r="AL274" i="1"/>
  <c r="AO274" i="1" s="1"/>
  <c r="AM273" i="1"/>
  <c r="AP273" i="1" s="1"/>
  <c r="AL273" i="1"/>
  <c r="AO273" i="1" s="1"/>
  <c r="AM249" i="1"/>
  <c r="AP249" i="1" s="1"/>
  <c r="AL249" i="1"/>
  <c r="AO249" i="1" s="1"/>
  <c r="AM223" i="1"/>
  <c r="AP223" i="1" s="1"/>
  <c r="AL223" i="1"/>
  <c r="AO223" i="1" s="1"/>
  <c r="AM194" i="1"/>
  <c r="AP194" i="1" s="1"/>
  <c r="AL194" i="1"/>
  <c r="AO194" i="1" s="1"/>
  <c r="AM190" i="1"/>
  <c r="AP190" i="1" s="1"/>
  <c r="AL190" i="1"/>
  <c r="AO190" i="1" s="1"/>
  <c r="AM83" i="1"/>
  <c r="AP83" i="1" s="1"/>
  <c r="AL83" i="1"/>
  <c r="AO83" i="1" s="1"/>
  <c r="AM73" i="1"/>
  <c r="AP73" i="1" s="1"/>
  <c r="AL73" i="1"/>
  <c r="AO73" i="1" s="1"/>
  <c r="AM41" i="1"/>
  <c r="AP41" i="1" s="1"/>
  <c r="AL41" i="1"/>
  <c r="AO41" i="1" s="1"/>
  <c r="AF217" i="1"/>
  <c r="AE217" i="1"/>
  <c r="AD234" i="1"/>
  <c r="AH234" i="1" s="1"/>
  <c r="AD240" i="1"/>
  <c r="AF263" i="1"/>
  <c r="AE263" i="1"/>
  <c r="AF257" i="1"/>
  <c r="AE257" i="1"/>
  <c r="AD257" i="1"/>
  <c r="AH257" i="1" s="1"/>
  <c r="AF254" i="1"/>
  <c r="AE254" i="1"/>
  <c r="AF269" i="1"/>
  <c r="AE269" i="1"/>
  <c r="AD269" i="1"/>
  <c r="AF253" i="1"/>
  <c r="AE253" i="1"/>
  <c r="AD253" i="1"/>
  <c r="AF224" i="1"/>
  <c r="AE224" i="1"/>
  <c r="AD224" i="1"/>
  <c r="AF204" i="1"/>
  <c r="AE204" i="1"/>
  <c r="AD204" i="1"/>
  <c r="AF183" i="1"/>
  <c r="AE183" i="1"/>
  <c r="AD183" i="1"/>
  <c r="AF182" i="1"/>
  <c r="AE182" i="1"/>
  <c r="AD182" i="1"/>
  <c r="AF148" i="1"/>
  <c r="AE148" i="1"/>
  <c r="AD148" i="1"/>
  <c r="AF114" i="1"/>
  <c r="AE114" i="1"/>
  <c r="AD114" i="1"/>
  <c r="AF234" i="1"/>
  <c r="AJ234" i="1" s="1"/>
  <c r="AE234" i="1"/>
  <c r="AI234" i="1" s="1"/>
  <c r="AF220" i="1"/>
  <c r="AJ220" i="1" s="1"/>
  <c r="AE220" i="1"/>
  <c r="AI220" i="1" s="1"/>
  <c r="AD220" i="1"/>
  <c r="AH220" i="1" s="1"/>
  <c r="AF42" i="1"/>
  <c r="AE42" i="1"/>
  <c r="AD42" i="1"/>
  <c r="AM269" i="1"/>
  <c r="AL269" i="1"/>
  <c r="AM182" i="1"/>
  <c r="AP182" i="1" s="1"/>
  <c r="AL182" i="1"/>
  <c r="AO182" i="1" s="1"/>
  <c r="AM183" i="1"/>
  <c r="AP183" i="1" s="1"/>
  <c r="AL183" i="1"/>
  <c r="AO183" i="1" s="1"/>
  <c r="AM148" i="1"/>
  <c r="AP148" i="1" s="1"/>
  <c r="AL148" i="1"/>
  <c r="AO148" i="1" s="1"/>
  <c r="AM136" i="1"/>
  <c r="AP136" i="1" s="1"/>
  <c r="AL136" i="1"/>
  <c r="AO136" i="1" s="1"/>
  <c r="AF136" i="1"/>
  <c r="AJ136" i="1" s="1"/>
  <c r="AE136" i="1"/>
  <c r="AI136" i="1" s="1"/>
  <c r="AD136" i="1"/>
  <c r="AH136" i="1" s="1"/>
  <c r="AM114" i="1"/>
  <c r="AP114" i="1" s="1"/>
  <c r="AL114" i="1"/>
  <c r="AO114" i="1" s="1"/>
  <c r="AM42" i="1"/>
  <c r="AP42" i="1" s="1"/>
  <c r="AL42" i="1"/>
  <c r="AO42" i="1" s="1"/>
  <c r="AM270" i="1"/>
  <c r="AL270" i="1"/>
  <c r="AF270" i="1"/>
  <c r="AJ270" i="1" s="1"/>
  <c r="AE270" i="1"/>
  <c r="AI270" i="1" s="1"/>
  <c r="AD270" i="1"/>
  <c r="AH270" i="1" s="1"/>
  <c r="AM266" i="1"/>
  <c r="AL266" i="1"/>
  <c r="AF266" i="1"/>
  <c r="AJ266" i="1" s="1"/>
  <c r="AE266" i="1"/>
  <c r="AI266" i="1" s="1"/>
  <c r="AD266" i="1"/>
  <c r="AH266" i="1" s="1"/>
  <c r="AD263" i="1"/>
  <c r="AH263" i="1" s="1"/>
  <c r="AM260" i="1"/>
  <c r="AP260" i="1" s="1"/>
  <c r="AL260" i="1"/>
  <c r="AO260" i="1" s="1"/>
  <c r="AF260" i="1"/>
  <c r="AJ260" i="1" s="1"/>
  <c r="AE260" i="1"/>
  <c r="AI260" i="1" s="1"/>
  <c r="AD260" i="1"/>
  <c r="AH260" i="1" s="1"/>
  <c r="AD254" i="1"/>
  <c r="AH254" i="1" s="1"/>
  <c r="AM250" i="1"/>
  <c r="AP250" i="1" s="1"/>
  <c r="AL250" i="1"/>
  <c r="AO250" i="1" s="1"/>
  <c r="AF250" i="1"/>
  <c r="AJ250" i="1" s="1"/>
  <c r="AE250" i="1"/>
  <c r="AI250" i="1" s="1"/>
  <c r="AD250" i="1"/>
  <c r="AH250" i="1" s="1"/>
  <c r="AM246" i="1"/>
  <c r="AP246" i="1" s="1"/>
  <c r="AL246" i="1"/>
  <c r="AO246" i="1" s="1"/>
  <c r="AF246" i="1"/>
  <c r="AJ246" i="1" s="1"/>
  <c r="AE246" i="1"/>
  <c r="AI246" i="1" s="1"/>
  <c r="AD246" i="1"/>
  <c r="AH246" i="1" s="1"/>
  <c r="AM243" i="1"/>
  <c r="AP243" i="1" s="1"/>
  <c r="AL243" i="1"/>
  <c r="AO243" i="1" s="1"/>
  <c r="AF243" i="1"/>
  <c r="AJ243" i="1" s="1"/>
  <c r="AE243" i="1"/>
  <c r="AI243" i="1" s="1"/>
  <c r="AD243" i="1"/>
  <c r="AH243" i="1" s="1"/>
  <c r="AM240" i="1"/>
  <c r="AP240" i="1" s="1"/>
  <c r="AL240" i="1"/>
  <c r="AO240" i="1" s="1"/>
  <c r="AF240" i="1"/>
  <c r="AJ240" i="1" s="1"/>
  <c r="AE240" i="1"/>
  <c r="AI240" i="1" s="1"/>
  <c r="AH240" i="1"/>
  <c r="AM237" i="1"/>
  <c r="AP237" i="1" s="1"/>
  <c r="AL237" i="1"/>
  <c r="AO237" i="1" s="1"/>
  <c r="AF237" i="1"/>
  <c r="AJ237" i="1" s="1"/>
  <c r="AE237" i="1"/>
  <c r="AI237" i="1" s="1"/>
  <c r="AD237" i="1"/>
  <c r="AH237" i="1" s="1"/>
  <c r="AM234" i="1"/>
  <c r="AP234" i="1" s="1"/>
  <c r="AL234" i="1"/>
  <c r="AO234" i="1" s="1"/>
  <c r="AM231" i="1"/>
  <c r="AP231" i="1" s="1"/>
  <c r="AL231" i="1"/>
  <c r="AO231" i="1" s="1"/>
  <c r="AF231" i="1"/>
  <c r="AJ231" i="1" s="1"/>
  <c r="AE231" i="1"/>
  <c r="AI231" i="1" s="1"/>
  <c r="AD231" i="1"/>
  <c r="AH231" i="1" s="1"/>
  <c r="AM228" i="1"/>
  <c r="AP228" i="1" s="1"/>
  <c r="AL228" i="1"/>
  <c r="AO228" i="1" s="1"/>
  <c r="AF228" i="1"/>
  <c r="AJ228" i="1" s="1"/>
  <c r="AE228" i="1"/>
  <c r="AI228" i="1" s="1"/>
  <c r="AD228" i="1"/>
  <c r="AH228" i="1" s="1"/>
  <c r="AM225" i="1"/>
  <c r="AP225" i="1" s="1"/>
  <c r="AL225" i="1"/>
  <c r="AO225" i="1" s="1"/>
  <c r="AF225" i="1"/>
  <c r="AJ225" i="1" s="1"/>
  <c r="AE225" i="1"/>
  <c r="AI225" i="1" s="1"/>
  <c r="AD225" i="1"/>
  <c r="AH225" i="1" s="1"/>
  <c r="AM220" i="1"/>
  <c r="AP220" i="1" s="1"/>
  <c r="AL220" i="1"/>
  <c r="AO220" i="1" s="1"/>
  <c r="AM217" i="1"/>
  <c r="AP217" i="1" s="1"/>
  <c r="AL217" i="1"/>
  <c r="AO217" i="1" s="1"/>
  <c r="AI217" i="1"/>
  <c r="AJ217" i="1"/>
  <c r="AD217" i="1"/>
  <c r="AH217" i="1" s="1"/>
  <c r="AM214" i="1"/>
  <c r="AP214" i="1" s="1"/>
  <c r="AL214" i="1"/>
  <c r="AO214" i="1" s="1"/>
  <c r="AF214" i="1"/>
  <c r="AJ214" i="1" s="1"/>
  <c r="AE214" i="1"/>
  <c r="AI214" i="1" s="1"/>
  <c r="AD214" i="1"/>
  <c r="AH214" i="1" s="1"/>
  <c r="AM211" i="1"/>
  <c r="AP211" i="1" s="1"/>
  <c r="AL211" i="1"/>
  <c r="AO211" i="1" s="1"/>
  <c r="AF211" i="1"/>
  <c r="AJ211" i="1" s="1"/>
  <c r="AE211" i="1"/>
  <c r="AI211" i="1" s="1"/>
  <c r="AD211" i="1"/>
  <c r="AH211" i="1" s="1"/>
  <c r="AM208" i="1"/>
  <c r="AP208" i="1" s="1"/>
  <c r="AL208" i="1"/>
  <c r="AO208" i="1" s="1"/>
  <c r="AF208" i="1"/>
  <c r="AJ208" i="1" s="1"/>
  <c r="AE208" i="1"/>
  <c r="AI208" i="1" s="1"/>
  <c r="AD208" i="1"/>
  <c r="AH208" i="1" s="1"/>
  <c r="AM205" i="1"/>
  <c r="AP205" i="1" s="1"/>
  <c r="AL205" i="1"/>
  <c r="AO205" i="1" s="1"/>
  <c r="AF205" i="1"/>
  <c r="AJ205" i="1" s="1"/>
  <c r="AE205" i="1"/>
  <c r="AI205" i="1" s="1"/>
  <c r="AD205" i="1"/>
  <c r="AH205" i="1" s="1"/>
  <c r="AM201" i="1"/>
  <c r="AP201" i="1" s="1"/>
  <c r="AL201" i="1"/>
  <c r="AO201" i="1" s="1"/>
  <c r="AF201" i="1"/>
  <c r="AJ201" i="1" s="1"/>
  <c r="AE201" i="1"/>
  <c r="AI201" i="1" s="1"/>
  <c r="AD201" i="1"/>
  <c r="AH201" i="1" s="1"/>
  <c r="AM198" i="1"/>
  <c r="AP198" i="1" s="1"/>
  <c r="AL198" i="1"/>
  <c r="AO198" i="1" s="1"/>
  <c r="AF198" i="1"/>
  <c r="AJ198" i="1" s="1"/>
  <c r="AE198" i="1"/>
  <c r="AI198" i="1" s="1"/>
  <c r="AD198" i="1"/>
  <c r="AH198" i="1" s="1"/>
  <c r="AM195" i="1"/>
  <c r="AP195" i="1" s="1"/>
  <c r="AL195" i="1"/>
  <c r="AO195" i="1" s="1"/>
  <c r="AF195" i="1"/>
  <c r="AJ195" i="1" s="1"/>
  <c r="AE195" i="1"/>
  <c r="AI195" i="1" s="1"/>
  <c r="AD195" i="1"/>
  <c r="AH195" i="1" s="1"/>
  <c r="AM191" i="1"/>
  <c r="AP191" i="1" s="1"/>
  <c r="AL191" i="1"/>
  <c r="AO191" i="1" s="1"/>
  <c r="AF191" i="1"/>
  <c r="AJ191" i="1" s="1"/>
  <c r="AE191" i="1"/>
  <c r="AI191" i="1" s="1"/>
  <c r="AD191" i="1"/>
  <c r="AH191" i="1" s="1"/>
  <c r="AM187" i="1"/>
  <c r="AP187" i="1" s="1"/>
  <c r="AL187" i="1"/>
  <c r="AO187" i="1" s="1"/>
  <c r="AF187" i="1"/>
  <c r="AJ187" i="1" s="1"/>
  <c r="AE187" i="1"/>
  <c r="AI187" i="1" s="1"/>
  <c r="AD187" i="1"/>
  <c r="AH187" i="1" s="1"/>
  <c r="AM184" i="1"/>
  <c r="AP184" i="1" s="1"/>
  <c r="AL184" i="1"/>
  <c r="AO184" i="1" s="1"/>
  <c r="AF184" i="1"/>
  <c r="AJ184" i="1" s="1"/>
  <c r="AE184" i="1"/>
  <c r="AI184" i="1" s="1"/>
  <c r="AD184" i="1"/>
  <c r="AH184" i="1" s="1"/>
  <c r="AM179" i="1"/>
  <c r="AP179" i="1" s="1"/>
  <c r="AL179" i="1"/>
  <c r="AO179" i="1" s="1"/>
  <c r="AF179" i="1"/>
  <c r="AJ179" i="1" s="1"/>
  <c r="AE179" i="1"/>
  <c r="AI179" i="1" s="1"/>
  <c r="AD179" i="1"/>
  <c r="AH179" i="1" s="1"/>
  <c r="AM176" i="1"/>
  <c r="AP176" i="1" s="1"/>
  <c r="AL176" i="1"/>
  <c r="AO176" i="1" s="1"/>
  <c r="AF176" i="1"/>
  <c r="AJ176" i="1" s="1"/>
  <c r="AE176" i="1"/>
  <c r="AI176" i="1" s="1"/>
  <c r="AD176" i="1"/>
  <c r="AH176" i="1" s="1"/>
  <c r="AM173" i="1"/>
  <c r="AP173" i="1" s="1"/>
  <c r="AL173" i="1"/>
  <c r="AO173" i="1" s="1"/>
  <c r="AF173" i="1"/>
  <c r="AJ173" i="1" s="1"/>
  <c r="AE173" i="1"/>
  <c r="AI173" i="1" s="1"/>
  <c r="AD173" i="1"/>
  <c r="AH173" i="1" s="1"/>
  <c r="AM170" i="1"/>
  <c r="AP170" i="1" s="1"/>
  <c r="AL170" i="1"/>
  <c r="AO170" i="1" s="1"/>
  <c r="AF170" i="1"/>
  <c r="AJ170" i="1" s="1"/>
  <c r="AE170" i="1"/>
  <c r="AI170" i="1" s="1"/>
  <c r="AD170" i="1"/>
  <c r="AH170" i="1" s="1"/>
  <c r="AM167" i="1"/>
  <c r="AP167" i="1" s="1"/>
  <c r="AL167" i="1"/>
  <c r="AO167" i="1" s="1"/>
  <c r="AF167" i="1"/>
  <c r="AJ167" i="1" s="1"/>
  <c r="AE167" i="1"/>
  <c r="AI167" i="1" s="1"/>
  <c r="AD167" i="1"/>
  <c r="AH167" i="1" s="1"/>
  <c r="AM164" i="1"/>
  <c r="AP164" i="1" s="1"/>
  <c r="AL164" i="1"/>
  <c r="AO164" i="1" s="1"/>
  <c r="AF164" i="1"/>
  <c r="AJ164" i="1" s="1"/>
  <c r="AE164" i="1"/>
  <c r="AI164" i="1" s="1"/>
  <c r="AD164" i="1"/>
  <c r="AH164" i="1" s="1"/>
  <c r="AM161" i="1"/>
  <c r="AP161" i="1" s="1"/>
  <c r="AL161" i="1"/>
  <c r="AO161" i="1" s="1"/>
  <c r="AF161" i="1"/>
  <c r="AJ161" i="1" s="1"/>
  <c r="AE161" i="1"/>
  <c r="AI161" i="1" s="1"/>
  <c r="AD161" i="1"/>
  <c r="AH161" i="1" s="1"/>
  <c r="AM158" i="1"/>
  <c r="AP158" i="1" s="1"/>
  <c r="AL158" i="1"/>
  <c r="AO158" i="1" s="1"/>
  <c r="AF158" i="1"/>
  <c r="AJ158" i="1" s="1"/>
  <c r="AE158" i="1"/>
  <c r="AI158" i="1" s="1"/>
  <c r="AD158" i="1"/>
  <c r="AH158" i="1" s="1"/>
  <c r="AM155" i="1"/>
  <c r="AP155" i="1" s="1"/>
  <c r="AL155" i="1"/>
  <c r="AO155" i="1" s="1"/>
  <c r="AF155" i="1"/>
  <c r="AJ155" i="1" s="1"/>
  <c r="AE155" i="1"/>
  <c r="AI155" i="1" s="1"/>
  <c r="AD155" i="1"/>
  <c r="AH155" i="1" s="1"/>
  <c r="AM152" i="1"/>
  <c r="AP152" i="1" s="1"/>
  <c r="AL152" i="1"/>
  <c r="AO152" i="1" s="1"/>
  <c r="AF152" i="1"/>
  <c r="AJ152" i="1" s="1"/>
  <c r="AE152" i="1"/>
  <c r="AI152" i="1" s="1"/>
  <c r="AD152" i="1"/>
  <c r="AH152" i="1" s="1"/>
  <c r="AM149" i="1"/>
  <c r="AP149" i="1" s="1"/>
  <c r="AL149" i="1"/>
  <c r="AO149" i="1" s="1"/>
  <c r="AF149" i="1"/>
  <c r="AJ149" i="1" s="1"/>
  <c r="AE149" i="1"/>
  <c r="AI149" i="1" s="1"/>
  <c r="AD149" i="1"/>
  <c r="AH149" i="1" s="1"/>
  <c r="AM145" i="1"/>
  <c r="AP145" i="1" s="1"/>
  <c r="AL145" i="1"/>
  <c r="AO145" i="1" s="1"/>
  <c r="AF145" i="1"/>
  <c r="AJ145" i="1" s="1"/>
  <c r="AE145" i="1"/>
  <c r="AI145" i="1" s="1"/>
  <c r="AD145" i="1"/>
  <c r="AH145" i="1" s="1"/>
  <c r="AM142" i="1"/>
  <c r="AP142" i="1" s="1"/>
  <c r="AL142" i="1"/>
  <c r="AO142" i="1" s="1"/>
  <c r="AF142" i="1"/>
  <c r="AJ142" i="1" s="1"/>
  <c r="AE142" i="1"/>
  <c r="AI142" i="1" s="1"/>
  <c r="AD142" i="1"/>
  <c r="AH142" i="1" s="1"/>
  <c r="AM139" i="1"/>
  <c r="AP139" i="1" s="1"/>
  <c r="AL139" i="1"/>
  <c r="AO139" i="1" s="1"/>
  <c r="AF139" i="1"/>
  <c r="AJ139" i="1" s="1"/>
  <c r="AE139" i="1"/>
  <c r="AI139" i="1" s="1"/>
  <c r="AD139" i="1"/>
  <c r="AH139" i="1" s="1"/>
  <c r="AM133" i="1"/>
  <c r="AP133" i="1" s="1"/>
  <c r="AL133" i="1"/>
  <c r="AO133" i="1" s="1"/>
  <c r="AF133" i="1"/>
  <c r="AJ133" i="1" s="1"/>
  <c r="AE133" i="1"/>
  <c r="AI133" i="1" s="1"/>
  <c r="AD133" i="1"/>
  <c r="AH133" i="1" s="1"/>
  <c r="AM130" i="1"/>
  <c r="AP130" i="1" s="1"/>
  <c r="AL130" i="1"/>
  <c r="AO130" i="1" s="1"/>
  <c r="AF130" i="1"/>
  <c r="AJ130" i="1" s="1"/>
  <c r="AE130" i="1"/>
  <c r="AI130" i="1" s="1"/>
  <c r="AD130" i="1"/>
  <c r="AH130" i="1" s="1"/>
  <c r="AM127" i="1"/>
  <c r="AP127" i="1" s="1"/>
  <c r="AL127" i="1"/>
  <c r="AO127" i="1" s="1"/>
  <c r="AF127" i="1"/>
  <c r="AJ127" i="1" s="1"/>
  <c r="AE127" i="1"/>
  <c r="AI127" i="1" s="1"/>
  <c r="AD127" i="1"/>
  <c r="AH127" i="1" s="1"/>
  <c r="AM124" i="1"/>
  <c r="AP124" i="1" s="1"/>
  <c r="AL124" i="1"/>
  <c r="AO124" i="1" s="1"/>
  <c r="AF124" i="1"/>
  <c r="AJ124" i="1" s="1"/>
  <c r="AE124" i="1"/>
  <c r="AI124" i="1" s="1"/>
  <c r="AD124" i="1"/>
  <c r="AH124" i="1" s="1"/>
  <c r="AM121" i="1"/>
  <c r="AP121" i="1" s="1"/>
  <c r="AL121" i="1"/>
  <c r="AO121" i="1" s="1"/>
  <c r="AF121" i="1"/>
  <c r="AJ121" i="1" s="1"/>
  <c r="AE121" i="1"/>
  <c r="AI121" i="1" s="1"/>
  <c r="AD121" i="1"/>
  <c r="AH121" i="1" s="1"/>
  <c r="AM118" i="1"/>
  <c r="AP118" i="1" s="1"/>
  <c r="AL118" i="1"/>
  <c r="AO118" i="1" s="1"/>
  <c r="AF118" i="1"/>
  <c r="AJ118" i="1" s="1"/>
  <c r="AE118" i="1"/>
  <c r="AI118" i="1" s="1"/>
  <c r="AD118" i="1"/>
  <c r="AH118" i="1" s="1"/>
  <c r="AM115" i="1"/>
  <c r="AP115" i="1" s="1"/>
  <c r="AL115" i="1"/>
  <c r="AO115" i="1" s="1"/>
  <c r="AF115" i="1"/>
  <c r="AJ115" i="1" s="1"/>
  <c r="AE115" i="1"/>
  <c r="AI115" i="1" s="1"/>
  <c r="AD115" i="1"/>
  <c r="AH115" i="1" s="1"/>
  <c r="AM111" i="1"/>
  <c r="AP111" i="1" s="1"/>
  <c r="AL111" i="1"/>
  <c r="AO111" i="1" s="1"/>
  <c r="AF111" i="1"/>
  <c r="AJ111" i="1" s="1"/>
  <c r="AE111" i="1"/>
  <c r="AI111" i="1" s="1"/>
  <c r="AD111" i="1"/>
  <c r="AH111" i="1" s="1"/>
  <c r="AM108" i="1"/>
  <c r="AP108" i="1" s="1"/>
  <c r="AL108" i="1"/>
  <c r="AO108" i="1" s="1"/>
  <c r="AF108" i="1"/>
  <c r="AJ108" i="1" s="1"/>
  <c r="AE108" i="1"/>
  <c r="AI108" i="1" s="1"/>
  <c r="AD108" i="1"/>
  <c r="AH108" i="1" s="1"/>
  <c r="AM105" i="1"/>
  <c r="AP105" i="1" s="1"/>
  <c r="AL105" i="1"/>
  <c r="AO105" i="1" s="1"/>
  <c r="AF105" i="1"/>
  <c r="AJ105" i="1" s="1"/>
  <c r="AE105" i="1"/>
  <c r="AI105" i="1" s="1"/>
  <c r="AD105" i="1"/>
  <c r="AH105" i="1" s="1"/>
  <c r="AM102" i="1"/>
  <c r="AP102" i="1" s="1"/>
  <c r="AL102" i="1"/>
  <c r="AO102" i="1" s="1"/>
  <c r="AF102" i="1"/>
  <c r="AJ102" i="1" s="1"/>
  <c r="AE102" i="1"/>
  <c r="AI102" i="1" s="1"/>
  <c r="AD102" i="1"/>
  <c r="AH102" i="1" s="1"/>
  <c r="AM99" i="1"/>
  <c r="AP99" i="1" s="1"/>
  <c r="AL99" i="1"/>
  <c r="AO99" i="1" s="1"/>
  <c r="AF99" i="1"/>
  <c r="AJ99" i="1" s="1"/>
  <c r="AE99" i="1"/>
  <c r="AI99" i="1" s="1"/>
  <c r="AD99" i="1"/>
  <c r="AH99" i="1" s="1"/>
  <c r="AM96" i="1"/>
  <c r="AP96" i="1" s="1"/>
  <c r="AL96" i="1"/>
  <c r="AO96" i="1" s="1"/>
  <c r="AF96" i="1"/>
  <c r="AJ96" i="1" s="1"/>
  <c r="AE96" i="1"/>
  <c r="AI96" i="1" s="1"/>
  <c r="AD96" i="1"/>
  <c r="AH96" i="1" s="1"/>
  <c r="AM93" i="1"/>
  <c r="AP93" i="1" s="1"/>
  <c r="AL93" i="1"/>
  <c r="AO93" i="1" s="1"/>
  <c r="AF93" i="1"/>
  <c r="AJ93" i="1" s="1"/>
  <c r="AE93" i="1"/>
  <c r="AI93" i="1" s="1"/>
  <c r="AD93" i="1"/>
  <c r="AH93" i="1" s="1"/>
  <c r="AM90" i="1"/>
  <c r="AP90" i="1" s="1"/>
  <c r="AL90" i="1"/>
  <c r="AO90" i="1" s="1"/>
  <c r="AF90" i="1"/>
  <c r="AJ90" i="1" s="1"/>
  <c r="AE90" i="1"/>
  <c r="AI90" i="1" s="1"/>
  <c r="AD90" i="1"/>
  <c r="AH90" i="1" s="1"/>
  <c r="AM87" i="1"/>
  <c r="AP87" i="1" s="1"/>
  <c r="AL87" i="1"/>
  <c r="AO87" i="1" s="1"/>
  <c r="AF87" i="1"/>
  <c r="AJ87" i="1" s="1"/>
  <c r="AE87" i="1"/>
  <c r="AI87" i="1" s="1"/>
  <c r="AD87" i="1"/>
  <c r="AH87" i="1" s="1"/>
  <c r="AM84" i="1"/>
  <c r="AP84" i="1" s="1"/>
  <c r="AL84" i="1"/>
  <c r="AO84" i="1" s="1"/>
  <c r="AF84" i="1"/>
  <c r="AJ84" i="1" s="1"/>
  <c r="AE84" i="1"/>
  <c r="AI84" i="1" s="1"/>
  <c r="AD84" i="1"/>
  <c r="AH84" i="1" s="1"/>
  <c r="AM80" i="1"/>
  <c r="AP80" i="1" s="1"/>
  <c r="AL80" i="1"/>
  <c r="AO80" i="1" s="1"/>
  <c r="AF80" i="1"/>
  <c r="AJ80" i="1" s="1"/>
  <c r="AE80" i="1"/>
  <c r="AI80" i="1" s="1"/>
  <c r="AD80" i="1"/>
  <c r="AH80" i="1" s="1"/>
  <c r="AM77" i="1"/>
  <c r="AP77" i="1" s="1"/>
  <c r="AL77" i="1"/>
  <c r="AO77" i="1" s="1"/>
  <c r="AF77" i="1"/>
  <c r="AJ77" i="1" s="1"/>
  <c r="AE77" i="1"/>
  <c r="AI77" i="1" s="1"/>
  <c r="AD77" i="1"/>
  <c r="AH77" i="1" s="1"/>
  <c r="AM74" i="1"/>
  <c r="AP74" i="1" s="1"/>
  <c r="AL74" i="1"/>
  <c r="AO74" i="1" s="1"/>
  <c r="AF74" i="1"/>
  <c r="AJ74" i="1" s="1"/>
  <c r="AE74" i="1"/>
  <c r="AI74" i="1" s="1"/>
  <c r="AD74" i="1"/>
  <c r="AH74" i="1" s="1"/>
  <c r="AM70" i="1"/>
  <c r="AP70" i="1" s="1"/>
  <c r="AL70" i="1"/>
  <c r="AO70" i="1" s="1"/>
  <c r="AF70" i="1"/>
  <c r="AJ70" i="1" s="1"/>
  <c r="AE70" i="1"/>
  <c r="AI70" i="1" s="1"/>
  <c r="AD70" i="1"/>
  <c r="AH70" i="1" s="1"/>
  <c r="AM67" i="1"/>
  <c r="AP67" i="1" s="1"/>
  <c r="AL67" i="1"/>
  <c r="AO67" i="1" s="1"/>
  <c r="AF67" i="1"/>
  <c r="AJ67" i="1" s="1"/>
  <c r="AE67" i="1"/>
  <c r="AI67" i="1" s="1"/>
  <c r="AD67" i="1"/>
  <c r="AH67" i="1" s="1"/>
  <c r="AM64" i="1"/>
  <c r="AP64" i="1" s="1"/>
  <c r="AL64" i="1"/>
  <c r="AO64" i="1" s="1"/>
  <c r="AF64" i="1"/>
  <c r="AJ64" i="1" s="1"/>
  <c r="AE64" i="1"/>
  <c r="AI64" i="1" s="1"/>
  <c r="AD64" i="1"/>
  <c r="AH64" i="1" s="1"/>
  <c r="AM61" i="1"/>
  <c r="AP61" i="1" s="1"/>
  <c r="AL61" i="1"/>
  <c r="AO61" i="1" s="1"/>
  <c r="AF61" i="1"/>
  <c r="AJ61" i="1" s="1"/>
  <c r="AE61" i="1"/>
  <c r="AI61" i="1" s="1"/>
  <c r="AD61" i="1"/>
  <c r="AH61" i="1" s="1"/>
  <c r="AM58" i="1"/>
  <c r="AP58" i="1" s="1"/>
  <c r="AL58" i="1"/>
  <c r="AO58" i="1" s="1"/>
  <c r="AF58" i="1"/>
  <c r="AJ58" i="1" s="1"/>
  <c r="AE58" i="1"/>
  <c r="AI58" i="1" s="1"/>
  <c r="AD58" i="1"/>
  <c r="AH58" i="1" s="1"/>
  <c r="AM55" i="1"/>
  <c r="AP55" i="1" s="1"/>
  <c r="AL55" i="1"/>
  <c r="AO55" i="1" s="1"/>
  <c r="AF55" i="1"/>
  <c r="AJ55" i="1" s="1"/>
  <c r="AE55" i="1"/>
  <c r="AI55" i="1" s="1"/>
  <c r="AD55" i="1"/>
  <c r="AH55" i="1" s="1"/>
  <c r="AM52" i="1"/>
  <c r="AP52" i="1" s="1"/>
  <c r="AL52" i="1"/>
  <c r="AO52" i="1" s="1"/>
  <c r="AF52" i="1"/>
  <c r="AJ52" i="1" s="1"/>
  <c r="AE52" i="1"/>
  <c r="AI52" i="1" s="1"/>
  <c r="AD52" i="1"/>
  <c r="AH52" i="1" s="1"/>
  <c r="AM49" i="1"/>
  <c r="AP49" i="1" s="1"/>
  <c r="AL49" i="1"/>
  <c r="AO49" i="1" s="1"/>
  <c r="AF49" i="1"/>
  <c r="AJ49" i="1" s="1"/>
  <c r="AE49" i="1"/>
  <c r="AI49" i="1" s="1"/>
  <c r="AD49" i="1"/>
  <c r="AH49" i="1" s="1"/>
  <c r="AM46" i="1"/>
  <c r="AP46" i="1" s="1"/>
  <c r="AL46" i="1"/>
  <c r="AO46" i="1" s="1"/>
  <c r="AF46" i="1"/>
  <c r="AJ46" i="1" s="1"/>
  <c r="AE46" i="1"/>
  <c r="AI46" i="1" s="1"/>
  <c r="AD46" i="1"/>
  <c r="AH46" i="1" s="1"/>
  <c r="AM43" i="1"/>
  <c r="AP43" i="1" s="1"/>
  <c r="AL43" i="1"/>
  <c r="AO43" i="1" s="1"/>
  <c r="AF43" i="1"/>
  <c r="AJ43" i="1" s="1"/>
  <c r="AE43" i="1"/>
  <c r="AI43" i="1" s="1"/>
  <c r="AD43" i="1"/>
  <c r="AH43" i="1" s="1"/>
  <c r="AM38" i="1"/>
  <c r="AP38" i="1" s="1"/>
  <c r="AL38" i="1"/>
  <c r="AO38" i="1" s="1"/>
  <c r="AF38" i="1"/>
  <c r="AJ38" i="1" s="1"/>
  <c r="AE38" i="1"/>
  <c r="AI38" i="1" s="1"/>
  <c r="AD38" i="1"/>
  <c r="AH38" i="1" s="1"/>
  <c r="AM35" i="1"/>
  <c r="AP35" i="1" s="1"/>
  <c r="AL35" i="1"/>
  <c r="AO35" i="1" s="1"/>
  <c r="AF35" i="1"/>
  <c r="AJ35" i="1" s="1"/>
  <c r="AE35" i="1"/>
  <c r="AI35" i="1" s="1"/>
  <c r="AD35" i="1"/>
  <c r="AH35" i="1" s="1"/>
  <c r="AM32" i="1"/>
  <c r="AP32" i="1" s="1"/>
  <c r="AL32" i="1"/>
  <c r="AO32" i="1" s="1"/>
  <c r="AF32" i="1"/>
  <c r="AJ32" i="1" s="1"/>
  <c r="AE32" i="1"/>
  <c r="AI32" i="1" s="1"/>
  <c r="AD32" i="1"/>
  <c r="AH32" i="1" s="1"/>
  <c r="AM29" i="1"/>
  <c r="AP29" i="1" s="1"/>
  <c r="AL29" i="1"/>
  <c r="AO29" i="1" s="1"/>
  <c r="AF29" i="1"/>
  <c r="AJ29" i="1" s="1"/>
  <c r="AE29" i="1"/>
  <c r="AI29" i="1" s="1"/>
  <c r="AD29" i="1"/>
  <c r="AH29" i="1" s="1"/>
  <c r="AM26" i="1"/>
  <c r="AP26" i="1" s="1"/>
  <c r="AL26" i="1"/>
  <c r="AO26" i="1" s="1"/>
  <c r="AF26" i="1"/>
  <c r="AJ26" i="1" s="1"/>
  <c r="AE26" i="1"/>
  <c r="AI26" i="1" s="1"/>
  <c r="AD26" i="1"/>
  <c r="AH26" i="1" s="1"/>
  <c r="AM23" i="1"/>
  <c r="AP23" i="1" s="1"/>
  <c r="AL23" i="1"/>
  <c r="AO23" i="1" s="1"/>
  <c r="AF23" i="1"/>
  <c r="AJ23" i="1" s="1"/>
  <c r="AE23" i="1"/>
  <c r="AI23" i="1" s="1"/>
  <c r="AD23" i="1"/>
  <c r="AH23" i="1" s="1"/>
  <c r="AM20" i="1"/>
  <c r="AP20" i="1" s="1"/>
  <c r="AL20" i="1"/>
  <c r="AO20" i="1" s="1"/>
  <c r="AF20" i="1"/>
  <c r="AJ20" i="1" s="1"/>
  <c r="AE20" i="1"/>
  <c r="AI20" i="1" s="1"/>
  <c r="AD20" i="1"/>
  <c r="AH20" i="1" s="1"/>
  <c r="AM17" i="1"/>
  <c r="AP17" i="1" s="1"/>
  <c r="AL17" i="1"/>
  <c r="AO17" i="1" s="1"/>
  <c r="AF17" i="1"/>
  <c r="AJ17" i="1" s="1"/>
  <c r="AE17" i="1"/>
  <c r="AI17" i="1" s="1"/>
  <c r="AD17" i="1"/>
  <c r="AH17" i="1" s="1"/>
  <c r="AM14" i="1"/>
  <c r="AP14" i="1" s="1"/>
  <c r="AL14" i="1"/>
  <c r="AO14" i="1" s="1"/>
  <c r="AF14" i="1"/>
  <c r="AJ14" i="1" s="1"/>
  <c r="AE14" i="1"/>
  <c r="AI14" i="1" s="1"/>
  <c r="AD14" i="1"/>
  <c r="AH14" i="1" s="1"/>
  <c r="AM11" i="1"/>
  <c r="AP11" i="1" s="1"/>
  <c r="AL11" i="1"/>
  <c r="AO11" i="1" s="1"/>
  <c r="AF11" i="1"/>
  <c r="AJ11" i="1" s="1"/>
  <c r="AE11" i="1"/>
  <c r="AI11" i="1" s="1"/>
  <c r="AD11" i="1"/>
  <c r="AH11" i="1" s="1"/>
  <c r="AM5" i="1"/>
  <c r="AP5" i="1" s="1"/>
  <c r="AL5" i="1"/>
  <c r="AO5" i="1" s="1"/>
  <c r="AF5" i="1"/>
  <c r="AJ5" i="1" s="1"/>
  <c r="AE5" i="1"/>
  <c r="AI5" i="1" s="1"/>
  <c r="AD5" i="1"/>
  <c r="AH5" i="1" s="1"/>
  <c r="AM2" i="1"/>
  <c r="AP2" i="1" s="1"/>
  <c r="AL2" i="1"/>
  <c r="AO2" i="1" s="1"/>
  <c r="AF2" i="1"/>
  <c r="AJ2" i="1" s="1"/>
  <c r="AE2" i="1"/>
  <c r="AI2" i="1" s="1"/>
  <c r="AD2" i="1"/>
  <c r="AD41" i="1" l="1"/>
  <c r="AE41" i="1"/>
  <c r="AI41" i="1" s="1"/>
  <c r="AF41" i="1"/>
  <c r="AJ41" i="1" s="1"/>
  <c r="AD73" i="1"/>
  <c r="AH73" i="1" s="1"/>
  <c r="AE73" i="1"/>
  <c r="AI73" i="1" s="1"/>
  <c r="AD249" i="1"/>
  <c r="AH249" i="1" s="1"/>
  <c r="AH41" i="1"/>
  <c r="AE249" i="1"/>
  <c r="AI249" i="1" s="1"/>
  <c r="AF190" i="1"/>
  <c r="AJ190" i="1" s="1"/>
  <c r="AF73" i="1"/>
  <c r="AJ73" i="1" s="1"/>
  <c r="AE83" i="1"/>
  <c r="AI83" i="1" s="1"/>
  <c r="AF249" i="1"/>
  <c r="AJ249" i="1" s="1"/>
  <c r="AH2" i="1"/>
  <c r="AF83" i="1"/>
  <c r="AJ83" i="1" s="1"/>
  <c r="AD223" i="1"/>
  <c r="AH223" i="1" s="1"/>
  <c r="AD273" i="1"/>
  <c r="AE223" i="1"/>
  <c r="AI223" i="1" s="1"/>
  <c r="AE273" i="1"/>
  <c r="AD83" i="1"/>
  <c r="AH83" i="1" s="1"/>
  <c r="AD190" i="1"/>
  <c r="AF223" i="1"/>
  <c r="AJ223" i="1" s="1"/>
  <c r="AF273" i="1"/>
  <c r="AE190" i="1"/>
  <c r="AD194" i="1" l="1"/>
  <c r="AH194" i="1" s="1"/>
  <c r="AH190" i="1"/>
  <c r="AH273" i="1"/>
  <c r="AI273" i="1"/>
  <c r="AE194" i="1"/>
  <c r="AI194" i="1" s="1"/>
  <c r="AI190" i="1"/>
  <c r="AJ273" i="1"/>
  <c r="AF194" i="1"/>
  <c r="AJ194" i="1" s="1"/>
  <c r="AE274" i="1" l="1"/>
  <c r="AI274" i="1" s="1"/>
  <c r="AD274" i="1"/>
  <c r="AH274" i="1" s="1"/>
  <c r="AF274" i="1"/>
  <c r="AJ274" i="1" s="1"/>
</calcChain>
</file>

<file path=xl/sharedStrings.xml><?xml version="1.0" encoding="utf-8"?>
<sst xmlns="http://schemas.openxmlformats.org/spreadsheetml/2006/main" count="487" uniqueCount="297">
  <si>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</si>
  <si>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</si>
  <si>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</si>
  <si>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</si>
  <si>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</si>
  <si>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</si>
  <si>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</si>
  <si>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1887-1888</t>
  </si>
  <si>
    <t>ср-чр 1887-1888</t>
  </si>
  <si>
    <t>ср-чу 1887-1888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</si>
  <si>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</si>
  <si>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</si>
  <si>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</si>
  <si>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</si>
  <si>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</si>
  <si>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</si>
  <si>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</si>
  <si>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</si>
  <si>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</si>
  <si>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</si>
  <si>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</si>
  <si>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</si>
  <si>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</si>
  <si>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</si>
  <si>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</si>
  <si>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</si>
  <si>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</si>
  <si>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</si>
  <si>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</si>
  <si>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</si>
  <si>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</si>
  <si>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</si>
  <si>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</si>
  <si>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</si>
  <si>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</si>
  <si>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</si>
  <si>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</si>
  <si>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</si>
  <si>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</si>
  <si>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</si>
  <si>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</si>
  <si>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</si>
  <si>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</si>
  <si>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</si>
  <si>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</si>
  <si>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</si>
  <si>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</si>
  <si>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</si>
  <si>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</si>
  <si>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</si>
  <si>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</si>
  <si>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</si>
  <si>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</si>
  <si>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</si>
  <si>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</si>
  <si>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</si>
  <si>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</si>
  <si>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</si>
  <si>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</si>
  <si>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</si>
  <si>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</si>
  <si>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</si>
  <si>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</si>
  <si>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</si>
  <si>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</si>
  <si>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</si>
  <si>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</si>
  <si>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</si>
  <si>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</si>
  <si>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</si>
  <si>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</si>
  <si>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</si>
  <si>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</si>
  <si>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</si>
  <si>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</si>
  <si>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</si>
  <si>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</si>
  <si>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привисленских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</si>
  <si>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</si>
  <si>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</si>
  <si>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</si>
  <si>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</si>
  <si>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</si>
  <si>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</si>
  <si>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</si>
  <si>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</si>
  <si>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</si>
  <si>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</si>
  <si>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</si>
  <si>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</si>
  <si>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</si>
  <si>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</si>
  <si>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</si>
  <si>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</si>
  <si>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</si>
  <si>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</si>
  <si>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</si>
  <si>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</si>
  <si>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</si>
  <si>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</si>
  <si>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</si>
  <si>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</si>
  <si>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</si>
  <si>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</si>
  <si>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</si>
  <si>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</si>
  <si>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</si>
  <si>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</si>
  <si>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</si>
  <si>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</si>
  <si>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</si>
  <si>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</si>
  <si>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</si>
  <si>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</si>
  <si>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</si>
  <si>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</si>
  <si>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</si>
  <si>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</si>
  <si>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</si>
  <si>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</si>
  <si>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</si>
  <si>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</si>
  <si>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</si>
  <si>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</si>
  <si>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</si>
  <si>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</si>
  <si>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</si>
  <si>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</si>
  <si>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</si>
  <si>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</si>
  <si>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</si>
  <si>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</si>
  <si>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</si>
  <si>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</si>
  <si>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</si>
  <si>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</si>
  <si>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</si>
  <si>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</si>
  <si>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</si>
  <si>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</si>
  <si>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</si>
  <si>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</si>
  <si>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</si>
  <si>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</si>
  <si>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</si>
  <si>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</si>
  <si>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</si>
  <si>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</si>
  <si>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</si>
  <si>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</si>
  <si>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</si>
  <si>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</si>
  <si>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</si>
  <si>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</si>
  <si>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</si>
  <si>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</si>
  <si>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</si>
  <si>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</si>
  <si>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</si>
  <si>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</si>
  <si>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</si>
  <si>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</si>
  <si>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</si>
  <si>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</si>
  <si>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</si>
  <si>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</si>
  <si>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</si>
  <si>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</si>
  <si>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</si>
  <si>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</si>
  <si>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</si>
  <si>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</si>
  <si>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</si>
  <si>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</si>
  <si>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</si>
  <si>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</si>
  <si>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</si>
  <si>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</si>
  <si>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</si>
  <si>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</si>
  <si>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</si>
  <si>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</si>
  <si>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</si>
  <si>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</si>
  <si>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</si>
  <si>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</si>
  <si>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</si>
  <si>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</si>
  <si>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</si>
  <si>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</si>
  <si>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</si>
  <si>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</si>
  <si>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</si>
  <si>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</si>
  <si>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</si>
  <si>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</si>
  <si>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</si>
  <si>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</si>
  <si>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</si>
  <si>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</si>
  <si>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</si>
  <si>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</si>
  <si>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 область</t>
  </si>
  <si>
    <t>[Дагестанская область род.]</t>
  </si>
  <si>
    <t>[Дагестанская область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</si>
  <si>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</si>
  <si>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</si>
  <si>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</si>
  <si>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</si>
  <si>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 область</t>
  </si>
  <si>
    <t>[Кубанская область род.]</t>
  </si>
  <si>
    <t>[Кубанская область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</si>
  <si>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</si>
  <si>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</si>
  <si>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</si>
  <si>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</si>
  <si>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</si>
  <si>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</si>
  <si>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область</t>
  </si>
  <si>
    <t>[Терская область род.]</t>
  </si>
  <si>
    <t>[Терская область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</si>
  <si>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</si>
  <si>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</si>
  <si>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</si>
  <si>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</si>
  <si>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</si>
  <si>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</si>
  <si>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</si>
  <si>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</si>
  <si>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</si>
  <si>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</si>
  <si>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</si>
  <si>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 область</t>
  </si>
  <si>
    <t>[Забайкальская область род.]</t>
  </si>
  <si>
    <t>[Забайкальская область ум.]</t>
  </si>
  <si>
    <t>Иркутская</t>
  </si>
  <si>
    <t>[Иркутская род.]</t>
  </si>
  <si>
    <t>[Иркутская ум.]</t>
  </si>
  <si>
    <t>Приморская область</t>
  </si>
  <si>
    <t>[Приморская область род.]</t>
  </si>
  <si>
    <t>[Приморская область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</si>
  <si>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</si>
  <si>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</si>
  <si>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</si>
  <si>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</si>
  <si>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</si>
  <si>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</si>
  <si>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область</t>
  </si>
  <si>
    <t>[Якутская область род.]</t>
  </si>
  <si>
    <t>[Якутская область ум.]</t>
  </si>
  <si>
    <t>Остров Сахалин</t>
  </si>
  <si>
    <t>[Остров Сахалин род.]</t>
  </si>
  <si>
    <t>[Остров Сахалин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</si>
  <si>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</si>
  <si>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</si>
  <si>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</si>
  <si>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</si>
  <si>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</si>
  <si>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</si>
  <si>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</si>
  <si>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</si>
  <si>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</si>
  <si>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</si>
  <si>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</si>
  <si>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</si>
  <si>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</si>
  <si>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</si>
  <si>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</si>
  <si>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</si>
  <si>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</si>
  <si>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</si>
  <si>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</si>
  <si>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</si>
  <si>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 область</t>
  </si>
  <si>
    <t>Ферганская</t>
  </si>
  <si>
    <t>[Ферганская род.]</t>
  </si>
  <si>
    <t>[Ферганская ум.]</t>
  </si>
  <si>
    <t>Итого в Средней Азии</t>
  </si>
  <si>
    <t>Итого во всей Империи</t>
  </si>
  <si>
    <t>р YY</t>
  </si>
  <si>
    <t>с YY</t>
  </si>
  <si>
    <t>v-чж</t>
  </si>
  <si>
    <t>v-чр</t>
  </si>
  <si>
    <t>v-чу</t>
  </si>
  <si>
    <t>v-d-чж</t>
  </si>
  <si>
    <t>v-d-чр</t>
  </si>
  <si>
    <t>v-d-чу</t>
  </si>
  <si>
    <t>v-р</t>
  </si>
  <si>
    <t>v-с</t>
  </si>
  <si>
    <t>v-d-р</t>
  </si>
  <si>
    <t>v-d-с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</si>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</sst>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rlito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3" fontId="1" fillId="3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6" borderId="0" xfId="0" applyNumberFormat="1" applyFont="1" applyFill="1" applyAlignment="1">
      <alignment horizontal="center" vertical="center"/>
    </xf>
    <xf numFmtId="3" fontId="0" fillId="6" borderId="0" xfId="0" applyNumberFormat="1" applyFill="1"/>
    <xf numFmtId="0" fontId="2" fillId="5" borderId="0" xfId="0" applyFont="1" applyFill="1" applyAlignment="1">
      <alignment horizontal="center" vertical="center"/>
    </xf>
    <xf numFmtId="164" fontId="0" fillId="6" borderId="0" xfId="0" applyNumberFormat="1" applyFill="1"/>
    <xf numFmtId="0" fontId="0" fillId="6" borderId="0" xfId="0" applyFill="1"/>
    <xf numFmtId="3" fontId="0" fillId="0" borderId="0" xfId="0" applyNumberFormat="1"/>
    <xf numFmtId="164" fontId="0" fillId="0" borderId="0" xfId="0" applyNumberFormat="1"/>
    <xf numFmtId="3" fontId="0" fillId="6" borderId="0" xfId="0" applyNumberFormat="1" applyFill="1" applyAlignment="1">
      <alignment horizontal="center"/>
    </xf>
    <xf numFmtId="3" fontId="0" fillId="6" borderId="0" xfId="0" applyNumberFormat="1" applyFill="1" applyAlignment="1">
      <alignment horizontal="right"/>
    </xf>
    <xf numFmtId="3" fontId="0" fillId="4" borderId="0" xfId="0" applyNumberFormat="1" applyFill="1"/>
    <xf numFmtId="164" fontId="0" fillId="4" borderId="0" xfId="0" applyNumberFormat="1" applyFill="1"/>
    <xf numFmtId="0" fontId="1" fillId="6" borderId="0" xfId="0" applyFont="1" applyFill="1" applyAlignment="1">
      <alignment horizontal="left" vertical="center"/>
    </xf>
    <xf numFmtId="3" fontId="1" fillId="6" borderId="0" xfId="0" applyNumberFormat="1" applyFont="1" applyFill="1" applyAlignment="1">
      <alignment horizontal="right" vertical="center"/>
    </xf>
    <xf numFmtId="3" fontId="1" fillId="6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4"/>
  <sheetViews>
    <sheetView tabSelected="1" workbookViewId="0">
      <selection activeCell="K8" sqref="K8:L8"/>
    </sheetView>
  </sheetViews>
  <sheetFormatPr defaultRowHeight="14.4" x14ac:dyDescent="0.55000000000000004"/>
  <cols>
    <col min="1" max="1" width="29.7890625" bestFit="1" customWidth="1"/>
    <col min="2" max="2" width="10.62890625" bestFit="1" customWidth="1"/>
    <col min="3" max="4" width="8.62890625" bestFit="1" customWidth="1"/>
    <col min="5" max="5" width="10.47265625" bestFit="1" customWidth="1"/>
    <col min="6" max="6" width="8.47265625" bestFit="1" customWidth="1"/>
    <col min="7" max="7" width="8.62890625" bestFit="1" customWidth="1"/>
    <col min="8" max="8" width="10.62890625" bestFit="1" customWidth="1"/>
    <col min="9" max="9" width="10.1015625" bestFit="1" customWidth="1"/>
    <col min="10" max="10" width="10" bestFit="1" customWidth="1"/>
    <col min="11" max="11" width="4.41796875" bestFit="1" customWidth="1"/>
    <col min="12" max="12" width="4.15625" bestFit="1" customWidth="1"/>
    <col min="13" max="13" width="2.47265625" customWidth="1"/>
    <col min="14" max="28" width="7.15625" bestFit="1" customWidth="1"/>
    <col min="29" max="29" width="2.62890625" customWidth="1"/>
    <col min="30" max="30" width="11.3671875" bestFit="1" customWidth="1"/>
    <col min="31" max="32" width="9.26171875" bestFit="1" customWidth="1"/>
    <col min="33" max="33" width="2.5234375" customWidth="1"/>
    <col min="34" max="34" width="8.3671875" bestFit="1" customWidth="1"/>
    <col min="35" max="35" width="7.68359375" bestFit="1" customWidth="1"/>
    <col min="36" max="36" width="6" bestFit="1" customWidth="1"/>
    <col min="37" max="37" width="3.68359375" customWidth="1"/>
    <col min="38" max="39" width="4.5234375" bestFit="1" customWidth="1"/>
    <col min="41" max="42" width="5.20703125" bestFit="1" customWidth="1"/>
  </cols>
  <sheetData>
    <row r="1" spans="1:42" ht="28.8" x14ac:dyDescent="0.55000000000000004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6" t="s">
        <v>279</v>
      </c>
      <c r="L1" s="16" t="s">
        <v>280</v>
      </c>
      <c r="M1" s="13"/>
      <c r="N1" s="28" t="s">
        <v>10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D1" s="11" t="s">
        <v>281</v>
      </c>
      <c r="AE1" s="11" t="s">
        <v>282</v>
      </c>
      <c r="AF1" s="11" t="s">
        <v>283</v>
      </c>
      <c r="AH1" s="11" t="s">
        <v>284</v>
      </c>
      <c r="AI1" s="11" t="s">
        <v>285</v>
      </c>
      <c r="AJ1" s="11" t="s">
        <v>286</v>
      </c>
      <c r="AL1" s="11" t="s">
        <v>287</v>
      </c>
      <c r="AM1" s="11" t="s">
        <v>288</v>
      </c>
      <c r="AO1" s="11" t="s">
        <v>289</v>
      </c>
      <c r="AP1" s="11" t="s">
        <v>290</v>
      </c>
    </row>
    <row r="2" spans="1:42" x14ac:dyDescent="0.55000000000000004">
      <c r="A2" s="4" t="s">
        <v>11</v>
      </c>
      <c r="B2" s="5">
        <v>351000</v>
      </c>
      <c r="C2" s="5">
        <v>13696</v>
      </c>
      <c r="D2" s="5">
        <v>9067</v>
      </c>
      <c r="E2" s="5">
        <v>28814</v>
      </c>
      <c r="F2" s="5">
        <v>915</v>
      </c>
      <c r="G2" s="5">
        <v>759</v>
      </c>
      <c r="H2" s="5">
        <v>343311</v>
      </c>
      <c r="I2" s="5">
        <v>13165</v>
      </c>
      <c r="J2" s="5">
        <v>7890</v>
      </c>
      <c r="K2" s="14">
        <v>39</v>
      </c>
      <c r="L2" s="14">
        <v>25.8</v>
      </c>
      <c r="N2" s="5">
        <v>57173</v>
      </c>
      <c r="O2" s="5">
        <v>39082</v>
      </c>
      <c r="P2" s="5">
        <v>9232</v>
      </c>
      <c r="Q2" s="5">
        <v>52746</v>
      </c>
      <c r="R2" s="5">
        <v>40155</v>
      </c>
      <c r="S2" s="5">
        <v>29900</v>
      </c>
      <c r="T2" s="5">
        <v>40354</v>
      </c>
      <c r="U2" s="5">
        <v>82358</v>
      </c>
      <c r="V2" s="5"/>
      <c r="W2" s="5"/>
      <c r="X2" s="5"/>
      <c r="Y2" s="5"/>
      <c r="Z2" s="5"/>
      <c r="AA2" s="5"/>
      <c r="AB2" s="5"/>
      <c r="AD2" s="15">
        <f>SUM(N2:AB2)</f>
        <v>351000</v>
      </c>
      <c r="AE2" s="15">
        <f>SUM(N3:AB3)</f>
        <v>13696</v>
      </c>
      <c r="AF2" s="15">
        <f>SUM(N4:AB4)</f>
        <v>9067</v>
      </c>
      <c r="AH2" s="15">
        <f>AD2-B2</f>
        <v>0</v>
      </c>
      <c r="AI2" s="15">
        <f>AE2-C2</f>
        <v>0</v>
      </c>
      <c r="AJ2" s="15">
        <f>AF2-D2</f>
        <v>0</v>
      </c>
      <c r="AL2" s="17">
        <f>C2/B2*1000</f>
        <v>39.019943019943021</v>
      </c>
      <c r="AM2" s="17">
        <f>D2/B2*1000</f>
        <v>25.83190883190883</v>
      </c>
      <c r="AO2" s="17">
        <f>AL2-K2</f>
        <v>1.9943019943021056E-2</v>
      </c>
      <c r="AP2" s="17">
        <f>AM2-L2</f>
        <v>3.1908831908829427E-2</v>
      </c>
    </row>
    <row r="3" spans="1:42" x14ac:dyDescent="0.55000000000000004">
      <c r="A3" s="2" t="s">
        <v>12</v>
      </c>
      <c r="B3" s="3"/>
      <c r="C3" s="3"/>
      <c r="D3" s="3"/>
      <c r="E3" s="3"/>
      <c r="F3" s="3"/>
      <c r="G3" s="3"/>
      <c r="H3" s="3"/>
      <c r="I3" s="3"/>
      <c r="J3" s="3"/>
      <c r="K3" s="1"/>
      <c r="L3" s="1"/>
      <c r="N3" s="3">
        <v>2112</v>
      </c>
      <c r="O3" s="3">
        <v>1090</v>
      </c>
      <c r="P3" s="3">
        <v>358</v>
      </c>
      <c r="Q3" s="3">
        <v>2737</v>
      </c>
      <c r="R3" s="3">
        <v>1488</v>
      </c>
      <c r="S3" s="3">
        <v>1313</v>
      </c>
      <c r="T3" s="3">
        <v>1302</v>
      </c>
      <c r="U3" s="3">
        <v>3296</v>
      </c>
      <c r="V3" s="3"/>
      <c r="W3" s="3"/>
      <c r="X3" s="3"/>
      <c r="Y3" s="3"/>
      <c r="Z3" s="3"/>
      <c r="AA3" s="3"/>
      <c r="AB3" s="3"/>
    </row>
    <row r="4" spans="1:42" x14ac:dyDescent="0.55000000000000004">
      <c r="A4" s="2" t="s">
        <v>13</v>
      </c>
      <c r="B4" s="3"/>
      <c r="C4" s="3"/>
      <c r="D4" s="3"/>
      <c r="E4" s="3"/>
      <c r="F4" s="3"/>
      <c r="G4" s="3"/>
      <c r="H4" s="3"/>
      <c r="I4" s="3"/>
      <c r="J4" s="3"/>
      <c r="K4" s="1"/>
      <c r="L4" s="1"/>
      <c r="N4" s="3">
        <v>1341</v>
      </c>
      <c r="O4" s="3">
        <v>593</v>
      </c>
      <c r="P4" s="3">
        <v>266</v>
      </c>
      <c r="Q4" s="3">
        <v>1523</v>
      </c>
      <c r="R4" s="3">
        <v>1126</v>
      </c>
      <c r="S4" s="3">
        <v>890</v>
      </c>
      <c r="T4" s="3">
        <v>1172</v>
      </c>
      <c r="U4" s="3">
        <v>2156</v>
      </c>
      <c r="V4" s="3"/>
      <c r="W4" s="3"/>
      <c r="X4" s="3"/>
      <c r="Y4" s="3"/>
      <c r="Z4" s="3"/>
      <c r="AA4" s="3"/>
      <c r="AB4" s="3"/>
    </row>
    <row r="5" spans="1:42" x14ac:dyDescent="0.55000000000000004">
      <c r="A5" s="4" t="s">
        <v>291</v>
      </c>
      <c r="B5" s="5">
        <f>835980-B8</f>
        <v>479980</v>
      </c>
      <c r="C5" s="5">
        <v>29504</v>
      </c>
      <c r="D5" s="5">
        <v>20801</v>
      </c>
      <c r="E5" s="5">
        <v>94320</v>
      </c>
      <c r="F5" s="5">
        <v>5576</v>
      </c>
      <c r="G5" s="5">
        <v>4945</v>
      </c>
      <c r="H5" s="5">
        <v>832907</v>
      </c>
      <c r="I5" s="5">
        <v>26943</v>
      </c>
      <c r="J5" s="5">
        <v>18450</v>
      </c>
      <c r="K5" s="14">
        <v>61.4</v>
      </c>
      <c r="L5" s="14">
        <v>43.3</v>
      </c>
      <c r="N5" s="5">
        <v>130450</v>
      </c>
      <c r="O5" s="5">
        <v>64600</v>
      </c>
      <c r="P5" s="5">
        <v>32610</v>
      </c>
      <c r="Q5" s="5">
        <v>84750</v>
      </c>
      <c r="R5" s="5">
        <v>167570</v>
      </c>
      <c r="S5" s="5"/>
      <c r="T5" s="5"/>
      <c r="U5" s="5"/>
      <c r="V5" s="5"/>
      <c r="W5" s="5"/>
      <c r="X5" s="5"/>
      <c r="Y5" s="5"/>
      <c r="Z5" s="5"/>
      <c r="AA5" s="5"/>
      <c r="AB5" s="5"/>
      <c r="AD5" s="15">
        <f>SUM(N5:AB5)</f>
        <v>479980</v>
      </c>
      <c r="AE5" s="15">
        <f>SUM(N6:AB6)</f>
        <v>29504</v>
      </c>
      <c r="AF5" s="15">
        <f>SUM(N7:AB7)</f>
        <v>20801</v>
      </c>
      <c r="AH5" s="15">
        <f>AD5-B5</f>
        <v>0</v>
      </c>
      <c r="AI5" s="15">
        <f>AE5-C5</f>
        <v>0</v>
      </c>
      <c r="AJ5" s="15">
        <f>AF5-D5</f>
        <v>0</v>
      </c>
      <c r="AL5" s="17">
        <f>C5/B5*1000</f>
        <v>61.46922788449519</v>
      </c>
      <c r="AM5" s="17">
        <f>D5/B5*1000</f>
        <v>43.337222384266006</v>
      </c>
      <c r="AO5" s="17">
        <f>AL5-K5</f>
        <v>6.9227884495191461E-2</v>
      </c>
      <c r="AP5" s="17">
        <f>AM5-L5</f>
        <v>3.7222384266009101E-2</v>
      </c>
    </row>
    <row r="6" spans="1:42" x14ac:dyDescent="0.55000000000000004">
      <c r="A6" s="2" t="s">
        <v>292</v>
      </c>
      <c r="B6" s="3"/>
      <c r="C6" s="3"/>
      <c r="D6" s="3"/>
      <c r="E6" s="3"/>
      <c r="F6" s="3"/>
      <c r="G6" s="3"/>
      <c r="H6" s="3"/>
      <c r="I6" s="3"/>
      <c r="J6" s="3"/>
      <c r="K6" s="1"/>
      <c r="L6" s="1"/>
      <c r="N6" s="3">
        <v>7776</v>
      </c>
      <c r="O6" s="3">
        <v>4034</v>
      </c>
      <c r="P6" s="3">
        <v>2023</v>
      </c>
      <c r="Q6" s="3">
        <v>5507</v>
      </c>
      <c r="R6" s="3">
        <v>10164</v>
      </c>
      <c r="S6" s="6"/>
      <c r="T6" s="6"/>
      <c r="U6" s="3"/>
      <c r="V6" s="3"/>
      <c r="W6" s="3"/>
      <c r="X6" s="3"/>
      <c r="Y6" s="3"/>
      <c r="Z6" s="3"/>
      <c r="AA6" s="3"/>
      <c r="AB6" s="3"/>
    </row>
    <row r="7" spans="1:42" x14ac:dyDescent="0.55000000000000004">
      <c r="A7" s="2" t="s">
        <v>293</v>
      </c>
      <c r="B7" s="3"/>
      <c r="C7" s="3"/>
      <c r="D7" s="3"/>
      <c r="E7" s="3"/>
      <c r="F7" s="3"/>
      <c r="G7" s="3"/>
      <c r="H7" s="3"/>
      <c r="I7" s="3"/>
      <c r="J7" s="3"/>
      <c r="K7" s="1"/>
      <c r="L7" s="1"/>
      <c r="N7" s="3">
        <v>7005</v>
      </c>
      <c r="O7" s="3">
        <v>2419</v>
      </c>
      <c r="P7" s="3">
        <v>1260</v>
      </c>
      <c r="Q7" s="3">
        <v>3176</v>
      </c>
      <c r="R7" s="3">
        <v>6941</v>
      </c>
      <c r="S7" s="6"/>
      <c r="T7" s="6"/>
      <c r="U7" s="3"/>
      <c r="V7" s="3"/>
      <c r="W7" s="3"/>
      <c r="X7" s="3"/>
      <c r="Y7" s="3"/>
      <c r="Z7" s="3"/>
      <c r="AA7" s="3"/>
      <c r="AB7" s="3"/>
    </row>
    <row r="8" spans="1:42" x14ac:dyDescent="0.55000000000000004">
      <c r="A8" s="25" t="s">
        <v>294</v>
      </c>
      <c r="B8" s="26">
        <f>SUM(N8:O8)</f>
        <v>356000</v>
      </c>
      <c r="C8" s="27" t="s">
        <v>14</v>
      </c>
      <c r="D8" s="27" t="s">
        <v>14</v>
      </c>
      <c r="E8" s="26"/>
      <c r="F8" s="26"/>
      <c r="G8" s="26"/>
      <c r="H8" s="26"/>
      <c r="I8" s="26"/>
      <c r="J8" s="26"/>
      <c r="K8" s="27" t="s">
        <v>14</v>
      </c>
      <c r="L8" s="27" t="s">
        <v>14</v>
      </c>
      <c r="N8" s="5">
        <v>139000</v>
      </c>
      <c r="O8" s="5">
        <v>217000</v>
      </c>
      <c r="P8" s="26"/>
      <c r="Q8" s="26"/>
      <c r="R8" s="26"/>
      <c r="S8" s="27"/>
      <c r="T8" s="27"/>
      <c r="U8" s="26"/>
      <c r="V8" s="26"/>
      <c r="W8" s="26"/>
      <c r="X8" s="26"/>
      <c r="Y8" s="26"/>
      <c r="Z8" s="26"/>
      <c r="AA8" s="26"/>
      <c r="AB8" s="26"/>
      <c r="AD8" s="15">
        <f>SUM(N8:AB8)</f>
        <v>356000</v>
      </c>
      <c r="AE8" s="15"/>
      <c r="AF8" s="15"/>
      <c r="AH8" s="18"/>
      <c r="AI8" s="18"/>
      <c r="AJ8" s="18"/>
      <c r="AL8" s="18"/>
      <c r="AM8" s="18"/>
      <c r="AO8" s="18"/>
      <c r="AP8" s="18"/>
    </row>
    <row r="9" spans="1:42" x14ac:dyDescent="0.55000000000000004">
      <c r="A9" s="2" t="s">
        <v>295</v>
      </c>
      <c r="B9" s="3"/>
      <c r="C9" s="3"/>
      <c r="D9" s="3"/>
      <c r="E9" s="3"/>
      <c r="F9" s="3"/>
      <c r="G9" s="3"/>
      <c r="H9" s="3"/>
      <c r="I9" s="3"/>
      <c r="J9" s="3"/>
      <c r="K9" s="1"/>
      <c r="L9" s="1"/>
      <c r="N9" s="6" t="s">
        <v>14</v>
      </c>
      <c r="O9" s="6" t="s">
        <v>14</v>
      </c>
      <c r="P9" s="3"/>
      <c r="Q9" s="3"/>
      <c r="R9" s="3"/>
      <c r="S9" s="6"/>
      <c r="T9" s="6"/>
      <c r="U9" s="3"/>
      <c r="V9" s="3"/>
      <c r="W9" s="3"/>
      <c r="X9" s="3"/>
      <c r="Y9" s="3"/>
      <c r="Z9" s="3"/>
      <c r="AA9" s="3"/>
      <c r="AB9" s="3"/>
    </row>
    <row r="10" spans="1:42" x14ac:dyDescent="0.55000000000000004">
      <c r="A10" s="2" t="s">
        <v>296</v>
      </c>
      <c r="B10" s="3"/>
      <c r="C10" s="3"/>
      <c r="D10" s="3"/>
      <c r="E10" s="3"/>
      <c r="F10" s="3"/>
      <c r="G10" s="3"/>
      <c r="H10" s="3"/>
      <c r="I10" s="3"/>
      <c r="J10" s="3"/>
      <c r="K10" s="1"/>
      <c r="L10" s="1"/>
      <c r="N10" s="6" t="s">
        <v>14</v>
      </c>
      <c r="O10" s="6" t="s">
        <v>14</v>
      </c>
      <c r="P10" s="3"/>
      <c r="Q10" s="3"/>
      <c r="R10" s="3"/>
      <c r="S10" s="6"/>
      <c r="T10" s="6"/>
      <c r="U10" s="3"/>
      <c r="V10" s="3"/>
      <c r="W10" s="3"/>
      <c r="X10" s="3"/>
      <c r="Y10" s="3"/>
      <c r="Z10" s="3"/>
      <c r="AA10" s="3"/>
      <c r="AB10" s="3"/>
    </row>
    <row r="11" spans="1:42" x14ac:dyDescent="0.55000000000000004">
      <c r="A11" s="4" t="s">
        <v>15</v>
      </c>
      <c r="B11" s="5">
        <v>1335623</v>
      </c>
      <c r="C11" s="5">
        <v>55422</v>
      </c>
      <c r="D11" s="5">
        <v>34246</v>
      </c>
      <c r="E11" s="5">
        <v>144737</v>
      </c>
      <c r="F11" s="5">
        <v>4209</v>
      </c>
      <c r="G11" s="5">
        <v>3673</v>
      </c>
      <c r="H11" s="5">
        <v>1307046</v>
      </c>
      <c r="I11" s="5">
        <v>53966</v>
      </c>
      <c r="J11" s="5">
        <v>34782</v>
      </c>
      <c r="K11" s="14">
        <v>41.5</v>
      </c>
      <c r="L11" s="14">
        <v>25.6</v>
      </c>
      <c r="N11" s="5">
        <v>298937</v>
      </c>
      <c r="O11" s="5">
        <v>193456</v>
      </c>
      <c r="P11" s="5">
        <v>177605</v>
      </c>
      <c r="Q11" s="5">
        <v>171857</v>
      </c>
      <c r="R11" s="5">
        <v>204615</v>
      </c>
      <c r="S11" s="5">
        <v>154750</v>
      </c>
      <c r="T11" s="5">
        <v>134403</v>
      </c>
      <c r="U11" s="5"/>
      <c r="V11" s="5"/>
      <c r="W11" s="5"/>
      <c r="X11" s="5"/>
      <c r="Y11" s="5"/>
      <c r="Z11" s="5"/>
      <c r="AA11" s="5"/>
      <c r="AB11" s="5"/>
      <c r="AD11" s="15">
        <f>SUM(N11:AB11)</f>
        <v>1335623</v>
      </c>
      <c r="AE11" s="15">
        <f>SUM(N12:AB12)</f>
        <v>55422</v>
      </c>
      <c r="AF11" s="15">
        <f>SUM(N13:AB13)</f>
        <v>34246</v>
      </c>
      <c r="AH11" s="15">
        <f>AD11-B11</f>
        <v>0</v>
      </c>
      <c r="AI11" s="15">
        <f>AE11-C11</f>
        <v>0</v>
      </c>
      <c r="AJ11" s="15">
        <f>AF11-D11</f>
        <v>0</v>
      </c>
      <c r="AL11" s="17">
        <f>C11/B11*1000</f>
        <v>41.495242295168623</v>
      </c>
      <c r="AM11" s="17">
        <f>D11/B11*1000</f>
        <v>25.640468904773275</v>
      </c>
      <c r="AO11" s="17">
        <f>AL11-K11</f>
        <v>-4.757704831376941E-3</v>
      </c>
      <c r="AP11" s="17">
        <f>AM11-L11</f>
        <v>4.0468904773273806E-2</v>
      </c>
    </row>
    <row r="12" spans="1:42" x14ac:dyDescent="0.55000000000000004">
      <c r="A12" s="2" t="s">
        <v>16</v>
      </c>
      <c r="B12" s="3"/>
      <c r="C12" s="3"/>
      <c r="D12" s="3"/>
      <c r="E12" s="3"/>
      <c r="F12" s="3"/>
      <c r="G12" s="3"/>
      <c r="H12" s="3"/>
      <c r="I12" s="3"/>
      <c r="J12" s="3"/>
      <c r="K12" s="1"/>
      <c r="L12" s="1"/>
      <c r="N12" s="3">
        <v>10678</v>
      </c>
      <c r="O12" s="3">
        <v>7633</v>
      </c>
      <c r="P12" s="3">
        <v>7305</v>
      </c>
      <c r="Q12" s="3">
        <v>7674</v>
      </c>
      <c r="R12" s="3">
        <v>8309</v>
      </c>
      <c r="S12" s="3">
        <v>6331</v>
      </c>
      <c r="T12" s="3">
        <v>7492</v>
      </c>
      <c r="U12" s="3"/>
      <c r="V12" s="3"/>
      <c r="W12" s="3"/>
      <c r="X12" s="3"/>
      <c r="Y12" s="3"/>
      <c r="Z12" s="3"/>
      <c r="AA12" s="3"/>
      <c r="AB12" s="3"/>
    </row>
    <row r="13" spans="1:42" x14ac:dyDescent="0.55000000000000004">
      <c r="A13" s="2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1"/>
      <c r="L13" s="1"/>
      <c r="N13" s="3">
        <v>7142</v>
      </c>
      <c r="O13" s="3">
        <v>4636</v>
      </c>
      <c r="P13" s="3">
        <v>4417</v>
      </c>
      <c r="Q13" s="3">
        <v>4813</v>
      </c>
      <c r="R13" s="3">
        <v>4513</v>
      </c>
      <c r="S13" s="3">
        <v>3973</v>
      </c>
      <c r="T13" s="3">
        <v>4752</v>
      </c>
      <c r="U13" s="3"/>
      <c r="V13" s="3"/>
      <c r="W13" s="3"/>
      <c r="X13" s="3"/>
      <c r="Y13" s="3"/>
      <c r="Z13" s="3"/>
      <c r="AA13" s="3"/>
      <c r="AB13" s="3"/>
    </row>
    <row r="14" spans="1:42" x14ac:dyDescent="0.55000000000000004">
      <c r="A14" s="4" t="s">
        <v>18</v>
      </c>
      <c r="B14" s="5">
        <v>1310891</v>
      </c>
      <c r="C14" s="5">
        <v>65230</v>
      </c>
      <c r="D14" s="5">
        <v>34643</v>
      </c>
      <c r="E14" s="5">
        <v>220061</v>
      </c>
      <c r="F14" s="5">
        <v>5807</v>
      </c>
      <c r="G14" s="5">
        <v>4603</v>
      </c>
      <c r="H14" s="5">
        <v>1292659</v>
      </c>
      <c r="I14" s="5">
        <v>52886</v>
      </c>
      <c r="J14" s="5">
        <v>31781</v>
      </c>
      <c r="K14" s="14">
        <v>49.6</v>
      </c>
      <c r="L14" s="14">
        <v>25.8</v>
      </c>
      <c r="N14" s="5">
        <v>146503</v>
      </c>
      <c r="O14" s="5">
        <v>87786</v>
      </c>
      <c r="P14" s="5">
        <v>95754</v>
      </c>
      <c r="Q14" s="5">
        <v>225522</v>
      </c>
      <c r="R14" s="5">
        <v>80409</v>
      </c>
      <c r="S14" s="5">
        <v>135929</v>
      </c>
      <c r="T14" s="5">
        <v>117183</v>
      </c>
      <c r="U14" s="5">
        <v>110962</v>
      </c>
      <c r="V14" s="5">
        <v>116065</v>
      </c>
      <c r="W14" s="5">
        <v>134183</v>
      </c>
      <c r="X14" s="5">
        <v>90595</v>
      </c>
      <c r="Y14" s="5"/>
      <c r="Z14" s="5"/>
      <c r="AA14" s="5"/>
      <c r="AB14" s="5"/>
      <c r="AD14" s="15">
        <f>SUM(N14:AB14)</f>
        <v>1340891</v>
      </c>
      <c r="AE14" s="15">
        <f>SUM(N15:AB15)</f>
        <v>56230</v>
      </c>
      <c r="AF14" s="15">
        <f>SUM(N16:AB16)</f>
        <v>34643</v>
      </c>
      <c r="AH14" s="15">
        <f>AD14-B14</f>
        <v>30000</v>
      </c>
      <c r="AI14" s="15">
        <f>AE14-C14</f>
        <v>-9000</v>
      </c>
      <c r="AJ14" s="15">
        <f>AF14-D14</f>
        <v>0</v>
      </c>
      <c r="AL14" s="17">
        <f>C14/B14*1000</f>
        <v>49.760048699701194</v>
      </c>
      <c r="AM14" s="17">
        <f>D14/B14*1000</f>
        <v>26.427063729936354</v>
      </c>
      <c r="AO14" s="17">
        <f>AL14-K14</f>
        <v>0.16004869970119273</v>
      </c>
      <c r="AP14" s="17">
        <f>AM14-L14</f>
        <v>0.62706372993635284</v>
      </c>
    </row>
    <row r="15" spans="1:42" x14ac:dyDescent="0.55000000000000004">
      <c r="A15" s="2" t="s">
        <v>19</v>
      </c>
      <c r="B15" s="3"/>
      <c r="C15" s="3"/>
      <c r="D15" s="3"/>
      <c r="E15" s="3"/>
      <c r="F15" s="3"/>
      <c r="G15" s="3"/>
      <c r="H15" s="3"/>
      <c r="I15" s="3"/>
      <c r="J15" s="3"/>
      <c r="K15" s="1"/>
      <c r="L15" s="1"/>
      <c r="N15" s="3">
        <v>6475</v>
      </c>
      <c r="O15" s="3">
        <v>4532</v>
      </c>
      <c r="P15" s="3">
        <v>4689</v>
      </c>
      <c r="Q15" s="3">
        <v>6675</v>
      </c>
      <c r="R15" s="3">
        <v>4287</v>
      </c>
      <c r="S15" s="3">
        <v>6376</v>
      </c>
      <c r="T15" s="3">
        <v>4706</v>
      </c>
      <c r="U15" s="3">
        <v>4787</v>
      </c>
      <c r="V15" s="3">
        <v>5660</v>
      </c>
      <c r="W15" s="3">
        <v>4031</v>
      </c>
      <c r="X15" s="3">
        <v>4012</v>
      </c>
      <c r="Y15" s="3"/>
      <c r="Z15" s="3"/>
      <c r="AA15" s="3"/>
      <c r="AB15" s="3"/>
    </row>
    <row r="16" spans="1:42" x14ac:dyDescent="0.55000000000000004">
      <c r="A16" s="2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1"/>
      <c r="L16" s="1"/>
      <c r="N16" s="3">
        <v>4213</v>
      </c>
      <c r="O16" s="3">
        <v>2604</v>
      </c>
      <c r="P16" s="3">
        <v>2650</v>
      </c>
      <c r="Q16" s="3">
        <v>4817</v>
      </c>
      <c r="R16" s="3">
        <v>2563</v>
      </c>
      <c r="S16" s="3">
        <v>3924</v>
      </c>
      <c r="T16" s="3">
        <v>2832</v>
      </c>
      <c r="U16" s="3">
        <v>3273</v>
      </c>
      <c r="V16" s="3">
        <v>2969</v>
      </c>
      <c r="W16" s="3">
        <v>2542</v>
      </c>
      <c r="X16" s="3">
        <v>2256</v>
      </c>
      <c r="Y16" s="3"/>
      <c r="Z16" s="3"/>
      <c r="AA16" s="3"/>
      <c r="AB16" s="3"/>
    </row>
    <row r="17" spans="1:42" x14ac:dyDescent="0.55000000000000004">
      <c r="A17" s="4" t="s">
        <v>21</v>
      </c>
      <c r="B17" s="5">
        <v>2351051</v>
      </c>
      <c r="C17" s="5">
        <v>123855</v>
      </c>
      <c r="D17" s="5">
        <v>76406</v>
      </c>
      <c r="E17" s="5">
        <v>188561</v>
      </c>
      <c r="F17" s="5">
        <v>6711</v>
      </c>
      <c r="G17" s="5">
        <v>5108</v>
      </c>
      <c r="H17" s="5">
        <v>2284234</v>
      </c>
      <c r="I17" s="5">
        <v>118343</v>
      </c>
      <c r="J17" s="5">
        <v>77140</v>
      </c>
      <c r="K17" s="14">
        <v>52.7</v>
      </c>
      <c r="L17" s="14">
        <v>32.5</v>
      </c>
      <c r="N17" s="5">
        <v>323526</v>
      </c>
      <c r="O17" s="5">
        <v>206873</v>
      </c>
      <c r="P17" s="5">
        <v>159436</v>
      </c>
      <c r="Q17" s="5">
        <v>170768</v>
      </c>
      <c r="R17" s="5">
        <v>181548</v>
      </c>
      <c r="S17" s="5">
        <v>179547</v>
      </c>
      <c r="T17" s="5">
        <v>181279</v>
      </c>
      <c r="U17" s="5">
        <v>251599</v>
      </c>
      <c r="V17" s="5">
        <v>171744</v>
      </c>
      <c r="W17" s="5">
        <v>150556</v>
      </c>
      <c r="X17" s="5">
        <v>205806</v>
      </c>
      <c r="Y17" s="5">
        <v>168369</v>
      </c>
      <c r="Z17" s="5"/>
      <c r="AA17" s="5"/>
      <c r="AB17" s="5"/>
      <c r="AD17" s="15">
        <f>SUM(N17:AB17)</f>
        <v>2351051</v>
      </c>
      <c r="AE17" s="15">
        <f>SUM(N18:AB18)</f>
        <v>123855</v>
      </c>
      <c r="AF17" s="15">
        <f>SUM(N19:AB19)</f>
        <v>76406</v>
      </c>
      <c r="AH17" s="15">
        <f>AD17-B17</f>
        <v>0</v>
      </c>
      <c r="AI17" s="15">
        <f>AE17-C17</f>
        <v>0</v>
      </c>
      <c r="AJ17" s="15">
        <f>AF17-D17</f>
        <v>0</v>
      </c>
      <c r="AL17" s="17">
        <f>C17/B17*1000</f>
        <v>52.68069471908521</v>
      </c>
      <c r="AM17" s="17">
        <f>D17/B17*1000</f>
        <v>32.498656983621366</v>
      </c>
      <c r="AO17" s="17">
        <f>AL17-K17</f>
        <v>-1.9305280914792888E-2</v>
      </c>
      <c r="AP17" s="17">
        <f>AM17-L17</f>
        <v>-1.3430163786338767E-3</v>
      </c>
    </row>
    <row r="18" spans="1:42" x14ac:dyDescent="0.55000000000000004">
      <c r="A18" s="2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1"/>
      <c r="L18" s="1"/>
      <c r="N18" s="3">
        <v>17465</v>
      </c>
      <c r="O18" s="3">
        <v>11547</v>
      </c>
      <c r="P18" s="3">
        <v>7690</v>
      </c>
      <c r="Q18" s="3">
        <v>9266</v>
      </c>
      <c r="R18" s="3">
        <v>8194</v>
      </c>
      <c r="S18" s="3">
        <v>9503</v>
      </c>
      <c r="T18" s="3">
        <v>10158</v>
      </c>
      <c r="U18" s="3">
        <v>13381</v>
      </c>
      <c r="V18" s="3">
        <v>9081</v>
      </c>
      <c r="W18" s="3">
        <v>7193</v>
      </c>
      <c r="X18" s="3">
        <v>10679</v>
      </c>
      <c r="Y18" s="3">
        <v>9698</v>
      </c>
      <c r="Z18" s="3"/>
      <c r="AA18" s="3"/>
      <c r="AB18" s="3"/>
    </row>
    <row r="19" spans="1:42" x14ac:dyDescent="0.55000000000000004">
      <c r="A19" s="2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1"/>
      <c r="L19" s="1"/>
      <c r="N19" s="3">
        <v>10460</v>
      </c>
      <c r="O19" s="3">
        <v>7279</v>
      </c>
      <c r="P19" s="3">
        <v>4447</v>
      </c>
      <c r="Q19" s="3">
        <v>6207</v>
      </c>
      <c r="R19" s="3">
        <v>5477</v>
      </c>
      <c r="S19" s="3">
        <v>5591</v>
      </c>
      <c r="T19" s="3">
        <v>5908</v>
      </c>
      <c r="U19" s="3">
        <v>8984</v>
      </c>
      <c r="V19" s="3">
        <v>4422</v>
      </c>
      <c r="W19" s="3">
        <v>4357</v>
      </c>
      <c r="X19" s="3">
        <v>6591</v>
      </c>
      <c r="Y19" s="3">
        <v>6683</v>
      </c>
      <c r="Z19" s="3"/>
      <c r="AA19" s="3"/>
      <c r="AB19" s="3"/>
    </row>
    <row r="20" spans="1:42" x14ac:dyDescent="0.55000000000000004">
      <c r="A20" s="4" t="s">
        <v>24</v>
      </c>
      <c r="B20" s="5">
        <v>1387277</v>
      </c>
      <c r="C20" s="5">
        <v>58222</v>
      </c>
      <c r="D20" s="5">
        <v>38883</v>
      </c>
      <c r="E20" s="5">
        <v>206571</v>
      </c>
      <c r="F20" s="5">
        <v>5527</v>
      </c>
      <c r="G20" s="5">
        <v>4183</v>
      </c>
      <c r="H20" s="5">
        <v>1341959</v>
      </c>
      <c r="I20" s="5">
        <v>55913</v>
      </c>
      <c r="J20" s="5">
        <v>36168</v>
      </c>
      <c r="K20" s="14">
        <v>41.9</v>
      </c>
      <c r="L20" s="14">
        <v>28</v>
      </c>
      <c r="N20" s="5">
        <v>177261</v>
      </c>
      <c r="O20" s="5">
        <v>193337</v>
      </c>
      <c r="P20" s="5">
        <v>165149</v>
      </c>
      <c r="Q20" s="5">
        <v>161090</v>
      </c>
      <c r="R20" s="5">
        <v>134509</v>
      </c>
      <c r="S20" s="5">
        <v>149743</v>
      </c>
      <c r="T20" s="5">
        <v>120656</v>
      </c>
      <c r="U20" s="5">
        <v>197149</v>
      </c>
      <c r="V20" s="5">
        <v>88383</v>
      </c>
      <c r="W20" s="5"/>
      <c r="X20" s="5"/>
      <c r="Y20" s="5"/>
      <c r="Z20" s="5"/>
      <c r="AA20" s="5"/>
      <c r="AB20" s="5"/>
      <c r="AD20" s="15">
        <f>SUM(N20:AB20)</f>
        <v>1387277</v>
      </c>
      <c r="AE20" s="15">
        <f>SUM(N21:AB21)</f>
        <v>58222</v>
      </c>
      <c r="AF20" s="15">
        <f>SUM(N22:AB22)</f>
        <v>38883</v>
      </c>
      <c r="AH20" s="15">
        <f>AD20-B20</f>
        <v>0</v>
      </c>
      <c r="AI20" s="15">
        <f>AE20-C20</f>
        <v>0</v>
      </c>
      <c r="AJ20" s="15">
        <f>AF20-D20</f>
        <v>0</v>
      </c>
      <c r="AL20" s="17">
        <f>C20/B20*1000</f>
        <v>41.96854701692596</v>
      </c>
      <c r="AM20" s="17">
        <f>D20/B20*1000</f>
        <v>28.028288510513761</v>
      </c>
      <c r="AO20" s="17">
        <f>AL20-K20</f>
        <v>6.8547016925961657E-2</v>
      </c>
      <c r="AP20" s="17">
        <f>AM20-L20</f>
        <v>2.8288510513760912E-2</v>
      </c>
    </row>
    <row r="21" spans="1:42" x14ac:dyDescent="0.55000000000000004">
      <c r="A21" s="2" t="s">
        <v>25</v>
      </c>
      <c r="B21" s="3"/>
      <c r="C21" s="3"/>
      <c r="D21" s="3"/>
      <c r="E21" s="3"/>
      <c r="F21" s="3"/>
      <c r="G21" s="3"/>
      <c r="H21" s="3"/>
      <c r="I21" s="3"/>
      <c r="J21" s="3"/>
      <c r="K21" s="1"/>
      <c r="L21" s="1"/>
      <c r="N21" s="3">
        <v>7216</v>
      </c>
      <c r="O21" s="3">
        <v>8091</v>
      </c>
      <c r="P21" s="3">
        <v>6507</v>
      </c>
      <c r="Q21" s="3">
        <v>6080</v>
      </c>
      <c r="R21" s="3">
        <v>5705</v>
      </c>
      <c r="S21" s="3">
        <v>7197</v>
      </c>
      <c r="T21" s="3">
        <v>4871</v>
      </c>
      <c r="U21" s="3">
        <v>8361</v>
      </c>
      <c r="V21" s="3">
        <v>4194</v>
      </c>
      <c r="W21" s="3"/>
      <c r="X21" s="3"/>
      <c r="Y21" s="3"/>
      <c r="Z21" s="3"/>
      <c r="AA21" s="3"/>
      <c r="AB21" s="3"/>
    </row>
    <row r="22" spans="1:42" x14ac:dyDescent="0.55000000000000004">
      <c r="A22" s="2" t="s">
        <v>26</v>
      </c>
      <c r="B22" s="3"/>
      <c r="C22" s="3"/>
      <c r="D22" s="3"/>
      <c r="E22" s="3"/>
      <c r="F22" s="3"/>
      <c r="G22" s="3"/>
      <c r="H22" s="3"/>
      <c r="I22" s="3"/>
      <c r="J22" s="3"/>
      <c r="K22" s="1"/>
      <c r="L22" s="1"/>
      <c r="N22" s="3">
        <v>4653</v>
      </c>
      <c r="O22" s="3">
        <v>5421</v>
      </c>
      <c r="P22" s="3">
        <v>4231</v>
      </c>
      <c r="Q22" s="3">
        <v>3839</v>
      </c>
      <c r="R22" s="3">
        <v>3811</v>
      </c>
      <c r="S22" s="3">
        <v>4316</v>
      </c>
      <c r="T22" s="3">
        <v>4182</v>
      </c>
      <c r="U22" s="3">
        <v>6021</v>
      </c>
      <c r="V22" s="3">
        <v>2409</v>
      </c>
      <c r="W22" s="3"/>
      <c r="X22" s="3"/>
      <c r="Y22" s="3"/>
      <c r="Z22" s="3"/>
      <c r="AA22" s="3"/>
      <c r="AB22" s="3"/>
    </row>
    <row r="23" spans="1:42" x14ac:dyDescent="0.55000000000000004">
      <c r="A23" s="4" t="s">
        <v>27</v>
      </c>
      <c r="B23" s="5">
        <v>3070718</v>
      </c>
      <c r="C23" s="5">
        <v>160666</v>
      </c>
      <c r="D23" s="5">
        <v>109190</v>
      </c>
      <c r="E23" s="5">
        <v>410710</v>
      </c>
      <c r="F23" s="5">
        <v>15280</v>
      </c>
      <c r="G23" s="5">
        <v>10627</v>
      </c>
      <c r="H23" s="5">
        <v>2956565</v>
      </c>
      <c r="I23" s="5">
        <v>154278</v>
      </c>
      <c r="J23" s="5">
        <v>92209</v>
      </c>
      <c r="K23" s="14">
        <v>52.3</v>
      </c>
      <c r="L23" s="14">
        <v>35.5</v>
      </c>
      <c r="N23" s="5">
        <v>427238</v>
      </c>
      <c r="O23" s="5">
        <v>254630</v>
      </c>
      <c r="P23" s="5">
        <v>281055</v>
      </c>
      <c r="Q23" s="5">
        <v>245685</v>
      </c>
      <c r="R23" s="5">
        <v>247189</v>
      </c>
      <c r="S23" s="5">
        <v>202338</v>
      </c>
      <c r="T23" s="5">
        <v>249225</v>
      </c>
      <c r="U23" s="5">
        <v>205441</v>
      </c>
      <c r="V23" s="5">
        <v>204474</v>
      </c>
      <c r="W23" s="5">
        <v>281724</v>
      </c>
      <c r="X23" s="5">
        <v>265807</v>
      </c>
      <c r="Y23" s="5">
        <v>205912</v>
      </c>
      <c r="Z23" s="5"/>
      <c r="AA23" s="5"/>
      <c r="AB23" s="5"/>
      <c r="AD23" s="15">
        <f>SUM(N23:AB23)</f>
        <v>3070718</v>
      </c>
      <c r="AE23" s="15">
        <f>SUM(N24:AB24)</f>
        <v>160666</v>
      </c>
      <c r="AF23" s="15">
        <f>SUM(N25:AB25)</f>
        <v>109190</v>
      </c>
      <c r="AH23" s="15">
        <f>AD23-B23</f>
        <v>0</v>
      </c>
      <c r="AI23" s="15">
        <f>AE23-C23</f>
        <v>0</v>
      </c>
      <c r="AJ23" s="15">
        <f>AF23-D23</f>
        <v>0</v>
      </c>
      <c r="AL23" s="17">
        <f>C23/B23*1000</f>
        <v>52.321965090900562</v>
      </c>
      <c r="AM23" s="17">
        <f>D23/B23*1000</f>
        <v>35.558458966274337</v>
      </c>
      <c r="AO23" s="17">
        <f>AL23-K23</f>
        <v>2.1965090900565087E-2</v>
      </c>
      <c r="AP23" s="17">
        <f>AM23-L23</f>
        <v>5.8458966274336888E-2</v>
      </c>
    </row>
    <row r="24" spans="1:42" x14ac:dyDescent="0.55000000000000004">
      <c r="A24" s="2" t="s">
        <v>28</v>
      </c>
      <c r="B24" s="3"/>
      <c r="C24" s="3"/>
      <c r="D24" s="3"/>
      <c r="E24" s="3"/>
      <c r="F24" s="3"/>
      <c r="G24" s="3"/>
      <c r="H24" s="3"/>
      <c r="I24" s="3"/>
      <c r="J24" s="3"/>
      <c r="K24" s="1"/>
      <c r="L24" s="1"/>
      <c r="N24" s="3">
        <v>20700</v>
      </c>
      <c r="O24" s="3">
        <v>12643</v>
      </c>
      <c r="P24" s="3">
        <v>14541</v>
      </c>
      <c r="Q24" s="3">
        <v>12824</v>
      </c>
      <c r="R24" s="3">
        <v>13031</v>
      </c>
      <c r="S24" s="3">
        <v>9773</v>
      </c>
      <c r="T24" s="3">
        <v>13355</v>
      </c>
      <c r="U24" s="3">
        <v>11317</v>
      </c>
      <c r="V24" s="3">
        <v>11217</v>
      </c>
      <c r="W24" s="3">
        <v>14513</v>
      </c>
      <c r="X24" s="3">
        <v>15199</v>
      </c>
      <c r="Y24" s="3">
        <v>11553</v>
      </c>
      <c r="Z24" s="3"/>
      <c r="AA24" s="3"/>
      <c r="AB24" s="3"/>
    </row>
    <row r="25" spans="1:42" x14ac:dyDescent="0.55000000000000004">
      <c r="A25" s="2" t="s">
        <v>29</v>
      </c>
      <c r="B25" s="3"/>
      <c r="C25" s="3"/>
      <c r="D25" s="3"/>
      <c r="E25" s="3"/>
      <c r="F25" s="3"/>
      <c r="G25" s="3"/>
      <c r="H25" s="3"/>
      <c r="I25" s="3"/>
      <c r="J25" s="3"/>
      <c r="K25" s="1"/>
      <c r="L25" s="1"/>
      <c r="N25" s="3">
        <v>14214</v>
      </c>
      <c r="O25" s="3">
        <v>8234</v>
      </c>
      <c r="P25" s="3">
        <v>9163</v>
      </c>
      <c r="Q25" s="3">
        <v>8564</v>
      </c>
      <c r="R25" s="3">
        <v>10048</v>
      </c>
      <c r="S25" s="3">
        <v>7153</v>
      </c>
      <c r="T25" s="3">
        <v>7497</v>
      </c>
      <c r="U25" s="3">
        <v>6929</v>
      </c>
      <c r="V25" s="3">
        <v>8335</v>
      </c>
      <c r="W25" s="3">
        <v>10280</v>
      </c>
      <c r="X25" s="3">
        <v>10972</v>
      </c>
      <c r="Y25" s="3">
        <v>7801</v>
      </c>
      <c r="Z25" s="3"/>
      <c r="AA25" s="3"/>
      <c r="AB25" s="3"/>
    </row>
    <row r="26" spans="1:42" x14ac:dyDescent="0.55000000000000004">
      <c r="A26" s="4" t="s">
        <v>30</v>
      </c>
      <c r="B26" s="5">
        <v>1567622</v>
      </c>
      <c r="C26" s="5">
        <v>53705</v>
      </c>
      <c r="D26" s="5">
        <v>36835</v>
      </c>
      <c r="E26" s="5">
        <v>142081</v>
      </c>
      <c r="F26" s="5">
        <v>3679</v>
      </c>
      <c r="G26" s="5">
        <v>2907</v>
      </c>
      <c r="H26" s="5">
        <v>1543749</v>
      </c>
      <c r="I26" s="5">
        <v>54372</v>
      </c>
      <c r="J26" s="5">
        <v>37297</v>
      </c>
      <c r="K26" s="14">
        <v>34.200000000000003</v>
      </c>
      <c r="L26" s="14">
        <v>23.5</v>
      </c>
      <c r="N26" s="5">
        <v>219265</v>
      </c>
      <c r="O26" s="5">
        <v>239255</v>
      </c>
      <c r="P26" s="5">
        <v>208492</v>
      </c>
      <c r="Q26" s="5">
        <v>218901</v>
      </c>
      <c r="R26" s="5">
        <v>241485</v>
      </c>
      <c r="S26" s="5">
        <v>192755</v>
      </c>
      <c r="T26" s="5">
        <v>247469</v>
      </c>
      <c r="U26" s="5"/>
      <c r="V26" s="5"/>
      <c r="W26" s="5"/>
      <c r="X26" s="5"/>
      <c r="Y26" s="5"/>
      <c r="Z26" s="5"/>
      <c r="AA26" s="5"/>
      <c r="AB26" s="5"/>
      <c r="AD26" s="15">
        <f>SUM(N26:AB26)</f>
        <v>1567622</v>
      </c>
      <c r="AE26" s="15">
        <f>SUM(N27:AB27)</f>
        <v>53705</v>
      </c>
      <c r="AF26" s="15">
        <f>SUM(N28:AB28)</f>
        <v>36835</v>
      </c>
      <c r="AH26" s="15">
        <f>AD26-B26</f>
        <v>0</v>
      </c>
      <c r="AI26" s="15">
        <f>AE26-C26</f>
        <v>0</v>
      </c>
      <c r="AJ26" s="15">
        <f>AF26-D26</f>
        <v>0</v>
      </c>
      <c r="AL26" s="17">
        <f>C26/B26*1000</f>
        <v>34.258896596245776</v>
      </c>
      <c r="AM26" s="17">
        <f>D26/B26*1000</f>
        <v>23.497373729126025</v>
      </c>
      <c r="AO26" s="17">
        <f>AL26-K26</f>
        <v>5.889659624577348E-2</v>
      </c>
      <c r="AP26" s="17">
        <f>AM26-L26</f>
        <v>-2.6262708739750451E-3</v>
      </c>
    </row>
    <row r="27" spans="1:42" x14ac:dyDescent="0.55000000000000004">
      <c r="A27" s="2" t="s">
        <v>31</v>
      </c>
      <c r="B27" s="3"/>
      <c r="C27" s="3"/>
      <c r="D27" s="3"/>
      <c r="E27" s="3"/>
      <c r="F27" s="3"/>
      <c r="G27" s="3"/>
      <c r="H27" s="3"/>
      <c r="I27" s="3"/>
      <c r="J27" s="3"/>
      <c r="K27" s="1"/>
      <c r="L27" s="1"/>
      <c r="N27" s="3">
        <v>7753</v>
      </c>
      <c r="O27" s="3">
        <v>8117</v>
      </c>
      <c r="P27" s="3">
        <v>6538</v>
      </c>
      <c r="Q27" s="3">
        <v>7664</v>
      </c>
      <c r="R27" s="3">
        <v>8618</v>
      </c>
      <c r="S27" s="3">
        <v>6949</v>
      </c>
      <c r="T27" s="3">
        <v>8066</v>
      </c>
      <c r="U27" s="3"/>
      <c r="V27" s="3"/>
      <c r="W27" s="3"/>
      <c r="X27" s="3"/>
      <c r="Y27" s="3"/>
      <c r="Z27" s="3"/>
      <c r="AA27" s="3"/>
      <c r="AB27" s="3"/>
    </row>
    <row r="28" spans="1:42" x14ac:dyDescent="0.55000000000000004">
      <c r="A28" s="2" t="s">
        <v>32</v>
      </c>
      <c r="B28" s="3"/>
      <c r="C28" s="3"/>
      <c r="D28" s="3"/>
      <c r="E28" s="3"/>
      <c r="F28" s="3"/>
      <c r="G28" s="3"/>
      <c r="H28" s="3"/>
      <c r="I28" s="3"/>
      <c r="J28" s="3"/>
      <c r="K28" s="1"/>
      <c r="L28" s="1"/>
      <c r="N28" s="3">
        <v>4903</v>
      </c>
      <c r="O28" s="3">
        <v>5531</v>
      </c>
      <c r="P28" s="3">
        <v>4743</v>
      </c>
      <c r="Q28" s="3">
        <v>5468</v>
      </c>
      <c r="R28" s="3">
        <v>5966</v>
      </c>
      <c r="S28" s="3">
        <v>4886</v>
      </c>
      <c r="T28" s="3">
        <v>5338</v>
      </c>
      <c r="U28" s="3"/>
      <c r="V28" s="3"/>
      <c r="W28" s="3"/>
      <c r="X28" s="3"/>
      <c r="Y28" s="3"/>
      <c r="Z28" s="3"/>
      <c r="AA28" s="3"/>
      <c r="AB28" s="3"/>
    </row>
    <row r="29" spans="1:42" x14ac:dyDescent="0.55000000000000004">
      <c r="A29" s="4" t="s">
        <v>33</v>
      </c>
      <c r="B29" s="5">
        <v>1751380</v>
      </c>
      <c r="C29" s="5">
        <v>83934</v>
      </c>
      <c r="D29" s="5">
        <v>45759</v>
      </c>
      <c r="E29" s="5">
        <v>244633</v>
      </c>
      <c r="F29" s="5">
        <v>6044</v>
      </c>
      <c r="G29" s="5">
        <v>3783</v>
      </c>
      <c r="H29" s="5">
        <v>1696444</v>
      </c>
      <c r="I29" s="5">
        <v>74958</v>
      </c>
      <c r="J29" s="5">
        <v>42194</v>
      </c>
      <c r="K29" s="14">
        <v>47.9</v>
      </c>
      <c r="L29" s="14">
        <v>26.1</v>
      </c>
      <c r="N29" s="5">
        <v>216339</v>
      </c>
      <c r="O29" s="5">
        <v>219345</v>
      </c>
      <c r="P29" s="5">
        <v>185253</v>
      </c>
      <c r="Q29" s="5">
        <v>187019</v>
      </c>
      <c r="R29" s="5">
        <v>134385</v>
      </c>
      <c r="S29" s="5">
        <v>231330</v>
      </c>
      <c r="T29" s="5">
        <v>199863</v>
      </c>
      <c r="U29" s="5">
        <v>159256</v>
      </c>
      <c r="V29" s="5">
        <v>218590</v>
      </c>
      <c r="W29" s="5"/>
      <c r="X29" s="5"/>
      <c r="Y29" s="5"/>
      <c r="Z29" s="5"/>
      <c r="AA29" s="5"/>
      <c r="AB29" s="5"/>
      <c r="AD29" s="15">
        <f>SUM(N29:AB29)</f>
        <v>1751380</v>
      </c>
      <c r="AE29" s="15">
        <f>SUM(N30:AB30)</f>
        <v>83934</v>
      </c>
      <c r="AF29" s="15">
        <f>SUM(N31:AB31)</f>
        <v>45759</v>
      </c>
      <c r="AH29" s="15">
        <f>AD29-B29</f>
        <v>0</v>
      </c>
      <c r="AI29" s="15">
        <f>AE29-C29</f>
        <v>0</v>
      </c>
      <c r="AJ29" s="15">
        <f>AF29-D29</f>
        <v>0</v>
      </c>
      <c r="AL29" s="17">
        <f>C29/B29*1000</f>
        <v>47.924493827724419</v>
      </c>
      <c r="AM29" s="17">
        <f>D29/B29*1000</f>
        <v>26.127396681474039</v>
      </c>
      <c r="AO29" s="17">
        <f>AL29-K29</f>
        <v>2.4493827724420214E-2</v>
      </c>
      <c r="AP29" s="17">
        <f>AM29-L29</f>
        <v>2.7396681474037621E-2</v>
      </c>
    </row>
    <row r="30" spans="1:42" x14ac:dyDescent="0.55000000000000004">
      <c r="A30" s="2" t="s">
        <v>34</v>
      </c>
      <c r="B30" s="3"/>
      <c r="C30" s="3"/>
      <c r="D30" s="3"/>
      <c r="E30" s="3"/>
      <c r="F30" s="3"/>
      <c r="G30" s="3"/>
      <c r="H30" s="3"/>
      <c r="I30" s="3"/>
      <c r="J30" s="3"/>
      <c r="K30" s="1"/>
      <c r="L30" s="1"/>
      <c r="N30" s="3">
        <v>9283</v>
      </c>
      <c r="O30" s="3">
        <v>10534</v>
      </c>
      <c r="P30" s="3">
        <v>9426</v>
      </c>
      <c r="Q30" s="3">
        <v>9156</v>
      </c>
      <c r="R30" s="3">
        <v>7720</v>
      </c>
      <c r="S30" s="3">
        <v>9668</v>
      </c>
      <c r="T30" s="3">
        <v>9309</v>
      </c>
      <c r="U30" s="3">
        <v>9469</v>
      </c>
      <c r="V30" s="3">
        <v>9369</v>
      </c>
      <c r="W30" s="3"/>
      <c r="X30" s="3"/>
      <c r="Y30" s="3"/>
      <c r="Z30" s="3"/>
      <c r="AA30" s="3"/>
      <c r="AB30" s="3"/>
    </row>
    <row r="31" spans="1:42" x14ac:dyDescent="0.55000000000000004">
      <c r="A31" s="2" t="s">
        <v>35</v>
      </c>
      <c r="B31" s="3"/>
      <c r="C31" s="3"/>
      <c r="D31" s="3"/>
      <c r="E31" s="3"/>
      <c r="F31" s="3"/>
      <c r="G31" s="3"/>
      <c r="H31" s="3"/>
      <c r="I31" s="3"/>
      <c r="J31" s="3"/>
      <c r="K31" s="1"/>
      <c r="L31" s="1"/>
      <c r="N31" s="3">
        <v>4695</v>
      </c>
      <c r="O31" s="3">
        <v>5378</v>
      </c>
      <c r="P31" s="3">
        <v>5173</v>
      </c>
      <c r="Q31" s="3">
        <v>4329</v>
      </c>
      <c r="R31" s="3">
        <v>3904</v>
      </c>
      <c r="S31" s="3">
        <v>6039</v>
      </c>
      <c r="T31" s="3">
        <v>5317</v>
      </c>
      <c r="U31" s="3">
        <v>4858</v>
      </c>
      <c r="V31" s="3">
        <v>6066</v>
      </c>
      <c r="W31" s="3"/>
      <c r="X31" s="3"/>
      <c r="Y31" s="3"/>
      <c r="Z31" s="3"/>
      <c r="AA31" s="3"/>
      <c r="AB31" s="3"/>
    </row>
    <row r="32" spans="1:42" x14ac:dyDescent="0.55000000000000004">
      <c r="A32" s="4" t="s">
        <v>36</v>
      </c>
      <c r="B32" s="5">
        <v>1356116</v>
      </c>
      <c r="C32" s="5">
        <v>67930</v>
      </c>
      <c r="D32" s="5">
        <v>36616</v>
      </c>
      <c r="E32" s="5">
        <v>127657</v>
      </c>
      <c r="F32" s="5">
        <v>3958</v>
      </c>
      <c r="G32" s="5">
        <v>2553</v>
      </c>
      <c r="H32" s="5">
        <v>1310292</v>
      </c>
      <c r="I32" s="5">
        <v>66229</v>
      </c>
      <c r="J32" s="5">
        <v>34554</v>
      </c>
      <c r="K32" s="14">
        <v>50.1</v>
      </c>
      <c r="L32" s="14">
        <v>27</v>
      </c>
      <c r="N32" s="5">
        <v>144977</v>
      </c>
      <c r="O32" s="5">
        <v>95428</v>
      </c>
      <c r="P32" s="5">
        <v>194066</v>
      </c>
      <c r="Q32" s="5">
        <v>97961</v>
      </c>
      <c r="R32" s="5">
        <v>119584</v>
      </c>
      <c r="S32" s="5">
        <v>80035</v>
      </c>
      <c r="T32" s="5">
        <v>123760</v>
      </c>
      <c r="U32" s="5">
        <v>168578</v>
      </c>
      <c r="V32" s="5">
        <v>129447</v>
      </c>
      <c r="W32" s="5">
        <v>74636</v>
      </c>
      <c r="X32" s="5">
        <v>127644</v>
      </c>
      <c r="Y32" s="5"/>
      <c r="Z32" s="5"/>
      <c r="AA32" s="5"/>
      <c r="AB32" s="5"/>
      <c r="AD32" s="15">
        <f>SUM(N32:AB32)</f>
        <v>1356116</v>
      </c>
      <c r="AE32" s="15">
        <f>SUM(N33:AB33)</f>
        <v>67930</v>
      </c>
      <c r="AF32" s="15">
        <f>SUM(N34:AB34)</f>
        <v>36616</v>
      </c>
      <c r="AH32" s="15">
        <f>AD32-B32</f>
        <v>0</v>
      </c>
      <c r="AI32" s="15">
        <f>AE32-C32</f>
        <v>0</v>
      </c>
      <c r="AJ32" s="15">
        <f>AF32-D32</f>
        <v>0</v>
      </c>
      <c r="AL32" s="17">
        <f>C32/B32*1000</f>
        <v>50.09158508564164</v>
      </c>
      <c r="AM32" s="17">
        <f>D32/B32*1000</f>
        <v>27.000640063239427</v>
      </c>
      <c r="AO32" s="17">
        <f>AL32-K32</f>
        <v>-8.4149143583616137E-3</v>
      </c>
      <c r="AP32" s="17">
        <f>AM32-L32</f>
        <v>6.4006323942678023E-4</v>
      </c>
    </row>
    <row r="33" spans="1:42" x14ac:dyDescent="0.55000000000000004">
      <c r="A33" s="2" t="s">
        <v>37</v>
      </c>
      <c r="B33" s="3"/>
      <c r="C33" s="3"/>
      <c r="D33" s="3"/>
      <c r="E33" s="3"/>
      <c r="F33" s="3"/>
      <c r="G33" s="3"/>
      <c r="H33" s="3"/>
      <c r="I33" s="3"/>
      <c r="J33" s="3"/>
      <c r="K33" s="1"/>
      <c r="L33" s="1"/>
      <c r="N33" s="3">
        <v>5563</v>
      </c>
      <c r="O33" s="3">
        <v>5322</v>
      </c>
      <c r="P33" s="3">
        <v>9307</v>
      </c>
      <c r="Q33" s="3">
        <v>5048</v>
      </c>
      <c r="R33" s="3">
        <v>5949</v>
      </c>
      <c r="S33" s="3">
        <v>4138</v>
      </c>
      <c r="T33" s="3">
        <v>7369</v>
      </c>
      <c r="U33" s="3">
        <v>9781</v>
      </c>
      <c r="V33" s="3">
        <v>6426</v>
      </c>
      <c r="W33" s="3">
        <v>3481</v>
      </c>
      <c r="X33" s="3">
        <v>5546</v>
      </c>
      <c r="Y33" s="3"/>
      <c r="Z33" s="3"/>
      <c r="AA33" s="3"/>
      <c r="AB33" s="3"/>
    </row>
    <row r="34" spans="1:42" x14ac:dyDescent="0.55000000000000004">
      <c r="A34" s="2" t="s">
        <v>38</v>
      </c>
      <c r="B34" s="3"/>
      <c r="C34" s="3"/>
      <c r="D34" s="3"/>
      <c r="E34" s="3"/>
      <c r="F34" s="3"/>
      <c r="G34" s="3"/>
      <c r="H34" s="3"/>
      <c r="I34" s="3"/>
      <c r="J34" s="3"/>
      <c r="K34" s="1"/>
      <c r="L34" s="1"/>
      <c r="N34" s="3">
        <v>2961</v>
      </c>
      <c r="O34" s="3">
        <v>2600</v>
      </c>
      <c r="P34" s="3">
        <v>5066</v>
      </c>
      <c r="Q34" s="3">
        <v>3669</v>
      </c>
      <c r="R34" s="3">
        <v>2849</v>
      </c>
      <c r="S34" s="3">
        <v>2557</v>
      </c>
      <c r="T34" s="3">
        <v>3669</v>
      </c>
      <c r="U34" s="3">
        <v>4869</v>
      </c>
      <c r="V34" s="3">
        <v>3422</v>
      </c>
      <c r="W34" s="3">
        <v>1813</v>
      </c>
      <c r="X34" s="3">
        <v>3141</v>
      </c>
      <c r="Y34" s="3"/>
      <c r="Z34" s="3"/>
      <c r="AA34" s="3"/>
      <c r="AB34" s="3"/>
    </row>
    <row r="35" spans="1:42" x14ac:dyDescent="0.55000000000000004">
      <c r="A35" s="4" t="s">
        <v>39</v>
      </c>
      <c r="B35" s="5">
        <v>1369287</v>
      </c>
      <c r="C35" s="5">
        <v>82288</v>
      </c>
      <c r="D35" s="5">
        <v>53448</v>
      </c>
      <c r="E35" s="5">
        <v>117607</v>
      </c>
      <c r="F35" s="5">
        <v>6484</v>
      </c>
      <c r="G35" s="5">
        <v>5290</v>
      </c>
      <c r="H35" s="5">
        <v>1322226</v>
      </c>
      <c r="I35" s="5">
        <v>79542</v>
      </c>
      <c r="J35" s="5">
        <v>53448</v>
      </c>
      <c r="K35" s="14">
        <v>61.1</v>
      </c>
      <c r="L35" s="14">
        <v>39</v>
      </c>
      <c r="N35" s="5">
        <v>474609</v>
      </c>
      <c r="O35" s="5">
        <v>180268</v>
      </c>
      <c r="P35" s="5">
        <v>177629</v>
      </c>
      <c r="Q35" s="5">
        <v>155975</v>
      </c>
      <c r="R35" s="5">
        <v>380806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D35" s="15">
        <f>SUM(N35:AB35)</f>
        <v>1369287</v>
      </c>
      <c r="AE35" s="15">
        <f>SUM(N36:AB36)</f>
        <v>82288</v>
      </c>
      <c r="AF35" s="15">
        <f>SUM(N37:AB37)</f>
        <v>53448</v>
      </c>
      <c r="AH35" s="15">
        <f>AD35-B35</f>
        <v>0</v>
      </c>
      <c r="AI35" s="15">
        <f>AE35-C35</f>
        <v>0</v>
      </c>
      <c r="AJ35" s="15">
        <f>AF35-D35</f>
        <v>0</v>
      </c>
      <c r="AL35" s="17">
        <f>C35/B35*1000</f>
        <v>60.095509560815223</v>
      </c>
      <c r="AM35" s="17">
        <f>D35/B35*1000</f>
        <v>39.033453176726283</v>
      </c>
      <c r="AO35" s="17">
        <f>AL35-K35</f>
        <v>-1.004490439184778</v>
      </c>
      <c r="AP35" s="17">
        <f>AM35-L35</f>
        <v>3.3453176726283118E-2</v>
      </c>
    </row>
    <row r="36" spans="1:42" x14ac:dyDescent="0.55000000000000004">
      <c r="A36" s="2" t="s">
        <v>40</v>
      </c>
      <c r="B36" s="3"/>
      <c r="C36" s="3"/>
      <c r="D36" s="3"/>
      <c r="E36" s="3"/>
      <c r="F36" s="3"/>
      <c r="G36" s="3"/>
      <c r="H36" s="3"/>
      <c r="I36" s="3"/>
      <c r="J36" s="3"/>
      <c r="K36" s="1"/>
      <c r="L36" s="1"/>
      <c r="N36" s="3">
        <v>28127</v>
      </c>
      <c r="O36" s="3">
        <v>10199</v>
      </c>
      <c r="P36" s="3">
        <v>10490</v>
      </c>
      <c r="Q36" s="3">
        <v>10664</v>
      </c>
      <c r="R36" s="3">
        <v>22808</v>
      </c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42" x14ac:dyDescent="0.55000000000000004">
      <c r="A37" s="2" t="s">
        <v>41</v>
      </c>
      <c r="B37" s="3"/>
      <c r="C37" s="3"/>
      <c r="D37" s="3"/>
      <c r="E37" s="3"/>
      <c r="F37" s="3"/>
      <c r="G37" s="3"/>
      <c r="H37" s="3"/>
      <c r="I37" s="3"/>
      <c r="J37" s="3"/>
      <c r="K37" s="1"/>
      <c r="L37" s="1"/>
      <c r="N37" s="3">
        <v>16120</v>
      </c>
      <c r="O37" s="3">
        <v>6739</v>
      </c>
      <c r="P37" s="3">
        <v>5976</v>
      </c>
      <c r="Q37" s="3">
        <v>7236</v>
      </c>
      <c r="R37" s="3">
        <v>17377</v>
      </c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42" x14ac:dyDescent="0.55000000000000004">
      <c r="A38" s="4" t="s">
        <v>42</v>
      </c>
      <c r="B38" s="5">
        <v>2557912</v>
      </c>
      <c r="C38" s="5">
        <v>127960</v>
      </c>
      <c r="D38" s="5">
        <v>82434</v>
      </c>
      <c r="E38" s="5">
        <v>180503</v>
      </c>
      <c r="F38" s="5">
        <v>6563</v>
      </c>
      <c r="G38" s="5">
        <v>4495</v>
      </c>
      <c r="H38" s="5">
        <v>2462095</v>
      </c>
      <c r="I38" s="5">
        <v>122066</v>
      </c>
      <c r="J38" s="5">
        <v>74686</v>
      </c>
      <c r="K38" s="14">
        <v>50</v>
      </c>
      <c r="L38" s="14">
        <v>32.200000000000003</v>
      </c>
      <c r="N38" s="5">
        <v>211239</v>
      </c>
      <c r="O38" s="5">
        <v>312451</v>
      </c>
      <c r="P38" s="5">
        <v>213103</v>
      </c>
      <c r="Q38" s="5">
        <v>197394</v>
      </c>
      <c r="R38" s="5">
        <v>213325</v>
      </c>
      <c r="S38" s="5">
        <v>138346</v>
      </c>
      <c r="T38" s="5">
        <v>182258</v>
      </c>
      <c r="U38" s="5">
        <v>177796</v>
      </c>
      <c r="V38" s="5">
        <v>273994</v>
      </c>
      <c r="W38" s="5">
        <v>241824</v>
      </c>
      <c r="X38" s="5">
        <v>179113</v>
      </c>
      <c r="Y38" s="5">
        <v>217069</v>
      </c>
      <c r="Z38" s="5"/>
      <c r="AA38" s="5"/>
      <c r="AB38" s="5"/>
      <c r="AD38" s="15">
        <f>SUM(N38:AB38)</f>
        <v>2557912</v>
      </c>
      <c r="AE38" s="15">
        <f>SUM(N39:AB39)</f>
        <v>127960</v>
      </c>
      <c r="AF38" s="15">
        <f>SUM(N40:AB40)</f>
        <v>82434</v>
      </c>
      <c r="AH38" s="15">
        <f>AD38-B38</f>
        <v>0</v>
      </c>
      <c r="AI38" s="15">
        <f>AE38-C38</f>
        <v>0</v>
      </c>
      <c r="AJ38" s="15">
        <f>AF38-D38</f>
        <v>0</v>
      </c>
      <c r="AL38" s="17">
        <f>C38/B38*1000</f>
        <v>50.025176784815116</v>
      </c>
      <c r="AM38" s="17">
        <f>D38/B38*1000</f>
        <v>32.227066451074158</v>
      </c>
      <c r="AO38" s="17">
        <f>AL38-K38</f>
        <v>2.5176784815116093E-2</v>
      </c>
      <c r="AP38" s="17">
        <f>AM38-L38</f>
        <v>2.7066451074155395E-2</v>
      </c>
    </row>
    <row r="39" spans="1:42" x14ac:dyDescent="0.55000000000000004">
      <c r="A39" s="2" t="s">
        <v>43</v>
      </c>
      <c r="B39" s="3"/>
      <c r="C39" s="3"/>
      <c r="D39" s="3"/>
      <c r="E39" s="3"/>
      <c r="F39" s="3"/>
      <c r="G39" s="3"/>
      <c r="H39" s="3"/>
      <c r="I39" s="3"/>
      <c r="J39" s="3"/>
      <c r="K39" s="1"/>
      <c r="L39" s="1"/>
      <c r="N39" s="3">
        <v>10895</v>
      </c>
      <c r="O39" s="3">
        <v>18003</v>
      </c>
      <c r="P39" s="3">
        <v>10898</v>
      </c>
      <c r="Q39" s="3">
        <v>10557</v>
      </c>
      <c r="R39" s="3">
        <v>8664</v>
      </c>
      <c r="S39" s="3">
        <v>7606</v>
      </c>
      <c r="T39" s="3">
        <v>9322</v>
      </c>
      <c r="U39" s="3">
        <v>9320</v>
      </c>
      <c r="V39" s="3">
        <v>8930</v>
      </c>
      <c r="W39" s="3">
        <v>12634</v>
      </c>
      <c r="X39" s="3">
        <v>9709</v>
      </c>
      <c r="Y39" s="3">
        <v>11422</v>
      </c>
      <c r="Z39" s="3"/>
      <c r="AA39" s="3"/>
      <c r="AB39" s="3"/>
    </row>
    <row r="40" spans="1:42" x14ac:dyDescent="0.55000000000000004">
      <c r="A40" s="2" t="s">
        <v>44</v>
      </c>
      <c r="B40" s="3"/>
      <c r="C40" s="3"/>
      <c r="D40" s="3"/>
      <c r="E40" s="3"/>
      <c r="F40" s="3"/>
      <c r="G40" s="3"/>
      <c r="H40" s="3"/>
      <c r="I40" s="3"/>
      <c r="J40" s="3"/>
      <c r="K40" s="1"/>
      <c r="L40" s="1"/>
      <c r="N40" s="3">
        <v>7568</v>
      </c>
      <c r="O40" s="3">
        <v>9434</v>
      </c>
      <c r="P40" s="3">
        <v>6690</v>
      </c>
      <c r="Q40" s="3">
        <v>6596</v>
      </c>
      <c r="R40" s="3">
        <v>7170</v>
      </c>
      <c r="S40" s="3">
        <v>4700</v>
      </c>
      <c r="T40" s="3">
        <v>6137</v>
      </c>
      <c r="U40" s="3">
        <v>6495</v>
      </c>
      <c r="V40" s="3">
        <v>5468</v>
      </c>
      <c r="W40" s="3">
        <v>8980</v>
      </c>
      <c r="X40" s="3">
        <v>5751</v>
      </c>
      <c r="Y40" s="3">
        <v>7445</v>
      </c>
      <c r="Z40" s="3"/>
      <c r="AA40" s="3"/>
      <c r="AB40" s="3"/>
    </row>
    <row r="41" spans="1:42" x14ac:dyDescent="0.55000000000000004">
      <c r="A41" s="7" t="s">
        <v>45</v>
      </c>
      <c r="B41" s="8">
        <v>19274857</v>
      </c>
      <c r="C41" s="8">
        <v>922412</v>
      </c>
      <c r="D41" s="8">
        <v>578328</v>
      </c>
      <c r="E41" s="8"/>
      <c r="F41" s="8"/>
      <c r="G41" s="8"/>
      <c r="H41" s="8">
        <v>18793489</v>
      </c>
      <c r="I41" s="8">
        <v>872664</v>
      </c>
      <c r="J41" s="8">
        <v>540603</v>
      </c>
      <c r="K41" s="10">
        <v>48.7</v>
      </c>
      <c r="L41" s="10">
        <v>30.6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D41" s="23">
        <f>SUM(AD2:AD40)</f>
        <v>19274857</v>
      </c>
      <c r="AE41" s="23">
        <f>SUM(AE2:AE40)</f>
        <v>913412</v>
      </c>
      <c r="AF41" s="23">
        <f>SUM(AF2:AF40)</f>
        <v>578328</v>
      </c>
      <c r="AH41" s="23">
        <f>AD41-B41</f>
        <v>0</v>
      </c>
      <c r="AI41" s="23">
        <f>AE41-C41</f>
        <v>-9000</v>
      </c>
      <c r="AJ41" s="23">
        <f>AF41-D41</f>
        <v>0</v>
      </c>
      <c r="AL41" s="24">
        <f>C41/B41*1000</f>
        <v>47.855711718120652</v>
      </c>
      <c r="AM41" s="24">
        <f>D41/B41*1000</f>
        <v>30.004269292373998</v>
      </c>
      <c r="AO41" s="24">
        <f t="shared" ref="AO41:AP43" si="0">AL41-K41</f>
        <v>-0.84428828187935068</v>
      </c>
      <c r="AP41" s="24">
        <f t="shared" si="0"/>
        <v>-0.59573070762600366</v>
      </c>
    </row>
    <row r="42" spans="1:42" x14ac:dyDescent="0.55000000000000004">
      <c r="A42" s="4" t="s">
        <v>46</v>
      </c>
      <c r="B42" s="5">
        <v>445770</v>
      </c>
      <c r="C42" s="5">
        <v>22125</v>
      </c>
      <c r="D42" s="5">
        <v>13049</v>
      </c>
      <c r="E42" s="5"/>
      <c r="F42" s="5"/>
      <c r="G42" s="5"/>
      <c r="H42" s="5">
        <v>446999</v>
      </c>
      <c r="I42" s="5">
        <v>17596</v>
      </c>
      <c r="J42" s="5">
        <v>11886</v>
      </c>
      <c r="K42" s="14">
        <v>49.6</v>
      </c>
      <c r="L42" s="14">
        <v>29.3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D42" s="15">
        <f>B42</f>
        <v>445770</v>
      </c>
      <c r="AE42" s="15">
        <f>C42</f>
        <v>22125</v>
      </c>
      <c r="AF42" s="15">
        <f>D42</f>
        <v>13049</v>
      </c>
      <c r="AG42" s="18"/>
      <c r="AH42" s="18"/>
      <c r="AI42" s="18"/>
      <c r="AJ42" s="18"/>
      <c r="AL42" s="17">
        <f>C42/B42*1000</f>
        <v>49.633218924557504</v>
      </c>
      <c r="AM42" s="17">
        <f>D42/B42*1000</f>
        <v>29.272943446171794</v>
      </c>
      <c r="AO42" s="17">
        <f t="shared" si="0"/>
        <v>3.3218924557502305E-2</v>
      </c>
      <c r="AP42" s="17">
        <f t="shared" si="0"/>
        <v>-2.7056553828206376E-2</v>
      </c>
    </row>
    <row r="43" spans="1:42" x14ac:dyDescent="0.55000000000000004">
      <c r="A43" s="4" t="s">
        <v>47</v>
      </c>
      <c r="B43" s="5">
        <v>983564</v>
      </c>
      <c r="C43" s="5">
        <v>42272</v>
      </c>
      <c r="D43" s="5">
        <v>26734</v>
      </c>
      <c r="E43" s="5">
        <v>52567</v>
      </c>
      <c r="F43" s="5">
        <v>2328</v>
      </c>
      <c r="G43" s="5">
        <v>1350</v>
      </c>
      <c r="H43" s="5">
        <v>1023264</v>
      </c>
      <c r="I43" s="5">
        <v>43227</v>
      </c>
      <c r="J43" s="5">
        <v>24427</v>
      </c>
      <c r="K43" s="14">
        <v>42.9</v>
      </c>
      <c r="L43" s="14">
        <v>27.2</v>
      </c>
      <c r="N43" s="5">
        <v>111259</v>
      </c>
      <c r="O43" s="5">
        <v>84733</v>
      </c>
      <c r="P43" s="5">
        <v>86189</v>
      </c>
      <c r="Q43" s="5">
        <v>102857</v>
      </c>
      <c r="R43" s="5">
        <v>86018</v>
      </c>
      <c r="S43" s="5">
        <v>80931</v>
      </c>
      <c r="T43" s="5">
        <v>85591</v>
      </c>
      <c r="U43" s="5">
        <v>78785</v>
      </c>
      <c r="V43" s="5">
        <v>86350</v>
      </c>
      <c r="W43" s="5">
        <v>61273</v>
      </c>
      <c r="X43" s="5">
        <v>48272</v>
      </c>
      <c r="Y43" s="5">
        <v>71306</v>
      </c>
      <c r="Z43" s="5"/>
      <c r="AA43" s="5"/>
      <c r="AB43" s="5"/>
      <c r="AD43" s="15">
        <f>SUM(N43:AB43)</f>
        <v>983564</v>
      </c>
      <c r="AE43" s="15">
        <f>SUM(N44:AB44)</f>
        <v>42272</v>
      </c>
      <c r="AF43" s="15">
        <f>SUM(N45:AB45)</f>
        <v>26734</v>
      </c>
      <c r="AH43" s="15">
        <f>AD43-B43</f>
        <v>0</v>
      </c>
      <c r="AI43" s="15">
        <f>AE43-C43</f>
        <v>0</v>
      </c>
      <c r="AJ43" s="15">
        <f>AF43-D43</f>
        <v>0</v>
      </c>
      <c r="AL43" s="17">
        <f>C43/B43*1000</f>
        <v>42.978392865131298</v>
      </c>
      <c r="AM43" s="17">
        <f>D43/B43*1000</f>
        <v>27.180742686800251</v>
      </c>
      <c r="AO43" s="17">
        <f t="shared" si="0"/>
        <v>7.8392865131299061E-2</v>
      </c>
      <c r="AP43" s="17">
        <f t="shared" si="0"/>
        <v>-1.9257313199748438E-2</v>
      </c>
    </row>
    <row r="44" spans="1:42" x14ac:dyDescent="0.55000000000000004">
      <c r="A44" s="2" t="s">
        <v>48</v>
      </c>
      <c r="B44" s="3"/>
      <c r="C44" s="3"/>
      <c r="D44" s="3"/>
      <c r="E44" s="3"/>
      <c r="F44" s="3"/>
      <c r="G44" s="3"/>
      <c r="H44" s="3"/>
      <c r="I44" s="3"/>
      <c r="J44" s="3"/>
      <c r="K44" s="1"/>
      <c r="L44" s="1"/>
      <c r="N44" s="3">
        <v>6955</v>
      </c>
      <c r="O44" s="3">
        <v>4262</v>
      </c>
      <c r="P44" s="3">
        <v>3893</v>
      </c>
      <c r="Q44" s="3">
        <v>3255</v>
      </c>
      <c r="R44" s="3">
        <v>3365</v>
      </c>
      <c r="S44" s="3">
        <v>3130</v>
      </c>
      <c r="T44" s="3">
        <v>3453</v>
      </c>
      <c r="U44" s="3">
        <v>3467</v>
      </c>
      <c r="V44" s="3">
        <v>2970</v>
      </c>
      <c r="W44" s="3">
        <v>2400</v>
      </c>
      <c r="X44" s="3">
        <v>1766</v>
      </c>
      <c r="Y44" s="3">
        <v>3356</v>
      </c>
      <c r="Z44" s="3"/>
      <c r="AA44" s="3"/>
      <c r="AB44" s="3"/>
    </row>
    <row r="45" spans="1:42" x14ac:dyDescent="0.55000000000000004">
      <c r="A45" s="2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1"/>
      <c r="L45" s="1"/>
      <c r="N45" s="3">
        <v>4490</v>
      </c>
      <c r="O45" s="3">
        <v>2521</v>
      </c>
      <c r="P45" s="3">
        <v>1783</v>
      </c>
      <c r="Q45" s="3">
        <v>2831</v>
      </c>
      <c r="R45" s="3">
        <v>1810</v>
      </c>
      <c r="S45" s="3">
        <v>2144</v>
      </c>
      <c r="T45" s="3">
        <v>2264</v>
      </c>
      <c r="U45" s="3">
        <v>2525</v>
      </c>
      <c r="V45" s="3">
        <v>2197</v>
      </c>
      <c r="W45" s="3">
        <v>1275</v>
      </c>
      <c r="X45" s="3">
        <v>998</v>
      </c>
      <c r="Y45" s="3">
        <v>1896</v>
      </c>
      <c r="Z45" s="3"/>
      <c r="AA45" s="3"/>
      <c r="AB45" s="3"/>
    </row>
    <row r="46" spans="1:42" x14ac:dyDescent="0.55000000000000004">
      <c r="A46" s="4" t="s">
        <v>50</v>
      </c>
      <c r="B46" s="5">
        <v>863739</v>
      </c>
      <c r="C46" s="5">
        <v>35922</v>
      </c>
      <c r="D46" s="5">
        <v>19730</v>
      </c>
      <c r="E46" s="5">
        <v>65256</v>
      </c>
      <c r="F46" s="5">
        <v>2056</v>
      </c>
      <c r="G46" s="5">
        <v>1470</v>
      </c>
      <c r="H46" s="5">
        <v>840881</v>
      </c>
      <c r="I46" s="5">
        <v>32698</v>
      </c>
      <c r="J46" s="5">
        <v>20821</v>
      </c>
      <c r="K46" s="14">
        <v>41.5</v>
      </c>
      <c r="L46" s="14">
        <v>22.9</v>
      </c>
      <c r="N46" s="5">
        <v>116988</v>
      </c>
      <c r="O46" s="5">
        <v>131945</v>
      </c>
      <c r="P46" s="5">
        <v>102483</v>
      </c>
      <c r="Q46" s="5">
        <v>87530</v>
      </c>
      <c r="R46" s="5">
        <v>114639</v>
      </c>
      <c r="S46" s="5">
        <v>85164</v>
      </c>
      <c r="T46" s="5">
        <v>128183</v>
      </c>
      <c r="U46" s="5">
        <v>96807</v>
      </c>
      <c r="V46" s="5"/>
      <c r="W46" s="5"/>
      <c r="X46" s="5"/>
      <c r="Y46" s="5"/>
      <c r="Z46" s="5"/>
      <c r="AA46" s="5"/>
      <c r="AB46" s="5"/>
      <c r="AD46" s="15">
        <f>SUM(N46:AB46)</f>
        <v>863739</v>
      </c>
      <c r="AE46" s="15">
        <f>SUM(N47:AB47)</f>
        <v>35922</v>
      </c>
      <c r="AF46" s="15">
        <f>SUM(N48:AB48)</f>
        <v>19730</v>
      </c>
      <c r="AH46" s="15">
        <f>AD46-B46</f>
        <v>0</v>
      </c>
      <c r="AI46" s="15">
        <f>AE46-C46</f>
        <v>0</v>
      </c>
      <c r="AJ46" s="15">
        <f>AF46-D46</f>
        <v>0</v>
      </c>
      <c r="AL46" s="17">
        <f>C46/B46*1000</f>
        <v>41.58895221820481</v>
      </c>
      <c r="AM46" s="17">
        <f>D46/B46*1000</f>
        <v>22.842548501341263</v>
      </c>
      <c r="AO46" s="17">
        <f>AL46-K46</f>
        <v>8.8952218204809697E-2</v>
      </c>
      <c r="AP46" s="17">
        <f>AM46-L46</f>
        <v>-5.7451498658736E-2</v>
      </c>
    </row>
    <row r="47" spans="1:42" x14ac:dyDescent="0.55000000000000004">
      <c r="A47" s="2" t="s">
        <v>51</v>
      </c>
      <c r="B47" s="3"/>
      <c r="C47" s="3"/>
      <c r="D47" s="3"/>
      <c r="E47" s="3"/>
      <c r="F47" s="3"/>
      <c r="G47" s="3"/>
      <c r="H47" s="3"/>
      <c r="I47" s="3"/>
      <c r="J47" s="3"/>
      <c r="K47" s="1"/>
      <c r="L47" s="1"/>
      <c r="N47" s="3">
        <v>4307</v>
      </c>
      <c r="O47" s="3">
        <v>4903</v>
      </c>
      <c r="P47" s="3">
        <v>3652</v>
      </c>
      <c r="Q47" s="3">
        <v>3595</v>
      </c>
      <c r="R47" s="3">
        <v>4079</v>
      </c>
      <c r="S47" s="3">
        <v>3820</v>
      </c>
      <c r="T47" s="3">
        <v>7703</v>
      </c>
      <c r="U47" s="3">
        <v>3863</v>
      </c>
      <c r="V47" s="3"/>
      <c r="W47" s="3"/>
      <c r="X47" s="3"/>
      <c r="Y47" s="3"/>
      <c r="Z47" s="3"/>
      <c r="AA47" s="3"/>
      <c r="AB47" s="3"/>
    </row>
    <row r="48" spans="1:42" x14ac:dyDescent="0.55000000000000004">
      <c r="A48" s="2" t="s">
        <v>52</v>
      </c>
      <c r="B48" s="3"/>
      <c r="C48" s="3"/>
      <c r="D48" s="3"/>
      <c r="E48" s="3"/>
      <c r="F48" s="3"/>
      <c r="G48" s="3"/>
      <c r="H48" s="3"/>
      <c r="I48" s="3"/>
      <c r="J48" s="3"/>
      <c r="K48" s="1"/>
      <c r="L48" s="1"/>
      <c r="N48" s="3">
        <v>2551</v>
      </c>
      <c r="O48" s="3">
        <v>2760</v>
      </c>
      <c r="P48" s="3">
        <v>2068</v>
      </c>
      <c r="Q48" s="3">
        <v>2263</v>
      </c>
      <c r="R48" s="3">
        <v>2171</v>
      </c>
      <c r="S48" s="3">
        <v>2040</v>
      </c>
      <c r="T48" s="3">
        <v>3778</v>
      </c>
      <c r="U48" s="3">
        <v>2099</v>
      </c>
      <c r="V48" s="3"/>
      <c r="W48" s="3"/>
      <c r="X48" s="3"/>
      <c r="Y48" s="3"/>
      <c r="Z48" s="3"/>
      <c r="AA48" s="3"/>
      <c r="AB48" s="3"/>
    </row>
    <row r="49" spans="1:42" x14ac:dyDescent="0.55000000000000004">
      <c r="A49" s="4" t="s">
        <v>53</v>
      </c>
      <c r="B49" s="5">
        <v>719165</v>
      </c>
      <c r="C49" s="5">
        <v>28372</v>
      </c>
      <c r="D49" s="5">
        <v>14907</v>
      </c>
      <c r="E49" s="5">
        <v>46636</v>
      </c>
      <c r="F49" s="5">
        <v>1544</v>
      </c>
      <c r="G49" s="5">
        <v>836</v>
      </c>
      <c r="H49" s="5">
        <v>699594</v>
      </c>
      <c r="I49" s="5">
        <v>28404</v>
      </c>
      <c r="J49" s="5">
        <v>15159</v>
      </c>
      <c r="K49" s="14">
        <v>39.5</v>
      </c>
      <c r="L49" s="14">
        <v>20.7</v>
      </c>
      <c r="N49" s="5">
        <v>120765</v>
      </c>
      <c r="O49" s="5">
        <v>76432</v>
      </c>
      <c r="P49" s="5">
        <v>80263</v>
      </c>
      <c r="Q49" s="5">
        <v>104698</v>
      </c>
      <c r="R49" s="5">
        <v>112067</v>
      </c>
      <c r="S49" s="5">
        <v>100649</v>
      </c>
      <c r="T49" s="5">
        <v>124291</v>
      </c>
      <c r="U49" s="5"/>
      <c r="V49" s="5"/>
      <c r="W49" s="5"/>
      <c r="X49" s="5"/>
      <c r="Y49" s="5"/>
      <c r="Z49" s="5"/>
      <c r="AA49" s="5"/>
      <c r="AB49" s="5"/>
      <c r="AD49" s="15">
        <f>SUM(N49:AB49)</f>
        <v>719165</v>
      </c>
      <c r="AE49" s="15">
        <f>SUM(N50:AB50)</f>
        <v>28372</v>
      </c>
      <c r="AF49" s="15">
        <f>SUM(N51:AB51)</f>
        <v>14907</v>
      </c>
      <c r="AH49" s="15">
        <f>AD49-B49</f>
        <v>0</v>
      </c>
      <c r="AI49" s="15">
        <f>AE49-C49</f>
        <v>0</v>
      </c>
      <c r="AJ49" s="15">
        <f>AF49-D49</f>
        <v>0</v>
      </c>
      <c r="AL49" s="17">
        <f>C49/B49*1000</f>
        <v>39.451308114271406</v>
      </c>
      <c r="AM49" s="17">
        <f>D49/B49*1000</f>
        <v>20.728205627359507</v>
      </c>
      <c r="AO49" s="17">
        <f>AL49-K49</f>
        <v>-4.8691885728594286E-2</v>
      </c>
      <c r="AP49" s="17">
        <f>AM49-L49</f>
        <v>2.8205627359508156E-2</v>
      </c>
    </row>
    <row r="50" spans="1:42" x14ac:dyDescent="0.55000000000000004">
      <c r="A50" s="2" t="s">
        <v>54</v>
      </c>
      <c r="B50" s="3"/>
      <c r="C50" s="3"/>
      <c r="D50" s="3"/>
      <c r="E50" s="3"/>
      <c r="F50" s="3"/>
      <c r="G50" s="3"/>
      <c r="H50" s="3"/>
      <c r="I50" s="3"/>
      <c r="J50" s="3"/>
      <c r="K50" s="1"/>
      <c r="L50" s="1"/>
      <c r="N50" s="3">
        <v>4454</v>
      </c>
      <c r="O50" s="3">
        <v>2815</v>
      </c>
      <c r="P50" s="3">
        <v>3773</v>
      </c>
      <c r="Q50" s="3">
        <v>4578</v>
      </c>
      <c r="R50" s="3">
        <v>4029</v>
      </c>
      <c r="S50" s="3">
        <v>3799</v>
      </c>
      <c r="T50" s="3">
        <v>4924</v>
      </c>
      <c r="U50" s="3"/>
      <c r="V50" s="3"/>
      <c r="W50" s="3"/>
      <c r="X50" s="3"/>
      <c r="Y50" s="3"/>
      <c r="Z50" s="3"/>
      <c r="AA50" s="3"/>
      <c r="AB50" s="3"/>
    </row>
    <row r="51" spans="1:42" x14ac:dyDescent="0.55000000000000004">
      <c r="A51" s="2" t="s">
        <v>55</v>
      </c>
      <c r="B51" s="3"/>
      <c r="C51" s="3"/>
      <c r="D51" s="3"/>
      <c r="E51" s="3"/>
      <c r="F51" s="3"/>
      <c r="G51" s="3"/>
      <c r="H51" s="3"/>
      <c r="I51" s="3"/>
      <c r="J51" s="3"/>
      <c r="K51" s="1"/>
      <c r="L51" s="1"/>
      <c r="N51" s="3">
        <v>2662</v>
      </c>
      <c r="O51" s="3">
        <v>1487</v>
      </c>
      <c r="P51" s="3">
        <v>1843</v>
      </c>
      <c r="Q51" s="3">
        <v>1986</v>
      </c>
      <c r="R51" s="3">
        <v>2135</v>
      </c>
      <c r="S51" s="3">
        <v>2127</v>
      </c>
      <c r="T51" s="3">
        <v>2667</v>
      </c>
      <c r="U51" s="3"/>
      <c r="V51" s="3"/>
      <c r="W51" s="3"/>
      <c r="X51" s="3"/>
      <c r="Y51" s="3"/>
      <c r="Z51" s="3"/>
      <c r="AA51" s="3"/>
      <c r="AB51" s="3"/>
    </row>
    <row r="52" spans="1:42" x14ac:dyDescent="0.55000000000000004">
      <c r="A52" s="4" t="s">
        <v>56</v>
      </c>
      <c r="B52" s="5">
        <v>638046</v>
      </c>
      <c r="C52" s="5">
        <v>26560</v>
      </c>
      <c r="D52" s="5">
        <v>18439</v>
      </c>
      <c r="E52" s="5">
        <v>62684</v>
      </c>
      <c r="F52" s="5">
        <v>2775</v>
      </c>
      <c r="G52" s="5">
        <v>2088</v>
      </c>
      <c r="H52" s="5">
        <v>610240</v>
      </c>
      <c r="I52" s="5">
        <v>24193</v>
      </c>
      <c r="J52" s="5">
        <v>17136</v>
      </c>
      <c r="K52" s="14">
        <v>41.6</v>
      </c>
      <c r="L52" s="14">
        <v>28.9</v>
      </c>
      <c r="N52" s="5">
        <v>98501</v>
      </c>
      <c r="O52" s="5">
        <v>76722</v>
      </c>
      <c r="P52" s="5">
        <v>75463</v>
      </c>
      <c r="Q52" s="5">
        <v>58390</v>
      </c>
      <c r="R52" s="5">
        <v>91097</v>
      </c>
      <c r="S52" s="5">
        <v>76118</v>
      </c>
      <c r="T52" s="5">
        <v>99616</v>
      </c>
      <c r="U52" s="5">
        <v>62139</v>
      </c>
      <c r="V52" s="5"/>
      <c r="W52" s="5"/>
      <c r="X52" s="5"/>
      <c r="Y52" s="5"/>
      <c r="Z52" s="5"/>
      <c r="AA52" s="5"/>
      <c r="AB52" s="5"/>
      <c r="AD52" s="15">
        <f>SUM(N52:AB52)</f>
        <v>638046</v>
      </c>
      <c r="AE52" s="15">
        <f>SUM(N53:AB53)</f>
        <v>26560</v>
      </c>
      <c r="AF52" s="15">
        <f>SUM(N54:AB54)</f>
        <v>18439</v>
      </c>
      <c r="AH52" s="15">
        <f>AD52-B52</f>
        <v>0</v>
      </c>
      <c r="AI52" s="15">
        <f>AE52-C52</f>
        <v>0</v>
      </c>
      <c r="AJ52" s="15">
        <f>AF52-D52</f>
        <v>0</v>
      </c>
      <c r="AL52" s="17">
        <f>C52/B52*1000</f>
        <v>41.627092717452975</v>
      </c>
      <c r="AM52" s="17">
        <f>D52/B52*1000</f>
        <v>28.899170279258861</v>
      </c>
      <c r="AO52" s="17">
        <f>AL52-K52</f>
        <v>2.7092717452973147E-2</v>
      </c>
      <c r="AP52" s="17">
        <f>AM52-L52</f>
        <v>-8.2972074113740746E-4</v>
      </c>
    </row>
    <row r="53" spans="1:42" x14ac:dyDescent="0.55000000000000004">
      <c r="A53" s="2" t="s">
        <v>57</v>
      </c>
      <c r="B53" s="3"/>
      <c r="C53" s="3"/>
      <c r="D53" s="3"/>
      <c r="E53" s="3"/>
      <c r="F53" s="3"/>
      <c r="G53" s="3"/>
      <c r="H53" s="3"/>
      <c r="I53" s="3"/>
      <c r="J53" s="3"/>
      <c r="K53" s="1"/>
      <c r="L53" s="1"/>
      <c r="N53" s="3">
        <v>4317</v>
      </c>
      <c r="O53" s="3">
        <v>3374</v>
      </c>
      <c r="P53" s="3">
        <v>2723</v>
      </c>
      <c r="Q53" s="3">
        <v>2577</v>
      </c>
      <c r="R53" s="3">
        <v>3391</v>
      </c>
      <c r="S53" s="3">
        <v>3069</v>
      </c>
      <c r="T53" s="3">
        <v>4459</v>
      </c>
      <c r="U53" s="3">
        <v>2650</v>
      </c>
      <c r="V53" s="3"/>
      <c r="W53" s="3"/>
      <c r="X53" s="3"/>
      <c r="Y53" s="3"/>
      <c r="Z53" s="3"/>
      <c r="AA53" s="3"/>
      <c r="AB53" s="3"/>
    </row>
    <row r="54" spans="1:42" x14ac:dyDescent="0.55000000000000004">
      <c r="A54" s="2" t="s">
        <v>58</v>
      </c>
      <c r="B54" s="3"/>
      <c r="C54" s="3"/>
      <c r="D54" s="3"/>
      <c r="E54" s="3"/>
      <c r="F54" s="3"/>
      <c r="G54" s="3"/>
      <c r="H54" s="3"/>
      <c r="I54" s="3"/>
      <c r="J54" s="3"/>
      <c r="K54" s="1"/>
      <c r="L54" s="1"/>
      <c r="N54" s="3">
        <v>3335</v>
      </c>
      <c r="O54" s="3">
        <v>2155</v>
      </c>
      <c r="P54" s="3">
        <v>2366</v>
      </c>
      <c r="Q54" s="3">
        <v>1645</v>
      </c>
      <c r="R54" s="3">
        <v>2134</v>
      </c>
      <c r="S54" s="3">
        <v>2063</v>
      </c>
      <c r="T54" s="3">
        <v>3124</v>
      </c>
      <c r="U54" s="3">
        <v>1617</v>
      </c>
      <c r="V54" s="3"/>
      <c r="W54" s="3"/>
      <c r="X54" s="3"/>
      <c r="Y54" s="3"/>
      <c r="Z54" s="3"/>
      <c r="AA54" s="3"/>
      <c r="AB54" s="3"/>
    </row>
    <row r="55" spans="1:42" x14ac:dyDescent="0.55000000000000004">
      <c r="A55" s="4" t="s">
        <v>59</v>
      </c>
      <c r="B55" s="5">
        <v>1049686</v>
      </c>
      <c r="C55" s="5">
        <v>41335</v>
      </c>
      <c r="D55" s="5">
        <v>25789</v>
      </c>
      <c r="E55" s="5">
        <v>126970</v>
      </c>
      <c r="F55" s="5">
        <v>3013</v>
      </c>
      <c r="G55" s="5">
        <v>2607</v>
      </c>
      <c r="H55" s="5">
        <v>1048091</v>
      </c>
      <c r="I55" s="5">
        <v>41513</v>
      </c>
      <c r="J55" s="5">
        <v>24847</v>
      </c>
      <c r="K55" s="14">
        <v>39.299999999999997</v>
      </c>
      <c r="L55" s="14">
        <v>24.7</v>
      </c>
      <c r="N55" s="5">
        <v>152950</v>
      </c>
      <c r="O55" s="5">
        <v>96479</v>
      </c>
      <c r="P55" s="5">
        <v>96794</v>
      </c>
      <c r="Q55" s="5">
        <v>103405</v>
      </c>
      <c r="R55" s="5">
        <v>91375</v>
      </c>
      <c r="S55" s="5">
        <v>86506</v>
      </c>
      <c r="T55" s="5">
        <v>115682</v>
      </c>
      <c r="U55" s="5">
        <v>88689</v>
      </c>
      <c r="V55" s="5">
        <v>119011</v>
      </c>
      <c r="W55" s="5">
        <v>98795</v>
      </c>
      <c r="X55" s="5"/>
      <c r="Y55" s="5"/>
      <c r="Z55" s="5"/>
      <c r="AA55" s="5"/>
      <c r="AB55" s="5"/>
      <c r="AD55" s="15">
        <f>SUM(N55:AB55)</f>
        <v>1049686</v>
      </c>
      <c r="AE55" s="15">
        <f>SUM(N56:AB56)</f>
        <v>41335</v>
      </c>
      <c r="AF55" s="15">
        <f>SUM(N57:AB57)</f>
        <v>25689</v>
      </c>
      <c r="AH55" s="15">
        <f>AD55-B55</f>
        <v>0</v>
      </c>
      <c r="AI55" s="15">
        <f>AE55-C55</f>
        <v>0</v>
      </c>
      <c r="AJ55" s="15">
        <f>AF55-D55</f>
        <v>-100</v>
      </c>
      <c r="AL55" s="17">
        <f>C55/B55*1000</f>
        <v>39.378442696196764</v>
      </c>
      <c r="AM55" s="17">
        <f>D55/B55*1000</f>
        <v>24.568299472413656</v>
      </c>
      <c r="AO55" s="17">
        <f>AL55-K55</f>
        <v>7.8442696196766803E-2</v>
      </c>
      <c r="AP55" s="17">
        <f>AM55-L55</f>
        <v>-0.13170052758634299</v>
      </c>
    </row>
    <row r="56" spans="1:42" x14ac:dyDescent="0.55000000000000004">
      <c r="A56" s="2" t="s">
        <v>60</v>
      </c>
      <c r="B56" s="3"/>
      <c r="C56" s="3"/>
      <c r="D56" s="3"/>
      <c r="E56" s="3"/>
      <c r="F56" s="3"/>
      <c r="G56" s="3"/>
      <c r="H56" s="3"/>
      <c r="I56" s="3"/>
      <c r="J56" s="3"/>
      <c r="K56" s="1"/>
      <c r="L56" s="1"/>
      <c r="N56" s="3">
        <v>5001</v>
      </c>
      <c r="O56" s="3">
        <v>4010</v>
      </c>
      <c r="P56" s="3">
        <v>3075</v>
      </c>
      <c r="Q56" s="3">
        <v>4073</v>
      </c>
      <c r="R56" s="3">
        <v>3379</v>
      </c>
      <c r="S56" s="3">
        <v>3539</v>
      </c>
      <c r="T56" s="3">
        <v>4983</v>
      </c>
      <c r="U56" s="3">
        <v>4195</v>
      </c>
      <c r="V56" s="3">
        <v>4895</v>
      </c>
      <c r="W56" s="3">
        <v>4185</v>
      </c>
      <c r="X56" s="3"/>
      <c r="Y56" s="3"/>
      <c r="Z56" s="3"/>
      <c r="AA56" s="3"/>
      <c r="AB56" s="3"/>
    </row>
    <row r="57" spans="1:42" x14ac:dyDescent="0.55000000000000004">
      <c r="A57" s="2" t="s">
        <v>61</v>
      </c>
      <c r="B57" s="3"/>
      <c r="C57" s="3"/>
      <c r="D57" s="3"/>
      <c r="E57" s="3"/>
      <c r="F57" s="3"/>
      <c r="G57" s="3"/>
      <c r="H57" s="3"/>
      <c r="I57" s="3"/>
      <c r="J57" s="3"/>
      <c r="K57" s="1"/>
      <c r="L57" s="1"/>
      <c r="N57" s="3">
        <v>3796</v>
      </c>
      <c r="O57" s="3">
        <v>1873</v>
      </c>
      <c r="P57" s="3">
        <v>2020</v>
      </c>
      <c r="Q57" s="3">
        <v>2413</v>
      </c>
      <c r="R57" s="3">
        <v>2355</v>
      </c>
      <c r="S57" s="3">
        <v>2429</v>
      </c>
      <c r="T57" s="3">
        <v>2382</v>
      </c>
      <c r="U57" s="3">
        <v>3001</v>
      </c>
      <c r="V57" s="3">
        <v>2982</v>
      </c>
      <c r="W57" s="3">
        <v>2438</v>
      </c>
      <c r="X57" s="3"/>
      <c r="Y57" s="3"/>
      <c r="Z57" s="3"/>
      <c r="AA57" s="3"/>
      <c r="AB57" s="3"/>
    </row>
    <row r="58" spans="1:42" x14ac:dyDescent="0.55000000000000004">
      <c r="A58" s="4" t="s">
        <v>62</v>
      </c>
      <c r="B58" s="5">
        <v>1182675</v>
      </c>
      <c r="C58" s="5">
        <v>35879</v>
      </c>
      <c r="D58" s="5">
        <v>20864</v>
      </c>
      <c r="E58" s="5">
        <v>22166</v>
      </c>
      <c r="F58" s="5">
        <v>5181</v>
      </c>
      <c r="G58" s="5">
        <v>3520</v>
      </c>
      <c r="H58" s="5">
        <v>1118975</v>
      </c>
      <c r="I58" s="5">
        <v>43324</v>
      </c>
      <c r="J58" s="5">
        <v>24583</v>
      </c>
      <c r="K58" s="14">
        <v>30.3</v>
      </c>
      <c r="L58" s="14">
        <v>17.600000000000001</v>
      </c>
      <c r="N58" s="5">
        <v>164696</v>
      </c>
      <c r="O58" s="5">
        <v>172453</v>
      </c>
      <c r="P58" s="5">
        <v>106614</v>
      </c>
      <c r="Q58" s="5">
        <v>117646</v>
      </c>
      <c r="R58" s="5">
        <v>264524</v>
      </c>
      <c r="S58" s="5">
        <v>135882</v>
      </c>
      <c r="T58" s="5">
        <v>76375</v>
      </c>
      <c r="U58" s="5">
        <v>144485</v>
      </c>
      <c r="V58" s="5"/>
      <c r="W58" s="5"/>
      <c r="X58" s="5"/>
      <c r="Y58" s="5"/>
      <c r="Z58" s="5"/>
      <c r="AA58" s="5"/>
      <c r="AB58" s="5"/>
      <c r="AD58" s="15">
        <f>SUM(N58:AB58)</f>
        <v>1182675</v>
      </c>
      <c r="AE58" s="15">
        <f>SUM(N59:AB59)</f>
        <v>35879</v>
      </c>
      <c r="AF58" s="15">
        <f>SUM(N60:AB60)</f>
        <v>20864</v>
      </c>
      <c r="AH58" s="15">
        <f>AD58-B58</f>
        <v>0</v>
      </c>
      <c r="AI58" s="15">
        <f>AE58-C58</f>
        <v>0</v>
      </c>
      <c r="AJ58" s="15">
        <f>AF58-D58</f>
        <v>0</v>
      </c>
      <c r="AL58" s="17">
        <f>C58/B58*1000</f>
        <v>30.337159405584796</v>
      </c>
      <c r="AM58" s="17">
        <f>D58/B58*1000</f>
        <v>17.641363857357263</v>
      </c>
      <c r="AO58" s="17">
        <f>AL58-K58</f>
        <v>3.7159405584795024E-2</v>
      </c>
      <c r="AP58" s="17">
        <f>AM58-L58</f>
        <v>4.1363857357261224E-2</v>
      </c>
    </row>
    <row r="59" spans="1:42" x14ac:dyDescent="0.55000000000000004">
      <c r="A59" s="2" t="s">
        <v>63</v>
      </c>
      <c r="B59" s="3"/>
      <c r="C59" s="3"/>
      <c r="D59" s="3"/>
      <c r="E59" s="3"/>
      <c r="F59" s="3"/>
      <c r="G59" s="3"/>
      <c r="H59" s="3"/>
      <c r="I59" s="3"/>
      <c r="J59" s="3"/>
      <c r="K59" s="1"/>
      <c r="L59" s="1"/>
      <c r="N59" s="3">
        <v>5025</v>
      </c>
      <c r="O59" s="3">
        <v>4869</v>
      </c>
      <c r="P59" s="3">
        <v>3073</v>
      </c>
      <c r="Q59" s="3">
        <v>4103</v>
      </c>
      <c r="R59" s="3">
        <v>6599</v>
      </c>
      <c r="S59" s="3">
        <v>4300</v>
      </c>
      <c r="T59" s="3">
        <v>2700</v>
      </c>
      <c r="U59" s="3">
        <v>5210</v>
      </c>
      <c r="V59" s="3"/>
      <c r="W59" s="3"/>
      <c r="X59" s="3"/>
      <c r="Y59" s="3"/>
      <c r="Z59" s="3"/>
      <c r="AA59" s="3"/>
      <c r="AB59" s="3"/>
    </row>
    <row r="60" spans="1:42" x14ac:dyDescent="0.55000000000000004">
      <c r="A60" s="2" t="s">
        <v>64</v>
      </c>
      <c r="B60" s="3"/>
      <c r="C60" s="3"/>
      <c r="D60" s="3"/>
      <c r="E60" s="3"/>
      <c r="F60" s="3"/>
      <c r="G60" s="3"/>
      <c r="H60" s="3"/>
      <c r="I60" s="3"/>
      <c r="J60" s="3"/>
      <c r="K60" s="1"/>
      <c r="L60" s="1"/>
      <c r="N60" s="3">
        <v>2944</v>
      </c>
      <c r="O60" s="3">
        <v>2955</v>
      </c>
      <c r="P60" s="3">
        <v>1679</v>
      </c>
      <c r="Q60" s="3">
        <v>2156</v>
      </c>
      <c r="R60" s="3">
        <v>3990</v>
      </c>
      <c r="S60" s="3">
        <v>2568</v>
      </c>
      <c r="T60" s="3">
        <v>1299</v>
      </c>
      <c r="U60" s="3">
        <v>3273</v>
      </c>
      <c r="V60" s="3"/>
      <c r="W60" s="3"/>
      <c r="X60" s="3"/>
      <c r="Y60" s="3"/>
      <c r="Z60" s="3"/>
      <c r="AA60" s="3"/>
      <c r="AB60" s="3"/>
    </row>
    <row r="61" spans="1:42" x14ac:dyDescent="0.55000000000000004">
      <c r="A61" s="4" t="s">
        <v>65</v>
      </c>
      <c r="B61" s="5">
        <v>651967</v>
      </c>
      <c r="C61" s="5">
        <v>24201</v>
      </c>
      <c r="D61" s="5">
        <v>14863</v>
      </c>
      <c r="E61" s="5">
        <v>21088</v>
      </c>
      <c r="F61" s="5">
        <v>726</v>
      </c>
      <c r="G61" s="5">
        <v>615</v>
      </c>
      <c r="H61" s="5">
        <v>606492</v>
      </c>
      <c r="I61" s="5">
        <v>25032</v>
      </c>
      <c r="J61" s="5">
        <v>15131</v>
      </c>
      <c r="K61" s="14">
        <v>37.1</v>
      </c>
      <c r="L61" s="14">
        <v>23</v>
      </c>
      <c r="N61" s="5">
        <v>97257</v>
      </c>
      <c r="O61" s="5">
        <v>97733</v>
      </c>
      <c r="P61" s="5">
        <v>86463</v>
      </c>
      <c r="Q61" s="5">
        <v>106462</v>
      </c>
      <c r="R61" s="5">
        <v>58307</v>
      </c>
      <c r="S61" s="5">
        <v>69690</v>
      </c>
      <c r="T61" s="5">
        <v>67365</v>
      </c>
      <c r="U61" s="5">
        <v>68690</v>
      </c>
      <c r="V61" s="5"/>
      <c r="W61" s="5"/>
      <c r="X61" s="5"/>
      <c r="Y61" s="5"/>
      <c r="Z61" s="5"/>
      <c r="AA61" s="5"/>
      <c r="AB61" s="5"/>
      <c r="AD61" s="15">
        <f>SUM(N61:AB61)</f>
        <v>651967</v>
      </c>
      <c r="AE61" s="15">
        <f>SUM(N62:AB62)</f>
        <v>24201</v>
      </c>
      <c r="AF61" s="15">
        <f>SUM(N63:AB63)</f>
        <v>14963</v>
      </c>
      <c r="AH61" s="15">
        <f>AD61-B61</f>
        <v>0</v>
      </c>
      <c r="AI61" s="15">
        <f>AE61-C61</f>
        <v>0</v>
      </c>
      <c r="AJ61" s="15">
        <f>AF61-D61</f>
        <v>100</v>
      </c>
      <c r="AL61" s="17">
        <f>C61/B61*1000</f>
        <v>37.119976931347757</v>
      </c>
      <c r="AM61" s="17">
        <f>D61/B61*1000</f>
        <v>22.797166114235843</v>
      </c>
      <c r="AO61" s="17">
        <f>AL61-K61</f>
        <v>1.9976931347756022E-2</v>
      </c>
      <c r="AP61" s="17">
        <f>AM61-L61</f>
        <v>-0.20283388576415717</v>
      </c>
    </row>
    <row r="62" spans="1:42" x14ac:dyDescent="0.55000000000000004">
      <c r="A62" s="2" t="s">
        <v>66</v>
      </c>
      <c r="B62" s="3"/>
      <c r="C62" s="3"/>
      <c r="D62" s="3"/>
      <c r="E62" s="3"/>
      <c r="F62" s="3"/>
      <c r="G62" s="3"/>
      <c r="H62" s="3"/>
      <c r="I62" s="3"/>
      <c r="J62" s="3"/>
      <c r="K62" s="1"/>
      <c r="L62" s="1"/>
      <c r="N62" s="3">
        <v>3447</v>
      </c>
      <c r="O62" s="3">
        <v>3019</v>
      </c>
      <c r="P62" s="3">
        <v>3842</v>
      </c>
      <c r="Q62" s="3">
        <v>3543</v>
      </c>
      <c r="R62" s="3">
        <v>2617</v>
      </c>
      <c r="S62" s="3">
        <v>2238</v>
      </c>
      <c r="T62" s="3">
        <v>2768</v>
      </c>
      <c r="U62" s="3">
        <v>2727</v>
      </c>
      <c r="V62" s="3"/>
      <c r="W62" s="3"/>
      <c r="X62" s="3"/>
      <c r="Y62" s="3"/>
      <c r="Z62" s="3"/>
      <c r="AA62" s="3"/>
      <c r="AB62" s="3"/>
    </row>
    <row r="63" spans="1:42" x14ac:dyDescent="0.55000000000000004">
      <c r="A63" s="2" t="s">
        <v>67</v>
      </c>
      <c r="B63" s="3"/>
      <c r="C63" s="3"/>
      <c r="D63" s="3"/>
      <c r="E63" s="3"/>
      <c r="F63" s="3"/>
      <c r="G63" s="3"/>
      <c r="H63" s="3"/>
      <c r="I63" s="3"/>
      <c r="J63" s="3"/>
      <c r="K63" s="1"/>
      <c r="L63" s="1"/>
      <c r="N63" s="3">
        <v>2103</v>
      </c>
      <c r="O63" s="3">
        <v>2142</v>
      </c>
      <c r="P63" s="3">
        <v>2561</v>
      </c>
      <c r="Q63" s="3">
        <v>1972</v>
      </c>
      <c r="R63" s="3">
        <v>1749</v>
      </c>
      <c r="S63" s="3">
        <v>1158</v>
      </c>
      <c r="T63" s="3">
        <v>1653</v>
      </c>
      <c r="U63" s="3">
        <v>1625</v>
      </c>
      <c r="V63" s="3"/>
      <c r="W63" s="3"/>
      <c r="X63" s="3"/>
      <c r="Y63" s="3"/>
      <c r="Z63" s="3"/>
      <c r="AA63" s="3"/>
      <c r="AB63" s="3"/>
    </row>
    <row r="64" spans="1:42" x14ac:dyDescent="0.55000000000000004">
      <c r="A64" s="4" t="s">
        <v>68</v>
      </c>
      <c r="B64" s="5">
        <v>752632</v>
      </c>
      <c r="C64" s="5">
        <v>32201</v>
      </c>
      <c r="D64" s="5">
        <v>16136</v>
      </c>
      <c r="E64" s="5">
        <v>53027</v>
      </c>
      <c r="F64" s="5">
        <v>2350</v>
      </c>
      <c r="G64" s="5">
        <v>1126</v>
      </c>
      <c r="H64" s="5">
        <v>729098</v>
      </c>
      <c r="I64" s="5">
        <v>29371</v>
      </c>
      <c r="J64" s="5">
        <v>17305</v>
      </c>
      <c r="K64" s="14">
        <v>42.8</v>
      </c>
      <c r="L64" s="14">
        <v>21.4</v>
      </c>
      <c r="N64" s="5">
        <v>108206</v>
      </c>
      <c r="O64" s="5">
        <v>103953</v>
      </c>
      <c r="P64" s="5">
        <v>108279</v>
      </c>
      <c r="Q64" s="5">
        <v>108784</v>
      </c>
      <c r="R64" s="5">
        <v>109875</v>
      </c>
      <c r="S64" s="5">
        <v>108170</v>
      </c>
      <c r="T64" s="5">
        <v>105365</v>
      </c>
      <c r="U64" s="5"/>
      <c r="V64" s="5"/>
      <c r="W64" s="5"/>
      <c r="X64" s="5"/>
      <c r="Y64" s="5"/>
      <c r="Z64" s="5"/>
      <c r="AA64" s="5"/>
      <c r="AB64" s="5"/>
      <c r="AD64" s="15">
        <f>SUM(N64:AB64)</f>
        <v>752632</v>
      </c>
      <c r="AE64" s="15">
        <f>SUM(N65:AB65)</f>
        <v>32201</v>
      </c>
      <c r="AF64" s="15">
        <f>SUM(N66:AB66)</f>
        <v>16136</v>
      </c>
      <c r="AH64" s="15">
        <f>AD64-B64</f>
        <v>0</v>
      </c>
      <c r="AI64" s="15">
        <f>AE64-C64</f>
        <v>0</v>
      </c>
      <c r="AJ64" s="15">
        <f>AF64-D64</f>
        <v>0</v>
      </c>
      <c r="AL64" s="17">
        <f>C64/B64*1000</f>
        <v>42.784521519148797</v>
      </c>
      <c r="AM64" s="17">
        <f>D64/B64*1000</f>
        <v>21.43942856535465</v>
      </c>
      <c r="AO64" s="17">
        <f>AL64-K64</f>
        <v>-1.5478480851200516E-2</v>
      </c>
      <c r="AP64" s="17">
        <f>AM64-L64</f>
        <v>3.9428565354651113E-2</v>
      </c>
    </row>
    <row r="65" spans="1:42" x14ac:dyDescent="0.55000000000000004">
      <c r="A65" s="2" t="s">
        <v>69</v>
      </c>
      <c r="B65" s="3"/>
      <c r="C65" s="3"/>
      <c r="D65" s="3"/>
      <c r="E65" s="3"/>
      <c r="F65" s="3"/>
      <c r="G65" s="3"/>
      <c r="H65" s="3"/>
      <c r="I65" s="3"/>
      <c r="J65" s="3"/>
      <c r="K65" s="1"/>
      <c r="L65" s="1"/>
      <c r="N65" s="3">
        <v>4037</v>
      </c>
      <c r="O65" s="3">
        <v>4403</v>
      </c>
      <c r="P65" s="3">
        <v>3999</v>
      </c>
      <c r="Q65" s="3">
        <v>4577</v>
      </c>
      <c r="R65" s="3">
        <v>4750</v>
      </c>
      <c r="S65" s="3">
        <v>3568</v>
      </c>
      <c r="T65" s="3">
        <v>6867</v>
      </c>
      <c r="U65" s="3"/>
      <c r="V65" s="3"/>
      <c r="W65" s="3"/>
      <c r="X65" s="3"/>
      <c r="Y65" s="3"/>
      <c r="Z65" s="3"/>
      <c r="AA65" s="3"/>
      <c r="AB65" s="3"/>
    </row>
    <row r="66" spans="1:42" x14ac:dyDescent="0.55000000000000004">
      <c r="A66" s="2" t="s">
        <v>70</v>
      </c>
      <c r="B66" s="3"/>
      <c r="C66" s="3"/>
      <c r="D66" s="3"/>
      <c r="E66" s="3"/>
      <c r="F66" s="3"/>
      <c r="G66" s="3"/>
      <c r="H66" s="3"/>
      <c r="I66" s="3"/>
      <c r="J66" s="3"/>
      <c r="K66" s="1"/>
      <c r="L66" s="1"/>
      <c r="N66" s="3">
        <v>2264</v>
      </c>
      <c r="O66" s="3">
        <v>2044</v>
      </c>
      <c r="P66" s="3">
        <v>2027</v>
      </c>
      <c r="Q66" s="3">
        <v>2855</v>
      </c>
      <c r="R66" s="3">
        <v>2640</v>
      </c>
      <c r="S66" s="3">
        <v>2374</v>
      </c>
      <c r="T66" s="3">
        <v>1932</v>
      </c>
      <c r="U66" s="3"/>
      <c r="V66" s="3"/>
      <c r="W66" s="3"/>
      <c r="X66" s="3"/>
      <c r="Y66" s="3"/>
      <c r="Z66" s="3"/>
      <c r="AA66" s="3"/>
      <c r="AB66" s="3"/>
    </row>
    <row r="67" spans="1:42" x14ac:dyDescent="0.55000000000000004">
      <c r="A67" s="4" t="s">
        <v>71</v>
      </c>
      <c r="B67" s="5">
        <v>689765</v>
      </c>
      <c r="C67" s="5">
        <v>21191</v>
      </c>
      <c r="D67" s="5">
        <v>16117</v>
      </c>
      <c r="E67" s="5">
        <v>72183</v>
      </c>
      <c r="F67" s="5">
        <v>1477</v>
      </c>
      <c r="G67" s="5">
        <v>1290</v>
      </c>
      <c r="H67" s="5">
        <v>672624</v>
      </c>
      <c r="I67" s="5">
        <v>21128</v>
      </c>
      <c r="J67" s="5">
        <v>15869</v>
      </c>
      <c r="K67" s="14">
        <v>30.7</v>
      </c>
      <c r="L67" s="14">
        <v>23.4</v>
      </c>
      <c r="N67" s="5">
        <v>107987</v>
      </c>
      <c r="O67" s="5">
        <v>92809</v>
      </c>
      <c r="P67" s="5">
        <v>93981</v>
      </c>
      <c r="Q67" s="5">
        <v>88555</v>
      </c>
      <c r="R67" s="5">
        <v>82836</v>
      </c>
      <c r="S67" s="5">
        <v>121878</v>
      </c>
      <c r="T67" s="5">
        <v>101719</v>
      </c>
      <c r="U67" s="5"/>
      <c r="V67" s="5"/>
      <c r="W67" s="5"/>
      <c r="X67" s="5"/>
      <c r="Y67" s="5"/>
      <c r="Z67" s="5"/>
      <c r="AA67" s="5"/>
      <c r="AB67" s="5"/>
      <c r="AD67" s="15">
        <f>SUM(N67:AB67)</f>
        <v>689765</v>
      </c>
      <c r="AE67" s="15">
        <f>SUM(N68:AB68)</f>
        <v>21191</v>
      </c>
      <c r="AF67" s="15">
        <f>SUM(N69:AB69)</f>
        <v>16117</v>
      </c>
      <c r="AH67" s="15">
        <f>AD67-B67</f>
        <v>0</v>
      </c>
      <c r="AI67" s="15">
        <f>AE67-C67</f>
        <v>0</v>
      </c>
      <c r="AJ67" s="15">
        <f>AF67-D67</f>
        <v>0</v>
      </c>
      <c r="AL67" s="17">
        <f>C67/B67*1000</f>
        <v>30.722057512341159</v>
      </c>
      <c r="AM67" s="17">
        <f>D67/B67*1000</f>
        <v>23.365928975810604</v>
      </c>
      <c r="AO67" s="17">
        <f>AL67-K67</f>
        <v>2.2057512341159935E-2</v>
      </c>
      <c r="AP67" s="17">
        <f>AM67-L67</f>
        <v>-3.407102418939445E-2</v>
      </c>
    </row>
    <row r="68" spans="1:42" x14ac:dyDescent="0.55000000000000004">
      <c r="A68" s="2" t="s">
        <v>72</v>
      </c>
      <c r="B68" s="3"/>
      <c r="C68" s="3"/>
      <c r="D68" s="3"/>
      <c r="E68" s="3"/>
      <c r="F68" s="3"/>
      <c r="G68" s="3"/>
      <c r="H68" s="3"/>
      <c r="I68" s="3"/>
      <c r="J68" s="3"/>
      <c r="K68" s="1"/>
      <c r="L68" s="1"/>
      <c r="N68" s="3">
        <v>3509</v>
      </c>
      <c r="O68" s="3">
        <v>2898</v>
      </c>
      <c r="P68" s="3">
        <v>2948</v>
      </c>
      <c r="Q68" s="3">
        <v>2187</v>
      </c>
      <c r="R68" s="3">
        <v>2428</v>
      </c>
      <c r="S68" s="3">
        <v>3516</v>
      </c>
      <c r="T68" s="3">
        <v>3705</v>
      </c>
      <c r="U68" s="3"/>
      <c r="V68" s="3"/>
      <c r="W68" s="3"/>
      <c r="X68" s="3"/>
      <c r="Y68" s="3"/>
      <c r="Z68" s="3"/>
      <c r="AA68" s="3"/>
      <c r="AB68" s="3"/>
    </row>
    <row r="69" spans="1:42" x14ac:dyDescent="0.55000000000000004">
      <c r="A69" s="2" t="s">
        <v>73</v>
      </c>
      <c r="B69" s="3"/>
      <c r="C69" s="3"/>
      <c r="D69" s="3"/>
      <c r="E69" s="3"/>
      <c r="F69" s="3"/>
      <c r="G69" s="3"/>
      <c r="H69" s="3"/>
      <c r="I69" s="3"/>
      <c r="J69" s="3"/>
      <c r="K69" s="1"/>
      <c r="L69" s="1"/>
      <c r="N69" s="3">
        <v>2691</v>
      </c>
      <c r="O69" s="3">
        <v>2412</v>
      </c>
      <c r="P69" s="3">
        <v>1915</v>
      </c>
      <c r="Q69" s="3">
        <v>1548</v>
      </c>
      <c r="R69" s="3">
        <v>1853</v>
      </c>
      <c r="S69" s="3">
        <v>3092</v>
      </c>
      <c r="T69" s="3">
        <v>2606</v>
      </c>
      <c r="U69" s="3"/>
      <c r="V69" s="3"/>
      <c r="W69" s="3"/>
      <c r="X69" s="3"/>
      <c r="Y69" s="3"/>
      <c r="Z69" s="3"/>
      <c r="AA69" s="3"/>
      <c r="AB69" s="3"/>
    </row>
    <row r="70" spans="1:42" x14ac:dyDescent="0.55000000000000004">
      <c r="A70" s="4" t="s">
        <v>74</v>
      </c>
      <c r="B70" s="5">
        <v>737295</v>
      </c>
      <c r="C70" s="5">
        <v>28141</v>
      </c>
      <c r="D70" s="5">
        <v>17486</v>
      </c>
      <c r="E70" s="5">
        <v>65332</v>
      </c>
      <c r="F70" s="5">
        <v>2830</v>
      </c>
      <c r="G70" s="5">
        <v>1428</v>
      </c>
      <c r="H70" s="5">
        <v>676143</v>
      </c>
      <c r="I70" s="5">
        <v>25065</v>
      </c>
      <c r="J70" s="5">
        <v>17258</v>
      </c>
      <c r="K70" s="14">
        <v>38.200000000000003</v>
      </c>
      <c r="L70" s="14">
        <v>23.7</v>
      </c>
      <c r="N70" s="5">
        <v>73450</v>
      </c>
      <c r="O70" s="5">
        <v>72061</v>
      </c>
      <c r="P70" s="5">
        <v>73184</v>
      </c>
      <c r="Q70" s="5">
        <v>96703</v>
      </c>
      <c r="R70" s="5">
        <v>114617</v>
      </c>
      <c r="S70" s="5">
        <v>59193</v>
      </c>
      <c r="T70" s="5">
        <v>97594</v>
      </c>
      <c r="U70" s="5">
        <v>76216</v>
      </c>
      <c r="V70" s="5">
        <v>74277</v>
      </c>
      <c r="W70" s="5"/>
      <c r="X70" s="5"/>
      <c r="Y70" s="5"/>
      <c r="Z70" s="5"/>
      <c r="AA70" s="5"/>
      <c r="AB70" s="5"/>
      <c r="AD70" s="15">
        <f>SUM(N70:AB70)</f>
        <v>737295</v>
      </c>
      <c r="AE70" s="15">
        <f>SUM(N71:AB71)</f>
        <v>28141</v>
      </c>
      <c r="AF70" s="15">
        <f>SUM(N72:AB72)</f>
        <v>17486</v>
      </c>
      <c r="AH70" s="15">
        <f>AD70-B70</f>
        <v>0</v>
      </c>
      <c r="AI70" s="15">
        <f>AE70-C70</f>
        <v>0</v>
      </c>
      <c r="AJ70" s="15">
        <f>AF70-D70</f>
        <v>0</v>
      </c>
      <c r="AL70" s="17">
        <f>C70/B70*1000</f>
        <v>38.167897517275982</v>
      </c>
      <c r="AM70" s="17">
        <f>D70/B70*1000</f>
        <v>23.716422870085921</v>
      </c>
      <c r="AO70" s="17">
        <f>AL70-K70</f>
        <v>-3.2102482724020831E-2</v>
      </c>
      <c r="AP70" s="17">
        <f>AM70-L70</f>
        <v>1.6422870085921915E-2</v>
      </c>
    </row>
    <row r="71" spans="1:42" x14ac:dyDescent="0.55000000000000004">
      <c r="A71" s="2" t="s">
        <v>75</v>
      </c>
      <c r="B71" s="3"/>
      <c r="C71" s="3"/>
      <c r="D71" s="3"/>
      <c r="E71" s="3"/>
      <c r="F71" s="3"/>
      <c r="G71" s="3"/>
      <c r="H71" s="3"/>
      <c r="I71" s="3"/>
      <c r="J71" s="3"/>
      <c r="K71" s="1"/>
      <c r="L71" s="1"/>
      <c r="N71" s="3">
        <v>2635</v>
      </c>
      <c r="O71" s="3">
        <v>3095</v>
      </c>
      <c r="P71" s="3">
        <v>2400</v>
      </c>
      <c r="Q71" s="3">
        <v>4017</v>
      </c>
      <c r="R71" s="3">
        <v>4553</v>
      </c>
      <c r="S71" s="3">
        <v>2124</v>
      </c>
      <c r="T71" s="3">
        <v>3854</v>
      </c>
      <c r="U71" s="3">
        <v>2738</v>
      </c>
      <c r="V71" s="3">
        <v>2725</v>
      </c>
      <c r="W71" s="3"/>
      <c r="X71" s="3"/>
      <c r="Y71" s="3"/>
      <c r="Z71" s="3"/>
      <c r="AA71" s="3"/>
      <c r="AB71" s="3"/>
    </row>
    <row r="72" spans="1:42" x14ac:dyDescent="0.55000000000000004">
      <c r="A72" s="2" t="s">
        <v>76</v>
      </c>
      <c r="B72" s="3"/>
      <c r="C72" s="3"/>
      <c r="D72" s="3"/>
      <c r="E72" s="3"/>
      <c r="F72" s="3"/>
      <c r="G72" s="3"/>
      <c r="H72" s="3"/>
      <c r="I72" s="3"/>
      <c r="J72" s="3"/>
      <c r="K72" s="1"/>
      <c r="L72" s="1"/>
      <c r="N72" s="3">
        <v>1683</v>
      </c>
      <c r="O72" s="3">
        <v>1971</v>
      </c>
      <c r="P72" s="3">
        <v>1453</v>
      </c>
      <c r="Q72" s="3">
        <v>2974</v>
      </c>
      <c r="R72" s="3">
        <v>2355</v>
      </c>
      <c r="S72" s="3">
        <v>1213</v>
      </c>
      <c r="T72" s="3">
        <v>2568</v>
      </c>
      <c r="U72" s="3">
        <v>1704</v>
      </c>
      <c r="V72" s="3">
        <v>1565</v>
      </c>
      <c r="W72" s="3"/>
      <c r="X72" s="3"/>
      <c r="Y72" s="3"/>
      <c r="Z72" s="3"/>
      <c r="AA72" s="3"/>
      <c r="AB72" s="3"/>
    </row>
    <row r="73" spans="1:42" x14ac:dyDescent="0.55000000000000004">
      <c r="A73" s="7" t="s">
        <v>77</v>
      </c>
      <c r="B73" s="8">
        <v>8714304</v>
      </c>
      <c r="C73" s="8">
        <v>338199</v>
      </c>
      <c r="D73" s="8">
        <v>202214</v>
      </c>
      <c r="E73" s="8"/>
      <c r="F73" s="8"/>
      <c r="G73" s="8"/>
      <c r="H73" s="8">
        <v>8416607</v>
      </c>
      <c r="I73" s="8">
        <v>331176</v>
      </c>
      <c r="J73" s="8">
        <v>204742</v>
      </c>
      <c r="K73" s="10">
        <v>38.799999999999997</v>
      </c>
      <c r="L73" s="10">
        <v>23.4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D73" s="23">
        <f>SUM(AD42:AD70)</f>
        <v>8714304</v>
      </c>
      <c r="AE73" s="23">
        <f>SUM(AE42:AE70)</f>
        <v>338199</v>
      </c>
      <c r="AF73" s="23">
        <f>SUM(AF42:AF70)</f>
        <v>204114</v>
      </c>
      <c r="AH73" s="23">
        <f t="shared" ref="AH73:AJ74" si="1">AD73-B73</f>
        <v>0</v>
      </c>
      <c r="AI73" s="23">
        <f t="shared" si="1"/>
        <v>0</v>
      </c>
      <c r="AJ73" s="23">
        <f t="shared" si="1"/>
        <v>1900</v>
      </c>
      <c r="AL73" s="24">
        <f>C73/B73*1000</f>
        <v>38.809639874854035</v>
      </c>
      <c r="AM73" s="24">
        <f>D73/B73*1000</f>
        <v>23.204836553785594</v>
      </c>
      <c r="AO73" s="24">
        <f>AL73-K73</f>
        <v>9.6398748540380552E-3</v>
      </c>
      <c r="AP73" s="24">
        <f>AM73-L73</f>
        <v>-0.19516344621440496</v>
      </c>
    </row>
    <row r="74" spans="1:42" x14ac:dyDescent="0.55000000000000004">
      <c r="A74" s="4" t="s">
        <v>78</v>
      </c>
      <c r="B74" s="5">
        <v>704918</v>
      </c>
      <c r="C74" s="5">
        <v>19680</v>
      </c>
      <c r="D74" s="5">
        <v>12062</v>
      </c>
      <c r="E74" s="5">
        <v>110999</v>
      </c>
      <c r="F74" s="5">
        <v>4175</v>
      </c>
      <c r="G74" s="5">
        <v>2676</v>
      </c>
      <c r="H74" s="5">
        <v>682767</v>
      </c>
      <c r="I74" s="5">
        <v>18621</v>
      </c>
      <c r="J74" s="5">
        <v>12271</v>
      </c>
      <c r="K74" s="14">
        <v>27.9</v>
      </c>
      <c r="L74" s="14">
        <v>17.100000000000001</v>
      </c>
      <c r="N74" s="5">
        <v>104693</v>
      </c>
      <c r="O74" s="5">
        <v>59504</v>
      </c>
      <c r="P74" s="5">
        <v>50547</v>
      </c>
      <c r="Q74" s="5">
        <v>59291</v>
      </c>
      <c r="R74" s="5">
        <v>71335</v>
      </c>
      <c r="S74" s="5">
        <v>83647</v>
      </c>
      <c r="T74" s="5">
        <v>80495</v>
      </c>
      <c r="U74" s="5">
        <v>69783</v>
      </c>
      <c r="V74" s="5">
        <v>55668</v>
      </c>
      <c r="W74" s="5">
        <v>69955</v>
      </c>
      <c r="X74" s="5"/>
      <c r="Y74" s="5"/>
      <c r="Z74" s="5"/>
      <c r="AA74" s="5"/>
      <c r="AB74" s="5"/>
      <c r="AD74" s="15">
        <f>SUM(N74:AB74)</f>
        <v>704918</v>
      </c>
      <c r="AE74" s="15">
        <f>SUM(N75:AB75)</f>
        <v>19680</v>
      </c>
      <c r="AF74" s="15">
        <f>SUM(N76:AB76)</f>
        <v>12062</v>
      </c>
      <c r="AH74" s="15">
        <f t="shared" si="1"/>
        <v>0</v>
      </c>
      <c r="AI74" s="15">
        <f t="shared" si="1"/>
        <v>0</v>
      </c>
      <c r="AJ74" s="15">
        <f t="shared" si="1"/>
        <v>0</v>
      </c>
      <c r="AL74" s="17">
        <f>C74/B74*1000</f>
        <v>27.9181408334019</v>
      </c>
      <c r="AM74" s="17">
        <f>D74/B74*1000</f>
        <v>17.111210098195819</v>
      </c>
      <c r="AO74" s="17">
        <f>AL74-K74</f>
        <v>1.8140833401901091E-2</v>
      </c>
      <c r="AP74" s="17">
        <f>AM74-L74</f>
        <v>1.1210098195817864E-2</v>
      </c>
    </row>
    <row r="75" spans="1:42" x14ac:dyDescent="0.55000000000000004">
      <c r="A75" s="2" t="s">
        <v>79</v>
      </c>
      <c r="B75" s="3"/>
      <c r="C75" s="3"/>
      <c r="D75" s="3"/>
      <c r="E75" s="3"/>
      <c r="F75" s="3"/>
      <c r="G75" s="3"/>
      <c r="H75" s="3"/>
      <c r="I75" s="3"/>
      <c r="J75" s="3"/>
      <c r="K75" s="1"/>
      <c r="L75" s="1"/>
      <c r="N75" s="3">
        <v>2891</v>
      </c>
      <c r="O75" s="3">
        <v>1518</v>
      </c>
      <c r="P75" s="3">
        <v>1317</v>
      </c>
      <c r="Q75" s="3">
        <v>1704</v>
      </c>
      <c r="R75" s="3">
        <v>1995</v>
      </c>
      <c r="S75" s="3">
        <v>2922</v>
      </c>
      <c r="T75" s="3">
        <v>2073</v>
      </c>
      <c r="U75" s="3">
        <v>1984</v>
      </c>
      <c r="V75" s="3">
        <v>1468</v>
      </c>
      <c r="W75" s="3">
        <v>1808</v>
      </c>
      <c r="X75" s="3"/>
      <c r="Y75" s="3"/>
      <c r="Z75" s="3"/>
      <c r="AA75" s="3"/>
      <c r="AB75" s="3"/>
    </row>
    <row r="76" spans="1:42" x14ac:dyDescent="0.55000000000000004">
      <c r="A76" s="2" t="s">
        <v>80</v>
      </c>
      <c r="B76" s="3"/>
      <c r="C76" s="3"/>
      <c r="D76" s="3"/>
      <c r="E76" s="3"/>
      <c r="F76" s="3"/>
      <c r="G76" s="3"/>
      <c r="H76" s="3"/>
      <c r="I76" s="3"/>
      <c r="J76" s="3"/>
      <c r="K76" s="1"/>
      <c r="L76" s="1"/>
      <c r="N76" s="3">
        <v>2198</v>
      </c>
      <c r="O76" s="3">
        <v>1014</v>
      </c>
      <c r="P76" s="3">
        <v>870</v>
      </c>
      <c r="Q76" s="3">
        <v>913</v>
      </c>
      <c r="R76" s="3">
        <v>1160</v>
      </c>
      <c r="S76" s="3">
        <v>1775</v>
      </c>
      <c r="T76" s="3">
        <v>1078</v>
      </c>
      <c r="U76" s="3">
        <v>1201</v>
      </c>
      <c r="V76" s="3">
        <v>800</v>
      </c>
      <c r="W76" s="3">
        <v>1053</v>
      </c>
      <c r="X76" s="3"/>
      <c r="Y76" s="3"/>
      <c r="Z76" s="3"/>
      <c r="AA76" s="3"/>
      <c r="AB76" s="3"/>
    </row>
    <row r="77" spans="1:42" x14ac:dyDescent="0.55000000000000004">
      <c r="A77" s="4" t="s">
        <v>81</v>
      </c>
      <c r="B77" s="5">
        <v>1218579</v>
      </c>
      <c r="C77" s="5">
        <v>37633</v>
      </c>
      <c r="D77" s="5">
        <v>28637</v>
      </c>
      <c r="E77" s="5">
        <v>248965</v>
      </c>
      <c r="F77" s="5">
        <v>7778</v>
      </c>
      <c r="G77" s="5">
        <v>6734</v>
      </c>
      <c r="H77" s="5">
        <v>1234613</v>
      </c>
      <c r="I77" s="5">
        <v>36355</v>
      </c>
      <c r="J77" s="5">
        <v>25791</v>
      </c>
      <c r="K77" s="14">
        <v>30.1</v>
      </c>
      <c r="L77" s="14">
        <v>22.9</v>
      </c>
      <c r="N77" s="5">
        <v>319922</v>
      </c>
      <c r="O77" s="5">
        <v>120178</v>
      </c>
      <c r="P77" s="5">
        <v>134204</v>
      </c>
      <c r="Q77" s="5">
        <v>99177</v>
      </c>
      <c r="R77" s="5">
        <v>121219</v>
      </c>
      <c r="S77" s="5">
        <v>109578</v>
      </c>
      <c r="T77" s="5">
        <v>101779</v>
      </c>
      <c r="U77" s="5">
        <v>101137</v>
      </c>
      <c r="V77" s="5">
        <v>60385</v>
      </c>
      <c r="W77" s="5"/>
      <c r="X77" s="5"/>
      <c r="Y77" s="5"/>
      <c r="Z77" s="5"/>
      <c r="AA77" s="5"/>
      <c r="AB77" s="5"/>
      <c r="AD77" s="15">
        <f>SUM(N77:AB77)</f>
        <v>1167579</v>
      </c>
      <c r="AE77" s="15">
        <f>SUM(N78:AB78)</f>
        <v>37633</v>
      </c>
      <c r="AF77" s="15">
        <f>SUM(N79:AB79)</f>
        <v>28637</v>
      </c>
      <c r="AH77" s="15">
        <f>AD77-B77</f>
        <v>-51000</v>
      </c>
      <c r="AI77" s="15">
        <f>AE77-C77</f>
        <v>0</v>
      </c>
      <c r="AJ77" s="15">
        <f>AF77-D77</f>
        <v>0</v>
      </c>
      <c r="AL77" s="17">
        <f>C77/B77*1000</f>
        <v>30.882692053613265</v>
      </c>
      <c r="AM77" s="17">
        <f>D77/B77*1000</f>
        <v>23.500322917102622</v>
      </c>
      <c r="AO77" s="17">
        <f>AL77-K77</f>
        <v>0.78269205361326399</v>
      </c>
      <c r="AP77" s="17">
        <f>AM77-L77</f>
        <v>0.60032291710262342</v>
      </c>
    </row>
    <row r="78" spans="1:42" x14ac:dyDescent="0.55000000000000004">
      <c r="A78" s="2" t="s">
        <v>82</v>
      </c>
      <c r="B78" s="3"/>
      <c r="C78" s="3"/>
      <c r="D78" s="3"/>
      <c r="E78" s="3"/>
      <c r="F78" s="3"/>
      <c r="G78" s="3"/>
      <c r="H78" s="3"/>
      <c r="I78" s="3"/>
      <c r="J78" s="3"/>
      <c r="K78" s="1"/>
      <c r="L78" s="1"/>
      <c r="N78" s="3">
        <v>9737</v>
      </c>
      <c r="O78" s="3">
        <v>3939</v>
      </c>
      <c r="P78" s="3">
        <v>3292</v>
      </c>
      <c r="Q78" s="3">
        <v>3331</v>
      </c>
      <c r="R78" s="3">
        <v>3605</v>
      </c>
      <c r="S78" s="3">
        <v>5921</v>
      </c>
      <c r="T78" s="3">
        <v>3016</v>
      </c>
      <c r="U78" s="3">
        <v>2807</v>
      </c>
      <c r="V78" s="3">
        <v>1985</v>
      </c>
      <c r="W78" s="3"/>
      <c r="X78" s="3"/>
      <c r="Y78" s="3"/>
      <c r="Z78" s="3"/>
      <c r="AA78" s="3"/>
      <c r="AB78" s="3"/>
    </row>
    <row r="79" spans="1:42" x14ac:dyDescent="0.55000000000000004">
      <c r="A79" s="2" t="s">
        <v>83</v>
      </c>
      <c r="B79" s="3"/>
      <c r="C79" s="3"/>
      <c r="D79" s="3"/>
      <c r="E79" s="3"/>
      <c r="F79" s="3"/>
      <c r="G79" s="3"/>
      <c r="H79" s="3"/>
      <c r="I79" s="3"/>
      <c r="J79" s="3"/>
      <c r="K79" s="1"/>
      <c r="L79" s="1"/>
      <c r="N79" s="3">
        <v>7893</v>
      </c>
      <c r="O79" s="3">
        <v>2822</v>
      </c>
      <c r="P79" s="3">
        <v>2705</v>
      </c>
      <c r="Q79" s="3">
        <v>2241</v>
      </c>
      <c r="R79" s="3">
        <v>2968</v>
      </c>
      <c r="S79" s="3">
        <v>4303</v>
      </c>
      <c r="T79" s="3">
        <v>2072</v>
      </c>
      <c r="U79" s="3">
        <v>2298</v>
      </c>
      <c r="V79" s="3">
        <v>1335</v>
      </c>
      <c r="W79" s="3"/>
      <c r="X79" s="3"/>
      <c r="Y79" s="3"/>
      <c r="Z79" s="3"/>
      <c r="AA79" s="3"/>
      <c r="AB79" s="3"/>
    </row>
    <row r="80" spans="1:42" x14ac:dyDescent="0.55000000000000004">
      <c r="A80" s="4" t="s">
        <v>84</v>
      </c>
      <c r="B80" s="5">
        <v>400084</v>
      </c>
      <c r="C80" s="5">
        <v>11908</v>
      </c>
      <c r="D80" s="5">
        <v>8416</v>
      </c>
      <c r="E80" s="5">
        <v>60731</v>
      </c>
      <c r="F80" s="5">
        <v>1861</v>
      </c>
      <c r="G80" s="5">
        <v>1466</v>
      </c>
      <c r="H80" s="5">
        <v>394761</v>
      </c>
      <c r="I80" s="5">
        <v>11823</v>
      </c>
      <c r="J80" s="5">
        <v>8680</v>
      </c>
      <c r="K80" s="14">
        <v>29.7</v>
      </c>
      <c r="L80" s="14">
        <v>21.1</v>
      </c>
      <c r="N80" s="5">
        <v>145379</v>
      </c>
      <c r="O80" s="5">
        <v>118640</v>
      </c>
      <c r="P80" s="5">
        <v>53071</v>
      </c>
      <c r="Q80" s="5">
        <v>82994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D80" s="15">
        <f>SUM(N80:AB80)</f>
        <v>400084</v>
      </c>
      <c r="AE80" s="15">
        <f>SUM(N81:AB81)</f>
        <v>11908</v>
      </c>
      <c r="AF80" s="15">
        <f>SUM(N82:AB82)</f>
        <v>8416</v>
      </c>
      <c r="AH80" s="15">
        <f>AD80-B80</f>
        <v>0</v>
      </c>
      <c r="AI80" s="15">
        <f>AE80-C80</f>
        <v>0</v>
      </c>
      <c r="AJ80" s="15">
        <f>AF80-D80</f>
        <v>0</v>
      </c>
      <c r="AL80" s="17">
        <f>C80/B80*1000</f>
        <v>29.763749612581357</v>
      </c>
      <c r="AM80" s="17">
        <f>D80/B80*1000</f>
        <v>21.035582527669192</v>
      </c>
      <c r="AO80" s="17">
        <f>AL80-K80</f>
        <v>6.3749612581357695E-2</v>
      </c>
      <c r="AP80" s="17">
        <f>AM80-L80</f>
        <v>-6.4417472330809744E-2</v>
      </c>
    </row>
    <row r="81" spans="1:42" x14ac:dyDescent="0.55000000000000004">
      <c r="A81" s="2" t="s">
        <v>85</v>
      </c>
      <c r="B81" s="3"/>
      <c r="C81" s="3"/>
      <c r="D81" s="3"/>
      <c r="E81" s="3"/>
      <c r="F81" s="3"/>
      <c r="G81" s="3"/>
      <c r="H81" s="3"/>
      <c r="I81" s="3"/>
      <c r="J81" s="3"/>
      <c r="K81" s="1"/>
      <c r="L81" s="1"/>
      <c r="N81" s="3">
        <v>4330</v>
      </c>
      <c r="O81" s="3">
        <v>3800</v>
      </c>
      <c r="P81" s="3">
        <v>1532</v>
      </c>
      <c r="Q81" s="3">
        <v>2246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42" x14ac:dyDescent="0.55000000000000004">
      <c r="A82" s="2" t="s">
        <v>86</v>
      </c>
      <c r="B82" s="3"/>
      <c r="C82" s="3"/>
      <c r="D82" s="3"/>
      <c r="E82" s="3"/>
      <c r="F82" s="3"/>
      <c r="G82" s="3"/>
      <c r="H82" s="3"/>
      <c r="I82" s="3"/>
      <c r="J82" s="3"/>
      <c r="K82" s="1"/>
      <c r="L82" s="1"/>
      <c r="N82" s="3">
        <v>3153</v>
      </c>
      <c r="O82" s="3">
        <v>2436</v>
      </c>
      <c r="P82" s="3">
        <v>1165</v>
      </c>
      <c r="Q82" s="3">
        <v>1662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42" x14ac:dyDescent="0.55000000000000004">
      <c r="A83" s="7" t="s">
        <v>87</v>
      </c>
      <c r="B83" s="8">
        <v>2333581</v>
      </c>
      <c r="C83" s="8">
        <v>69221</v>
      </c>
      <c r="D83" s="8">
        <v>49115</v>
      </c>
      <c r="E83" s="8"/>
      <c r="F83" s="8"/>
      <c r="G83" s="8"/>
      <c r="H83" s="8">
        <v>2312142</v>
      </c>
      <c r="I83" s="8">
        <v>66799</v>
      </c>
      <c r="J83" s="8">
        <v>46743</v>
      </c>
      <c r="K83" s="10">
        <v>29.6</v>
      </c>
      <c r="L83" s="10">
        <v>20.9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D83" s="23">
        <f>SUM(AD74:AD82)</f>
        <v>2272581</v>
      </c>
      <c r="AE83" s="23">
        <f>SUM(AE74:AE82)</f>
        <v>69221</v>
      </c>
      <c r="AF83" s="23">
        <f>SUM(AF74:AF82)</f>
        <v>49115</v>
      </c>
      <c r="AH83" s="23">
        <f t="shared" ref="AH83:AJ84" si="2">AD83-B83</f>
        <v>-61000</v>
      </c>
      <c r="AI83" s="23">
        <f t="shared" si="2"/>
        <v>0</v>
      </c>
      <c r="AJ83" s="23">
        <f t="shared" si="2"/>
        <v>0</v>
      </c>
      <c r="AL83" s="24">
        <f>C83/B83*1000</f>
        <v>29.662994342171967</v>
      </c>
      <c r="AM83" s="24">
        <f>D83/B83*1000</f>
        <v>21.047051720081711</v>
      </c>
      <c r="AO83" s="24">
        <f>AL83-K83</f>
        <v>6.2994342171965201E-2</v>
      </c>
      <c r="AP83" s="24">
        <f>AM83-L83</f>
        <v>0.14705172008171274</v>
      </c>
    </row>
    <row r="84" spans="1:42" x14ac:dyDescent="0.55000000000000004">
      <c r="A84" s="4" t="s">
        <v>88</v>
      </c>
      <c r="B84" s="5">
        <v>1555963</v>
      </c>
      <c r="C84" s="5">
        <v>72181</v>
      </c>
      <c r="D84" s="5">
        <v>41922</v>
      </c>
      <c r="E84" s="5">
        <v>274369</v>
      </c>
      <c r="F84" s="5">
        <v>9610</v>
      </c>
      <c r="G84" s="5">
        <v>7286</v>
      </c>
      <c r="H84" s="5">
        <v>1557066</v>
      </c>
      <c r="I84" s="5">
        <v>74332</v>
      </c>
      <c r="J84" s="5">
        <v>42983</v>
      </c>
      <c r="K84" s="14">
        <v>46.3</v>
      </c>
      <c r="L84" s="14">
        <v>26.9</v>
      </c>
      <c r="N84" s="5">
        <v>254779</v>
      </c>
      <c r="O84" s="5">
        <v>271573</v>
      </c>
      <c r="P84" s="5">
        <v>161236</v>
      </c>
      <c r="Q84" s="5">
        <v>181385</v>
      </c>
      <c r="R84" s="5">
        <v>163231</v>
      </c>
      <c r="S84" s="5">
        <v>173134</v>
      </c>
      <c r="T84" s="5">
        <v>199475</v>
      </c>
      <c r="U84" s="5">
        <v>151150</v>
      </c>
      <c r="V84" s="5"/>
      <c r="W84" s="5"/>
      <c r="X84" s="5"/>
      <c r="Y84" s="5"/>
      <c r="Z84" s="5"/>
      <c r="AA84" s="5"/>
      <c r="AB84" s="5"/>
      <c r="AD84" s="15">
        <f>SUM(N84:AB84)</f>
        <v>1555963</v>
      </c>
      <c r="AE84" s="15">
        <f>SUM(N85:AB85)</f>
        <v>72081</v>
      </c>
      <c r="AF84" s="15">
        <f>SUM(N86:AB86)</f>
        <v>41922</v>
      </c>
      <c r="AH84" s="15">
        <f t="shared" si="2"/>
        <v>0</v>
      </c>
      <c r="AI84" s="15">
        <f t="shared" si="2"/>
        <v>-100</v>
      </c>
      <c r="AJ84" s="15">
        <f t="shared" si="2"/>
        <v>0</v>
      </c>
      <c r="AL84" s="17">
        <f>C84/B84*1000</f>
        <v>46.389920582944448</v>
      </c>
      <c r="AM84" s="17">
        <f>D84/B84*1000</f>
        <v>26.942800053728785</v>
      </c>
      <c r="AO84" s="17">
        <f>AL84-K84</f>
        <v>8.9920582944451155E-2</v>
      </c>
      <c r="AP84" s="17">
        <f>AM84-L84</f>
        <v>4.280005372878648E-2</v>
      </c>
    </row>
    <row r="85" spans="1:42" x14ac:dyDescent="0.55000000000000004">
      <c r="A85" s="2" t="s">
        <v>89</v>
      </c>
      <c r="B85" s="3"/>
      <c r="C85" s="3"/>
      <c r="D85" s="3"/>
      <c r="E85" s="3"/>
      <c r="F85" s="3"/>
      <c r="G85" s="3"/>
      <c r="H85" s="3"/>
      <c r="I85" s="3"/>
      <c r="J85" s="3"/>
      <c r="K85" s="1"/>
      <c r="L85" s="1"/>
      <c r="N85" s="3">
        <v>10078</v>
      </c>
      <c r="O85" s="3">
        <v>10387</v>
      </c>
      <c r="P85" s="3">
        <v>8561</v>
      </c>
      <c r="Q85" s="3">
        <v>6225</v>
      </c>
      <c r="R85" s="3">
        <v>6771</v>
      </c>
      <c r="S85" s="3">
        <v>9018</v>
      </c>
      <c r="T85" s="3">
        <v>12809</v>
      </c>
      <c r="U85" s="3">
        <v>8232</v>
      </c>
      <c r="V85" s="3"/>
      <c r="W85" s="3"/>
      <c r="X85" s="3"/>
      <c r="Y85" s="3"/>
      <c r="Z85" s="3"/>
      <c r="AA85" s="3"/>
      <c r="AB85" s="3"/>
    </row>
    <row r="86" spans="1:42" x14ac:dyDescent="0.55000000000000004">
      <c r="A86" s="2" t="s">
        <v>90</v>
      </c>
      <c r="B86" s="3"/>
      <c r="C86" s="3"/>
      <c r="D86" s="3"/>
      <c r="E86" s="3"/>
      <c r="F86" s="3"/>
      <c r="G86" s="3"/>
      <c r="H86" s="3"/>
      <c r="I86" s="3"/>
      <c r="J86" s="3"/>
      <c r="K86" s="1"/>
      <c r="L86" s="1"/>
      <c r="N86" s="3">
        <v>5971</v>
      </c>
      <c r="O86" s="3">
        <v>6651</v>
      </c>
      <c r="P86" s="3">
        <v>4581</v>
      </c>
      <c r="Q86" s="3">
        <v>3303</v>
      </c>
      <c r="R86" s="3">
        <v>3609</v>
      </c>
      <c r="S86" s="3">
        <v>5891</v>
      </c>
      <c r="T86" s="3">
        <v>6964</v>
      </c>
      <c r="U86" s="3">
        <v>4952</v>
      </c>
      <c r="V86" s="3"/>
      <c r="W86" s="3"/>
      <c r="X86" s="3"/>
      <c r="Y86" s="3"/>
      <c r="Z86" s="3"/>
      <c r="AA86" s="3"/>
      <c r="AB86" s="3"/>
    </row>
    <row r="87" spans="1:42" x14ac:dyDescent="0.55000000000000004">
      <c r="A87" s="4" t="s">
        <v>91</v>
      </c>
      <c r="B87" s="5">
        <v>1486081</v>
      </c>
      <c r="C87" s="5">
        <v>74252</v>
      </c>
      <c r="D87" s="5">
        <v>62386</v>
      </c>
      <c r="E87" s="5">
        <v>131563</v>
      </c>
      <c r="F87" s="5">
        <v>6657</v>
      </c>
      <c r="G87" s="5">
        <v>6262</v>
      </c>
      <c r="H87" s="5">
        <v>1419057</v>
      </c>
      <c r="I87" s="5">
        <v>76725</v>
      </c>
      <c r="J87" s="5">
        <v>56174</v>
      </c>
      <c r="K87" s="14">
        <v>50</v>
      </c>
      <c r="L87" s="14">
        <v>42</v>
      </c>
      <c r="N87" s="5">
        <v>157471</v>
      </c>
      <c r="O87" s="5">
        <v>97626</v>
      </c>
      <c r="P87" s="5">
        <v>91681</v>
      </c>
      <c r="Q87" s="5">
        <v>105189</v>
      </c>
      <c r="R87" s="5">
        <v>119100</v>
      </c>
      <c r="S87" s="5">
        <v>133089</v>
      </c>
      <c r="T87" s="5">
        <v>118760</v>
      </c>
      <c r="U87" s="5">
        <v>92468</v>
      </c>
      <c r="V87" s="5">
        <v>118728</v>
      </c>
      <c r="W87" s="5">
        <v>87382</v>
      </c>
      <c r="X87" s="5">
        <v>113790</v>
      </c>
      <c r="Y87" s="5">
        <v>144818</v>
      </c>
      <c r="Z87" s="5">
        <v>105979</v>
      </c>
      <c r="AA87" s="5"/>
      <c r="AB87" s="5"/>
      <c r="AD87" s="15">
        <f>SUM(N87:AB87)</f>
        <v>1486081</v>
      </c>
      <c r="AE87" s="15">
        <f>SUM(N88:AB88)</f>
        <v>74252</v>
      </c>
      <c r="AF87" s="15">
        <f>SUM(N89:AB89)</f>
        <v>62386</v>
      </c>
      <c r="AH87" s="15">
        <f>AD87-B87</f>
        <v>0</v>
      </c>
      <c r="AI87" s="15">
        <f>AE87-C87</f>
        <v>0</v>
      </c>
      <c r="AJ87" s="15">
        <f>AF87-D87</f>
        <v>0</v>
      </c>
      <c r="AL87" s="17">
        <f>C87/B87*1000</f>
        <v>49.964974991268981</v>
      </c>
      <c r="AM87" s="17">
        <f>D87/B87*1000</f>
        <v>41.980215075759666</v>
      </c>
      <c r="AO87" s="17">
        <f>AL87-K87</f>
        <v>-3.5025008731018659E-2</v>
      </c>
      <c r="AP87" s="17">
        <f>AM87-L87</f>
        <v>-1.9784924240333623E-2</v>
      </c>
    </row>
    <row r="88" spans="1:42" x14ac:dyDescent="0.55000000000000004">
      <c r="A88" s="2" t="s">
        <v>92</v>
      </c>
      <c r="B88" s="3"/>
      <c r="C88" s="3"/>
      <c r="D88" s="3"/>
      <c r="E88" s="3"/>
      <c r="F88" s="3"/>
      <c r="G88" s="3"/>
      <c r="H88" s="3"/>
      <c r="I88" s="3"/>
      <c r="J88" s="3"/>
      <c r="K88" s="1"/>
      <c r="L88" s="1"/>
      <c r="N88" s="3">
        <v>7467</v>
      </c>
      <c r="O88" s="3">
        <v>4802</v>
      </c>
      <c r="P88" s="3">
        <v>4321</v>
      </c>
      <c r="Q88" s="3">
        <v>4633</v>
      </c>
      <c r="R88" s="3">
        <v>5455</v>
      </c>
      <c r="S88" s="3">
        <v>7213</v>
      </c>
      <c r="T88" s="3">
        <v>6402</v>
      </c>
      <c r="U88" s="3">
        <v>4339</v>
      </c>
      <c r="V88" s="3">
        <v>7417</v>
      </c>
      <c r="W88" s="3">
        <v>4909</v>
      </c>
      <c r="X88" s="3">
        <v>5658</v>
      </c>
      <c r="Y88" s="3">
        <v>6835</v>
      </c>
      <c r="Z88" s="3">
        <v>4801</v>
      </c>
      <c r="AA88" s="3"/>
      <c r="AB88" s="3"/>
    </row>
    <row r="89" spans="1:42" x14ac:dyDescent="0.55000000000000004">
      <c r="A89" s="2" t="s">
        <v>93</v>
      </c>
      <c r="B89" s="3"/>
      <c r="C89" s="3"/>
      <c r="D89" s="3"/>
      <c r="E89" s="3"/>
      <c r="F89" s="3"/>
      <c r="G89" s="3"/>
      <c r="H89" s="3"/>
      <c r="I89" s="3"/>
      <c r="J89" s="3"/>
      <c r="K89" s="1"/>
      <c r="L89" s="1"/>
      <c r="N89" s="3">
        <v>6148</v>
      </c>
      <c r="O89" s="3">
        <v>4608</v>
      </c>
      <c r="P89" s="3">
        <v>3391</v>
      </c>
      <c r="Q89" s="3">
        <v>3761</v>
      </c>
      <c r="R89" s="3">
        <v>4773</v>
      </c>
      <c r="S89" s="3">
        <v>4963</v>
      </c>
      <c r="T89" s="3">
        <v>5161</v>
      </c>
      <c r="U89" s="3">
        <v>3816</v>
      </c>
      <c r="V89" s="3">
        <v>5994</v>
      </c>
      <c r="W89" s="3">
        <v>3786</v>
      </c>
      <c r="X89" s="3">
        <v>5032</v>
      </c>
      <c r="Y89" s="3">
        <v>6317</v>
      </c>
      <c r="Z89" s="3">
        <v>4636</v>
      </c>
      <c r="AA89" s="3"/>
      <c r="AB89" s="3"/>
    </row>
    <row r="90" spans="1:42" x14ac:dyDescent="0.55000000000000004">
      <c r="A90" s="4" t="s">
        <v>94</v>
      </c>
      <c r="B90" s="5">
        <v>1268368</v>
      </c>
      <c r="C90" s="5">
        <v>52757</v>
      </c>
      <c r="D90" s="5">
        <v>43184</v>
      </c>
      <c r="E90" s="5">
        <v>43826</v>
      </c>
      <c r="F90" s="5">
        <v>1639</v>
      </c>
      <c r="G90" s="5">
        <v>1568</v>
      </c>
      <c r="H90" s="5">
        <v>1249236</v>
      </c>
      <c r="I90" s="5">
        <v>56363</v>
      </c>
      <c r="J90" s="5">
        <v>37597</v>
      </c>
      <c r="K90" s="14">
        <v>41.6</v>
      </c>
      <c r="L90" s="14">
        <v>34</v>
      </c>
      <c r="N90" s="5">
        <v>162000</v>
      </c>
      <c r="O90" s="5">
        <v>101656</v>
      </c>
      <c r="P90" s="5">
        <v>103104</v>
      </c>
      <c r="Q90" s="5">
        <v>180917</v>
      </c>
      <c r="R90" s="5">
        <v>178687</v>
      </c>
      <c r="S90" s="5">
        <v>117188</v>
      </c>
      <c r="T90" s="5">
        <v>145896</v>
      </c>
      <c r="U90" s="5">
        <v>98763</v>
      </c>
      <c r="V90" s="5">
        <v>132772</v>
      </c>
      <c r="W90" s="5">
        <v>47385</v>
      </c>
      <c r="X90" s="5"/>
      <c r="Y90" s="5"/>
      <c r="Z90" s="5"/>
      <c r="AA90" s="5"/>
      <c r="AB90" s="5"/>
      <c r="AD90" s="15">
        <f>SUM(N90:AB90)</f>
        <v>1268368</v>
      </c>
      <c r="AE90" s="15">
        <f>SUM(N91:AB91)</f>
        <v>52757</v>
      </c>
      <c r="AF90" s="15">
        <f>SUM(N92:AB92)</f>
        <v>43184</v>
      </c>
      <c r="AH90" s="15">
        <f>AD90-B90</f>
        <v>0</v>
      </c>
      <c r="AI90" s="15">
        <f>AE90-C90</f>
        <v>0</v>
      </c>
      <c r="AJ90" s="15">
        <f>AF90-D90</f>
        <v>0</v>
      </c>
      <c r="AL90" s="17">
        <f>C90/B90*1000</f>
        <v>41.594395317447301</v>
      </c>
      <c r="AM90" s="17">
        <f>D90/B90*1000</f>
        <v>34.046901214789401</v>
      </c>
      <c r="AO90" s="17">
        <f>AL90-K90</f>
        <v>-5.604682552700524E-3</v>
      </c>
      <c r="AP90" s="17">
        <f>AM90-L90</f>
        <v>4.6901214789400569E-2</v>
      </c>
    </row>
    <row r="91" spans="1:42" x14ac:dyDescent="0.55000000000000004">
      <c r="A91" s="2" t="s">
        <v>95</v>
      </c>
      <c r="B91" s="3"/>
      <c r="C91" s="3"/>
      <c r="D91" s="3"/>
      <c r="E91" s="3"/>
      <c r="F91" s="3"/>
      <c r="G91" s="3"/>
      <c r="H91" s="3"/>
      <c r="I91" s="3"/>
      <c r="J91" s="3"/>
      <c r="K91" s="1"/>
      <c r="L91" s="1"/>
      <c r="N91" s="3">
        <v>5930</v>
      </c>
      <c r="O91" s="3">
        <v>3988</v>
      </c>
      <c r="P91" s="3">
        <v>4509</v>
      </c>
      <c r="Q91" s="3">
        <v>7237</v>
      </c>
      <c r="R91" s="3">
        <v>8161</v>
      </c>
      <c r="S91" s="3">
        <v>5093</v>
      </c>
      <c r="T91" s="3">
        <v>5964</v>
      </c>
      <c r="U91" s="3">
        <v>3788</v>
      </c>
      <c r="V91" s="3">
        <v>6140</v>
      </c>
      <c r="W91" s="3">
        <v>1947</v>
      </c>
      <c r="X91" s="3"/>
      <c r="Y91" s="3"/>
      <c r="Z91" s="3"/>
      <c r="AA91" s="3"/>
      <c r="AB91" s="3"/>
    </row>
    <row r="92" spans="1:42" x14ac:dyDescent="0.55000000000000004">
      <c r="A92" s="2" t="s">
        <v>96</v>
      </c>
      <c r="B92" s="3"/>
      <c r="C92" s="3"/>
      <c r="D92" s="3"/>
      <c r="E92" s="3"/>
      <c r="F92" s="3"/>
      <c r="G92" s="3"/>
      <c r="H92" s="3"/>
      <c r="I92" s="3"/>
      <c r="J92" s="3"/>
      <c r="K92" s="1"/>
      <c r="L92" s="1"/>
      <c r="N92" s="3">
        <v>5387</v>
      </c>
      <c r="O92" s="3">
        <v>2987</v>
      </c>
      <c r="P92" s="3">
        <v>3788</v>
      </c>
      <c r="Q92" s="3">
        <v>7394</v>
      </c>
      <c r="R92" s="3">
        <v>6218</v>
      </c>
      <c r="S92" s="3">
        <v>4027</v>
      </c>
      <c r="T92" s="3">
        <v>5098</v>
      </c>
      <c r="U92" s="3">
        <v>2399</v>
      </c>
      <c r="V92" s="3">
        <v>4717</v>
      </c>
      <c r="W92" s="3">
        <v>1169</v>
      </c>
      <c r="X92" s="3"/>
      <c r="Y92" s="3"/>
      <c r="Z92" s="3"/>
      <c r="AA92" s="3"/>
      <c r="AB92" s="3"/>
    </row>
    <row r="93" spans="1:42" x14ac:dyDescent="0.55000000000000004">
      <c r="A93" s="4" t="s">
        <v>97</v>
      </c>
      <c r="B93" s="5">
        <v>2718135</v>
      </c>
      <c r="C93" s="5">
        <v>146471</v>
      </c>
      <c r="D93" s="5">
        <v>107043</v>
      </c>
      <c r="E93" s="5">
        <v>111814</v>
      </c>
      <c r="F93" s="5">
        <v>4336</v>
      </c>
      <c r="G93" s="5">
        <v>4061</v>
      </c>
      <c r="H93" s="5">
        <v>2619844</v>
      </c>
      <c r="I93" s="5">
        <v>135715</v>
      </c>
      <c r="J93" s="5">
        <v>90372</v>
      </c>
      <c r="K93" s="14">
        <v>52.9</v>
      </c>
      <c r="L93" s="14">
        <v>39.4</v>
      </c>
      <c r="N93" s="5">
        <v>255087</v>
      </c>
      <c r="O93" s="5">
        <v>263893</v>
      </c>
      <c r="P93" s="5">
        <v>350286</v>
      </c>
      <c r="Q93" s="5">
        <v>284703</v>
      </c>
      <c r="R93" s="5">
        <v>207171</v>
      </c>
      <c r="S93" s="5">
        <v>130425</v>
      </c>
      <c r="T93" s="5">
        <v>211956</v>
      </c>
      <c r="U93" s="5">
        <v>177508</v>
      </c>
      <c r="V93" s="5">
        <v>187778</v>
      </c>
      <c r="W93" s="5">
        <v>186939</v>
      </c>
      <c r="X93" s="5">
        <v>277059</v>
      </c>
      <c r="Y93" s="5">
        <v>185330</v>
      </c>
      <c r="Z93" s="5"/>
      <c r="AA93" s="5"/>
      <c r="AB93" s="5"/>
      <c r="AD93" s="15">
        <f>SUM(N93:AB93)</f>
        <v>2718135</v>
      </c>
      <c r="AE93" s="15">
        <f>SUM(N94:AB94)</f>
        <v>146471</v>
      </c>
      <c r="AF93" s="15">
        <f>SUM(N95:AB95)</f>
        <v>107043</v>
      </c>
      <c r="AH93" s="15">
        <f>AD93-B93</f>
        <v>0</v>
      </c>
      <c r="AI93" s="15">
        <f>AE93-C93</f>
        <v>0</v>
      </c>
      <c r="AJ93" s="15">
        <f>AF93-D93</f>
        <v>0</v>
      </c>
      <c r="AL93" s="17">
        <f>C93/B93*1000</f>
        <v>53.886580320697831</v>
      </c>
      <c r="AM93" s="17">
        <f>D93/B93*1000</f>
        <v>39.381046195277278</v>
      </c>
      <c r="AO93" s="17">
        <f>AL93-K93</f>
        <v>0.98658032069783275</v>
      </c>
      <c r="AP93" s="17">
        <f>AM93-L93</f>
        <v>-1.8953804722720236E-2</v>
      </c>
    </row>
    <row r="94" spans="1:42" x14ac:dyDescent="0.55000000000000004">
      <c r="A94" s="2" t="s">
        <v>98</v>
      </c>
      <c r="B94" s="3"/>
      <c r="C94" s="3"/>
      <c r="D94" s="3"/>
      <c r="E94" s="3"/>
      <c r="F94" s="3"/>
      <c r="G94" s="3"/>
      <c r="H94" s="3"/>
      <c r="I94" s="3"/>
      <c r="J94" s="3"/>
      <c r="K94" s="1"/>
      <c r="L94" s="1"/>
      <c r="N94" s="3">
        <v>13684</v>
      </c>
      <c r="O94" s="3">
        <v>13294</v>
      </c>
      <c r="P94" s="3">
        <v>18208</v>
      </c>
      <c r="Q94" s="3">
        <v>16389</v>
      </c>
      <c r="R94" s="3">
        <v>10570</v>
      </c>
      <c r="S94" s="3">
        <v>6838</v>
      </c>
      <c r="T94" s="3">
        <v>11978</v>
      </c>
      <c r="U94" s="3">
        <v>9605</v>
      </c>
      <c r="V94" s="3">
        <v>10285</v>
      </c>
      <c r="W94" s="3">
        <v>10511</v>
      </c>
      <c r="X94" s="3">
        <v>15740</v>
      </c>
      <c r="Y94" s="3">
        <v>9369</v>
      </c>
      <c r="Z94" s="3"/>
      <c r="AA94" s="3"/>
      <c r="AB94" s="3"/>
    </row>
    <row r="95" spans="1:42" x14ac:dyDescent="0.55000000000000004">
      <c r="A95" s="2" t="s">
        <v>99</v>
      </c>
      <c r="B95" s="3"/>
      <c r="C95" s="3"/>
      <c r="D95" s="3"/>
      <c r="E95" s="3"/>
      <c r="F95" s="3"/>
      <c r="G95" s="3"/>
      <c r="H95" s="3"/>
      <c r="I95" s="3"/>
      <c r="J95" s="3"/>
      <c r="K95" s="1"/>
      <c r="L95" s="1"/>
      <c r="N95" s="3">
        <v>11081</v>
      </c>
      <c r="O95" s="3">
        <v>9087</v>
      </c>
      <c r="P95" s="3">
        <v>11315</v>
      </c>
      <c r="Q95" s="3">
        <v>10785</v>
      </c>
      <c r="R95" s="3">
        <v>7779</v>
      </c>
      <c r="S95" s="3">
        <v>5673</v>
      </c>
      <c r="T95" s="3">
        <v>9285</v>
      </c>
      <c r="U95" s="3">
        <v>6497</v>
      </c>
      <c r="V95" s="3">
        <v>8145</v>
      </c>
      <c r="W95" s="3">
        <v>7972</v>
      </c>
      <c r="X95" s="3">
        <v>13345</v>
      </c>
      <c r="Y95" s="3">
        <v>6079</v>
      </c>
      <c r="Z95" s="3"/>
      <c r="AA95" s="3"/>
      <c r="AB95" s="3"/>
    </row>
    <row r="96" spans="1:42" x14ac:dyDescent="0.55000000000000004">
      <c r="A96" s="4" t="s">
        <v>100</v>
      </c>
      <c r="B96" s="5">
        <v>2991483</v>
      </c>
      <c r="C96" s="5">
        <v>155453</v>
      </c>
      <c r="D96" s="5">
        <v>124264</v>
      </c>
      <c r="E96" s="5">
        <v>86976</v>
      </c>
      <c r="F96" s="5">
        <v>2631</v>
      </c>
      <c r="G96" s="5">
        <v>2447</v>
      </c>
      <c r="H96" s="5">
        <v>2919179</v>
      </c>
      <c r="I96" s="5">
        <v>150445</v>
      </c>
      <c r="J96" s="5">
        <v>107668</v>
      </c>
      <c r="K96" s="14">
        <v>52</v>
      </c>
      <c r="L96" s="14">
        <v>41.6</v>
      </c>
      <c r="N96" s="5">
        <v>205943</v>
      </c>
      <c r="O96" s="5">
        <v>366174</v>
      </c>
      <c r="P96" s="5">
        <v>217746</v>
      </c>
      <c r="Q96" s="5">
        <v>278265</v>
      </c>
      <c r="R96" s="5">
        <v>267514</v>
      </c>
      <c r="S96" s="5">
        <v>214486</v>
      </c>
      <c r="T96" s="5">
        <v>222413</v>
      </c>
      <c r="U96" s="5">
        <v>365419</v>
      </c>
      <c r="V96" s="5">
        <v>208502</v>
      </c>
      <c r="W96" s="5">
        <v>282502</v>
      </c>
      <c r="X96" s="5">
        <v>362519</v>
      </c>
      <c r="Y96" s="5"/>
      <c r="Z96" s="5"/>
      <c r="AA96" s="5"/>
      <c r="AB96" s="5"/>
      <c r="AD96" s="15">
        <f>SUM(N96:AB96)</f>
        <v>2991483</v>
      </c>
      <c r="AE96" s="15">
        <f>SUM(N97:AB97)</f>
        <v>155453</v>
      </c>
      <c r="AF96" s="15">
        <f>SUM(N98:AB98)</f>
        <v>124264</v>
      </c>
      <c r="AH96" s="15">
        <f>AD96-B96</f>
        <v>0</v>
      </c>
      <c r="AI96" s="15">
        <f>AE96-C96</f>
        <v>0</v>
      </c>
      <c r="AJ96" s="15">
        <f>AF96-D96</f>
        <v>0</v>
      </c>
      <c r="AL96" s="17">
        <f>C96/B96*1000</f>
        <v>51.965195857706696</v>
      </c>
      <c r="AM96" s="17">
        <f>D96/B96*1000</f>
        <v>41.539263301847278</v>
      </c>
      <c r="AO96" s="17">
        <f>AL96-K96</f>
        <v>-3.4804142293303642E-2</v>
      </c>
      <c r="AP96" s="17">
        <f>AM96-L96</f>
        <v>-6.0736698152723534E-2</v>
      </c>
    </row>
    <row r="97" spans="1:42" x14ac:dyDescent="0.55000000000000004">
      <c r="A97" s="2" t="s">
        <v>101</v>
      </c>
      <c r="B97" s="3"/>
      <c r="C97" s="3"/>
      <c r="D97" s="3"/>
      <c r="E97" s="3"/>
      <c r="F97" s="3"/>
      <c r="G97" s="3"/>
      <c r="H97" s="3"/>
      <c r="I97" s="3"/>
      <c r="J97" s="3"/>
      <c r="K97" s="1"/>
      <c r="L97" s="1"/>
      <c r="N97" s="3">
        <v>9885</v>
      </c>
      <c r="O97" s="3">
        <v>18236</v>
      </c>
      <c r="P97" s="3">
        <v>12459</v>
      </c>
      <c r="Q97" s="3">
        <v>13365</v>
      </c>
      <c r="R97" s="3">
        <v>13803</v>
      </c>
      <c r="S97" s="3">
        <v>11544</v>
      </c>
      <c r="T97" s="3">
        <v>10321</v>
      </c>
      <c r="U97" s="3">
        <v>18892</v>
      </c>
      <c r="V97" s="3">
        <v>10483</v>
      </c>
      <c r="W97" s="3">
        <v>16089</v>
      </c>
      <c r="X97" s="3">
        <v>20376</v>
      </c>
      <c r="Y97" s="3"/>
      <c r="Z97" s="3"/>
      <c r="AA97" s="3"/>
      <c r="AB97" s="3"/>
    </row>
    <row r="98" spans="1:42" x14ac:dyDescent="0.55000000000000004">
      <c r="A98" s="2" t="s">
        <v>102</v>
      </c>
      <c r="B98" s="3"/>
      <c r="C98" s="3"/>
      <c r="D98" s="3"/>
      <c r="E98" s="3"/>
      <c r="F98" s="3"/>
      <c r="G98" s="3"/>
      <c r="H98" s="3"/>
      <c r="I98" s="3"/>
      <c r="J98" s="3"/>
      <c r="K98" s="1"/>
      <c r="L98" s="1"/>
      <c r="N98" s="3">
        <v>9598</v>
      </c>
      <c r="O98" s="3">
        <v>14683</v>
      </c>
      <c r="P98" s="3">
        <v>8515</v>
      </c>
      <c r="Q98" s="3">
        <v>9108</v>
      </c>
      <c r="R98" s="3">
        <v>9561</v>
      </c>
      <c r="S98" s="3">
        <v>11347</v>
      </c>
      <c r="T98" s="3">
        <v>8305</v>
      </c>
      <c r="U98" s="3">
        <v>13529</v>
      </c>
      <c r="V98" s="3">
        <v>8065</v>
      </c>
      <c r="W98" s="3">
        <v>14853</v>
      </c>
      <c r="X98" s="3">
        <v>16700</v>
      </c>
      <c r="Y98" s="3"/>
      <c r="Z98" s="3"/>
      <c r="AA98" s="3"/>
      <c r="AB98" s="3"/>
    </row>
    <row r="99" spans="1:42" x14ac:dyDescent="0.55000000000000004">
      <c r="A99" s="4" t="s">
        <v>103</v>
      </c>
      <c r="B99" s="5">
        <v>1627149</v>
      </c>
      <c r="C99" s="5">
        <v>94682</v>
      </c>
      <c r="D99" s="5">
        <v>61392</v>
      </c>
      <c r="E99" s="5">
        <v>156992</v>
      </c>
      <c r="F99" s="5">
        <v>8043</v>
      </c>
      <c r="G99" s="5">
        <v>5883</v>
      </c>
      <c r="H99" s="5">
        <v>1730720</v>
      </c>
      <c r="I99" s="5">
        <v>94599</v>
      </c>
      <c r="J99" s="5">
        <v>55025</v>
      </c>
      <c r="K99" s="14">
        <v>58.2</v>
      </c>
      <c r="L99" s="14">
        <v>37.700000000000003</v>
      </c>
      <c r="N99" s="5">
        <v>229960</v>
      </c>
      <c r="O99" s="5">
        <v>228245</v>
      </c>
      <c r="P99" s="5">
        <v>228665</v>
      </c>
      <c r="Q99" s="5">
        <v>164309</v>
      </c>
      <c r="R99" s="5">
        <v>209704</v>
      </c>
      <c r="S99" s="5">
        <v>218840</v>
      </c>
      <c r="T99" s="5">
        <v>196612</v>
      </c>
      <c r="U99" s="5">
        <v>150814</v>
      </c>
      <c r="V99" s="5"/>
      <c r="W99" s="5"/>
      <c r="X99" s="5"/>
      <c r="Y99" s="5"/>
      <c r="Z99" s="5"/>
      <c r="AA99" s="5"/>
      <c r="AB99" s="5"/>
      <c r="AD99" s="15">
        <f>SUM(N99:AB99)</f>
        <v>1627149</v>
      </c>
      <c r="AE99" s="15">
        <f>SUM(N100:AB100)</f>
        <v>95682</v>
      </c>
      <c r="AF99" s="15">
        <f>SUM(N101:AB101)</f>
        <v>61392</v>
      </c>
      <c r="AH99" s="15">
        <f>AD99-B99</f>
        <v>0</v>
      </c>
      <c r="AI99" s="15">
        <f>AE99-C99</f>
        <v>1000</v>
      </c>
      <c r="AJ99" s="15">
        <f>AF99-D99</f>
        <v>0</v>
      </c>
      <c r="AL99" s="17">
        <f>C99/B99*1000</f>
        <v>58.188893580120812</v>
      </c>
      <c r="AM99" s="17">
        <f>D99/B99*1000</f>
        <v>37.729796103491445</v>
      </c>
      <c r="AO99" s="17">
        <f>AL99-K99</f>
        <v>-1.110641987919081E-2</v>
      </c>
      <c r="AP99" s="17">
        <f>AM99-L99</f>
        <v>2.9796103491442238E-2</v>
      </c>
    </row>
    <row r="100" spans="1:42" x14ac:dyDescent="0.55000000000000004">
      <c r="A100" s="2" t="s">
        <v>104</v>
      </c>
      <c r="B100" s="3"/>
      <c r="C100" s="3"/>
      <c r="D100" s="3"/>
      <c r="E100" s="3"/>
      <c r="F100" s="3"/>
      <c r="G100" s="3"/>
      <c r="H100" s="3"/>
      <c r="I100" s="3"/>
      <c r="J100" s="3"/>
      <c r="K100" s="1"/>
      <c r="L100" s="1"/>
      <c r="N100" s="3">
        <v>13195</v>
      </c>
      <c r="O100" s="3">
        <v>13964</v>
      </c>
      <c r="P100" s="3">
        <v>13159</v>
      </c>
      <c r="Q100" s="3">
        <v>9946</v>
      </c>
      <c r="R100" s="3">
        <v>12877</v>
      </c>
      <c r="S100" s="3">
        <v>12760</v>
      </c>
      <c r="T100" s="3">
        <v>12036</v>
      </c>
      <c r="U100" s="3">
        <v>7745</v>
      </c>
      <c r="V100" s="3"/>
      <c r="W100" s="3"/>
      <c r="X100" s="3"/>
      <c r="Y100" s="3"/>
      <c r="Z100" s="3"/>
      <c r="AA100" s="3"/>
      <c r="AB100" s="3"/>
    </row>
    <row r="101" spans="1:42" x14ac:dyDescent="0.55000000000000004">
      <c r="A101" s="2" t="s">
        <v>105</v>
      </c>
      <c r="B101" s="3"/>
      <c r="C101" s="3"/>
      <c r="D101" s="3"/>
      <c r="E101" s="3"/>
      <c r="F101" s="3"/>
      <c r="G101" s="3"/>
      <c r="H101" s="3"/>
      <c r="I101" s="3"/>
      <c r="J101" s="3"/>
      <c r="K101" s="1"/>
      <c r="L101" s="1"/>
      <c r="N101" s="3">
        <v>7785</v>
      </c>
      <c r="O101" s="3">
        <v>7986</v>
      </c>
      <c r="P101" s="3">
        <v>9607</v>
      </c>
      <c r="Q101" s="3">
        <v>5146</v>
      </c>
      <c r="R101" s="3">
        <v>8123</v>
      </c>
      <c r="S101" s="3">
        <v>7291</v>
      </c>
      <c r="T101" s="3">
        <v>10016</v>
      </c>
      <c r="U101" s="3">
        <v>5438</v>
      </c>
      <c r="V101" s="3"/>
      <c r="W101" s="3"/>
      <c r="X101" s="3"/>
      <c r="Y101" s="3"/>
      <c r="Z101" s="3"/>
      <c r="AA101" s="3"/>
      <c r="AB101" s="3"/>
    </row>
    <row r="102" spans="1:42" x14ac:dyDescent="0.55000000000000004">
      <c r="A102" s="4" t="s">
        <v>106</v>
      </c>
      <c r="B102" s="5">
        <v>2164495</v>
      </c>
      <c r="C102" s="5">
        <v>102705</v>
      </c>
      <c r="D102" s="5">
        <v>77204</v>
      </c>
      <c r="E102" s="5">
        <v>197560</v>
      </c>
      <c r="F102" s="5">
        <v>6591</v>
      </c>
      <c r="G102" s="5">
        <v>6413</v>
      </c>
      <c r="H102" s="5">
        <v>2181699</v>
      </c>
      <c r="I102" s="5">
        <v>107741</v>
      </c>
      <c r="J102" s="5">
        <v>67512</v>
      </c>
      <c r="K102" s="14">
        <v>47.4</v>
      </c>
      <c r="L102" s="14">
        <v>35.6</v>
      </c>
      <c r="N102" s="5">
        <v>370084</v>
      </c>
      <c r="O102" s="5">
        <v>94895</v>
      </c>
      <c r="P102" s="5">
        <v>195376</v>
      </c>
      <c r="Q102" s="5">
        <v>196311</v>
      </c>
      <c r="R102" s="5">
        <v>127641</v>
      </c>
      <c r="S102" s="5">
        <v>173769</v>
      </c>
      <c r="T102" s="5">
        <v>192447</v>
      </c>
      <c r="U102" s="5">
        <v>105480</v>
      </c>
      <c r="V102" s="5">
        <v>158866</v>
      </c>
      <c r="W102" s="5">
        <v>117550</v>
      </c>
      <c r="X102" s="5">
        <v>295304</v>
      </c>
      <c r="Y102" s="5">
        <v>136772</v>
      </c>
      <c r="Z102" s="5"/>
      <c r="AA102" s="5"/>
      <c r="AB102" s="5"/>
      <c r="AD102" s="15">
        <f>SUM(N102:AB102)</f>
        <v>2164495</v>
      </c>
      <c r="AE102" s="15">
        <f>SUM(N103:AB103)</f>
        <v>102705</v>
      </c>
      <c r="AF102" s="15">
        <f>SUM(N104:AB104)</f>
        <v>77204</v>
      </c>
      <c r="AH102" s="15">
        <f>AD102-B102</f>
        <v>0</v>
      </c>
      <c r="AI102" s="15">
        <f>AE102-C102</f>
        <v>0</v>
      </c>
      <c r="AJ102" s="15">
        <f>AF102-D102</f>
        <v>0</v>
      </c>
      <c r="AL102" s="17">
        <f>C102/B102*1000</f>
        <v>47.449867059059962</v>
      </c>
      <c r="AM102" s="17">
        <f>D102/B102*1000</f>
        <v>35.668366062291668</v>
      </c>
      <c r="AO102" s="17">
        <f>AL102-K102</f>
        <v>4.9867059059963026E-2</v>
      </c>
      <c r="AP102" s="17">
        <f>AM102-L102</f>
        <v>6.8366062291666196E-2</v>
      </c>
    </row>
    <row r="103" spans="1:42" x14ac:dyDescent="0.55000000000000004">
      <c r="A103" s="2" t="s">
        <v>107</v>
      </c>
      <c r="B103" s="3"/>
      <c r="C103" s="3"/>
      <c r="D103" s="3"/>
      <c r="E103" s="3"/>
      <c r="F103" s="3"/>
      <c r="G103" s="3"/>
      <c r="H103" s="3"/>
      <c r="I103" s="3"/>
      <c r="J103" s="3"/>
      <c r="K103" s="1"/>
      <c r="L103" s="1"/>
      <c r="N103" s="3">
        <v>15227</v>
      </c>
      <c r="O103" s="3">
        <v>4506</v>
      </c>
      <c r="P103" s="3">
        <v>9090</v>
      </c>
      <c r="Q103" s="3">
        <v>8537</v>
      </c>
      <c r="R103" s="3">
        <v>6361</v>
      </c>
      <c r="S103" s="3">
        <v>9164</v>
      </c>
      <c r="T103" s="3">
        <v>8980</v>
      </c>
      <c r="U103" s="3">
        <v>5584</v>
      </c>
      <c r="V103" s="3">
        <v>7244</v>
      </c>
      <c r="W103" s="3">
        <v>5990</v>
      </c>
      <c r="X103" s="3">
        <v>14745</v>
      </c>
      <c r="Y103" s="3">
        <v>7277</v>
      </c>
      <c r="Z103" s="3"/>
      <c r="AA103" s="3"/>
      <c r="AB103" s="3"/>
    </row>
    <row r="104" spans="1:42" x14ac:dyDescent="0.55000000000000004">
      <c r="A104" s="2" t="s">
        <v>108</v>
      </c>
      <c r="B104" s="3"/>
      <c r="C104" s="3"/>
      <c r="D104" s="3"/>
      <c r="E104" s="3"/>
      <c r="F104" s="3"/>
      <c r="G104" s="3"/>
      <c r="H104" s="3"/>
      <c r="I104" s="3"/>
      <c r="J104" s="3"/>
      <c r="K104" s="1"/>
      <c r="L104" s="1"/>
      <c r="N104" s="3">
        <v>12415</v>
      </c>
      <c r="O104" s="3">
        <v>3222</v>
      </c>
      <c r="P104" s="3">
        <v>7237</v>
      </c>
      <c r="Q104" s="3">
        <v>5420</v>
      </c>
      <c r="R104" s="3">
        <v>4887</v>
      </c>
      <c r="S104" s="3">
        <v>7176</v>
      </c>
      <c r="T104" s="3">
        <v>6627</v>
      </c>
      <c r="U104" s="3">
        <v>4433</v>
      </c>
      <c r="V104" s="3">
        <v>5812</v>
      </c>
      <c r="W104" s="3">
        <v>4332</v>
      </c>
      <c r="X104" s="3">
        <v>10261</v>
      </c>
      <c r="Y104" s="3">
        <v>5382</v>
      </c>
      <c r="Z104" s="3"/>
      <c r="AA104" s="3"/>
      <c r="AB104" s="3"/>
    </row>
    <row r="105" spans="1:42" x14ac:dyDescent="0.55000000000000004">
      <c r="A105" s="4" t="s">
        <v>109</v>
      </c>
      <c r="B105" s="5">
        <v>1233522</v>
      </c>
      <c r="C105" s="5">
        <v>58487</v>
      </c>
      <c r="D105" s="5">
        <v>46340</v>
      </c>
      <c r="E105" s="5">
        <v>96948</v>
      </c>
      <c r="F105" s="5">
        <v>2843</v>
      </c>
      <c r="G105" s="5">
        <v>2661</v>
      </c>
      <c r="H105" s="5">
        <v>1210629</v>
      </c>
      <c r="I105" s="5">
        <v>57145</v>
      </c>
      <c r="J105" s="5">
        <v>40172</v>
      </c>
      <c r="K105" s="14">
        <v>47.4</v>
      </c>
      <c r="L105" s="14">
        <v>37.6</v>
      </c>
      <c r="N105" s="5">
        <v>110727</v>
      </c>
      <c r="O105" s="5">
        <v>76841</v>
      </c>
      <c r="P105" s="5">
        <v>230344</v>
      </c>
      <c r="Q105" s="5">
        <v>130394</v>
      </c>
      <c r="R105" s="5">
        <v>91120</v>
      </c>
      <c r="S105" s="5">
        <v>50776</v>
      </c>
      <c r="T105" s="5">
        <v>124350</v>
      </c>
      <c r="U105" s="5">
        <v>118817</v>
      </c>
      <c r="V105" s="5">
        <v>160055</v>
      </c>
      <c r="W105" s="5">
        <v>69709</v>
      </c>
      <c r="X105" s="5">
        <v>70389</v>
      </c>
      <c r="Y105" s="5"/>
      <c r="Z105" s="5"/>
      <c r="AA105" s="5"/>
      <c r="AB105" s="5"/>
      <c r="AD105" s="15">
        <f>SUM(N105:AB105)</f>
        <v>1233522</v>
      </c>
      <c r="AE105" s="15">
        <f>SUM(N106:AB106)</f>
        <v>58487</v>
      </c>
      <c r="AF105" s="15">
        <f>SUM(N107:AB107)</f>
        <v>46240</v>
      </c>
      <c r="AH105" s="15">
        <f>AD105-B105</f>
        <v>0</v>
      </c>
      <c r="AI105" s="15">
        <f>AE105-C105</f>
        <v>0</v>
      </c>
      <c r="AJ105" s="15">
        <f>AF105-D105</f>
        <v>-100</v>
      </c>
      <c r="AL105" s="17">
        <f>C105/B105*1000</f>
        <v>47.414638733642363</v>
      </c>
      <c r="AM105" s="17">
        <f>D105/B105*1000</f>
        <v>37.5672262026944</v>
      </c>
      <c r="AO105" s="17">
        <f>AL105-K105</f>
        <v>1.4638733642364343E-2</v>
      </c>
      <c r="AP105" s="17">
        <f>AM105-L105</f>
        <v>-3.2773797305601704E-2</v>
      </c>
    </row>
    <row r="106" spans="1:42" x14ac:dyDescent="0.55000000000000004">
      <c r="A106" s="2" t="s">
        <v>110</v>
      </c>
      <c r="B106" s="3"/>
      <c r="C106" s="3"/>
      <c r="D106" s="3"/>
      <c r="E106" s="3"/>
      <c r="F106" s="3"/>
      <c r="G106" s="3"/>
      <c r="H106" s="3"/>
      <c r="I106" s="3"/>
      <c r="J106" s="3"/>
      <c r="K106" s="1"/>
      <c r="L106" s="1"/>
      <c r="N106" s="3">
        <v>4631</v>
      </c>
      <c r="O106" s="3">
        <v>2829</v>
      </c>
      <c r="P106" s="3">
        <v>13534</v>
      </c>
      <c r="Q106" s="3">
        <v>6021</v>
      </c>
      <c r="R106" s="3">
        <v>4433</v>
      </c>
      <c r="S106" s="3">
        <v>1998</v>
      </c>
      <c r="T106" s="3">
        <v>6113</v>
      </c>
      <c r="U106" s="3">
        <v>4827</v>
      </c>
      <c r="V106" s="3">
        <v>8260</v>
      </c>
      <c r="W106" s="3">
        <v>3044</v>
      </c>
      <c r="X106" s="3">
        <v>2797</v>
      </c>
      <c r="Y106" s="3"/>
      <c r="Z106" s="3"/>
      <c r="AA106" s="3"/>
      <c r="AB106" s="3"/>
    </row>
    <row r="107" spans="1:42" x14ac:dyDescent="0.55000000000000004">
      <c r="A107" s="2" t="s">
        <v>111</v>
      </c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N107" s="3">
        <v>4076</v>
      </c>
      <c r="O107" s="3">
        <v>2832</v>
      </c>
      <c r="P107" s="3">
        <v>8953</v>
      </c>
      <c r="Q107" s="3">
        <v>4388</v>
      </c>
      <c r="R107" s="3">
        <v>3619</v>
      </c>
      <c r="S107" s="3">
        <v>2392</v>
      </c>
      <c r="T107" s="3">
        <v>5591</v>
      </c>
      <c r="U107" s="3">
        <v>3520</v>
      </c>
      <c r="V107" s="3">
        <v>6198</v>
      </c>
      <c r="W107" s="3">
        <v>2523</v>
      </c>
      <c r="X107" s="3">
        <v>2148</v>
      </c>
      <c r="Y107" s="3"/>
      <c r="Z107" s="3"/>
      <c r="AA107" s="3"/>
      <c r="AB107" s="3"/>
    </row>
    <row r="108" spans="1:42" x14ac:dyDescent="0.55000000000000004">
      <c r="A108" s="4" t="s">
        <v>112</v>
      </c>
      <c r="B108" s="5">
        <v>1381792</v>
      </c>
      <c r="C108" s="5">
        <v>62711</v>
      </c>
      <c r="D108" s="5">
        <v>56274</v>
      </c>
      <c r="E108" s="5">
        <v>69586</v>
      </c>
      <c r="F108" s="5">
        <v>2967</v>
      </c>
      <c r="G108" s="5">
        <v>2998</v>
      </c>
      <c r="H108" s="5">
        <v>1361033</v>
      </c>
      <c r="I108" s="5">
        <v>63368</v>
      </c>
      <c r="J108" s="5">
        <v>47274</v>
      </c>
      <c r="K108" s="14">
        <v>45.4</v>
      </c>
      <c r="L108" s="14">
        <v>40.700000000000003</v>
      </c>
      <c r="N108" s="5">
        <v>172175</v>
      </c>
      <c r="O108" s="5">
        <v>72838</v>
      </c>
      <c r="P108" s="5">
        <v>113144</v>
      </c>
      <c r="Q108" s="5">
        <v>106465</v>
      </c>
      <c r="R108" s="5">
        <v>112042</v>
      </c>
      <c r="S108" s="5">
        <v>132531</v>
      </c>
      <c r="T108" s="5">
        <v>104936</v>
      </c>
      <c r="U108" s="5">
        <v>140677</v>
      </c>
      <c r="V108" s="5">
        <v>174495</v>
      </c>
      <c r="W108" s="5">
        <v>63259</v>
      </c>
      <c r="X108" s="5">
        <v>56632</v>
      </c>
      <c r="Y108" s="5">
        <v>132698</v>
      </c>
      <c r="Z108" s="5"/>
      <c r="AA108" s="5"/>
      <c r="AB108" s="5"/>
      <c r="AD108" s="15">
        <f>SUM(N108:AB108)</f>
        <v>1381892</v>
      </c>
      <c r="AE108" s="15">
        <f>SUM(N109:AB109)</f>
        <v>62711</v>
      </c>
      <c r="AF108" s="15">
        <f>SUM(N110:AB110)</f>
        <v>56274</v>
      </c>
      <c r="AH108" s="15">
        <f>AD108-B108</f>
        <v>100</v>
      </c>
      <c r="AI108" s="15">
        <f>AE108-C108</f>
        <v>0</v>
      </c>
      <c r="AJ108" s="15">
        <f>AF108-D108</f>
        <v>0</v>
      </c>
      <c r="AL108" s="17">
        <f>C108/B108*1000</f>
        <v>45.383820430281837</v>
      </c>
      <c r="AM108" s="17">
        <f>D108/B108*1000</f>
        <v>40.725376901878143</v>
      </c>
      <c r="AO108" s="17">
        <f>AL108-K108</f>
        <v>-1.6179569718161702E-2</v>
      </c>
      <c r="AP108" s="17">
        <f>AM108-L108</f>
        <v>2.537690187813979E-2</v>
      </c>
    </row>
    <row r="109" spans="1:42" x14ac:dyDescent="0.55000000000000004">
      <c r="A109" s="2" t="s">
        <v>113</v>
      </c>
      <c r="B109" s="3"/>
      <c r="C109" s="3"/>
      <c r="D109" s="3"/>
      <c r="E109" s="3"/>
      <c r="F109" s="3"/>
      <c r="G109" s="3"/>
      <c r="H109" s="3"/>
      <c r="I109" s="3"/>
      <c r="J109" s="3"/>
      <c r="K109" s="1"/>
      <c r="L109" s="1"/>
      <c r="N109" s="3">
        <v>7241</v>
      </c>
      <c r="O109" s="3">
        <v>3093</v>
      </c>
      <c r="P109" s="3">
        <v>4790</v>
      </c>
      <c r="Q109" s="3">
        <v>6592</v>
      </c>
      <c r="R109" s="3">
        <v>4446</v>
      </c>
      <c r="S109" s="3">
        <v>6318</v>
      </c>
      <c r="T109" s="3">
        <v>4979</v>
      </c>
      <c r="U109" s="3">
        <v>6956</v>
      </c>
      <c r="V109" s="3">
        <v>7511</v>
      </c>
      <c r="W109" s="3">
        <v>2198</v>
      </c>
      <c r="X109" s="3">
        <v>2246</v>
      </c>
      <c r="Y109" s="3">
        <v>6341</v>
      </c>
      <c r="Z109" s="3"/>
      <c r="AA109" s="3"/>
      <c r="AB109" s="3"/>
    </row>
    <row r="110" spans="1:42" x14ac:dyDescent="0.55000000000000004">
      <c r="A110" s="2" t="s">
        <v>114</v>
      </c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N110" s="3">
        <v>6901</v>
      </c>
      <c r="O110" s="3">
        <v>2883</v>
      </c>
      <c r="P110" s="3">
        <v>4046</v>
      </c>
      <c r="Q110" s="3">
        <v>5450</v>
      </c>
      <c r="R110" s="3">
        <v>3852</v>
      </c>
      <c r="S110" s="3">
        <v>5682</v>
      </c>
      <c r="T110" s="3">
        <v>3271</v>
      </c>
      <c r="U110" s="3">
        <v>5594</v>
      </c>
      <c r="V110" s="3">
        <v>8098</v>
      </c>
      <c r="W110" s="3">
        <v>1732</v>
      </c>
      <c r="X110" s="3">
        <v>1836</v>
      </c>
      <c r="Y110" s="3">
        <v>6929</v>
      </c>
      <c r="Z110" s="3"/>
      <c r="AA110" s="3"/>
      <c r="AB110" s="3"/>
    </row>
    <row r="111" spans="1:42" x14ac:dyDescent="0.55000000000000004">
      <c r="A111" s="4" t="s">
        <v>115</v>
      </c>
      <c r="B111" s="5">
        <v>2546846</v>
      </c>
      <c r="C111" s="5">
        <v>119967</v>
      </c>
      <c r="D111" s="5">
        <v>80056</v>
      </c>
      <c r="E111" s="5">
        <v>170865</v>
      </c>
      <c r="F111" s="5">
        <v>9306</v>
      </c>
      <c r="G111" s="5">
        <v>7374</v>
      </c>
      <c r="H111" s="5">
        <v>2473537</v>
      </c>
      <c r="I111" s="5">
        <v>119699</v>
      </c>
      <c r="J111" s="5">
        <v>72914</v>
      </c>
      <c r="K111" s="14">
        <v>47.1</v>
      </c>
      <c r="L111" s="14">
        <v>31.4</v>
      </c>
      <c r="N111" s="5">
        <v>236691</v>
      </c>
      <c r="O111" s="5">
        <v>184342</v>
      </c>
      <c r="P111" s="5">
        <v>200358</v>
      </c>
      <c r="Q111" s="5">
        <v>120492</v>
      </c>
      <c r="R111" s="5">
        <v>186598</v>
      </c>
      <c r="S111" s="5">
        <v>130505</v>
      </c>
      <c r="T111" s="5">
        <v>182913</v>
      </c>
      <c r="U111" s="5">
        <v>192833</v>
      </c>
      <c r="V111" s="5">
        <v>166267</v>
      </c>
      <c r="W111" s="5">
        <v>157842</v>
      </c>
      <c r="X111" s="5">
        <v>166180</v>
      </c>
      <c r="Y111" s="5">
        <v>158900</v>
      </c>
      <c r="Z111" s="5">
        <v>170567</v>
      </c>
      <c r="AA111" s="5">
        <v>138978</v>
      </c>
      <c r="AB111" s="5">
        <v>153380</v>
      </c>
      <c r="AD111" s="15">
        <f>SUM(N111:AB111)</f>
        <v>2546846</v>
      </c>
      <c r="AE111" s="15">
        <f>SUM(N112:AB112)</f>
        <v>119970</v>
      </c>
      <c r="AF111" s="15">
        <f>SUM(N113:AB113)</f>
        <v>80056</v>
      </c>
      <c r="AH111" s="15">
        <f>AD111-B111</f>
        <v>0</v>
      </c>
      <c r="AI111" s="15">
        <f>AE111-C111</f>
        <v>3</v>
      </c>
      <c r="AJ111" s="15">
        <f>AF111-D111</f>
        <v>0</v>
      </c>
      <c r="AL111" s="17">
        <f>C111/B111*1000</f>
        <v>47.104143713440074</v>
      </c>
      <c r="AM111" s="17">
        <f>D111/B111*1000</f>
        <v>31.433388591222243</v>
      </c>
      <c r="AO111" s="17">
        <f>AL111-K111</f>
        <v>4.1437134400723608E-3</v>
      </c>
      <c r="AP111" s="17">
        <f>AM111-L111</f>
        <v>3.3388591222244912E-2</v>
      </c>
    </row>
    <row r="112" spans="1:42" x14ac:dyDescent="0.55000000000000004">
      <c r="A112" s="2" t="s">
        <v>116</v>
      </c>
      <c r="B112" s="3"/>
      <c r="C112" s="3"/>
      <c r="D112" s="3"/>
      <c r="E112" s="3"/>
      <c r="F112" s="3"/>
      <c r="G112" s="3"/>
      <c r="H112" s="3"/>
      <c r="I112" s="3"/>
      <c r="J112" s="3"/>
      <c r="K112" s="1"/>
      <c r="L112" s="1"/>
      <c r="N112" s="3">
        <v>10973</v>
      </c>
      <c r="O112" s="3">
        <v>8890</v>
      </c>
      <c r="P112" s="3">
        <v>8829</v>
      </c>
      <c r="Q112" s="3">
        <v>6485</v>
      </c>
      <c r="R112" s="3">
        <v>8600</v>
      </c>
      <c r="S112" s="3">
        <v>6518</v>
      </c>
      <c r="T112" s="3">
        <v>8509</v>
      </c>
      <c r="U112" s="3">
        <v>9832</v>
      </c>
      <c r="V112" s="3">
        <v>7922</v>
      </c>
      <c r="W112" s="3">
        <v>7716</v>
      </c>
      <c r="X112" s="3">
        <v>7757</v>
      </c>
      <c r="Y112" s="3">
        <v>7569</v>
      </c>
      <c r="Z112" s="3">
        <v>7248</v>
      </c>
      <c r="AA112" s="3">
        <v>5751</v>
      </c>
      <c r="AB112" s="3">
        <v>7371</v>
      </c>
    </row>
    <row r="113" spans="1:42" x14ac:dyDescent="0.55000000000000004">
      <c r="A113" s="2" t="s">
        <v>117</v>
      </c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N113" s="3">
        <v>7828</v>
      </c>
      <c r="O113" s="3">
        <v>5838</v>
      </c>
      <c r="P113" s="3">
        <v>4817</v>
      </c>
      <c r="Q113" s="3">
        <v>4728</v>
      </c>
      <c r="R113" s="3">
        <v>5717</v>
      </c>
      <c r="S113" s="3">
        <v>4125</v>
      </c>
      <c r="T113" s="3">
        <v>5855</v>
      </c>
      <c r="U113" s="3">
        <v>6820</v>
      </c>
      <c r="V113" s="3">
        <v>5057</v>
      </c>
      <c r="W113" s="3">
        <v>4960</v>
      </c>
      <c r="X113" s="3">
        <v>5585</v>
      </c>
      <c r="Y113" s="3">
        <v>4432</v>
      </c>
      <c r="Z113" s="3">
        <v>5351</v>
      </c>
      <c r="AA113" s="3">
        <v>3686</v>
      </c>
      <c r="AB113" s="3">
        <v>5257</v>
      </c>
    </row>
    <row r="114" spans="1:42" x14ac:dyDescent="0.55000000000000004">
      <c r="A114" s="4" t="s">
        <v>118</v>
      </c>
      <c r="B114" s="5">
        <v>798742</v>
      </c>
      <c r="C114" s="5">
        <v>33039</v>
      </c>
      <c r="D114" s="5">
        <v>29865</v>
      </c>
      <c r="E114" s="5"/>
      <c r="F114" s="5"/>
      <c r="G114" s="5"/>
      <c r="H114" s="5">
        <v>766439</v>
      </c>
      <c r="I114" s="5">
        <v>32943</v>
      </c>
      <c r="J114" s="5">
        <v>26673</v>
      </c>
      <c r="K114" s="14">
        <v>41.4</v>
      </c>
      <c r="L114" s="14">
        <v>37.4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D114" s="15">
        <f>B114</f>
        <v>798742</v>
      </c>
      <c r="AE114" s="15">
        <f>C114</f>
        <v>33039</v>
      </c>
      <c r="AF114" s="15">
        <f>D114</f>
        <v>29865</v>
      </c>
      <c r="AG114" s="18"/>
      <c r="AH114" s="18"/>
      <c r="AI114" s="18"/>
      <c r="AJ114" s="18"/>
      <c r="AL114" s="17">
        <f>C114/B114*1000</f>
        <v>41.363794566956543</v>
      </c>
      <c r="AM114" s="17">
        <f>D114/B114*1000</f>
        <v>37.390045847094555</v>
      </c>
      <c r="AO114" s="17">
        <f>AL114-K114</f>
        <v>-3.6205433043456026E-2</v>
      </c>
      <c r="AP114" s="17">
        <f>AM114-L114</f>
        <v>-9.9541529054434363E-3</v>
      </c>
    </row>
    <row r="115" spans="1:42" x14ac:dyDescent="0.55000000000000004">
      <c r="A115" s="4" t="s">
        <v>119</v>
      </c>
      <c r="B115" s="5">
        <v>1493040</v>
      </c>
      <c r="C115" s="5">
        <v>67164</v>
      </c>
      <c r="D115" s="5">
        <v>58932</v>
      </c>
      <c r="E115" s="5">
        <v>106323</v>
      </c>
      <c r="F115" s="5">
        <v>2688</v>
      </c>
      <c r="G115" s="5">
        <v>2369</v>
      </c>
      <c r="H115" s="5">
        <v>1468290</v>
      </c>
      <c r="I115" s="5">
        <v>67620</v>
      </c>
      <c r="J115" s="5">
        <v>54943</v>
      </c>
      <c r="K115" s="14">
        <v>45</v>
      </c>
      <c r="L115" s="14">
        <v>39.5</v>
      </c>
      <c r="N115" s="5">
        <v>141427</v>
      </c>
      <c r="O115" s="5">
        <v>190140</v>
      </c>
      <c r="P115" s="5">
        <v>146598</v>
      </c>
      <c r="Q115" s="5">
        <v>58603</v>
      </c>
      <c r="R115" s="5">
        <v>93461</v>
      </c>
      <c r="S115" s="5">
        <v>142193</v>
      </c>
      <c r="T115" s="5">
        <v>93543</v>
      </c>
      <c r="U115" s="5">
        <v>123057</v>
      </c>
      <c r="V115" s="5">
        <v>134717</v>
      </c>
      <c r="W115" s="5">
        <v>68957</v>
      </c>
      <c r="X115" s="5">
        <v>100643</v>
      </c>
      <c r="Y115" s="5">
        <v>69498</v>
      </c>
      <c r="Z115" s="5">
        <v>130203</v>
      </c>
      <c r="AA115" s="5"/>
      <c r="AB115" s="5"/>
      <c r="AD115" s="15">
        <f>SUM(N115:AB115)</f>
        <v>1493040</v>
      </c>
      <c r="AE115" s="15">
        <f>SUM(N116:AB116)</f>
        <v>67164</v>
      </c>
      <c r="AF115" s="15">
        <f>SUM(N117:AB117)</f>
        <v>58932</v>
      </c>
      <c r="AH115" s="15">
        <f>AD115-B115</f>
        <v>0</v>
      </c>
      <c r="AI115" s="15">
        <f>AE115-C115</f>
        <v>0</v>
      </c>
      <c r="AJ115" s="15">
        <f>AF115-D115</f>
        <v>0</v>
      </c>
      <c r="AL115" s="17">
        <f>C115/B115*1000</f>
        <v>44.984729143224563</v>
      </c>
      <c r="AM115" s="17">
        <f>D115/B115*1000</f>
        <v>39.471146117987459</v>
      </c>
      <c r="AO115" s="17">
        <f>AL115-K115</f>
        <v>-1.527085677543738E-2</v>
      </c>
      <c r="AP115" s="17">
        <f>AM115-L115</f>
        <v>-2.8853882012541021E-2</v>
      </c>
    </row>
    <row r="116" spans="1:42" x14ac:dyDescent="0.55000000000000004">
      <c r="A116" s="2" t="s">
        <v>120</v>
      </c>
      <c r="B116" s="3"/>
      <c r="C116" s="3"/>
      <c r="D116" s="3"/>
      <c r="E116" s="3"/>
      <c r="F116" s="3"/>
      <c r="G116" s="3"/>
      <c r="H116" s="3"/>
      <c r="I116" s="3"/>
      <c r="J116" s="3"/>
      <c r="K116" s="1"/>
      <c r="L116" s="1"/>
      <c r="N116" s="3">
        <v>8750</v>
      </c>
      <c r="O116" s="3">
        <v>9567</v>
      </c>
      <c r="P116" s="3">
        <v>6416</v>
      </c>
      <c r="Q116" s="3">
        <v>2734</v>
      </c>
      <c r="R116" s="3">
        <v>3850</v>
      </c>
      <c r="S116" s="3">
        <v>5678</v>
      </c>
      <c r="T116" s="3">
        <v>4140</v>
      </c>
      <c r="U116" s="3">
        <v>5644</v>
      </c>
      <c r="V116" s="3">
        <v>4949</v>
      </c>
      <c r="W116" s="3">
        <v>3240</v>
      </c>
      <c r="X116" s="3">
        <v>4111</v>
      </c>
      <c r="Y116" s="3">
        <v>3170</v>
      </c>
      <c r="Z116" s="3">
        <v>4915</v>
      </c>
      <c r="AA116" s="3"/>
      <c r="AB116" s="3"/>
    </row>
    <row r="117" spans="1:42" x14ac:dyDescent="0.55000000000000004">
      <c r="A117" s="2" t="s">
        <v>121</v>
      </c>
      <c r="B117" s="3"/>
      <c r="C117" s="3"/>
      <c r="D117" s="3"/>
      <c r="E117" s="3"/>
      <c r="F117" s="3"/>
      <c r="G117" s="3"/>
      <c r="H117" s="3"/>
      <c r="I117" s="3"/>
      <c r="J117" s="3"/>
      <c r="K117" s="1"/>
      <c r="L117" s="1"/>
      <c r="N117" s="3">
        <v>7010</v>
      </c>
      <c r="O117" s="3">
        <v>7552</v>
      </c>
      <c r="P117" s="3">
        <v>4709</v>
      </c>
      <c r="Q117" s="3">
        <v>2821</v>
      </c>
      <c r="R117" s="3">
        <v>3482</v>
      </c>
      <c r="S117" s="3">
        <v>6063</v>
      </c>
      <c r="T117" s="3">
        <v>3765</v>
      </c>
      <c r="U117" s="3">
        <v>4775</v>
      </c>
      <c r="V117" s="3">
        <v>3659</v>
      </c>
      <c r="W117" s="3">
        <v>3591</v>
      </c>
      <c r="X117" s="3">
        <v>3442</v>
      </c>
      <c r="Y117" s="3">
        <v>3752</v>
      </c>
      <c r="Z117" s="3">
        <v>4311</v>
      </c>
      <c r="AA117" s="3"/>
      <c r="AB117" s="3"/>
    </row>
    <row r="118" spans="1:42" x14ac:dyDescent="0.55000000000000004">
      <c r="A118" s="4" t="s">
        <v>122</v>
      </c>
      <c r="B118" s="5">
        <v>1551229</v>
      </c>
      <c r="C118" s="5">
        <v>81613</v>
      </c>
      <c r="D118" s="5">
        <v>67395</v>
      </c>
      <c r="E118" s="5">
        <v>109633</v>
      </c>
      <c r="F118" s="5">
        <v>4521</v>
      </c>
      <c r="G118" s="5">
        <v>4635</v>
      </c>
      <c r="H118" s="5">
        <v>1518423</v>
      </c>
      <c r="I118" s="5">
        <v>83979</v>
      </c>
      <c r="J118" s="5">
        <v>63234</v>
      </c>
      <c r="K118" s="14">
        <v>52.6</v>
      </c>
      <c r="L118" s="14">
        <v>43.5</v>
      </c>
      <c r="N118" s="5">
        <v>207537</v>
      </c>
      <c r="O118" s="5">
        <v>141196</v>
      </c>
      <c r="P118" s="5">
        <v>146471</v>
      </c>
      <c r="Q118" s="5">
        <v>112500</v>
      </c>
      <c r="R118" s="5">
        <v>126757</v>
      </c>
      <c r="S118" s="5">
        <v>127327</v>
      </c>
      <c r="T118" s="5">
        <v>117773</v>
      </c>
      <c r="U118" s="5">
        <v>195838</v>
      </c>
      <c r="V118" s="5">
        <v>103705</v>
      </c>
      <c r="W118" s="5">
        <v>108068</v>
      </c>
      <c r="X118" s="5">
        <v>166056</v>
      </c>
      <c r="Y118" s="5"/>
      <c r="Z118" s="5"/>
      <c r="AA118" s="5"/>
      <c r="AB118" s="5"/>
      <c r="AD118" s="15">
        <f>SUM(N118:AB118)</f>
        <v>1553228</v>
      </c>
      <c r="AE118" s="15">
        <f>SUM(N119:AB119)</f>
        <v>81612</v>
      </c>
      <c r="AF118" s="15">
        <f>SUM(N120:AB120)</f>
        <v>67395</v>
      </c>
      <c r="AH118" s="15">
        <f>AD118-B118</f>
        <v>1999</v>
      </c>
      <c r="AI118" s="15">
        <f>AE118-C118</f>
        <v>-1</v>
      </c>
      <c r="AJ118" s="15">
        <f>AF118-D118</f>
        <v>0</v>
      </c>
      <c r="AL118" s="17">
        <f>C118/B118*1000</f>
        <v>52.611832295554045</v>
      </c>
      <c r="AM118" s="17">
        <f>D118/B118*1000</f>
        <v>43.446196531911148</v>
      </c>
      <c r="AO118" s="17">
        <f>AL118-K118</f>
        <v>1.1832295554043526E-2</v>
      </c>
      <c r="AP118" s="17">
        <f>AM118-L118</f>
        <v>-5.3803468088851503E-2</v>
      </c>
    </row>
    <row r="119" spans="1:42" x14ac:dyDescent="0.55000000000000004">
      <c r="A119" s="2" t="s">
        <v>123</v>
      </c>
      <c r="B119" s="3"/>
      <c r="C119" s="3"/>
      <c r="D119" s="3"/>
      <c r="E119" s="3"/>
      <c r="F119" s="3"/>
      <c r="G119" s="3"/>
      <c r="H119" s="3"/>
      <c r="I119" s="3"/>
      <c r="J119" s="3"/>
      <c r="K119" s="1"/>
      <c r="L119" s="1"/>
      <c r="N119" s="3">
        <v>10561</v>
      </c>
      <c r="O119" s="3">
        <v>8000</v>
      </c>
      <c r="P119" s="3">
        <v>8209</v>
      </c>
      <c r="Q119" s="3">
        <v>5805</v>
      </c>
      <c r="R119" s="3">
        <v>6671</v>
      </c>
      <c r="S119" s="3">
        <v>6574</v>
      </c>
      <c r="T119" s="3">
        <v>6134</v>
      </c>
      <c r="U119" s="3">
        <v>10428</v>
      </c>
      <c r="V119" s="3">
        <v>5765</v>
      </c>
      <c r="W119" s="3">
        <v>5099</v>
      </c>
      <c r="X119" s="3">
        <v>8366</v>
      </c>
      <c r="Y119" s="3"/>
      <c r="Z119" s="3"/>
      <c r="AA119" s="3"/>
      <c r="AB119" s="3"/>
    </row>
    <row r="120" spans="1:42" x14ac:dyDescent="0.55000000000000004">
      <c r="A120" s="2" t="s">
        <v>124</v>
      </c>
      <c r="B120" s="3"/>
      <c r="C120" s="3"/>
      <c r="D120" s="3"/>
      <c r="E120" s="3"/>
      <c r="F120" s="3"/>
      <c r="G120" s="3"/>
      <c r="H120" s="3"/>
      <c r="I120" s="3"/>
      <c r="J120" s="3"/>
      <c r="K120" s="1"/>
      <c r="L120" s="1"/>
      <c r="N120" s="3">
        <v>8707</v>
      </c>
      <c r="O120" s="3">
        <v>6368</v>
      </c>
      <c r="P120" s="3">
        <v>7438</v>
      </c>
      <c r="Q120" s="3">
        <v>5180</v>
      </c>
      <c r="R120" s="3">
        <v>5679</v>
      </c>
      <c r="S120" s="3">
        <v>4447</v>
      </c>
      <c r="T120" s="3">
        <v>5687</v>
      </c>
      <c r="U120" s="3">
        <v>8626</v>
      </c>
      <c r="V120" s="3">
        <v>4639</v>
      </c>
      <c r="W120" s="3">
        <v>4036</v>
      </c>
      <c r="X120" s="3">
        <v>6588</v>
      </c>
      <c r="Y120" s="3"/>
      <c r="Z120" s="3"/>
      <c r="AA120" s="3"/>
      <c r="AB120" s="3"/>
    </row>
    <row r="121" spans="1:42" x14ac:dyDescent="0.55000000000000004">
      <c r="A121" s="4" t="s">
        <v>125</v>
      </c>
      <c r="B121" s="5">
        <v>1258668</v>
      </c>
      <c r="C121" s="5">
        <v>52788</v>
      </c>
      <c r="D121" s="5">
        <v>44559</v>
      </c>
      <c r="E121" s="5">
        <v>87658</v>
      </c>
      <c r="F121" s="5">
        <v>2369</v>
      </c>
      <c r="G121" s="5">
        <v>2153</v>
      </c>
      <c r="H121" s="5">
        <v>1226861</v>
      </c>
      <c r="I121" s="5">
        <v>54265</v>
      </c>
      <c r="J121" s="5">
        <v>36740</v>
      </c>
      <c r="K121" s="14">
        <v>42</v>
      </c>
      <c r="L121" s="14">
        <v>35.4</v>
      </c>
      <c r="N121" s="5">
        <v>172267</v>
      </c>
      <c r="O121" s="5">
        <v>141791</v>
      </c>
      <c r="P121" s="5">
        <v>77279</v>
      </c>
      <c r="Q121" s="5">
        <v>90682</v>
      </c>
      <c r="R121" s="5">
        <v>71010</v>
      </c>
      <c r="S121" s="5">
        <v>110430</v>
      </c>
      <c r="T121" s="5">
        <v>87090</v>
      </c>
      <c r="U121" s="5">
        <v>182438</v>
      </c>
      <c r="V121" s="5">
        <v>93368</v>
      </c>
      <c r="W121" s="5">
        <v>88179</v>
      </c>
      <c r="X121" s="5">
        <v>144234</v>
      </c>
      <c r="Y121" s="5"/>
      <c r="Z121" s="5"/>
      <c r="AA121" s="5"/>
      <c r="AB121" s="5"/>
      <c r="AD121" s="15">
        <f>SUM(N121:AB121)</f>
        <v>1258768</v>
      </c>
      <c r="AE121" s="15">
        <f>SUM(N122:AB122)</f>
        <v>52788</v>
      </c>
      <c r="AF121" s="15">
        <f>SUM(N123:AB123)</f>
        <v>44559</v>
      </c>
      <c r="AH121" s="15">
        <f>AD121-B121</f>
        <v>100</v>
      </c>
      <c r="AI121" s="15">
        <f>AE121-C121</f>
        <v>0</v>
      </c>
      <c r="AJ121" s="15">
        <f>AF121-D121</f>
        <v>0</v>
      </c>
      <c r="AL121" s="17">
        <f>C121/B121*1000</f>
        <v>41.939574216552735</v>
      </c>
      <c r="AM121" s="17">
        <f>D121/B121*1000</f>
        <v>35.401710379544085</v>
      </c>
      <c r="AO121" s="17">
        <f>AL121-K121</f>
        <v>-6.0425783447264791E-2</v>
      </c>
      <c r="AP121" s="17">
        <f>AM121-L121</f>
        <v>1.7103795440860381E-3</v>
      </c>
    </row>
    <row r="122" spans="1:42" x14ac:dyDescent="0.55000000000000004">
      <c r="A122" s="2" t="s">
        <v>126</v>
      </c>
      <c r="B122" s="3"/>
      <c r="C122" s="3"/>
      <c r="D122" s="3"/>
      <c r="E122" s="3"/>
      <c r="F122" s="3"/>
      <c r="G122" s="3"/>
      <c r="H122" s="3"/>
      <c r="I122" s="3"/>
      <c r="J122" s="3"/>
      <c r="K122" s="1"/>
      <c r="L122" s="1"/>
      <c r="N122" s="3">
        <v>6197</v>
      </c>
      <c r="O122" s="3">
        <v>5685</v>
      </c>
      <c r="P122" s="3">
        <v>3298</v>
      </c>
      <c r="Q122" s="3">
        <v>3788</v>
      </c>
      <c r="R122" s="3">
        <v>3739</v>
      </c>
      <c r="S122" s="3">
        <v>4770</v>
      </c>
      <c r="T122" s="3">
        <v>3738</v>
      </c>
      <c r="U122" s="3">
        <v>7153</v>
      </c>
      <c r="V122" s="3">
        <v>4152</v>
      </c>
      <c r="W122" s="3">
        <v>4105</v>
      </c>
      <c r="X122" s="3">
        <v>6163</v>
      </c>
      <c r="Y122" s="3"/>
      <c r="Z122" s="3"/>
      <c r="AA122" s="3"/>
      <c r="AB122" s="3"/>
    </row>
    <row r="123" spans="1:42" x14ac:dyDescent="0.55000000000000004">
      <c r="A123" s="2" t="s">
        <v>127</v>
      </c>
      <c r="B123" s="3"/>
      <c r="C123" s="3"/>
      <c r="D123" s="3"/>
      <c r="E123" s="3"/>
      <c r="F123" s="3"/>
      <c r="G123" s="3"/>
      <c r="H123" s="3"/>
      <c r="I123" s="3"/>
      <c r="J123" s="3"/>
      <c r="K123" s="1"/>
      <c r="L123" s="1"/>
      <c r="N123" s="3">
        <v>5181</v>
      </c>
      <c r="O123" s="3">
        <v>5485</v>
      </c>
      <c r="P123" s="3">
        <v>2613</v>
      </c>
      <c r="Q123" s="3">
        <v>4129</v>
      </c>
      <c r="R123" s="3">
        <v>2785</v>
      </c>
      <c r="S123" s="3">
        <v>4124</v>
      </c>
      <c r="T123" s="3">
        <v>3571</v>
      </c>
      <c r="U123" s="3">
        <v>5754</v>
      </c>
      <c r="V123" s="3">
        <v>2979</v>
      </c>
      <c r="W123" s="3">
        <v>3285</v>
      </c>
      <c r="X123" s="3">
        <v>4653</v>
      </c>
      <c r="Y123" s="3"/>
      <c r="Z123" s="3"/>
      <c r="AA123" s="3"/>
      <c r="AB123" s="3"/>
    </row>
    <row r="124" spans="1:42" x14ac:dyDescent="0.55000000000000004">
      <c r="A124" s="4" t="s">
        <v>128</v>
      </c>
      <c r="B124" s="5">
        <v>351571</v>
      </c>
      <c r="C124" s="5">
        <v>16286</v>
      </c>
      <c r="D124" s="5">
        <v>13647</v>
      </c>
      <c r="E124" s="5">
        <v>21625</v>
      </c>
      <c r="F124" s="5">
        <v>834</v>
      </c>
      <c r="G124" s="5">
        <v>803</v>
      </c>
      <c r="H124" s="5">
        <v>343425</v>
      </c>
      <c r="I124" s="5">
        <v>16983</v>
      </c>
      <c r="J124" s="5">
        <v>11291</v>
      </c>
      <c r="K124" s="14">
        <v>46.3</v>
      </c>
      <c r="L124" s="14">
        <v>38.799999999999997</v>
      </c>
      <c r="N124" s="5">
        <v>80920</v>
      </c>
      <c r="O124" s="5">
        <v>49737</v>
      </c>
      <c r="P124" s="5">
        <v>76819</v>
      </c>
      <c r="Q124" s="5">
        <v>43625</v>
      </c>
      <c r="R124" s="5">
        <v>27615</v>
      </c>
      <c r="S124" s="5">
        <v>39274</v>
      </c>
      <c r="T124" s="5">
        <v>33581</v>
      </c>
      <c r="U124" s="5"/>
      <c r="V124" s="5"/>
      <c r="W124" s="5"/>
      <c r="X124" s="5"/>
      <c r="Y124" s="5"/>
      <c r="Z124" s="5"/>
      <c r="AA124" s="5"/>
      <c r="AB124" s="5"/>
      <c r="AD124" s="15">
        <f>SUM(N124:AB124)</f>
        <v>351571</v>
      </c>
      <c r="AE124" s="15">
        <f>SUM(N125:AB125)</f>
        <v>16286</v>
      </c>
      <c r="AF124" s="15">
        <f>SUM(N126:AB126)</f>
        <v>13647</v>
      </c>
      <c r="AH124" s="15">
        <f>AD124-B124</f>
        <v>0</v>
      </c>
      <c r="AI124" s="15">
        <f>AE124-C124</f>
        <v>0</v>
      </c>
      <c r="AJ124" s="15">
        <f>AF124-D124</f>
        <v>0</v>
      </c>
      <c r="AL124" s="17">
        <f>C124/B124*1000</f>
        <v>46.32350222287959</v>
      </c>
      <c r="AM124" s="17">
        <f>D124/B124*1000</f>
        <v>38.817194819823023</v>
      </c>
      <c r="AO124" s="17">
        <f>AL124-K124</f>
        <v>2.3502222879592694E-2</v>
      </c>
      <c r="AP124" s="17">
        <f>AM124-L124</f>
        <v>1.7194819823025398E-2</v>
      </c>
    </row>
    <row r="125" spans="1:42" x14ac:dyDescent="0.55000000000000004">
      <c r="A125" s="2" t="s">
        <v>129</v>
      </c>
      <c r="B125" s="3"/>
      <c r="C125" s="3"/>
      <c r="D125" s="3"/>
      <c r="E125" s="3"/>
      <c r="F125" s="3"/>
      <c r="G125" s="3"/>
      <c r="H125" s="3"/>
      <c r="I125" s="3"/>
      <c r="J125" s="3"/>
      <c r="K125" s="1"/>
      <c r="L125" s="1"/>
      <c r="N125" s="3">
        <v>3689</v>
      </c>
      <c r="O125" s="3">
        <v>2256</v>
      </c>
      <c r="P125" s="3">
        <v>3613</v>
      </c>
      <c r="Q125" s="3">
        <v>2146</v>
      </c>
      <c r="R125" s="3">
        <v>1047</v>
      </c>
      <c r="S125" s="3">
        <v>1868</v>
      </c>
      <c r="T125" s="3">
        <v>1667</v>
      </c>
      <c r="U125" s="3"/>
      <c r="V125" s="3"/>
      <c r="W125" s="3"/>
      <c r="X125" s="3"/>
      <c r="Y125" s="3"/>
      <c r="Z125" s="3"/>
      <c r="AA125" s="3"/>
      <c r="AB125" s="3"/>
    </row>
    <row r="126" spans="1:42" x14ac:dyDescent="0.55000000000000004">
      <c r="A126" s="2" t="s">
        <v>130</v>
      </c>
      <c r="B126" s="3"/>
      <c r="C126" s="3"/>
      <c r="D126" s="3"/>
      <c r="E126" s="3"/>
      <c r="F126" s="3"/>
      <c r="G126" s="3"/>
      <c r="H126" s="3"/>
      <c r="I126" s="3"/>
      <c r="J126" s="3"/>
      <c r="K126" s="1"/>
      <c r="L126" s="1"/>
      <c r="N126" s="3">
        <v>2775</v>
      </c>
      <c r="O126" s="3">
        <v>2181</v>
      </c>
      <c r="P126" s="3">
        <v>3557</v>
      </c>
      <c r="Q126" s="3">
        <v>1625</v>
      </c>
      <c r="R126" s="3">
        <v>658</v>
      </c>
      <c r="S126" s="3">
        <v>1334</v>
      </c>
      <c r="T126" s="3">
        <v>1517</v>
      </c>
      <c r="U126" s="3"/>
      <c r="V126" s="3"/>
      <c r="W126" s="3"/>
      <c r="X126" s="3"/>
      <c r="Y126" s="3"/>
      <c r="Z126" s="3"/>
      <c r="AA126" s="3"/>
      <c r="AB126" s="3"/>
    </row>
    <row r="127" spans="1:42" x14ac:dyDescent="0.55000000000000004">
      <c r="A127" s="4" t="s">
        <v>131</v>
      </c>
      <c r="B127" s="5">
        <v>1995229</v>
      </c>
      <c r="C127" s="5">
        <v>105360</v>
      </c>
      <c r="D127" s="5">
        <v>79573</v>
      </c>
      <c r="E127" s="5">
        <v>235932</v>
      </c>
      <c r="F127" s="5">
        <v>7443</v>
      </c>
      <c r="G127" s="5">
        <v>6880</v>
      </c>
      <c r="H127" s="5">
        <v>2046601</v>
      </c>
      <c r="I127" s="5">
        <v>105613</v>
      </c>
      <c r="J127" s="5">
        <v>67774</v>
      </c>
      <c r="K127" s="14">
        <v>52.8</v>
      </c>
      <c r="L127" s="14">
        <v>39.9</v>
      </c>
      <c r="N127" s="5">
        <v>215547</v>
      </c>
      <c r="O127" s="5">
        <v>147528</v>
      </c>
      <c r="P127" s="5">
        <v>155791</v>
      </c>
      <c r="Q127" s="5">
        <v>100646</v>
      </c>
      <c r="R127" s="5">
        <v>277925</v>
      </c>
      <c r="S127" s="5">
        <v>105474</v>
      </c>
      <c r="T127" s="5">
        <v>105673</v>
      </c>
      <c r="U127" s="5">
        <v>340788</v>
      </c>
      <c r="V127" s="5">
        <v>182468</v>
      </c>
      <c r="W127" s="5">
        <v>103948</v>
      </c>
      <c r="X127" s="5">
        <v>136137</v>
      </c>
      <c r="Y127" s="5">
        <v>123304</v>
      </c>
      <c r="Z127" s="5"/>
      <c r="AA127" s="5"/>
      <c r="AB127" s="5"/>
      <c r="AD127" s="15">
        <f>SUM(N127:AB127)</f>
        <v>1995229</v>
      </c>
      <c r="AE127" s="15">
        <f>SUM(N128:AB128)</f>
        <v>105360</v>
      </c>
      <c r="AF127" s="15">
        <f>SUM(N129:AB129)</f>
        <v>79573</v>
      </c>
      <c r="AH127" s="15">
        <f>AD127-B127</f>
        <v>0</v>
      </c>
      <c r="AI127" s="15">
        <f>AE127-C127</f>
        <v>0</v>
      </c>
      <c r="AJ127" s="15">
        <f>AF127-D127</f>
        <v>0</v>
      </c>
      <c r="AL127" s="17">
        <f>C127/B127*1000</f>
        <v>52.805968638186393</v>
      </c>
      <c r="AM127" s="17">
        <f>D127/B127*1000</f>
        <v>39.881637646605981</v>
      </c>
      <c r="AO127" s="17">
        <f>AL127-K127</f>
        <v>5.9686381863954807E-3</v>
      </c>
      <c r="AP127" s="17">
        <f>AM127-L127</f>
        <v>-1.8362353394017816E-2</v>
      </c>
    </row>
    <row r="128" spans="1:42" x14ac:dyDescent="0.55000000000000004">
      <c r="A128" s="2" t="s">
        <v>132</v>
      </c>
      <c r="B128" s="3"/>
      <c r="C128" s="3"/>
      <c r="D128" s="3"/>
      <c r="E128" s="3"/>
      <c r="F128" s="3"/>
      <c r="G128" s="3"/>
      <c r="H128" s="3"/>
      <c r="I128" s="3"/>
      <c r="J128" s="3"/>
      <c r="K128" s="1"/>
      <c r="L128" s="1"/>
      <c r="N128" s="3">
        <v>9856</v>
      </c>
      <c r="O128" s="3">
        <v>6789</v>
      </c>
      <c r="P128" s="3">
        <v>9081</v>
      </c>
      <c r="Q128" s="3">
        <v>5422</v>
      </c>
      <c r="R128" s="3">
        <v>15546</v>
      </c>
      <c r="S128" s="3">
        <v>6908</v>
      </c>
      <c r="T128" s="3">
        <v>5540</v>
      </c>
      <c r="U128" s="3">
        <v>16620</v>
      </c>
      <c r="V128" s="3">
        <v>9671</v>
      </c>
      <c r="W128" s="3">
        <v>5413</v>
      </c>
      <c r="X128" s="3">
        <v>7527</v>
      </c>
      <c r="Y128" s="3">
        <v>6987</v>
      </c>
      <c r="Z128" s="3"/>
      <c r="AA128" s="3"/>
      <c r="AB128" s="3"/>
    </row>
    <row r="129" spans="1:42" x14ac:dyDescent="0.55000000000000004">
      <c r="A129" s="2" t="s">
        <v>133</v>
      </c>
      <c r="B129" s="3"/>
      <c r="C129" s="3"/>
      <c r="D129" s="3"/>
      <c r="E129" s="3"/>
      <c r="F129" s="3"/>
      <c r="G129" s="3"/>
      <c r="H129" s="3"/>
      <c r="I129" s="3"/>
      <c r="J129" s="3"/>
      <c r="K129" s="1"/>
      <c r="L129" s="1"/>
      <c r="N129" s="3">
        <v>7755</v>
      </c>
      <c r="O129" s="3">
        <v>5049</v>
      </c>
      <c r="P129" s="3">
        <v>5798</v>
      </c>
      <c r="Q129" s="3">
        <v>3708</v>
      </c>
      <c r="R129" s="3">
        <v>13560</v>
      </c>
      <c r="S129" s="3">
        <v>4489</v>
      </c>
      <c r="T129" s="3">
        <v>4099</v>
      </c>
      <c r="U129" s="3">
        <v>14485</v>
      </c>
      <c r="V129" s="3">
        <v>6627</v>
      </c>
      <c r="W129" s="3">
        <v>4137</v>
      </c>
      <c r="X129" s="3">
        <v>5582</v>
      </c>
      <c r="Y129" s="3">
        <v>4284</v>
      </c>
      <c r="Z129" s="3"/>
      <c r="AA129" s="3"/>
      <c r="AB129" s="3"/>
    </row>
    <row r="130" spans="1:42" x14ac:dyDescent="0.55000000000000004">
      <c r="A130" s="4" t="s">
        <v>134</v>
      </c>
      <c r="B130" s="5">
        <v>1584245</v>
      </c>
      <c r="C130" s="5">
        <v>83165</v>
      </c>
      <c r="D130" s="5">
        <v>62794</v>
      </c>
      <c r="E130" s="5">
        <v>123283</v>
      </c>
      <c r="F130" s="5">
        <v>5353</v>
      </c>
      <c r="G130" s="5">
        <v>5140</v>
      </c>
      <c r="H130" s="5">
        <v>1532982</v>
      </c>
      <c r="I130" s="5">
        <v>81410</v>
      </c>
      <c r="J130" s="5">
        <v>57581</v>
      </c>
      <c r="K130" s="14">
        <v>52.5</v>
      </c>
      <c r="L130" s="14">
        <v>39.6</v>
      </c>
      <c r="N130" s="5">
        <v>158692</v>
      </c>
      <c r="O130" s="5">
        <v>172098</v>
      </c>
      <c r="P130" s="5">
        <v>197805</v>
      </c>
      <c r="Q130" s="5">
        <v>131189</v>
      </c>
      <c r="R130" s="5">
        <v>181611</v>
      </c>
      <c r="S130" s="5">
        <v>114010</v>
      </c>
      <c r="T130" s="5">
        <v>137026</v>
      </c>
      <c r="U130" s="5">
        <v>175289</v>
      </c>
      <c r="V130" s="5">
        <v>157243</v>
      </c>
      <c r="W130" s="5">
        <v>159282</v>
      </c>
      <c r="X130" s="5"/>
      <c r="Y130" s="5"/>
      <c r="Z130" s="5"/>
      <c r="AA130" s="5"/>
      <c r="AB130" s="5"/>
      <c r="AD130" s="15">
        <f>SUM(N130:AB130)</f>
        <v>1584245</v>
      </c>
      <c r="AE130" s="15">
        <f>SUM(N131:AB131)</f>
        <v>83165</v>
      </c>
      <c r="AF130" s="15">
        <f>SUM(N132:AB132)</f>
        <v>62794</v>
      </c>
      <c r="AH130" s="15">
        <f>AD130-B130</f>
        <v>0</v>
      </c>
      <c r="AI130" s="15">
        <f>AE130-C130</f>
        <v>0</v>
      </c>
      <c r="AJ130" s="15">
        <f>AF130-D130</f>
        <v>0</v>
      </c>
      <c r="AL130" s="17">
        <f>C130/B130*1000</f>
        <v>52.495037068130245</v>
      </c>
      <c r="AM130" s="17">
        <f>D130/B130*1000</f>
        <v>39.636546115026398</v>
      </c>
      <c r="AO130" s="17">
        <f>AL130-K130</f>
        <v>-4.9629318697554936E-3</v>
      </c>
      <c r="AP130" s="17">
        <f>AM130-L130</f>
        <v>3.6546115026396819E-2</v>
      </c>
    </row>
    <row r="131" spans="1:42" x14ac:dyDescent="0.55000000000000004">
      <c r="A131" s="2" t="s">
        <v>135</v>
      </c>
      <c r="B131" s="3"/>
      <c r="C131" s="3"/>
      <c r="D131" s="3"/>
      <c r="E131" s="3"/>
      <c r="F131" s="3"/>
      <c r="G131" s="3"/>
      <c r="H131" s="3"/>
      <c r="I131" s="3"/>
      <c r="J131" s="3"/>
      <c r="K131" s="1"/>
      <c r="L131" s="1"/>
      <c r="N131" s="3">
        <v>8664</v>
      </c>
      <c r="O131" s="3">
        <v>9510</v>
      </c>
      <c r="P131" s="3">
        <v>10843</v>
      </c>
      <c r="Q131" s="3">
        <v>5994</v>
      </c>
      <c r="R131" s="3">
        <v>9533</v>
      </c>
      <c r="S131" s="3">
        <v>7029</v>
      </c>
      <c r="T131" s="3">
        <v>6872</v>
      </c>
      <c r="U131" s="3">
        <v>8314</v>
      </c>
      <c r="V131" s="3">
        <v>7841</v>
      </c>
      <c r="W131" s="3">
        <v>8565</v>
      </c>
      <c r="X131" s="3"/>
      <c r="Y131" s="3"/>
      <c r="Z131" s="3"/>
      <c r="AA131" s="3"/>
      <c r="AB131" s="3"/>
    </row>
    <row r="132" spans="1:42" x14ac:dyDescent="0.55000000000000004">
      <c r="A132" s="2" t="s">
        <v>136</v>
      </c>
      <c r="B132" s="3"/>
      <c r="C132" s="3"/>
      <c r="D132" s="3"/>
      <c r="E132" s="3"/>
      <c r="F132" s="3"/>
      <c r="G132" s="3"/>
      <c r="H132" s="3"/>
      <c r="I132" s="3"/>
      <c r="J132" s="3"/>
      <c r="K132" s="1"/>
      <c r="L132" s="1"/>
      <c r="N132" s="3">
        <v>7496</v>
      </c>
      <c r="O132" s="3">
        <v>7870</v>
      </c>
      <c r="P132" s="3">
        <v>7836</v>
      </c>
      <c r="Q132" s="3">
        <v>4770</v>
      </c>
      <c r="R132" s="3">
        <v>6360</v>
      </c>
      <c r="S132" s="3">
        <v>5962</v>
      </c>
      <c r="T132" s="3">
        <v>4739</v>
      </c>
      <c r="U132" s="3">
        <v>5913</v>
      </c>
      <c r="V132" s="3">
        <v>5830</v>
      </c>
      <c r="W132" s="3">
        <v>6018</v>
      </c>
      <c r="X132" s="3"/>
      <c r="Y132" s="3"/>
      <c r="Z132" s="3"/>
      <c r="AA132" s="3"/>
      <c r="AB132" s="3"/>
    </row>
    <row r="133" spans="1:42" x14ac:dyDescent="0.55000000000000004">
      <c r="A133" s="4" t="s">
        <v>137</v>
      </c>
      <c r="B133" s="5">
        <v>2778837</v>
      </c>
      <c r="C133" s="5">
        <v>150033</v>
      </c>
      <c r="D133" s="5">
        <v>118079</v>
      </c>
      <c r="E133" s="5">
        <v>132950</v>
      </c>
      <c r="F133" s="5">
        <v>5575</v>
      </c>
      <c r="G133" s="5">
        <v>5954</v>
      </c>
      <c r="H133" s="5">
        <v>2728250</v>
      </c>
      <c r="I133" s="5">
        <v>153497</v>
      </c>
      <c r="J133" s="5">
        <v>115784</v>
      </c>
      <c r="K133" s="14">
        <v>53.9</v>
      </c>
      <c r="L133" s="14">
        <v>42.5</v>
      </c>
      <c r="N133" s="5">
        <v>228221</v>
      </c>
      <c r="O133" s="5">
        <v>223418</v>
      </c>
      <c r="P133" s="5">
        <v>383883</v>
      </c>
      <c r="Q133" s="5">
        <v>140922</v>
      </c>
      <c r="R133" s="5">
        <v>259487</v>
      </c>
      <c r="S133" s="5">
        <v>232448</v>
      </c>
      <c r="T133" s="5">
        <v>123741</v>
      </c>
      <c r="U133" s="5">
        <v>283694</v>
      </c>
      <c r="V133" s="5">
        <v>258003</v>
      </c>
      <c r="W133" s="5">
        <v>211877</v>
      </c>
      <c r="X133" s="5">
        <v>91880</v>
      </c>
      <c r="Y133" s="5">
        <v>341263</v>
      </c>
      <c r="Z133" s="5"/>
      <c r="AA133" s="5"/>
      <c r="AB133" s="5"/>
      <c r="AD133" s="15">
        <f>SUM(N133:AB133)</f>
        <v>2778837</v>
      </c>
      <c r="AE133" s="15">
        <f>SUM(N134:AB134)</f>
        <v>150033</v>
      </c>
      <c r="AF133" s="15">
        <f>SUM(N135:AB135)</f>
        <v>118079</v>
      </c>
      <c r="AH133" s="15">
        <f>AD133-B133</f>
        <v>0</v>
      </c>
      <c r="AI133" s="15">
        <f>AE133-C133</f>
        <v>0</v>
      </c>
      <c r="AJ133" s="15">
        <f>AF133-D133</f>
        <v>0</v>
      </c>
      <c r="AL133" s="17">
        <f>C133/B133*1000</f>
        <v>53.991292040519113</v>
      </c>
      <c r="AM133" s="17">
        <f>D133/B133*1000</f>
        <v>42.492236860240453</v>
      </c>
      <c r="AO133" s="17">
        <f>AL133-K133</f>
        <v>9.1292040519114437E-2</v>
      </c>
      <c r="AP133" s="17">
        <f>AM133-L133</f>
        <v>-7.7631397595467888E-3</v>
      </c>
    </row>
    <row r="134" spans="1:42" x14ac:dyDescent="0.55000000000000004">
      <c r="A134" s="2" t="s">
        <v>138</v>
      </c>
      <c r="B134" s="3"/>
      <c r="C134" s="3"/>
      <c r="D134" s="3"/>
      <c r="E134" s="3"/>
      <c r="F134" s="3"/>
      <c r="G134" s="3"/>
      <c r="H134" s="3"/>
      <c r="I134" s="3"/>
      <c r="J134" s="3"/>
      <c r="K134" s="1"/>
      <c r="L134" s="1"/>
      <c r="N134" s="3">
        <v>12277</v>
      </c>
      <c r="O134" s="3">
        <v>11677</v>
      </c>
      <c r="P134" s="3">
        <v>20850</v>
      </c>
      <c r="Q134" s="3">
        <v>8005</v>
      </c>
      <c r="R134" s="3">
        <v>13870</v>
      </c>
      <c r="S134" s="3">
        <v>12206</v>
      </c>
      <c r="T134" s="3">
        <v>8010</v>
      </c>
      <c r="U134" s="3">
        <v>16422</v>
      </c>
      <c r="V134" s="3">
        <v>12049</v>
      </c>
      <c r="W134" s="3">
        <v>11449</v>
      </c>
      <c r="X134" s="3">
        <v>5308</v>
      </c>
      <c r="Y134" s="3">
        <v>17910</v>
      </c>
      <c r="Z134" s="3"/>
      <c r="AA134" s="3"/>
      <c r="AB134" s="3"/>
    </row>
    <row r="135" spans="1:42" x14ac:dyDescent="0.55000000000000004">
      <c r="A135" s="2" t="s">
        <v>139</v>
      </c>
      <c r="B135" s="3"/>
      <c r="C135" s="3"/>
      <c r="D135" s="3"/>
      <c r="E135" s="3"/>
      <c r="F135" s="3"/>
      <c r="G135" s="3"/>
      <c r="H135" s="3"/>
      <c r="I135" s="3"/>
      <c r="J135" s="3"/>
      <c r="K135" s="1"/>
      <c r="L135" s="1"/>
      <c r="N135" s="3">
        <v>11269</v>
      </c>
      <c r="O135" s="3">
        <v>9336</v>
      </c>
      <c r="P135" s="3">
        <v>16314</v>
      </c>
      <c r="Q135" s="3">
        <v>6738</v>
      </c>
      <c r="R135" s="3">
        <v>10936</v>
      </c>
      <c r="S135" s="3">
        <v>8743</v>
      </c>
      <c r="T135" s="3">
        <v>6572</v>
      </c>
      <c r="U135" s="3">
        <v>12166</v>
      </c>
      <c r="V135" s="3">
        <v>9732</v>
      </c>
      <c r="W135" s="3">
        <v>9008</v>
      </c>
      <c r="X135" s="3">
        <v>2852</v>
      </c>
      <c r="Y135" s="3">
        <v>14413</v>
      </c>
      <c r="Z135" s="3"/>
      <c r="AA135" s="3"/>
      <c r="AB135" s="3"/>
      <c r="AD135" s="19"/>
      <c r="AE135" s="19"/>
      <c r="AF135" s="19"/>
      <c r="AH135" s="19"/>
      <c r="AI135" s="19"/>
      <c r="AJ135" s="19"/>
      <c r="AL135" s="20"/>
      <c r="AM135" s="20"/>
      <c r="AO135" s="20"/>
      <c r="AP135" s="20"/>
    </row>
    <row r="136" spans="1:42" x14ac:dyDescent="0.55000000000000004">
      <c r="A136" s="4" t="s">
        <v>140</v>
      </c>
      <c r="B136" s="5">
        <v>2860523</v>
      </c>
      <c r="C136" s="5">
        <v>138821</v>
      </c>
      <c r="D136" s="5">
        <v>80164</v>
      </c>
      <c r="E136" s="5">
        <v>250934</v>
      </c>
      <c r="F136" s="5">
        <v>10674</v>
      </c>
      <c r="G136" s="5">
        <v>6757</v>
      </c>
      <c r="H136" s="5">
        <v>2821523</v>
      </c>
      <c r="I136" s="5">
        <v>127399</v>
      </c>
      <c r="J136" s="5">
        <v>77217</v>
      </c>
      <c r="K136" s="14">
        <v>48.5</v>
      </c>
      <c r="L136" s="14">
        <v>28</v>
      </c>
      <c r="N136" s="5">
        <v>230500</v>
      </c>
      <c r="O136" s="5">
        <v>168387</v>
      </c>
      <c r="P136" s="5">
        <v>230021</v>
      </c>
      <c r="Q136" s="5">
        <v>148959</v>
      </c>
      <c r="R136" s="5">
        <v>244579</v>
      </c>
      <c r="S136" s="5">
        <v>203219</v>
      </c>
      <c r="T136" s="5">
        <v>239211</v>
      </c>
      <c r="U136" s="5">
        <v>148789</v>
      </c>
      <c r="V136" s="5">
        <v>131953</v>
      </c>
      <c r="W136" s="5">
        <v>161156</v>
      </c>
      <c r="X136" s="5">
        <v>198947</v>
      </c>
      <c r="Y136" s="5">
        <v>167089</v>
      </c>
      <c r="Z136" s="5">
        <v>212368</v>
      </c>
      <c r="AA136" s="5">
        <v>206272</v>
      </c>
      <c r="AB136" s="5">
        <v>169073</v>
      </c>
      <c r="AD136" s="15">
        <f>SUM(N136:AB136)</f>
        <v>2860523</v>
      </c>
      <c r="AE136" s="15">
        <f>SUM(N137:AB137)</f>
        <v>138821</v>
      </c>
      <c r="AF136" s="15">
        <f>SUM(N138:AB138)</f>
        <v>80234</v>
      </c>
      <c r="AH136" s="15">
        <f>AD136-B136</f>
        <v>0</v>
      </c>
      <c r="AI136" s="15">
        <f>AE136-C136</f>
        <v>0</v>
      </c>
      <c r="AJ136" s="15">
        <f>AF136-D136</f>
        <v>70</v>
      </c>
      <c r="AL136" s="17">
        <f>C136/B136*1000</f>
        <v>48.529936658436242</v>
      </c>
      <c r="AM136" s="17">
        <f>D136/B136*1000</f>
        <v>28.02424591586923</v>
      </c>
      <c r="AO136" s="17">
        <f>AL136-K136</f>
        <v>2.9936658436241714E-2</v>
      </c>
      <c r="AP136" s="17">
        <f>AM136-L136</f>
        <v>2.4245915869229862E-2</v>
      </c>
    </row>
    <row r="137" spans="1:42" x14ac:dyDescent="0.55000000000000004">
      <c r="A137" s="2" t="s">
        <v>141</v>
      </c>
      <c r="B137" s="3"/>
      <c r="C137" s="3"/>
      <c r="D137" s="3"/>
      <c r="E137" s="3"/>
      <c r="F137" s="3"/>
      <c r="G137" s="3"/>
      <c r="H137" s="3"/>
      <c r="I137" s="3"/>
      <c r="J137" s="3"/>
      <c r="K137" s="1"/>
      <c r="L137" s="1"/>
      <c r="N137" s="3">
        <v>10600</v>
      </c>
      <c r="O137" s="3">
        <v>8315</v>
      </c>
      <c r="P137" s="3">
        <v>11676</v>
      </c>
      <c r="Q137" s="3">
        <v>7152</v>
      </c>
      <c r="R137" s="3">
        <v>10280</v>
      </c>
      <c r="S137" s="3">
        <v>11837</v>
      </c>
      <c r="T137" s="3">
        <v>11269</v>
      </c>
      <c r="U137" s="3">
        <v>7598</v>
      </c>
      <c r="V137" s="3">
        <v>7294</v>
      </c>
      <c r="W137" s="3">
        <v>8132</v>
      </c>
      <c r="X137" s="3">
        <v>9658</v>
      </c>
      <c r="Y137" s="3">
        <v>8128</v>
      </c>
      <c r="Z137" s="3">
        <v>9264</v>
      </c>
      <c r="AA137" s="3">
        <v>8672</v>
      </c>
      <c r="AB137" s="3">
        <v>8946</v>
      </c>
    </row>
    <row r="138" spans="1:42" x14ac:dyDescent="0.55000000000000004">
      <c r="A138" s="2" t="s">
        <v>142</v>
      </c>
      <c r="B138" s="3"/>
      <c r="C138" s="3"/>
      <c r="D138" s="3"/>
      <c r="E138" s="3"/>
      <c r="F138" s="3"/>
      <c r="G138" s="3"/>
      <c r="H138" s="3"/>
      <c r="I138" s="3"/>
      <c r="J138" s="3"/>
      <c r="K138" s="1"/>
      <c r="L138" s="1"/>
      <c r="N138" s="3">
        <v>7402</v>
      </c>
      <c r="O138" s="3">
        <v>4863</v>
      </c>
      <c r="P138" s="3">
        <v>6583</v>
      </c>
      <c r="Q138" s="3">
        <v>4750</v>
      </c>
      <c r="R138" s="3">
        <v>5546</v>
      </c>
      <c r="S138" s="3">
        <v>6670</v>
      </c>
      <c r="T138" s="3">
        <v>6302</v>
      </c>
      <c r="U138" s="3">
        <v>4293</v>
      </c>
      <c r="V138" s="3">
        <v>3919</v>
      </c>
      <c r="W138" s="3">
        <v>4451</v>
      </c>
      <c r="X138" s="3">
        <v>5474</v>
      </c>
      <c r="Y138" s="3">
        <v>4188</v>
      </c>
      <c r="Z138" s="3">
        <v>5583</v>
      </c>
      <c r="AA138" s="3">
        <v>5189</v>
      </c>
      <c r="AB138" s="3">
        <v>5021</v>
      </c>
    </row>
    <row r="139" spans="1:42" x14ac:dyDescent="0.55000000000000004">
      <c r="A139" s="4" t="s">
        <v>143</v>
      </c>
      <c r="B139" s="5">
        <v>1021581</v>
      </c>
      <c r="C139" s="5">
        <v>48961</v>
      </c>
      <c r="D139" s="5">
        <v>35478</v>
      </c>
      <c r="E139" s="5">
        <v>61207</v>
      </c>
      <c r="F139" s="5">
        <v>1830</v>
      </c>
      <c r="G139" s="5">
        <v>1570</v>
      </c>
      <c r="H139" s="5">
        <v>972768</v>
      </c>
      <c r="I139" s="5">
        <v>48681</v>
      </c>
      <c r="J139" s="5">
        <v>34172</v>
      </c>
      <c r="K139" s="14">
        <v>47.8</v>
      </c>
      <c r="L139" s="14">
        <v>34.700000000000003</v>
      </c>
      <c r="N139" s="5">
        <v>214289</v>
      </c>
      <c r="O139" s="5">
        <v>118662</v>
      </c>
      <c r="P139" s="5">
        <v>100653</v>
      </c>
      <c r="Q139" s="5">
        <v>123957</v>
      </c>
      <c r="R139" s="5">
        <v>154667</v>
      </c>
      <c r="S139" s="5">
        <v>162618</v>
      </c>
      <c r="T139" s="5">
        <v>74514</v>
      </c>
      <c r="U139" s="5">
        <v>72221</v>
      </c>
      <c r="V139" s="5"/>
      <c r="W139" s="5"/>
      <c r="X139" s="5"/>
      <c r="Y139" s="5"/>
      <c r="Z139" s="5"/>
      <c r="AA139" s="5"/>
      <c r="AB139" s="5"/>
      <c r="AD139" s="15">
        <f>SUM(N139:AB139)</f>
        <v>1021581</v>
      </c>
      <c r="AE139" s="15">
        <f>SUM(N140:AB140)</f>
        <v>48961</v>
      </c>
      <c r="AF139" s="15">
        <f>SUM(N141:AB141)</f>
        <v>35478</v>
      </c>
      <c r="AH139" s="15">
        <f>AD139-B139</f>
        <v>0</v>
      </c>
      <c r="AI139" s="15">
        <f>AE139-C139</f>
        <v>0</v>
      </c>
      <c r="AJ139" s="15">
        <f>AF139-D139</f>
        <v>0</v>
      </c>
      <c r="AL139" s="17">
        <f>C139/B139*1000</f>
        <v>47.926694016431398</v>
      </c>
      <c r="AM139" s="17">
        <f>D139/B139*1000</f>
        <v>34.72852372939591</v>
      </c>
      <c r="AO139" s="17">
        <f>AL139-K139</f>
        <v>0.12669401643140077</v>
      </c>
      <c r="AP139" s="17">
        <f>AM139-L139</f>
        <v>2.8523729395907083E-2</v>
      </c>
    </row>
    <row r="140" spans="1:42" x14ac:dyDescent="0.55000000000000004">
      <c r="A140" s="2" t="s">
        <v>144</v>
      </c>
      <c r="B140" s="3"/>
      <c r="C140" s="3"/>
      <c r="D140" s="3"/>
      <c r="E140" s="3"/>
      <c r="F140" s="3"/>
      <c r="G140" s="3"/>
      <c r="H140" s="3"/>
      <c r="I140" s="3"/>
      <c r="J140" s="3"/>
      <c r="K140" s="1"/>
      <c r="L140" s="1"/>
      <c r="N140" s="3">
        <v>8900</v>
      </c>
      <c r="O140" s="3">
        <v>5850</v>
      </c>
      <c r="P140" s="3">
        <v>5072</v>
      </c>
      <c r="Q140" s="3">
        <v>6033</v>
      </c>
      <c r="R140" s="3">
        <v>7412</v>
      </c>
      <c r="S140" s="3">
        <v>7486</v>
      </c>
      <c r="T140" s="3">
        <v>4167</v>
      </c>
      <c r="U140" s="3">
        <v>4041</v>
      </c>
      <c r="V140" s="3"/>
      <c r="W140" s="3"/>
      <c r="X140" s="3"/>
      <c r="Y140" s="3"/>
      <c r="Z140" s="3"/>
      <c r="AA140" s="3"/>
      <c r="AB140" s="3"/>
    </row>
    <row r="141" spans="1:42" x14ac:dyDescent="0.55000000000000004">
      <c r="A141" s="2" t="s">
        <v>145</v>
      </c>
      <c r="B141" s="3"/>
      <c r="C141" s="3"/>
      <c r="D141" s="3"/>
      <c r="E141" s="3"/>
      <c r="F141" s="3"/>
      <c r="G141" s="3"/>
      <c r="H141" s="3"/>
      <c r="I141" s="3"/>
      <c r="J141" s="3"/>
      <c r="K141" s="1"/>
      <c r="L141" s="1"/>
      <c r="N141" s="3">
        <v>7228</v>
      </c>
      <c r="O141" s="3">
        <v>4527</v>
      </c>
      <c r="P141" s="3">
        <v>3512</v>
      </c>
      <c r="Q141" s="3">
        <v>3612</v>
      </c>
      <c r="R141" s="3">
        <v>4735</v>
      </c>
      <c r="S141" s="3">
        <v>6057</v>
      </c>
      <c r="T141" s="3">
        <v>3048</v>
      </c>
      <c r="U141" s="3">
        <v>2759</v>
      </c>
      <c r="V141" s="3"/>
      <c r="W141" s="3"/>
      <c r="X141" s="3"/>
      <c r="Y141" s="3"/>
      <c r="Z141" s="3"/>
      <c r="AA141" s="3"/>
      <c r="AB141" s="3"/>
    </row>
    <row r="142" spans="1:42" x14ac:dyDescent="0.55000000000000004">
      <c r="A142" s="4" t="s">
        <v>146</v>
      </c>
      <c r="B142" s="5">
        <v>1904891</v>
      </c>
      <c r="C142" s="5">
        <v>90082</v>
      </c>
      <c r="D142" s="5">
        <v>61772</v>
      </c>
      <c r="E142" s="5">
        <v>95657</v>
      </c>
      <c r="F142" s="5">
        <v>5342</v>
      </c>
      <c r="G142" s="5">
        <v>4471</v>
      </c>
      <c r="H142" s="5">
        <v>1859963</v>
      </c>
      <c r="I142" s="5">
        <v>92054</v>
      </c>
      <c r="J142" s="5">
        <v>59071</v>
      </c>
      <c r="K142" s="14">
        <v>47.3</v>
      </c>
      <c r="L142" s="14">
        <v>32.4</v>
      </c>
      <c r="N142" s="5">
        <v>215768</v>
      </c>
      <c r="O142" s="5">
        <v>120239</v>
      </c>
      <c r="P142" s="5">
        <v>146976</v>
      </c>
      <c r="Q142" s="5">
        <v>134859</v>
      </c>
      <c r="R142" s="5">
        <v>179325</v>
      </c>
      <c r="S142" s="5">
        <v>163362</v>
      </c>
      <c r="T142" s="5">
        <v>122272</v>
      </c>
      <c r="U142" s="5">
        <v>145636</v>
      </c>
      <c r="V142" s="5">
        <v>156713</v>
      </c>
      <c r="W142" s="5">
        <v>169725</v>
      </c>
      <c r="X142" s="5">
        <v>183691</v>
      </c>
      <c r="Y142" s="5">
        <v>166325</v>
      </c>
      <c r="Z142" s="5"/>
      <c r="AA142" s="5"/>
      <c r="AB142" s="5"/>
      <c r="AD142" s="15">
        <f>SUM(N142:AB142)</f>
        <v>1904891</v>
      </c>
      <c r="AE142" s="15">
        <f>SUM(N143:AB143)</f>
        <v>90082</v>
      </c>
      <c r="AF142" s="15">
        <f>SUM(N144:AB144)</f>
        <v>61772</v>
      </c>
      <c r="AH142" s="15">
        <f>AD142-B142</f>
        <v>0</v>
      </c>
      <c r="AI142" s="15">
        <f>AE142-C142</f>
        <v>0</v>
      </c>
      <c r="AJ142" s="15">
        <f>AF142-D142</f>
        <v>0</v>
      </c>
      <c r="AL142" s="17">
        <f>C142/B142*1000</f>
        <v>47.28984493075982</v>
      </c>
      <c r="AM142" s="17">
        <f>D142/B142*1000</f>
        <v>32.428102185374385</v>
      </c>
      <c r="AO142" s="17">
        <f>AL142-K142</f>
        <v>-1.0155069240177284E-2</v>
      </c>
      <c r="AP142" s="17">
        <f>AM142-L142</f>
        <v>2.8102185374386579E-2</v>
      </c>
    </row>
    <row r="143" spans="1:42" x14ac:dyDescent="0.55000000000000004">
      <c r="A143" s="2" t="s">
        <v>147</v>
      </c>
      <c r="B143" s="3"/>
      <c r="C143" s="3"/>
      <c r="D143" s="3"/>
      <c r="E143" s="3"/>
      <c r="F143" s="3"/>
      <c r="G143" s="3"/>
      <c r="H143" s="3"/>
      <c r="I143" s="3"/>
      <c r="J143" s="3"/>
      <c r="K143" s="1"/>
      <c r="L143" s="1"/>
      <c r="N143" s="3">
        <v>9096</v>
      </c>
      <c r="O143" s="3">
        <v>5496</v>
      </c>
      <c r="P143" s="3">
        <v>7308</v>
      </c>
      <c r="Q143" s="3">
        <v>5482</v>
      </c>
      <c r="R143" s="3">
        <v>8259</v>
      </c>
      <c r="S143" s="3">
        <v>8009</v>
      </c>
      <c r="T143" s="3">
        <v>5089</v>
      </c>
      <c r="U143" s="3">
        <v>8807</v>
      </c>
      <c r="V143" s="3">
        <v>7662</v>
      </c>
      <c r="W143" s="3">
        <v>8404</v>
      </c>
      <c r="X143" s="3">
        <v>9166</v>
      </c>
      <c r="Y143" s="3">
        <v>7304</v>
      </c>
      <c r="Z143" s="3"/>
      <c r="AA143" s="3"/>
      <c r="AB143" s="3"/>
    </row>
    <row r="144" spans="1:42" x14ac:dyDescent="0.55000000000000004">
      <c r="A144" s="2" t="s">
        <v>148</v>
      </c>
      <c r="B144" s="3"/>
      <c r="C144" s="3"/>
      <c r="D144" s="3"/>
      <c r="E144" s="3"/>
      <c r="F144" s="3"/>
      <c r="G144" s="3"/>
      <c r="H144" s="3"/>
      <c r="I144" s="3"/>
      <c r="J144" s="3"/>
      <c r="K144" s="1"/>
      <c r="L144" s="1"/>
      <c r="N144" s="3">
        <v>6193</v>
      </c>
      <c r="O144" s="3">
        <v>4482</v>
      </c>
      <c r="P144" s="3">
        <v>4796</v>
      </c>
      <c r="Q144" s="3">
        <v>4098</v>
      </c>
      <c r="R144" s="3">
        <v>5338</v>
      </c>
      <c r="S144" s="3">
        <v>5402</v>
      </c>
      <c r="T144" s="3">
        <v>3670</v>
      </c>
      <c r="U144" s="3">
        <v>6302</v>
      </c>
      <c r="V144" s="3">
        <v>5012</v>
      </c>
      <c r="W144" s="3">
        <v>5959</v>
      </c>
      <c r="X144" s="3">
        <v>5838</v>
      </c>
      <c r="Y144" s="3">
        <v>4682</v>
      </c>
      <c r="Z144" s="3"/>
      <c r="AA144" s="3"/>
      <c r="AB144" s="3"/>
    </row>
    <row r="145" spans="1:42" x14ac:dyDescent="0.55000000000000004">
      <c r="A145" s="4" t="s">
        <v>149</v>
      </c>
      <c r="B145" s="5">
        <v>2614405</v>
      </c>
      <c r="C145" s="5">
        <v>148770</v>
      </c>
      <c r="D145" s="5">
        <v>106412</v>
      </c>
      <c r="E145" s="5">
        <v>163596</v>
      </c>
      <c r="F145" s="5">
        <v>6809</v>
      </c>
      <c r="G145" s="5">
        <v>6009</v>
      </c>
      <c r="H145" s="5">
        <v>2544304</v>
      </c>
      <c r="I145" s="5">
        <v>152055</v>
      </c>
      <c r="J145" s="5">
        <v>98573</v>
      </c>
      <c r="K145" s="14">
        <v>56.9</v>
      </c>
      <c r="L145" s="14">
        <v>40.700000000000003</v>
      </c>
      <c r="N145" s="5">
        <v>339144</v>
      </c>
      <c r="O145" s="5">
        <v>279943</v>
      </c>
      <c r="P145" s="5">
        <v>372524</v>
      </c>
      <c r="Q145" s="5">
        <v>452599</v>
      </c>
      <c r="R145" s="5">
        <v>493630</v>
      </c>
      <c r="S145" s="5">
        <v>395148</v>
      </c>
      <c r="T145" s="5">
        <v>281417</v>
      </c>
      <c r="U145" s="5"/>
      <c r="V145" s="5"/>
      <c r="W145" s="5"/>
      <c r="X145" s="5"/>
      <c r="Y145" s="5"/>
      <c r="Z145" s="5"/>
      <c r="AA145" s="5"/>
      <c r="AB145" s="5"/>
      <c r="AD145" s="15">
        <f>SUM(N145:AB145)</f>
        <v>2614405</v>
      </c>
      <c r="AE145" s="15">
        <f>SUM(N146:AB146)</f>
        <v>148770</v>
      </c>
      <c r="AF145" s="15">
        <f>SUM(N147:AB147)</f>
        <v>106412</v>
      </c>
      <c r="AH145" s="15">
        <f>AD145-B145</f>
        <v>0</v>
      </c>
      <c r="AI145" s="15">
        <f>AE145-C145</f>
        <v>0</v>
      </c>
      <c r="AJ145" s="15">
        <f>AF145-D145</f>
        <v>0</v>
      </c>
      <c r="AL145" s="17">
        <f>C145/B145*1000</f>
        <v>56.903960939487185</v>
      </c>
      <c r="AM145" s="17">
        <f>D145/B145*1000</f>
        <v>40.702186539575926</v>
      </c>
      <c r="AO145" s="17">
        <f>AL145-K145</f>
        <v>3.9609394871860104E-3</v>
      </c>
      <c r="AP145" s="17">
        <f>AM145-L145</f>
        <v>2.1865395759235184E-3</v>
      </c>
    </row>
    <row r="146" spans="1:42" x14ac:dyDescent="0.55000000000000004">
      <c r="A146" s="2" t="s">
        <v>150</v>
      </c>
      <c r="B146" s="3"/>
      <c r="C146" s="3"/>
      <c r="D146" s="3"/>
      <c r="E146" s="3"/>
      <c r="F146" s="3"/>
      <c r="G146" s="3"/>
      <c r="H146" s="3"/>
      <c r="I146" s="3"/>
      <c r="J146" s="3"/>
      <c r="K146" s="1"/>
      <c r="L146" s="1"/>
      <c r="N146" s="3">
        <v>18693</v>
      </c>
      <c r="O146" s="3">
        <v>13987</v>
      </c>
      <c r="P146" s="3">
        <v>21835</v>
      </c>
      <c r="Q146" s="3">
        <v>26338</v>
      </c>
      <c r="R146" s="3">
        <v>29551</v>
      </c>
      <c r="S146" s="3">
        <v>23377</v>
      </c>
      <c r="T146" s="3">
        <v>14989</v>
      </c>
      <c r="U146" s="3"/>
      <c r="V146" s="3"/>
      <c r="W146" s="3"/>
      <c r="X146" s="3"/>
      <c r="Y146" s="3"/>
      <c r="Z146" s="3"/>
      <c r="AA146" s="3"/>
      <c r="AB146" s="3"/>
    </row>
    <row r="147" spans="1:42" x14ac:dyDescent="0.55000000000000004">
      <c r="A147" s="2" t="s">
        <v>151</v>
      </c>
      <c r="B147" s="3"/>
      <c r="C147" s="3"/>
      <c r="D147" s="3"/>
      <c r="E147" s="3"/>
      <c r="F147" s="3"/>
      <c r="G147" s="3"/>
      <c r="H147" s="3"/>
      <c r="I147" s="3"/>
      <c r="J147" s="3"/>
      <c r="K147" s="1"/>
      <c r="L147" s="1"/>
      <c r="N147" s="3">
        <v>14203</v>
      </c>
      <c r="O147" s="3">
        <v>9476</v>
      </c>
      <c r="P147" s="3">
        <v>15724</v>
      </c>
      <c r="Q147" s="3">
        <v>18558</v>
      </c>
      <c r="R147" s="3">
        <v>21896</v>
      </c>
      <c r="S147" s="3">
        <v>15827</v>
      </c>
      <c r="T147" s="3">
        <v>10728</v>
      </c>
      <c r="U147" s="3"/>
      <c r="V147" s="3"/>
      <c r="W147" s="3"/>
      <c r="X147" s="3"/>
      <c r="Y147" s="3"/>
      <c r="Z147" s="3"/>
      <c r="AA147" s="3"/>
      <c r="AB147" s="3"/>
    </row>
    <row r="148" spans="1:42" x14ac:dyDescent="0.55000000000000004">
      <c r="A148" s="4" t="s">
        <v>152</v>
      </c>
      <c r="B148" s="5">
        <v>1063679</v>
      </c>
      <c r="C148" s="5">
        <v>28643</v>
      </c>
      <c r="D148" s="5">
        <v>27786</v>
      </c>
      <c r="E148" s="5"/>
      <c r="F148" s="5"/>
      <c r="G148" s="5"/>
      <c r="H148" s="5">
        <v>864455</v>
      </c>
      <c r="I148" s="5">
        <v>27718</v>
      </c>
      <c r="J148" s="5">
        <v>24833</v>
      </c>
      <c r="K148" s="14">
        <v>28.5</v>
      </c>
      <c r="L148" s="14">
        <v>27.8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D148" s="15">
        <f>B148</f>
        <v>1063679</v>
      </c>
      <c r="AE148" s="15">
        <f>C148</f>
        <v>28643</v>
      </c>
      <c r="AF148" s="15">
        <f>D148</f>
        <v>27786</v>
      </c>
      <c r="AG148" s="18"/>
      <c r="AH148" s="18"/>
      <c r="AI148" s="18"/>
      <c r="AJ148" s="18"/>
      <c r="AL148" s="17">
        <f>C148/B148*1000</f>
        <v>26.928236808285206</v>
      </c>
      <c r="AM148" s="17">
        <f>D148/B148*1000</f>
        <v>26.122542609189427</v>
      </c>
      <c r="AO148" s="17">
        <f>AL148-K148</f>
        <v>-1.5717631917147941</v>
      </c>
      <c r="AP148" s="17">
        <f>AM148-L148</f>
        <v>-1.6774573908105737</v>
      </c>
    </row>
    <row r="149" spans="1:42" x14ac:dyDescent="0.55000000000000004">
      <c r="A149" s="4" t="s">
        <v>153</v>
      </c>
      <c r="B149" s="5">
        <v>829223</v>
      </c>
      <c r="C149" s="5">
        <v>30178</v>
      </c>
      <c r="D149" s="5">
        <v>25084</v>
      </c>
      <c r="E149" s="9" t="s">
        <v>14</v>
      </c>
      <c r="F149" s="9" t="s">
        <v>14</v>
      </c>
      <c r="G149" s="9" t="s">
        <v>14</v>
      </c>
      <c r="H149" s="5">
        <v>821549</v>
      </c>
      <c r="I149" s="5">
        <v>31221</v>
      </c>
      <c r="J149" s="5">
        <v>26042</v>
      </c>
      <c r="K149" s="14">
        <v>40.4</v>
      </c>
      <c r="L149" s="14">
        <v>33.700000000000003</v>
      </c>
      <c r="N149" s="5">
        <v>130689</v>
      </c>
      <c r="O149" s="5">
        <v>133245</v>
      </c>
      <c r="P149" s="5">
        <v>108978</v>
      </c>
      <c r="Q149" s="5">
        <v>87013</v>
      </c>
      <c r="R149" s="5">
        <v>59561</v>
      </c>
      <c r="S149" s="5">
        <v>81943</v>
      </c>
      <c r="T149" s="5">
        <v>44779</v>
      </c>
      <c r="U149" s="5">
        <v>96499</v>
      </c>
      <c r="V149" s="9" t="s">
        <v>14</v>
      </c>
      <c r="W149" s="5"/>
      <c r="X149" s="5"/>
      <c r="Y149" s="5"/>
      <c r="Z149" s="5"/>
      <c r="AA149" s="5"/>
      <c r="AB149" s="5"/>
      <c r="AD149" s="15">
        <f>SUM(N149:AB149)</f>
        <v>742707</v>
      </c>
      <c r="AE149" s="15">
        <f>SUM(N150:AB150)</f>
        <v>30178</v>
      </c>
      <c r="AF149" s="15">
        <f>SUM(N151:AB151)</f>
        <v>25084</v>
      </c>
      <c r="AH149" s="15">
        <f>AD149-B149</f>
        <v>-86516</v>
      </c>
      <c r="AI149" s="15">
        <f>AE149-C149</f>
        <v>0</v>
      </c>
      <c r="AJ149" s="15">
        <f>AF149-D149</f>
        <v>0</v>
      </c>
      <c r="AL149" s="17">
        <f>C149/B149*1000</f>
        <v>36.393105352842362</v>
      </c>
      <c r="AM149" s="17">
        <f>D149/B149*1000</f>
        <v>30.250005125279934</v>
      </c>
      <c r="AO149" s="17">
        <f>AL149-K149</f>
        <v>-4.0068946471576368</v>
      </c>
      <c r="AP149" s="17">
        <f>AM149-L149</f>
        <v>-3.449994874720069</v>
      </c>
    </row>
    <row r="150" spans="1:42" x14ac:dyDescent="0.55000000000000004">
      <c r="A150" s="2" t="s">
        <v>154</v>
      </c>
      <c r="B150" s="3"/>
      <c r="C150" s="3"/>
      <c r="D150" s="3"/>
      <c r="E150" s="3"/>
      <c r="F150" s="3"/>
      <c r="G150" s="3"/>
      <c r="H150" s="3"/>
      <c r="I150" s="3"/>
      <c r="J150" s="3"/>
      <c r="K150" s="1"/>
      <c r="L150" s="1"/>
      <c r="N150" s="3">
        <v>4288</v>
      </c>
      <c r="O150" s="3">
        <v>5654</v>
      </c>
      <c r="P150" s="3">
        <v>4814</v>
      </c>
      <c r="Q150" s="3">
        <v>3639</v>
      </c>
      <c r="R150" s="3">
        <v>2730</v>
      </c>
      <c r="S150" s="3">
        <v>3952</v>
      </c>
      <c r="T150" s="3">
        <v>2066</v>
      </c>
      <c r="U150" s="3">
        <v>3035</v>
      </c>
      <c r="V150" s="6" t="s">
        <v>14</v>
      </c>
      <c r="W150" s="3"/>
      <c r="X150" s="3"/>
      <c r="Y150" s="3"/>
      <c r="Z150" s="3"/>
      <c r="AA150" s="3"/>
      <c r="AB150" s="3"/>
    </row>
    <row r="151" spans="1:42" x14ac:dyDescent="0.55000000000000004">
      <c r="A151" s="2" t="s">
        <v>155</v>
      </c>
      <c r="B151" s="3"/>
      <c r="C151" s="3"/>
      <c r="D151" s="3"/>
      <c r="E151" s="3"/>
      <c r="F151" s="3"/>
      <c r="G151" s="3"/>
      <c r="H151" s="3"/>
      <c r="I151" s="3"/>
      <c r="J151" s="3"/>
      <c r="K151" s="1"/>
      <c r="L151" s="1"/>
      <c r="N151" s="3">
        <v>3396</v>
      </c>
      <c r="O151" s="3">
        <v>4327</v>
      </c>
      <c r="P151" s="3">
        <v>4418</v>
      </c>
      <c r="Q151" s="3">
        <v>2733</v>
      </c>
      <c r="R151" s="3">
        <v>2307</v>
      </c>
      <c r="S151" s="3">
        <v>3342</v>
      </c>
      <c r="T151" s="3">
        <v>1934</v>
      </c>
      <c r="U151" s="3">
        <v>2627</v>
      </c>
      <c r="V151" s="6" t="s">
        <v>14</v>
      </c>
      <c r="W151" s="3"/>
      <c r="X151" s="3"/>
      <c r="Y151" s="3"/>
      <c r="Z151" s="3"/>
      <c r="AA151" s="3"/>
      <c r="AB151" s="3"/>
    </row>
    <row r="152" spans="1:42" x14ac:dyDescent="0.55000000000000004">
      <c r="A152" s="4" t="s">
        <v>156</v>
      </c>
      <c r="B152" s="5">
        <v>2400071</v>
      </c>
      <c r="C152" s="5">
        <v>125529</v>
      </c>
      <c r="D152" s="5">
        <v>87984</v>
      </c>
      <c r="E152" s="5">
        <v>299295</v>
      </c>
      <c r="F152" s="5">
        <v>15150</v>
      </c>
      <c r="G152" s="5">
        <v>13131</v>
      </c>
      <c r="H152" s="5">
        <v>2331148</v>
      </c>
      <c r="I152" s="5">
        <v>124379</v>
      </c>
      <c r="J152" s="5">
        <v>82132</v>
      </c>
      <c r="K152" s="14">
        <v>52.3</v>
      </c>
      <c r="L152" s="14">
        <v>36.6</v>
      </c>
      <c r="N152" s="5">
        <v>306514</v>
      </c>
      <c r="O152" s="5">
        <v>282665</v>
      </c>
      <c r="P152" s="5">
        <v>289036</v>
      </c>
      <c r="Q152" s="5">
        <v>195928</v>
      </c>
      <c r="R152" s="5">
        <v>329577</v>
      </c>
      <c r="S152" s="5">
        <v>168618</v>
      </c>
      <c r="T152" s="5">
        <v>258293</v>
      </c>
      <c r="U152" s="5">
        <v>215785</v>
      </c>
      <c r="V152" s="5">
        <v>214287</v>
      </c>
      <c r="W152" s="5">
        <v>139368</v>
      </c>
      <c r="X152" s="5"/>
      <c r="Y152" s="5"/>
      <c r="Z152" s="5"/>
      <c r="AA152" s="5"/>
      <c r="AB152" s="5"/>
      <c r="AD152" s="15">
        <f>SUM(N152:AB152)</f>
        <v>2400071</v>
      </c>
      <c r="AE152" s="15">
        <f>SUM(N153:AB153)</f>
        <v>125529</v>
      </c>
      <c r="AF152" s="15">
        <f>SUM(N154:AB154)</f>
        <v>87934</v>
      </c>
      <c r="AH152" s="15">
        <f>AD152-B152</f>
        <v>0</v>
      </c>
      <c r="AI152" s="15">
        <f>AE152-C152</f>
        <v>0</v>
      </c>
      <c r="AJ152" s="15">
        <f>AF152-D152</f>
        <v>-50</v>
      </c>
      <c r="AL152" s="17">
        <f>C152/B152*1000</f>
        <v>52.302202726502678</v>
      </c>
      <c r="AM152" s="17">
        <f>D152/B152*1000</f>
        <v>36.658915507082916</v>
      </c>
      <c r="AO152" s="17">
        <f>AL152-K152</f>
        <v>2.2027265026807186E-3</v>
      </c>
      <c r="AP152" s="17">
        <f>AM152-L152</f>
        <v>5.8915507082915042E-2</v>
      </c>
    </row>
    <row r="153" spans="1:42" x14ac:dyDescent="0.55000000000000004">
      <c r="A153" s="2" t="s">
        <v>157</v>
      </c>
      <c r="B153" s="3"/>
      <c r="C153" s="3"/>
      <c r="D153" s="3"/>
      <c r="E153" s="3"/>
      <c r="F153" s="3"/>
      <c r="G153" s="3"/>
      <c r="H153" s="3"/>
      <c r="I153" s="3"/>
      <c r="J153" s="3"/>
      <c r="K153" s="1"/>
      <c r="L153" s="1"/>
      <c r="N153" s="3">
        <v>15945</v>
      </c>
      <c r="O153" s="3">
        <v>15765</v>
      </c>
      <c r="P153" s="3">
        <v>16453</v>
      </c>
      <c r="Q153" s="3">
        <v>9382</v>
      </c>
      <c r="R153" s="3">
        <v>17412</v>
      </c>
      <c r="S153" s="3">
        <v>9274</v>
      </c>
      <c r="T153" s="3">
        <v>12407</v>
      </c>
      <c r="U153" s="3">
        <v>11743</v>
      </c>
      <c r="V153" s="3">
        <v>10534</v>
      </c>
      <c r="W153" s="3">
        <v>6614</v>
      </c>
      <c r="X153" s="3"/>
      <c r="Y153" s="3"/>
      <c r="Z153" s="3"/>
      <c r="AA153" s="3"/>
      <c r="AB153" s="3"/>
    </row>
    <row r="154" spans="1:42" x14ac:dyDescent="0.55000000000000004">
      <c r="A154" s="2" t="s">
        <v>158</v>
      </c>
      <c r="B154" s="3"/>
      <c r="C154" s="3"/>
      <c r="D154" s="3"/>
      <c r="E154" s="3"/>
      <c r="F154" s="3"/>
      <c r="G154" s="3"/>
      <c r="H154" s="3"/>
      <c r="I154" s="3"/>
      <c r="J154" s="3"/>
      <c r="K154" s="1"/>
      <c r="L154" s="1"/>
      <c r="N154" s="3">
        <v>12132</v>
      </c>
      <c r="O154" s="3">
        <v>10376</v>
      </c>
      <c r="P154" s="3">
        <v>13215</v>
      </c>
      <c r="Q154" s="3">
        <v>5679</v>
      </c>
      <c r="R154" s="3">
        <v>11051</v>
      </c>
      <c r="S154" s="3">
        <v>6770</v>
      </c>
      <c r="T154" s="3">
        <v>8549</v>
      </c>
      <c r="U154" s="3">
        <v>8487</v>
      </c>
      <c r="V154" s="3">
        <v>6193</v>
      </c>
      <c r="W154" s="3">
        <v>5482</v>
      </c>
      <c r="X154" s="3"/>
      <c r="Y154" s="3"/>
      <c r="Z154" s="3"/>
      <c r="AA154" s="3"/>
      <c r="AB154" s="3"/>
    </row>
    <row r="155" spans="1:42" x14ac:dyDescent="0.55000000000000004">
      <c r="A155" s="4" t="s">
        <v>159</v>
      </c>
      <c r="B155" s="5">
        <v>1626106</v>
      </c>
      <c r="C155" s="5">
        <v>79327</v>
      </c>
      <c r="D155" s="5">
        <v>56516</v>
      </c>
      <c r="E155" s="5">
        <v>103144</v>
      </c>
      <c r="F155" s="5">
        <v>5586</v>
      </c>
      <c r="G155" s="5">
        <v>5144</v>
      </c>
      <c r="H155" s="5">
        <v>1592591</v>
      </c>
      <c r="I155" s="5">
        <v>79557</v>
      </c>
      <c r="J155" s="5">
        <v>52011</v>
      </c>
      <c r="K155" s="14">
        <v>48.8</v>
      </c>
      <c r="L155" s="14">
        <v>34.799999999999997</v>
      </c>
      <c r="N155" s="5">
        <v>220902</v>
      </c>
      <c r="O155" s="5">
        <v>170159</v>
      </c>
      <c r="P155" s="5">
        <v>215667</v>
      </c>
      <c r="Q155" s="5">
        <v>189497</v>
      </c>
      <c r="R155" s="5">
        <v>242713</v>
      </c>
      <c r="S155" s="5">
        <v>165428</v>
      </c>
      <c r="T155" s="5">
        <v>161564</v>
      </c>
      <c r="U155" s="5">
        <v>260176</v>
      </c>
      <c r="V155" s="5"/>
      <c r="W155" s="5"/>
      <c r="X155" s="5"/>
      <c r="Y155" s="5"/>
      <c r="Z155" s="5"/>
      <c r="AA155" s="5"/>
      <c r="AB155" s="5"/>
      <c r="AD155" s="15">
        <f>SUM(N155:AB155)</f>
        <v>1626106</v>
      </c>
      <c r="AE155" s="15">
        <f>SUM(N156:AB156)</f>
        <v>79327</v>
      </c>
      <c r="AF155" s="15">
        <f>SUM(N157:AB157)</f>
        <v>56516</v>
      </c>
      <c r="AH155" s="15">
        <f>AD155-B155</f>
        <v>0</v>
      </c>
      <c r="AI155" s="15">
        <f>AE155-C155</f>
        <v>0</v>
      </c>
      <c r="AJ155" s="15">
        <f>AF155-D155</f>
        <v>0</v>
      </c>
      <c r="AL155" s="17">
        <f>C155/B155*1000</f>
        <v>48.783412643456209</v>
      </c>
      <c r="AM155" s="17">
        <f>D155/B155*1000</f>
        <v>34.755421848268192</v>
      </c>
      <c r="AO155" s="17">
        <f>AL155-K155</f>
        <v>-1.6587356543787735E-2</v>
      </c>
      <c r="AP155" s="17">
        <f>AM155-L155</f>
        <v>-4.4578151731805349E-2</v>
      </c>
    </row>
    <row r="156" spans="1:42" x14ac:dyDescent="0.55000000000000004">
      <c r="A156" s="2" t="s">
        <v>160</v>
      </c>
      <c r="B156" s="3"/>
      <c r="C156" s="3"/>
      <c r="D156" s="3"/>
      <c r="E156" s="3"/>
      <c r="F156" s="3"/>
      <c r="G156" s="3"/>
      <c r="H156" s="3"/>
      <c r="I156" s="3"/>
      <c r="J156" s="3"/>
      <c r="K156" s="1"/>
      <c r="L156" s="1"/>
      <c r="N156" s="3">
        <v>11107</v>
      </c>
      <c r="O156" s="3">
        <v>8199</v>
      </c>
      <c r="P156" s="3">
        <v>10060</v>
      </c>
      <c r="Q156" s="3">
        <v>9029</v>
      </c>
      <c r="R156" s="3">
        <v>11722</v>
      </c>
      <c r="S156" s="3">
        <v>8040</v>
      </c>
      <c r="T156" s="3">
        <v>8446</v>
      </c>
      <c r="U156" s="3">
        <v>12724</v>
      </c>
      <c r="V156" s="3"/>
      <c r="W156" s="3"/>
      <c r="X156" s="3"/>
      <c r="Y156" s="3"/>
      <c r="Z156" s="3"/>
      <c r="AA156" s="3"/>
      <c r="AB156" s="3"/>
    </row>
    <row r="157" spans="1:42" x14ac:dyDescent="0.55000000000000004">
      <c r="A157" s="2" t="s">
        <v>161</v>
      </c>
      <c r="B157" s="3"/>
      <c r="C157" s="3"/>
      <c r="D157" s="3"/>
      <c r="E157" s="3"/>
      <c r="F157" s="3"/>
      <c r="G157" s="3"/>
      <c r="H157" s="3"/>
      <c r="I157" s="3"/>
      <c r="J157" s="3"/>
      <c r="K157" s="1"/>
      <c r="L157" s="1"/>
      <c r="N157" s="3">
        <v>8630</v>
      </c>
      <c r="O157" s="3">
        <v>6365</v>
      </c>
      <c r="P157" s="3">
        <v>7019</v>
      </c>
      <c r="Q157" s="3">
        <v>5862</v>
      </c>
      <c r="R157" s="3">
        <v>8330</v>
      </c>
      <c r="S157" s="3">
        <v>6015</v>
      </c>
      <c r="T157" s="3">
        <v>5246</v>
      </c>
      <c r="U157" s="3">
        <v>9049</v>
      </c>
      <c r="V157" s="3"/>
      <c r="W157" s="3"/>
      <c r="X157" s="3"/>
      <c r="Y157" s="3"/>
      <c r="Z157" s="3"/>
      <c r="AA157" s="3"/>
      <c r="AB157" s="3"/>
    </row>
    <row r="158" spans="1:42" x14ac:dyDescent="0.55000000000000004">
      <c r="A158" s="4" t="s">
        <v>162</v>
      </c>
      <c r="B158" s="5">
        <v>1399628</v>
      </c>
      <c r="C158" s="5">
        <v>73669</v>
      </c>
      <c r="D158" s="5">
        <v>55576</v>
      </c>
      <c r="E158" s="5">
        <v>116825</v>
      </c>
      <c r="F158" s="5">
        <v>3327</v>
      </c>
      <c r="G158" s="5">
        <v>3088</v>
      </c>
      <c r="H158" s="5">
        <v>1349100</v>
      </c>
      <c r="I158" s="5">
        <v>74138</v>
      </c>
      <c r="J158" s="5">
        <v>50805</v>
      </c>
      <c r="K158" s="14">
        <v>52.6</v>
      </c>
      <c r="L158" s="14">
        <v>39.700000000000003</v>
      </c>
      <c r="N158" s="5">
        <v>124115</v>
      </c>
      <c r="O158" s="5">
        <v>123807</v>
      </c>
      <c r="P158" s="5">
        <v>101626</v>
      </c>
      <c r="Q158" s="5">
        <v>139760</v>
      </c>
      <c r="R158" s="5">
        <v>100720</v>
      </c>
      <c r="S158" s="5">
        <v>90349</v>
      </c>
      <c r="T158" s="5">
        <v>111700</v>
      </c>
      <c r="U158" s="5">
        <v>95383</v>
      </c>
      <c r="V158" s="5">
        <v>111054</v>
      </c>
      <c r="W158" s="5">
        <v>165936</v>
      </c>
      <c r="X158" s="5">
        <v>118343</v>
      </c>
      <c r="Y158" s="5">
        <v>116835</v>
      </c>
      <c r="Z158" s="5"/>
      <c r="AA158" s="5"/>
      <c r="AB158" s="5"/>
      <c r="AD158" s="15">
        <f>SUM(N158:AB158)</f>
        <v>1399628</v>
      </c>
      <c r="AE158" s="15">
        <f>SUM(N159:AB159)</f>
        <v>73669</v>
      </c>
      <c r="AF158" s="15">
        <f>SUM(N160:AB160)</f>
        <v>55576</v>
      </c>
      <c r="AH158" s="15">
        <f>AD158-B158</f>
        <v>0</v>
      </c>
      <c r="AI158" s="15">
        <f>AE158-C158</f>
        <v>0</v>
      </c>
      <c r="AJ158" s="15">
        <f>AF158-D158</f>
        <v>0</v>
      </c>
      <c r="AL158" s="17">
        <f>C158/B158*1000</f>
        <v>52.634700077449153</v>
      </c>
      <c r="AM158" s="17">
        <f>D158/B158*1000</f>
        <v>39.707693758627293</v>
      </c>
      <c r="AO158" s="17">
        <f>AL158-K158</f>
        <v>3.4700077449151934E-2</v>
      </c>
      <c r="AP158" s="17">
        <f>AM158-L158</f>
        <v>7.6937586272904923E-3</v>
      </c>
    </row>
    <row r="159" spans="1:42" x14ac:dyDescent="0.55000000000000004">
      <c r="A159" s="2" t="s">
        <v>163</v>
      </c>
      <c r="B159" s="3"/>
      <c r="C159" s="3"/>
      <c r="D159" s="3"/>
      <c r="E159" s="3"/>
      <c r="F159" s="3"/>
      <c r="G159" s="3"/>
      <c r="H159" s="3"/>
      <c r="I159" s="3"/>
      <c r="J159" s="3"/>
      <c r="K159" s="1"/>
      <c r="L159" s="1"/>
      <c r="N159" s="3">
        <v>6012</v>
      </c>
      <c r="O159" s="3">
        <v>8214</v>
      </c>
      <c r="P159" s="3">
        <v>5249</v>
      </c>
      <c r="Q159" s="3">
        <v>5020</v>
      </c>
      <c r="R159" s="3">
        <v>5317</v>
      </c>
      <c r="S159" s="3">
        <v>6356</v>
      </c>
      <c r="T159" s="3">
        <v>6961</v>
      </c>
      <c r="U159" s="3">
        <v>4650</v>
      </c>
      <c r="V159" s="3">
        <v>6391</v>
      </c>
      <c r="W159" s="3">
        <v>8815</v>
      </c>
      <c r="X159" s="3">
        <v>4828</v>
      </c>
      <c r="Y159" s="3">
        <v>5856</v>
      </c>
      <c r="Z159" s="3"/>
      <c r="AA159" s="3"/>
      <c r="AB159" s="3"/>
    </row>
    <row r="160" spans="1:42" x14ac:dyDescent="0.55000000000000004">
      <c r="A160" s="2" t="s">
        <v>164</v>
      </c>
      <c r="B160" s="3"/>
      <c r="C160" s="3"/>
      <c r="D160" s="3"/>
      <c r="E160" s="3"/>
      <c r="F160" s="3"/>
      <c r="G160" s="3"/>
      <c r="H160" s="3"/>
      <c r="I160" s="3"/>
      <c r="J160" s="3"/>
      <c r="K160" s="1"/>
      <c r="L160" s="1"/>
      <c r="N160" s="3">
        <v>4840</v>
      </c>
      <c r="O160" s="3">
        <v>5419</v>
      </c>
      <c r="P160" s="3">
        <v>3795</v>
      </c>
      <c r="Q160" s="3">
        <v>5396</v>
      </c>
      <c r="R160" s="3">
        <v>4055</v>
      </c>
      <c r="S160" s="3">
        <v>4975</v>
      </c>
      <c r="T160" s="3">
        <v>5561</v>
      </c>
      <c r="U160" s="3">
        <v>3233</v>
      </c>
      <c r="V160" s="3">
        <v>4838</v>
      </c>
      <c r="W160" s="3">
        <v>5417</v>
      </c>
      <c r="X160" s="3">
        <v>3473</v>
      </c>
      <c r="Y160" s="3">
        <v>4574</v>
      </c>
      <c r="Z160" s="3"/>
      <c r="AA160" s="3"/>
      <c r="AB160" s="3"/>
    </row>
    <row r="161" spans="1:42" x14ac:dyDescent="0.55000000000000004">
      <c r="A161" s="4" t="s">
        <v>165</v>
      </c>
      <c r="B161" s="5">
        <v>1079875</v>
      </c>
      <c r="C161" s="5">
        <v>57405</v>
      </c>
      <c r="D161" s="5">
        <v>32507</v>
      </c>
      <c r="E161" s="5">
        <v>124874</v>
      </c>
      <c r="F161" s="5">
        <v>5520</v>
      </c>
      <c r="G161" s="5">
        <v>3789</v>
      </c>
      <c r="H161" s="5">
        <v>1100492</v>
      </c>
      <c r="I161" s="5">
        <v>53726</v>
      </c>
      <c r="J161" s="5">
        <v>34569</v>
      </c>
      <c r="K161" s="14">
        <v>53.1</v>
      </c>
      <c r="L161" s="14">
        <v>30.1</v>
      </c>
      <c r="N161" s="5">
        <v>90374</v>
      </c>
      <c r="O161" s="5">
        <v>258192</v>
      </c>
      <c r="P161" s="5">
        <v>159851</v>
      </c>
      <c r="Q161" s="5">
        <v>81046</v>
      </c>
      <c r="R161" s="5">
        <v>320907</v>
      </c>
      <c r="S161" s="5">
        <v>37959</v>
      </c>
      <c r="T161" s="5">
        <v>84037</v>
      </c>
      <c r="U161" s="5">
        <v>47509</v>
      </c>
      <c r="V161" s="9" t="s">
        <v>14</v>
      </c>
      <c r="W161" s="5"/>
      <c r="X161" s="5"/>
      <c r="Y161" s="5"/>
      <c r="Z161" s="5"/>
      <c r="AA161" s="5"/>
      <c r="AB161" s="5"/>
      <c r="AD161" s="15">
        <f>SUM(N161:AB161)</f>
        <v>1079875</v>
      </c>
      <c r="AE161" s="15">
        <f>SUM(N162:AB162)</f>
        <v>57405</v>
      </c>
      <c r="AF161" s="15">
        <f>SUM(N163:AB163)</f>
        <v>32507</v>
      </c>
      <c r="AH161" s="15">
        <f>AD161-B161</f>
        <v>0</v>
      </c>
      <c r="AI161" s="15">
        <f>AE161-C161</f>
        <v>0</v>
      </c>
      <c r="AJ161" s="15">
        <f>AF161-D161</f>
        <v>0</v>
      </c>
      <c r="AL161" s="17">
        <f>C161/B161*1000</f>
        <v>53.15893043176294</v>
      </c>
      <c r="AM161" s="17">
        <f>D161/B161*1000</f>
        <v>30.102558166454454</v>
      </c>
      <c r="AO161" s="17">
        <f>AL161-K161</f>
        <v>5.893043176293844E-2</v>
      </c>
      <c r="AP161" s="17">
        <f>AM161-L161</f>
        <v>2.558166454452504E-3</v>
      </c>
    </row>
    <row r="162" spans="1:42" x14ac:dyDescent="0.55000000000000004">
      <c r="A162" s="2" t="s">
        <v>166</v>
      </c>
      <c r="B162" s="3"/>
      <c r="C162" s="3"/>
      <c r="D162" s="3"/>
      <c r="E162" s="3"/>
      <c r="F162" s="3"/>
      <c r="G162" s="3"/>
      <c r="H162" s="3"/>
      <c r="I162" s="3"/>
      <c r="J162" s="3"/>
      <c r="K162" s="1"/>
      <c r="L162" s="1"/>
      <c r="N162" s="3">
        <v>3368</v>
      </c>
      <c r="O162" s="3">
        <v>14915</v>
      </c>
      <c r="P162" s="3">
        <v>9363</v>
      </c>
      <c r="Q162" s="3">
        <v>3334</v>
      </c>
      <c r="R162" s="3">
        <v>19182</v>
      </c>
      <c r="S162" s="3">
        <v>1534</v>
      </c>
      <c r="T162" s="3">
        <v>3836</v>
      </c>
      <c r="U162" s="3">
        <v>1873</v>
      </c>
      <c r="V162" s="6" t="s">
        <v>14</v>
      </c>
      <c r="W162" s="3"/>
      <c r="X162" s="3"/>
      <c r="Y162" s="3"/>
      <c r="Z162" s="3"/>
      <c r="AA162" s="3"/>
      <c r="AB162" s="3"/>
    </row>
    <row r="163" spans="1:42" x14ac:dyDescent="0.55000000000000004">
      <c r="A163" s="2" t="s">
        <v>167</v>
      </c>
      <c r="B163" s="3"/>
      <c r="C163" s="3"/>
      <c r="D163" s="3"/>
      <c r="E163" s="3"/>
      <c r="F163" s="3"/>
      <c r="G163" s="3"/>
      <c r="H163" s="3"/>
      <c r="I163" s="3"/>
      <c r="J163" s="3"/>
      <c r="K163" s="1"/>
      <c r="L163" s="1"/>
      <c r="N163" s="3">
        <v>2222</v>
      </c>
      <c r="O163" s="3">
        <v>9105</v>
      </c>
      <c r="P163" s="3">
        <v>5267</v>
      </c>
      <c r="Q163" s="3">
        <v>2190</v>
      </c>
      <c r="R163" s="3">
        <v>9421</v>
      </c>
      <c r="S163" s="3">
        <v>661</v>
      </c>
      <c r="T163" s="3">
        <v>2686</v>
      </c>
      <c r="U163" s="3">
        <v>955</v>
      </c>
      <c r="V163" s="6" t="s">
        <v>14</v>
      </c>
      <c r="W163" s="3"/>
      <c r="X163" s="3"/>
      <c r="Y163" s="3"/>
      <c r="Z163" s="3"/>
      <c r="AA163" s="3"/>
      <c r="AB163" s="3"/>
    </row>
    <row r="164" spans="1:42" x14ac:dyDescent="0.55000000000000004">
      <c r="A164" s="4" t="s">
        <v>168</v>
      </c>
      <c r="B164" s="5">
        <v>2827457</v>
      </c>
      <c r="C164" s="5">
        <v>149700</v>
      </c>
      <c r="D164" s="5">
        <v>100954</v>
      </c>
      <c r="E164" s="5">
        <v>188273</v>
      </c>
      <c r="F164" s="5">
        <v>6614</v>
      </c>
      <c r="G164" s="5">
        <v>5988</v>
      </c>
      <c r="H164" s="5">
        <v>2756466</v>
      </c>
      <c r="I164" s="5">
        <v>139257</v>
      </c>
      <c r="J164" s="5">
        <v>85305</v>
      </c>
      <c r="K164" s="14">
        <v>49.8</v>
      </c>
      <c r="L164" s="14">
        <v>35.700000000000003</v>
      </c>
      <c r="N164" s="5">
        <v>395682</v>
      </c>
      <c r="O164" s="5">
        <v>303436</v>
      </c>
      <c r="P164" s="5">
        <v>192217</v>
      </c>
      <c r="Q164" s="5">
        <v>275505</v>
      </c>
      <c r="R164" s="5">
        <v>384734</v>
      </c>
      <c r="S164" s="5">
        <v>156829</v>
      </c>
      <c r="T164" s="5">
        <v>183721</v>
      </c>
      <c r="U164" s="5">
        <v>275033</v>
      </c>
      <c r="V164" s="5">
        <v>136244</v>
      </c>
      <c r="W164" s="5">
        <v>147052</v>
      </c>
      <c r="X164" s="5">
        <v>210082</v>
      </c>
      <c r="Y164" s="5">
        <v>166922</v>
      </c>
      <c r="Z164" s="5"/>
      <c r="AA164" s="5"/>
      <c r="AB164" s="5"/>
      <c r="AD164" s="15">
        <f>SUM(N164:AB164)</f>
        <v>2827457</v>
      </c>
      <c r="AE164" s="15">
        <f>SUM(N165:AB165)</f>
        <v>140700</v>
      </c>
      <c r="AF164" s="15">
        <f>SUM(N166:AB166)</f>
        <v>100954</v>
      </c>
      <c r="AH164" s="15">
        <f>AD164-B164</f>
        <v>0</v>
      </c>
      <c r="AI164" s="15">
        <f>AE164-C164</f>
        <v>-9000</v>
      </c>
      <c r="AJ164" s="15">
        <f>AF164-D164</f>
        <v>0</v>
      </c>
      <c r="AL164" s="17">
        <f>C164/B164*1000</f>
        <v>52.945102259733751</v>
      </c>
      <c r="AM164" s="17">
        <f>D164/B164*1000</f>
        <v>35.704875441076553</v>
      </c>
      <c r="AO164" s="17">
        <f>AL164-K164</f>
        <v>3.1451022597337541</v>
      </c>
      <c r="AP164" s="17">
        <f>AM164-L164</f>
        <v>4.8754410765496914E-3</v>
      </c>
    </row>
    <row r="165" spans="1:42" x14ac:dyDescent="0.55000000000000004">
      <c r="A165" s="2" t="s">
        <v>169</v>
      </c>
      <c r="B165" s="3"/>
      <c r="C165" s="3"/>
      <c r="D165" s="3"/>
      <c r="E165" s="3"/>
      <c r="F165" s="3"/>
      <c r="G165" s="3"/>
      <c r="H165" s="3"/>
      <c r="I165" s="3"/>
      <c r="J165" s="3"/>
      <c r="K165" s="1"/>
      <c r="L165" s="1"/>
      <c r="N165" s="3">
        <v>20796</v>
      </c>
      <c r="O165" s="3">
        <v>16177</v>
      </c>
      <c r="P165" s="3">
        <v>7369</v>
      </c>
      <c r="Q165" s="3">
        <v>14730</v>
      </c>
      <c r="R165" s="3">
        <v>17948</v>
      </c>
      <c r="S165" s="3">
        <v>7697</v>
      </c>
      <c r="T165" s="3">
        <v>8563</v>
      </c>
      <c r="U165" s="3">
        <v>13671</v>
      </c>
      <c r="V165" s="3">
        <v>6875</v>
      </c>
      <c r="W165" s="3">
        <v>7316</v>
      </c>
      <c r="X165" s="3">
        <v>11383</v>
      </c>
      <c r="Y165" s="3">
        <v>8175</v>
      </c>
      <c r="Z165" s="3"/>
      <c r="AA165" s="3"/>
      <c r="AB165" s="3"/>
    </row>
    <row r="166" spans="1:42" x14ac:dyDescent="0.55000000000000004">
      <c r="A166" s="2" t="s">
        <v>170</v>
      </c>
      <c r="B166" s="3"/>
      <c r="C166" s="3"/>
      <c r="D166" s="3"/>
      <c r="E166" s="3"/>
      <c r="F166" s="3"/>
      <c r="G166" s="3"/>
      <c r="H166" s="3"/>
      <c r="I166" s="3"/>
      <c r="J166" s="3"/>
      <c r="K166" s="1"/>
      <c r="L166" s="1"/>
      <c r="N166" s="3">
        <v>15088</v>
      </c>
      <c r="O166" s="3">
        <v>11196</v>
      </c>
      <c r="P166" s="3">
        <v>5086</v>
      </c>
      <c r="Q166" s="3">
        <v>11534</v>
      </c>
      <c r="R166" s="3">
        <v>12653</v>
      </c>
      <c r="S166" s="3">
        <v>6595</v>
      </c>
      <c r="T166" s="3">
        <v>6117</v>
      </c>
      <c r="U166" s="3">
        <v>10335</v>
      </c>
      <c r="V166" s="3">
        <v>4236</v>
      </c>
      <c r="W166" s="3">
        <v>4488</v>
      </c>
      <c r="X166" s="3">
        <v>8326</v>
      </c>
      <c r="Y166" s="3">
        <v>5300</v>
      </c>
      <c r="Z166" s="3"/>
      <c r="AA166" s="3"/>
      <c r="AB166" s="3"/>
    </row>
    <row r="167" spans="1:42" x14ac:dyDescent="0.55000000000000004">
      <c r="A167" s="4" t="s">
        <v>171</v>
      </c>
      <c r="B167" s="5">
        <v>1827999</v>
      </c>
      <c r="C167" s="5">
        <v>80416</v>
      </c>
      <c r="D167" s="5">
        <v>66048</v>
      </c>
      <c r="E167" s="5">
        <v>150569</v>
      </c>
      <c r="F167" s="5">
        <v>5544</v>
      </c>
      <c r="G167" s="5">
        <v>4972</v>
      </c>
      <c r="H167" s="5">
        <v>1797246</v>
      </c>
      <c r="I167" s="5">
        <v>84198</v>
      </c>
      <c r="J167" s="5">
        <v>55845</v>
      </c>
      <c r="K167" s="14">
        <v>44</v>
      </c>
      <c r="L167" s="14">
        <v>36.1</v>
      </c>
      <c r="N167" s="5">
        <v>164028</v>
      </c>
      <c r="O167" s="5">
        <v>240889</v>
      </c>
      <c r="P167" s="5">
        <v>151760</v>
      </c>
      <c r="Q167" s="5">
        <v>171991</v>
      </c>
      <c r="R167" s="5">
        <v>115214</v>
      </c>
      <c r="S167" s="5">
        <v>135475</v>
      </c>
      <c r="T167" s="5">
        <v>138942</v>
      </c>
      <c r="U167" s="5">
        <v>128236</v>
      </c>
      <c r="V167" s="5">
        <v>122202</v>
      </c>
      <c r="W167" s="5">
        <v>138803</v>
      </c>
      <c r="X167" s="5">
        <v>156016</v>
      </c>
      <c r="Y167" s="5">
        <v>164443</v>
      </c>
      <c r="Z167" s="5"/>
      <c r="AA167" s="5"/>
      <c r="AB167" s="5"/>
      <c r="AD167" s="15">
        <f>SUM(N167:AB167)</f>
        <v>1827999</v>
      </c>
      <c r="AE167" s="15">
        <f>SUM(N168:AB168)</f>
        <v>80416</v>
      </c>
      <c r="AF167" s="15">
        <f>SUM(N169:AB169)</f>
        <v>66048</v>
      </c>
      <c r="AH167" s="15">
        <f>AD167-B167</f>
        <v>0</v>
      </c>
      <c r="AI167" s="15">
        <f>AE167-C167</f>
        <v>0</v>
      </c>
      <c r="AJ167" s="15">
        <f>AF167-D167</f>
        <v>0</v>
      </c>
      <c r="AL167" s="17">
        <f>C167/B167*1000</f>
        <v>43.991271330017135</v>
      </c>
      <c r="AM167" s="17">
        <f>D167/B167*1000</f>
        <v>36.131310793933693</v>
      </c>
      <c r="AO167" s="17">
        <f>AL167-K167</f>
        <v>-8.7286699828652559E-3</v>
      </c>
      <c r="AP167" s="17">
        <f>AM167-L167</f>
        <v>3.1310793933691627E-2</v>
      </c>
    </row>
    <row r="168" spans="1:42" x14ac:dyDescent="0.55000000000000004">
      <c r="A168" s="2" t="s">
        <v>172</v>
      </c>
      <c r="B168" s="3"/>
      <c r="C168" s="3"/>
      <c r="D168" s="3"/>
      <c r="E168" s="3"/>
      <c r="F168" s="3"/>
      <c r="G168" s="3"/>
      <c r="H168" s="3"/>
      <c r="I168" s="3"/>
      <c r="J168" s="3"/>
      <c r="K168" s="1"/>
      <c r="L168" s="1"/>
      <c r="N168" s="3">
        <v>7560</v>
      </c>
      <c r="O168" s="3">
        <v>11163</v>
      </c>
      <c r="P168" s="3">
        <v>6528</v>
      </c>
      <c r="Q168" s="3">
        <v>7134</v>
      </c>
      <c r="R168" s="3">
        <v>4923</v>
      </c>
      <c r="S168" s="3">
        <v>5349</v>
      </c>
      <c r="T168" s="3">
        <v>5413</v>
      </c>
      <c r="U168" s="3">
        <v>5496</v>
      </c>
      <c r="V168" s="3">
        <v>6385</v>
      </c>
      <c r="W168" s="3">
        <v>7123</v>
      </c>
      <c r="X168" s="3">
        <v>6886</v>
      </c>
      <c r="Y168" s="3">
        <v>6456</v>
      </c>
      <c r="Z168" s="3"/>
      <c r="AA168" s="3"/>
      <c r="AB168" s="3"/>
    </row>
    <row r="169" spans="1:42" x14ac:dyDescent="0.55000000000000004">
      <c r="A169" s="2" t="s">
        <v>173</v>
      </c>
      <c r="B169" s="3"/>
      <c r="C169" s="3"/>
      <c r="D169" s="3"/>
      <c r="E169" s="3"/>
      <c r="F169" s="3"/>
      <c r="G169" s="3"/>
      <c r="H169" s="3"/>
      <c r="I169" s="3"/>
      <c r="J169" s="3"/>
      <c r="K169" s="1"/>
      <c r="L169" s="1"/>
      <c r="N169" s="3">
        <v>5783</v>
      </c>
      <c r="O169" s="3">
        <v>9644</v>
      </c>
      <c r="P169" s="3">
        <v>5535</v>
      </c>
      <c r="Q169" s="3">
        <v>5907</v>
      </c>
      <c r="R169" s="3">
        <v>3443</v>
      </c>
      <c r="S169" s="3">
        <v>5385</v>
      </c>
      <c r="T169" s="3">
        <v>5592</v>
      </c>
      <c r="U169" s="3">
        <v>4626</v>
      </c>
      <c r="V169" s="3">
        <v>4560</v>
      </c>
      <c r="W169" s="3">
        <v>5812</v>
      </c>
      <c r="X169" s="3">
        <v>4822</v>
      </c>
      <c r="Y169" s="3">
        <v>4939</v>
      </c>
      <c r="Z169" s="3"/>
      <c r="AA169" s="3"/>
      <c r="AB169" s="3"/>
    </row>
    <row r="170" spans="1:42" x14ac:dyDescent="0.55000000000000004">
      <c r="A170" s="4" t="s">
        <v>174</v>
      </c>
      <c r="B170" s="5">
        <v>1486195</v>
      </c>
      <c r="C170" s="5">
        <v>73898</v>
      </c>
      <c r="D170" s="5">
        <v>65492</v>
      </c>
      <c r="E170" s="5">
        <v>130495</v>
      </c>
      <c r="F170" s="5">
        <v>4963</v>
      </c>
      <c r="G170" s="5">
        <v>4522</v>
      </c>
      <c r="H170" s="5">
        <v>1490391</v>
      </c>
      <c r="I170" s="5">
        <v>74850</v>
      </c>
      <c r="J170" s="5">
        <v>50909</v>
      </c>
      <c r="K170" s="14">
        <v>49.7</v>
      </c>
      <c r="L170" s="14">
        <v>46.7</v>
      </c>
      <c r="N170" s="5">
        <v>163213</v>
      </c>
      <c r="O170" s="5">
        <v>90247</v>
      </c>
      <c r="P170" s="5">
        <v>170658</v>
      </c>
      <c r="Q170" s="5">
        <v>86494</v>
      </c>
      <c r="R170" s="5">
        <v>124473</v>
      </c>
      <c r="S170" s="5">
        <v>134549</v>
      </c>
      <c r="T170" s="5">
        <v>166947</v>
      </c>
      <c r="U170" s="5">
        <v>79138</v>
      </c>
      <c r="V170" s="5">
        <v>106216</v>
      </c>
      <c r="W170" s="5">
        <v>149686</v>
      </c>
      <c r="X170" s="5">
        <v>101992</v>
      </c>
      <c r="Y170" s="5">
        <v>112982</v>
      </c>
      <c r="Z170" s="5"/>
      <c r="AA170" s="5"/>
      <c r="AB170" s="5"/>
      <c r="AD170" s="15">
        <f>SUM(N170:AB170)</f>
        <v>1486595</v>
      </c>
      <c r="AE170" s="15">
        <f>SUM(N171:AB171)</f>
        <v>73898</v>
      </c>
      <c r="AF170" s="15">
        <f>SUM(N172:AB172)</f>
        <v>65397</v>
      </c>
      <c r="AH170" s="15">
        <f>AD170-B170</f>
        <v>400</v>
      </c>
      <c r="AI170" s="15">
        <f>AE170-C170</f>
        <v>0</v>
      </c>
      <c r="AJ170" s="15">
        <f>AF170-D170</f>
        <v>-95</v>
      </c>
      <c r="AL170" s="17">
        <f>C170/B170*1000</f>
        <v>49.722950218511031</v>
      </c>
      <c r="AM170" s="17">
        <f>D170/B170*1000</f>
        <v>44.066895663085937</v>
      </c>
      <c r="AO170" s="17">
        <f>AL170-K170</f>
        <v>2.2950218511027742E-2</v>
      </c>
      <c r="AP170" s="17">
        <f>AM170-L170</f>
        <v>-2.6331043369140659</v>
      </c>
    </row>
    <row r="171" spans="1:42" x14ac:dyDescent="0.55000000000000004">
      <c r="A171" s="2" t="s">
        <v>175</v>
      </c>
      <c r="B171" s="3"/>
      <c r="C171" s="3"/>
      <c r="D171" s="3"/>
      <c r="E171" s="3"/>
      <c r="F171" s="3"/>
      <c r="G171" s="3"/>
      <c r="H171" s="3"/>
      <c r="I171" s="3"/>
      <c r="J171" s="3"/>
      <c r="K171" s="1"/>
      <c r="L171" s="1"/>
      <c r="N171" s="3">
        <v>8548</v>
      </c>
      <c r="O171" s="3">
        <v>4041</v>
      </c>
      <c r="P171" s="3">
        <v>8978</v>
      </c>
      <c r="Q171" s="3">
        <v>3655</v>
      </c>
      <c r="R171" s="3">
        <v>5650</v>
      </c>
      <c r="S171" s="3">
        <v>6260</v>
      </c>
      <c r="T171" s="3">
        <v>9070</v>
      </c>
      <c r="U171" s="3">
        <v>3752</v>
      </c>
      <c r="V171" s="3">
        <v>5545</v>
      </c>
      <c r="W171" s="3">
        <v>7702</v>
      </c>
      <c r="X171" s="3">
        <v>4830</v>
      </c>
      <c r="Y171" s="3">
        <v>5867</v>
      </c>
      <c r="Z171" s="3"/>
      <c r="AA171" s="3"/>
      <c r="AB171" s="3"/>
    </row>
    <row r="172" spans="1:42" x14ac:dyDescent="0.55000000000000004">
      <c r="A172" s="2" t="s">
        <v>176</v>
      </c>
      <c r="B172" s="3"/>
      <c r="C172" s="3"/>
      <c r="D172" s="3"/>
      <c r="E172" s="3"/>
      <c r="F172" s="3"/>
      <c r="G172" s="3"/>
      <c r="H172" s="3"/>
      <c r="I172" s="3"/>
      <c r="J172" s="3"/>
      <c r="K172" s="1"/>
      <c r="L172" s="1"/>
      <c r="N172" s="3">
        <v>7170</v>
      </c>
      <c r="O172" s="3">
        <v>3549</v>
      </c>
      <c r="P172" s="3">
        <v>7644</v>
      </c>
      <c r="Q172" s="3">
        <v>3045</v>
      </c>
      <c r="R172" s="3">
        <v>4862</v>
      </c>
      <c r="S172" s="3">
        <v>5390</v>
      </c>
      <c r="T172" s="3">
        <v>8109</v>
      </c>
      <c r="U172" s="3">
        <v>3829</v>
      </c>
      <c r="V172" s="3">
        <v>5215</v>
      </c>
      <c r="W172" s="3">
        <v>6582</v>
      </c>
      <c r="X172" s="3">
        <v>4893</v>
      </c>
      <c r="Y172" s="3">
        <v>5109</v>
      </c>
      <c r="Z172" s="3"/>
      <c r="AA172" s="3"/>
      <c r="AB172" s="3"/>
    </row>
    <row r="173" spans="1:42" x14ac:dyDescent="0.55000000000000004">
      <c r="A173" s="4" t="s">
        <v>177</v>
      </c>
      <c r="B173" s="5">
        <v>2017546</v>
      </c>
      <c r="C173" s="5">
        <v>95902</v>
      </c>
      <c r="D173" s="5">
        <v>59622</v>
      </c>
      <c r="E173" s="5">
        <v>79870</v>
      </c>
      <c r="F173" s="5">
        <v>3808</v>
      </c>
      <c r="G173" s="5">
        <v>3570</v>
      </c>
      <c r="H173" s="5">
        <v>1961396</v>
      </c>
      <c r="I173" s="5">
        <v>92453</v>
      </c>
      <c r="J173" s="5">
        <v>64032</v>
      </c>
      <c r="K173" s="14">
        <v>47.5</v>
      </c>
      <c r="L173" s="14">
        <v>29.5</v>
      </c>
      <c r="N173" s="5">
        <v>324008</v>
      </c>
      <c r="O173" s="5">
        <v>386374</v>
      </c>
      <c r="P173" s="5">
        <v>454886</v>
      </c>
      <c r="Q173" s="5">
        <v>170495</v>
      </c>
      <c r="R173" s="5">
        <v>369935</v>
      </c>
      <c r="S173" s="5">
        <v>311848</v>
      </c>
      <c r="T173" s="5"/>
      <c r="U173" s="5"/>
      <c r="V173" s="5"/>
      <c r="W173" s="5"/>
      <c r="X173" s="5"/>
      <c r="Y173" s="5"/>
      <c r="Z173" s="5"/>
      <c r="AA173" s="5"/>
      <c r="AB173" s="5"/>
      <c r="AD173" s="15">
        <f>SUM(N173:AB173)</f>
        <v>2017546</v>
      </c>
      <c r="AE173" s="15">
        <f>SUM(N174:AB174)</f>
        <v>95902</v>
      </c>
      <c r="AF173" s="15">
        <f>SUM(N175:AB175)</f>
        <v>59622</v>
      </c>
      <c r="AH173" s="15">
        <f>AD173-B173</f>
        <v>0</v>
      </c>
      <c r="AI173" s="15">
        <f>AE173-C173</f>
        <v>0</v>
      </c>
      <c r="AJ173" s="15">
        <f>AF173-D173</f>
        <v>0</v>
      </c>
      <c r="AL173" s="17">
        <f>C173/B173*1000</f>
        <v>47.533984355251377</v>
      </c>
      <c r="AM173" s="17">
        <f>D173/B173*1000</f>
        <v>29.551742562499197</v>
      </c>
      <c r="AO173" s="17">
        <f>AL173-K173</f>
        <v>3.3984355251376996E-2</v>
      </c>
      <c r="AP173" s="17">
        <f>AM173-L173</f>
        <v>5.1742562499196509E-2</v>
      </c>
    </row>
    <row r="174" spans="1:42" x14ac:dyDescent="0.55000000000000004">
      <c r="A174" s="2" t="s">
        <v>178</v>
      </c>
      <c r="B174" s="3"/>
      <c r="C174" s="3"/>
      <c r="D174" s="3"/>
      <c r="E174" s="3"/>
      <c r="F174" s="3"/>
      <c r="G174" s="3"/>
      <c r="H174" s="3"/>
      <c r="I174" s="3"/>
      <c r="J174" s="3"/>
      <c r="K174" s="1"/>
      <c r="L174" s="1"/>
      <c r="N174" s="3">
        <v>16593</v>
      </c>
      <c r="O174" s="3">
        <v>17380</v>
      </c>
      <c r="P174" s="3">
        <v>22067</v>
      </c>
      <c r="Q174" s="3">
        <v>8794</v>
      </c>
      <c r="R174" s="3">
        <v>17110</v>
      </c>
      <c r="S174" s="3">
        <v>13958</v>
      </c>
      <c r="T174" s="3"/>
      <c r="U174" s="3"/>
      <c r="V174" s="3"/>
      <c r="W174" s="3"/>
      <c r="X174" s="3"/>
      <c r="Y174" s="3"/>
      <c r="Z174" s="3"/>
      <c r="AA174" s="3"/>
      <c r="AB174" s="3"/>
    </row>
    <row r="175" spans="1:42" x14ac:dyDescent="0.55000000000000004">
      <c r="A175" s="2" t="s">
        <v>179</v>
      </c>
      <c r="B175" s="3"/>
      <c r="C175" s="3"/>
      <c r="D175" s="3"/>
      <c r="E175" s="3"/>
      <c r="F175" s="3"/>
      <c r="G175" s="3"/>
      <c r="H175" s="3"/>
      <c r="I175" s="3"/>
      <c r="J175" s="3"/>
      <c r="K175" s="1"/>
      <c r="L175" s="1"/>
      <c r="N175" s="3">
        <v>12002</v>
      </c>
      <c r="O175" s="3">
        <v>10265</v>
      </c>
      <c r="P175" s="3">
        <v>12380</v>
      </c>
      <c r="Q175" s="3">
        <v>5662</v>
      </c>
      <c r="R175" s="3">
        <v>10606</v>
      </c>
      <c r="S175" s="3">
        <v>8707</v>
      </c>
      <c r="T175" s="3"/>
      <c r="U175" s="3"/>
      <c r="V175" s="3"/>
      <c r="W175" s="3"/>
      <c r="X175" s="3"/>
      <c r="Y175" s="3"/>
      <c r="Z175" s="3"/>
      <c r="AA175" s="3"/>
      <c r="AB175" s="3"/>
    </row>
    <row r="176" spans="1:42" x14ac:dyDescent="0.55000000000000004">
      <c r="A176" s="4" t="s">
        <v>180</v>
      </c>
      <c r="B176" s="5">
        <v>2410384</v>
      </c>
      <c r="C176" s="5">
        <v>123599</v>
      </c>
      <c r="D176" s="5">
        <v>88684</v>
      </c>
      <c r="E176" s="5">
        <v>318984</v>
      </c>
      <c r="F176" s="5">
        <v>10446</v>
      </c>
      <c r="G176" s="5">
        <v>8012</v>
      </c>
      <c r="H176" s="5">
        <v>2344313</v>
      </c>
      <c r="I176" s="5">
        <v>115308</v>
      </c>
      <c r="J176" s="5">
        <v>80816</v>
      </c>
      <c r="K176" s="14">
        <v>51.3</v>
      </c>
      <c r="L176" s="14">
        <v>36.799999999999997</v>
      </c>
      <c r="N176" s="5">
        <v>362991</v>
      </c>
      <c r="O176" s="5">
        <v>138807</v>
      </c>
      <c r="P176" s="5">
        <v>157241</v>
      </c>
      <c r="Q176" s="5">
        <v>125898</v>
      </c>
      <c r="R176" s="5">
        <v>159235</v>
      </c>
      <c r="S176" s="5">
        <v>218087</v>
      </c>
      <c r="T176" s="5">
        <v>287835</v>
      </c>
      <c r="U176" s="5">
        <v>222244</v>
      </c>
      <c r="V176" s="5">
        <v>154358</v>
      </c>
      <c r="W176" s="5">
        <v>370644</v>
      </c>
      <c r="X176" s="5">
        <v>212944</v>
      </c>
      <c r="Y176" s="5"/>
      <c r="Z176" s="5"/>
      <c r="AA176" s="5"/>
      <c r="AB176" s="5"/>
      <c r="AD176" s="15">
        <f>SUM(N176:AB176)</f>
        <v>2410284</v>
      </c>
      <c r="AE176" s="15">
        <f>SUM(N177:AB177)</f>
        <v>123599</v>
      </c>
      <c r="AF176" s="15">
        <f>SUM(N178:AB178)</f>
        <v>88684</v>
      </c>
      <c r="AH176" s="15">
        <f>AD176-B176</f>
        <v>-100</v>
      </c>
      <c r="AI176" s="15">
        <f>AE176-C176</f>
        <v>0</v>
      </c>
      <c r="AJ176" s="15">
        <f>AF176-D176</f>
        <v>0</v>
      </c>
      <c r="AL176" s="17">
        <f>C176/B176*1000</f>
        <v>51.277721724007463</v>
      </c>
      <c r="AM176" s="17">
        <f>D176/B176*1000</f>
        <v>36.792477879043339</v>
      </c>
      <c r="AO176" s="17">
        <f>AL176-K176</f>
        <v>-2.2278275992533736E-2</v>
      </c>
      <c r="AP176" s="17">
        <f>AM176-L176</f>
        <v>-7.5221209566578295E-3</v>
      </c>
    </row>
    <row r="177" spans="1:42" x14ac:dyDescent="0.55000000000000004">
      <c r="A177" s="2" t="s">
        <v>181</v>
      </c>
      <c r="B177" s="3"/>
      <c r="C177" s="3"/>
      <c r="D177" s="3"/>
      <c r="E177" s="3"/>
      <c r="F177" s="3"/>
      <c r="G177" s="3"/>
      <c r="H177" s="3"/>
      <c r="I177" s="3"/>
      <c r="J177" s="3"/>
      <c r="K177" s="1"/>
      <c r="L177" s="1"/>
      <c r="N177" s="3">
        <v>14009</v>
      </c>
      <c r="O177" s="3">
        <v>7814</v>
      </c>
      <c r="P177" s="3">
        <v>7432</v>
      </c>
      <c r="Q177" s="3">
        <v>6971</v>
      </c>
      <c r="R177" s="3">
        <v>9066</v>
      </c>
      <c r="S177" s="3">
        <v>11680</v>
      </c>
      <c r="T177" s="3">
        <v>14551</v>
      </c>
      <c r="U177" s="3">
        <v>11473</v>
      </c>
      <c r="V177" s="3">
        <v>9040</v>
      </c>
      <c r="W177" s="3">
        <v>20813</v>
      </c>
      <c r="X177" s="3">
        <v>10750</v>
      </c>
      <c r="Y177" s="3"/>
      <c r="Z177" s="3"/>
      <c r="AA177" s="3"/>
      <c r="AB177" s="3"/>
    </row>
    <row r="178" spans="1:42" x14ac:dyDescent="0.55000000000000004">
      <c r="A178" s="2" t="s">
        <v>182</v>
      </c>
      <c r="B178" s="3"/>
      <c r="C178" s="3"/>
      <c r="D178" s="3"/>
      <c r="E178" s="3"/>
      <c r="F178" s="3"/>
      <c r="G178" s="3"/>
      <c r="H178" s="3"/>
      <c r="I178" s="3"/>
      <c r="J178" s="3"/>
      <c r="K178" s="1"/>
      <c r="L178" s="1"/>
      <c r="N178" s="3">
        <v>10103</v>
      </c>
      <c r="O178" s="3">
        <v>5153</v>
      </c>
      <c r="P178" s="3">
        <v>5481</v>
      </c>
      <c r="Q178" s="3">
        <v>4669</v>
      </c>
      <c r="R178" s="3">
        <v>6212</v>
      </c>
      <c r="S178" s="3">
        <v>8235</v>
      </c>
      <c r="T178" s="3">
        <v>11509</v>
      </c>
      <c r="U178" s="3">
        <v>8437</v>
      </c>
      <c r="V178" s="3">
        <v>5910</v>
      </c>
      <c r="W178" s="3">
        <v>16529</v>
      </c>
      <c r="X178" s="3">
        <v>6446</v>
      </c>
      <c r="Y178" s="3"/>
      <c r="Z178" s="3"/>
      <c r="AA178" s="3"/>
      <c r="AB178" s="3"/>
    </row>
    <row r="179" spans="1:42" x14ac:dyDescent="0.55000000000000004">
      <c r="A179" s="4" t="s">
        <v>183</v>
      </c>
      <c r="B179" s="5">
        <v>1809419</v>
      </c>
      <c r="C179" s="5">
        <v>105593</v>
      </c>
      <c r="D179" s="5">
        <v>55631</v>
      </c>
      <c r="E179" s="5">
        <v>166926</v>
      </c>
      <c r="F179" s="5">
        <v>7506</v>
      </c>
      <c r="G179" s="5">
        <v>4639</v>
      </c>
      <c r="H179" s="5">
        <v>1777768</v>
      </c>
      <c r="I179" s="5">
        <v>95658</v>
      </c>
      <c r="J179" s="5">
        <v>56636</v>
      </c>
      <c r="K179" s="14">
        <v>58.3</v>
      </c>
      <c r="L179" s="14">
        <v>30.7</v>
      </c>
      <c r="N179" s="5">
        <v>390828</v>
      </c>
      <c r="O179" s="5">
        <v>337233</v>
      </c>
      <c r="P179" s="5">
        <v>198994</v>
      </c>
      <c r="Q179" s="5">
        <v>499793</v>
      </c>
      <c r="R179" s="5">
        <v>179512</v>
      </c>
      <c r="S179" s="5">
        <v>203059</v>
      </c>
      <c r="T179" s="5"/>
      <c r="U179" s="5"/>
      <c r="V179" s="5"/>
      <c r="W179" s="5"/>
      <c r="X179" s="5"/>
      <c r="Y179" s="5"/>
      <c r="Z179" s="5"/>
      <c r="AA179" s="5"/>
      <c r="AB179" s="5"/>
      <c r="AD179" s="15">
        <f>SUM(N179:AB179)</f>
        <v>1809419</v>
      </c>
      <c r="AE179" s="15">
        <f>SUM(N180:AB180)</f>
        <v>105593</v>
      </c>
      <c r="AF179" s="15">
        <f>SUM(N181:AB181)</f>
        <v>55631</v>
      </c>
      <c r="AH179" s="15">
        <f>AD179-B179</f>
        <v>0</v>
      </c>
      <c r="AI179" s="15">
        <f>AE179-C179</f>
        <v>0</v>
      </c>
      <c r="AJ179" s="15">
        <f>AF179-D179</f>
        <v>0</v>
      </c>
      <c r="AL179" s="17">
        <f>C179/B179*1000</f>
        <v>58.35740643819922</v>
      </c>
      <c r="AM179" s="17">
        <f>D179/B179*1000</f>
        <v>30.745228164399734</v>
      </c>
      <c r="AO179" s="17">
        <f>AL179-K179</f>
        <v>5.7406438199222976E-2</v>
      </c>
      <c r="AP179" s="17">
        <f>AM179-L179</f>
        <v>4.5228164399734538E-2</v>
      </c>
    </row>
    <row r="180" spans="1:42" x14ac:dyDescent="0.55000000000000004">
      <c r="A180" s="2" t="s">
        <v>184</v>
      </c>
      <c r="B180" s="3"/>
      <c r="C180" s="3"/>
      <c r="D180" s="3"/>
      <c r="E180" s="3"/>
      <c r="F180" s="3"/>
      <c r="G180" s="3"/>
      <c r="H180" s="3"/>
      <c r="I180" s="3"/>
      <c r="J180" s="3"/>
      <c r="K180" s="1"/>
      <c r="L180" s="1"/>
      <c r="N180" s="3">
        <v>23245</v>
      </c>
      <c r="O180" s="3">
        <v>20530</v>
      </c>
      <c r="P180" s="3">
        <v>11290</v>
      </c>
      <c r="Q180" s="3">
        <v>28405</v>
      </c>
      <c r="R180" s="3">
        <v>11264</v>
      </c>
      <c r="S180" s="3">
        <v>10859</v>
      </c>
      <c r="T180" s="3"/>
      <c r="U180" s="3"/>
      <c r="V180" s="3"/>
      <c r="W180" s="3"/>
      <c r="X180" s="3"/>
      <c r="Y180" s="3"/>
      <c r="Z180" s="3"/>
      <c r="AA180" s="3"/>
      <c r="AB180" s="3"/>
    </row>
    <row r="181" spans="1:42" x14ac:dyDescent="0.55000000000000004">
      <c r="A181" s="2" t="s">
        <v>185</v>
      </c>
      <c r="B181" s="3"/>
      <c r="C181" s="3"/>
      <c r="D181" s="3"/>
      <c r="E181" s="3"/>
      <c r="F181" s="3"/>
      <c r="G181" s="3"/>
      <c r="H181" s="3"/>
      <c r="I181" s="3"/>
      <c r="J181" s="3"/>
      <c r="K181" s="1"/>
      <c r="L181" s="1"/>
      <c r="N181" s="3">
        <v>12898</v>
      </c>
      <c r="O181" s="3">
        <v>10954</v>
      </c>
      <c r="P181" s="3">
        <v>5649</v>
      </c>
      <c r="Q181" s="3">
        <v>16496</v>
      </c>
      <c r="R181" s="3">
        <v>4585</v>
      </c>
      <c r="S181" s="3">
        <v>5049</v>
      </c>
      <c r="T181" s="3"/>
      <c r="U181" s="3"/>
      <c r="V181" s="3"/>
      <c r="W181" s="3"/>
      <c r="X181" s="3"/>
      <c r="Y181" s="3"/>
      <c r="Z181" s="3"/>
      <c r="AA181" s="3"/>
      <c r="AB181" s="3"/>
    </row>
    <row r="182" spans="1:42" x14ac:dyDescent="0.55000000000000004">
      <c r="A182" s="4" t="s">
        <v>186</v>
      </c>
      <c r="B182" s="5">
        <v>75840</v>
      </c>
      <c r="C182" s="5">
        <v>3246</v>
      </c>
      <c r="D182" s="5">
        <v>2188</v>
      </c>
      <c r="E182" s="5"/>
      <c r="F182" s="5"/>
      <c r="G182" s="5"/>
      <c r="H182" s="5">
        <v>76847</v>
      </c>
      <c r="I182" s="5">
        <v>3220</v>
      </c>
      <c r="J182" s="5">
        <v>2626</v>
      </c>
      <c r="K182" s="14">
        <v>34.799999999999997</v>
      </c>
      <c r="L182" s="14">
        <v>28.8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D182" s="15">
        <f t="shared" ref="AD182:AF183" si="3">B182</f>
        <v>75840</v>
      </c>
      <c r="AE182" s="15">
        <f t="shared" si="3"/>
        <v>3246</v>
      </c>
      <c r="AF182" s="15">
        <f t="shared" si="3"/>
        <v>2188</v>
      </c>
      <c r="AG182" s="18"/>
      <c r="AH182" s="18"/>
      <c r="AI182" s="18"/>
      <c r="AJ182" s="18"/>
      <c r="AL182" s="17">
        <f>C182/B182*1000</f>
        <v>42.800632911392405</v>
      </c>
      <c r="AM182" s="17">
        <f>D182/B182*1000</f>
        <v>28.850210970464133</v>
      </c>
      <c r="AO182" s="17">
        <f t="shared" ref="AO182:AP184" si="4">AL182-K182</f>
        <v>8.0006329113924082</v>
      </c>
      <c r="AP182" s="17">
        <f t="shared" si="4"/>
        <v>5.0210970464132032E-2</v>
      </c>
    </row>
    <row r="183" spans="1:42" x14ac:dyDescent="0.55000000000000004">
      <c r="A183" s="4" t="s">
        <v>187</v>
      </c>
      <c r="B183" s="5">
        <v>284985</v>
      </c>
      <c r="C183" s="5">
        <v>11152</v>
      </c>
      <c r="D183" s="5">
        <v>7761</v>
      </c>
      <c r="E183" s="5"/>
      <c r="F183" s="5"/>
      <c r="G183" s="5"/>
      <c r="H183" s="5">
        <v>279215</v>
      </c>
      <c r="I183" s="5">
        <v>10416</v>
      </c>
      <c r="J183" s="5">
        <v>7365</v>
      </c>
      <c r="K183" s="14">
        <v>39.1</v>
      </c>
      <c r="L183" s="14">
        <v>27.2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D183" s="15">
        <f t="shared" si="3"/>
        <v>284985</v>
      </c>
      <c r="AE183" s="15">
        <f t="shared" si="3"/>
        <v>11152</v>
      </c>
      <c r="AF183" s="15">
        <f t="shared" si="3"/>
        <v>7761</v>
      </c>
      <c r="AG183" s="18"/>
      <c r="AH183" s="18"/>
      <c r="AI183" s="18"/>
      <c r="AJ183" s="18"/>
      <c r="AL183" s="17">
        <f>C183/B183*1000</f>
        <v>39.13188413425268</v>
      </c>
      <c r="AM183" s="17">
        <f>D183/B183*1000</f>
        <v>27.23301226380336</v>
      </c>
      <c r="AO183" s="17">
        <f t="shared" si="4"/>
        <v>3.1884134252678109E-2</v>
      </c>
      <c r="AP183" s="17">
        <f t="shared" si="4"/>
        <v>3.3012263803360753E-2</v>
      </c>
    </row>
    <row r="184" spans="1:42" x14ac:dyDescent="0.55000000000000004">
      <c r="A184" s="4" t="s">
        <v>188</v>
      </c>
      <c r="B184" s="5">
        <v>2202261</v>
      </c>
      <c r="C184" s="5">
        <v>107326</v>
      </c>
      <c r="D184" s="5">
        <v>69142</v>
      </c>
      <c r="E184" s="5">
        <v>209169</v>
      </c>
      <c r="F184" s="5">
        <v>7197</v>
      </c>
      <c r="G184" s="5">
        <v>4995</v>
      </c>
      <c r="H184" s="5">
        <v>2142167</v>
      </c>
      <c r="I184" s="5">
        <v>106284</v>
      </c>
      <c r="J184" s="5">
        <v>66040</v>
      </c>
      <c r="K184" s="14">
        <v>48.7</v>
      </c>
      <c r="L184" s="14">
        <v>31.4</v>
      </c>
      <c r="N184" s="5">
        <v>158098</v>
      </c>
      <c r="O184" s="5">
        <v>139731</v>
      </c>
      <c r="P184" s="5">
        <v>136071</v>
      </c>
      <c r="Q184" s="5">
        <v>133393</v>
      </c>
      <c r="R184" s="5">
        <v>128387</v>
      </c>
      <c r="S184" s="5">
        <v>145794</v>
      </c>
      <c r="T184" s="5">
        <v>125930</v>
      </c>
      <c r="U184" s="5">
        <v>134431</v>
      </c>
      <c r="V184" s="5">
        <v>135376</v>
      </c>
      <c r="W184" s="5">
        <v>173437</v>
      </c>
      <c r="X184" s="5">
        <v>168056</v>
      </c>
      <c r="Y184" s="5">
        <v>132202</v>
      </c>
      <c r="Z184" s="5">
        <v>149957</v>
      </c>
      <c r="AA184" s="5">
        <v>165389</v>
      </c>
      <c r="AB184" s="5">
        <v>176009</v>
      </c>
      <c r="AD184" s="15">
        <f>SUM(N184:AB184)</f>
        <v>2202261</v>
      </c>
      <c r="AE184" s="15">
        <f>SUM(N185:AB185)</f>
        <v>107326</v>
      </c>
      <c r="AF184" s="15">
        <f>SUM(N186:AB186)</f>
        <v>69132</v>
      </c>
      <c r="AH184" s="15">
        <f>AD184-B184</f>
        <v>0</v>
      </c>
      <c r="AI184" s="15">
        <f>AE184-C184</f>
        <v>0</v>
      </c>
      <c r="AJ184" s="15">
        <f>AF184-D184</f>
        <v>-10</v>
      </c>
      <c r="AL184" s="17">
        <f>C184/B184*1000</f>
        <v>48.734459721168385</v>
      </c>
      <c r="AM184" s="17">
        <f>D184/B184*1000</f>
        <v>31.395915379693871</v>
      </c>
      <c r="AO184" s="17">
        <f t="shared" si="4"/>
        <v>3.4459721168381918E-2</v>
      </c>
      <c r="AP184" s="17">
        <f t="shared" si="4"/>
        <v>-4.0846203061271069E-3</v>
      </c>
    </row>
    <row r="185" spans="1:42" x14ac:dyDescent="0.55000000000000004">
      <c r="A185" s="2" t="s">
        <v>189</v>
      </c>
      <c r="B185" s="3"/>
      <c r="C185" s="3"/>
      <c r="D185" s="3"/>
      <c r="E185" s="3"/>
      <c r="F185" s="3"/>
      <c r="G185" s="3"/>
      <c r="H185" s="3"/>
      <c r="I185" s="3"/>
      <c r="J185" s="3"/>
      <c r="K185" s="1"/>
      <c r="L185" s="1"/>
      <c r="N185" s="3">
        <v>7278</v>
      </c>
      <c r="O185" s="3">
        <v>7072</v>
      </c>
      <c r="P185" s="3">
        <v>5941</v>
      </c>
      <c r="Q185" s="3">
        <v>7149</v>
      </c>
      <c r="R185" s="3">
        <v>6760</v>
      </c>
      <c r="S185" s="3">
        <v>7125</v>
      </c>
      <c r="T185" s="3">
        <v>5995</v>
      </c>
      <c r="U185" s="3">
        <v>6173</v>
      </c>
      <c r="V185" s="3">
        <v>6951</v>
      </c>
      <c r="W185" s="3">
        <v>8326</v>
      </c>
      <c r="X185" s="3">
        <v>8247</v>
      </c>
      <c r="Y185" s="3">
        <v>7315</v>
      </c>
      <c r="Z185" s="3">
        <v>7289</v>
      </c>
      <c r="AA185" s="3">
        <v>6769</v>
      </c>
      <c r="AB185" s="3">
        <v>8936</v>
      </c>
    </row>
    <row r="186" spans="1:42" x14ac:dyDescent="0.55000000000000004">
      <c r="A186" s="2" t="s">
        <v>190</v>
      </c>
      <c r="B186" s="3"/>
      <c r="C186" s="3"/>
      <c r="D186" s="3"/>
      <c r="E186" s="3"/>
      <c r="F186" s="3"/>
      <c r="G186" s="3"/>
      <c r="H186" s="3"/>
      <c r="I186" s="3"/>
      <c r="J186" s="3"/>
      <c r="K186" s="1"/>
      <c r="L186" s="1"/>
      <c r="N186" s="3">
        <v>5194</v>
      </c>
      <c r="O186" s="3">
        <v>4850</v>
      </c>
      <c r="P186" s="3">
        <v>4505</v>
      </c>
      <c r="Q186" s="3">
        <v>3899</v>
      </c>
      <c r="R186" s="3">
        <v>5173</v>
      </c>
      <c r="S186" s="3">
        <v>4291</v>
      </c>
      <c r="T186" s="3">
        <v>4044</v>
      </c>
      <c r="U186" s="3">
        <v>4144</v>
      </c>
      <c r="V186" s="3">
        <v>5177</v>
      </c>
      <c r="W186" s="3">
        <v>5249</v>
      </c>
      <c r="X186" s="3">
        <v>5257</v>
      </c>
      <c r="Y186" s="3">
        <v>4151</v>
      </c>
      <c r="Z186" s="3">
        <v>4575</v>
      </c>
      <c r="AA186" s="3">
        <v>4393</v>
      </c>
      <c r="AB186" s="3">
        <v>4230</v>
      </c>
    </row>
    <row r="187" spans="1:42" x14ac:dyDescent="0.55000000000000004">
      <c r="A187" s="4" t="s">
        <v>191</v>
      </c>
      <c r="B187" s="5">
        <v>1193064</v>
      </c>
      <c r="C187" s="5">
        <v>41377</v>
      </c>
      <c r="D187" s="5">
        <v>41149</v>
      </c>
      <c r="E187" s="5">
        <v>175041</v>
      </c>
      <c r="F187" s="5">
        <v>4508</v>
      </c>
      <c r="G187" s="5">
        <v>4995</v>
      </c>
      <c r="H187" s="5">
        <v>1138171</v>
      </c>
      <c r="I187" s="5">
        <v>45597</v>
      </c>
      <c r="J187" s="5">
        <v>32321</v>
      </c>
      <c r="K187" s="14">
        <v>34.700000000000003</v>
      </c>
      <c r="L187" s="14">
        <v>34.5</v>
      </c>
      <c r="N187" s="5">
        <v>221625</v>
      </c>
      <c r="O187" s="5">
        <v>74474</v>
      </c>
      <c r="P187" s="5">
        <v>72550</v>
      </c>
      <c r="Q187" s="5">
        <v>123588</v>
      </c>
      <c r="R187" s="5">
        <v>90553</v>
      </c>
      <c r="S187" s="5">
        <v>109589</v>
      </c>
      <c r="T187" s="5">
        <v>78551</v>
      </c>
      <c r="U187" s="5">
        <v>180214</v>
      </c>
      <c r="V187" s="5">
        <v>118105</v>
      </c>
      <c r="W187" s="5">
        <v>59973</v>
      </c>
      <c r="X187" s="5"/>
      <c r="Y187" s="5"/>
      <c r="Z187" s="5"/>
      <c r="AA187" s="5"/>
      <c r="AB187" s="5"/>
      <c r="AD187" s="15">
        <f>SUM(N187:AB187)</f>
        <v>1129222</v>
      </c>
      <c r="AE187" s="15">
        <f>SUM(N188:AB188)</f>
        <v>41377</v>
      </c>
      <c r="AF187" s="15">
        <f>SUM(N189:AB189)</f>
        <v>41149</v>
      </c>
      <c r="AH187" s="15">
        <f>AD187-B187</f>
        <v>-63842</v>
      </c>
      <c r="AI187" s="15">
        <f>AE187-C187</f>
        <v>0</v>
      </c>
      <c r="AJ187" s="15">
        <f>AF187-D187</f>
        <v>0</v>
      </c>
      <c r="AL187" s="17">
        <f>C187/B187*1000</f>
        <v>34.681291196448804</v>
      </c>
      <c r="AM187" s="17">
        <f>D187/B187*1000</f>
        <v>34.490186611950406</v>
      </c>
      <c r="AO187" s="17">
        <f>AL187-K187</f>
        <v>-1.8708803551199082E-2</v>
      </c>
      <c r="AP187" s="17">
        <f>AM187-L187</f>
        <v>-9.813388049593641E-3</v>
      </c>
    </row>
    <row r="188" spans="1:42" x14ac:dyDescent="0.55000000000000004">
      <c r="A188" s="2" t="s">
        <v>192</v>
      </c>
      <c r="B188" s="3"/>
      <c r="C188" s="3"/>
      <c r="D188" s="3"/>
      <c r="E188" s="3"/>
      <c r="F188" s="3"/>
      <c r="G188" s="3"/>
      <c r="H188" s="3"/>
      <c r="I188" s="3"/>
      <c r="J188" s="3"/>
      <c r="K188" s="1"/>
      <c r="L188" s="1"/>
      <c r="N188" s="3">
        <v>7938</v>
      </c>
      <c r="O188" s="3">
        <v>2345</v>
      </c>
      <c r="P188" s="3">
        <v>2281</v>
      </c>
      <c r="Q188" s="3">
        <v>5102</v>
      </c>
      <c r="R188" s="3">
        <v>3481</v>
      </c>
      <c r="S188" s="3">
        <v>4052</v>
      </c>
      <c r="T188" s="3">
        <v>2785</v>
      </c>
      <c r="U188" s="3">
        <v>6246</v>
      </c>
      <c r="V188" s="3">
        <v>3381</v>
      </c>
      <c r="W188" s="3">
        <v>3766</v>
      </c>
      <c r="X188" s="3"/>
      <c r="Y188" s="3"/>
      <c r="Z188" s="3"/>
      <c r="AA188" s="3"/>
      <c r="AB188" s="3"/>
    </row>
    <row r="189" spans="1:42" x14ac:dyDescent="0.55000000000000004">
      <c r="A189" s="2" t="s">
        <v>193</v>
      </c>
      <c r="B189" s="3"/>
      <c r="C189" s="3"/>
      <c r="D189" s="3"/>
      <c r="E189" s="3"/>
      <c r="F189" s="3"/>
      <c r="G189" s="3"/>
      <c r="H189" s="3"/>
      <c r="I189" s="3"/>
      <c r="J189" s="3"/>
      <c r="K189" s="1"/>
      <c r="L189" s="1"/>
      <c r="N189" s="3">
        <v>7383</v>
      </c>
      <c r="O189" s="3">
        <v>2336</v>
      </c>
      <c r="P189" s="3">
        <v>2283</v>
      </c>
      <c r="Q189" s="3">
        <v>5509</v>
      </c>
      <c r="R189" s="3">
        <v>3922</v>
      </c>
      <c r="S189" s="3">
        <v>3769</v>
      </c>
      <c r="T189" s="3">
        <v>2949</v>
      </c>
      <c r="U189" s="3">
        <v>5915</v>
      </c>
      <c r="V189" s="3">
        <v>3345</v>
      </c>
      <c r="W189" s="3">
        <v>3738</v>
      </c>
      <c r="X189" s="3"/>
      <c r="Y189" s="3"/>
      <c r="Z189" s="3"/>
      <c r="AA189" s="3"/>
      <c r="AB189" s="3"/>
    </row>
    <row r="190" spans="1:42" x14ac:dyDescent="0.55000000000000004">
      <c r="A190" s="7" t="s">
        <v>194</v>
      </c>
      <c r="B190" s="8">
        <v>63660527</v>
      </c>
      <c r="C190" s="8">
        <v>3183705</v>
      </c>
      <c r="D190" s="8">
        <v>2300819</v>
      </c>
      <c r="E190" s="8"/>
      <c r="F190" s="8"/>
      <c r="G190" s="8"/>
      <c r="H190" s="8">
        <v>62295559</v>
      </c>
      <c r="I190" s="8">
        <v>3104924</v>
      </c>
      <c r="J190" s="8">
        <v>2093530</v>
      </c>
      <c r="K190" s="10">
        <v>49.2</v>
      </c>
      <c r="L190" s="10">
        <v>36.1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D190" s="23">
        <f>SUM(AD84:AD189)</f>
        <v>63572668</v>
      </c>
      <c r="AE190" s="23">
        <f>SUM(AE84:AE189)</f>
        <v>3134610</v>
      </c>
      <c r="AF190" s="23">
        <f>SUM(AF84:AF189)</f>
        <v>2300674</v>
      </c>
      <c r="AH190" s="23">
        <f t="shared" ref="AH190:AJ191" si="5">AD190-B190</f>
        <v>-87859</v>
      </c>
      <c r="AI190" s="23">
        <f t="shared" si="5"/>
        <v>-49095</v>
      </c>
      <c r="AJ190" s="23">
        <f t="shared" si="5"/>
        <v>-145</v>
      </c>
      <c r="AL190" s="24">
        <f>C190/B190*1000</f>
        <v>50.01066045211973</v>
      </c>
      <c r="AM190" s="24">
        <f>D190/B190*1000</f>
        <v>36.142003662646403</v>
      </c>
      <c r="AO190" s="24">
        <f>AL190-K190</f>
        <v>0.81066045211972693</v>
      </c>
      <c r="AP190" s="24">
        <f>AM190-L190</f>
        <v>4.2003662646401096E-2</v>
      </c>
    </row>
    <row r="191" spans="1:42" x14ac:dyDescent="0.55000000000000004">
      <c r="A191" s="4" t="s">
        <v>195</v>
      </c>
      <c r="B191" s="5">
        <v>2006157</v>
      </c>
      <c r="C191" s="5">
        <v>117336</v>
      </c>
      <c r="D191" s="5">
        <v>74030</v>
      </c>
      <c r="E191" s="5">
        <v>148764</v>
      </c>
      <c r="F191" s="5">
        <v>7950</v>
      </c>
      <c r="G191" s="5">
        <v>5886</v>
      </c>
      <c r="H191" s="5">
        <v>1787866</v>
      </c>
      <c r="I191" s="5">
        <v>99780</v>
      </c>
      <c r="J191" s="5">
        <v>66191</v>
      </c>
      <c r="K191" s="14">
        <v>58.5</v>
      </c>
      <c r="L191" s="14">
        <v>36.9</v>
      </c>
      <c r="N191" s="5">
        <v>126024</v>
      </c>
      <c r="O191" s="5">
        <v>209560</v>
      </c>
      <c r="P191" s="5">
        <v>191144</v>
      </c>
      <c r="Q191" s="5">
        <v>393315</v>
      </c>
      <c r="R191" s="5">
        <v>274274</v>
      </c>
      <c r="S191" s="5">
        <v>58586</v>
      </c>
      <c r="T191" s="5">
        <v>350533</v>
      </c>
      <c r="U191" s="5">
        <v>196258</v>
      </c>
      <c r="V191" s="5">
        <v>206463</v>
      </c>
      <c r="W191" s="5"/>
      <c r="X191" s="5"/>
      <c r="Y191" s="5"/>
      <c r="Z191" s="5"/>
      <c r="AA191" s="5"/>
      <c r="AB191" s="5"/>
      <c r="AD191" s="15">
        <f>SUM(N191:AB191)</f>
        <v>2006157</v>
      </c>
      <c r="AE191" s="15">
        <f>SUM(N192:AB192)</f>
        <v>117336</v>
      </c>
      <c r="AF191" s="15">
        <f>SUM(N193:AB193)</f>
        <v>74030</v>
      </c>
      <c r="AH191" s="15">
        <f t="shared" si="5"/>
        <v>0</v>
      </c>
      <c r="AI191" s="15">
        <f t="shared" si="5"/>
        <v>0</v>
      </c>
      <c r="AJ191" s="15">
        <f t="shared" si="5"/>
        <v>0</v>
      </c>
      <c r="AL191" s="17">
        <f>C191/B191*1000</f>
        <v>58.487944861743124</v>
      </c>
      <c r="AM191" s="17">
        <f>D191/B191*1000</f>
        <v>36.901399043045984</v>
      </c>
      <c r="AO191" s="17">
        <f>AL191-K191</f>
        <v>-1.2055138256876319E-2</v>
      </c>
      <c r="AP191" s="17">
        <f>AM191-L191</f>
        <v>1.3990430459855929E-3</v>
      </c>
    </row>
    <row r="192" spans="1:42" x14ac:dyDescent="0.55000000000000004">
      <c r="A192" s="2" t="s">
        <v>196</v>
      </c>
      <c r="B192" s="3"/>
      <c r="C192" s="3"/>
      <c r="D192" s="3"/>
      <c r="E192" s="3"/>
      <c r="F192" s="3"/>
      <c r="G192" s="3"/>
      <c r="H192" s="3"/>
      <c r="I192" s="3"/>
      <c r="J192" s="3"/>
      <c r="K192" s="1"/>
      <c r="L192" s="1"/>
      <c r="N192" s="3">
        <v>11254</v>
      </c>
      <c r="O192" s="3">
        <v>12974</v>
      </c>
      <c r="P192" s="3">
        <v>9263</v>
      </c>
      <c r="Q192" s="3">
        <v>23104</v>
      </c>
      <c r="R192" s="3">
        <v>17349</v>
      </c>
      <c r="S192" s="3">
        <v>2538</v>
      </c>
      <c r="T192" s="3">
        <v>17922</v>
      </c>
      <c r="U192" s="3">
        <v>10279</v>
      </c>
      <c r="V192" s="3">
        <v>12653</v>
      </c>
      <c r="W192" s="3"/>
      <c r="X192" s="3"/>
      <c r="Y192" s="3"/>
      <c r="Z192" s="3"/>
      <c r="AA192" s="3"/>
      <c r="AB192" s="3"/>
    </row>
    <row r="193" spans="1:42" x14ac:dyDescent="0.55000000000000004">
      <c r="A193" s="2" t="s">
        <v>197</v>
      </c>
      <c r="B193" s="3"/>
      <c r="C193" s="3"/>
      <c r="D193" s="3"/>
      <c r="E193" s="3"/>
      <c r="F193" s="3"/>
      <c r="G193" s="3"/>
      <c r="H193" s="3"/>
      <c r="I193" s="3"/>
      <c r="J193" s="3"/>
      <c r="K193" s="1"/>
      <c r="L193" s="1"/>
      <c r="N193" s="3">
        <v>8311</v>
      </c>
      <c r="O193" s="3">
        <v>6710</v>
      </c>
      <c r="P193" s="3">
        <v>4540</v>
      </c>
      <c r="Q193" s="3">
        <v>14299</v>
      </c>
      <c r="R193" s="3">
        <v>13878</v>
      </c>
      <c r="S193" s="3">
        <v>1820</v>
      </c>
      <c r="T193" s="3">
        <v>11246</v>
      </c>
      <c r="U193" s="3">
        <v>5771</v>
      </c>
      <c r="V193" s="3">
        <v>7455</v>
      </c>
      <c r="W193" s="3"/>
      <c r="X193" s="3"/>
      <c r="Y193" s="3"/>
      <c r="Z193" s="3"/>
      <c r="AA193" s="3"/>
      <c r="AB193" s="3"/>
    </row>
    <row r="194" spans="1:42" x14ac:dyDescent="0.55000000000000004">
      <c r="A194" s="7" t="s">
        <v>198</v>
      </c>
      <c r="B194" s="8">
        <v>96009426</v>
      </c>
      <c r="C194" s="8">
        <v>4350873</v>
      </c>
      <c r="D194" s="8">
        <v>3206506</v>
      </c>
      <c r="E194" s="8"/>
      <c r="F194" s="8"/>
      <c r="G194" s="8"/>
      <c r="H194" s="8">
        <v>93555763</v>
      </c>
      <c r="I194" s="8">
        <v>4475340</v>
      </c>
      <c r="J194" s="8">
        <v>2951810</v>
      </c>
      <c r="K194" s="10">
        <v>47.7</v>
      </c>
      <c r="L194" s="10">
        <v>33.4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D194" s="23">
        <f>AD190+AD83+AD73+AD41+AD191</f>
        <v>95840567</v>
      </c>
      <c r="AE194" s="23">
        <f>AE190+AE83+AE73+AE41+AE191</f>
        <v>4572778</v>
      </c>
      <c r="AF194" s="23">
        <f>AF190+AF83+AF73+AF41+AF191</f>
        <v>3206261</v>
      </c>
      <c r="AH194" s="23">
        <f t="shared" ref="AH194:AJ195" si="6">AD194-B194</f>
        <v>-168859</v>
      </c>
      <c r="AI194" s="23">
        <f t="shared" si="6"/>
        <v>221905</v>
      </c>
      <c r="AJ194" s="23">
        <f t="shared" si="6"/>
        <v>-245</v>
      </c>
      <c r="AL194" s="24">
        <f>C194/B194*1000</f>
        <v>45.317144172906524</v>
      </c>
      <c r="AM194" s="24">
        <f>D194/B194*1000</f>
        <v>33.397824917732557</v>
      </c>
      <c r="AO194" s="24">
        <f>AL194-K194</f>
        <v>-2.3828558270934792</v>
      </c>
      <c r="AP194" s="24">
        <f>AM194-L194</f>
        <v>-2.1750822674420078E-3</v>
      </c>
    </row>
    <row r="195" spans="1:42" x14ac:dyDescent="0.55000000000000004">
      <c r="A195" s="4" t="s">
        <v>199</v>
      </c>
      <c r="B195" s="5">
        <v>797329</v>
      </c>
      <c r="C195" s="5">
        <v>16790</v>
      </c>
      <c r="D195" s="5">
        <v>14838</v>
      </c>
      <c r="E195" s="5">
        <v>146882</v>
      </c>
      <c r="F195" s="5">
        <v>2743</v>
      </c>
      <c r="G195" s="5">
        <v>2358</v>
      </c>
      <c r="H195" s="5">
        <v>747044</v>
      </c>
      <c r="I195" s="5">
        <v>18254</v>
      </c>
      <c r="J195" s="5">
        <v>14288</v>
      </c>
      <c r="K195" s="14">
        <v>21.1</v>
      </c>
      <c r="L195" s="14">
        <v>18.600000000000001</v>
      </c>
      <c r="N195" s="5">
        <v>142137</v>
      </c>
      <c r="O195" s="5">
        <v>76889</v>
      </c>
      <c r="P195" s="5">
        <v>104166</v>
      </c>
      <c r="Q195" s="5">
        <v>197181</v>
      </c>
      <c r="R195" s="5">
        <v>130014</v>
      </c>
      <c r="S195" s="5">
        <v>134906</v>
      </c>
      <c r="T195" s="5">
        <v>12036</v>
      </c>
      <c r="U195" s="5"/>
      <c r="V195" s="5"/>
      <c r="W195" s="5"/>
      <c r="X195" s="5"/>
      <c r="Y195" s="5"/>
      <c r="Z195" s="5"/>
      <c r="AA195" s="5"/>
      <c r="AB195" s="5"/>
      <c r="AD195" s="15">
        <f>SUM(N195:AB195)</f>
        <v>797329</v>
      </c>
      <c r="AE195" s="15">
        <f>SUM(N196:AB196)</f>
        <v>16790</v>
      </c>
      <c r="AF195" s="15">
        <f>SUM(N197:AB197)</f>
        <v>14838</v>
      </c>
      <c r="AH195" s="15">
        <f t="shared" si="6"/>
        <v>0</v>
      </c>
      <c r="AI195" s="15">
        <f t="shared" si="6"/>
        <v>0</v>
      </c>
      <c r="AJ195" s="15">
        <f t="shared" si="6"/>
        <v>0</v>
      </c>
      <c r="AL195" s="17">
        <f>C195/B195*1000</f>
        <v>21.057806752294223</v>
      </c>
      <c r="AM195" s="17">
        <f>D195/B195*1000</f>
        <v>18.609632911884553</v>
      </c>
      <c r="AO195" s="17">
        <f>AL195-K195</f>
        <v>-4.2193247705778703E-2</v>
      </c>
      <c r="AP195" s="17">
        <f>AM195-L195</f>
        <v>9.6329118845517314E-3</v>
      </c>
    </row>
    <row r="196" spans="1:42" x14ac:dyDescent="0.55000000000000004">
      <c r="A196" s="2" t="s">
        <v>200</v>
      </c>
      <c r="B196" s="3"/>
      <c r="C196" s="3"/>
      <c r="D196" s="3"/>
      <c r="E196" s="3"/>
      <c r="F196" s="3"/>
      <c r="G196" s="3"/>
      <c r="H196" s="3"/>
      <c r="I196" s="3"/>
      <c r="J196" s="3"/>
      <c r="K196" s="1"/>
      <c r="L196" s="1"/>
      <c r="N196" s="3">
        <v>2133</v>
      </c>
      <c r="O196" s="3">
        <v>2693</v>
      </c>
      <c r="P196" s="3">
        <v>2176</v>
      </c>
      <c r="Q196" s="3">
        <v>4134</v>
      </c>
      <c r="R196" s="3">
        <v>3523</v>
      </c>
      <c r="S196" s="3">
        <v>1723</v>
      </c>
      <c r="T196" s="3">
        <v>408</v>
      </c>
      <c r="U196" s="3"/>
      <c r="V196" s="3"/>
      <c r="W196" s="3"/>
      <c r="X196" s="3"/>
      <c r="Y196" s="3"/>
      <c r="Z196" s="3"/>
      <c r="AA196" s="3"/>
      <c r="AB196" s="3"/>
    </row>
    <row r="197" spans="1:42" x14ac:dyDescent="0.55000000000000004">
      <c r="A197" s="2" t="s">
        <v>201</v>
      </c>
      <c r="B197" s="3"/>
      <c r="C197" s="3"/>
      <c r="D197" s="3"/>
      <c r="E197" s="3"/>
      <c r="F197" s="3"/>
      <c r="G197" s="3"/>
      <c r="H197" s="3"/>
      <c r="I197" s="3"/>
      <c r="J197" s="3"/>
      <c r="K197" s="1"/>
      <c r="L197" s="1"/>
      <c r="N197" s="3">
        <v>1892</v>
      </c>
      <c r="O197" s="3">
        <v>2252</v>
      </c>
      <c r="P197" s="3">
        <v>2167</v>
      </c>
      <c r="Q197" s="3">
        <v>3990</v>
      </c>
      <c r="R197" s="3">
        <v>3403</v>
      </c>
      <c r="S197" s="3">
        <v>733</v>
      </c>
      <c r="T197" s="3">
        <v>401</v>
      </c>
      <c r="U197" s="3"/>
      <c r="V197" s="3"/>
      <c r="W197" s="3"/>
      <c r="X197" s="3"/>
      <c r="Y197" s="3"/>
      <c r="Z197" s="3"/>
      <c r="AA197" s="3"/>
      <c r="AB197" s="3"/>
    </row>
    <row r="198" spans="1:42" x14ac:dyDescent="0.55000000000000004">
      <c r="A198" s="4" t="s">
        <v>202</v>
      </c>
      <c r="B198" s="5">
        <v>647493</v>
      </c>
      <c r="C198" s="5">
        <v>12303</v>
      </c>
      <c r="D198" s="5">
        <v>10612</v>
      </c>
      <c r="E198" s="9" t="s">
        <v>14</v>
      </c>
      <c r="F198" s="9" t="s">
        <v>14</v>
      </c>
      <c r="G198" s="9" t="s">
        <v>14</v>
      </c>
      <c r="H198" s="5">
        <v>599493</v>
      </c>
      <c r="I198" s="5">
        <v>13572</v>
      </c>
      <c r="J198" s="5">
        <v>12088</v>
      </c>
      <c r="K198" s="14">
        <v>24.2</v>
      </c>
      <c r="L198" s="14">
        <v>20.9</v>
      </c>
      <c r="N198" s="5">
        <v>35167</v>
      </c>
      <c r="O198" s="5">
        <v>47867</v>
      </c>
      <c r="P198" s="5">
        <v>59905</v>
      </c>
      <c r="Q198" s="5">
        <v>80549</v>
      </c>
      <c r="R198" s="5">
        <v>72703</v>
      </c>
      <c r="S198" s="5">
        <v>77704</v>
      </c>
      <c r="T198" s="5">
        <v>51880</v>
      </c>
      <c r="U198" s="5">
        <v>79887</v>
      </c>
      <c r="V198" s="5">
        <v>66800</v>
      </c>
      <c r="W198" s="5">
        <v>75031</v>
      </c>
      <c r="X198" s="5"/>
      <c r="Y198" s="5"/>
      <c r="Z198" s="5"/>
      <c r="AA198" s="5"/>
      <c r="AB198" s="5"/>
      <c r="AD198" s="15">
        <f>SUM(N198:AB198)</f>
        <v>647493</v>
      </c>
      <c r="AE198" s="15">
        <f>SUM(N199:AB199)</f>
        <v>12303</v>
      </c>
      <c r="AF198" s="15">
        <f>SUM(N200:AB200)</f>
        <v>10612</v>
      </c>
      <c r="AH198" s="15">
        <f>AD198-B198</f>
        <v>0</v>
      </c>
      <c r="AI198" s="15">
        <f>AE198-C198</f>
        <v>0</v>
      </c>
      <c r="AJ198" s="15">
        <f>AF198-D198</f>
        <v>0</v>
      </c>
      <c r="AL198" s="17">
        <f>C198/B198*1000</f>
        <v>19.000977616746436</v>
      </c>
      <c r="AM198" s="17">
        <f>D198/B198*1000</f>
        <v>16.389366371528343</v>
      </c>
      <c r="AO198" s="17">
        <f>AL198-K198</f>
        <v>-5.1990223832535634</v>
      </c>
      <c r="AP198" s="17">
        <f>AM198-L198</f>
        <v>-4.5106336284716555</v>
      </c>
    </row>
    <row r="199" spans="1:42" x14ac:dyDescent="0.55000000000000004">
      <c r="A199" s="2" t="s">
        <v>203</v>
      </c>
      <c r="B199" s="3"/>
      <c r="C199" s="3"/>
      <c r="D199" s="3"/>
      <c r="E199" s="3"/>
      <c r="F199" s="3"/>
      <c r="G199" s="3"/>
      <c r="H199" s="3"/>
      <c r="I199" s="3"/>
      <c r="J199" s="3"/>
      <c r="K199" s="1"/>
      <c r="L199" s="1"/>
      <c r="N199" s="3">
        <v>690</v>
      </c>
      <c r="O199" s="3">
        <v>1391</v>
      </c>
      <c r="P199" s="3">
        <v>1231</v>
      </c>
      <c r="Q199" s="3">
        <v>1423</v>
      </c>
      <c r="R199" s="6" t="s">
        <v>14</v>
      </c>
      <c r="S199" s="3">
        <v>1951</v>
      </c>
      <c r="T199" s="3">
        <v>1211</v>
      </c>
      <c r="U199" s="3">
        <v>2835</v>
      </c>
      <c r="V199" s="6" t="s">
        <v>14</v>
      </c>
      <c r="W199" s="3">
        <v>1571</v>
      </c>
      <c r="X199" s="3"/>
      <c r="Y199" s="3"/>
      <c r="Z199" s="3"/>
      <c r="AA199" s="3"/>
      <c r="AB199" s="3"/>
    </row>
    <row r="200" spans="1:42" x14ac:dyDescent="0.55000000000000004">
      <c r="A200" s="2" t="s">
        <v>204</v>
      </c>
      <c r="B200" s="3"/>
      <c r="C200" s="3"/>
      <c r="D200" s="3"/>
      <c r="E200" s="3"/>
      <c r="F200" s="3"/>
      <c r="G200" s="3"/>
      <c r="H200" s="3"/>
      <c r="I200" s="3"/>
      <c r="J200" s="3"/>
      <c r="K200" s="1"/>
      <c r="L200" s="1"/>
      <c r="N200" s="3">
        <v>610</v>
      </c>
      <c r="O200" s="3">
        <v>1018</v>
      </c>
      <c r="P200" s="3">
        <v>875</v>
      </c>
      <c r="Q200" s="3">
        <v>1315</v>
      </c>
      <c r="R200" s="6" t="s">
        <v>14</v>
      </c>
      <c r="S200" s="3">
        <v>1511</v>
      </c>
      <c r="T200" s="3">
        <v>1036</v>
      </c>
      <c r="U200" s="3">
        <v>2415</v>
      </c>
      <c r="V200" s="6" t="s">
        <v>14</v>
      </c>
      <c r="W200" s="3">
        <v>1832</v>
      </c>
      <c r="X200" s="3"/>
      <c r="Y200" s="3"/>
      <c r="Z200" s="3"/>
      <c r="AA200" s="3"/>
      <c r="AB200" s="3"/>
    </row>
    <row r="201" spans="1:42" x14ac:dyDescent="0.55000000000000004">
      <c r="A201" s="4" t="s">
        <v>205</v>
      </c>
      <c r="B201" s="5">
        <v>764434</v>
      </c>
      <c r="C201" s="5">
        <v>20781</v>
      </c>
      <c r="D201" s="5">
        <v>12804</v>
      </c>
      <c r="E201" s="5">
        <v>74955</v>
      </c>
      <c r="F201" s="5">
        <v>3105</v>
      </c>
      <c r="G201" s="5">
        <v>2330</v>
      </c>
      <c r="H201" s="5">
        <v>754113</v>
      </c>
      <c r="I201" s="5">
        <v>19586</v>
      </c>
      <c r="J201" s="5">
        <v>13455</v>
      </c>
      <c r="K201" s="14">
        <v>27.2</v>
      </c>
      <c r="L201" s="14">
        <v>16.7</v>
      </c>
      <c r="N201" s="5">
        <v>128706</v>
      </c>
      <c r="O201" s="5">
        <v>56716</v>
      </c>
      <c r="P201" s="5">
        <v>49267</v>
      </c>
      <c r="Q201" s="5">
        <v>57340</v>
      </c>
      <c r="R201" s="5">
        <v>127855</v>
      </c>
      <c r="S201" s="5">
        <v>87677</v>
      </c>
      <c r="T201" s="5">
        <v>117023</v>
      </c>
      <c r="U201" s="5">
        <v>139850</v>
      </c>
      <c r="V201" s="5"/>
      <c r="W201" s="5"/>
      <c r="X201" s="5"/>
      <c r="Y201" s="5"/>
      <c r="Z201" s="5"/>
      <c r="AA201" s="5"/>
      <c r="AB201" s="5"/>
      <c r="AD201" s="15">
        <f>SUM(N201:AB201)</f>
        <v>764434</v>
      </c>
      <c r="AE201" s="15">
        <f>SUM(N202:AB202)</f>
        <v>20781</v>
      </c>
      <c r="AF201" s="15">
        <f>SUM(N203:AB203)</f>
        <v>12804</v>
      </c>
      <c r="AH201" s="15">
        <f>AD201-B201</f>
        <v>0</v>
      </c>
      <c r="AI201" s="15">
        <f>AE201-C201</f>
        <v>0</v>
      </c>
      <c r="AJ201" s="15">
        <f>AF201-D201</f>
        <v>0</v>
      </c>
      <c r="AL201" s="17">
        <f>C201/B201*1000</f>
        <v>27.184819094912054</v>
      </c>
      <c r="AM201" s="17">
        <f>D201/B201*1000</f>
        <v>16.749647451578554</v>
      </c>
      <c r="AO201" s="17">
        <f>AL201-K201</f>
        <v>-1.5180905087945007E-2</v>
      </c>
      <c r="AP201" s="17">
        <f>AM201-L201</f>
        <v>4.9647451578554325E-2</v>
      </c>
    </row>
    <row r="202" spans="1:42" x14ac:dyDescent="0.55000000000000004">
      <c r="A202" s="2" t="s">
        <v>206</v>
      </c>
      <c r="B202" s="3"/>
      <c r="C202" s="3"/>
      <c r="D202" s="3"/>
      <c r="E202" s="3"/>
      <c r="F202" s="3"/>
      <c r="G202" s="3"/>
      <c r="H202" s="3"/>
      <c r="I202" s="3"/>
      <c r="J202" s="3"/>
      <c r="K202" s="1"/>
      <c r="L202" s="1"/>
      <c r="N202" s="3">
        <v>3302</v>
      </c>
      <c r="O202" s="3">
        <v>1772</v>
      </c>
      <c r="P202" s="3">
        <v>1086</v>
      </c>
      <c r="Q202" s="3">
        <v>982</v>
      </c>
      <c r="R202" s="3">
        <v>2916</v>
      </c>
      <c r="S202" s="3">
        <v>3162</v>
      </c>
      <c r="T202" s="3">
        <v>3958</v>
      </c>
      <c r="U202" s="3">
        <v>3603</v>
      </c>
      <c r="V202" s="3"/>
      <c r="W202" s="3"/>
      <c r="X202" s="3"/>
      <c r="Y202" s="3"/>
      <c r="Z202" s="3"/>
      <c r="AA202" s="3"/>
      <c r="AB202" s="3"/>
    </row>
    <row r="203" spans="1:42" x14ac:dyDescent="0.55000000000000004">
      <c r="A203" s="2" t="s">
        <v>207</v>
      </c>
      <c r="B203" s="3"/>
      <c r="C203" s="3"/>
      <c r="D203" s="3"/>
      <c r="E203" s="3"/>
      <c r="F203" s="3"/>
      <c r="G203" s="3"/>
      <c r="H203" s="3"/>
      <c r="I203" s="3"/>
      <c r="J203" s="3"/>
      <c r="K203" s="1"/>
      <c r="L203" s="1"/>
      <c r="N203" s="3">
        <v>1981</v>
      </c>
      <c r="O203" s="3">
        <v>1240</v>
      </c>
      <c r="P203" s="3">
        <v>654</v>
      </c>
      <c r="Q203" s="3">
        <v>612</v>
      </c>
      <c r="R203" s="3">
        <v>1407</v>
      </c>
      <c r="S203" s="3">
        <v>1391</v>
      </c>
      <c r="T203" s="3">
        <v>3003</v>
      </c>
      <c r="U203" s="3">
        <v>2516</v>
      </c>
      <c r="V203" s="3"/>
      <c r="W203" s="3"/>
      <c r="X203" s="3"/>
      <c r="Y203" s="3"/>
      <c r="Z203" s="3"/>
      <c r="AA203" s="3"/>
      <c r="AB203" s="3"/>
    </row>
    <row r="204" spans="1:42" x14ac:dyDescent="0.55000000000000004">
      <c r="A204" s="4" t="s">
        <v>208</v>
      </c>
      <c r="B204" s="5">
        <v>237114</v>
      </c>
      <c r="C204" s="9" t="s">
        <v>14</v>
      </c>
      <c r="D204" s="9" t="s">
        <v>14</v>
      </c>
      <c r="E204" s="5"/>
      <c r="F204" s="5"/>
      <c r="G204" s="5"/>
      <c r="H204" s="9" t="s">
        <v>14</v>
      </c>
      <c r="I204" s="9" t="s">
        <v>14</v>
      </c>
      <c r="J204" s="9" t="s">
        <v>14</v>
      </c>
      <c r="K204" s="14" t="s">
        <v>14</v>
      </c>
      <c r="L204" s="14" t="s">
        <v>14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D204" s="15">
        <f>B204</f>
        <v>237114</v>
      </c>
      <c r="AE204" s="21" t="str">
        <f>C204</f>
        <v>—</v>
      </c>
      <c r="AF204" s="21" t="str">
        <f>D204</f>
        <v>—</v>
      </c>
      <c r="AG204" s="18"/>
      <c r="AH204" s="18"/>
      <c r="AI204" s="18"/>
      <c r="AJ204" s="18"/>
      <c r="AL204" s="17"/>
      <c r="AM204" s="17"/>
      <c r="AO204" s="17"/>
      <c r="AP204" s="17"/>
    </row>
    <row r="205" spans="1:42" x14ac:dyDescent="0.55000000000000004">
      <c r="A205" s="4" t="s">
        <v>209</v>
      </c>
      <c r="B205" s="5">
        <v>1398112</v>
      </c>
      <c r="C205" s="5">
        <v>84968</v>
      </c>
      <c r="D205" s="5">
        <v>56273</v>
      </c>
      <c r="E205" s="5">
        <v>142542</v>
      </c>
      <c r="F205" s="5">
        <v>7484</v>
      </c>
      <c r="G205" s="5">
        <v>6027</v>
      </c>
      <c r="H205" s="5">
        <v>1330498</v>
      </c>
      <c r="I205" s="5">
        <v>82717</v>
      </c>
      <c r="J205" s="5">
        <v>54520</v>
      </c>
      <c r="K205" s="14">
        <v>60.8</v>
      </c>
      <c r="L205" s="14">
        <v>40.299999999999997</v>
      </c>
      <c r="N205" s="5">
        <v>177612</v>
      </c>
      <c r="O205" s="5">
        <v>163304</v>
      </c>
      <c r="P205" s="5">
        <v>222025</v>
      </c>
      <c r="Q205" s="5">
        <v>178510</v>
      </c>
      <c r="R205" s="5">
        <v>239814</v>
      </c>
      <c r="S205" s="5">
        <v>146559</v>
      </c>
      <c r="T205" s="5">
        <v>239889</v>
      </c>
      <c r="U205" s="5">
        <v>30399</v>
      </c>
      <c r="V205" s="5"/>
      <c r="W205" s="5"/>
      <c r="X205" s="5"/>
      <c r="Y205" s="5"/>
      <c r="Z205" s="5"/>
      <c r="AA205" s="5"/>
      <c r="AB205" s="5"/>
      <c r="AD205" s="15">
        <f>SUM(N205:AB205)</f>
        <v>1398112</v>
      </c>
      <c r="AE205" s="15">
        <f>SUM(N206:AB206)</f>
        <v>84968</v>
      </c>
      <c r="AF205" s="15">
        <f>SUM(N207:AB207)</f>
        <v>56274</v>
      </c>
      <c r="AH205" s="15">
        <f>AD205-B205</f>
        <v>0</v>
      </c>
      <c r="AI205" s="15">
        <f>AE205-C205</f>
        <v>0</v>
      </c>
      <c r="AJ205" s="15">
        <f>AF205-D205</f>
        <v>1</v>
      </c>
      <c r="AL205" s="17">
        <f>C205/B205*1000</f>
        <v>60.773385823167239</v>
      </c>
      <c r="AM205" s="17">
        <f>D205/B205*1000</f>
        <v>40.249279027717378</v>
      </c>
      <c r="AO205" s="17">
        <f>AL205-K205</f>
        <v>-2.6614176832758574E-2</v>
      </c>
      <c r="AP205" s="17">
        <f>AM205-L205</f>
        <v>-5.0720972282618959E-2</v>
      </c>
    </row>
    <row r="206" spans="1:42" x14ac:dyDescent="0.55000000000000004">
      <c r="A206" s="2" t="s">
        <v>210</v>
      </c>
      <c r="B206" s="3"/>
      <c r="C206" s="3"/>
      <c r="D206" s="3"/>
      <c r="E206" s="3"/>
      <c r="F206" s="3"/>
      <c r="G206" s="3"/>
      <c r="H206" s="3"/>
      <c r="I206" s="3"/>
      <c r="J206" s="3"/>
      <c r="K206" s="1"/>
      <c r="L206" s="1"/>
      <c r="N206" s="3">
        <v>11194</v>
      </c>
      <c r="O206" s="3">
        <v>10763</v>
      </c>
      <c r="P206" s="3">
        <v>14220</v>
      </c>
      <c r="Q206" s="3">
        <v>11547</v>
      </c>
      <c r="R206" s="3">
        <v>13766</v>
      </c>
      <c r="S206" s="3">
        <v>8478</v>
      </c>
      <c r="T206" s="3">
        <v>14067</v>
      </c>
      <c r="U206" s="3">
        <v>933</v>
      </c>
      <c r="V206" s="3"/>
      <c r="W206" s="3"/>
      <c r="X206" s="3"/>
      <c r="Y206" s="3"/>
      <c r="Z206" s="3"/>
      <c r="AA206" s="3"/>
      <c r="AB206" s="3"/>
    </row>
    <row r="207" spans="1:42" x14ac:dyDescent="0.55000000000000004">
      <c r="A207" s="2" t="s">
        <v>211</v>
      </c>
      <c r="B207" s="3"/>
      <c r="C207" s="3"/>
      <c r="D207" s="3"/>
      <c r="E207" s="3"/>
      <c r="F207" s="3"/>
      <c r="G207" s="3"/>
      <c r="H207" s="3"/>
      <c r="I207" s="3"/>
      <c r="J207" s="3"/>
      <c r="K207" s="1"/>
      <c r="L207" s="1"/>
      <c r="N207" s="3">
        <v>7130</v>
      </c>
      <c r="O207" s="3">
        <v>6793</v>
      </c>
      <c r="P207" s="3">
        <v>10508</v>
      </c>
      <c r="Q207" s="3">
        <v>7911</v>
      </c>
      <c r="R207" s="3">
        <v>9059</v>
      </c>
      <c r="S207" s="3">
        <v>5632</v>
      </c>
      <c r="T207" s="3">
        <v>8050</v>
      </c>
      <c r="U207" s="3">
        <v>1191</v>
      </c>
      <c r="V207" s="3"/>
      <c r="W207" s="3"/>
      <c r="X207" s="3"/>
      <c r="Y207" s="3"/>
      <c r="Z207" s="3"/>
      <c r="AA207" s="3"/>
      <c r="AB207" s="3"/>
    </row>
    <row r="208" spans="1:42" x14ac:dyDescent="0.55000000000000004">
      <c r="A208" s="4" t="s">
        <v>212</v>
      </c>
      <c r="B208" s="5">
        <v>948045</v>
      </c>
      <c r="C208" s="5">
        <v>28416</v>
      </c>
      <c r="D208" s="5">
        <v>16657</v>
      </c>
      <c r="E208" s="9" t="s">
        <v>14</v>
      </c>
      <c r="F208" s="9" t="s">
        <v>14</v>
      </c>
      <c r="G208" s="9" t="s">
        <v>14</v>
      </c>
      <c r="H208" s="5">
        <v>957357</v>
      </c>
      <c r="I208" s="5">
        <v>25486</v>
      </c>
      <c r="J208" s="5">
        <v>11374</v>
      </c>
      <c r="K208" s="14">
        <v>30</v>
      </c>
      <c r="L208" s="14">
        <v>17.600000000000001</v>
      </c>
      <c r="N208" s="5">
        <v>189924</v>
      </c>
      <c r="O208" s="5">
        <v>52810</v>
      </c>
      <c r="P208" s="5">
        <v>70315</v>
      </c>
      <c r="Q208" s="5">
        <v>111893</v>
      </c>
      <c r="R208" s="5">
        <v>46956</v>
      </c>
      <c r="S208" s="5">
        <v>84606</v>
      </c>
      <c r="T208" s="5">
        <v>69268</v>
      </c>
      <c r="U208" s="5">
        <v>96257</v>
      </c>
      <c r="V208" s="5">
        <v>76191</v>
      </c>
      <c r="W208" s="5">
        <v>149825</v>
      </c>
      <c r="X208" s="5"/>
      <c r="Y208" s="5"/>
      <c r="Z208" s="5"/>
      <c r="AA208" s="5"/>
      <c r="AB208" s="5"/>
      <c r="AD208" s="15">
        <f>SUM(N208:AB208)</f>
        <v>948045</v>
      </c>
      <c r="AE208" s="15">
        <f>SUM(N209:AB209)</f>
        <v>28416</v>
      </c>
      <c r="AF208" s="15">
        <f>SUM(N210:AB210)</f>
        <v>16657</v>
      </c>
      <c r="AH208" s="15">
        <f>AD208-B208</f>
        <v>0</v>
      </c>
      <c r="AI208" s="15">
        <f>AE208-C208</f>
        <v>0</v>
      </c>
      <c r="AJ208" s="15">
        <f>AF208-D208</f>
        <v>0</v>
      </c>
      <c r="AL208" s="17">
        <f>C208/B208*1000</f>
        <v>29.973260762938466</v>
      </c>
      <c r="AM208" s="17">
        <f>D208/B208*1000</f>
        <v>17.569841094040896</v>
      </c>
      <c r="AO208" s="17">
        <f>AL208-K208</f>
        <v>-2.6739237061534027E-2</v>
      </c>
      <c r="AP208" s="17">
        <f>AM208-L208</f>
        <v>-3.0158905959105198E-2</v>
      </c>
    </row>
    <row r="209" spans="1:42" x14ac:dyDescent="0.55000000000000004">
      <c r="A209" s="2" t="s">
        <v>213</v>
      </c>
      <c r="B209" s="3"/>
      <c r="C209" s="3"/>
      <c r="D209" s="3"/>
      <c r="E209" s="3"/>
      <c r="F209" s="3"/>
      <c r="G209" s="3"/>
      <c r="H209" s="3"/>
      <c r="I209" s="3"/>
      <c r="J209" s="3"/>
      <c r="K209" s="1"/>
      <c r="L209" s="1"/>
      <c r="N209" s="3">
        <v>7780</v>
      </c>
      <c r="O209" s="3">
        <v>1709</v>
      </c>
      <c r="P209" s="3">
        <v>1566</v>
      </c>
      <c r="Q209" s="3">
        <v>3229</v>
      </c>
      <c r="R209" s="3">
        <v>1693</v>
      </c>
      <c r="S209" s="3">
        <v>2647</v>
      </c>
      <c r="T209" s="3">
        <v>2660</v>
      </c>
      <c r="U209" s="3">
        <v>2508</v>
      </c>
      <c r="V209" s="3">
        <v>2265</v>
      </c>
      <c r="W209" s="3">
        <v>2359</v>
      </c>
      <c r="X209" s="3"/>
      <c r="Y209" s="3"/>
      <c r="Z209" s="3"/>
      <c r="AA209" s="3"/>
      <c r="AB209" s="3"/>
    </row>
    <row r="210" spans="1:42" x14ac:dyDescent="0.55000000000000004">
      <c r="A210" s="2" t="s">
        <v>214</v>
      </c>
      <c r="B210" s="3"/>
      <c r="C210" s="3"/>
      <c r="D210" s="3"/>
      <c r="E210" s="3"/>
      <c r="F210" s="3"/>
      <c r="G210" s="3"/>
      <c r="H210" s="3"/>
      <c r="I210" s="3"/>
      <c r="J210" s="3"/>
      <c r="K210" s="1"/>
      <c r="L210" s="1"/>
      <c r="N210" s="3">
        <v>3553</v>
      </c>
      <c r="O210" s="3">
        <v>884</v>
      </c>
      <c r="P210" s="3">
        <v>1268</v>
      </c>
      <c r="Q210" s="3">
        <v>1672</v>
      </c>
      <c r="R210" s="3">
        <v>917</v>
      </c>
      <c r="S210" s="3">
        <v>1272</v>
      </c>
      <c r="T210" s="3">
        <v>1243</v>
      </c>
      <c r="U210" s="3">
        <v>2279</v>
      </c>
      <c r="V210" s="3">
        <v>2032</v>
      </c>
      <c r="W210" s="3">
        <v>1537</v>
      </c>
      <c r="X210" s="3"/>
      <c r="Y210" s="3"/>
      <c r="Z210" s="3"/>
      <c r="AA210" s="3"/>
      <c r="AB210" s="3"/>
    </row>
    <row r="211" spans="1:42" x14ac:dyDescent="0.55000000000000004">
      <c r="A211" s="4" t="s">
        <v>215</v>
      </c>
      <c r="B211" s="5">
        <v>672358</v>
      </c>
      <c r="C211" s="5">
        <v>41233</v>
      </c>
      <c r="D211" s="5">
        <v>29882</v>
      </c>
      <c r="E211" s="9" t="s">
        <v>14</v>
      </c>
      <c r="F211" s="9" t="s">
        <v>14</v>
      </c>
      <c r="G211" s="9" t="s">
        <v>14</v>
      </c>
      <c r="H211" s="5">
        <v>669324</v>
      </c>
      <c r="I211" s="5">
        <v>40638</v>
      </c>
      <c r="J211" s="5">
        <v>26835</v>
      </c>
      <c r="K211" s="14">
        <v>61.1</v>
      </c>
      <c r="L211" s="14">
        <v>44.9</v>
      </c>
      <c r="N211" s="5">
        <v>132807</v>
      </c>
      <c r="O211" s="5">
        <v>136670</v>
      </c>
      <c r="P211" s="5">
        <v>165870</v>
      </c>
      <c r="Q211" s="5">
        <v>188679</v>
      </c>
      <c r="R211" s="5">
        <v>48332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D211" s="15">
        <f>SUM(N211:AB211)</f>
        <v>672358</v>
      </c>
      <c r="AE211" s="15">
        <f>SUM(N212:AB212)</f>
        <v>41233</v>
      </c>
      <c r="AF211" s="15">
        <f>SUM(N213:AB213)</f>
        <v>29872</v>
      </c>
      <c r="AH211" s="15">
        <f>AD211-B211</f>
        <v>0</v>
      </c>
      <c r="AI211" s="15">
        <f>AE211-C211</f>
        <v>0</v>
      </c>
      <c r="AJ211" s="15">
        <f>AF211-D211</f>
        <v>-10</v>
      </c>
      <c r="AL211" s="17">
        <f>C211/B211*1000</f>
        <v>61.325960277114277</v>
      </c>
      <c r="AM211" s="17">
        <f>D211/B211*1000</f>
        <v>44.443585113882783</v>
      </c>
      <c r="AO211" s="17">
        <f>AL211-K211</f>
        <v>0.22596027711427524</v>
      </c>
      <c r="AP211" s="17">
        <f>AM211-L211</f>
        <v>-0.4564148861172157</v>
      </c>
    </row>
    <row r="212" spans="1:42" x14ac:dyDescent="0.55000000000000004">
      <c r="A212" s="2" t="s">
        <v>216</v>
      </c>
      <c r="B212" s="3"/>
      <c r="C212" s="3"/>
      <c r="D212" s="3"/>
      <c r="E212" s="3"/>
      <c r="F212" s="3"/>
      <c r="G212" s="3"/>
      <c r="H212" s="3"/>
      <c r="I212" s="3"/>
      <c r="J212" s="3"/>
      <c r="K212" s="1"/>
      <c r="L212" s="1"/>
      <c r="N212" s="3">
        <v>7491</v>
      </c>
      <c r="O212" s="3">
        <v>8291</v>
      </c>
      <c r="P212" s="3">
        <v>11925</v>
      </c>
      <c r="Q212" s="3">
        <v>12381</v>
      </c>
      <c r="R212" s="3">
        <v>1145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42" x14ac:dyDescent="0.55000000000000004">
      <c r="A213" s="2" t="s">
        <v>217</v>
      </c>
      <c r="B213" s="3"/>
      <c r="C213" s="3"/>
      <c r="D213" s="3"/>
      <c r="E213" s="3"/>
      <c r="F213" s="3"/>
      <c r="G213" s="3"/>
      <c r="H213" s="3"/>
      <c r="I213" s="3"/>
      <c r="J213" s="3"/>
      <c r="K213" s="1"/>
      <c r="L213" s="1"/>
      <c r="N213" s="3">
        <v>4567</v>
      </c>
      <c r="O213" s="3">
        <v>7225</v>
      </c>
      <c r="P213" s="3">
        <v>7517</v>
      </c>
      <c r="Q213" s="3">
        <v>9352</v>
      </c>
      <c r="R213" s="3">
        <v>1211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42" x14ac:dyDescent="0.55000000000000004">
      <c r="A214" s="4" t="s">
        <v>218</v>
      </c>
      <c r="B214" s="5">
        <v>737556</v>
      </c>
      <c r="C214" s="5">
        <v>21510</v>
      </c>
      <c r="D214" s="5">
        <v>15212</v>
      </c>
      <c r="E214" s="5">
        <v>90367</v>
      </c>
      <c r="F214" s="5">
        <v>3357</v>
      </c>
      <c r="G214" s="5">
        <v>2271</v>
      </c>
      <c r="H214" s="5">
        <v>702808</v>
      </c>
      <c r="I214" s="5">
        <v>23250</v>
      </c>
      <c r="J214" s="5">
        <v>16597</v>
      </c>
      <c r="K214" s="14">
        <v>29.1</v>
      </c>
      <c r="L214" s="14">
        <v>20.6</v>
      </c>
      <c r="N214" s="5">
        <v>124740</v>
      </c>
      <c r="O214" s="5">
        <v>176138</v>
      </c>
      <c r="P214" s="5">
        <v>79515</v>
      </c>
      <c r="Q214" s="5">
        <v>92083</v>
      </c>
      <c r="R214" s="5">
        <v>109814</v>
      </c>
      <c r="S214" s="5">
        <v>96214</v>
      </c>
      <c r="T214" s="5">
        <v>59052</v>
      </c>
      <c r="U214" s="5"/>
      <c r="V214" s="5"/>
      <c r="W214" s="5"/>
      <c r="X214" s="5"/>
      <c r="Y214" s="5"/>
      <c r="Z214" s="5"/>
      <c r="AA214" s="5"/>
      <c r="AB214" s="5"/>
      <c r="AD214" s="15">
        <f>SUM(N214:AB214)</f>
        <v>737556</v>
      </c>
      <c r="AE214" s="15">
        <f>SUM(N215:AB215)</f>
        <v>21510</v>
      </c>
      <c r="AF214" s="15">
        <f>SUM(N216:AB216)</f>
        <v>15212</v>
      </c>
      <c r="AH214" s="15">
        <f>AD214-B214</f>
        <v>0</v>
      </c>
      <c r="AI214" s="15">
        <f>AE214-C214</f>
        <v>0</v>
      </c>
      <c r="AJ214" s="15">
        <f>AF214-D214</f>
        <v>0</v>
      </c>
      <c r="AL214" s="17">
        <f>C214/B214*1000</f>
        <v>29.163887216699479</v>
      </c>
      <c r="AM214" s="17">
        <f>D214/B214*1000</f>
        <v>20.624874585794164</v>
      </c>
      <c r="AO214" s="17">
        <f>AL214-K214</f>
        <v>6.3887216699477278E-2</v>
      </c>
      <c r="AP214" s="17">
        <f>AM214-L214</f>
        <v>2.487458579416213E-2</v>
      </c>
    </row>
    <row r="215" spans="1:42" x14ac:dyDescent="0.55000000000000004">
      <c r="A215" s="2" t="s">
        <v>219</v>
      </c>
      <c r="B215" s="3"/>
      <c r="C215" s="3"/>
      <c r="D215" s="3"/>
      <c r="E215" s="3"/>
      <c r="F215" s="3"/>
      <c r="G215" s="3"/>
      <c r="H215" s="3"/>
      <c r="I215" s="3"/>
      <c r="J215" s="3"/>
      <c r="K215" s="1"/>
      <c r="L215" s="1"/>
      <c r="N215" s="3">
        <v>3994</v>
      </c>
      <c r="O215" s="3">
        <v>2589</v>
      </c>
      <c r="P215" s="3">
        <v>2702</v>
      </c>
      <c r="Q215" s="3">
        <v>3421</v>
      </c>
      <c r="R215" s="3">
        <v>3629</v>
      </c>
      <c r="S215" s="3">
        <v>3672</v>
      </c>
      <c r="T215" s="3">
        <v>1503</v>
      </c>
      <c r="U215" s="3"/>
      <c r="V215" s="3"/>
      <c r="W215" s="3"/>
      <c r="X215" s="3"/>
      <c r="Y215" s="3"/>
      <c r="Z215" s="3"/>
      <c r="AA215" s="3"/>
      <c r="AB215" s="3"/>
    </row>
    <row r="216" spans="1:42" x14ac:dyDescent="0.55000000000000004">
      <c r="A216" s="2" t="s">
        <v>220</v>
      </c>
      <c r="B216" s="3"/>
      <c r="C216" s="3"/>
      <c r="D216" s="3"/>
      <c r="E216" s="3"/>
      <c r="F216" s="3"/>
      <c r="G216" s="3"/>
      <c r="H216" s="3"/>
      <c r="I216" s="3"/>
      <c r="J216" s="3"/>
      <c r="K216" s="1"/>
      <c r="L216" s="1"/>
      <c r="N216" s="3">
        <v>1705</v>
      </c>
      <c r="O216" s="3">
        <v>2255</v>
      </c>
      <c r="P216" s="3">
        <v>2269</v>
      </c>
      <c r="Q216" s="3">
        <v>2539</v>
      </c>
      <c r="R216" s="3">
        <v>2390</v>
      </c>
      <c r="S216" s="3">
        <v>2435</v>
      </c>
      <c r="T216" s="3">
        <v>1619</v>
      </c>
      <c r="U216" s="3"/>
      <c r="V216" s="3"/>
      <c r="W216" s="3"/>
      <c r="X216" s="3"/>
      <c r="Y216" s="3"/>
      <c r="Z216" s="3"/>
      <c r="AA216" s="3"/>
      <c r="AB216" s="3"/>
    </row>
    <row r="217" spans="1:42" x14ac:dyDescent="0.55000000000000004">
      <c r="A217" s="4" t="s">
        <v>221</v>
      </c>
      <c r="B217" s="5">
        <v>832384</v>
      </c>
      <c r="C217" s="5">
        <v>29708</v>
      </c>
      <c r="D217" s="5">
        <v>19179</v>
      </c>
      <c r="E217" s="5">
        <v>148213</v>
      </c>
      <c r="F217" s="5">
        <v>4899</v>
      </c>
      <c r="G217" s="5">
        <v>4059</v>
      </c>
      <c r="H217" s="5">
        <v>821268</v>
      </c>
      <c r="I217" s="5">
        <v>29229</v>
      </c>
      <c r="J217" s="5">
        <v>15702</v>
      </c>
      <c r="K217" s="14">
        <v>35.700000000000003</v>
      </c>
      <c r="L217" s="14">
        <v>23.1</v>
      </c>
      <c r="N217" s="5">
        <v>170299</v>
      </c>
      <c r="O217" s="5">
        <v>63799</v>
      </c>
      <c r="P217" s="5">
        <v>49791</v>
      </c>
      <c r="Q217" s="5">
        <v>101482</v>
      </c>
      <c r="R217" s="5">
        <v>177656</v>
      </c>
      <c r="S217" s="5">
        <v>70017</v>
      </c>
      <c r="T217" s="5">
        <v>89881</v>
      </c>
      <c r="U217" s="5">
        <v>65119</v>
      </c>
      <c r="V217" s="5">
        <v>35340</v>
      </c>
      <c r="W217" s="5"/>
      <c r="X217" s="5"/>
      <c r="Y217" s="5"/>
      <c r="Z217" s="5"/>
      <c r="AA217" s="5"/>
      <c r="AB217" s="5"/>
      <c r="AD217" s="15">
        <f>SUM(N217:AB217)</f>
        <v>823384</v>
      </c>
      <c r="AE217" s="15">
        <f>C217</f>
        <v>29708</v>
      </c>
      <c r="AF217" s="15">
        <f>D217</f>
        <v>19179</v>
      </c>
      <c r="AH217" s="15">
        <f>AD217-B217</f>
        <v>-9000</v>
      </c>
      <c r="AI217" s="15">
        <f>AE217-C217</f>
        <v>0</v>
      </c>
      <c r="AJ217" s="15">
        <f>AF217-D217</f>
        <v>0</v>
      </c>
      <c r="AL217" s="17">
        <f>C217/B217*1000</f>
        <v>35.690258342303551</v>
      </c>
      <c r="AM217" s="17">
        <f>D217/B217*1000</f>
        <v>23.041048362294326</v>
      </c>
      <c r="AO217" s="17">
        <f>AL217-K217</f>
        <v>-9.7416576964519663E-3</v>
      </c>
      <c r="AP217" s="17">
        <f>AM217-L217</f>
        <v>-5.8951637705675353E-2</v>
      </c>
    </row>
    <row r="218" spans="1:42" x14ac:dyDescent="0.55000000000000004">
      <c r="A218" s="2" t="s">
        <v>222</v>
      </c>
      <c r="B218" s="3"/>
      <c r="C218" s="3"/>
      <c r="D218" s="3"/>
      <c r="E218" s="3"/>
      <c r="F218" s="3"/>
      <c r="G218" s="3"/>
      <c r="H218" s="3"/>
      <c r="I218" s="3"/>
      <c r="J218" s="3"/>
      <c r="K218" s="1"/>
      <c r="L218" s="1"/>
      <c r="N218" s="6" t="s">
        <v>14</v>
      </c>
      <c r="O218" s="6" t="s">
        <v>14</v>
      </c>
      <c r="P218" s="6" t="s">
        <v>14</v>
      </c>
      <c r="Q218" s="6" t="s">
        <v>14</v>
      </c>
      <c r="R218" s="6" t="s">
        <v>14</v>
      </c>
      <c r="S218" s="6" t="s">
        <v>14</v>
      </c>
      <c r="T218" s="6" t="s">
        <v>14</v>
      </c>
      <c r="U218" s="6" t="s">
        <v>14</v>
      </c>
      <c r="V218" s="6" t="s">
        <v>14</v>
      </c>
      <c r="W218" s="3"/>
      <c r="X218" s="3"/>
      <c r="Y218" s="3"/>
      <c r="Z218" s="3"/>
      <c r="AA218" s="3"/>
      <c r="AB218" s="3"/>
    </row>
    <row r="219" spans="1:42" x14ac:dyDescent="0.55000000000000004">
      <c r="A219" s="2" t="s">
        <v>223</v>
      </c>
      <c r="B219" s="3"/>
      <c r="C219" s="3"/>
      <c r="D219" s="3"/>
      <c r="E219" s="3"/>
      <c r="F219" s="3"/>
      <c r="G219" s="3"/>
      <c r="H219" s="3"/>
      <c r="I219" s="3"/>
      <c r="J219" s="3"/>
      <c r="K219" s="1"/>
      <c r="L219" s="1"/>
      <c r="N219" s="6" t="s">
        <v>14</v>
      </c>
      <c r="O219" s="6" t="s">
        <v>14</v>
      </c>
      <c r="P219" s="6" t="s">
        <v>14</v>
      </c>
      <c r="Q219" s="6" t="s">
        <v>14</v>
      </c>
      <c r="R219" s="6" t="s">
        <v>14</v>
      </c>
      <c r="S219" s="6" t="s">
        <v>14</v>
      </c>
      <c r="T219" s="6" t="s">
        <v>14</v>
      </c>
      <c r="U219" s="6" t="s">
        <v>14</v>
      </c>
      <c r="V219" s="6" t="s">
        <v>14</v>
      </c>
      <c r="W219" s="3"/>
      <c r="X219" s="3"/>
      <c r="Y219" s="3"/>
      <c r="Z219" s="3"/>
      <c r="AA219" s="3"/>
      <c r="AB219" s="3"/>
    </row>
    <row r="220" spans="1:42" x14ac:dyDescent="0.55000000000000004">
      <c r="A220" s="4" t="s">
        <v>224</v>
      </c>
      <c r="B220" s="5">
        <v>677491</v>
      </c>
      <c r="C220" s="5">
        <v>23338</v>
      </c>
      <c r="D220" s="5">
        <v>16693</v>
      </c>
      <c r="E220" s="9" t="s">
        <v>14</v>
      </c>
      <c r="F220" s="9" t="s">
        <v>14</v>
      </c>
      <c r="G220" s="9" t="s">
        <v>14</v>
      </c>
      <c r="H220" s="5">
        <v>677245</v>
      </c>
      <c r="I220" s="9" t="s">
        <v>14</v>
      </c>
      <c r="J220" s="9" t="s">
        <v>14</v>
      </c>
      <c r="K220" s="14">
        <v>34.5</v>
      </c>
      <c r="L220" s="14">
        <v>24.7</v>
      </c>
      <c r="N220" s="9" t="s">
        <v>14</v>
      </c>
      <c r="O220" s="9" t="s">
        <v>14</v>
      </c>
      <c r="P220" s="9" t="s">
        <v>14</v>
      </c>
      <c r="Q220" s="9" t="s">
        <v>14</v>
      </c>
      <c r="R220" s="9" t="s">
        <v>14</v>
      </c>
      <c r="S220" s="9" t="s">
        <v>14</v>
      </c>
      <c r="T220" s="9" t="s">
        <v>14</v>
      </c>
      <c r="U220" s="5"/>
      <c r="V220" s="5"/>
      <c r="W220" s="5"/>
      <c r="X220" s="5"/>
      <c r="Y220" s="5"/>
      <c r="Z220" s="5"/>
      <c r="AA220" s="5"/>
      <c r="AB220" s="5"/>
      <c r="AD220" s="15">
        <f>B220</f>
        <v>677491</v>
      </c>
      <c r="AE220" s="15">
        <f>C220</f>
        <v>23338</v>
      </c>
      <c r="AF220" s="15">
        <f>D220</f>
        <v>16693</v>
      </c>
      <c r="AH220" s="15">
        <f>AD220-B220</f>
        <v>0</v>
      </c>
      <c r="AI220" s="15">
        <f>AE220-C220</f>
        <v>0</v>
      </c>
      <c r="AJ220" s="15">
        <f>AF220-D220</f>
        <v>0</v>
      </c>
      <c r="AL220" s="17">
        <f>C220/B220*1000</f>
        <v>34.447690080015825</v>
      </c>
      <c r="AM220" s="17">
        <f>D220/B220*1000</f>
        <v>24.639441704760653</v>
      </c>
      <c r="AO220" s="17">
        <f>AL220-K220</f>
        <v>-5.2309919984175224E-2</v>
      </c>
      <c r="AP220" s="17">
        <f>AM220-L220</f>
        <v>-6.0558295239346194E-2</v>
      </c>
    </row>
    <row r="221" spans="1:42" x14ac:dyDescent="0.55000000000000004">
      <c r="A221" s="2" t="s">
        <v>225</v>
      </c>
      <c r="B221" s="3"/>
      <c r="C221" s="3"/>
      <c r="D221" s="3"/>
      <c r="E221" s="3"/>
      <c r="F221" s="3"/>
      <c r="G221" s="3"/>
      <c r="H221" s="3"/>
      <c r="I221" s="3"/>
      <c r="J221" s="3"/>
      <c r="K221" s="1"/>
      <c r="L221" s="1"/>
      <c r="N221" s="3">
        <v>2644</v>
      </c>
      <c r="O221" s="3">
        <v>5865</v>
      </c>
      <c r="P221" s="3">
        <v>2007</v>
      </c>
      <c r="Q221" s="3">
        <v>5209</v>
      </c>
      <c r="R221" s="3">
        <v>2725</v>
      </c>
      <c r="S221" s="3">
        <v>1177</v>
      </c>
      <c r="T221" s="3">
        <v>3711</v>
      </c>
      <c r="U221" s="3"/>
      <c r="V221" s="3"/>
      <c r="W221" s="3"/>
      <c r="X221" s="3"/>
      <c r="Y221" s="3"/>
      <c r="Z221" s="3"/>
      <c r="AA221" s="3"/>
      <c r="AB221" s="3"/>
    </row>
    <row r="222" spans="1:42" x14ac:dyDescent="0.55000000000000004">
      <c r="A222" s="2" t="s">
        <v>226</v>
      </c>
      <c r="B222" s="3"/>
      <c r="C222" s="3"/>
      <c r="D222" s="3"/>
      <c r="E222" s="3"/>
      <c r="F222" s="3"/>
      <c r="G222" s="3"/>
      <c r="H222" s="3"/>
      <c r="I222" s="3"/>
      <c r="J222" s="3"/>
      <c r="K222" s="1"/>
      <c r="L222" s="1"/>
      <c r="N222" s="3">
        <v>2625</v>
      </c>
      <c r="O222" s="3">
        <v>3936</v>
      </c>
      <c r="P222" s="3">
        <v>1352</v>
      </c>
      <c r="Q222" s="3">
        <v>2340</v>
      </c>
      <c r="R222" s="3">
        <v>1917</v>
      </c>
      <c r="S222" s="3">
        <v>1335</v>
      </c>
      <c r="T222" s="3">
        <v>3188</v>
      </c>
      <c r="U222" s="3"/>
      <c r="V222" s="3"/>
      <c r="W222" s="3"/>
      <c r="X222" s="3"/>
      <c r="Y222" s="3"/>
      <c r="Z222" s="3"/>
      <c r="AA222" s="3"/>
      <c r="AB222" s="3"/>
    </row>
    <row r="223" spans="1:42" x14ac:dyDescent="0.55000000000000004">
      <c r="A223" s="7" t="s">
        <v>227</v>
      </c>
      <c r="B223" s="8">
        <v>7723316</v>
      </c>
      <c r="C223" s="8">
        <v>279047</v>
      </c>
      <c r="D223" s="8">
        <v>192150</v>
      </c>
      <c r="E223" s="8"/>
      <c r="F223" s="8"/>
      <c r="G223" s="8"/>
      <c r="H223" s="8">
        <v>7481517</v>
      </c>
      <c r="I223" s="8">
        <v>262779</v>
      </c>
      <c r="J223" s="8">
        <v>169931</v>
      </c>
      <c r="K223" s="10">
        <v>36</v>
      </c>
      <c r="L223" s="10">
        <v>25.7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D223" s="23">
        <f>SUM(AD195:AD222)</f>
        <v>7703316</v>
      </c>
      <c r="AE223" s="23">
        <f>SUM(AE195:AE222)</f>
        <v>279047</v>
      </c>
      <c r="AF223" s="23">
        <f>SUM(AF195:AF222)</f>
        <v>192141</v>
      </c>
      <c r="AH223" s="23">
        <f>AD223-B223</f>
        <v>-20000</v>
      </c>
      <c r="AI223" s="23">
        <f>AE223-C223</f>
        <v>0</v>
      </c>
      <c r="AJ223" s="23">
        <f>AF223-D223</f>
        <v>-9</v>
      </c>
      <c r="AL223" s="24">
        <f>C223/B223*1000</f>
        <v>36.130465204324153</v>
      </c>
      <c r="AM223" s="24">
        <f>D223/B223*1000</f>
        <v>24.879209914497867</v>
      </c>
      <c r="AO223" s="24">
        <f>AL223-K223</f>
        <v>0.13046520432415321</v>
      </c>
      <c r="AP223" s="24">
        <f>AM223-L223</f>
        <v>-0.82079008550213217</v>
      </c>
    </row>
    <row r="224" spans="1:42" x14ac:dyDescent="0.55000000000000004">
      <c r="A224" s="4" t="s">
        <v>228</v>
      </c>
      <c r="B224" s="5">
        <v>63221</v>
      </c>
      <c r="C224" s="9" t="s">
        <v>14</v>
      </c>
      <c r="D224" s="9" t="s">
        <v>14</v>
      </c>
      <c r="E224" s="5"/>
      <c r="F224" s="5"/>
      <c r="G224" s="5"/>
      <c r="H224" s="5">
        <v>63221</v>
      </c>
      <c r="I224" s="9" t="s">
        <v>14</v>
      </c>
      <c r="J224" s="9" t="s">
        <v>14</v>
      </c>
      <c r="K224" s="14" t="s">
        <v>14</v>
      </c>
      <c r="L224" s="14" t="s">
        <v>14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D224" s="15">
        <f>B224</f>
        <v>63221</v>
      </c>
      <c r="AE224" s="21" t="str">
        <f>C224</f>
        <v>—</v>
      </c>
      <c r="AF224" s="21" t="str">
        <f>D224</f>
        <v>—</v>
      </c>
      <c r="AG224" s="18"/>
      <c r="AH224" s="18"/>
      <c r="AI224" s="18"/>
      <c r="AJ224" s="18"/>
      <c r="AL224" s="17"/>
      <c r="AM224" s="17"/>
      <c r="AO224" s="17"/>
      <c r="AP224" s="17"/>
    </row>
    <row r="225" spans="1:42" x14ac:dyDescent="0.55000000000000004">
      <c r="A225" s="4" t="s">
        <v>229</v>
      </c>
      <c r="B225" s="5">
        <v>474484</v>
      </c>
      <c r="C225" s="5">
        <v>23315</v>
      </c>
      <c r="D225" s="5">
        <v>16944</v>
      </c>
      <c r="E225" s="5">
        <v>37982</v>
      </c>
      <c r="F225" s="5">
        <v>1919</v>
      </c>
      <c r="G225" s="5">
        <v>1772</v>
      </c>
      <c r="H225" s="5">
        <v>465905</v>
      </c>
      <c r="I225" s="5">
        <v>23292</v>
      </c>
      <c r="J225" s="5">
        <v>17958</v>
      </c>
      <c r="K225" s="14">
        <v>49.1</v>
      </c>
      <c r="L225" s="14">
        <v>35.700000000000003</v>
      </c>
      <c r="N225" s="5">
        <v>110144</v>
      </c>
      <c r="O225" s="5">
        <v>83682</v>
      </c>
      <c r="P225" s="5">
        <v>57093</v>
      </c>
      <c r="Q225" s="5">
        <v>72049</v>
      </c>
      <c r="R225" s="5">
        <v>140791</v>
      </c>
      <c r="S225" s="5">
        <v>11125</v>
      </c>
      <c r="T225" s="5"/>
      <c r="U225" s="5"/>
      <c r="V225" s="5"/>
      <c r="W225" s="5"/>
      <c r="X225" s="5"/>
      <c r="Y225" s="5"/>
      <c r="Z225" s="5"/>
      <c r="AA225" s="5"/>
      <c r="AB225" s="5"/>
      <c r="AD225" s="15">
        <f>SUM(N225:AB225)</f>
        <v>474884</v>
      </c>
      <c r="AE225" s="15">
        <f>SUM(N226:AB226)</f>
        <v>23315</v>
      </c>
      <c r="AF225" s="15">
        <f>SUM(N227:AB227)</f>
        <v>16944</v>
      </c>
      <c r="AH225" s="15">
        <f>AD225-B225</f>
        <v>400</v>
      </c>
      <c r="AI225" s="15">
        <f>AE225-C225</f>
        <v>0</v>
      </c>
      <c r="AJ225" s="15">
        <f>AF225-D225</f>
        <v>0</v>
      </c>
      <c r="AL225" s="17">
        <f>C225/B225*1000</f>
        <v>49.137589465608954</v>
      </c>
      <c r="AM225" s="17">
        <f>D225/B225*1000</f>
        <v>35.710371687981052</v>
      </c>
      <c r="AO225" s="17">
        <f>AL225-K225</f>
        <v>3.7589465608952821E-2</v>
      </c>
      <c r="AP225" s="17">
        <f>AM225-L225</f>
        <v>1.0371687981049149E-2</v>
      </c>
    </row>
    <row r="226" spans="1:42" x14ac:dyDescent="0.55000000000000004">
      <c r="A226" s="2" t="s">
        <v>230</v>
      </c>
      <c r="B226" s="3"/>
      <c r="C226" s="3"/>
      <c r="D226" s="3"/>
      <c r="E226" s="3"/>
      <c r="F226" s="3"/>
      <c r="G226" s="3"/>
      <c r="H226" s="3"/>
      <c r="I226" s="3"/>
      <c r="J226" s="3"/>
      <c r="K226" s="1"/>
      <c r="L226" s="1"/>
      <c r="N226" s="3">
        <v>3837</v>
      </c>
      <c r="O226" s="3">
        <v>4717</v>
      </c>
      <c r="P226" s="3">
        <v>3105</v>
      </c>
      <c r="Q226" s="3">
        <v>3689</v>
      </c>
      <c r="R226" s="3">
        <v>7742</v>
      </c>
      <c r="S226" s="3">
        <v>225</v>
      </c>
      <c r="T226" s="3"/>
      <c r="U226" s="3"/>
      <c r="V226" s="3"/>
      <c r="W226" s="3"/>
      <c r="X226" s="3"/>
      <c r="Y226" s="3"/>
      <c r="Z226" s="3"/>
      <c r="AA226" s="3"/>
      <c r="AB226" s="3"/>
    </row>
    <row r="227" spans="1:42" x14ac:dyDescent="0.55000000000000004">
      <c r="A227" s="2" t="s">
        <v>231</v>
      </c>
      <c r="B227" s="3"/>
      <c r="C227" s="3"/>
      <c r="D227" s="3"/>
      <c r="E227" s="3"/>
      <c r="F227" s="3"/>
      <c r="G227" s="3"/>
      <c r="H227" s="3"/>
      <c r="I227" s="3"/>
      <c r="J227" s="3"/>
      <c r="K227" s="1"/>
      <c r="L227" s="1"/>
      <c r="N227" s="3">
        <v>3185</v>
      </c>
      <c r="O227" s="3">
        <v>3170</v>
      </c>
      <c r="P227" s="3">
        <v>2305</v>
      </c>
      <c r="Q227" s="3">
        <v>3069</v>
      </c>
      <c r="R227" s="3">
        <v>5097</v>
      </c>
      <c r="S227" s="3">
        <v>118</v>
      </c>
      <c r="T227" s="3"/>
      <c r="U227" s="3"/>
      <c r="V227" s="3"/>
      <c r="W227" s="3"/>
      <c r="X227" s="3"/>
      <c r="Y227" s="3"/>
      <c r="Z227" s="3"/>
      <c r="AA227" s="3"/>
      <c r="AB227" s="3"/>
    </row>
    <row r="228" spans="1:42" x14ac:dyDescent="0.55000000000000004">
      <c r="A228" s="4" t="s">
        <v>232</v>
      </c>
      <c r="B228" s="5">
        <v>447842</v>
      </c>
      <c r="C228" s="5">
        <v>16384</v>
      </c>
      <c r="D228" s="5">
        <v>12612</v>
      </c>
      <c r="E228" s="9" t="s">
        <v>14</v>
      </c>
      <c r="F228" s="9" t="s">
        <v>14</v>
      </c>
      <c r="G228" s="9" t="s">
        <v>14</v>
      </c>
      <c r="H228" s="5">
        <v>545169</v>
      </c>
      <c r="I228" s="9" t="s">
        <v>14</v>
      </c>
      <c r="J228" s="9" t="s">
        <v>14</v>
      </c>
      <c r="K228" s="14">
        <v>36.6</v>
      </c>
      <c r="L228" s="14">
        <v>28.2</v>
      </c>
      <c r="N228" s="5">
        <v>114663</v>
      </c>
      <c r="O228" s="5">
        <v>27742</v>
      </c>
      <c r="P228" s="5">
        <v>20743</v>
      </c>
      <c r="Q228" s="5">
        <v>30233</v>
      </c>
      <c r="R228" s="5">
        <v>71617</v>
      </c>
      <c r="S228" s="5">
        <v>59686</v>
      </c>
      <c r="T228" s="5">
        <v>93405</v>
      </c>
      <c r="U228" s="5">
        <v>29753</v>
      </c>
      <c r="V228" s="5"/>
      <c r="W228" s="5"/>
      <c r="X228" s="5"/>
      <c r="Y228" s="5"/>
      <c r="Z228" s="5"/>
      <c r="AA228" s="5"/>
      <c r="AB228" s="5"/>
      <c r="AD228" s="15">
        <f>SUM(N228:AB228)</f>
        <v>447842</v>
      </c>
      <c r="AE228" s="15">
        <f>SUM(N229:AB229)</f>
        <v>16384</v>
      </c>
      <c r="AF228" s="15">
        <f>SUM(N230:AB230)</f>
        <v>12612</v>
      </c>
      <c r="AH228" s="15">
        <f>AD228-B228</f>
        <v>0</v>
      </c>
      <c r="AI228" s="15">
        <f>AE228-C228</f>
        <v>0</v>
      </c>
      <c r="AJ228" s="15">
        <f>AF228-D228</f>
        <v>0</v>
      </c>
      <c r="AL228" s="17">
        <f>C228/B228*1000</f>
        <v>36.584331081050905</v>
      </c>
      <c r="AM228" s="17">
        <f>D228/B228*1000</f>
        <v>28.161717748670288</v>
      </c>
      <c r="AO228" s="17">
        <f>AL228-K228</f>
        <v>-1.5668918949096167E-2</v>
      </c>
      <c r="AP228" s="17">
        <f>AM228-L228</f>
        <v>-3.8282251329711414E-2</v>
      </c>
    </row>
    <row r="229" spans="1:42" x14ac:dyDescent="0.55000000000000004">
      <c r="A229" s="2" t="s">
        <v>233</v>
      </c>
      <c r="B229" s="3"/>
      <c r="C229" s="3"/>
      <c r="D229" s="3"/>
      <c r="E229" s="3"/>
      <c r="F229" s="3"/>
      <c r="G229" s="3"/>
      <c r="H229" s="3"/>
      <c r="I229" s="3"/>
      <c r="J229" s="3"/>
      <c r="K229" s="1"/>
      <c r="L229" s="1"/>
      <c r="N229" s="3">
        <v>3657</v>
      </c>
      <c r="O229" s="3">
        <v>999</v>
      </c>
      <c r="P229" s="3">
        <v>596</v>
      </c>
      <c r="Q229" s="3">
        <v>1017</v>
      </c>
      <c r="R229" s="3">
        <v>3579</v>
      </c>
      <c r="S229" s="3">
        <v>2592</v>
      </c>
      <c r="T229" s="3">
        <v>2913</v>
      </c>
      <c r="U229" s="3">
        <v>1031</v>
      </c>
      <c r="V229" s="3"/>
      <c r="W229" s="3"/>
      <c r="X229" s="3"/>
      <c r="Y229" s="3"/>
      <c r="Z229" s="3"/>
      <c r="AA229" s="3"/>
      <c r="AB229" s="3"/>
    </row>
    <row r="230" spans="1:42" x14ac:dyDescent="0.55000000000000004">
      <c r="A230" s="2" t="s">
        <v>234</v>
      </c>
      <c r="B230" s="3"/>
      <c r="C230" s="3"/>
      <c r="D230" s="3"/>
      <c r="E230" s="3"/>
      <c r="F230" s="3"/>
      <c r="G230" s="3"/>
      <c r="H230" s="3"/>
      <c r="I230" s="3"/>
      <c r="J230" s="3"/>
      <c r="K230" s="1"/>
      <c r="L230" s="1"/>
      <c r="N230" s="3">
        <v>2386</v>
      </c>
      <c r="O230" s="3">
        <v>679</v>
      </c>
      <c r="P230" s="3">
        <v>591</v>
      </c>
      <c r="Q230" s="3">
        <v>868</v>
      </c>
      <c r="R230" s="3">
        <v>3044</v>
      </c>
      <c r="S230" s="3">
        <v>2385</v>
      </c>
      <c r="T230" s="3">
        <v>1956</v>
      </c>
      <c r="U230" s="3">
        <v>703</v>
      </c>
      <c r="V230" s="3"/>
      <c r="W230" s="3"/>
      <c r="X230" s="3"/>
      <c r="Y230" s="3"/>
      <c r="Z230" s="3"/>
      <c r="AA230" s="3"/>
      <c r="AB230" s="3"/>
    </row>
    <row r="231" spans="1:42" x14ac:dyDescent="0.55000000000000004">
      <c r="A231" s="4" t="s">
        <v>235</v>
      </c>
      <c r="B231" s="5">
        <v>433676</v>
      </c>
      <c r="C231" s="5">
        <v>21094</v>
      </c>
      <c r="D231" s="5">
        <v>16220</v>
      </c>
      <c r="E231" s="5">
        <v>55246</v>
      </c>
      <c r="F231" s="5">
        <v>2179</v>
      </c>
      <c r="G231" s="5">
        <v>2072</v>
      </c>
      <c r="H231" s="5">
        <v>424981</v>
      </c>
      <c r="I231" s="5">
        <v>20018</v>
      </c>
      <c r="J231" s="5">
        <v>17499</v>
      </c>
      <c r="K231" s="14">
        <v>48.6</v>
      </c>
      <c r="L231" s="14">
        <v>37.4</v>
      </c>
      <c r="N231" s="5">
        <v>147436</v>
      </c>
      <c r="O231" s="5">
        <v>126999</v>
      </c>
      <c r="P231" s="5">
        <v>60084</v>
      </c>
      <c r="Q231" s="5">
        <v>45534</v>
      </c>
      <c r="R231" s="5">
        <v>53623</v>
      </c>
      <c r="S231" s="5"/>
      <c r="T231" s="5"/>
      <c r="U231" s="5"/>
      <c r="V231" s="5"/>
      <c r="W231" s="5"/>
      <c r="X231" s="5"/>
      <c r="Y231" s="5"/>
      <c r="Z231" s="5"/>
      <c r="AA231" s="5"/>
      <c r="AB231" s="5"/>
      <c r="AD231" s="15">
        <f>SUM(N231:AB231)</f>
        <v>433676</v>
      </c>
      <c r="AE231" s="15">
        <f>SUM(N232:AB232)</f>
        <v>21094</v>
      </c>
      <c r="AF231" s="15">
        <f>SUM(N233:AB233)</f>
        <v>16220</v>
      </c>
      <c r="AH231" s="15">
        <f>AD231-B231</f>
        <v>0</v>
      </c>
      <c r="AI231" s="15">
        <f>AE231-C231</f>
        <v>0</v>
      </c>
      <c r="AJ231" s="15">
        <f>AF231-D231</f>
        <v>0</v>
      </c>
      <c r="AL231" s="17">
        <f>C231/B231*1000</f>
        <v>48.639998524243907</v>
      </c>
      <c r="AM231" s="17">
        <f>D231/B231*1000</f>
        <v>37.401193517741355</v>
      </c>
      <c r="AO231" s="17">
        <f>AL231-K231</f>
        <v>3.999852424390582E-2</v>
      </c>
      <c r="AP231" s="17">
        <f>AM231-L231</f>
        <v>1.1935177413562315E-3</v>
      </c>
    </row>
    <row r="232" spans="1:42" x14ac:dyDescent="0.55000000000000004">
      <c r="A232" s="2" t="s">
        <v>236</v>
      </c>
      <c r="B232" s="3"/>
      <c r="C232" s="3"/>
      <c r="D232" s="3"/>
      <c r="E232" s="3"/>
      <c r="F232" s="3"/>
      <c r="G232" s="3"/>
      <c r="H232" s="3"/>
      <c r="I232" s="3"/>
      <c r="J232" s="3"/>
      <c r="K232" s="1"/>
      <c r="L232" s="1"/>
      <c r="N232" s="3">
        <v>6190</v>
      </c>
      <c r="O232" s="3">
        <v>5946</v>
      </c>
      <c r="P232" s="3">
        <v>3133</v>
      </c>
      <c r="Q232" s="3">
        <v>2515</v>
      </c>
      <c r="R232" s="3">
        <v>3310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42" x14ac:dyDescent="0.55000000000000004">
      <c r="A233" s="2" t="s">
        <v>237</v>
      </c>
      <c r="B233" s="3"/>
      <c r="C233" s="3"/>
      <c r="D233" s="3"/>
      <c r="E233" s="3"/>
      <c r="F233" s="3"/>
      <c r="G233" s="3"/>
      <c r="H233" s="3"/>
      <c r="I233" s="3"/>
      <c r="J233" s="3"/>
      <c r="K233" s="1"/>
      <c r="L233" s="1"/>
      <c r="N233" s="3">
        <v>5204</v>
      </c>
      <c r="O233" s="3">
        <v>4558</v>
      </c>
      <c r="P233" s="3">
        <v>2381</v>
      </c>
      <c r="Q233" s="3">
        <v>1700</v>
      </c>
      <c r="R233" s="3">
        <v>2377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42" x14ac:dyDescent="0.55000000000000004">
      <c r="A234" s="4" t="s">
        <v>238</v>
      </c>
      <c r="B234" s="5">
        <v>102786</v>
      </c>
      <c r="C234" s="5">
        <v>3519</v>
      </c>
      <c r="D234" s="5">
        <v>2249</v>
      </c>
      <c r="E234" s="9" t="s">
        <v>14</v>
      </c>
      <c r="F234" s="9" t="s">
        <v>14</v>
      </c>
      <c r="G234" s="9" t="s">
        <v>14</v>
      </c>
      <c r="H234" s="5">
        <v>102893</v>
      </c>
      <c r="I234" s="9" t="s">
        <v>14</v>
      </c>
      <c r="J234" s="9" t="s">
        <v>14</v>
      </c>
      <c r="K234" s="14">
        <v>34.1</v>
      </c>
      <c r="L234" s="14">
        <v>21.8</v>
      </c>
      <c r="N234" s="9" t="s">
        <v>14</v>
      </c>
      <c r="O234" s="9" t="s">
        <v>14</v>
      </c>
      <c r="P234" s="9" t="s">
        <v>14</v>
      </c>
      <c r="Q234" s="9" t="s">
        <v>14</v>
      </c>
      <c r="R234" s="9" t="s">
        <v>14</v>
      </c>
      <c r="S234" s="9" t="s">
        <v>14</v>
      </c>
      <c r="T234" s="5"/>
      <c r="U234" s="5"/>
      <c r="V234" s="5"/>
      <c r="W234" s="5"/>
      <c r="X234" s="5"/>
      <c r="Y234" s="5"/>
      <c r="Z234" s="5"/>
      <c r="AA234" s="5"/>
      <c r="AB234" s="5"/>
      <c r="AD234" s="15">
        <f>B234</f>
        <v>102786</v>
      </c>
      <c r="AE234" s="15">
        <f>SUM(N235:AB235)</f>
        <v>3419</v>
      </c>
      <c r="AF234" s="15">
        <f>SUM(N236:AB236)</f>
        <v>2249</v>
      </c>
      <c r="AH234" s="15">
        <f>AD234-B234</f>
        <v>0</v>
      </c>
      <c r="AI234" s="15">
        <f>AE234-C234</f>
        <v>-100</v>
      </c>
      <c r="AJ234" s="15">
        <f>AF234-D234</f>
        <v>0</v>
      </c>
      <c r="AL234" s="17">
        <f>C234/B234*1000</f>
        <v>34.236180024516955</v>
      </c>
      <c r="AM234" s="17">
        <f>D234/B234*1000</f>
        <v>21.880411729223823</v>
      </c>
      <c r="AO234" s="17">
        <f>AL234-K234</f>
        <v>0.13618002451695332</v>
      </c>
      <c r="AP234" s="17">
        <f>AM234-L234</f>
        <v>8.0411729223822448E-2</v>
      </c>
    </row>
    <row r="235" spans="1:42" x14ac:dyDescent="0.55000000000000004">
      <c r="A235" s="2" t="s">
        <v>239</v>
      </c>
      <c r="B235" s="3"/>
      <c r="C235" s="3"/>
      <c r="D235" s="3"/>
      <c r="E235" s="3"/>
      <c r="F235" s="3"/>
      <c r="G235" s="3"/>
      <c r="H235" s="3"/>
      <c r="I235" s="3"/>
      <c r="J235" s="3"/>
      <c r="K235" s="1"/>
      <c r="L235" s="1"/>
      <c r="N235" s="3">
        <v>547</v>
      </c>
      <c r="O235" s="3">
        <v>76</v>
      </c>
      <c r="P235" s="3">
        <v>496</v>
      </c>
      <c r="Q235" s="3">
        <v>627</v>
      </c>
      <c r="R235" s="3">
        <v>228</v>
      </c>
      <c r="S235" s="3">
        <v>1445</v>
      </c>
      <c r="T235" s="3"/>
      <c r="U235" s="3"/>
      <c r="V235" s="3"/>
      <c r="W235" s="3"/>
      <c r="X235" s="3"/>
      <c r="Y235" s="3"/>
      <c r="Z235" s="3"/>
      <c r="AA235" s="3"/>
      <c r="AB235" s="3"/>
    </row>
    <row r="236" spans="1:42" x14ac:dyDescent="0.55000000000000004">
      <c r="A236" s="2" t="s">
        <v>240</v>
      </c>
      <c r="B236" s="3"/>
      <c r="C236" s="3"/>
      <c r="D236" s="3"/>
      <c r="E236" s="3"/>
      <c r="F236" s="3"/>
      <c r="G236" s="3"/>
      <c r="H236" s="3"/>
      <c r="I236" s="3"/>
      <c r="J236" s="3"/>
      <c r="K236" s="1"/>
      <c r="L236" s="1"/>
      <c r="N236" s="3">
        <v>232</v>
      </c>
      <c r="O236" s="3">
        <v>44</v>
      </c>
      <c r="P236" s="3">
        <v>444</v>
      </c>
      <c r="Q236" s="3">
        <v>495</v>
      </c>
      <c r="R236" s="3">
        <v>113</v>
      </c>
      <c r="S236" s="3">
        <v>921</v>
      </c>
      <c r="T236" s="3"/>
      <c r="U236" s="3"/>
      <c r="V236" s="3"/>
      <c r="W236" s="3"/>
      <c r="X236" s="3"/>
      <c r="Y236" s="3"/>
      <c r="Z236" s="3"/>
      <c r="AA236" s="3"/>
      <c r="AB236" s="3"/>
    </row>
    <row r="237" spans="1:42" x14ac:dyDescent="0.55000000000000004">
      <c r="A237" s="4" t="s">
        <v>241</v>
      </c>
      <c r="B237" s="5">
        <v>1408987</v>
      </c>
      <c r="C237" s="5">
        <v>71973</v>
      </c>
      <c r="D237" s="5">
        <v>59180</v>
      </c>
      <c r="E237" s="5">
        <v>98235</v>
      </c>
      <c r="F237" s="5">
        <v>2636</v>
      </c>
      <c r="G237" s="5">
        <v>2938</v>
      </c>
      <c r="H237" s="5">
        <v>1385655</v>
      </c>
      <c r="I237" s="5">
        <v>73261</v>
      </c>
      <c r="J237" s="5">
        <v>61988</v>
      </c>
      <c r="K237" s="14">
        <v>51.1</v>
      </c>
      <c r="L237" s="14">
        <v>42</v>
      </c>
      <c r="N237" s="5">
        <v>126741</v>
      </c>
      <c r="O237" s="5">
        <v>33153</v>
      </c>
      <c r="P237" s="5">
        <v>271340</v>
      </c>
      <c r="Q237" s="5">
        <v>263866</v>
      </c>
      <c r="R237" s="5">
        <v>9254</v>
      </c>
      <c r="S237" s="5">
        <v>151173</v>
      </c>
      <c r="T237" s="5">
        <v>72275</v>
      </c>
      <c r="U237" s="5">
        <v>159407</v>
      </c>
      <c r="V237" s="5">
        <v>121110</v>
      </c>
      <c r="W237" s="5">
        <v>200668</v>
      </c>
      <c r="X237" s="5"/>
      <c r="Y237" s="5"/>
      <c r="Z237" s="5"/>
      <c r="AA237" s="5"/>
      <c r="AB237" s="5"/>
      <c r="AD237" s="15">
        <f>SUM(N237:AB237)</f>
        <v>1408987</v>
      </c>
      <c r="AE237" s="15">
        <f>SUM(N238:AB238)</f>
        <v>71973</v>
      </c>
      <c r="AF237" s="15">
        <f>SUM(N239:AB239)</f>
        <v>59180</v>
      </c>
      <c r="AH237" s="15">
        <f>AD237-B237</f>
        <v>0</v>
      </c>
      <c r="AI237" s="15">
        <f>AE237-C237</f>
        <v>0</v>
      </c>
      <c r="AJ237" s="15">
        <f>AF237-D237</f>
        <v>0</v>
      </c>
      <c r="AL237" s="17">
        <f>C237/B237*1000</f>
        <v>51.081379743035249</v>
      </c>
      <c r="AM237" s="17">
        <f>D237/B237*1000</f>
        <v>42.001806971959283</v>
      </c>
      <c r="AO237" s="17">
        <f>AL237-K237</f>
        <v>-1.8620256964752002E-2</v>
      </c>
      <c r="AP237" s="17">
        <f>AM237-L237</f>
        <v>1.8069719592830324E-3</v>
      </c>
    </row>
    <row r="238" spans="1:42" x14ac:dyDescent="0.55000000000000004">
      <c r="A238" s="2" t="s">
        <v>242</v>
      </c>
      <c r="B238" s="3"/>
      <c r="C238" s="3"/>
      <c r="D238" s="3"/>
      <c r="E238" s="3"/>
      <c r="F238" s="3"/>
      <c r="G238" s="3"/>
      <c r="H238" s="3"/>
      <c r="I238" s="3"/>
      <c r="J238" s="3"/>
      <c r="K238" s="1"/>
      <c r="L238" s="1"/>
      <c r="N238" s="3">
        <v>6214</v>
      </c>
      <c r="O238" s="3">
        <v>1293</v>
      </c>
      <c r="P238" s="3">
        <v>15832</v>
      </c>
      <c r="Q238" s="3">
        <v>14880</v>
      </c>
      <c r="R238" s="3">
        <v>300</v>
      </c>
      <c r="S238" s="3">
        <v>6995</v>
      </c>
      <c r="T238" s="3">
        <v>3753</v>
      </c>
      <c r="U238" s="3">
        <v>7661</v>
      </c>
      <c r="V238" s="3">
        <v>4772</v>
      </c>
      <c r="W238" s="3">
        <v>10273</v>
      </c>
      <c r="X238" s="3"/>
      <c r="Y238" s="3"/>
      <c r="Z238" s="3"/>
      <c r="AA238" s="3"/>
      <c r="AB238" s="3"/>
    </row>
    <row r="239" spans="1:42" x14ac:dyDescent="0.55000000000000004">
      <c r="A239" s="2" t="s">
        <v>243</v>
      </c>
      <c r="B239" s="3"/>
      <c r="C239" s="3"/>
      <c r="D239" s="3"/>
      <c r="E239" s="3"/>
      <c r="F239" s="3"/>
      <c r="G239" s="3"/>
      <c r="H239" s="3"/>
      <c r="I239" s="3"/>
      <c r="J239" s="3"/>
      <c r="K239" s="1"/>
      <c r="L239" s="1"/>
      <c r="N239" s="3">
        <v>5866</v>
      </c>
      <c r="O239" s="3">
        <v>844</v>
      </c>
      <c r="P239" s="3">
        <v>13806</v>
      </c>
      <c r="Q239" s="3">
        <v>13173</v>
      </c>
      <c r="R239" s="3">
        <v>242</v>
      </c>
      <c r="S239" s="3">
        <v>5288</v>
      </c>
      <c r="T239" s="3">
        <v>2940</v>
      </c>
      <c r="U239" s="3">
        <v>4782</v>
      </c>
      <c r="V239" s="3">
        <v>4089</v>
      </c>
      <c r="W239" s="3">
        <v>8150</v>
      </c>
      <c r="X239" s="3"/>
      <c r="Y239" s="3"/>
      <c r="Z239" s="3"/>
      <c r="AA239" s="3"/>
      <c r="AB239" s="3"/>
    </row>
    <row r="240" spans="1:42" x14ac:dyDescent="0.55000000000000004">
      <c r="A240" s="4" t="s">
        <v>244</v>
      </c>
      <c r="B240" s="5">
        <v>1393569</v>
      </c>
      <c r="C240" s="5">
        <v>62348</v>
      </c>
      <c r="D240" s="5">
        <v>35858</v>
      </c>
      <c r="E240" s="9" t="s">
        <v>14</v>
      </c>
      <c r="F240" s="5">
        <v>5162</v>
      </c>
      <c r="G240" s="5">
        <v>4896</v>
      </c>
      <c r="H240" s="5">
        <v>1297612</v>
      </c>
      <c r="I240" s="5">
        <v>64005</v>
      </c>
      <c r="J240" s="5">
        <v>34857</v>
      </c>
      <c r="K240" s="14">
        <v>44.7</v>
      </c>
      <c r="L240" s="14">
        <v>25.7</v>
      </c>
      <c r="N240" s="9" t="s">
        <v>14</v>
      </c>
      <c r="O240" s="9" t="s">
        <v>14</v>
      </c>
      <c r="P240" s="9" t="s">
        <v>14</v>
      </c>
      <c r="Q240" s="9" t="s">
        <v>14</v>
      </c>
      <c r="R240" s="9" t="s">
        <v>14</v>
      </c>
      <c r="S240" s="9" t="s">
        <v>14</v>
      </c>
      <c r="T240" s="5"/>
      <c r="U240" s="5"/>
      <c r="V240" s="5"/>
      <c r="W240" s="5"/>
      <c r="X240" s="5"/>
      <c r="Y240" s="5"/>
      <c r="Z240" s="5"/>
      <c r="AA240" s="5"/>
      <c r="AB240" s="5"/>
      <c r="AD240" s="15">
        <f>B240</f>
        <v>1393569</v>
      </c>
      <c r="AE240" s="15">
        <f>SUM(N241:AB241)</f>
        <v>62348</v>
      </c>
      <c r="AF240" s="15">
        <f>SUM(N242:AB242)</f>
        <v>35858</v>
      </c>
      <c r="AH240" s="15">
        <f>AD240-B240</f>
        <v>0</v>
      </c>
      <c r="AI240" s="15">
        <f>AE240-C240</f>
        <v>0</v>
      </c>
      <c r="AJ240" s="15">
        <f>AF240-D240</f>
        <v>0</v>
      </c>
      <c r="AL240" s="17">
        <f>C240/B240*1000</f>
        <v>44.739801186737076</v>
      </c>
      <c r="AM240" s="17">
        <f>D240/B240*1000</f>
        <v>25.731054580002855</v>
      </c>
      <c r="AO240" s="17">
        <f>AL240-K240</f>
        <v>3.9801186737072669E-2</v>
      </c>
      <c r="AP240" s="17">
        <f>AM240-L240</f>
        <v>3.1054580002855658E-2</v>
      </c>
    </row>
    <row r="241" spans="1:42" x14ac:dyDescent="0.55000000000000004">
      <c r="A241" s="2" t="s">
        <v>245</v>
      </c>
      <c r="B241" s="3"/>
      <c r="C241" s="3"/>
      <c r="D241" s="3"/>
      <c r="E241" s="3"/>
      <c r="F241" s="3"/>
      <c r="G241" s="3"/>
      <c r="H241" s="3"/>
      <c r="I241" s="3"/>
      <c r="J241" s="3"/>
      <c r="K241" s="1"/>
      <c r="L241" s="1"/>
      <c r="N241" s="3">
        <v>11309</v>
      </c>
      <c r="O241" s="3">
        <v>17664</v>
      </c>
      <c r="P241" s="3">
        <v>13818</v>
      </c>
      <c r="Q241" s="3">
        <v>6715</v>
      </c>
      <c r="R241" s="3">
        <v>6594</v>
      </c>
      <c r="S241" s="3">
        <v>6248</v>
      </c>
      <c r="T241" s="3"/>
      <c r="U241" s="3"/>
      <c r="V241" s="3"/>
      <c r="W241" s="3"/>
      <c r="X241" s="3"/>
      <c r="Y241" s="3"/>
      <c r="Z241" s="3"/>
      <c r="AA241" s="3"/>
      <c r="AB241" s="3"/>
    </row>
    <row r="242" spans="1:42" x14ac:dyDescent="0.55000000000000004">
      <c r="A242" s="2" t="s">
        <v>246</v>
      </c>
      <c r="B242" s="3"/>
      <c r="C242" s="3"/>
      <c r="D242" s="3"/>
      <c r="E242" s="3"/>
      <c r="F242" s="3"/>
      <c r="G242" s="3"/>
      <c r="H242" s="3"/>
      <c r="I242" s="3"/>
      <c r="J242" s="3"/>
      <c r="K242" s="1"/>
      <c r="L242" s="1"/>
      <c r="N242" s="3">
        <v>8433</v>
      </c>
      <c r="O242" s="3">
        <v>8247</v>
      </c>
      <c r="P242" s="3">
        <v>7134</v>
      </c>
      <c r="Q242" s="3">
        <v>4232</v>
      </c>
      <c r="R242" s="3">
        <v>3095</v>
      </c>
      <c r="S242" s="3">
        <v>4717</v>
      </c>
      <c r="T242" s="3"/>
      <c r="U242" s="3"/>
      <c r="V242" s="3"/>
      <c r="W242" s="3"/>
      <c r="X242" s="3"/>
      <c r="Y242" s="3"/>
      <c r="Z242" s="3"/>
      <c r="AA242" s="3"/>
      <c r="AB242" s="3"/>
    </row>
    <row r="243" spans="1:42" x14ac:dyDescent="0.55000000000000004">
      <c r="A243" s="4" t="s">
        <v>247</v>
      </c>
      <c r="B243" s="5">
        <v>254494</v>
      </c>
      <c r="C243" s="5">
        <v>7823</v>
      </c>
      <c r="D243" s="5">
        <v>8613</v>
      </c>
      <c r="E243" s="5">
        <v>8324</v>
      </c>
      <c r="F243" s="5">
        <v>228</v>
      </c>
      <c r="G243" s="5">
        <v>195</v>
      </c>
      <c r="H243" s="5">
        <v>256244</v>
      </c>
      <c r="I243" s="5">
        <v>6475</v>
      </c>
      <c r="J243" s="5">
        <v>5393</v>
      </c>
      <c r="K243" s="14">
        <v>30.8</v>
      </c>
      <c r="L243" s="14">
        <v>33.9</v>
      </c>
      <c r="N243" s="5">
        <v>148842</v>
      </c>
      <c r="O243" s="5">
        <v>12931</v>
      </c>
      <c r="P243" s="5">
        <v>71895</v>
      </c>
      <c r="Q243" s="5">
        <v>6060</v>
      </c>
      <c r="R243" s="5">
        <v>14766</v>
      </c>
      <c r="S243" s="5"/>
      <c r="T243" s="5"/>
      <c r="U243" s="5"/>
      <c r="V243" s="5"/>
      <c r="W243" s="5"/>
      <c r="X243" s="5"/>
      <c r="Y243" s="5"/>
      <c r="Z243" s="5"/>
      <c r="AA243" s="5"/>
      <c r="AB243" s="5"/>
      <c r="AD243" s="15">
        <f>SUM(N243:AB243)</f>
        <v>254494</v>
      </c>
      <c r="AE243" s="15">
        <f>SUM(N244:AB244)</f>
        <v>7823</v>
      </c>
      <c r="AF243" s="15">
        <f>SUM(N245:AB245)</f>
        <v>8613</v>
      </c>
      <c r="AH243" s="15">
        <f>AD243-B243</f>
        <v>0</v>
      </c>
      <c r="AI243" s="15">
        <f>AE243-C243</f>
        <v>0</v>
      </c>
      <c r="AJ243" s="15">
        <f>AF243-D243</f>
        <v>0</v>
      </c>
      <c r="AL243" s="17">
        <f>C243/B243*1000</f>
        <v>30.739428041525535</v>
      </c>
      <c r="AM243" s="17">
        <f>D243/B243*1000</f>
        <v>33.843626961735836</v>
      </c>
      <c r="AO243" s="17">
        <f>AL243-K243</f>
        <v>-6.0571958474465504E-2</v>
      </c>
      <c r="AP243" s="17">
        <f>AM243-L243</f>
        <v>-5.637303826416229E-2</v>
      </c>
    </row>
    <row r="244" spans="1:42" x14ac:dyDescent="0.55000000000000004">
      <c r="A244" s="2" t="s">
        <v>248</v>
      </c>
      <c r="B244" s="3"/>
      <c r="C244" s="3"/>
      <c r="D244" s="3"/>
      <c r="E244" s="3"/>
      <c r="F244" s="3"/>
      <c r="G244" s="3"/>
      <c r="H244" s="3"/>
      <c r="I244" s="3"/>
      <c r="J244" s="3"/>
      <c r="K244" s="1"/>
      <c r="L244" s="1"/>
      <c r="N244" s="3">
        <v>4564</v>
      </c>
      <c r="O244" s="3">
        <v>373</v>
      </c>
      <c r="P244" s="3">
        <v>2146</v>
      </c>
      <c r="Q244" s="3">
        <v>194</v>
      </c>
      <c r="R244" s="3">
        <v>546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42" x14ac:dyDescent="0.55000000000000004">
      <c r="A245" s="2" t="s">
        <v>249</v>
      </c>
      <c r="B245" s="3"/>
      <c r="C245" s="3"/>
      <c r="D245" s="3"/>
      <c r="E245" s="3"/>
      <c r="F245" s="3"/>
      <c r="G245" s="3"/>
      <c r="H245" s="3"/>
      <c r="I245" s="3"/>
      <c r="J245" s="3"/>
      <c r="K245" s="1"/>
      <c r="L245" s="1"/>
      <c r="N245" s="3">
        <v>5768</v>
      </c>
      <c r="O245" s="3">
        <v>345</v>
      </c>
      <c r="P245" s="3">
        <v>1484</v>
      </c>
      <c r="Q245" s="3">
        <v>456</v>
      </c>
      <c r="R245" s="3">
        <v>560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42" x14ac:dyDescent="0.55000000000000004">
      <c r="A246" s="4" t="s">
        <v>250</v>
      </c>
      <c r="B246" s="5">
        <v>15383</v>
      </c>
      <c r="C246" s="5">
        <v>314</v>
      </c>
      <c r="D246" s="5">
        <v>289</v>
      </c>
      <c r="E246" s="9" t="s">
        <v>14</v>
      </c>
      <c r="F246" s="9" t="s">
        <v>14</v>
      </c>
      <c r="G246" s="9" t="s">
        <v>14</v>
      </c>
      <c r="H246" s="5">
        <v>15179</v>
      </c>
      <c r="I246" s="5">
        <v>377</v>
      </c>
      <c r="J246" s="5">
        <v>216</v>
      </c>
      <c r="K246" s="14">
        <v>21</v>
      </c>
      <c r="L246" s="14">
        <v>19.3</v>
      </c>
      <c r="N246" s="5">
        <v>6841</v>
      </c>
      <c r="O246" s="5">
        <v>2932</v>
      </c>
      <c r="P246" s="5">
        <v>5610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D246" s="15">
        <f>SUM(N246:AB246)</f>
        <v>15383</v>
      </c>
      <c r="AE246" s="15">
        <f>SUM(N247:AB247)</f>
        <v>314</v>
      </c>
      <c r="AF246" s="15">
        <f>SUM(N248:AB248)</f>
        <v>289</v>
      </c>
      <c r="AH246" s="15">
        <f>AD246-B246</f>
        <v>0</v>
      </c>
      <c r="AI246" s="15">
        <f>AE246-C246</f>
        <v>0</v>
      </c>
      <c r="AJ246" s="15">
        <f>AF246-D246</f>
        <v>0</v>
      </c>
      <c r="AL246" s="17">
        <f>C246/B246*1000</f>
        <v>20.412143275043881</v>
      </c>
      <c r="AM246" s="17">
        <f>D246/B246*1000</f>
        <v>18.786972632126375</v>
      </c>
      <c r="AO246" s="17">
        <f>AL246-K246</f>
        <v>-0.58785672495611863</v>
      </c>
      <c r="AP246" s="17">
        <f>AM246-L246</f>
        <v>-0.51302736787362591</v>
      </c>
    </row>
    <row r="247" spans="1:42" x14ac:dyDescent="0.55000000000000004">
      <c r="A247" s="2" t="s">
        <v>251</v>
      </c>
      <c r="B247" s="3"/>
      <c r="C247" s="3"/>
      <c r="D247" s="3"/>
      <c r="E247" s="3"/>
      <c r="F247" s="3"/>
      <c r="G247" s="3"/>
      <c r="H247" s="3"/>
      <c r="I247" s="3"/>
      <c r="J247" s="3"/>
      <c r="K247" s="1"/>
      <c r="L247" s="1"/>
      <c r="N247" s="3">
        <v>102</v>
      </c>
      <c r="O247" s="3">
        <v>71</v>
      </c>
      <c r="P247" s="3">
        <v>141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42" x14ac:dyDescent="0.55000000000000004">
      <c r="A248" s="2" t="s">
        <v>252</v>
      </c>
      <c r="B248" s="3"/>
      <c r="C248" s="3"/>
      <c r="D248" s="3"/>
      <c r="E248" s="3"/>
      <c r="F248" s="3"/>
      <c r="G248" s="3"/>
      <c r="H248" s="3"/>
      <c r="I248" s="3"/>
      <c r="J248" s="3"/>
      <c r="K248" s="1"/>
      <c r="L248" s="1"/>
      <c r="N248" s="3">
        <v>132</v>
      </c>
      <c r="O248" s="3">
        <v>47</v>
      </c>
      <c r="P248" s="3">
        <v>110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42" x14ac:dyDescent="0.55000000000000004">
      <c r="A249" s="7" t="s">
        <v>253</v>
      </c>
      <c r="B249" s="8">
        <v>4594842</v>
      </c>
      <c r="C249" s="8">
        <v>206770</v>
      </c>
      <c r="D249" s="8">
        <v>151965</v>
      </c>
      <c r="E249" s="8"/>
      <c r="F249" s="8"/>
      <c r="G249" s="8"/>
      <c r="H249" s="8">
        <v>4551583</v>
      </c>
      <c r="I249" s="8">
        <v>199597</v>
      </c>
      <c r="J249" s="8">
        <v>146056</v>
      </c>
      <c r="K249" s="10">
        <v>45.6</v>
      </c>
      <c r="L249" s="10">
        <v>33.5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D249" s="23">
        <f>SUM(AD224:AD248)</f>
        <v>4594842</v>
      </c>
      <c r="AE249" s="23">
        <f>SUM(AE224:AE248)</f>
        <v>206670</v>
      </c>
      <c r="AF249" s="23">
        <f>SUM(AF224:AF248)</f>
        <v>151965</v>
      </c>
      <c r="AH249" s="23">
        <f t="shared" ref="AH249:AJ250" si="7">AD249-B249</f>
        <v>0</v>
      </c>
      <c r="AI249" s="23">
        <f t="shared" si="7"/>
        <v>-100</v>
      </c>
      <c r="AJ249" s="23">
        <f t="shared" si="7"/>
        <v>0</v>
      </c>
      <c r="AL249" s="24">
        <f>C249/B249*1000</f>
        <v>45.00045921056698</v>
      </c>
      <c r="AM249" s="24">
        <f>D249/B249*1000</f>
        <v>33.072954412795909</v>
      </c>
      <c r="AO249" s="24">
        <f>AL249-K249</f>
        <v>-0.59954078943302136</v>
      </c>
      <c r="AP249" s="24">
        <f>AM249-L249</f>
        <v>-0.42704558720409125</v>
      </c>
    </row>
    <row r="250" spans="1:42" x14ac:dyDescent="0.55000000000000004">
      <c r="A250" s="4" t="s">
        <v>254</v>
      </c>
      <c r="B250" s="5">
        <v>500174</v>
      </c>
      <c r="C250" s="5">
        <v>15866</v>
      </c>
      <c r="D250" s="5">
        <v>11265</v>
      </c>
      <c r="E250" s="9" t="s">
        <v>14</v>
      </c>
      <c r="F250" s="9" t="s">
        <v>14</v>
      </c>
      <c r="G250" s="9" t="s">
        <v>14</v>
      </c>
      <c r="H250" s="5">
        <v>483350</v>
      </c>
      <c r="I250" s="5">
        <v>14214</v>
      </c>
      <c r="J250" s="5">
        <v>9673</v>
      </c>
      <c r="K250" s="14">
        <v>31.7</v>
      </c>
      <c r="L250" s="14">
        <v>22.5</v>
      </c>
      <c r="N250" s="5">
        <v>88613</v>
      </c>
      <c r="O250" s="5">
        <v>132895</v>
      </c>
      <c r="P250" s="5">
        <v>68908</v>
      </c>
      <c r="Q250" s="5">
        <v>98829</v>
      </c>
      <c r="R250" s="5">
        <v>110929</v>
      </c>
      <c r="S250" s="5"/>
      <c r="T250" s="5"/>
      <c r="U250" s="5"/>
      <c r="V250" s="5"/>
      <c r="W250" s="5"/>
      <c r="X250" s="5"/>
      <c r="Y250" s="5"/>
      <c r="Z250" s="5"/>
      <c r="AA250" s="5"/>
      <c r="AB250" s="5"/>
      <c r="AD250" s="15">
        <f>SUM(N250:AB250)</f>
        <v>500174</v>
      </c>
      <c r="AE250" s="15">
        <f>SUM(N251:AB251)</f>
        <v>15866</v>
      </c>
      <c r="AF250" s="15">
        <f>SUM(N252:AB252)</f>
        <v>11265</v>
      </c>
      <c r="AH250" s="15">
        <f t="shared" si="7"/>
        <v>0</v>
      </c>
      <c r="AI250" s="15">
        <f t="shared" si="7"/>
        <v>0</v>
      </c>
      <c r="AJ250" s="15">
        <f t="shared" si="7"/>
        <v>0</v>
      </c>
      <c r="AL250" s="17">
        <f>C250/B250*1000</f>
        <v>31.720961105535274</v>
      </c>
      <c r="AM250" s="17">
        <f>D250/B250*1000</f>
        <v>22.52216228752394</v>
      </c>
      <c r="AO250" s="17">
        <f>AL250-K250</f>
        <v>2.0961105535274527E-2</v>
      </c>
      <c r="AP250" s="17">
        <f>AM250-L250</f>
        <v>2.2162287523940449E-2</v>
      </c>
    </row>
    <row r="251" spans="1:42" x14ac:dyDescent="0.55000000000000004">
      <c r="A251" s="2" t="s">
        <v>255</v>
      </c>
      <c r="B251" s="3"/>
      <c r="C251" s="3"/>
      <c r="D251" s="3"/>
      <c r="E251" s="3"/>
      <c r="F251" s="3"/>
      <c r="G251" s="3"/>
      <c r="H251" s="3"/>
      <c r="I251" s="3"/>
      <c r="J251" s="3"/>
      <c r="K251" s="1"/>
      <c r="L251" s="1"/>
      <c r="N251" s="3">
        <v>3821</v>
      </c>
      <c r="O251" s="3">
        <v>3094</v>
      </c>
      <c r="P251" s="3">
        <v>1534</v>
      </c>
      <c r="Q251" s="3">
        <v>3380</v>
      </c>
      <c r="R251" s="3">
        <v>4037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42" x14ac:dyDescent="0.55000000000000004">
      <c r="A252" s="2" t="s">
        <v>256</v>
      </c>
      <c r="B252" s="3"/>
      <c r="C252" s="3"/>
      <c r="D252" s="3"/>
      <c r="E252" s="3"/>
      <c r="F252" s="3"/>
      <c r="G252" s="3"/>
      <c r="H252" s="3"/>
      <c r="I252" s="3"/>
      <c r="J252" s="3"/>
      <c r="K252" s="1"/>
      <c r="L252" s="1"/>
      <c r="N252" s="3">
        <v>3089</v>
      </c>
      <c r="O252" s="3">
        <v>1646</v>
      </c>
      <c r="P252" s="3">
        <v>1002</v>
      </c>
      <c r="Q252" s="3">
        <v>2584</v>
      </c>
      <c r="R252" s="3">
        <v>2944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42" x14ac:dyDescent="0.55000000000000004">
      <c r="A253" s="4" t="s">
        <v>257</v>
      </c>
      <c r="B253" s="5">
        <v>700000</v>
      </c>
      <c r="C253" s="9" t="s">
        <v>14</v>
      </c>
      <c r="D253" s="9" t="s">
        <v>14</v>
      </c>
      <c r="E253" s="5"/>
      <c r="F253" s="5"/>
      <c r="G253" s="5"/>
      <c r="H253" s="9" t="s">
        <v>14</v>
      </c>
      <c r="I253" s="9" t="s">
        <v>14</v>
      </c>
      <c r="J253" s="9" t="s">
        <v>14</v>
      </c>
      <c r="K253" s="14" t="s">
        <v>14</v>
      </c>
      <c r="L253" s="14" t="s">
        <v>14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D253" s="15">
        <f>B253</f>
        <v>700000</v>
      </c>
      <c r="AE253" s="21" t="str">
        <f>C253</f>
        <v>—</v>
      </c>
      <c r="AF253" s="21" t="str">
        <f>D253</f>
        <v>—</v>
      </c>
      <c r="AG253" s="18"/>
      <c r="AH253" s="18"/>
      <c r="AI253" s="18"/>
      <c r="AJ253" s="18"/>
      <c r="AL253" s="17"/>
      <c r="AM253" s="17"/>
      <c r="AO253" s="17"/>
      <c r="AP253" s="17"/>
    </row>
    <row r="254" spans="1:42" x14ac:dyDescent="0.55000000000000004">
      <c r="A254" s="4" t="s">
        <v>258</v>
      </c>
      <c r="B254" s="5">
        <v>724451</v>
      </c>
      <c r="C254" s="9" t="s">
        <v>14</v>
      </c>
      <c r="D254" s="9" t="s">
        <v>14</v>
      </c>
      <c r="E254" s="5">
        <v>110643</v>
      </c>
      <c r="F254" s="9" t="s">
        <v>14</v>
      </c>
      <c r="G254" s="9" t="s">
        <v>14</v>
      </c>
      <c r="H254" s="5">
        <v>691818</v>
      </c>
      <c r="I254" s="9" t="s">
        <v>14</v>
      </c>
      <c r="J254" s="9" t="s">
        <v>14</v>
      </c>
      <c r="K254" s="14" t="s">
        <v>14</v>
      </c>
      <c r="L254" s="14" t="s">
        <v>14</v>
      </c>
      <c r="N254" s="5">
        <v>265768</v>
      </c>
      <c r="O254" s="5">
        <v>146622</v>
      </c>
      <c r="P254" s="5">
        <v>220203</v>
      </c>
      <c r="Q254" s="5">
        <v>91858</v>
      </c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D254" s="15">
        <f>SUM(N254:AB254)</f>
        <v>724451</v>
      </c>
      <c r="AE254" s="21" t="str">
        <f>C254</f>
        <v>—</v>
      </c>
      <c r="AF254" s="21" t="str">
        <f>D254</f>
        <v>—</v>
      </c>
      <c r="AH254" s="15">
        <f>AD254-B254</f>
        <v>0</v>
      </c>
      <c r="AI254" s="15"/>
      <c r="AJ254" s="15"/>
      <c r="AL254" s="17"/>
      <c r="AM254" s="17"/>
      <c r="AO254" s="17"/>
      <c r="AP254" s="17"/>
    </row>
    <row r="255" spans="1:42" x14ac:dyDescent="0.55000000000000004">
      <c r="A255" s="2" t="s">
        <v>259</v>
      </c>
      <c r="B255" s="3"/>
      <c r="C255" s="3"/>
      <c r="D255" s="3"/>
      <c r="E255" s="3"/>
      <c r="F255" s="3"/>
      <c r="G255" s="3"/>
      <c r="H255" s="3"/>
      <c r="I255" s="3"/>
      <c r="J255" s="3"/>
      <c r="K255" s="1"/>
      <c r="L255" s="1"/>
      <c r="N255" s="6" t="s">
        <v>14</v>
      </c>
      <c r="O255" s="6" t="s">
        <v>14</v>
      </c>
      <c r="P255" s="6" t="s">
        <v>14</v>
      </c>
      <c r="Q255" s="6" t="s">
        <v>14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42" x14ac:dyDescent="0.55000000000000004">
      <c r="A256" s="2" t="s">
        <v>260</v>
      </c>
      <c r="B256" s="3"/>
      <c r="C256" s="3"/>
      <c r="D256" s="3"/>
      <c r="E256" s="3"/>
      <c r="F256" s="3"/>
      <c r="G256" s="3"/>
      <c r="H256" s="3"/>
      <c r="I256" s="3"/>
      <c r="J256" s="3"/>
      <c r="K256" s="1"/>
      <c r="L256" s="1"/>
      <c r="N256" s="6" t="s">
        <v>14</v>
      </c>
      <c r="O256" s="6" t="s">
        <v>14</v>
      </c>
      <c r="P256" s="6" t="s">
        <v>14</v>
      </c>
      <c r="Q256" s="6" t="s">
        <v>14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42" x14ac:dyDescent="0.55000000000000004">
      <c r="A257" s="4" t="s">
        <v>261</v>
      </c>
      <c r="B257" s="5">
        <v>576578</v>
      </c>
      <c r="C257" s="9" t="s">
        <v>14</v>
      </c>
      <c r="D257" s="9" t="s">
        <v>14</v>
      </c>
      <c r="E257" s="9" t="s">
        <v>14</v>
      </c>
      <c r="F257" s="9" t="s">
        <v>14</v>
      </c>
      <c r="G257" s="9" t="s">
        <v>14</v>
      </c>
      <c r="H257" s="5">
        <v>576789</v>
      </c>
      <c r="I257" s="5">
        <v>9731</v>
      </c>
      <c r="J257" s="5">
        <v>9045</v>
      </c>
      <c r="K257" s="14" t="s">
        <v>14</v>
      </c>
      <c r="L257" s="14" t="s">
        <v>14</v>
      </c>
      <c r="N257" s="9" t="s">
        <v>14</v>
      </c>
      <c r="O257" s="9" t="s">
        <v>14</v>
      </c>
      <c r="P257" s="9" t="s">
        <v>14</v>
      </c>
      <c r="Q257" s="9" t="s">
        <v>14</v>
      </c>
      <c r="R257" s="9" t="s">
        <v>14</v>
      </c>
      <c r="S257" s="5"/>
      <c r="T257" s="5"/>
      <c r="U257" s="5"/>
      <c r="V257" s="5"/>
      <c r="W257" s="5"/>
      <c r="X257" s="5"/>
      <c r="Y257" s="5"/>
      <c r="Z257" s="5"/>
      <c r="AA257" s="5"/>
      <c r="AB257" s="5"/>
      <c r="AD257" s="15">
        <f>B257</f>
        <v>576578</v>
      </c>
      <c r="AE257" s="21" t="str">
        <f>C257</f>
        <v>—</v>
      </c>
      <c r="AF257" s="21" t="str">
        <f>D257</f>
        <v>—</v>
      </c>
      <c r="AH257" s="15">
        <f>AD257-B257</f>
        <v>0</v>
      </c>
      <c r="AI257" s="15"/>
      <c r="AJ257" s="15"/>
      <c r="AL257" s="17"/>
      <c r="AM257" s="17"/>
      <c r="AO257" s="17"/>
      <c r="AP257" s="17"/>
    </row>
    <row r="258" spans="1:42" x14ac:dyDescent="0.55000000000000004">
      <c r="A258" s="2" t="s">
        <v>262</v>
      </c>
      <c r="B258" s="3"/>
      <c r="C258" s="3"/>
      <c r="D258" s="3"/>
      <c r="E258" s="3"/>
      <c r="F258" s="3"/>
      <c r="G258" s="3"/>
      <c r="H258" s="3"/>
      <c r="I258" s="3"/>
      <c r="J258" s="3"/>
      <c r="K258" s="1"/>
      <c r="L258" s="1"/>
      <c r="N258" s="6" t="s">
        <v>14</v>
      </c>
      <c r="O258" s="6" t="s">
        <v>14</v>
      </c>
      <c r="P258" s="6" t="s">
        <v>14</v>
      </c>
      <c r="Q258" s="6" t="s">
        <v>14</v>
      </c>
      <c r="R258" s="6" t="s">
        <v>14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42" x14ac:dyDescent="0.55000000000000004">
      <c r="A259" s="2" t="s">
        <v>263</v>
      </c>
      <c r="B259" s="3"/>
      <c r="C259" s="3"/>
      <c r="D259" s="3"/>
      <c r="E259" s="3"/>
      <c r="F259" s="3"/>
      <c r="G259" s="3"/>
      <c r="H259" s="3"/>
      <c r="I259" s="3"/>
      <c r="J259" s="3"/>
      <c r="K259" s="1"/>
      <c r="L259" s="1"/>
      <c r="N259" s="6" t="s">
        <v>14</v>
      </c>
      <c r="O259" s="6" t="s">
        <v>14</v>
      </c>
      <c r="P259" s="6" t="s">
        <v>14</v>
      </c>
      <c r="Q259" s="6" t="s">
        <v>14</v>
      </c>
      <c r="R259" s="6" t="s">
        <v>14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42" x14ac:dyDescent="0.55000000000000004">
      <c r="A260" s="4" t="s">
        <v>264</v>
      </c>
      <c r="B260" s="5">
        <v>671012</v>
      </c>
      <c r="C260" s="5">
        <v>16291</v>
      </c>
      <c r="D260" s="5">
        <v>12156</v>
      </c>
      <c r="E260" s="9" t="s">
        <v>14</v>
      </c>
      <c r="F260" s="9" t="s">
        <v>14</v>
      </c>
      <c r="G260" s="9" t="s">
        <v>14</v>
      </c>
      <c r="H260" s="5">
        <v>613102</v>
      </c>
      <c r="I260" s="5">
        <v>10384</v>
      </c>
      <c r="J260" s="5">
        <v>7267</v>
      </c>
      <c r="K260" s="14">
        <v>24.3</v>
      </c>
      <c r="L260" s="14">
        <v>16.600000000000001</v>
      </c>
      <c r="N260" s="5">
        <v>198797</v>
      </c>
      <c r="O260" s="5">
        <v>79701</v>
      </c>
      <c r="P260" s="5">
        <v>80742</v>
      </c>
      <c r="Q260" s="5">
        <v>110671</v>
      </c>
      <c r="R260" s="5">
        <v>101421</v>
      </c>
      <c r="S260" s="5">
        <v>99680</v>
      </c>
      <c r="T260" s="5"/>
      <c r="U260" s="5"/>
      <c r="V260" s="5"/>
      <c r="W260" s="5"/>
      <c r="X260" s="5"/>
      <c r="Y260" s="5"/>
      <c r="Z260" s="5"/>
      <c r="AA260" s="5"/>
      <c r="AB260" s="5"/>
      <c r="AD260" s="15">
        <f>SUM(N260:AB260)</f>
        <v>671012</v>
      </c>
      <c r="AE260" s="15">
        <f>SUM(N261:AB261)</f>
        <v>16291</v>
      </c>
      <c r="AF260" s="15">
        <f>SUM(N262:AB262)</f>
        <v>12156</v>
      </c>
      <c r="AH260" s="15">
        <f>AD260-B260</f>
        <v>0</v>
      </c>
      <c r="AI260" s="15">
        <f>AE260-C260</f>
        <v>0</v>
      </c>
      <c r="AJ260" s="15">
        <f>AF260-D260</f>
        <v>0</v>
      </c>
      <c r="AL260" s="17">
        <f>C260/B260*1000</f>
        <v>24.278254338223459</v>
      </c>
      <c r="AM260" s="17">
        <f>D260/B260*1000</f>
        <v>18.115920430633135</v>
      </c>
      <c r="AO260" s="17">
        <f>AL260-K260</f>
        <v>-2.1745661776542136E-2</v>
      </c>
      <c r="AP260" s="17">
        <f>AM260-L260</f>
        <v>1.515920430633134</v>
      </c>
    </row>
    <row r="261" spans="1:42" x14ac:dyDescent="0.55000000000000004">
      <c r="A261" s="2" t="s">
        <v>265</v>
      </c>
      <c r="B261" s="3"/>
      <c r="C261" s="3"/>
      <c r="D261" s="3"/>
      <c r="E261" s="3"/>
      <c r="F261" s="3"/>
      <c r="G261" s="3"/>
      <c r="H261" s="3"/>
      <c r="I261" s="3"/>
      <c r="J261" s="3"/>
      <c r="K261" s="1"/>
      <c r="L261" s="1"/>
      <c r="N261" s="3">
        <v>5616</v>
      </c>
      <c r="O261" s="3">
        <v>2018</v>
      </c>
      <c r="P261" s="3">
        <v>267</v>
      </c>
      <c r="Q261" s="3">
        <v>3348</v>
      </c>
      <c r="R261" s="3">
        <v>2634</v>
      </c>
      <c r="S261" s="3">
        <v>2408</v>
      </c>
      <c r="T261" s="3"/>
      <c r="U261" s="3"/>
      <c r="V261" s="3"/>
      <c r="W261" s="3"/>
      <c r="X261" s="3"/>
      <c r="Y261" s="3"/>
      <c r="Z261" s="3"/>
      <c r="AA261" s="3"/>
      <c r="AB261" s="3"/>
    </row>
    <row r="262" spans="1:42" x14ac:dyDescent="0.55000000000000004">
      <c r="A262" s="2" t="s">
        <v>266</v>
      </c>
      <c r="B262" s="3"/>
      <c r="C262" s="3"/>
      <c r="D262" s="3"/>
      <c r="E262" s="3"/>
      <c r="F262" s="3"/>
      <c r="G262" s="3"/>
      <c r="H262" s="3"/>
      <c r="I262" s="3"/>
      <c r="J262" s="3"/>
      <c r="K262" s="1"/>
      <c r="L262" s="1"/>
      <c r="N262" s="3">
        <v>4876</v>
      </c>
      <c r="O262" s="3">
        <v>1485</v>
      </c>
      <c r="P262" s="3">
        <v>152</v>
      </c>
      <c r="Q262" s="3">
        <v>2581</v>
      </c>
      <c r="R262" s="3">
        <v>2204</v>
      </c>
      <c r="S262" s="3">
        <v>858</v>
      </c>
      <c r="T262" s="3"/>
      <c r="U262" s="3"/>
      <c r="V262" s="3"/>
      <c r="W262" s="3"/>
      <c r="X262" s="3"/>
      <c r="Y262" s="3"/>
      <c r="Z262" s="3"/>
      <c r="AA262" s="3"/>
      <c r="AB262" s="3"/>
    </row>
    <row r="263" spans="1:42" x14ac:dyDescent="0.55000000000000004">
      <c r="A263" s="4" t="s">
        <v>267</v>
      </c>
      <c r="B263" s="5">
        <v>1143584</v>
      </c>
      <c r="C263" s="9" t="s">
        <v>14</v>
      </c>
      <c r="D263" s="9" t="s">
        <v>14</v>
      </c>
      <c r="E263" s="5">
        <v>132803</v>
      </c>
      <c r="F263" s="9" t="s">
        <v>14</v>
      </c>
      <c r="G263" s="9" t="s">
        <v>14</v>
      </c>
      <c r="H263" s="5">
        <v>1099172</v>
      </c>
      <c r="I263" s="9" t="s">
        <v>14</v>
      </c>
      <c r="J263" s="9" t="s">
        <v>14</v>
      </c>
      <c r="K263" s="14" t="s">
        <v>14</v>
      </c>
      <c r="L263" s="14" t="s">
        <v>14</v>
      </c>
      <c r="N263" s="5">
        <v>372667</v>
      </c>
      <c r="O263" s="5">
        <v>180731</v>
      </c>
      <c r="P263" s="5">
        <v>128375</v>
      </c>
      <c r="Q263" s="5">
        <v>105253</v>
      </c>
      <c r="R263" s="5">
        <v>206948</v>
      </c>
      <c r="S263" s="5">
        <v>149610</v>
      </c>
      <c r="T263" s="5"/>
      <c r="U263" s="5"/>
      <c r="V263" s="5"/>
      <c r="W263" s="5"/>
      <c r="X263" s="5"/>
      <c r="Y263" s="5"/>
      <c r="Z263" s="5"/>
      <c r="AA263" s="5"/>
      <c r="AB263" s="5"/>
      <c r="AD263" s="15">
        <f>SUM(N263:AB263)</f>
        <v>1143584</v>
      </c>
      <c r="AE263" s="21" t="str">
        <f>C263</f>
        <v>—</v>
      </c>
      <c r="AF263" s="21" t="str">
        <f>D263</f>
        <v>—</v>
      </c>
      <c r="AH263" s="15">
        <f>AD263-B263</f>
        <v>0</v>
      </c>
      <c r="AI263" s="15"/>
      <c r="AJ263" s="15"/>
      <c r="AL263" s="17"/>
      <c r="AM263" s="17"/>
      <c r="AO263" s="17"/>
      <c r="AP263" s="17"/>
    </row>
    <row r="264" spans="1:42" x14ac:dyDescent="0.55000000000000004">
      <c r="A264" s="2" t="s">
        <v>268</v>
      </c>
      <c r="B264" s="3"/>
      <c r="C264" s="3"/>
      <c r="D264" s="3"/>
      <c r="E264" s="3"/>
      <c r="F264" s="3"/>
      <c r="G264" s="3"/>
      <c r="H264" s="3"/>
      <c r="I264" s="3"/>
      <c r="J264" s="3"/>
      <c r="K264" s="1"/>
      <c r="L264" s="1"/>
      <c r="N264" s="6" t="s">
        <v>14</v>
      </c>
      <c r="O264" s="6" t="s">
        <v>14</v>
      </c>
      <c r="P264" s="6" t="s">
        <v>14</v>
      </c>
      <c r="Q264" s="6" t="s">
        <v>14</v>
      </c>
      <c r="R264" s="6" t="s">
        <v>14</v>
      </c>
      <c r="S264" s="6" t="s">
        <v>14</v>
      </c>
      <c r="T264" s="3"/>
      <c r="U264" s="3"/>
      <c r="V264" s="3"/>
      <c r="W264" s="3"/>
      <c r="X264" s="3"/>
      <c r="Y264" s="3"/>
      <c r="Z264" s="3"/>
      <c r="AA264" s="3"/>
      <c r="AB264" s="3"/>
    </row>
    <row r="265" spans="1:42" x14ac:dyDescent="0.55000000000000004">
      <c r="A265" s="2" t="s">
        <v>269</v>
      </c>
      <c r="B265" s="3"/>
      <c r="C265" s="3"/>
      <c r="D265" s="3"/>
      <c r="E265" s="3"/>
      <c r="F265" s="3"/>
      <c r="G265" s="3"/>
      <c r="H265" s="3"/>
      <c r="I265" s="3"/>
      <c r="J265" s="3"/>
      <c r="K265" s="1"/>
      <c r="L265" s="1"/>
      <c r="N265" s="6" t="s">
        <v>14</v>
      </c>
      <c r="O265" s="6" t="s">
        <v>14</v>
      </c>
      <c r="P265" s="6" t="s">
        <v>14</v>
      </c>
      <c r="Q265" s="6" t="s">
        <v>14</v>
      </c>
      <c r="R265" s="6" t="s">
        <v>14</v>
      </c>
      <c r="S265" s="6" t="s">
        <v>14</v>
      </c>
      <c r="T265" s="3"/>
      <c r="U265" s="3"/>
      <c r="V265" s="3"/>
      <c r="W265" s="3"/>
      <c r="X265" s="3"/>
      <c r="Y265" s="3"/>
      <c r="Z265" s="3"/>
      <c r="AA265" s="3"/>
      <c r="AB265" s="3"/>
    </row>
    <row r="266" spans="1:42" x14ac:dyDescent="0.55000000000000004">
      <c r="A266" s="4" t="s">
        <v>270</v>
      </c>
      <c r="B266" s="5">
        <v>370651</v>
      </c>
      <c r="C266" s="5">
        <v>7756</v>
      </c>
      <c r="D266" s="5">
        <v>5144</v>
      </c>
      <c r="E266" s="9" t="s">
        <v>14</v>
      </c>
      <c r="F266" s="9" t="s">
        <v>14</v>
      </c>
      <c r="G266" s="9" t="s">
        <v>14</v>
      </c>
      <c r="H266" s="5">
        <v>347121</v>
      </c>
      <c r="I266" s="5">
        <v>1334</v>
      </c>
      <c r="J266" s="5">
        <v>831</v>
      </c>
      <c r="K266" s="14" t="s">
        <v>14</v>
      </c>
      <c r="L266" s="14" t="s">
        <v>14</v>
      </c>
      <c r="N266" s="5">
        <v>69325</v>
      </c>
      <c r="O266" s="5">
        <v>91120</v>
      </c>
      <c r="P266" s="5">
        <v>80184</v>
      </c>
      <c r="Q266" s="5">
        <v>129722</v>
      </c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D266" s="15">
        <f>SUM(N266:AB266)</f>
        <v>370351</v>
      </c>
      <c r="AE266" s="15">
        <f>SUM(N267:AB267)</f>
        <v>7756</v>
      </c>
      <c r="AF266" s="15">
        <f>SUM(N268:AB268)</f>
        <v>5144</v>
      </c>
      <c r="AH266" s="15">
        <f>AD266-B266</f>
        <v>-300</v>
      </c>
      <c r="AI266" s="15">
        <f>AE266-C266</f>
        <v>0</v>
      </c>
      <c r="AJ266" s="15">
        <f>AF266-D266</f>
        <v>0</v>
      </c>
      <c r="AL266" s="17">
        <f>C266/B266*1000</f>
        <v>20.925344866194884</v>
      </c>
      <c r="AM266" s="17">
        <f>D266/B266*1000</f>
        <v>13.878284423892016</v>
      </c>
      <c r="AO266" s="17"/>
      <c r="AP266" s="17"/>
    </row>
    <row r="267" spans="1:42" x14ac:dyDescent="0.55000000000000004">
      <c r="A267" s="2" t="s">
        <v>271</v>
      </c>
      <c r="B267" s="3"/>
      <c r="C267" s="3"/>
      <c r="D267" s="3"/>
      <c r="E267" s="3"/>
      <c r="F267" s="3"/>
      <c r="G267" s="3"/>
      <c r="H267" s="3"/>
      <c r="I267" s="3"/>
      <c r="J267" s="3"/>
      <c r="K267" s="1"/>
      <c r="L267" s="1"/>
      <c r="N267" s="3">
        <v>1470</v>
      </c>
      <c r="O267" s="3">
        <v>172</v>
      </c>
      <c r="P267" s="3">
        <v>1658</v>
      </c>
      <c r="Q267" s="3">
        <v>4456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42" x14ac:dyDescent="0.55000000000000004">
      <c r="A268" s="2" t="s">
        <v>272</v>
      </c>
      <c r="B268" s="3"/>
      <c r="C268" s="3"/>
      <c r="D268" s="3"/>
      <c r="E268" s="3"/>
      <c r="F268" s="3"/>
      <c r="G268" s="3"/>
      <c r="H268" s="3"/>
      <c r="I268" s="3"/>
      <c r="J268" s="3"/>
      <c r="K268" s="1"/>
      <c r="L268" s="1"/>
      <c r="N268" s="3">
        <v>1419</v>
      </c>
      <c r="O268" s="3">
        <v>64</v>
      </c>
      <c r="P268" s="3">
        <v>997</v>
      </c>
      <c r="Q268" s="3">
        <v>2664</v>
      </c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42" x14ac:dyDescent="0.55000000000000004">
      <c r="A269" s="4" t="s">
        <v>273</v>
      </c>
      <c r="B269" s="5">
        <v>559552</v>
      </c>
      <c r="C269" s="5">
        <v>8009</v>
      </c>
      <c r="D269" s="5">
        <v>5576</v>
      </c>
      <c r="E269" s="5"/>
      <c r="F269" s="5"/>
      <c r="G269" s="5"/>
      <c r="H269" s="5">
        <v>547081</v>
      </c>
      <c r="I269" s="5">
        <v>5570</v>
      </c>
      <c r="J269" s="5">
        <v>3782</v>
      </c>
      <c r="K269" s="14" t="s">
        <v>14</v>
      </c>
      <c r="L269" s="14" t="s">
        <v>14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D269" s="22">
        <f>B269</f>
        <v>559552</v>
      </c>
      <c r="AE269" s="22">
        <f>C269</f>
        <v>8009</v>
      </c>
      <c r="AF269" s="22">
        <f>D269</f>
        <v>5576</v>
      </c>
      <c r="AG269" s="18"/>
      <c r="AH269" s="18"/>
      <c r="AI269" s="18"/>
      <c r="AJ269" s="18"/>
      <c r="AL269" s="17">
        <f>C269/B269*1000</f>
        <v>14.313236303328376</v>
      </c>
      <c r="AM269" s="17">
        <f>D269/B269*1000</f>
        <v>9.9651149491021389</v>
      </c>
      <c r="AO269" s="17"/>
      <c r="AP269" s="17"/>
    </row>
    <row r="270" spans="1:42" x14ac:dyDescent="0.55000000000000004">
      <c r="A270" s="4" t="s">
        <v>274</v>
      </c>
      <c r="B270" s="5">
        <v>815934</v>
      </c>
      <c r="C270" s="5">
        <v>14229</v>
      </c>
      <c r="D270" s="5">
        <v>9779</v>
      </c>
      <c r="E270" s="9" t="s">
        <v>14</v>
      </c>
      <c r="F270" s="9" t="s">
        <v>14</v>
      </c>
      <c r="G270" s="9" t="s">
        <v>14</v>
      </c>
      <c r="H270" s="5">
        <v>765967</v>
      </c>
      <c r="I270" s="9" t="s">
        <v>14</v>
      </c>
      <c r="J270" s="9" t="s">
        <v>14</v>
      </c>
      <c r="K270" s="14" t="s">
        <v>14</v>
      </c>
      <c r="L270" s="14" t="s">
        <v>14</v>
      </c>
      <c r="N270" s="5">
        <v>183175</v>
      </c>
      <c r="O270" s="5">
        <v>125686</v>
      </c>
      <c r="P270" s="5">
        <v>254000</v>
      </c>
      <c r="Q270" s="9" t="s">
        <v>14</v>
      </c>
      <c r="R270" s="5">
        <v>60462</v>
      </c>
      <c r="S270" s="5"/>
      <c r="T270" s="5"/>
      <c r="U270" s="5"/>
      <c r="V270" s="5"/>
      <c r="W270" s="5"/>
      <c r="X270" s="5"/>
      <c r="Y270" s="5"/>
      <c r="Z270" s="5"/>
      <c r="AA270" s="5"/>
      <c r="AB270" s="5"/>
      <c r="AD270" s="15">
        <f>SUM(N270:AB270)</f>
        <v>623323</v>
      </c>
      <c r="AE270" s="15">
        <f>SUM(N271:AB271)</f>
        <v>14229</v>
      </c>
      <c r="AF270" s="15">
        <f>SUM(N272:AB272)</f>
        <v>9779</v>
      </c>
      <c r="AH270" s="15">
        <f>AD270-B270</f>
        <v>-192611</v>
      </c>
      <c r="AI270" s="15">
        <f>AE270-C270</f>
        <v>0</v>
      </c>
      <c r="AJ270" s="15">
        <f>AF270-D270</f>
        <v>0</v>
      </c>
      <c r="AL270" s="17">
        <f>C270/B270*1000</f>
        <v>17.43891050011398</v>
      </c>
      <c r="AM270" s="17">
        <f>D270/B270*1000</f>
        <v>11.985038005524958</v>
      </c>
      <c r="AO270" s="17"/>
      <c r="AP270" s="17"/>
    </row>
    <row r="271" spans="1:42" x14ac:dyDescent="0.55000000000000004">
      <c r="A271" s="2" t="s">
        <v>275</v>
      </c>
      <c r="B271" s="3"/>
      <c r="C271" s="3"/>
      <c r="D271" s="3"/>
      <c r="E271" s="3"/>
      <c r="F271" s="3"/>
      <c r="G271" s="3"/>
      <c r="H271" s="3"/>
      <c r="I271" s="3"/>
      <c r="J271" s="3"/>
      <c r="K271" s="1"/>
      <c r="L271" s="1"/>
      <c r="N271" s="6" t="s">
        <v>14</v>
      </c>
      <c r="O271" s="3">
        <v>10234</v>
      </c>
      <c r="P271" s="6" t="s">
        <v>14</v>
      </c>
      <c r="Q271" s="6" t="s">
        <v>14</v>
      </c>
      <c r="R271" s="3">
        <v>3995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42" x14ac:dyDescent="0.55000000000000004">
      <c r="A272" s="2" t="s">
        <v>276</v>
      </c>
      <c r="B272" s="3"/>
      <c r="C272" s="3"/>
      <c r="D272" s="3"/>
      <c r="E272" s="3"/>
      <c r="F272" s="3"/>
      <c r="G272" s="3"/>
      <c r="H272" s="3"/>
      <c r="I272" s="3"/>
      <c r="J272" s="3"/>
      <c r="K272" s="1"/>
      <c r="L272" s="1"/>
      <c r="N272" s="6" t="s">
        <v>14</v>
      </c>
      <c r="O272" s="3">
        <v>6422</v>
      </c>
      <c r="P272" s="6" t="s">
        <v>14</v>
      </c>
      <c r="Q272" s="6" t="s">
        <v>14</v>
      </c>
      <c r="R272" s="3">
        <v>3357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42" x14ac:dyDescent="0.55000000000000004">
      <c r="A273" s="7" t="s">
        <v>277</v>
      </c>
      <c r="B273" s="8">
        <v>6061936</v>
      </c>
      <c r="C273" s="8">
        <v>62151</v>
      </c>
      <c r="D273" s="8">
        <v>43920</v>
      </c>
      <c r="E273" s="8"/>
      <c r="F273" s="8"/>
      <c r="G273" s="8"/>
      <c r="H273" s="8">
        <v>5820876</v>
      </c>
      <c r="I273" s="8">
        <v>62999</v>
      </c>
      <c r="J273" s="8">
        <v>44387</v>
      </c>
      <c r="K273" s="10">
        <v>27.4</v>
      </c>
      <c r="L273" s="10">
        <v>20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D273" s="23">
        <f>SUM(AD250:AD272)</f>
        <v>5869025</v>
      </c>
      <c r="AE273" s="23">
        <f>SUM(AE250:AE272)</f>
        <v>62151</v>
      </c>
      <c r="AF273" s="23">
        <f>SUM(AF250:AF272)</f>
        <v>43920</v>
      </c>
      <c r="AH273" s="23">
        <f t="shared" ref="AH273:AJ274" si="8">AD273-B273</f>
        <v>-192911</v>
      </c>
      <c r="AI273" s="23">
        <f t="shared" si="8"/>
        <v>0</v>
      </c>
      <c r="AJ273" s="23">
        <f t="shared" si="8"/>
        <v>0</v>
      </c>
      <c r="AL273" s="24">
        <f>C273/B273*1000</f>
        <v>10.252665155158352</v>
      </c>
      <c r="AM273" s="24">
        <f>D273/B273*1000</f>
        <v>7.2452101110932219</v>
      </c>
      <c r="AO273" s="24">
        <f>AL273-K273</f>
        <v>-17.147334844841644</v>
      </c>
      <c r="AP273" s="24">
        <f>AM273-L273</f>
        <v>-12.754789888906778</v>
      </c>
    </row>
    <row r="274" spans="1:42" x14ac:dyDescent="0.55000000000000004">
      <c r="A274" s="7" t="s">
        <v>278</v>
      </c>
      <c r="B274" s="8">
        <v>114376520</v>
      </c>
      <c r="C274" s="8">
        <v>5125841</v>
      </c>
      <c r="D274" s="8">
        <v>3594541</v>
      </c>
      <c r="E274" s="8"/>
      <c r="F274" s="8"/>
      <c r="G274" s="8"/>
      <c r="H274" s="8">
        <v>111412690</v>
      </c>
      <c r="I274" s="8">
        <v>5000721</v>
      </c>
      <c r="J274" s="8">
        <v>3321278</v>
      </c>
      <c r="K274" s="10">
        <v>46.7</v>
      </c>
      <c r="L274" s="10">
        <v>32.700000000000003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D274" s="23">
        <f>AD273+AD249+AD223+AD194</f>
        <v>114007750</v>
      </c>
      <c r="AE274" s="23">
        <f>AE273+AE249+AE223+AE194</f>
        <v>5120646</v>
      </c>
      <c r="AF274" s="23">
        <f>AF273+AF249+AF223+AF194</f>
        <v>3594287</v>
      </c>
      <c r="AH274" s="23">
        <f t="shared" si="8"/>
        <v>-368770</v>
      </c>
      <c r="AI274" s="23">
        <f t="shared" si="8"/>
        <v>-5195</v>
      </c>
      <c r="AJ274" s="23">
        <f t="shared" si="8"/>
        <v>-254</v>
      </c>
      <c r="AL274" s="24">
        <f>C274/B274*1000</f>
        <v>44.815500594003034</v>
      </c>
      <c r="AM274" s="24">
        <f>D274/B274*1000</f>
        <v>31.427263218010129</v>
      </c>
      <c r="AO274" s="24">
        <f>AL274-K274</f>
        <v>-1.8844994059969693</v>
      </c>
      <c r="AP274" s="24">
        <f>AM274-L274</f>
        <v>-1.2727367819898738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2026-06-28T00:49:12Z</dcterms:modified>
</cp:coreProperties>
</file>