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work\1893\"/>
    </mc:Choice>
  </mc:AlternateContent>
  <xr:revisionPtr revIDLastSave="0" documentId="13_ncr:1_{914FC719-56E3-47C5-82E7-9D3F092FA417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71" i="1" l="1"/>
  <c r="AJ271" i="1" s="1"/>
  <c r="AE271" i="1"/>
  <c r="AI271" i="1" s="1"/>
  <c r="AD271" i="1"/>
  <c r="AF270" i="1"/>
  <c r="AE270" i="1"/>
  <c r="AI270" i="1" s="1"/>
  <c r="AD270" i="1"/>
  <c r="AF246" i="1"/>
  <c r="AJ246" i="1" s="1"/>
  <c r="AE246" i="1"/>
  <c r="AI246" i="1" s="1"/>
  <c r="AD246" i="1"/>
  <c r="AF220" i="1"/>
  <c r="AE220" i="1"/>
  <c r="AD220" i="1"/>
  <c r="AF191" i="1"/>
  <c r="AE191" i="1"/>
  <c r="AD191" i="1"/>
  <c r="AH191" i="1" s="1"/>
  <c r="AF187" i="1"/>
  <c r="AE187" i="1"/>
  <c r="AI187" i="1" s="1"/>
  <c r="AD187" i="1"/>
  <c r="AF80" i="1"/>
  <c r="AJ80" i="1" s="1"/>
  <c r="AE80" i="1"/>
  <c r="AD80" i="1"/>
  <c r="AF70" i="1"/>
  <c r="AE70" i="1"/>
  <c r="AD70" i="1"/>
  <c r="AM271" i="1"/>
  <c r="AP271" i="1" s="1"/>
  <c r="AL271" i="1"/>
  <c r="AO271" i="1" s="1"/>
  <c r="AH271" i="1"/>
  <c r="AM270" i="1"/>
  <c r="AP270" i="1" s="1"/>
  <c r="AL270" i="1"/>
  <c r="AO270" i="1" s="1"/>
  <c r="AJ270" i="1"/>
  <c r="AH270" i="1"/>
  <c r="AM246" i="1"/>
  <c r="AP246" i="1" s="1"/>
  <c r="AL246" i="1"/>
  <c r="AO246" i="1" s="1"/>
  <c r="AH246" i="1"/>
  <c r="AM220" i="1"/>
  <c r="AP220" i="1" s="1"/>
  <c r="AL220" i="1"/>
  <c r="AO220" i="1" s="1"/>
  <c r="AJ220" i="1"/>
  <c r="AI220" i="1"/>
  <c r="AH220" i="1"/>
  <c r="AM191" i="1"/>
  <c r="AP191" i="1" s="1"/>
  <c r="AL191" i="1"/>
  <c r="AO191" i="1" s="1"/>
  <c r="AJ191" i="1"/>
  <c r="AI191" i="1"/>
  <c r="AM187" i="1"/>
  <c r="AP187" i="1" s="1"/>
  <c r="AL187" i="1"/>
  <c r="AO187" i="1" s="1"/>
  <c r="AJ187" i="1"/>
  <c r="AH187" i="1"/>
  <c r="AM80" i="1"/>
  <c r="AP80" i="1" s="1"/>
  <c r="AL80" i="1"/>
  <c r="AO80" i="1" s="1"/>
  <c r="AI80" i="1"/>
  <c r="AH80" i="1"/>
  <c r="AO70" i="1"/>
  <c r="AM70" i="1"/>
  <c r="AP70" i="1" s="1"/>
  <c r="AL70" i="1"/>
  <c r="AJ70" i="1"/>
  <c r="AI70" i="1"/>
  <c r="AH70" i="1"/>
  <c r="AM38" i="1"/>
  <c r="AP38" i="1" s="1"/>
  <c r="AL38" i="1"/>
  <c r="AO38" i="1" s="1"/>
  <c r="AJ38" i="1"/>
  <c r="AI38" i="1"/>
  <c r="AH38" i="1"/>
  <c r="AF38" i="1"/>
  <c r="AE38" i="1"/>
  <c r="AD38" i="1"/>
  <c r="AM257" i="1"/>
  <c r="AP257" i="1" s="1"/>
  <c r="AL257" i="1"/>
  <c r="AO257" i="1" s="1"/>
  <c r="AF257" i="1"/>
  <c r="AE257" i="1"/>
  <c r="AD257" i="1"/>
  <c r="AF250" i="1"/>
  <c r="AE250" i="1"/>
  <c r="AD250" i="1"/>
  <c r="AM221" i="1"/>
  <c r="AP221" i="1" s="1"/>
  <c r="AL221" i="1"/>
  <c r="AO221" i="1" s="1"/>
  <c r="AJ221" i="1"/>
  <c r="AI221" i="1"/>
  <c r="AH221" i="1"/>
  <c r="AF221" i="1"/>
  <c r="AE221" i="1"/>
  <c r="AD221" i="1"/>
  <c r="AM201" i="1"/>
  <c r="AL201" i="1"/>
  <c r="AF201" i="1"/>
  <c r="AE201" i="1"/>
  <c r="AD201" i="1"/>
  <c r="AM180" i="1"/>
  <c r="AP180" i="1" s="1"/>
  <c r="AL180" i="1"/>
  <c r="AO180" i="1" s="1"/>
  <c r="AM179" i="1"/>
  <c r="AL179" i="1"/>
  <c r="AF180" i="1"/>
  <c r="AE180" i="1"/>
  <c r="AD180" i="1"/>
  <c r="AF179" i="1"/>
  <c r="AE179" i="1"/>
  <c r="AD179" i="1"/>
  <c r="AM173" i="1"/>
  <c r="AP173" i="1" s="1"/>
  <c r="AL173" i="1"/>
  <c r="AO173" i="1" s="1"/>
  <c r="AI173" i="1"/>
  <c r="AF173" i="1"/>
  <c r="AJ173" i="1" s="1"/>
  <c r="AE173" i="1"/>
  <c r="AD173" i="1"/>
  <c r="AH173" i="1" s="1"/>
  <c r="AM145" i="1"/>
  <c r="AP145" i="1" s="1"/>
  <c r="AL145" i="1"/>
  <c r="AO145" i="1" s="1"/>
  <c r="AF145" i="1"/>
  <c r="AE145" i="1"/>
  <c r="AD145" i="1"/>
  <c r="AP111" i="1"/>
  <c r="AO111" i="1"/>
  <c r="AM111" i="1"/>
  <c r="AL111" i="1"/>
  <c r="AF111" i="1"/>
  <c r="AE111" i="1"/>
  <c r="AD111" i="1"/>
  <c r="AO39" i="1"/>
  <c r="AM39" i="1"/>
  <c r="AP39" i="1" s="1"/>
  <c r="AL39" i="1"/>
  <c r="AF39" i="1"/>
  <c r="AE39" i="1"/>
  <c r="AD39" i="1"/>
  <c r="AM267" i="1"/>
  <c r="AL267" i="1"/>
  <c r="AF267" i="1"/>
  <c r="AJ267" i="1" s="1"/>
  <c r="AE267" i="1"/>
  <c r="AI267" i="1" s="1"/>
  <c r="AD267" i="1"/>
  <c r="AH267" i="1" s="1"/>
  <c r="AM264" i="1"/>
  <c r="AP264" i="1" s="1"/>
  <c r="AL264" i="1"/>
  <c r="AO264" i="1" s="1"/>
  <c r="AF264" i="1"/>
  <c r="AJ264" i="1" s="1"/>
  <c r="AE264" i="1"/>
  <c r="AI264" i="1" s="1"/>
  <c r="AD264" i="1"/>
  <c r="AH264" i="1" s="1"/>
  <c r="AM261" i="1"/>
  <c r="AL261" i="1"/>
  <c r="AI261" i="1"/>
  <c r="AF261" i="1"/>
  <c r="AJ261" i="1" s="1"/>
  <c r="AE261" i="1"/>
  <c r="AD261" i="1"/>
  <c r="AH261" i="1" s="1"/>
  <c r="AM258" i="1"/>
  <c r="AL258" i="1"/>
  <c r="AJ258" i="1"/>
  <c r="AI258" i="1"/>
  <c r="AF258" i="1"/>
  <c r="AE258" i="1"/>
  <c r="AD258" i="1"/>
  <c r="AH258" i="1" s="1"/>
  <c r="AM254" i="1"/>
  <c r="AL254" i="1"/>
  <c r="AJ254" i="1"/>
  <c r="AI254" i="1"/>
  <c r="AF254" i="1"/>
  <c r="AE254" i="1"/>
  <c r="AD254" i="1"/>
  <c r="AH254" i="1" s="1"/>
  <c r="AF251" i="1"/>
  <c r="AE251" i="1"/>
  <c r="AD251" i="1"/>
  <c r="AH251" i="1" s="1"/>
  <c r="AM247" i="1"/>
  <c r="AL247" i="1"/>
  <c r="AH247" i="1"/>
  <c r="AF247" i="1"/>
  <c r="AJ247" i="1" s="1"/>
  <c r="AE247" i="1"/>
  <c r="AI247" i="1" s="1"/>
  <c r="AD247" i="1"/>
  <c r="AP243" i="1"/>
  <c r="AM243" i="1"/>
  <c r="AL243" i="1"/>
  <c r="AO243" i="1" s="1"/>
  <c r="AF243" i="1"/>
  <c r="AJ243" i="1" s="1"/>
  <c r="AE243" i="1"/>
  <c r="AI243" i="1" s="1"/>
  <c r="AD243" i="1"/>
  <c r="AH243" i="1" s="1"/>
  <c r="AP240" i="1"/>
  <c r="AM240" i="1"/>
  <c r="AL240" i="1"/>
  <c r="AO240" i="1" s="1"/>
  <c r="AI240" i="1"/>
  <c r="AF240" i="1"/>
  <c r="AJ240" i="1" s="1"/>
  <c r="AE240" i="1"/>
  <c r="AD240" i="1"/>
  <c r="AH240" i="1" s="1"/>
  <c r="AP237" i="1"/>
  <c r="AM237" i="1"/>
  <c r="AL237" i="1"/>
  <c r="AO237" i="1" s="1"/>
  <c r="AF237" i="1"/>
  <c r="AJ237" i="1" s="1"/>
  <c r="AE237" i="1"/>
  <c r="AI237" i="1" s="1"/>
  <c r="AD237" i="1"/>
  <c r="AH237" i="1" s="1"/>
  <c r="AM234" i="1"/>
  <c r="AP234" i="1" s="1"/>
  <c r="AL234" i="1"/>
  <c r="AO234" i="1" s="1"/>
  <c r="AJ234" i="1"/>
  <c r="AF234" i="1"/>
  <c r="AE234" i="1"/>
  <c r="AI234" i="1" s="1"/>
  <c r="AD234" i="1"/>
  <c r="AH234" i="1" s="1"/>
  <c r="AP231" i="1"/>
  <c r="AM231" i="1"/>
  <c r="AL231" i="1"/>
  <c r="AO231" i="1" s="1"/>
  <c r="AF231" i="1"/>
  <c r="AJ231" i="1" s="1"/>
  <c r="AE231" i="1"/>
  <c r="AI231" i="1" s="1"/>
  <c r="AD231" i="1"/>
  <c r="AH231" i="1" s="1"/>
  <c r="AM228" i="1"/>
  <c r="AP228" i="1" s="1"/>
  <c r="AL228" i="1"/>
  <c r="AO228" i="1" s="1"/>
  <c r="AF228" i="1"/>
  <c r="AJ228" i="1" s="1"/>
  <c r="AE228" i="1"/>
  <c r="AI228" i="1" s="1"/>
  <c r="AD228" i="1"/>
  <c r="AH228" i="1" s="1"/>
  <c r="AP225" i="1"/>
  <c r="AO225" i="1"/>
  <c r="AM225" i="1"/>
  <c r="AL225" i="1"/>
  <c r="AI225" i="1"/>
  <c r="AF225" i="1"/>
  <c r="AJ225" i="1" s="1"/>
  <c r="AE225" i="1"/>
  <c r="AD225" i="1"/>
  <c r="AH225" i="1" s="1"/>
  <c r="AM222" i="1"/>
  <c r="AP222" i="1" s="1"/>
  <c r="AL222" i="1"/>
  <c r="AO222" i="1" s="1"/>
  <c r="AF222" i="1"/>
  <c r="AJ222" i="1" s="1"/>
  <c r="AE222" i="1"/>
  <c r="AI222" i="1" s="1"/>
  <c r="AD222" i="1"/>
  <c r="AH222" i="1" s="1"/>
  <c r="AP217" i="1"/>
  <c r="AM217" i="1"/>
  <c r="AL217" i="1"/>
  <c r="AO217" i="1" s="1"/>
  <c r="AF217" i="1"/>
  <c r="AJ217" i="1" s="1"/>
  <c r="AE217" i="1"/>
  <c r="AI217" i="1" s="1"/>
  <c r="AD217" i="1"/>
  <c r="AH217" i="1" s="1"/>
  <c r="AP214" i="1"/>
  <c r="AO214" i="1"/>
  <c r="AM214" i="1"/>
  <c r="AL214" i="1"/>
  <c r="AH214" i="1"/>
  <c r="AF214" i="1"/>
  <c r="AJ214" i="1" s="1"/>
  <c r="AE214" i="1"/>
  <c r="AI214" i="1" s="1"/>
  <c r="AD214" i="1"/>
  <c r="AM211" i="1"/>
  <c r="AP211" i="1" s="1"/>
  <c r="AL211" i="1"/>
  <c r="AO211" i="1" s="1"/>
  <c r="AF211" i="1"/>
  <c r="AJ211" i="1" s="1"/>
  <c r="AE211" i="1"/>
  <c r="AI211" i="1" s="1"/>
  <c r="AD211" i="1"/>
  <c r="AH211" i="1" s="1"/>
  <c r="AM208" i="1"/>
  <c r="AP208" i="1" s="1"/>
  <c r="AL208" i="1"/>
  <c r="AO208" i="1" s="1"/>
  <c r="AI208" i="1"/>
  <c r="AF208" i="1"/>
  <c r="AJ208" i="1" s="1"/>
  <c r="AE208" i="1"/>
  <c r="AD208" i="1"/>
  <c r="AH208" i="1" s="1"/>
  <c r="AO205" i="1"/>
  <c r="AM205" i="1"/>
  <c r="AP205" i="1" s="1"/>
  <c r="AL205" i="1"/>
  <c r="AJ205" i="1"/>
  <c r="AF205" i="1"/>
  <c r="AE205" i="1"/>
  <c r="AI205" i="1" s="1"/>
  <c r="AD205" i="1"/>
  <c r="AH205" i="1" s="1"/>
  <c r="AM202" i="1"/>
  <c r="AP202" i="1" s="1"/>
  <c r="AL202" i="1"/>
  <c r="AO202" i="1" s="1"/>
  <c r="AF202" i="1"/>
  <c r="AJ202" i="1" s="1"/>
  <c r="AE202" i="1"/>
  <c r="AI202" i="1" s="1"/>
  <c r="AD202" i="1"/>
  <c r="AH202" i="1" s="1"/>
  <c r="AP198" i="1"/>
  <c r="AO198" i="1"/>
  <c r="AM198" i="1"/>
  <c r="AL198" i="1"/>
  <c r="AI198" i="1"/>
  <c r="AF198" i="1"/>
  <c r="AJ198" i="1" s="1"/>
  <c r="AE198" i="1"/>
  <c r="AD198" i="1"/>
  <c r="AH198" i="1" s="1"/>
  <c r="AM195" i="1"/>
  <c r="AL195" i="1"/>
  <c r="AI195" i="1"/>
  <c r="AF195" i="1"/>
  <c r="AJ195" i="1" s="1"/>
  <c r="AE195" i="1"/>
  <c r="AD195" i="1"/>
  <c r="AH195" i="1" s="1"/>
  <c r="AM192" i="1"/>
  <c r="AP192" i="1" s="1"/>
  <c r="AL192" i="1"/>
  <c r="AO192" i="1" s="1"/>
  <c r="AF192" i="1"/>
  <c r="AJ192" i="1" s="1"/>
  <c r="AE192" i="1"/>
  <c r="AI192" i="1" s="1"/>
  <c r="AD192" i="1"/>
  <c r="AH192" i="1" s="1"/>
  <c r="AM188" i="1"/>
  <c r="AP188" i="1" s="1"/>
  <c r="AL188" i="1"/>
  <c r="AO188" i="1" s="1"/>
  <c r="AF188" i="1"/>
  <c r="AJ188" i="1" s="1"/>
  <c r="AE188" i="1"/>
  <c r="AI188" i="1" s="1"/>
  <c r="AD188" i="1"/>
  <c r="AH188" i="1" s="1"/>
  <c r="AM184" i="1"/>
  <c r="AP184" i="1" s="1"/>
  <c r="AL184" i="1"/>
  <c r="AO184" i="1" s="1"/>
  <c r="AF184" i="1"/>
  <c r="AJ184" i="1" s="1"/>
  <c r="AE184" i="1"/>
  <c r="AI184" i="1" s="1"/>
  <c r="AD184" i="1"/>
  <c r="AH184" i="1" s="1"/>
  <c r="AM181" i="1"/>
  <c r="AP181" i="1" s="1"/>
  <c r="AL181" i="1"/>
  <c r="AO181" i="1" s="1"/>
  <c r="AJ181" i="1"/>
  <c r="AI181" i="1"/>
  <c r="AF181" i="1"/>
  <c r="AE181" i="1"/>
  <c r="AD181" i="1"/>
  <c r="AH181" i="1" s="1"/>
  <c r="AM176" i="1"/>
  <c r="AP176" i="1" s="1"/>
  <c r="AL176" i="1"/>
  <c r="AO176" i="1" s="1"/>
  <c r="AJ176" i="1"/>
  <c r="AF176" i="1"/>
  <c r="AE176" i="1"/>
  <c r="AI176" i="1" s="1"/>
  <c r="AD176" i="1"/>
  <c r="AH176" i="1" s="1"/>
  <c r="AP170" i="1"/>
  <c r="AO170" i="1"/>
  <c r="AM170" i="1"/>
  <c r="AL170" i="1"/>
  <c r="AI170" i="1"/>
  <c r="AF170" i="1"/>
  <c r="AJ170" i="1" s="1"/>
  <c r="AE170" i="1"/>
  <c r="AD170" i="1"/>
  <c r="AH170" i="1" s="1"/>
  <c r="AM167" i="1"/>
  <c r="AP167" i="1" s="1"/>
  <c r="AL167" i="1"/>
  <c r="AO167" i="1" s="1"/>
  <c r="AJ167" i="1"/>
  <c r="AI167" i="1"/>
  <c r="AF167" i="1"/>
  <c r="AE167" i="1"/>
  <c r="AD167" i="1"/>
  <c r="AH167" i="1" s="1"/>
  <c r="AP164" i="1"/>
  <c r="AM164" i="1"/>
  <c r="AL164" i="1"/>
  <c r="AO164" i="1" s="1"/>
  <c r="AJ164" i="1"/>
  <c r="AI164" i="1"/>
  <c r="AF164" i="1"/>
  <c r="AE164" i="1"/>
  <c r="AD164" i="1"/>
  <c r="AH164" i="1" s="1"/>
  <c r="AP161" i="1"/>
  <c r="AO161" i="1"/>
  <c r="AM161" i="1"/>
  <c r="AL161" i="1"/>
  <c r="AJ161" i="1"/>
  <c r="AF161" i="1"/>
  <c r="AE161" i="1"/>
  <c r="AI161" i="1" s="1"/>
  <c r="AD161" i="1"/>
  <c r="AH161" i="1" s="1"/>
  <c r="AM158" i="1"/>
  <c r="AP158" i="1" s="1"/>
  <c r="AL158" i="1"/>
  <c r="AO158" i="1" s="1"/>
  <c r="AJ158" i="1"/>
  <c r="AI158" i="1"/>
  <c r="AF158" i="1"/>
  <c r="AE158" i="1"/>
  <c r="AD158" i="1"/>
  <c r="AH158" i="1" s="1"/>
  <c r="AM155" i="1"/>
  <c r="AP155" i="1" s="1"/>
  <c r="AL155" i="1"/>
  <c r="AO155" i="1" s="1"/>
  <c r="AF155" i="1"/>
  <c r="AJ155" i="1" s="1"/>
  <c r="AE155" i="1"/>
  <c r="AI155" i="1" s="1"/>
  <c r="AD155" i="1"/>
  <c r="AH155" i="1" s="1"/>
  <c r="AO152" i="1"/>
  <c r="AM152" i="1"/>
  <c r="AP152" i="1" s="1"/>
  <c r="AL152" i="1"/>
  <c r="AJ152" i="1"/>
  <c r="AF152" i="1"/>
  <c r="AE152" i="1"/>
  <c r="AI152" i="1" s="1"/>
  <c r="AD152" i="1"/>
  <c r="AH152" i="1" s="1"/>
  <c r="AM149" i="1"/>
  <c r="AP149" i="1" s="1"/>
  <c r="AL149" i="1"/>
  <c r="AO149" i="1" s="1"/>
  <c r="AF149" i="1"/>
  <c r="AJ149" i="1" s="1"/>
  <c r="AE149" i="1"/>
  <c r="AI149" i="1" s="1"/>
  <c r="AD149" i="1"/>
  <c r="AH149" i="1" s="1"/>
  <c r="AM146" i="1"/>
  <c r="AP146" i="1" s="1"/>
  <c r="AL146" i="1"/>
  <c r="AO146" i="1" s="1"/>
  <c r="AJ146" i="1"/>
  <c r="AI146" i="1"/>
  <c r="AF146" i="1"/>
  <c r="AE146" i="1"/>
  <c r="AD146" i="1"/>
  <c r="AH146" i="1" s="1"/>
  <c r="AM142" i="1"/>
  <c r="AP142" i="1" s="1"/>
  <c r="AL142" i="1"/>
  <c r="AO142" i="1" s="1"/>
  <c r="AF142" i="1"/>
  <c r="AJ142" i="1" s="1"/>
  <c r="AE142" i="1"/>
  <c r="AI142" i="1" s="1"/>
  <c r="AD142" i="1"/>
  <c r="AH142" i="1" s="1"/>
  <c r="AO139" i="1"/>
  <c r="AM139" i="1"/>
  <c r="AP139" i="1" s="1"/>
  <c r="AL139" i="1"/>
  <c r="AJ139" i="1"/>
  <c r="AF139" i="1"/>
  <c r="AE139" i="1"/>
  <c r="AI139" i="1" s="1"/>
  <c r="AD139" i="1"/>
  <c r="AH139" i="1" s="1"/>
  <c r="AM136" i="1"/>
  <c r="AP136" i="1" s="1"/>
  <c r="AL136" i="1"/>
  <c r="AO136" i="1" s="1"/>
  <c r="AJ136" i="1"/>
  <c r="AI136" i="1"/>
  <c r="AF136" i="1"/>
  <c r="AE136" i="1"/>
  <c r="AD136" i="1"/>
  <c r="AH136" i="1" s="1"/>
  <c r="AP133" i="1"/>
  <c r="AO133" i="1"/>
  <c r="AM133" i="1"/>
  <c r="AL133" i="1"/>
  <c r="AF133" i="1"/>
  <c r="AJ133" i="1" s="1"/>
  <c r="AE133" i="1"/>
  <c r="AI133" i="1" s="1"/>
  <c r="AD133" i="1"/>
  <c r="AH133" i="1" s="1"/>
  <c r="AM130" i="1"/>
  <c r="AP130" i="1" s="1"/>
  <c r="AL130" i="1"/>
  <c r="AO130" i="1" s="1"/>
  <c r="AJ130" i="1"/>
  <c r="AI130" i="1"/>
  <c r="AF130" i="1"/>
  <c r="AE130" i="1"/>
  <c r="AD130" i="1"/>
  <c r="AH130" i="1" s="1"/>
  <c r="AP127" i="1"/>
  <c r="AM127" i="1"/>
  <c r="AL127" i="1"/>
  <c r="AO127" i="1" s="1"/>
  <c r="AF127" i="1"/>
  <c r="AJ127" i="1" s="1"/>
  <c r="AE127" i="1"/>
  <c r="AI127" i="1" s="1"/>
  <c r="AD127" i="1"/>
  <c r="AH127" i="1" s="1"/>
  <c r="AM124" i="1"/>
  <c r="AP124" i="1" s="1"/>
  <c r="AL124" i="1"/>
  <c r="AO124" i="1" s="1"/>
  <c r="AJ124" i="1"/>
  <c r="AI124" i="1"/>
  <c r="AF124" i="1"/>
  <c r="AE124" i="1"/>
  <c r="AD124" i="1"/>
  <c r="AH124" i="1" s="1"/>
  <c r="AM121" i="1"/>
  <c r="AP121" i="1" s="1"/>
  <c r="AL121" i="1"/>
  <c r="AO121" i="1" s="1"/>
  <c r="AF121" i="1"/>
  <c r="AJ121" i="1" s="1"/>
  <c r="AE121" i="1"/>
  <c r="AI121" i="1" s="1"/>
  <c r="AD121" i="1"/>
  <c r="AH121" i="1" s="1"/>
  <c r="AO118" i="1"/>
  <c r="AM118" i="1"/>
  <c r="AP118" i="1" s="1"/>
  <c r="AL118" i="1"/>
  <c r="AF118" i="1"/>
  <c r="AJ118" i="1" s="1"/>
  <c r="AE118" i="1"/>
  <c r="AI118" i="1" s="1"/>
  <c r="AD118" i="1"/>
  <c r="AH118" i="1" s="1"/>
  <c r="AP115" i="1"/>
  <c r="AM115" i="1"/>
  <c r="AL115" i="1"/>
  <c r="AO115" i="1" s="1"/>
  <c r="AJ115" i="1"/>
  <c r="AI115" i="1"/>
  <c r="AF115" i="1"/>
  <c r="AE115" i="1"/>
  <c r="AD115" i="1"/>
  <c r="AH115" i="1" s="1"/>
  <c r="AP112" i="1"/>
  <c r="AO112" i="1"/>
  <c r="AM112" i="1"/>
  <c r="AL112" i="1"/>
  <c r="AJ112" i="1"/>
  <c r="AI112" i="1"/>
  <c r="AF112" i="1"/>
  <c r="AE112" i="1"/>
  <c r="AD112" i="1"/>
  <c r="AH112" i="1" s="1"/>
  <c r="AM108" i="1"/>
  <c r="AP108" i="1" s="1"/>
  <c r="AL108" i="1"/>
  <c r="AO108" i="1" s="1"/>
  <c r="AF108" i="1"/>
  <c r="AJ108" i="1" s="1"/>
  <c r="AE108" i="1"/>
  <c r="AI108" i="1" s="1"/>
  <c r="AD108" i="1"/>
  <c r="AH108" i="1" s="1"/>
  <c r="AM105" i="1"/>
  <c r="AP105" i="1" s="1"/>
  <c r="AL105" i="1"/>
  <c r="AO105" i="1" s="1"/>
  <c r="AF105" i="1"/>
  <c r="AJ105" i="1" s="1"/>
  <c r="AE105" i="1"/>
  <c r="AI105" i="1" s="1"/>
  <c r="AD105" i="1"/>
  <c r="AH105" i="1" s="1"/>
  <c r="AP102" i="1"/>
  <c r="AM102" i="1"/>
  <c r="AL102" i="1"/>
  <c r="AO102" i="1" s="1"/>
  <c r="AI102" i="1"/>
  <c r="AF102" i="1"/>
  <c r="AJ102" i="1" s="1"/>
  <c r="AE102" i="1"/>
  <c r="AD102" i="1"/>
  <c r="AH102" i="1" s="1"/>
  <c r="AM99" i="1"/>
  <c r="AP99" i="1" s="1"/>
  <c r="AL99" i="1"/>
  <c r="AO99" i="1" s="1"/>
  <c r="AF99" i="1"/>
  <c r="AJ99" i="1" s="1"/>
  <c r="AE99" i="1"/>
  <c r="AI99" i="1" s="1"/>
  <c r="AD99" i="1"/>
  <c r="AH99" i="1" s="1"/>
  <c r="AM96" i="1"/>
  <c r="AP96" i="1" s="1"/>
  <c r="AL96" i="1"/>
  <c r="AO96" i="1" s="1"/>
  <c r="AJ96" i="1"/>
  <c r="AI96" i="1"/>
  <c r="AF96" i="1"/>
  <c r="AE96" i="1"/>
  <c r="AD96" i="1"/>
  <c r="AH96" i="1" s="1"/>
  <c r="AP93" i="1"/>
  <c r="AO93" i="1"/>
  <c r="AM93" i="1"/>
  <c r="AL93" i="1"/>
  <c r="AJ93" i="1"/>
  <c r="AF93" i="1"/>
  <c r="AE93" i="1"/>
  <c r="AI93" i="1" s="1"/>
  <c r="AD93" i="1"/>
  <c r="AH93" i="1" s="1"/>
  <c r="AM90" i="1"/>
  <c r="AP90" i="1" s="1"/>
  <c r="AL90" i="1"/>
  <c r="AO90" i="1" s="1"/>
  <c r="AI90" i="1"/>
  <c r="AF90" i="1"/>
  <c r="AJ90" i="1" s="1"/>
  <c r="AE90" i="1"/>
  <c r="AD90" i="1"/>
  <c r="AH90" i="1" s="1"/>
  <c r="AM87" i="1"/>
  <c r="AP87" i="1" s="1"/>
  <c r="AL87" i="1"/>
  <c r="AO87" i="1" s="1"/>
  <c r="AF87" i="1"/>
  <c r="AJ87" i="1" s="1"/>
  <c r="AE87" i="1"/>
  <c r="AI87" i="1" s="1"/>
  <c r="AD87" i="1"/>
  <c r="AH87" i="1" s="1"/>
  <c r="AM84" i="1"/>
  <c r="AP84" i="1" s="1"/>
  <c r="AL84" i="1"/>
  <c r="AO84" i="1" s="1"/>
  <c r="AJ84" i="1"/>
  <c r="AI84" i="1"/>
  <c r="AF84" i="1"/>
  <c r="AE84" i="1"/>
  <c r="AD84" i="1"/>
  <c r="AH84" i="1" s="1"/>
  <c r="AM81" i="1"/>
  <c r="AP81" i="1" s="1"/>
  <c r="AL81" i="1"/>
  <c r="AO81" i="1" s="1"/>
  <c r="AF81" i="1"/>
  <c r="AJ81" i="1" s="1"/>
  <c r="AE81" i="1"/>
  <c r="AI81" i="1" s="1"/>
  <c r="AD81" i="1"/>
  <c r="AH81" i="1" s="1"/>
  <c r="AP77" i="1"/>
  <c r="AO77" i="1"/>
  <c r="AM77" i="1"/>
  <c r="AL77" i="1"/>
  <c r="AF77" i="1"/>
  <c r="AJ77" i="1" s="1"/>
  <c r="AE77" i="1"/>
  <c r="AI77" i="1" s="1"/>
  <c r="AD77" i="1"/>
  <c r="AH77" i="1" s="1"/>
  <c r="AM74" i="1"/>
  <c r="AP74" i="1" s="1"/>
  <c r="AL74" i="1"/>
  <c r="AO74" i="1" s="1"/>
  <c r="AJ74" i="1"/>
  <c r="AI74" i="1"/>
  <c r="AF74" i="1"/>
  <c r="AE74" i="1"/>
  <c r="AD74" i="1"/>
  <c r="AH74" i="1" s="1"/>
  <c r="AO71" i="1"/>
  <c r="AM71" i="1"/>
  <c r="AP71" i="1" s="1"/>
  <c r="AL71" i="1"/>
  <c r="AF71" i="1"/>
  <c r="AJ71" i="1" s="1"/>
  <c r="AE71" i="1"/>
  <c r="AI71" i="1" s="1"/>
  <c r="AD71" i="1"/>
  <c r="AH71" i="1" s="1"/>
  <c r="AM67" i="1"/>
  <c r="AP67" i="1" s="1"/>
  <c r="AL67" i="1"/>
  <c r="AO67" i="1" s="1"/>
  <c r="AJ67" i="1"/>
  <c r="AI67" i="1"/>
  <c r="AF67" i="1"/>
  <c r="AE67" i="1"/>
  <c r="AD67" i="1"/>
  <c r="AH67" i="1" s="1"/>
  <c r="AP64" i="1"/>
  <c r="AO64" i="1"/>
  <c r="AM64" i="1"/>
  <c r="AL64" i="1"/>
  <c r="AI64" i="1"/>
  <c r="AF64" i="1"/>
  <c r="AJ64" i="1" s="1"/>
  <c r="AE64" i="1"/>
  <c r="AD64" i="1"/>
  <c r="AH64" i="1" s="1"/>
  <c r="AM61" i="1"/>
  <c r="AP61" i="1" s="1"/>
  <c r="AL61" i="1"/>
  <c r="AO61" i="1" s="1"/>
  <c r="AJ61" i="1"/>
  <c r="AI61" i="1"/>
  <c r="AF61" i="1"/>
  <c r="AE61" i="1"/>
  <c r="AD61" i="1"/>
  <c r="AH61" i="1" s="1"/>
  <c r="AM58" i="1"/>
  <c r="AP58" i="1" s="1"/>
  <c r="AL58" i="1"/>
  <c r="AO58" i="1" s="1"/>
  <c r="AJ58" i="1"/>
  <c r="AI58" i="1"/>
  <c r="AF58" i="1"/>
  <c r="AE58" i="1"/>
  <c r="AD58" i="1"/>
  <c r="AH58" i="1" s="1"/>
  <c r="AM55" i="1"/>
  <c r="AP55" i="1" s="1"/>
  <c r="AL55" i="1"/>
  <c r="AO55" i="1" s="1"/>
  <c r="AJ55" i="1"/>
  <c r="AI55" i="1"/>
  <c r="AF55" i="1"/>
  <c r="AE55" i="1"/>
  <c r="AD55" i="1"/>
  <c r="AH55" i="1" s="1"/>
  <c r="AM52" i="1"/>
  <c r="AP52" i="1" s="1"/>
  <c r="AL52" i="1"/>
  <c r="AO52" i="1" s="1"/>
  <c r="AI52" i="1"/>
  <c r="AF52" i="1"/>
  <c r="AJ52" i="1" s="1"/>
  <c r="AE52" i="1"/>
  <c r="AD52" i="1"/>
  <c r="AH52" i="1" s="1"/>
  <c r="AM49" i="1"/>
  <c r="AP49" i="1" s="1"/>
  <c r="AL49" i="1"/>
  <c r="AO49" i="1" s="1"/>
  <c r="AF49" i="1"/>
  <c r="AJ49" i="1" s="1"/>
  <c r="AE49" i="1"/>
  <c r="AI49" i="1" s="1"/>
  <c r="AD49" i="1"/>
  <c r="AH49" i="1" s="1"/>
  <c r="AM46" i="1"/>
  <c r="AP46" i="1" s="1"/>
  <c r="AL46" i="1"/>
  <c r="AO46" i="1" s="1"/>
  <c r="AJ46" i="1"/>
  <c r="AI46" i="1"/>
  <c r="AF46" i="1"/>
  <c r="AE46" i="1"/>
  <c r="AD46" i="1"/>
  <c r="AH46" i="1" s="1"/>
  <c r="AP43" i="1"/>
  <c r="AO43" i="1"/>
  <c r="AM43" i="1"/>
  <c r="AL43" i="1"/>
  <c r="AF43" i="1"/>
  <c r="AJ43" i="1" s="1"/>
  <c r="AE43" i="1"/>
  <c r="AI43" i="1" s="1"/>
  <c r="AD43" i="1"/>
  <c r="AH43" i="1" s="1"/>
  <c r="AO40" i="1"/>
  <c r="AM40" i="1"/>
  <c r="AP40" i="1" s="1"/>
  <c r="AL40" i="1"/>
  <c r="AI40" i="1"/>
  <c r="AF40" i="1"/>
  <c r="AJ40" i="1" s="1"/>
  <c r="AE40" i="1"/>
  <c r="AD40" i="1"/>
  <c r="AH40" i="1" s="1"/>
  <c r="AO35" i="1"/>
  <c r="AM35" i="1"/>
  <c r="AP35" i="1" s="1"/>
  <c r="AL35" i="1"/>
  <c r="AF35" i="1"/>
  <c r="AJ35" i="1" s="1"/>
  <c r="AE35" i="1"/>
  <c r="AI35" i="1" s="1"/>
  <c r="AD35" i="1"/>
  <c r="AH35" i="1" s="1"/>
  <c r="AM32" i="1"/>
  <c r="AP32" i="1" s="1"/>
  <c r="AL32" i="1"/>
  <c r="AO32" i="1" s="1"/>
  <c r="AJ32" i="1"/>
  <c r="AI32" i="1"/>
  <c r="AF32" i="1"/>
  <c r="AE32" i="1"/>
  <c r="AD32" i="1"/>
  <c r="AH32" i="1" s="1"/>
  <c r="AM29" i="1"/>
  <c r="AP29" i="1" s="1"/>
  <c r="AL29" i="1"/>
  <c r="AO29" i="1" s="1"/>
  <c r="AJ29" i="1"/>
  <c r="AI29" i="1"/>
  <c r="AF29" i="1"/>
  <c r="AE29" i="1"/>
  <c r="AD29" i="1"/>
  <c r="AH29" i="1" s="1"/>
  <c r="AM26" i="1"/>
  <c r="AP26" i="1" s="1"/>
  <c r="AL26" i="1"/>
  <c r="AO26" i="1" s="1"/>
  <c r="AI26" i="1"/>
  <c r="AF26" i="1"/>
  <c r="AJ26" i="1" s="1"/>
  <c r="AE26" i="1"/>
  <c r="AD26" i="1"/>
  <c r="AH26" i="1" s="1"/>
  <c r="AM23" i="1"/>
  <c r="AP23" i="1" s="1"/>
  <c r="AL23" i="1"/>
  <c r="AO23" i="1" s="1"/>
  <c r="AF23" i="1"/>
  <c r="AJ23" i="1" s="1"/>
  <c r="AE23" i="1"/>
  <c r="AI23" i="1" s="1"/>
  <c r="AD23" i="1"/>
  <c r="AH23" i="1" s="1"/>
  <c r="AM20" i="1"/>
  <c r="AP20" i="1" s="1"/>
  <c r="AL20" i="1"/>
  <c r="AO20" i="1" s="1"/>
  <c r="AI20" i="1"/>
  <c r="AH20" i="1"/>
  <c r="AF20" i="1"/>
  <c r="AJ20" i="1" s="1"/>
  <c r="AE20" i="1"/>
  <c r="AD20" i="1"/>
  <c r="AP17" i="1"/>
  <c r="AO17" i="1"/>
  <c r="AM17" i="1"/>
  <c r="AL17" i="1"/>
  <c r="AJ17" i="1"/>
  <c r="AI17" i="1"/>
  <c r="AF17" i="1"/>
  <c r="AE17" i="1"/>
  <c r="AD17" i="1"/>
  <c r="AH17" i="1" s="1"/>
  <c r="AP14" i="1"/>
  <c r="AO14" i="1"/>
  <c r="AM14" i="1"/>
  <c r="AL14" i="1"/>
  <c r="AF14" i="1"/>
  <c r="AJ14" i="1" s="1"/>
  <c r="AE14" i="1"/>
  <c r="AI14" i="1" s="1"/>
  <c r="AD14" i="1"/>
  <c r="AH14" i="1" s="1"/>
  <c r="AM11" i="1"/>
  <c r="AP11" i="1" s="1"/>
  <c r="AL11" i="1"/>
  <c r="AO11" i="1" s="1"/>
  <c r="AF11" i="1"/>
  <c r="AJ11" i="1" s="1"/>
  <c r="AE11" i="1"/>
  <c r="AI11" i="1" s="1"/>
  <c r="AD11" i="1"/>
  <c r="AH11" i="1" s="1"/>
  <c r="AM8" i="1"/>
  <c r="AP8" i="1" s="1"/>
  <c r="AL8" i="1"/>
  <c r="AO8" i="1" s="1"/>
  <c r="AF8" i="1"/>
  <c r="AJ8" i="1" s="1"/>
  <c r="AE8" i="1"/>
  <c r="AI8" i="1" s="1"/>
  <c r="AD8" i="1"/>
  <c r="AH8" i="1" s="1"/>
  <c r="AO5" i="1"/>
  <c r="AM5" i="1"/>
  <c r="AP5" i="1" s="1"/>
  <c r="AL5" i="1"/>
  <c r="AI5" i="1"/>
  <c r="AH5" i="1"/>
  <c r="AF5" i="1"/>
  <c r="AJ5" i="1" s="1"/>
  <c r="AE5" i="1"/>
  <c r="AD5" i="1"/>
  <c r="AP2" i="1"/>
  <c r="AO2" i="1"/>
  <c r="AM2" i="1"/>
  <c r="AL2" i="1"/>
  <c r="AJ2" i="1"/>
  <c r="AI2" i="1"/>
  <c r="AH2" i="1"/>
  <c r="AF2" i="1"/>
  <c r="AE2" i="1"/>
  <c r="AD2" i="1"/>
</calcChain>
</file>

<file path=xl/sharedStrings.xml><?xml version="1.0" encoding="utf-8"?>
<sst xmlns="http://schemas.openxmlformats.org/spreadsheetml/2006/main" count="746" uniqueCount="294">
  <si>
    <t>губ</t>
  </si>
  <si>
    <t>чж 1894</t>
  </si>
  <si>
    <t>чр 1893</t>
  </si>
  <si>
    <t>чу 1893</t>
  </si>
  <si>
    <t>чж-гор 1894</t>
  </si>
  <si>
    <t>чр-гор 1893</t>
  </si>
  <si>
    <t>чу-гор 1893</t>
  </si>
  <si>
    <t>ср-чж 1887-1892</t>
  </si>
  <si>
    <t>ср-чр 1887-1892</t>
  </si>
  <si>
    <t>ср-чу 1887-1892</t>
  </si>
  <si>
    <t>уезды</t>
  </si>
  <si>
    <t>Архангельская</t>
  </si>
  <si>
    <t>—</t>
  </si>
  <si>
    <t>[Архангельская род.]</t>
  </si>
  <si>
    <t>[Архангельская ум.]</t>
  </si>
  <si>
    <t>Астраханская</t>
  </si>
  <si>
    <t>[Астраханская род.]</t>
  </si>
  <si>
    <t>[Астраханская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</si>
  <si>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</si>
  <si>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</si>
  <si>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</si>
  <si>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</si>
  <si>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</si>
  <si>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</si>
  <si>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</si>
  <si>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</si>
  <si>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</si>
  <si>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</si>
  <si>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</si>
  <si>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</si>
  <si>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</si>
  <si>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</si>
  <si>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</si>
  <si>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</si>
  <si>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</si>
  <si>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</si>
  <si>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</si>
  <si>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</si>
  <si>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</si>
  <si>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</si>
  <si>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</si>
  <si>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</si>
  <si>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</si>
  <si>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</si>
  <si>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</si>
  <si>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</si>
  <si>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</si>
  <si>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</si>
  <si>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</si>
  <si>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</si>
  <si>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</si>
  <si>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</si>
  <si>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</si>
  <si>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</si>
  <si>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</si>
  <si>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</si>
  <si>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</si>
  <si>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</si>
  <si>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</si>
  <si>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</si>
  <si>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</si>
  <si>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</si>
  <si>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</si>
  <si>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</si>
  <si>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</si>
  <si>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</si>
  <si>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</si>
  <si>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</si>
  <si>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</si>
  <si>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</si>
  <si>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</si>
  <si>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</si>
  <si>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</si>
  <si>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</si>
  <si>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</si>
  <si>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</si>
  <si>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</si>
  <si>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</si>
  <si>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</si>
  <si>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</si>
  <si>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</si>
  <si>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</si>
  <si>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</si>
  <si>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</si>
  <si>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</si>
  <si>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</si>
  <si>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</si>
  <si>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</si>
  <si>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</si>
  <si>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</si>
  <si>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</si>
  <si>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</si>
  <si>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</si>
  <si>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</si>
  <si>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</si>
  <si>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</si>
  <si>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</si>
  <si>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</si>
  <si>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</si>
  <si>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</si>
  <si>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</si>
  <si>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</si>
  <si>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</si>
  <si>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</si>
  <si>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</si>
  <si>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</si>
  <si>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</si>
  <si>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</si>
  <si>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</si>
  <si>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</si>
  <si>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</si>
  <si>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</si>
  <si>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</si>
  <si>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</si>
  <si>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</si>
  <si>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</si>
  <si>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</si>
  <si>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</si>
  <si>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</si>
  <si>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</si>
  <si>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</si>
  <si>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Гор. Москва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</si>
  <si>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</si>
  <si>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</si>
  <si>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</si>
  <si>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</si>
  <si>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</si>
  <si>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</si>
  <si>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</si>
  <si>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</si>
  <si>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</si>
  <si>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</si>
  <si>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</si>
  <si>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</si>
  <si>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</si>
  <si>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</si>
  <si>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</si>
  <si>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</si>
  <si>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</si>
  <si>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</si>
  <si>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</si>
  <si>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</si>
  <si>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</si>
  <si>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</si>
  <si>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</si>
  <si>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</si>
  <si>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</si>
  <si>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</si>
  <si>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</si>
  <si>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</si>
  <si>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</si>
  <si>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</si>
  <si>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</si>
  <si>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</si>
  <si>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</si>
  <si>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</si>
  <si>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</si>
  <si>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</si>
  <si>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</si>
  <si>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</si>
  <si>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</si>
  <si>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</si>
  <si>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</si>
  <si>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</si>
  <si>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</si>
  <si>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</si>
  <si>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</si>
  <si>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</si>
  <si>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</si>
  <si>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</si>
  <si>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</si>
  <si>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</si>
  <si>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</si>
  <si>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</si>
  <si>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</si>
  <si>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</si>
  <si>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</si>
  <si>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</si>
  <si>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</si>
  <si>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</si>
  <si>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</si>
  <si>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</si>
  <si>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</si>
  <si>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</si>
  <si>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</si>
  <si>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</si>
  <si>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</si>
  <si>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</si>
  <si>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</si>
  <si>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</si>
  <si>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</si>
  <si>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</si>
  <si>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</si>
  <si>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</si>
  <si>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</si>
  <si>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</si>
  <si>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</si>
  <si>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</si>
  <si>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</si>
  <si>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</si>
  <si>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</si>
  <si>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</si>
  <si>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</si>
  <si>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</si>
  <si>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</si>
  <si>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</si>
  <si>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</si>
  <si>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</si>
  <si>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</si>
  <si>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</si>
  <si>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</si>
  <si>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</si>
  <si>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</t>
  </si>
  <si>
    <t>[Кубанская род.]</t>
  </si>
  <si>
    <t>[Кубанская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</si>
  <si>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</si>
  <si>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</si>
  <si>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</si>
  <si>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</si>
  <si>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</si>
  <si>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</si>
  <si>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</t>
  </si>
  <si>
    <t>[Терская род.]</t>
  </si>
  <si>
    <t>[Терская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</si>
  <si>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</si>
  <si>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</si>
  <si>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</si>
  <si>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</si>
  <si>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</si>
  <si>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</si>
  <si>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</si>
  <si>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</si>
  <si>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</si>
  <si>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</si>
  <si>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</si>
  <si>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</t>
  </si>
  <si>
    <t>[Забайкальская род.]</t>
  </si>
  <si>
    <t>[Забайкальская ум.]</t>
  </si>
  <si>
    <t>Иркутская</t>
  </si>
  <si>
    <t>[Иркутская род.]</t>
  </si>
  <si>
    <t>[Иркутская ум.]</t>
  </si>
  <si>
    <t>Приморская</t>
  </si>
  <si>
    <t>[Приморская род.]</t>
  </si>
  <si>
    <t>[Приморская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</si>
  <si>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</si>
  <si>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</si>
  <si>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</si>
  <si>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</si>
  <si>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</si>
  <si>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</si>
  <si>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</t>
  </si>
  <si>
    <t>[Якутская род.]</t>
  </si>
  <si>
    <t>[Якутская ум.]</t>
  </si>
  <si>
    <t>Сахалинская</t>
  </si>
  <si>
    <t>[Сахалинская род.]</t>
  </si>
  <si>
    <t>[Сахалинская ум.]</t>
  </si>
  <si>
    <t>Итого в Сибири</t>
  </si>
  <si>
    <t>Акмолинская</t>
  </si>
  <si>
    <t>[Акмолинская род.]</t>
  </si>
  <si>
    <t>[Акмолинская ум.]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</si>
  <si>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</si>
  <si>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</si>
  <si>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</si>
  <si>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</si>
  <si>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</si>
  <si>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</si>
  <si>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</si>
  <si>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 область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</si>
  <si>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</si>
  <si>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</si>
  <si>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</si>
  <si>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</si>
  <si>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</si>
  <si>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</si>
  <si>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</t>
  </si>
  <si>
    <t>[Уральская род.]</t>
  </si>
  <si>
    <t>[Уральская ум.]</t>
  </si>
  <si>
    <t>Ферганская</t>
  </si>
  <si>
    <t>[Ферганская род.]</t>
  </si>
  <si>
    <t>[Ферганская ум.]</t>
  </si>
  <si>
    <t>Итого в Средне-Азиатских областях</t>
  </si>
  <si>
    <t>Итого во всей Империи</t>
  </si>
  <si>
    <t>р YY</t>
  </si>
  <si>
    <t>с YY</t>
  </si>
  <si>
    <t>v-чж</t>
  </si>
  <si>
    <t>v-чр</t>
  </si>
  <si>
    <t>v-чу</t>
  </si>
  <si>
    <t>vd-чж</t>
  </si>
  <si>
    <t>vd-чр</t>
  </si>
  <si>
    <t>vd-чу</t>
  </si>
  <si>
    <t>v-р</t>
  </si>
  <si>
    <t>v-с</t>
  </si>
  <si>
    <t>vd-р</t>
  </si>
  <si>
    <t>vd-с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</si>
</sst>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rlito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rlito"/>
      <family val="2"/>
    </font>
    <font>
      <b/>
      <sz val="11"/>
      <name val="Carlito"/>
      <family val="2"/>
    </font>
    <font>
      <sz val="10"/>
      <color rgb="FF000000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8">
    <xf numFmtId="0" fontId="0" fillId="0" borderId="0" xfId="0" applyBorder="1"/>
    <xf numFmtId="0" fontId="0" fillId="0" borderId="2" xfId="0" applyBorder="1"/>
    <xf numFmtId="0" fontId="3" fillId="2" borderId="0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left" vertical="center"/>
    </xf>
    <xf numFmtId="3" fontId="3" fillId="3" borderId="0" xfId="0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3" fontId="3" fillId="0" borderId="0" xfId="0" applyNumberFormat="1" applyFont="1" applyBorder="1" applyAlignment="1">
      <alignment horizontal="left" vertical="center"/>
    </xf>
    <xf numFmtId="3" fontId="3" fillId="0" borderId="0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3" fontId="3" fillId="0" borderId="0" xfId="0" applyNumberFormat="1" applyFont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right" vertical="center"/>
    </xf>
    <xf numFmtId="164" fontId="1" fillId="3" borderId="2" xfId="0" applyNumberFormat="1" applyFont="1" applyFill="1" applyBorder="1" applyAlignment="1">
      <alignment horizontal="right" vertical="center"/>
    </xf>
    <xf numFmtId="3" fontId="1" fillId="5" borderId="2" xfId="0" applyNumberFormat="1" applyFont="1" applyFill="1" applyBorder="1" applyAlignment="1">
      <alignment horizontal="right" vertical="center"/>
    </xf>
    <xf numFmtId="3" fontId="1" fillId="0" borderId="2" xfId="0" applyNumberFormat="1" applyFont="1" applyBorder="1" applyAlignment="1">
      <alignment horizontal="right" vertical="center"/>
    </xf>
    <xf numFmtId="3" fontId="1" fillId="5" borderId="2" xfId="0" applyNumberFormat="1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right" vertical="center"/>
    </xf>
    <xf numFmtId="0" fontId="3" fillId="4" borderId="0" xfId="0" applyFont="1" applyFill="1" applyBorder="1" applyAlignment="1">
      <alignment horizontal="left" vertical="center"/>
    </xf>
    <xf numFmtId="3" fontId="3" fillId="4" borderId="0" xfId="0" applyNumberFormat="1" applyFont="1" applyFill="1" applyBorder="1" applyAlignment="1">
      <alignment horizontal="righ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3" fontId="3" fillId="4" borderId="0" xfId="0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right" vertical="center"/>
    </xf>
    <xf numFmtId="3" fontId="1" fillId="0" borderId="2" xfId="0" applyNumberFormat="1" applyFont="1" applyFill="1" applyBorder="1" applyAlignment="1">
      <alignment horizontal="right" vertical="center"/>
    </xf>
    <xf numFmtId="3" fontId="1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/>
    <xf numFmtId="0" fontId="0" fillId="0" borderId="0" xfId="0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left" vertical="center"/>
    </xf>
    <xf numFmtId="3" fontId="1" fillId="5" borderId="2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3" fontId="1" fillId="0" borderId="2" xfId="0" applyNumberFormat="1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3" fontId="1" fillId="0" borderId="2" xfId="0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vertical="center"/>
    </xf>
    <xf numFmtId="0" fontId="5" fillId="6" borderId="0" xfId="0" applyFont="1" applyFill="1" applyBorder="1" applyAlignment="1">
      <alignment horizontal="center" vertical="center"/>
    </xf>
    <xf numFmtId="3" fontId="6" fillId="8" borderId="0" xfId="0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3" fontId="4" fillId="7" borderId="0" xfId="0" applyNumberFormat="1" applyFont="1" applyFill="1" applyBorder="1" applyAlignment="1">
      <alignment vertical="center"/>
    </xf>
    <xf numFmtId="164" fontId="4" fillId="7" borderId="0" xfId="0" applyNumberFormat="1" applyFont="1" applyFill="1" applyBorder="1" applyAlignment="1">
      <alignment vertical="center"/>
    </xf>
    <xf numFmtId="3" fontId="4" fillId="8" borderId="0" xfId="0" applyNumberFormat="1" applyFont="1" applyFill="1" applyBorder="1" applyAlignment="1">
      <alignment vertical="center"/>
    </xf>
    <xf numFmtId="164" fontId="4" fillId="8" borderId="0" xfId="0" applyNumberFormat="1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3" fontId="3" fillId="5" borderId="0" xfId="0" applyNumberFormat="1" applyFont="1" applyFill="1" applyBorder="1" applyAlignment="1">
      <alignment horizontal="left" vertical="center"/>
    </xf>
    <xf numFmtId="3" fontId="3" fillId="5" borderId="0" xfId="0" applyNumberFormat="1" applyFont="1" applyFill="1" applyBorder="1" applyAlignment="1">
      <alignment horizontal="right" vertical="center"/>
    </xf>
    <xf numFmtId="164" fontId="3" fillId="5" borderId="2" xfId="0" applyNumberFormat="1" applyFont="1" applyFill="1" applyBorder="1" applyAlignment="1">
      <alignment horizontal="right" vertical="center"/>
    </xf>
    <xf numFmtId="3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vertical="center"/>
    </xf>
    <xf numFmtId="3" fontId="3" fillId="8" borderId="0" xfId="0" applyNumberFormat="1" applyFont="1" applyFill="1" applyBorder="1" applyAlignment="1">
      <alignment horizontal="left" vertical="center"/>
    </xf>
    <xf numFmtId="3" fontId="3" fillId="8" borderId="0" xfId="0" applyNumberFormat="1" applyFont="1" applyFill="1" applyBorder="1" applyAlignment="1">
      <alignment horizontal="right" vertical="center"/>
    </xf>
    <xf numFmtId="164" fontId="3" fillId="8" borderId="2" xfId="0" applyNumberFormat="1" applyFont="1" applyFill="1" applyBorder="1" applyAlignment="1">
      <alignment horizontal="right" vertical="center"/>
    </xf>
    <xf numFmtId="3" fontId="3" fillId="8" borderId="2" xfId="0" applyNumberFormat="1" applyFont="1" applyFill="1" applyBorder="1" applyAlignment="1">
      <alignment horizontal="right" vertical="center"/>
    </xf>
    <xf numFmtId="3" fontId="3" fillId="5" borderId="0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3" fontId="4" fillId="7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/>
  <cols>
    <col min="1" max="1" width="31.3671875" bestFit="1" customWidth="1"/>
    <col min="2" max="2" width="10.734375" bestFit="1" customWidth="1"/>
    <col min="3" max="4" width="8.734375" bestFit="1" customWidth="1"/>
    <col min="5" max="5" width="10.83984375" bestFit="1" customWidth="1"/>
    <col min="6" max="6" width="10.47265625" bestFit="1" customWidth="1"/>
    <col min="7" max="7" width="10.3671875" bestFit="1" customWidth="1"/>
    <col min="8" max="8" width="14.5234375" bestFit="1" customWidth="1"/>
    <col min="9" max="9" width="14.15625" bestFit="1" customWidth="1"/>
    <col min="10" max="10" width="14.05078125" bestFit="1" customWidth="1"/>
    <col min="11" max="11" width="4.41796875" style="1" bestFit="1" customWidth="1"/>
    <col min="12" max="12" width="4.20703125" style="1" bestFit="1" customWidth="1"/>
    <col min="13" max="13" width="2.41796875" style="33" customWidth="1"/>
    <col min="14" max="28" width="7.20703125" bestFit="1" customWidth="1"/>
    <col min="29" max="29" width="3.05078125" customWidth="1"/>
    <col min="30" max="30" width="10.3125" bestFit="1" customWidth="1"/>
    <col min="31" max="31" width="9.26171875" bestFit="1" customWidth="1"/>
    <col min="32" max="32" width="9.26171875" customWidth="1"/>
    <col min="33" max="33" width="2" customWidth="1"/>
    <col min="34" max="34" width="9.9453125" bestFit="1" customWidth="1"/>
    <col min="35" max="35" width="8.3671875" bestFit="1" customWidth="1"/>
    <col min="36" max="36" width="6.26171875" bestFit="1" customWidth="1"/>
    <col min="37" max="37" width="1.83984375" customWidth="1"/>
    <col min="38" max="39" width="4.5234375" bestFit="1" customWidth="1"/>
    <col min="40" max="40" width="1.3125" customWidth="1"/>
    <col min="41" max="42" width="7.83984375" bestFit="1" customWidth="1"/>
  </cols>
  <sheetData>
    <row r="1" spans="1:4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7" t="s">
        <v>282</v>
      </c>
      <c r="L1" s="27" t="s">
        <v>283</v>
      </c>
      <c r="M1" s="29"/>
      <c r="N1" s="28" t="s">
        <v>10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34"/>
      <c r="AD1" s="44" t="s">
        <v>284</v>
      </c>
      <c r="AE1" s="44" t="s">
        <v>285</v>
      </c>
      <c r="AF1" s="44" t="s">
        <v>286</v>
      </c>
      <c r="AG1" s="34"/>
      <c r="AH1" s="44" t="s">
        <v>287</v>
      </c>
      <c r="AI1" s="44" t="s">
        <v>288</v>
      </c>
      <c r="AJ1" s="44" t="s">
        <v>289</v>
      </c>
      <c r="AK1" s="34"/>
      <c r="AL1" s="44" t="s">
        <v>290</v>
      </c>
      <c r="AM1" s="44" t="s">
        <v>291</v>
      </c>
      <c r="AN1" s="34"/>
      <c r="AO1" s="44" t="s">
        <v>292</v>
      </c>
      <c r="AP1" s="44" t="s">
        <v>293</v>
      </c>
    </row>
    <row r="2" spans="1:42">
      <c r="A2" s="2" t="s">
        <v>11</v>
      </c>
      <c r="B2" s="3">
        <v>350597</v>
      </c>
      <c r="C2" s="3">
        <v>12942</v>
      </c>
      <c r="D2" s="3">
        <v>9851</v>
      </c>
      <c r="E2" s="4" t="s">
        <v>12</v>
      </c>
      <c r="F2" s="4" t="s">
        <v>12</v>
      </c>
      <c r="G2" s="4" t="s">
        <v>12</v>
      </c>
      <c r="H2" s="3">
        <v>352507</v>
      </c>
      <c r="I2" s="3">
        <v>13518</v>
      </c>
      <c r="J2" s="3">
        <v>8939</v>
      </c>
      <c r="K2" s="5">
        <v>36.9</v>
      </c>
      <c r="L2" s="5">
        <v>28.1</v>
      </c>
      <c r="M2" s="30"/>
      <c r="N2" s="3">
        <v>53873</v>
      </c>
      <c r="O2" s="3">
        <v>45142</v>
      </c>
      <c r="P2" s="4" t="s">
        <v>12</v>
      </c>
      <c r="Q2" s="3">
        <v>54682</v>
      </c>
      <c r="R2" s="3">
        <v>40603</v>
      </c>
      <c r="S2" s="4" t="s">
        <v>12</v>
      </c>
      <c r="T2" s="3">
        <v>30112</v>
      </c>
      <c r="U2" s="3">
        <v>41132</v>
      </c>
      <c r="V2" s="3">
        <v>85053</v>
      </c>
      <c r="W2" s="3"/>
      <c r="X2" s="3"/>
      <c r="Y2" s="3"/>
      <c r="Z2" s="3"/>
      <c r="AA2" s="3"/>
      <c r="AB2" s="3"/>
      <c r="AC2" s="47"/>
      <c r="AD2" s="48">
        <f>SUM(N2:AB2)</f>
        <v>350597</v>
      </c>
      <c r="AE2" s="48">
        <f>SUM(N3:AB3)</f>
        <v>12942</v>
      </c>
      <c r="AF2" s="48">
        <f>SUM(N4:AB4)</f>
        <v>9851</v>
      </c>
      <c r="AG2" s="47"/>
      <c r="AH2" s="48">
        <f>AD2-B2</f>
        <v>0</v>
      </c>
      <c r="AI2" s="48">
        <f>AE2-C2</f>
        <v>0</v>
      </c>
      <c r="AJ2" s="48">
        <f>AF2-D2</f>
        <v>0</v>
      </c>
      <c r="AK2" s="47"/>
      <c r="AL2" s="49">
        <f>C2/B2*1000</f>
        <v>36.914177816695521</v>
      </c>
      <c r="AM2" s="49">
        <f>D2/B2*1000</f>
        <v>28.097787488198701</v>
      </c>
      <c r="AN2" s="47"/>
      <c r="AO2" s="49">
        <f>AL2-K2</f>
        <v>1.4177816695521983E-2</v>
      </c>
      <c r="AP2" s="49">
        <f>AM2-L2</f>
        <v>-2.2125118013001099E-3</v>
      </c>
    </row>
    <row r="3" spans="1:42">
      <c r="A3" s="24" t="s">
        <v>13</v>
      </c>
      <c r="B3" s="10"/>
      <c r="C3" s="10"/>
      <c r="D3" s="10"/>
      <c r="E3" s="10"/>
      <c r="F3" s="10"/>
      <c r="G3" s="10"/>
      <c r="H3" s="10"/>
      <c r="I3" s="10"/>
      <c r="J3" s="10"/>
      <c r="K3" s="11" t="s">
        <v>12</v>
      </c>
      <c r="L3" s="11" t="s">
        <v>12</v>
      </c>
      <c r="M3" s="30"/>
      <c r="N3" s="10">
        <v>1790</v>
      </c>
      <c r="O3" s="10">
        <v>948</v>
      </c>
      <c r="P3" s="10">
        <v>389</v>
      </c>
      <c r="Q3" s="10">
        <v>1044</v>
      </c>
      <c r="R3" s="10">
        <v>1292</v>
      </c>
      <c r="S3" s="10">
        <v>1450</v>
      </c>
      <c r="T3" s="10">
        <v>1232</v>
      </c>
      <c r="U3" s="10">
        <v>1521</v>
      </c>
      <c r="V3" s="10">
        <v>3276</v>
      </c>
      <c r="W3" s="10"/>
      <c r="X3" s="10"/>
      <c r="Y3" s="10"/>
      <c r="Z3" s="10"/>
      <c r="AA3" s="10"/>
      <c r="AB3" s="10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</row>
    <row r="4" spans="1:42">
      <c r="A4" s="24" t="s">
        <v>14</v>
      </c>
      <c r="B4" s="10"/>
      <c r="C4" s="10"/>
      <c r="D4" s="10"/>
      <c r="E4" s="10"/>
      <c r="F4" s="10"/>
      <c r="G4" s="10"/>
      <c r="H4" s="10"/>
      <c r="I4" s="10"/>
      <c r="J4" s="10"/>
      <c r="K4" s="11" t="s">
        <v>12</v>
      </c>
      <c r="L4" s="11" t="s">
        <v>12</v>
      </c>
      <c r="M4" s="30"/>
      <c r="N4" s="10">
        <v>1817</v>
      </c>
      <c r="O4" s="10">
        <v>788</v>
      </c>
      <c r="P4" s="10">
        <v>268</v>
      </c>
      <c r="Q4" s="10">
        <v>688</v>
      </c>
      <c r="R4" s="10">
        <v>1223</v>
      </c>
      <c r="S4" s="10">
        <v>715</v>
      </c>
      <c r="T4" s="10">
        <v>866</v>
      </c>
      <c r="U4" s="10">
        <v>1034</v>
      </c>
      <c r="V4" s="10">
        <v>2452</v>
      </c>
      <c r="W4" s="10"/>
      <c r="X4" s="10"/>
      <c r="Y4" s="10"/>
      <c r="Z4" s="10"/>
      <c r="AA4" s="10"/>
      <c r="AB4" s="10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</row>
    <row r="5" spans="1:42">
      <c r="A5" s="2" t="s">
        <v>15</v>
      </c>
      <c r="B5" s="3">
        <v>935011</v>
      </c>
      <c r="C5" s="3">
        <v>33435</v>
      </c>
      <c r="D5" s="3">
        <v>24982</v>
      </c>
      <c r="E5" s="3">
        <v>120209</v>
      </c>
      <c r="F5" s="3">
        <v>5787</v>
      </c>
      <c r="G5" s="3">
        <v>5295</v>
      </c>
      <c r="H5" s="3">
        <v>880098</v>
      </c>
      <c r="I5" s="3">
        <v>29100</v>
      </c>
      <c r="J5" s="3">
        <v>24743</v>
      </c>
      <c r="K5" s="5">
        <v>42.2</v>
      </c>
      <c r="L5" s="5">
        <v>31.4</v>
      </c>
      <c r="M5" s="30"/>
      <c r="N5" s="3">
        <v>164538</v>
      </c>
      <c r="O5" s="3">
        <v>67169</v>
      </c>
      <c r="P5" s="3">
        <v>34576</v>
      </c>
      <c r="Q5" s="3">
        <v>91697</v>
      </c>
      <c r="R5" s="3">
        <v>182259</v>
      </c>
      <c r="S5" s="3">
        <v>140457</v>
      </c>
      <c r="T5" s="3">
        <v>254315</v>
      </c>
      <c r="U5" s="3"/>
      <c r="V5" s="3"/>
      <c r="W5" s="3"/>
      <c r="X5" s="3"/>
      <c r="Y5" s="3"/>
      <c r="Z5" s="3"/>
      <c r="AA5" s="3"/>
      <c r="AB5" s="3"/>
      <c r="AC5" s="47"/>
      <c r="AD5" s="48">
        <f>SUM(N5:AB5)</f>
        <v>935011</v>
      </c>
      <c r="AE5" s="48">
        <f>SUM(N6:AB6)</f>
        <v>33435</v>
      </c>
      <c r="AF5" s="48">
        <f>SUM(N7:AB7)</f>
        <v>25082</v>
      </c>
      <c r="AG5" s="47"/>
      <c r="AH5" s="48">
        <f>AD5-B5</f>
        <v>0</v>
      </c>
      <c r="AI5" s="48">
        <f>AE5-C5</f>
        <v>0</v>
      </c>
      <c r="AJ5" s="48">
        <f>AF5-D5</f>
        <v>100</v>
      </c>
      <c r="AK5" s="47"/>
      <c r="AL5" s="49">
        <f>C5/B5*1000</f>
        <v>35.758937595386577</v>
      </c>
      <c r="AM5" s="49">
        <f>D5/B5*1000</f>
        <v>26.718402243396067</v>
      </c>
      <c r="AN5" s="47"/>
      <c r="AO5" s="49">
        <f>AL5-K5</f>
        <v>-6.4410624046134259</v>
      </c>
      <c r="AP5" s="49">
        <f>AM5-L5</f>
        <v>-4.6815977566039315</v>
      </c>
    </row>
    <row r="6" spans="1:42">
      <c r="A6" s="24" t="s">
        <v>16</v>
      </c>
      <c r="B6" s="10"/>
      <c r="C6" s="10"/>
      <c r="D6" s="10"/>
      <c r="E6" s="10"/>
      <c r="F6" s="10"/>
      <c r="G6" s="10"/>
      <c r="H6" s="10"/>
      <c r="I6" s="10"/>
      <c r="J6" s="10"/>
      <c r="K6" s="11" t="s">
        <v>12</v>
      </c>
      <c r="L6" s="11" t="s">
        <v>12</v>
      </c>
      <c r="M6" s="30"/>
      <c r="N6" s="10">
        <v>8915</v>
      </c>
      <c r="O6" s="10">
        <v>3348</v>
      </c>
      <c r="P6" s="10">
        <v>2011</v>
      </c>
      <c r="Q6" s="10">
        <v>5667</v>
      </c>
      <c r="R6" s="10">
        <v>11061</v>
      </c>
      <c r="S6" s="12" t="s">
        <v>12</v>
      </c>
      <c r="T6" s="10">
        <v>2433</v>
      </c>
      <c r="U6" s="10"/>
      <c r="V6" s="10"/>
      <c r="W6" s="10"/>
      <c r="X6" s="10"/>
      <c r="Y6" s="10"/>
      <c r="Z6" s="10"/>
      <c r="AA6" s="10"/>
      <c r="AB6" s="10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</row>
    <row r="7" spans="1:42">
      <c r="A7" s="24" t="s">
        <v>17</v>
      </c>
      <c r="B7" s="10"/>
      <c r="C7" s="10"/>
      <c r="D7" s="10"/>
      <c r="E7" s="10"/>
      <c r="F7" s="10"/>
      <c r="G7" s="10"/>
      <c r="H7" s="10"/>
      <c r="I7" s="10"/>
      <c r="J7" s="10"/>
      <c r="K7" s="11" t="s">
        <v>12</v>
      </c>
      <c r="L7" s="11" t="s">
        <v>12</v>
      </c>
      <c r="M7" s="30"/>
      <c r="N7" s="10">
        <v>7805</v>
      </c>
      <c r="O7" s="10">
        <v>2555</v>
      </c>
      <c r="P7" s="10">
        <v>1682</v>
      </c>
      <c r="Q7" s="10">
        <v>3385</v>
      </c>
      <c r="R7" s="10">
        <v>7241</v>
      </c>
      <c r="S7" s="12" t="s">
        <v>12</v>
      </c>
      <c r="T7" s="10">
        <v>2414</v>
      </c>
      <c r="U7" s="10"/>
      <c r="V7" s="10"/>
      <c r="W7" s="10"/>
      <c r="X7" s="10"/>
      <c r="Y7" s="10"/>
      <c r="Z7" s="10"/>
      <c r="AA7" s="10"/>
      <c r="AB7" s="10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</row>
    <row r="8" spans="1:42">
      <c r="A8" s="2" t="s">
        <v>18</v>
      </c>
      <c r="B8" s="3">
        <v>1397550</v>
      </c>
      <c r="C8" s="3">
        <v>63257</v>
      </c>
      <c r="D8" s="3">
        <v>39479</v>
      </c>
      <c r="E8" s="3">
        <v>145493</v>
      </c>
      <c r="F8" s="3">
        <v>5540</v>
      </c>
      <c r="G8" s="3">
        <v>4231</v>
      </c>
      <c r="H8" s="3">
        <v>1345453</v>
      </c>
      <c r="I8" s="3">
        <v>56531</v>
      </c>
      <c r="J8" s="3">
        <v>32207</v>
      </c>
      <c r="K8" s="5">
        <v>45.2</v>
      </c>
      <c r="L8" s="5">
        <v>28.2</v>
      </c>
      <c r="M8" s="30"/>
      <c r="N8" s="3">
        <v>307954</v>
      </c>
      <c r="O8" s="3">
        <v>204460</v>
      </c>
      <c r="P8" s="3">
        <v>185821</v>
      </c>
      <c r="Q8" s="3">
        <v>180887</v>
      </c>
      <c r="R8" s="3">
        <v>213920</v>
      </c>
      <c r="S8" s="3">
        <v>162033</v>
      </c>
      <c r="T8" s="3">
        <v>142475</v>
      </c>
      <c r="U8" s="3"/>
      <c r="V8" s="3"/>
      <c r="W8" s="3"/>
      <c r="X8" s="3"/>
      <c r="Y8" s="3"/>
      <c r="Z8" s="3"/>
      <c r="AA8" s="3"/>
      <c r="AB8" s="3"/>
      <c r="AC8" s="47"/>
      <c r="AD8" s="48">
        <f>SUM(N8:AB8)</f>
        <v>1397550</v>
      </c>
      <c r="AE8" s="48">
        <f>SUM(N9:AB9)</f>
        <v>63257</v>
      </c>
      <c r="AF8" s="48">
        <f>SUM(N10:AB10)</f>
        <v>39479</v>
      </c>
      <c r="AG8" s="47"/>
      <c r="AH8" s="48">
        <f>AD8-B8</f>
        <v>0</v>
      </c>
      <c r="AI8" s="48">
        <f>AE8-C8</f>
        <v>0</v>
      </c>
      <c r="AJ8" s="48">
        <f>AF8-D8</f>
        <v>0</v>
      </c>
      <c r="AK8" s="47"/>
      <c r="AL8" s="49">
        <f>C8/B8*1000</f>
        <v>45.262781295839147</v>
      </c>
      <c r="AM8" s="49">
        <f>D8/B8*1000</f>
        <v>28.248720975993702</v>
      </c>
      <c r="AN8" s="47"/>
      <c r="AO8" s="49">
        <f>AL8-K8</f>
        <v>6.2781295839144491E-2</v>
      </c>
      <c r="AP8" s="49">
        <f>AM8-L8</f>
        <v>4.8720975993703064E-2</v>
      </c>
    </row>
    <row r="9" spans="1:42">
      <c r="A9" s="24" t="s">
        <v>19</v>
      </c>
      <c r="B9" s="10"/>
      <c r="C9" s="10"/>
      <c r="D9" s="10"/>
      <c r="E9" s="10"/>
      <c r="F9" s="10"/>
      <c r="G9" s="10"/>
      <c r="H9" s="10"/>
      <c r="I9" s="10"/>
      <c r="J9" s="10"/>
      <c r="K9" s="11" t="s">
        <v>12</v>
      </c>
      <c r="L9" s="11" t="s">
        <v>12</v>
      </c>
      <c r="M9" s="30"/>
      <c r="N9" s="10">
        <v>12158</v>
      </c>
      <c r="O9" s="10">
        <v>9073</v>
      </c>
      <c r="P9" s="10">
        <v>8370</v>
      </c>
      <c r="Q9" s="10">
        <v>8531</v>
      </c>
      <c r="R9" s="10">
        <v>9565</v>
      </c>
      <c r="S9" s="10">
        <v>7006</v>
      </c>
      <c r="T9" s="10">
        <v>8554</v>
      </c>
      <c r="U9" s="10"/>
      <c r="V9" s="10"/>
      <c r="W9" s="10"/>
      <c r="X9" s="10"/>
      <c r="Y9" s="10"/>
      <c r="Z9" s="10"/>
      <c r="AA9" s="10"/>
      <c r="AB9" s="10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</row>
    <row r="10" spans="1:42">
      <c r="A10" s="24" t="s">
        <v>20</v>
      </c>
      <c r="B10" s="10"/>
      <c r="C10" s="10"/>
      <c r="D10" s="10"/>
      <c r="E10" s="10"/>
      <c r="F10" s="10"/>
      <c r="G10" s="10"/>
      <c r="H10" s="10"/>
      <c r="I10" s="10"/>
      <c r="J10" s="10"/>
      <c r="K10" s="11" t="s">
        <v>12</v>
      </c>
      <c r="L10" s="11" t="s">
        <v>12</v>
      </c>
      <c r="M10" s="30"/>
      <c r="N10" s="10">
        <v>8060</v>
      </c>
      <c r="O10" s="10">
        <v>5430</v>
      </c>
      <c r="P10" s="10">
        <v>5710</v>
      </c>
      <c r="Q10" s="10">
        <v>5156</v>
      </c>
      <c r="R10" s="10">
        <v>5549</v>
      </c>
      <c r="S10" s="10">
        <v>4387</v>
      </c>
      <c r="T10" s="10">
        <v>5187</v>
      </c>
      <c r="U10" s="10"/>
      <c r="V10" s="10"/>
      <c r="W10" s="10"/>
      <c r="X10" s="10"/>
      <c r="Y10" s="10"/>
      <c r="Z10" s="10"/>
      <c r="AA10" s="10"/>
      <c r="AB10" s="10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</row>
    <row r="11" spans="1:42">
      <c r="A11" s="2" t="s">
        <v>21</v>
      </c>
      <c r="B11" s="3">
        <v>1404404</v>
      </c>
      <c r="C11" s="3">
        <v>59079</v>
      </c>
      <c r="D11" s="3">
        <v>38389</v>
      </c>
      <c r="E11" s="3">
        <v>239710</v>
      </c>
      <c r="F11" s="3">
        <v>6000</v>
      </c>
      <c r="G11" s="3">
        <v>4318</v>
      </c>
      <c r="H11" s="3">
        <v>1343986</v>
      </c>
      <c r="I11" s="3">
        <v>57657</v>
      </c>
      <c r="J11" s="3">
        <v>32970</v>
      </c>
      <c r="K11" s="5">
        <v>41.4</v>
      </c>
      <c r="L11" s="5">
        <v>27.3</v>
      </c>
      <c r="M11" s="30"/>
      <c r="N11" s="3">
        <v>157393</v>
      </c>
      <c r="O11" s="3">
        <v>92029</v>
      </c>
      <c r="P11" s="3">
        <v>106351</v>
      </c>
      <c r="Q11" s="3">
        <v>231101</v>
      </c>
      <c r="R11" s="3">
        <v>86686</v>
      </c>
      <c r="S11" s="3">
        <v>147898</v>
      </c>
      <c r="T11" s="3">
        <v>118844</v>
      </c>
      <c r="U11" s="3">
        <v>101292</v>
      </c>
      <c r="V11" s="3">
        <v>128598</v>
      </c>
      <c r="W11" s="3">
        <v>148297</v>
      </c>
      <c r="X11" s="3">
        <v>85715</v>
      </c>
      <c r="Y11" s="3"/>
      <c r="Z11" s="3"/>
      <c r="AA11" s="3"/>
      <c r="AB11" s="3"/>
      <c r="AC11" s="47"/>
      <c r="AD11" s="48">
        <f>SUM(N11:AB11)</f>
        <v>1404204</v>
      </c>
      <c r="AE11" s="48">
        <f>SUM(N12:AB12)</f>
        <v>59079</v>
      </c>
      <c r="AF11" s="48">
        <f>SUM(N13:AB13)</f>
        <v>38389</v>
      </c>
      <c r="AG11" s="47"/>
      <c r="AH11" s="48">
        <f>AD11-B11</f>
        <v>-200</v>
      </c>
      <c r="AI11" s="48">
        <f>AE11-C11</f>
        <v>0</v>
      </c>
      <c r="AJ11" s="48">
        <f>AF11-D11</f>
        <v>0</v>
      </c>
      <c r="AK11" s="47"/>
      <c r="AL11" s="49">
        <f>C11/B11*1000</f>
        <v>42.06695509269413</v>
      </c>
      <c r="AM11" s="49">
        <f>D11/B11*1000</f>
        <v>27.334727044354761</v>
      </c>
      <c r="AN11" s="47"/>
      <c r="AO11" s="49">
        <f>AL11-K11</f>
        <v>0.66695509269413122</v>
      </c>
      <c r="AP11" s="49">
        <f>AM11-L11</f>
        <v>3.4727044354760039E-2</v>
      </c>
    </row>
    <row r="12" spans="1:42">
      <c r="A12" s="24" t="s">
        <v>22</v>
      </c>
      <c r="B12" s="10"/>
      <c r="C12" s="10"/>
      <c r="D12" s="10"/>
      <c r="E12" s="10"/>
      <c r="F12" s="10"/>
      <c r="G12" s="10"/>
      <c r="H12" s="10"/>
      <c r="I12" s="10"/>
      <c r="J12" s="10"/>
      <c r="K12" s="11" t="s">
        <v>12</v>
      </c>
      <c r="L12" s="11" t="s">
        <v>12</v>
      </c>
      <c r="M12" s="30"/>
      <c r="N12" s="10">
        <v>6376</v>
      </c>
      <c r="O12" s="10">
        <v>5916</v>
      </c>
      <c r="P12" s="10">
        <v>5194</v>
      </c>
      <c r="Q12" s="10">
        <v>6646</v>
      </c>
      <c r="R12" s="10">
        <v>4203</v>
      </c>
      <c r="S12" s="10">
        <v>6933</v>
      </c>
      <c r="T12" s="10">
        <v>4959</v>
      </c>
      <c r="U12" s="10">
        <v>4929</v>
      </c>
      <c r="V12" s="10">
        <v>5889</v>
      </c>
      <c r="W12" s="10">
        <v>3903</v>
      </c>
      <c r="X12" s="10">
        <v>4131</v>
      </c>
      <c r="Y12" s="10"/>
      <c r="Z12" s="10"/>
      <c r="AA12" s="10"/>
      <c r="AB12" s="10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</row>
    <row r="13" spans="1:42">
      <c r="A13" s="24" t="s">
        <v>23</v>
      </c>
      <c r="B13" s="10"/>
      <c r="C13" s="10"/>
      <c r="D13" s="10"/>
      <c r="E13" s="10"/>
      <c r="F13" s="10"/>
      <c r="G13" s="10"/>
      <c r="H13" s="10"/>
      <c r="I13" s="10"/>
      <c r="J13" s="10"/>
      <c r="K13" s="11" t="s">
        <v>12</v>
      </c>
      <c r="L13" s="11" t="s">
        <v>12</v>
      </c>
      <c r="M13" s="30"/>
      <c r="N13" s="10">
        <v>3928</v>
      </c>
      <c r="O13" s="10">
        <v>2849</v>
      </c>
      <c r="P13" s="10">
        <v>2590</v>
      </c>
      <c r="Q13" s="10">
        <v>5068</v>
      </c>
      <c r="R13" s="10">
        <v>3084</v>
      </c>
      <c r="S13" s="10">
        <v>4569</v>
      </c>
      <c r="T13" s="10">
        <v>3668</v>
      </c>
      <c r="U13" s="10">
        <v>3035</v>
      </c>
      <c r="V13" s="10">
        <v>3785</v>
      </c>
      <c r="W13" s="10">
        <v>2984</v>
      </c>
      <c r="X13" s="10">
        <v>2829</v>
      </c>
      <c r="Y13" s="10"/>
      <c r="Z13" s="10"/>
      <c r="AA13" s="10"/>
      <c r="AB13" s="10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</row>
    <row r="14" spans="1:42">
      <c r="A14" s="2" t="s">
        <v>24</v>
      </c>
      <c r="B14" s="3">
        <v>2551712</v>
      </c>
      <c r="C14" s="3">
        <v>131281</v>
      </c>
      <c r="D14" s="3">
        <v>72374</v>
      </c>
      <c r="E14" s="3">
        <v>196290</v>
      </c>
      <c r="F14" s="3">
        <v>7191</v>
      </c>
      <c r="G14" s="3">
        <v>5655</v>
      </c>
      <c r="H14" s="3">
        <v>2376120</v>
      </c>
      <c r="I14" s="3">
        <v>121555</v>
      </c>
      <c r="J14" s="3">
        <v>76212</v>
      </c>
      <c r="K14" s="5">
        <v>51.4</v>
      </c>
      <c r="L14" s="5">
        <v>28.4</v>
      </c>
      <c r="M14" s="30"/>
      <c r="N14" s="3">
        <v>351872</v>
      </c>
      <c r="O14" s="3">
        <v>224040</v>
      </c>
      <c r="P14" s="3">
        <v>173328</v>
      </c>
      <c r="Q14" s="3">
        <v>181712</v>
      </c>
      <c r="R14" s="3">
        <v>193668</v>
      </c>
      <c r="S14" s="3">
        <v>193894</v>
      </c>
      <c r="T14" s="3">
        <v>200130</v>
      </c>
      <c r="U14" s="3">
        <v>276578</v>
      </c>
      <c r="V14" s="3">
        <v>189551</v>
      </c>
      <c r="W14" s="3">
        <v>161322</v>
      </c>
      <c r="X14" s="3">
        <v>226142</v>
      </c>
      <c r="Y14" s="3">
        <v>179469</v>
      </c>
      <c r="Z14" s="3"/>
      <c r="AA14" s="3"/>
      <c r="AB14" s="3"/>
      <c r="AC14" s="47"/>
      <c r="AD14" s="48">
        <f>SUM(N14:AB14)</f>
        <v>2551706</v>
      </c>
      <c r="AE14" s="48">
        <f>SUM(N15:AB15)</f>
        <v>131281</v>
      </c>
      <c r="AF14" s="48">
        <f>SUM(N16:AB16)</f>
        <v>68774</v>
      </c>
      <c r="AG14" s="47"/>
      <c r="AH14" s="48">
        <f>AD14-B14</f>
        <v>-6</v>
      </c>
      <c r="AI14" s="48">
        <f>AE14-C14</f>
        <v>0</v>
      </c>
      <c r="AJ14" s="48">
        <f>AF14-D14</f>
        <v>-3600</v>
      </c>
      <c r="AK14" s="47"/>
      <c r="AL14" s="49">
        <f>C14/B14*1000</f>
        <v>51.448204186052344</v>
      </c>
      <c r="AM14" s="49">
        <f>D14/B14*1000</f>
        <v>28.362918699288947</v>
      </c>
      <c r="AN14" s="47"/>
      <c r="AO14" s="49">
        <f>AL14-K14</f>
        <v>4.8204186052345221E-2</v>
      </c>
      <c r="AP14" s="49">
        <f>AM14-L14</f>
        <v>-3.7081300711051313E-2</v>
      </c>
    </row>
    <row r="15" spans="1:42">
      <c r="A15" s="24" t="s">
        <v>25</v>
      </c>
      <c r="B15" s="10"/>
      <c r="C15" s="10"/>
      <c r="D15" s="10"/>
      <c r="E15" s="10"/>
      <c r="F15" s="10"/>
      <c r="G15" s="10"/>
      <c r="H15" s="10"/>
      <c r="I15" s="10"/>
      <c r="J15" s="10"/>
      <c r="K15" s="11" t="s">
        <v>12</v>
      </c>
      <c r="L15" s="11" t="s">
        <v>12</v>
      </c>
      <c r="M15" s="30"/>
      <c r="N15" s="10">
        <v>17749</v>
      </c>
      <c r="O15" s="10">
        <v>12577</v>
      </c>
      <c r="P15" s="10">
        <v>8528</v>
      </c>
      <c r="Q15" s="10">
        <v>9348</v>
      </c>
      <c r="R15" s="10">
        <v>9070</v>
      </c>
      <c r="S15" s="10">
        <v>9964</v>
      </c>
      <c r="T15" s="10">
        <v>10665</v>
      </c>
      <c r="U15" s="10">
        <v>15615</v>
      </c>
      <c r="V15" s="10">
        <v>9775</v>
      </c>
      <c r="W15" s="10">
        <v>7621</v>
      </c>
      <c r="X15" s="10">
        <v>11795</v>
      </c>
      <c r="Y15" s="10">
        <v>8574</v>
      </c>
      <c r="Z15" s="10"/>
      <c r="AA15" s="10"/>
      <c r="AB15" s="10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</row>
    <row r="16" spans="1:42">
      <c r="A16" s="24" t="s">
        <v>26</v>
      </c>
      <c r="B16" s="10"/>
      <c r="C16" s="10"/>
      <c r="D16" s="10"/>
      <c r="E16" s="10"/>
      <c r="F16" s="10"/>
      <c r="G16" s="10"/>
      <c r="H16" s="10"/>
      <c r="I16" s="10"/>
      <c r="J16" s="10"/>
      <c r="K16" s="11" t="s">
        <v>12</v>
      </c>
      <c r="L16" s="11" t="s">
        <v>12</v>
      </c>
      <c r="M16" s="30"/>
      <c r="N16" s="10">
        <v>9941</v>
      </c>
      <c r="O16" s="10">
        <v>6937</v>
      </c>
      <c r="P16" s="10">
        <v>4868</v>
      </c>
      <c r="Q16" s="10">
        <v>5439</v>
      </c>
      <c r="R16" s="10">
        <v>4887</v>
      </c>
      <c r="S16" s="10">
        <v>5049</v>
      </c>
      <c r="T16" s="10">
        <v>5980</v>
      </c>
      <c r="U16" s="10">
        <v>8393</v>
      </c>
      <c r="V16" s="10">
        <v>4304</v>
      </c>
      <c r="W16" s="10">
        <v>4492</v>
      </c>
      <c r="X16" s="10">
        <v>2694</v>
      </c>
      <c r="Y16" s="10">
        <v>5790</v>
      </c>
      <c r="Z16" s="10"/>
      <c r="AA16" s="10"/>
      <c r="AB16" s="10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</row>
    <row r="17" spans="1:42">
      <c r="A17" s="2" t="s">
        <v>27</v>
      </c>
      <c r="B17" s="3">
        <v>1601168</v>
      </c>
      <c r="C17" s="3">
        <v>65129</v>
      </c>
      <c r="D17" s="3">
        <v>46833</v>
      </c>
      <c r="E17" s="3">
        <v>231165</v>
      </c>
      <c r="F17" s="3">
        <v>5946</v>
      </c>
      <c r="G17" s="3">
        <v>4259</v>
      </c>
      <c r="H17" s="3">
        <v>1432821</v>
      </c>
      <c r="I17" s="3">
        <v>55157</v>
      </c>
      <c r="J17" s="3">
        <v>38865</v>
      </c>
      <c r="K17" s="5">
        <v>46.9</v>
      </c>
      <c r="L17" s="5">
        <v>25.5</v>
      </c>
      <c r="M17" s="30"/>
      <c r="N17" s="3">
        <v>197647</v>
      </c>
      <c r="O17" s="3">
        <v>207392</v>
      </c>
      <c r="P17" s="3">
        <v>202424</v>
      </c>
      <c r="Q17" s="3">
        <v>198194</v>
      </c>
      <c r="R17" s="3">
        <v>150937</v>
      </c>
      <c r="S17" s="3">
        <v>162929</v>
      </c>
      <c r="T17" s="3">
        <v>139143</v>
      </c>
      <c r="U17" s="3">
        <v>222373</v>
      </c>
      <c r="V17" s="3">
        <v>120129</v>
      </c>
      <c r="W17" s="3"/>
      <c r="X17" s="3"/>
      <c r="Y17" s="3"/>
      <c r="Z17" s="3"/>
      <c r="AA17" s="3"/>
      <c r="AB17" s="3"/>
      <c r="AC17" s="47"/>
      <c r="AD17" s="48">
        <f>SUM(N17:AB17)</f>
        <v>1601168</v>
      </c>
      <c r="AE17" s="48">
        <f>SUM(N18:AB18)</f>
        <v>65129</v>
      </c>
      <c r="AF17" s="48">
        <f>SUM(N19:AB19)</f>
        <v>40833</v>
      </c>
      <c r="AG17" s="47"/>
      <c r="AH17" s="48">
        <f>AD17-B17</f>
        <v>0</v>
      </c>
      <c r="AI17" s="48">
        <f>AE17-C17</f>
        <v>0</v>
      </c>
      <c r="AJ17" s="48">
        <f>AF17-D17</f>
        <v>-6000</v>
      </c>
      <c r="AK17" s="47"/>
      <c r="AL17" s="49">
        <f>C17/B17*1000</f>
        <v>40.675931569953939</v>
      </c>
      <c r="AM17" s="49">
        <f>D17/B17*1000</f>
        <v>29.249273030687597</v>
      </c>
      <c r="AN17" s="47"/>
      <c r="AO17" s="49">
        <f>AL17-K17</f>
        <v>-6.22406843004606</v>
      </c>
      <c r="AP17" s="49">
        <f>AM17-L17</f>
        <v>3.749273030687597</v>
      </c>
    </row>
    <row r="18" spans="1:42">
      <c r="A18" s="24" t="s">
        <v>28</v>
      </c>
      <c r="B18" s="10"/>
      <c r="C18" s="10"/>
      <c r="D18" s="10"/>
      <c r="E18" s="10"/>
      <c r="F18" s="10"/>
      <c r="G18" s="10"/>
      <c r="H18" s="10"/>
      <c r="I18" s="10"/>
      <c r="J18" s="10"/>
      <c r="K18" s="11" t="s">
        <v>12</v>
      </c>
      <c r="L18" s="11" t="s">
        <v>12</v>
      </c>
      <c r="M18" s="30"/>
      <c r="N18" s="10">
        <v>7066</v>
      </c>
      <c r="O18" s="10">
        <v>9212</v>
      </c>
      <c r="P18" s="10">
        <v>7195</v>
      </c>
      <c r="Q18" s="10">
        <v>6628</v>
      </c>
      <c r="R18" s="10">
        <v>6775</v>
      </c>
      <c r="S18" s="10">
        <v>7569</v>
      </c>
      <c r="T18" s="10">
        <v>6391</v>
      </c>
      <c r="U18" s="10">
        <v>9933</v>
      </c>
      <c r="V18" s="10">
        <v>4360</v>
      </c>
      <c r="W18" s="10"/>
      <c r="X18" s="10"/>
      <c r="Y18" s="10"/>
      <c r="Z18" s="10"/>
      <c r="AA18" s="10"/>
      <c r="AB18" s="10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</row>
    <row r="19" spans="1:42">
      <c r="A19" s="24" t="s">
        <v>29</v>
      </c>
      <c r="B19" s="10"/>
      <c r="C19" s="10"/>
      <c r="D19" s="10"/>
      <c r="E19" s="10"/>
      <c r="F19" s="10"/>
      <c r="G19" s="10"/>
      <c r="H19" s="10"/>
      <c r="I19" s="10"/>
      <c r="J19" s="10"/>
      <c r="K19" s="11" t="s">
        <v>12</v>
      </c>
      <c r="L19" s="11" t="s">
        <v>12</v>
      </c>
      <c r="M19" s="30"/>
      <c r="N19" s="10">
        <v>4351</v>
      </c>
      <c r="O19" s="10">
        <v>5818</v>
      </c>
      <c r="P19" s="10">
        <v>4162</v>
      </c>
      <c r="Q19" s="10">
        <v>5167</v>
      </c>
      <c r="R19" s="10">
        <v>4706</v>
      </c>
      <c r="S19" s="10">
        <v>5058</v>
      </c>
      <c r="T19" s="10">
        <v>3384</v>
      </c>
      <c r="U19" s="10">
        <v>5149</v>
      </c>
      <c r="V19" s="10">
        <v>3038</v>
      </c>
      <c r="W19" s="10"/>
      <c r="X19" s="10"/>
      <c r="Y19" s="10"/>
      <c r="Z19" s="10"/>
      <c r="AA19" s="10"/>
      <c r="AB19" s="10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</row>
    <row r="20" spans="1:42">
      <c r="A20" s="2" t="s">
        <v>30</v>
      </c>
      <c r="B20" s="3">
        <v>3334333</v>
      </c>
      <c r="C20" s="3">
        <v>154858</v>
      </c>
      <c r="D20" s="3">
        <v>112330</v>
      </c>
      <c r="E20" s="3">
        <v>423226</v>
      </c>
      <c r="F20" s="3">
        <v>16146</v>
      </c>
      <c r="G20" s="3">
        <v>13223</v>
      </c>
      <c r="H20" s="3">
        <v>3086365</v>
      </c>
      <c r="I20" s="3">
        <v>157635</v>
      </c>
      <c r="J20" s="3">
        <v>103035</v>
      </c>
      <c r="K20" s="5">
        <v>46.4</v>
      </c>
      <c r="L20" s="5">
        <v>33.700000000000003</v>
      </c>
      <c r="M20" s="30"/>
      <c r="N20" s="3">
        <v>453361</v>
      </c>
      <c r="O20" s="3">
        <v>263225</v>
      </c>
      <c r="P20" s="3">
        <v>323928</v>
      </c>
      <c r="Q20" s="3">
        <v>259829</v>
      </c>
      <c r="R20" s="3">
        <v>267722</v>
      </c>
      <c r="S20" s="3">
        <v>218415</v>
      </c>
      <c r="T20" s="3">
        <v>273145</v>
      </c>
      <c r="U20" s="3">
        <v>230268</v>
      </c>
      <c r="V20" s="3">
        <v>232032</v>
      </c>
      <c r="W20" s="3">
        <v>292407</v>
      </c>
      <c r="X20" s="3">
        <v>282982</v>
      </c>
      <c r="Y20" s="3">
        <v>237619</v>
      </c>
      <c r="Z20" s="3"/>
      <c r="AA20" s="3"/>
      <c r="AB20" s="3"/>
      <c r="AC20" s="47"/>
      <c r="AD20" s="48">
        <f>SUM(N20:AB20)</f>
        <v>3334933</v>
      </c>
      <c r="AE20" s="48">
        <f>SUM(N21:AB21)</f>
        <v>154858</v>
      </c>
      <c r="AF20" s="48">
        <f>SUM(N22:AB22)</f>
        <v>112330</v>
      </c>
      <c r="AG20" s="47"/>
      <c r="AH20" s="48">
        <f>AD20-B20</f>
        <v>600</v>
      </c>
      <c r="AI20" s="48">
        <f>AE20-C20</f>
        <v>0</v>
      </c>
      <c r="AJ20" s="48">
        <f>AF20-D20</f>
        <v>0</v>
      </c>
      <c r="AK20" s="47"/>
      <c r="AL20" s="49">
        <f>C20/B20*1000</f>
        <v>46.443471602866296</v>
      </c>
      <c r="AM20" s="49">
        <f>D20/B20*1000</f>
        <v>33.688896699879706</v>
      </c>
      <c r="AN20" s="47"/>
      <c r="AO20" s="49">
        <f>AL20-K20</f>
        <v>4.3471602866297587E-2</v>
      </c>
      <c r="AP20" s="49">
        <f>AM20-L20</f>
        <v>-1.1103300120296922E-2</v>
      </c>
    </row>
    <row r="21" spans="1:42">
      <c r="A21" s="24" t="s">
        <v>31</v>
      </c>
      <c r="B21" s="10"/>
      <c r="C21" s="10"/>
      <c r="D21" s="10"/>
      <c r="E21" s="10"/>
      <c r="F21" s="10"/>
      <c r="G21" s="10"/>
      <c r="H21" s="10"/>
      <c r="I21" s="10"/>
      <c r="J21" s="10"/>
      <c r="K21" s="11" t="s">
        <v>12</v>
      </c>
      <c r="L21" s="11" t="s">
        <v>12</v>
      </c>
      <c r="M21" s="30"/>
      <c r="N21" s="10">
        <v>21581</v>
      </c>
      <c r="O21" s="10">
        <v>12506</v>
      </c>
      <c r="P21" s="10">
        <v>14520</v>
      </c>
      <c r="Q21" s="10">
        <v>11251</v>
      </c>
      <c r="R21" s="10">
        <v>11689</v>
      </c>
      <c r="S21" s="10">
        <v>9005</v>
      </c>
      <c r="T21" s="10">
        <v>14073</v>
      </c>
      <c r="U21" s="10">
        <v>11068</v>
      </c>
      <c r="V21" s="10">
        <v>10557</v>
      </c>
      <c r="W21" s="10">
        <v>13347</v>
      </c>
      <c r="X21" s="10">
        <v>14412</v>
      </c>
      <c r="Y21" s="10">
        <v>10849</v>
      </c>
      <c r="Z21" s="10"/>
      <c r="AA21" s="10"/>
      <c r="AB21" s="10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</row>
    <row r="22" spans="1:42">
      <c r="A22" s="24" t="s">
        <v>32</v>
      </c>
      <c r="B22" s="10"/>
      <c r="C22" s="10"/>
      <c r="D22" s="10"/>
      <c r="E22" s="10"/>
      <c r="F22" s="10"/>
      <c r="G22" s="10"/>
      <c r="H22" s="10"/>
      <c r="I22" s="10"/>
      <c r="J22" s="10"/>
      <c r="K22" s="11" t="s">
        <v>12</v>
      </c>
      <c r="L22" s="11" t="s">
        <v>12</v>
      </c>
      <c r="M22" s="30"/>
      <c r="N22" s="10">
        <v>16892</v>
      </c>
      <c r="O22" s="10">
        <v>9383</v>
      </c>
      <c r="P22" s="10">
        <v>10455</v>
      </c>
      <c r="Q22" s="10">
        <v>7810</v>
      </c>
      <c r="R22" s="10">
        <v>9192</v>
      </c>
      <c r="S22" s="10">
        <v>8488</v>
      </c>
      <c r="T22" s="10">
        <v>7640</v>
      </c>
      <c r="U22" s="10">
        <v>7221</v>
      </c>
      <c r="V22" s="10">
        <v>8327</v>
      </c>
      <c r="W22" s="10">
        <v>11788</v>
      </c>
      <c r="X22" s="10">
        <v>9248</v>
      </c>
      <c r="Y22" s="10">
        <v>5886</v>
      </c>
      <c r="Z22" s="10"/>
      <c r="AA22" s="10"/>
      <c r="AB22" s="10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</row>
    <row r="23" spans="1:42">
      <c r="A23" s="2" t="s">
        <v>33</v>
      </c>
      <c r="B23" s="3">
        <v>1626264</v>
      </c>
      <c r="C23" s="3">
        <v>53354</v>
      </c>
      <c r="D23" s="3">
        <v>40291</v>
      </c>
      <c r="E23" s="3">
        <v>158513</v>
      </c>
      <c r="F23" s="3">
        <v>3860</v>
      </c>
      <c r="G23" s="3">
        <v>3737</v>
      </c>
      <c r="H23" s="3">
        <v>1540219</v>
      </c>
      <c r="I23" s="3">
        <v>54781</v>
      </c>
      <c r="J23" s="3">
        <v>37889</v>
      </c>
      <c r="K23" s="5">
        <v>32.799999999999997</v>
      </c>
      <c r="L23" s="5">
        <v>24.8</v>
      </c>
      <c r="M23" s="30"/>
      <c r="N23" s="3">
        <v>235116</v>
      </c>
      <c r="O23" s="3">
        <v>241597</v>
      </c>
      <c r="P23" s="3">
        <v>209547</v>
      </c>
      <c r="Q23" s="3">
        <v>228125</v>
      </c>
      <c r="R23" s="3">
        <v>248785</v>
      </c>
      <c r="S23" s="3">
        <v>199415</v>
      </c>
      <c r="T23" s="3">
        <v>253741</v>
      </c>
      <c r="U23" s="3"/>
      <c r="V23" s="3"/>
      <c r="W23" s="3"/>
      <c r="X23" s="3"/>
      <c r="Y23" s="3"/>
      <c r="Z23" s="3"/>
      <c r="AA23" s="3"/>
      <c r="AB23" s="3"/>
      <c r="AC23" s="47"/>
      <c r="AD23" s="48">
        <f>SUM(N23:AB23)</f>
        <v>1616326</v>
      </c>
      <c r="AE23" s="48">
        <f>SUM(N24:AB24)</f>
        <v>53351</v>
      </c>
      <c r="AF23" s="48">
        <f>SUM(N25:AB25)</f>
        <v>39001</v>
      </c>
      <c r="AG23" s="47"/>
      <c r="AH23" s="48">
        <f>AD23-B23</f>
        <v>-9938</v>
      </c>
      <c r="AI23" s="48">
        <f>AE23-C23</f>
        <v>-3</v>
      </c>
      <c r="AJ23" s="48">
        <f>AF23-D23</f>
        <v>-1290</v>
      </c>
      <c r="AK23" s="47"/>
      <c r="AL23" s="49">
        <f>C23/B23*1000</f>
        <v>32.807711417088491</v>
      </c>
      <c r="AM23" s="49">
        <f>D23/B23*1000</f>
        <v>24.775190252013203</v>
      </c>
      <c r="AN23" s="47"/>
      <c r="AO23" s="49">
        <f>AL23-K23</f>
        <v>7.7114170884939881E-3</v>
      </c>
      <c r="AP23" s="49">
        <f>AM23-L23</f>
        <v>-2.4809747986797248E-2</v>
      </c>
    </row>
    <row r="24" spans="1:42">
      <c r="A24" s="24" t="s">
        <v>34</v>
      </c>
      <c r="B24" s="10"/>
      <c r="C24" s="10"/>
      <c r="D24" s="10"/>
      <c r="E24" s="10"/>
      <c r="F24" s="10"/>
      <c r="G24" s="10"/>
      <c r="H24" s="10"/>
      <c r="I24" s="10"/>
      <c r="J24" s="10"/>
      <c r="K24" s="11" t="s">
        <v>12</v>
      </c>
      <c r="L24" s="11" t="s">
        <v>12</v>
      </c>
      <c r="M24" s="30"/>
      <c r="N24" s="10">
        <v>7482</v>
      </c>
      <c r="O24" s="10">
        <v>8608</v>
      </c>
      <c r="P24" s="10">
        <v>6849</v>
      </c>
      <c r="Q24" s="10">
        <v>7181</v>
      </c>
      <c r="R24" s="10">
        <v>8403</v>
      </c>
      <c r="S24" s="10">
        <v>7062</v>
      </c>
      <c r="T24" s="10">
        <v>7766</v>
      </c>
      <c r="U24" s="10"/>
      <c r="V24" s="10"/>
      <c r="W24" s="10"/>
      <c r="X24" s="10"/>
      <c r="Y24" s="10"/>
      <c r="Z24" s="10"/>
      <c r="AA24" s="10"/>
      <c r="AB24" s="10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</row>
    <row r="25" spans="1:42">
      <c r="A25" s="24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1" t="s">
        <v>12</v>
      </c>
      <c r="L25" s="11" t="s">
        <v>12</v>
      </c>
      <c r="M25" s="30"/>
      <c r="N25" s="10">
        <v>6455</v>
      </c>
      <c r="O25" s="10">
        <v>5341</v>
      </c>
      <c r="P25" s="10">
        <v>4795</v>
      </c>
      <c r="Q25" s="10">
        <v>4698</v>
      </c>
      <c r="R25" s="10">
        <v>7812</v>
      </c>
      <c r="S25" s="10">
        <v>4748</v>
      </c>
      <c r="T25" s="10">
        <v>5152</v>
      </c>
      <c r="U25" s="10"/>
      <c r="V25" s="10"/>
      <c r="W25" s="10"/>
      <c r="X25" s="10"/>
      <c r="Y25" s="10"/>
      <c r="Z25" s="10"/>
      <c r="AA25" s="10"/>
      <c r="AB25" s="10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</row>
    <row r="26" spans="1:42">
      <c r="A26" s="2" t="s">
        <v>36</v>
      </c>
      <c r="B26" s="3">
        <v>1913647</v>
      </c>
      <c r="C26" s="3">
        <v>92351</v>
      </c>
      <c r="D26" s="3">
        <v>49423</v>
      </c>
      <c r="E26" s="3">
        <v>271922</v>
      </c>
      <c r="F26" s="3">
        <v>6452</v>
      </c>
      <c r="G26" s="3">
        <v>4297</v>
      </c>
      <c r="H26" s="3">
        <v>1774786</v>
      </c>
      <c r="I26" s="3">
        <v>81569</v>
      </c>
      <c r="J26" s="3">
        <v>46086</v>
      </c>
      <c r="K26" s="5">
        <v>48.2</v>
      </c>
      <c r="L26" s="5">
        <v>25.8</v>
      </c>
      <c r="M26" s="30"/>
      <c r="N26" s="3">
        <v>237156</v>
      </c>
      <c r="O26" s="3">
        <v>240806</v>
      </c>
      <c r="P26" s="3">
        <v>194805</v>
      </c>
      <c r="Q26" s="3">
        <v>203898</v>
      </c>
      <c r="R26" s="3">
        <v>131862</v>
      </c>
      <c r="S26" s="3">
        <v>241655</v>
      </c>
      <c r="T26" s="3">
        <v>237648</v>
      </c>
      <c r="U26" s="3">
        <v>176775</v>
      </c>
      <c r="V26" s="3">
        <v>230142</v>
      </c>
      <c r="W26" s="3"/>
      <c r="X26" s="3"/>
      <c r="Y26" s="3"/>
      <c r="Z26" s="3"/>
      <c r="AA26" s="3"/>
      <c r="AB26" s="3"/>
      <c r="AC26" s="47"/>
      <c r="AD26" s="48">
        <f>SUM(N26:AB26)</f>
        <v>1894747</v>
      </c>
      <c r="AE26" s="48">
        <f>SUM(N27:AB27)</f>
        <v>92351</v>
      </c>
      <c r="AF26" s="48">
        <f>SUM(N28:AB28)</f>
        <v>49403</v>
      </c>
      <c r="AG26" s="47"/>
      <c r="AH26" s="48">
        <f>AD26-B26</f>
        <v>-18900</v>
      </c>
      <c r="AI26" s="48">
        <f>AE26-C26</f>
        <v>0</v>
      </c>
      <c r="AJ26" s="48">
        <f>AF26-D26</f>
        <v>-20</v>
      </c>
      <c r="AK26" s="47"/>
      <c r="AL26" s="49">
        <f>C26/B26*1000</f>
        <v>48.259161694920749</v>
      </c>
      <c r="AM26" s="49">
        <f>D26/B26*1000</f>
        <v>25.826602293944493</v>
      </c>
      <c r="AN26" s="47"/>
      <c r="AO26" s="49">
        <f>AL26-K26</f>
        <v>5.9161694920746299E-2</v>
      </c>
      <c r="AP26" s="49">
        <f>AM26-L26</f>
        <v>2.6602293944492317E-2</v>
      </c>
    </row>
    <row r="27" spans="1:42">
      <c r="A27" s="24" t="s">
        <v>37</v>
      </c>
      <c r="B27" s="10"/>
      <c r="C27" s="10"/>
      <c r="D27" s="10"/>
      <c r="E27" s="10"/>
      <c r="F27" s="10"/>
      <c r="G27" s="10"/>
      <c r="H27" s="10"/>
      <c r="I27" s="10"/>
      <c r="J27" s="10"/>
      <c r="K27" s="11" t="s">
        <v>12</v>
      </c>
      <c r="L27" s="11" t="s">
        <v>12</v>
      </c>
      <c r="M27" s="30"/>
      <c r="N27" s="10">
        <v>10402</v>
      </c>
      <c r="O27" s="10">
        <v>10639</v>
      </c>
      <c r="P27" s="10">
        <v>10443</v>
      </c>
      <c r="Q27" s="10">
        <v>10927</v>
      </c>
      <c r="R27" s="10">
        <v>8087</v>
      </c>
      <c r="S27" s="10">
        <v>10768</v>
      </c>
      <c r="T27" s="10">
        <v>9884</v>
      </c>
      <c r="U27" s="10">
        <v>10614</v>
      </c>
      <c r="V27" s="10">
        <v>10587</v>
      </c>
      <c r="W27" s="10"/>
      <c r="X27" s="10"/>
      <c r="Y27" s="10"/>
      <c r="Z27" s="10"/>
      <c r="AA27" s="10"/>
      <c r="AB27" s="10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</row>
    <row r="28" spans="1:42">
      <c r="A28" s="24" t="s">
        <v>38</v>
      </c>
      <c r="B28" s="10"/>
      <c r="C28" s="10"/>
      <c r="D28" s="10"/>
      <c r="E28" s="10"/>
      <c r="F28" s="10"/>
      <c r="G28" s="10"/>
      <c r="H28" s="10"/>
      <c r="I28" s="10"/>
      <c r="J28" s="10"/>
      <c r="K28" s="11" t="s">
        <v>12</v>
      </c>
      <c r="L28" s="11" t="s">
        <v>12</v>
      </c>
      <c r="M28" s="30"/>
      <c r="N28" s="10">
        <v>5980</v>
      </c>
      <c r="O28" s="10">
        <v>5165</v>
      </c>
      <c r="P28" s="10">
        <v>6049</v>
      </c>
      <c r="Q28" s="10">
        <v>5546</v>
      </c>
      <c r="R28" s="10">
        <v>3953</v>
      </c>
      <c r="S28" s="10">
        <v>5726</v>
      </c>
      <c r="T28" s="10">
        <v>6576</v>
      </c>
      <c r="U28" s="10">
        <v>4856</v>
      </c>
      <c r="V28" s="10">
        <v>5552</v>
      </c>
      <c r="W28" s="10"/>
      <c r="X28" s="10"/>
      <c r="Y28" s="10"/>
      <c r="Z28" s="10"/>
      <c r="AA28" s="10"/>
      <c r="AB28" s="10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</row>
    <row r="29" spans="1:42">
      <c r="A29" s="2" t="s">
        <v>39</v>
      </c>
      <c r="B29" s="3">
        <v>1479457</v>
      </c>
      <c r="C29" s="3">
        <v>76991</v>
      </c>
      <c r="D29" s="3">
        <v>49341</v>
      </c>
      <c r="E29" s="3">
        <v>132091</v>
      </c>
      <c r="F29" s="3">
        <v>4784</v>
      </c>
      <c r="G29" s="3">
        <v>3260</v>
      </c>
      <c r="H29" s="3">
        <v>1380453</v>
      </c>
      <c r="I29" s="3">
        <v>69085</v>
      </c>
      <c r="J29" s="3">
        <v>38144</v>
      </c>
      <c r="K29" s="5">
        <v>52</v>
      </c>
      <c r="L29" s="5">
        <v>26.3</v>
      </c>
      <c r="M29" s="30"/>
      <c r="N29" s="3">
        <v>154545</v>
      </c>
      <c r="O29" s="3">
        <v>107198</v>
      </c>
      <c r="P29" s="3">
        <v>112186</v>
      </c>
      <c r="Q29" s="3">
        <v>106320</v>
      </c>
      <c r="R29" s="3">
        <v>129866</v>
      </c>
      <c r="S29" s="3">
        <v>87661</v>
      </c>
      <c r="T29" s="3">
        <v>134794</v>
      </c>
      <c r="U29" s="3">
        <v>189050</v>
      </c>
      <c r="V29" s="3">
        <v>141490</v>
      </c>
      <c r="W29" s="3">
        <v>80838</v>
      </c>
      <c r="X29" s="3">
        <v>135509</v>
      </c>
      <c r="Y29" s="3"/>
      <c r="Z29" s="3"/>
      <c r="AA29" s="3"/>
      <c r="AB29" s="3"/>
      <c r="AC29" s="47"/>
      <c r="AD29" s="48">
        <f>SUM(N29:AB29)</f>
        <v>1379457</v>
      </c>
      <c r="AE29" s="48">
        <f>SUM(N30:AB30)</f>
        <v>76798</v>
      </c>
      <c r="AF29" s="48">
        <f>SUM(N31:AB31)</f>
        <v>40341</v>
      </c>
      <c r="AG29" s="47"/>
      <c r="AH29" s="48">
        <f>AD29-B29</f>
        <v>-100000</v>
      </c>
      <c r="AI29" s="48">
        <f>AE29-C29</f>
        <v>-193</v>
      </c>
      <c r="AJ29" s="48">
        <f>AF29-D29</f>
        <v>-9000</v>
      </c>
      <c r="AK29" s="47"/>
      <c r="AL29" s="49">
        <f>C29/B29*1000</f>
        <v>52.040039014314033</v>
      </c>
      <c r="AM29" s="49">
        <f>D29/B29*1000</f>
        <v>33.350749633142435</v>
      </c>
      <c r="AN29" s="47"/>
      <c r="AO29" s="49">
        <f>AL29-K29</f>
        <v>4.0039014314032784E-2</v>
      </c>
      <c r="AP29" s="49">
        <f>AM29-L29</f>
        <v>7.0507496331424342</v>
      </c>
    </row>
    <row r="30" spans="1:42">
      <c r="A30" s="24" t="s">
        <v>40</v>
      </c>
      <c r="B30" s="10"/>
      <c r="C30" s="10"/>
      <c r="D30" s="10"/>
      <c r="E30" s="10"/>
      <c r="F30" s="10"/>
      <c r="G30" s="10"/>
      <c r="H30" s="10"/>
      <c r="I30" s="10"/>
      <c r="J30" s="10"/>
      <c r="K30" s="11" t="s">
        <v>12</v>
      </c>
      <c r="L30" s="11" t="s">
        <v>12</v>
      </c>
      <c r="M30" s="30"/>
      <c r="N30" s="10">
        <v>6251</v>
      </c>
      <c r="O30" s="10">
        <v>5902</v>
      </c>
      <c r="P30" s="10">
        <v>10462</v>
      </c>
      <c r="Q30" s="10">
        <v>5615</v>
      </c>
      <c r="R30" s="10">
        <v>6740</v>
      </c>
      <c r="S30" s="10">
        <v>4692</v>
      </c>
      <c r="T30" s="10">
        <v>8032</v>
      </c>
      <c r="U30" s="10">
        <v>10894</v>
      </c>
      <c r="V30" s="10">
        <v>7150</v>
      </c>
      <c r="W30" s="10">
        <v>3894</v>
      </c>
      <c r="X30" s="10">
        <v>7166</v>
      </c>
      <c r="Y30" s="10"/>
      <c r="Z30" s="10"/>
      <c r="AA30" s="10"/>
      <c r="AB30" s="10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</row>
    <row r="31" spans="1:42">
      <c r="A31" s="24" t="s">
        <v>41</v>
      </c>
      <c r="B31" s="10"/>
      <c r="C31" s="10"/>
      <c r="D31" s="10"/>
      <c r="E31" s="10"/>
      <c r="F31" s="10"/>
      <c r="G31" s="10"/>
      <c r="H31" s="10"/>
      <c r="I31" s="10"/>
      <c r="J31" s="10"/>
      <c r="K31" s="11" t="s">
        <v>12</v>
      </c>
      <c r="L31" s="11" t="s">
        <v>12</v>
      </c>
      <c r="M31" s="30"/>
      <c r="N31" s="10">
        <v>3855</v>
      </c>
      <c r="O31" s="10">
        <v>2871</v>
      </c>
      <c r="P31" s="10">
        <v>5444</v>
      </c>
      <c r="Q31" s="10">
        <v>3326</v>
      </c>
      <c r="R31" s="10">
        <v>3473</v>
      </c>
      <c r="S31" s="10">
        <v>2286</v>
      </c>
      <c r="T31" s="10">
        <v>4720</v>
      </c>
      <c r="U31" s="10">
        <v>5156</v>
      </c>
      <c r="V31" s="10">
        <v>3926</v>
      </c>
      <c r="W31" s="10">
        <v>1951</v>
      </c>
      <c r="X31" s="10">
        <v>3333</v>
      </c>
      <c r="Y31" s="10"/>
      <c r="Z31" s="10"/>
      <c r="AA31" s="10"/>
      <c r="AB31" s="10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</row>
    <row r="32" spans="1:42">
      <c r="A32" s="2" t="s">
        <v>42</v>
      </c>
      <c r="B32" s="3">
        <v>1491473</v>
      </c>
      <c r="C32" s="3">
        <v>73279</v>
      </c>
      <c r="D32" s="3">
        <v>61521</v>
      </c>
      <c r="E32" s="3">
        <v>113069</v>
      </c>
      <c r="F32" s="3">
        <v>7152</v>
      </c>
      <c r="G32" s="3">
        <v>6071</v>
      </c>
      <c r="H32" s="3">
        <v>1364938</v>
      </c>
      <c r="I32" s="3">
        <v>79552</v>
      </c>
      <c r="J32" s="3">
        <v>61046</v>
      </c>
      <c r="K32" s="5">
        <v>52.3</v>
      </c>
      <c r="L32" s="5">
        <v>43.9</v>
      </c>
      <c r="M32" s="30"/>
      <c r="N32" s="3">
        <v>411526</v>
      </c>
      <c r="O32" s="3">
        <v>209778</v>
      </c>
      <c r="P32" s="3">
        <v>200770</v>
      </c>
      <c r="Q32" s="3">
        <v>183695</v>
      </c>
      <c r="R32" s="3">
        <v>395704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47"/>
      <c r="AD32" s="48">
        <f>SUM(N32:AB32)</f>
        <v>1401473</v>
      </c>
      <c r="AE32" s="48">
        <f>SUM(N33:AB33)</f>
        <v>73270</v>
      </c>
      <c r="AF32" s="48">
        <f>SUM(N34:AB34)</f>
        <v>61521</v>
      </c>
      <c r="AG32" s="47"/>
      <c r="AH32" s="48">
        <f>AD32-B32</f>
        <v>-90000</v>
      </c>
      <c r="AI32" s="48">
        <f>AE32-C32</f>
        <v>-9</v>
      </c>
      <c r="AJ32" s="48">
        <f>AF32-D32</f>
        <v>0</v>
      </c>
      <c r="AK32" s="47"/>
      <c r="AL32" s="49">
        <f>C32/B32*1000</f>
        <v>49.131965513287874</v>
      </c>
      <c r="AM32" s="49">
        <f>D32/B32*1000</f>
        <v>41.248483881370966</v>
      </c>
      <c r="AN32" s="47"/>
      <c r="AO32" s="49">
        <f>AL32-K32</f>
        <v>-3.1680344867121235</v>
      </c>
      <c r="AP32" s="49">
        <f>AM32-L32</f>
        <v>-2.6515161186290328</v>
      </c>
    </row>
    <row r="33" spans="1:42">
      <c r="A33" s="24" t="s">
        <v>43</v>
      </c>
      <c r="B33" s="10"/>
      <c r="C33" s="10"/>
      <c r="D33" s="10"/>
      <c r="E33" s="10"/>
      <c r="F33" s="10"/>
      <c r="G33" s="10"/>
      <c r="H33" s="10"/>
      <c r="I33" s="10"/>
      <c r="J33" s="10"/>
      <c r="K33" s="11" t="s">
        <v>12</v>
      </c>
      <c r="L33" s="11" t="s">
        <v>12</v>
      </c>
      <c r="M33" s="30"/>
      <c r="N33" s="10">
        <v>27888</v>
      </c>
      <c r="O33" s="10">
        <v>8882</v>
      </c>
      <c r="P33" s="10">
        <v>6683</v>
      </c>
      <c r="Q33" s="10">
        <v>10636</v>
      </c>
      <c r="R33" s="10">
        <v>19181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</row>
    <row r="34" spans="1:42">
      <c r="A34" s="24" t="s">
        <v>44</v>
      </c>
      <c r="B34" s="10"/>
      <c r="C34" s="10"/>
      <c r="D34" s="10"/>
      <c r="E34" s="10"/>
      <c r="F34" s="10"/>
      <c r="G34" s="10"/>
      <c r="H34" s="10"/>
      <c r="I34" s="10"/>
      <c r="J34" s="10"/>
      <c r="K34" s="11" t="s">
        <v>12</v>
      </c>
      <c r="L34" s="11" t="s">
        <v>12</v>
      </c>
      <c r="M34" s="30"/>
      <c r="N34" s="10">
        <v>22909</v>
      </c>
      <c r="O34" s="10">
        <v>7617</v>
      </c>
      <c r="P34" s="10">
        <v>7226</v>
      </c>
      <c r="Q34" s="10">
        <v>8456</v>
      </c>
      <c r="R34" s="10">
        <v>15313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</row>
    <row r="35" spans="1:42">
      <c r="A35" s="2" t="s">
        <v>45</v>
      </c>
      <c r="B35" s="3">
        <v>2701940</v>
      </c>
      <c r="C35" s="3">
        <v>115581</v>
      </c>
      <c r="D35" s="3">
        <v>95494</v>
      </c>
      <c r="E35" s="3">
        <v>205074</v>
      </c>
      <c r="F35" s="3">
        <v>6260</v>
      </c>
      <c r="G35" s="3">
        <v>5300</v>
      </c>
      <c r="H35" s="3">
        <v>2572278</v>
      </c>
      <c r="I35" s="3">
        <v>124396</v>
      </c>
      <c r="J35" s="3">
        <v>81369</v>
      </c>
      <c r="K35" s="5">
        <v>42.8</v>
      </c>
      <c r="L35" s="5">
        <v>35.299999999999997</v>
      </c>
      <c r="M35" s="30"/>
      <c r="N35" s="3">
        <v>243886</v>
      </c>
      <c r="O35" s="3">
        <v>339800</v>
      </c>
      <c r="P35" s="3">
        <v>212103</v>
      </c>
      <c r="Q35" s="3">
        <v>208375</v>
      </c>
      <c r="R35" s="3">
        <v>236950</v>
      </c>
      <c r="S35" s="3">
        <v>155890</v>
      </c>
      <c r="T35" s="3">
        <v>187536</v>
      </c>
      <c r="U35" s="3">
        <v>213122</v>
      </c>
      <c r="V35" s="3">
        <v>227273</v>
      </c>
      <c r="W35" s="3">
        <v>249863</v>
      </c>
      <c r="X35" s="3">
        <v>188074</v>
      </c>
      <c r="Y35" s="3">
        <v>239078</v>
      </c>
      <c r="Z35" s="3"/>
      <c r="AA35" s="3"/>
      <c r="AB35" s="3"/>
      <c r="AC35" s="47"/>
      <c r="AD35" s="48">
        <f>SUM(N35:AB35)</f>
        <v>2701950</v>
      </c>
      <c r="AE35" s="48">
        <f>SUM(N36:AB36)</f>
        <v>115591</v>
      </c>
      <c r="AF35" s="48">
        <f>SUM(N37:AB37)</f>
        <v>95495</v>
      </c>
      <c r="AG35" s="47"/>
      <c r="AH35" s="48">
        <f>AD35-B35</f>
        <v>10</v>
      </c>
      <c r="AI35" s="48">
        <f>AE35-C35</f>
        <v>10</v>
      </c>
      <c r="AJ35" s="48">
        <f>AF35-D35</f>
        <v>1</v>
      </c>
      <c r="AK35" s="47"/>
      <c r="AL35" s="49">
        <f>C35/B35*1000</f>
        <v>42.77704168116243</v>
      </c>
      <c r="AM35" s="49">
        <f>D35/B35*1000</f>
        <v>35.342753725101225</v>
      </c>
      <c r="AN35" s="47"/>
      <c r="AO35" s="49">
        <f>AL35-K35</f>
        <v>-2.2958318837567049E-2</v>
      </c>
      <c r="AP35" s="49">
        <f>AM35-L35</f>
        <v>4.2753725101228213E-2</v>
      </c>
    </row>
    <row r="36" spans="1:42">
      <c r="A36" s="24" t="s">
        <v>46</v>
      </c>
      <c r="B36" s="10"/>
      <c r="C36" s="10"/>
      <c r="D36" s="10"/>
      <c r="E36" s="10"/>
      <c r="F36" s="10"/>
      <c r="G36" s="10"/>
      <c r="H36" s="10"/>
      <c r="I36" s="10"/>
      <c r="J36" s="10"/>
      <c r="K36" s="11" t="s">
        <v>12</v>
      </c>
      <c r="L36" s="11" t="s">
        <v>12</v>
      </c>
      <c r="M36" s="30"/>
      <c r="N36" s="10">
        <v>9295</v>
      </c>
      <c r="O36" s="10">
        <v>15429</v>
      </c>
      <c r="P36" s="10">
        <v>9008</v>
      </c>
      <c r="Q36" s="10">
        <v>9847</v>
      </c>
      <c r="R36" s="10">
        <v>8988</v>
      </c>
      <c r="S36" s="10">
        <v>7466</v>
      </c>
      <c r="T36" s="10">
        <v>8885</v>
      </c>
      <c r="U36" s="10">
        <v>8735</v>
      </c>
      <c r="V36" s="10">
        <v>8957</v>
      </c>
      <c r="W36" s="10">
        <v>10400</v>
      </c>
      <c r="X36" s="10">
        <v>9249</v>
      </c>
      <c r="Y36" s="10">
        <v>9332</v>
      </c>
      <c r="Z36" s="10"/>
      <c r="AA36" s="10"/>
      <c r="AB36" s="10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</row>
    <row r="37" spans="1:42">
      <c r="A37" s="24" t="s">
        <v>47</v>
      </c>
      <c r="B37" s="10"/>
      <c r="C37" s="10"/>
      <c r="D37" s="10"/>
      <c r="E37" s="10"/>
      <c r="F37" s="10"/>
      <c r="G37" s="10"/>
      <c r="H37" s="10"/>
      <c r="I37" s="10"/>
      <c r="J37" s="10"/>
      <c r="K37" s="11" t="s">
        <v>12</v>
      </c>
      <c r="L37" s="11" t="s">
        <v>12</v>
      </c>
      <c r="M37" s="30"/>
      <c r="N37" s="10">
        <v>7613</v>
      </c>
      <c r="O37" s="10">
        <v>11110</v>
      </c>
      <c r="P37" s="10">
        <v>8337</v>
      </c>
      <c r="Q37" s="10">
        <v>7699</v>
      </c>
      <c r="R37" s="10">
        <v>10207</v>
      </c>
      <c r="S37" s="10">
        <v>4778</v>
      </c>
      <c r="T37" s="10">
        <v>6513</v>
      </c>
      <c r="U37" s="10">
        <v>7302</v>
      </c>
      <c r="V37" s="10">
        <v>5885</v>
      </c>
      <c r="W37" s="10">
        <v>9524</v>
      </c>
      <c r="X37" s="10">
        <v>5942</v>
      </c>
      <c r="Y37" s="10">
        <v>10585</v>
      </c>
      <c r="Z37" s="10"/>
      <c r="AA37" s="10"/>
      <c r="AB37" s="10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</row>
    <row r="38" spans="1:42">
      <c r="A38" s="6" t="s">
        <v>48</v>
      </c>
      <c r="B38" s="7">
        <v>20697496</v>
      </c>
      <c r="C38" s="7">
        <v>930438</v>
      </c>
      <c r="D38" s="7">
        <v>625308</v>
      </c>
      <c r="E38" s="7"/>
      <c r="F38" s="7"/>
      <c r="G38" s="7"/>
      <c r="H38" s="7">
        <v>19504523</v>
      </c>
      <c r="I38" s="7">
        <v>903800</v>
      </c>
      <c r="J38" s="7">
        <v>584659</v>
      </c>
      <c r="K38" s="8">
        <v>45.2</v>
      </c>
      <c r="L38" s="8">
        <v>30.3</v>
      </c>
      <c r="M38" s="30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47"/>
      <c r="AD38" s="50">
        <f>SUM(AD2:AD37)</f>
        <v>20569122</v>
      </c>
      <c r="AE38" s="50">
        <f>SUM(AE2:AE37)</f>
        <v>931342</v>
      </c>
      <c r="AF38" s="50">
        <f>SUM(AF2:AF37)</f>
        <v>620499</v>
      </c>
      <c r="AG38" s="47"/>
      <c r="AH38" s="50">
        <f>AD38-B38</f>
        <v>-128374</v>
      </c>
      <c r="AI38" s="50">
        <f>AE38-C38</f>
        <v>904</v>
      </c>
      <c r="AJ38" s="50">
        <f>AF38-D38</f>
        <v>-4809</v>
      </c>
      <c r="AK38" s="47"/>
      <c r="AL38" s="51">
        <f>C38/B38*1000</f>
        <v>44.954133582149261</v>
      </c>
      <c r="AM38" s="51">
        <f>D38/B38*1000</f>
        <v>30.211770544610808</v>
      </c>
      <c r="AN38" s="52"/>
      <c r="AO38" s="51">
        <f>AL38-K38</f>
        <v>-0.24586641785074193</v>
      </c>
      <c r="AP38" s="51">
        <f>AM38-L38</f>
        <v>-8.8229455389193134E-2</v>
      </c>
    </row>
    <row r="39" spans="1:42">
      <c r="A39" s="2" t="s">
        <v>49</v>
      </c>
      <c r="B39" s="3">
        <v>501021</v>
      </c>
      <c r="C39" s="3">
        <v>22010</v>
      </c>
      <c r="D39" s="3">
        <v>13041</v>
      </c>
      <c r="E39" s="3"/>
      <c r="F39" s="3"/>
      <c r="G39" s="3"/>
      <c r="H39" s="3">
        <v>461555</v>
      </c>
      <c r="I39" s="3">
        <v>19929</v>
      </c>
      <c r="J39" s="3">
        <v>11165</v>
      </c>
      <c r="K39" s="5">
        <v>43.9</v>
      </c>
      <c r="L39" s="5">
        <v>26</v>
      </c>
      <c r="M39" s="30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47"/>
      <c r="AD39" s="48">
        <f>B39</f>
        <v>501021</v>
      </c>
      <c r="AE39" s="48">
        <f>C39</f>
        <v>22010</v>
      </c>
      <c r="AF39" s="48">
        <f>D39</f>
        <v>13041</v>
      </c>
      <c r="AG39" s="47"/>
      <c r="AH39" s="53"/>
      <c r="AI39" s="53"/>
      <c r="AJ39" s="53"/>
      <c r="AK39" s="47"/>
      <c r="AL39" s="49">
        <f>C39/B39*1000</f>
        <v>43.93029433895984</v>
      </c>
      <c r="AM39" s="49">
        <f>D39/B39*1000</f>
        <v>26.028849090157898</v>
      </c>
      <c r="AN39" s="47"/>
      <c r="AO39" s="49">
        <f>AL39-K39</f>
        <v>3.0294338959841127E-2</v>
      </c>
      <c r="AP39" s="49">
        <f>AM39-L39</f>
        <v>2.8849090157898161E-2</v>
      </c>
    </row>
    <row r="40" spans="1:42">
      <c r="A40" s="2" t="s">
        <v>50</v>
      </c>
      <c r="B40" s="3">
        <v>1112646</v>
      </c>
      <c r="C40" s="3">
        <v>43114</v>
      </c>
      <c r="D40" s="3">
        <v>26810</v>
      </c>
      <c r="E40" s="4" t="s">
        <v>12</v>
      </c>
      <c r="F40" s="4" t="s">
        <v>12</v>
      </c>
      <c r="G40" s="4" t="s">
        <v>12</v>
      </c>
      <c r="H40" s="3">
        <v>1039843</v>
      </c>
      <c r="I40" s="3">
        <v>42930</v>
      </c>
      <c r="J40" s="3">
        <v>28027</v>
      </c>
      <c r="K40" s="5">
        <v>38.799999999999997</v>
      </c>
      <c r="L40" s="5">
        <v>24.1</v>
      </c>
      <c r="M40" s="30"/>
      <c r="N40" s="3">
        <v>108422</v>
      </c>
      <c r="O40" s="3">
        <v>115001</v>
      </c>
      <c r="P40" s="3">
        <v>103472</v>
      </c>
      <c r="Q40" s="3">
        <v>127550</v>
      </c>
      <c r="R40" s="3">
        <v>94158</v>
      </c>
      <c r="S40" s="3">
        <v>94919</v>
      </c>
      <c r="T40" s="3">
        <v>95951</v>
      </c>
      <c r="U40" s="3">
        <v>98548</v>
      </c>
      <c r="V40" s="3">
        <v>95715</v>
      </c>
      <c r="W40" s="3">
        <v>75370</v>
      </c>
      <c r="X40" s="3">
        <v>51837</v>
      </c>
      <c r="Y40" s="3">
        <v>91703</v>
      </c>
      <c r="Z40" s="3"/>
      <c r="AA40" s="3"/>
      <c r="AB40" s="3"/>
      <c r="AC40" s="47"/>
      <c r="AD40" s="48">
        <f>SUM(N40:AB40)</f>
        <v>1152646</v>
      </c>
      <c r="AE40" s="48">
        <f>SUM(N41:AB41)</f>
        <v>43474</v>
      </c>
      <c r="AF40" s="48">
        <f>SUM(N42:AB42)</f>
        <v>26821</v>
      </c>
      <c r="AG40" s="47"/>
      <c r="AH40" s="48">
        <f>AD40-B40</f>
        <v>40000</v>
      </c>
      <c r="AI40" s="48">
        <f>AE40-C40</f>
        <v>360</v>
      </c>
      <c r="AJ40" s="48">
        <f>AF40-D40</f>
        <v>11</v>
      </c>
      <c r="AK40" s="47"/>
      <c r="AL40" s="49">
        <f>C40/B40*1000</f>
        <v>38.749072031895139</v>
      </c>
      <c r="AM40" s="49">
        <f>D40/B40*1000</f>
        <v>24.095714180431152</v>
      </c>
      <c r="AN40" s="47"/>
      <c r="AO40" s="49">
        <f>AL40-K40</f>
        <v>-5.0927968104858223E-2</v>
      </c>
      <c r="AP40" s="49">
        <f>AM40-L40</f>
        <v>-4.2858195688495471E-3</v>
      </c>
    </row>
    <row r="41" spans="1:42">
      <c r="A41" s="24" t="s">
        <v>51</v>
      </c>
      <c r="B41" s="10"/>
      <c r="C41" s="10"/>
      <c r="D41" s="10"/>
      <c r="E41" s="10"/>
      <c r="F41" s="10"/>
      <c r="G41" s="10"/>
      <c r="H41" s="10"/>
      <c r="I41" s="10"/>
      <c r="J41" s="10"/>
      <c r="K41" s="11" t="s">
        <v>12</v>
      </c>
      <c r="L41" s="11" t="s">
        <v>12</v>
      </c>
      <c r="M41" s="30"/>
      <c r="N41" s="10">
        <v>3876</v>
      </c>
      <c r="O41" s="10">
        <v>4216</v>
      </c>
      <c r="P41" s="10">
        <v>3427</v>
      </c>
      <c r="Q41" s="10">
        <v>4557</v>
      </c>
      <c r="R41" s="10">
        <v>2908</v>
      </c>
      <c r="S41" s="10">
        <v>4282</v>
      </c>
      <c r="T41" s="10">
        <v>4052</v>
      </c>
      <c r="U41" s="10">
        <v>3487</v>
      </c>
      <c r="V41" s="10">
        <v>3350</v>
      </c>
      <c r="W41" s="10">
        <v>2997</v>
      </c>
      <c r="X41" s="10">
        <v>2131</v>
      </c>
      <c r="Y41" s="10">
        <v>4191</v>
      </c>
      <c r="Z41" s="10"/>
      <c r="AA41" s="10"/>
      <c r="AB41" s="10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</row>
    <row r="42" spans="1:42">
      <c r="A42" s="24" t="s">
        <v>52</v>
      </c>
      <c r="B42" s="10"/>
      <c r="C42" s="10"/>
      <c r="D42" s="10"/>
      <c r="E42" s="10"/>
      <c r="F42" s="10"/>
      <c r="G42" s="10"/>
      <c r="H42" s="10"/>
      <c r="I42" s="10"/>
      <c r="J42" s="10"/>
      <c r="K42" s="11" t="s">
        <v>12</v>
      </c>
      <c r="L42" s="11" t="s">
        <v>12</v>
      </c>
      <c r="M42" s="30"/>
      <c r="N42" s="10">
        <v>1909</v>
      </c>
      <c r="O42" s="10">
        <v>2706</v>
      </c>
      <c r="P42" s="10">
        <v>2192</v>
      </c>
      <c r="Q42" s="10">
        <v>3061</v>
      </c>
      <c r="R42" s="10">
        <v>1815</v>
      </c>
      <c r="S42" s="10">
        <v>2566</v>
      </c>
      <c r="T42" s="10">
        <v>2805</v>
      </c>
      <c r="U42" s="10">
        <v>2518</v>
      </c>
      <c r="V42" s="10">
        <v>1971</v>
      </c>
      <c r="W42" s="10">
        <v>1882</v>
      </c>
      <c r="X42" s="10">
        <v>1330</v>
      </c>
      <c r="Y42" s="10">
        <v>2066</v>
      </c>
      <c r="Z42" s="10"/>
      <c r="AA42" s="10"/>
      <c r="AB42" s="10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</row>
    <row r="43" spans="1:42">
      <c r="A43" s="2" t="s">
        <v>53</v>
      </c>
      <c r="B43" s="3">
        <v>919029</v>
      </c>
      <c r="C43" s="3">
        <v>33961</v>
      </c>
      <c r="D43" s="3">
        <v>22147</v>
      </c>
      <c r="E43" s="3">
        <v>67672</v>
      </c>
      <c r="F43" s="3">
        <v>1703</v>
      </c>
      <c r="G43" s="3">
        <v>997</v>
      </c>
      <c r="H43" s="3">
        <v>872164</v>
      </c>
      <c r="I43" s="3">
        <v>33510</v>
      </c>
      <c r="J43" s="3">
        <v>20107</v>
      </c>
      <c r="K43" s="5">
        <v>36.9</v>
      </c>
      <c r="L43" s="5">
        <v>24.1</v>
      </c>
      <c r="M43" s="30"/>
      <c r="N43" s="3">
        <v>121531</v>
      </c>
      <c r="O43" s="3">
        <v>143134</v>
      </c>
      <c r="P43" s="3">
        <v>110180</v>
      </c>
      <c r="Q43" s="3">
        <v>92648</v>
      </c>
      <c r="R43" s="3">
        <v>122740</v>
      </c>
      <c r="S43" s="3">
        <v>90736</v>
      </c>
      <c r="T43" s="3">
        <v>132755</v>
      </c>
      <c r="U43" s="3">
        <v>105305</v>
      </c>
      <c r="V43" s="3"/>
      <c r="W43" s="3"/>
      <c r="X43" s="3"/>
      <c r="Y43" s="3"/>
      <c r="Z43" s="3"/>
      <c r="AA43" s="3"/>
      <c r="AB43" s="3"/>
      <c r="AC43" s="47"/>
      <c r="AD43" s="48">
        <f>SUM(N43:AB43)</f>
        <v>919029</v>
      </c>
      <c r="AE43" s="48">
        <f>SUM(N44:AB44)</f>
        <v>33971</v>
      </c>
      <c r="AF43" s="48">
        <f>SUM(N45:AB45)</f>
        <v>22147</v>
      </c>
      <c r="AG43" s="47"/>
      <c r="AH43" s="48">
        <f>AD43-B43</f>
        <v>0</v>
      </c>
      <c r="AI43" s="48">
        <f>AE43-C43</f>
        <v>10</v>
      </c>
      <c r="AJ43" s="48">
        <f>AF43-D43</f>
        <v>0</v>
      </c>
      <c r="AK43" s="47"/>
      <c r="AL43" s="49">
        <f>C43/B43*1000</f>
        <v>36.953132055680506</v>
      </c>
      <c r="AM43" s="49">
        <f>D43/B43*1000</f>
        <v>24.098260229002566</v>
      </c>
      <c r="AN43" s="47"/>
      <c r="AO43" s="49">
        <f>AL43-K43</f>
        <v>5.3132055680507051E-2</v>
      </c>
      <c r="AP43" s="49">
        <f>AM43-L43</f>
        <v>-1.7397709974353859E-3</v>
      </c>
    </row>
    <row r="44" spans="1:42">
      <c r="A44" s="24" t="s">
        <v>54</v>
      </c>
      <c r="B44" s="10"/>
      <c r="C44" s="10"/>
      <c r="D44" s="10"/>
      <c r="E44" s="10"/>
      <c r="F44" s="10"/>
      <c r="G44" s="10"/>
      <c r="H44" s="10"/>
      <c r="I44" s="10"/>
      <c r="J44" s="10"/>
      <c r="K44" s="11" t="s">
        <v>12</v>
      </c>
      <c r="L44" s="11" t="s">
        <v>12</v>
      </c>
      <c r="M44" s="30"/>
      <c r="N44" s="10">
        <v>4103</v>
      </c>
      <c r="O44" s="10">
        <v>5766</v>
      </c>
      <c r="P44" s="10">
        <v>3888</v>
      </c>
      <c r="Q44" s="10">
        <v>3421</v>
      </c>
      <c r="R44" s="10">
        <v>5017</v>
      </c>
      <c r="S44" s="10">
        <v>3553</v>
      </c>
      <c r="T44" s="10">
        <v>4599</v>
      </c>
      <c r="U44" s="10">
        <v>3624</v>
      </c>
      <c r="V44" s="10"/>
      <c r="W44" s="10"/>
      <c r="X44" s="10"/>
      <c r="Y44" s="10"/>
      <c r="Z44" s="10"/>
      <c r="AA44" s="10"/>
      <c r="AB44" s="10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</row>
    <row r="45" spans="1:42">
      <c r="A45" s="24" t="s">
        <v>55</v>
      </c>
      <c r="B45" s="10"/>
      <c r="C45" s="10"/>
      <c r="D45" s="10"/>
      <c r="E45" s="10"/>
      <c r="F45" s="10"/>
      <c r="G45" s="10"/>
      <c r="H45" s="10"/>
      <c r="I45" s="10"/>
      <c r="J45" s="10"/>
      <c r="K45" s="11" t="s">
        <v>12</v>
      </c>
      <c r="L45" s="11" t="s">
        <v>12</v>
      </c>
      <c r="M45" s="30"/>
      <c r="N45" s="10">
        <v>2802</v>
      </c>
      <c r="O45" s="10">
        <v>3462</v>
      </c>
      <c r="P45" s="10">
        <v>2320</v>
      </c>
      <c r="Q45" s="10">
        <v>1919</v>
      </c>
      <c r="R45" s="10">
        <v>2889</v>
      </c>
      <c r="S45" s="10">
        <v>2820</v>
      </c>
      <c r="T45" s="10">
        <v>2743</v>
      </c>
      <c r="U45" s="10">
        <v>3192</v>
      </c>
      <c r="V45" s="10"/>
      <c r="W45" s="10"/>
      <c r="X45" s="10"/>
      <c r="Y45" s="10"/>
      <c r="Z45" s="10"/>
      <c r="AA45" s="10"/>
      <c r="AB45" s="10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</row>
    <row r="46" spans="1:42">
      <c r="A46" s="2" t="s">
        <v>56</v>
      </c>
      <c r="B46" s="3">
        <v>808159</v>
      </c>
      <c r="C46" s="3">
        <v>33158</v>
      </c>
      <c r="D46" s="3">
        <v>18018</v>
      </c>
      <c r="E46" s="4" t="s">
        <v>12</v>
      </c>
      <c r="F46" s="4" t="s">
        <v>12</v>
      </c>
      <c r="G46" s="4" t="s">
        <v>12</v>
      </c>
      <c r="H46" s="3">
        <v>735749</v>
      </c>
      <c r="I46" s="3">
        <v>26993</v>
      </c>
      <c r="J46" s="3">
        <v>16885</v>
      </c>
      <c r="K46" s="5">
        <v>41</v>
      </c>
      <c r="L46" s="5">
        <v>22.3</v>
      </c>
      <c r="M46" s="30"/>
      <c r="N46" s="3">
        <v>147028</v>
      </c>
      <c r="O46" s="3">
        <v>78879</v>
      </c>
      <c r="P46" s="3">
        <v>81313</v>
      </c>
      <c r="Q46" s="3">
        <v>120588</v>
      </c>
      <c r="R46" s="3">
        <v>122864</v>
      </c>
      <c r="S46" s="3">
        <v>118899</v>
      </c>
      <c r="T46" s="3">
        <v>138588</v>
      </c>
      <c r="U46" s="3"/>
      <c r="V46" s="3"/>
      <c r="W46" s="3"/>
      <c r="X46" s="3"/>
      <c r="Y46" s="3"/>
      <c r="Z46" s="3"/>
      <c r="AA46" s="3"/>
      <c r="AB46" s="3"/>
      <c r="AC46" s="47"/>
      <c r="AD46" s="48">
        <f>SUM(N46:AB46)</f>
        <v>808159</v>
      </c>
      <c r="AE46" s="48">
        <f>SUM(N47:AB47)</f>
        <v>31096</v>
      </c>
      <c r="AF46" s="48">
        <f>SUM(N48:AB48)</f>
        <v>18018</v>
      </c>
      <c r="AG46" s="47"/>
      <c r="AH46" s="48">
        <f>AD46-B46</f>
        <v>0</v>
      </c>
      <c r="AI46" s="48">
        <f>AE46-C46</f>
        <v>-2062</v>
      </c>
      <c r="AJ46" s="48">
        <f>AF46-D46</f>
        <v>0</v>
      </c>
      <c r="AK46" s="47"/>
      <c r="AL46" s="49">
        <f>C46/B46*1000</f>
        <v>41.02905492607271</v>
      </c>
      <c r="AM46" s="49">
        <f>D46/B46*1000</f>
        <v>22.295117668676586</v>
      </c>
      <c r="AN46" s="47"/>
      <c r="AO46" s="49">
        <f>AL46-K46</f>
        <v>2.905492607271043E-2</v>
      </c>
      <c r="AP46" s="49">
        <f>AM46-L46</f>
        <v>-4.882331323415201E-3</v>
      </c>
    </row>
    <row r="47" spans="1:42">
      <c r="A47" s="24" t="s">
        <v>57</v>
      </c>
      <c r="B47" s="10"/>
      <c r="C47" s="10"/>
      <c r="D47" s="10"/>
      <c r="E47" s="10"/>
      <c r="F47" s="10"/>
      <c r="G47" s="10"/>
      <c r="H47" s="10"/>
      <c r="I47" s="10"/>
      <c r="J47" s="10"/>
      <c r="K47" s="11" t="s">
        <v>12</v>
      </c>
      <c r="L47" s="11" t="s">
        <v>12</v>
      </c>
      <c r="M47" s="30"/>
      <c r="N47" s="10">
        <v>3809</v>
      </c>
      <c r="O47" s="10">
        <v>3185</v>
      </c>
      <c r="P47" s="10">
        <v>3049</v>
      </c>
      <c r="Q47" s="10">
        <v>5374</v>
      </c>
      <c r="R47" s="10">
        <v>5066</v>
      </c>
      <c r="S47" s="10">
        <v>4974</v>
      </c>
      <c r="T47" s="10">
        <v>5639</v>
      </c>
      <c r="U47" s="10"/>
      <c r="V47" s="10"/>
      <c r="W47" s="10"/>
      <c r="X47" s="10"/>
      <c r="Y47" s="10"/>
      <c r="Z47" s="10"/>
      <c r="AA47" s="10"/>
      <c r="AB47" s="10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</row>
    <row r="48" spans="1:42">
      <c r="A48" s="24" t="s">
        <v>58</v>
      </c>
      <c r="B48" s="10"/>
      <c r="C48" s="10"/>
      <c r="D48" s="10"/>
      <c r="E48" s="10"/>
      <c r="F48" s="10"/>
      <c r="G48" s="10"/>
      <c r="H48" s="10"/>
      <c r="I48" s="10"/>
      <c r="J48" s="10"/>
      <c r="K48" s="11" t="s">
        <v>12</v>
      </c>
      <c r="L48" s="11" t="s">
        <v>12</v>
      </c>
      <c r="M48" s="30"/>
      <c r="N48" s="10">
        <v>3122</v>
      </c>
      <c r="O48" s="10">
        <v>1817</v>
      </c>
      <c r="P48" s="10">
        <v>2068</v>
      </c>
      <c r="Q48" s="10">
        <v>2522</v>
      </c>
      <c r="R48" s="10">
        <v>2376</v>
      </c>
      <c r="S48" s="10">
        <v>2961</v>
      </c>
      <c r="T48" s="10">
        <v>3152</v>
      </c>
      <c r="U48" s="10"/>
      <c r="V48" s="10"/>
      <c r="W48" s="10"/>
      <c r="X48" s="10"/>
      <c r="Y48" s="10"/>
      <c r="Z48" s="10"/>
      <c r="AA48" s="10"/>
      <c r="AB48" s="10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</row>
    <row r="49" spans="1:42">
      <c r="A49" s="2" t="s">
        <v>59</v>
      </c>
      <c r="B49" s="3">
        <v>696322</v>
      </c>
      <c r="C49" s="3">
        <v>27100</v>
      </c>
      <c r="D49" s="3">
        <v>18982</v>
      </c>
      <c r="E49" s="3">
        <v>81330</v>
      </c>
      <c r="F49" s="3">
        <v>2146</v>
      </c>
      <c r="G49" s="3">
        <v>2336</v>
      </c>
      <c r="H49" s="3">
        <v>641218</v>
      </c>
      <c r="I49" s="3">
        <v>23213</v>
      </c>
      <c r="J49" s="3">
        <v>14685</v>
      </c>
      <c r="K49" s="5">
        <v>38.9</v>
      </c>
      <c r="L49" s="5">
        <v>27.3</v>
      </c>
      <c r="M49" s="30"/>
      <c r="N49" s="3">
        <v>111325</v>
      </c>
      <c r="O49" s="3">
        <v>80127</v>
      </c>
      <c r="P49" s="3">
        <v>80376</v>
      </c>
      <c r="Q49" s="3">
        <v>64495</v>
      </c>
      <c r="R49" s="3">
        <v>98466</v>
      </c>
      <c r="S49" s="3">
        <v>80428</v>
      </c>
      <c r="T49" s="3">
        <v>109787</v>
      </c>
      <c r="U49" s="3">
        <v>70318</v>
      </c>
      <c r="V49" s="3"/>
      <c r="W49" s="3"/>
      <c r="X49" s="3"/>
      <c r="Y49" s="3"/>
      <c r="Z49" s="3"/>
      <c r="AA49" s="3"/>
      <c r="AB49" s="3"/>
      <c r="AC49" s="47"/>
      <c r="AD49" s="48">
        <f>SUM(N49:AB49)</f>
        <v>695322</v>
      </c>
      <c r="AE49" s="48">
        <f>SUM(N50:AB50)</f>
        <v>27100</v>
      </c>
      <c r="AF49" s="48">
        <f>SUM(N51:AB51)</f>
        <v>19000</v>
      </c>
      <c r="AG49" s="47"/>
      <c r="AH49" s="48">
        <f>AD49-B49</f>
        <v>-1000</v>
      </c>
      <c r="AI49" s="48">
        <f>AE49-C49</f>
        <v>0</v>
      </c>
      <c r="AJ49" s="48">
        <f>AF49-D49</f>
        <v>18</v>
      </c>
      <c r="AK49" s="47"/>
      <c r="AL49" s="49">
        <f>C49/B49*1000</f>
        <v>38.918776083478619</v>
      </c>
      <c r="AM49" s="49">
        <f>D49/B49*1000</f>
        <v>27.260376664818864</v>
      </c>
      <c r="AN49" s="47"/>
      <c r="AO49" s="49">
        <f>AL49-K49</f>
        <v>1.8776083478620365E-2</v>
      </c>
      <c r="AP49" s="49">
        <f>AM49-L49</f>
        <v>-3.962333518113681E-2</v>
      </c>
    </row>
    <row r="50" spans="1:42">
      <c r="A50" s="24" t="s">
        <v>60</v>
      </c>
      <c r="B50" s="10"/>
      <c r="C50" s="10"/>
      <c r="D50" s="10"/>
      <c r="E50" s="10"/>
      <c r="F50" s="10"/>
      <c r="G50" s="10"/>
      <c r="H50" s="10"/>
      <c r="I50" s="10"/>
      <c r="J50" s="10"/>
      <c r="K50" s="11" t="s">
        <v>12</v>
      </c>
      <c r="L50" s="11" t="s">
        <v>12</v>
      </c>
      <c r="M50" s="30"/>
      <c r="N50" s="10">
        <v>4196</v>
      </c>
      <c r="O50" s="10">
        <v>3302</v>
      </c>
      <c r="P50" s="10">
        <v>2620</v>
      </c>
      <c r="Q50" s="10">
        <v>2698</v>
      </c>
      <c r="R50" s="10">
        <v>3724</v>
      </c>
      <c r="S50" s="10">
        <v>3442</v>
      </c>
      <c r="T50" s="10">
        <v>4321</v>
      </c>
      <c r="U50" s="10">
        <v>2797</v>
      </c>
      <c r="V50" s="10"/>
      <c r="W50" s="10"/>
      <c r="X50" s="10"/>
      <c r="Y50" s="10"/>
      <c r="Z50" s="10"/>
      <c r="AA50" s="10"/>
      <c r="AB50" s="10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</row>
    <row r="51" spans="1:42">
      <c r="A51" s="24" t="s">
        <v>61</v>
      </c>
      <c r="B51" s="10"/>
      <c r="C51" s="10"/>
      <c r="D51" s="10"/>
      <c r="E51" s="10"/>
      <c r="F51" s="10"/>
      <c r="G51" s="10"/>
      <c r="H51" s="10"/>
      <c r="I51" s="10"/>
      <c r="J51" s="10"/>
      <c r="K51" s="11" t="s">
        <v>12</v>
      </c>
      <c r="L51" s="11" t="s">
        <v>12</v>
      </c>
      <c r="M51" s="30"/>
      <c r="N51" s="10">
        <v>3188</v>
      </c>
      <c r="O51" s="10">
        <v>1964</v>
      </c>
      <c r="P51" s="10">
        <v>1803</v>
      </c>
      <c r="Q51" s="10">
        <v>2055</v>
      </c>
      <c r="R51" s="10">
        <v>2664</v>
      </c>
      <c r="S51" s="10">
        <v>2525</v>
      </c>
      <c r="T51" s="10">
        <v>3211</v>
      </c>
      <c r="U51" s="10">
        <v>1590</v>
      </c>
      <c r="V51" s="10"/>
      <c r="W51" s="10"/>
      <c r="X51" s="10"/>
      <c r="Y51" s="10"/>
      <c r="Z51" s="10"/>
      <c r="AA51" s="10"/>
      <c r="AB51" s="10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</row>
    <row r="52" spans="1:42">
      <c r="A52" s="2" t="s">
        <v>62</v>
      </c>
      <c r="B52" s="3">
        <v>1161847</v>
      </c>
      <c r="C52" s="3">
        <v>44986</v>
      </c>
      <c r="D52" s="3">
        <v>26946</v>
      </c>
      <c r="E52" s="3">
        <v>134362</v>
      </c>
      <c r="F52" s="3">
        <v>4619</v>
      </c>
      <c r="G52" s="3">
        <v>3385</v>
      </c>
      <c r="H52" s="3">
        <v>882776</v>
      </c>
      <c r="I52" s="3">
        <v>42148</v>
      </c>
      <c r="J52" s="3">
        <v>26197</v>
      </c>
      <c r="K52" s="5">
        <v>38.700000000000003</v>
      </c>
      <c r="L52" s="5">
        <v>23.2</v>
      </c>
      <c r="M52" s="30"/>
      <c r="N52" s="3">
        <v>167634</v>
      </c>
      <c r="O52" s="3">
        <v>101361</v>
      </c>
      <c r="P52" s="3">
        <v>106297</v>
      </c>
      <c r="Q52" s="3">
        <v>120849</v>
      </c>
      <c r="R52" s="3">
        <v>97333</v>
      </c>
      <c r="S52" s="3">
        <v>91923</v>
      </c>
      <c r="T52" s="3">
        <v>139229</v>
      </c>
      <c r="U52" s="3">
        <v>90194</v>
      </c>
      <c r="V52" s="3">
        <v>120519</v>
      </c>
      <c r="W52" s="3">
        <v>125508</v>
      </c>
      <c r="X52" s="3"/>
      <c r="Y52" s="3"/>
      <c r="Z52" s="3"/>
      <c r="AA52" s="3"/>
      <c r="AB52" s="3"/>
      <c r="AC52" s="47"/>
      <c r="AD52" s="48">
        <f>SUM(N52:AB52)</f>
        <v>1160847</v>
      </c>
      <c r="AE52" s="48">
        <f>SUM(N53:AB53)</f>
        <v>44986</v>
      </c>
      <c r="AF52" s="48">
        <f>SUM(N54:AB54)</f>
        <v>26840</v>
      </c>
      <c r="AG52" s="47"/>
      <c r="AH52" s="48">
        <f>AD52-B52</f>
        <v>-1000</v>
      </c>
      <c r="AI52" s="48">
        <f>AE52-C52</f>
        <v>0</v>
      </c>
      <c r="AJ52" s="48">
        <f>AF52-D52</f>
        <v>-106</v>
      </c>
      <c r="AK52" s="47"/>
      <c r="AL52" s="49">
        <f>C52/B52*1000</f>
        <v>38.719383877567353</v>
      </c>
      <c r="AM52" s="49">
        <f>D52/B52*1000</f>
        <v>23.19238247376806</v>
      </c>
      <c r="AN52" s="47"/>
      <c r="AO52" s="49">
        <f>AL52-K52</f>
        <v>1.9383877567349828E-2</v>
      </c>
      <c r="AP52" s="49">
        <f>AM52-L52</f>
        <v>-7.6175262319395642E-3</v>
      </c>
    </row>
    <row r="53" spans="1:42">
      <c r="A53" s="24" t="s">
        <v>63</v>
      </c>
      <c r="B53" s="10"/>
      <c r="C53" s="10"/>
      <c r="D53" s="10"/>
      <c r="E53" s="10"/>
      <c r="F53" s="10"/>
      <c r="G53" s="10"/>
      <c r="H53" s="10"/>
      <c r="I53" s="10"/>
      <c r="J53" s="10"/>
      <c r="K53" s="11" t="s">
        <v>12</v>
      </c>
      <c r="L53" s="11" t="s">
        <v>12</v>
      </c>
      <c r="M53" s="30"/>
      <c r="N53" s="10">
        <v>6207</v>
      </c>
      <c r="O53" s="10">
        <v>4111</v>
      </c>
      <c r="P53" s="10">
        <v>4190</v>
      </c>
      <c r="Q53" s="10">
        <v>4029</v>
      </c>
      <c r="R53" s="10">
        <v>3604</v>
      </c>
      <c r="S53" s="10">
        <v>3277</v>
      </c>
      <c r="T53" s="10">
        <v>5660</v>
      </c>
      <c r="U53" s="10">
        <v>3937</v>
      </c>
      <c r="V53" s="10">
        <v>4853</v>
      </c>
      <c r="W53" s="10">
        <v>5118</v>
      </c>
      <c r="X53" s="10"/>
      <c r="Y53" s="10"/>
      <c r="Z53" s="10"/>
      <c r="AA53" s="10"/>
      <c r="AB53" s="10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</row>
    <row r="54" spans="1:42">
      <c r="A54" s="24" t="s">
        <v>64</v>
      </c>
      <c r="B54" s="10"/>
      <c r="C54" s="10"/>
      <c r="D54" s="10"/>
      <c r="E54" s="10"/>
      <c r="F54" s="10"/>
      <c r="G54" s="10"/>
      <c r="H54" s="10"/>
      <c r="I54" s="10"/>
      <c r="J54" s="10"/>
      <c r="K54" s="11" t="s">
        <v>12</v>
      </c>
      <c r="L54" s="11" t="s">
        <v>12</v>
      </c>
      <c r="M54" s="30"/>
      <c r="N54" s="10">
        <v>4062</v>
      </c>
      <c r="O54" s="10">
        <v>2354</v>
      </c>
      <c r="P54" s="10">
        <v>2758</v>
      </c>
      <c r="Q54" s="10">
        <v>2193</v>
      </c>
      <c r="R54" s="10">
        <v>2080</v>
      </c>
      <c r="S54" s="10">
        <v>2195</v>
      </c>
      <c r="T54" s="10">
        <v>3350</v>
      </c>
      <c r="U54" s="10">
        <v>2302</v>
      </c>
      <c r="V54" s="10">
        <v>2872</v>
      </c>
      <c r="W54" s="10">
        <v>2674</v>
      </c>
      <c r="X54" s="10"/>
      <c r="Y54" s="10"/>
      <c r="Z54" s="10"/>
      <c r="AA54" s="10"/>
      <c r="AB54" s="10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</row>
    <row r="55" spans="1:42">
      <c r="A55" s="2" t="s">
        <v>65</v>
      </c>
      <c r="B55" s="3">
        <v>1323430</v>
      </c>
      <c r="C55" s="3">
        <v>53160</v>
      </c>
      <c r="D55" s="3">
        <v>32687</v>
      </c>
      <c r="E55" s="3">
        <v>271914</v>
      </c>
      <c r="F55" s="3">
        <v>11023</v>
      </c>
      <c r="G55" s="3">
        <v>6982</v>
      </c>
      <c r="H55" s="3">
        <v>1190662</v>
      </c>
      <c r="I55" s="3">
        <v>45125</v>
      </c>
      <c r="J55" s="3">
        <v>26126</v>
      </c>
      <c r="K55" s="5">
        <v>40.200000000000003</v>
      </c>
      <c r="L55" s="5">
        <v>24.7</v>
      </c>
      <c r="M55" s="30"/>
      <c r="N55" s="3">
        <v>182813</v>
      </c>
      <c r="O55" s="3">
        <v>201105</v>
      </c>
      <c r="P55" s="3">
        <v>114771</v>
      </c>
      <c r="Q55" s="3">
        <v>131763</v>
      </c>
      <c r="R55" s="3">
        <v>304006</v>
      </c>
      <c r="S55" s="3">
        <v>147899</v>
      </c>
      <c r="T55" s="3">
        <v>84181</v>
      </c>
      <c r="U55" s="3">
        <v>156892</v>
      </c>
      <c r="V55" s="3"/>
      <c r="W55" s="3"/>
      <c r="X55" s="3"/>
      <c r="Y55" s="3"/>
      <c r="Z55" s="3"/>
      <c r="AA55" s="3"/>
      <c r="AB55" s="3"/>
      <c r="AC55" s="47"/>
      <c r="AD55" s="48">
        <f>SUM(N55:AB55)</f>
        <v>1323430</v>
      </c>
      <c r="AE55" s="48">
        <f>SUM(N56:AB56)</f>
        <v>53160</v>
      </c>
      <c r="AF55" s="48">
        <f>SUM(N57:AB57)</f>
        <v>32687</v>
      </c>
      <c r="AG55" s="47"/>
      <c r="AH55" s="48">
        <f>AD55-B55</f>
        <v>0</v>
      </c>
      <c r="AI55" s="48">
        <f>AE55-C55</f>
        <v>0</v>
      </c>
      <c r="AJ55" s="48">
        <f>AF55-D55</f>
        <v>0</v>
      </c>
      <c r="AK55" s="47"/>
      <c r="AL55" s="49">
        <f>C55/B55*1000</f>
        <v>40.168350422765087</v>
      </c>
      <c r="AM55" s="49">
        <f>D55/B55*1000</f>
        <v>24.698699591213739</v>
      </c>
      <c r="AN55" s="47"/>
      <c r="AO55" s="49">
        <f>AL55-K55</f>
        <v>-3.1649577234915682E-2</v>
      </c>
      <c r="AP55" s="49">
        <f>AM55-L55</f>
        <v>-1.3004087862604763E-3</v>
      </c>
    </row>
    <row r="56" spans="1:42">
      <c r="A56" s="24" t="s">
        <v>66</v>
      </c>
      <c r="B56" s="10"/>
      <c r="C56" s="10"/>
      <c r="D56" s="10"/>
      <c r="E56" s="10"/>
      <c r="F56" s="10"/>
      <c r="G56" s="10"/>
      <c r="H56" s="10"/>
      <c r="I56" s="10"/>
      <c r="J56" s="10"/>
      <c r="K56" s="11" t="s">
        <v>12</v>
      </c>
      <c r="L56" s="11" t="s">
        <v>12</v>
      </c>
      <c r="M56" s="30"/>
      <c r="N56" s="10">
        <v>6187</v>
      </c>
      <c r="O56" s="10">
        <v>8323</v>
      </c>
      <c r="P56" s="10">
        <v>4964</v>
      </c>
      <c r="Q56" s="10">
        <v>5157</v>
      </c>
      <c r="R56" s="10">
        <v>12402</v>
      </c>
      <c r="S56" s="10">
        <v>5529</v>
      </c>
      <c r="T56" s="10">
        <v>3509</v>
      </c>
      <c r="U56" s="10">
        <v>7089</v>
      </c>
      <c r="V56" s="10"/>
      <c r="W56" s="10"/>
      <c r="X56" s="10"/>
      <c r="Y56" s="10"/>
      <c r="Z56" s="10"/>
      <c r="AA56" s="10"/>
      <c r="AB56" s="10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</row>
    <row r="57" spans="1:42">
      <c r="A57" s="24" t="s">
        <v>67</v>
      </c>
      <c r="B57" s="10"/>
      <c r="C57" s="10"/>
      <c r="D57" s="10"/>
      <c r="E57" s="10"/>
      <c r="F57" s="10"/>
      <c r="G57" s="10"/>
      <c r="H57" s="10"/>
      <c r="I57" s="10"/>
      <c r="J57" s="10"/>
      <c r="K57" s="11" t="s">
        <v>12</v>
      </c>
      <c r="L57" s="11" t="s">
        <v>12</v>
      </c>
      <c r="M57" s="30"/>
      <c r="N57" s="10">
        <v>4005</v>
      </c>
      <c r="O57" s="10">
        <v>4660</v>
      </c>
      <c r="P57" s="10">
        <v>2768</v>
      </c>
      <c r="Q57" s="10">
        <v>3011</v>
      </c>
      <c r="R57" s="10">
        <v>7280</v>
      </c>
      <c r="S57" s="10">
        <v>4347</v>
      </c>
      <c r="T57" s="10">
        <v>2092</v>
      </c>
      <c r="U57" s="10">
        <v>4524</v>
      </c>
      <c r="V57" s="10"/>
      <c r="W57" s="10"/>
      <c r="X57" s="10"/>
      <c r="Y57" s="10"/>
      <c r="Z57" s="10"/>
      <c r="AA57" s="10"/>
      <c r="AB57" s="10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</row>
    <row r="58" spans="1:42">
      <c r="A58" s="2" t="s">
        <v>68</v>
      </c>
      <c r="B58" s="3">
        <v>674907</v>
      </c>
      <c r="C58" s="3">
        <v>25875</v>
      </c>
      <c r="D58" s="3">
        <v>17510</v>
      </c>
      <c r="E58" s="4" t="s">
        <v>12</v>
      </c>
      <c r="F58" s="4" t="s">
        <v>12</v>
      </c>
      <c r="G58" s="4" t="s">
        <v>12</v>
      </c>
      <c r="H58" s="3">
        <v>643375</v>
      </c>
      <c r="I58" s="3">
        <v>25000</v>
      </c>
      <c r="J58" s="3">
        <v>16315</v>
      </c>
      <c r="K58" s="5">
        <v>38.299999999999997</v>
      </c>
      <c r="L58" s="5">
        <v>26</v>
      </c>
      <c r="M58" s="30"/>
      <c r="N58" s="3">
        <v>112108</v>
      </c>
      <c r="O58" s="3">
        <v>93194</v>
      </c>
      <c r="P58" s="3">
        <v>92632</v>
      </c>
      <c r="Q58" s="3">
        <v>91237</v>
      </c>
      <c r="R58" s="3">
        <v>73374</v>
      </c>
      <c r="S58" s="3">
        <v>65525</v>
      </c>
      <c r="T58" s="3">
        <v>70774</v>
      </c>
      <c r="U58" s="3">
        <v>76063</v>
      </c>
      <c r="V58" s="3"/>
      <c r="W58" s="3"/>
      <c r="X58" s="3"/>
      <c r="Y58" s="3"/>
      <c r="Z58" s="3"/>
      <c r="AA58" s="3"/>
      <c r="AB58" s="3"/>
      <c r="AC58" s="47"/>
      <c r="AD58" s="48">
        <f>SUM(N58:AB58)</f>
        <v>674907</v>
      </c>
      <c r="AE58" s="48">
        <f>SUM(N59:AB59)</f>
        <v>25575</v>
      </c>
      <c r="AF58" s="48">
        <f>SUM(N60:AB60)</f>
        <v>17510</v>
      </c>
      <c r="AG58" s="47"/>
      <c r="AH58" s="48">
        <f>AD58-B58</f>
        <v>0</v>
      </c>
      <c r="AI58" s="48">
        <f>AE58-C58</f>
        <v>-300</v>
      </c>
      <c r="AJ58" s="48">
        <f>AF58-D58</f>
        <v>0</v>
      </c>
      <c r="AK58" s="47"/>
      <c r="AL58" s="49">
        <f>C58/B58*1000</f>
        <v>38.338615542585863</v>
      </c>
      <c r="AM58" s="49">
        <f>D58/B58*1000</f>
        <v>25.944315290847481</v>
      </c>
      <c r="AN58" s="47"/>
      <c r="AO58" s="49">
        <f>AL58-K58</f>
        <v>3.8615542585866081E-2</v>
      </c>
      <c r="AP58" s="49">
        <f>AM58-L58</f>
        <v>-5.5684709152519218E-2</v>
      </c>
    </row>
    <row r="59" spans="1:42">
      <c r="A59" s="24" t="s">
        <v>69</v>
      </c>
      <c r="B59" s="10"/>
      <c r="C59" s="10"/>
      <c r="D59" s="10"/>
      <c r="E59" s="10"/>
      <c r="F59" s="10"/>
      <c r="G59" s="10"/>
      <c r="H59" s="10"/>
      <c r="I59" s="10"/>
      <c r="J59" s="10"/>
      <c r="K59" s="11" t="s">
        <v>12</v>
      </c>
      <c r="L59" s="11" t="s">
        <v>12</v>
      </c>
      <c r="M59" s="30"/>
      <c r="N59" s="10">
        <v>3882</v>
      </c>
      <c r="O59" s="10">
        <v>3401</v>
      </c>
      <c r="P59" s="10">
        <v>3050</v>
      </c>
      <c r="Q59" s="10">
        <v>4133</v>
      </c>
      <c r="R59" s="10">
        <v>2857</v>
      </c>
      <c r="S59" s="10">
        <v>3374</v>
      </c>
      <c r="T59" s="10">
        <v>2685</v>
      </c>
      <c r="U59" s="10">
        <v>2193</v>
      </c>
      <c r="V59" s="10"/>
      <c r="W59" s="10"/>
      <c r="X59" s="10"/>
      <c r="Y59" s="10"/>
      <c r="Z59" s="10"/>
      <c r="AA59" s="10"/>
      <c r="AB59" s="10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</row>
    <row r="60" spans="1:42">
      <c r="A60" s="24" t="s">
        <v>70</v>
      </c>
      <c r="B60" s="10"/>
      <c r="C60" s="10"/>
      <c r="D60" s="10"/>
      <c r="E60" s="10"/>
      <c r="F60" s="10"/>
      <c r="G60" s="10"/>
      <c r="H60" s="10"/>
      <c r="I60" s="10"/>
      <c r="J60" s="10"/>
      <c r="K60" s="11" t="s">
        <v>12</v>
      </c>
      <c r="L60" s="11" t="s">
        <v>12</v>
      </c>
      <c r="M60" s="30"/>
      <c r="N60" s="10">
        <v>2888</v>
      </c>
      <c r="O60" s="10">
        <v>2102</v>
      </c>
      <c r="P60" s="10">
        <v>2025</v>
      </c>
      <c r="Q60" s="10">
        <v>2484</v>
      </c>
      <c r="R60" s="10">
        <v>1987</v>
      </c>
      <c r="S60" s="10">
        <v>2370</v>
      </c>
      <c r="T60" s="10">
        <v>1826</v>
      </c>
      <c r="U60" s="10">
        <v>1828</v>
      </c>
      <c r="V60" s="10"/>
      <c r="W60" s="10"/>
      <c r="X60" s="10"/>
      <c r="Y60" s="10"/>
      <c r="Z60" s="10"/>
      <c r="AA60" s="10"/>
      <c r="AB60" s="10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</row>
    <row r="61" spans="1:42">
      <c r="A61" s="2" t="s">
        <v>71</v>
      </c>
      <c r="B61" s="3">
        <v>834141</v>
      </c>
      <c r="C61" s="3">
        <v>31671</v>
      </c>
      <c r="D61" s="3">
        <v>20038</v>
      </c>
      <c r="E61" s="3">
        <v>56240</v>
      </c>
      <c r="F61" s="3">
        <v>1895</v>
      </c>
      <c r="G61" s="3">
        <v>1129</v>
      </c>
      <c r="H61" s="3">
        <v>764311</v>
      </c>
      <c r="I61" s="3">
        <v>30402</v>
      </c>
      <c r="J61" s="3">
        <v>17495</v>
      </c>
      <c r="K61" s="5">
        <v>38</v>
      </c>
      <c r="L61" s="5">
        <v>24</v>
      </c>
      <c r="M61" s="30"/>
      <c r="N61" s="3">
        <v>146090</v>
      </c>
      <c r="O61" s="3">
        <v>111665</v>
      </c>
      <c r="P61" s="3">
        <v>113759</v>
      </c>
      <c r="Q61" s="3">
        <v>117972</v>
      </c>
      <c r="R61" s="3">
        <v>127377</v>
      </c>
      <c r="S61" s="3">
        <v>115837</v>
      </c>
      <c r="T61" s="3">
        <v>101441</v>
      </c>
      <c r="U61" s="3"/>
      <c r="V61" s="3"/>
      <c r="W61" s="3"/>
      <c r="X61" s="3"/>
      <c r="Y61" s="3"/>
      <c r="Z61" s="3"/>
      <c r="AA61" s="3"/>
      <c r="AB61" s="3"/>
      <c r="AC61" s="47"/>
      <c r="AD61" s="48">
        <f>SUM(N61:AB61)</f>
        <v>834141</v>
      </c>
      <c r="AE61" s="48">
        <f>SUM(N62:AB62)</f>
        <v>31671</v>
      </c>
      <c r="AF61" s="48">
        <f>SUM(N63:AB63)</f>
        <v>20038</v>
      </c>
      <c r="AG61" s="47"/>
      <c r="AH61" s="48">
        <f>AD61-B61</f>
        <v>0</v>
      </c>
      <c r="AI61" s="48">
        <f>AE61-C61</f>
        <v>0</v>
      </c>
      <c r="AJ61" s="48">
        <f>AF61-D61</f>
        <v>0</v>
      </c>
      <c r="AK61" s="47"/>
      <c r="AL61" s="49">
        <f>C61/B61*1000</f>
        <v>37.968401025725868</v>
      </c>
      <c r="AM61" s="49">
        <f>D61/B61*1000</f>
        <v>24.022317569811339</v>
      </c>
      <c r="AN61" s="47"/>
      <c r="AO61" s="49">
        <f>AL61-K61</f>
        <v>-3.1598974274132274E-2</v>
      </c>
      <c r="AP61" s="49">
        <f>AM61-L61</f>
        <v>2.23175698113387E-2</v>
      </c>
    </row>
    <row r="62" spans="1:42">
      <c r="A62" s="24" t="s">
        <v>72</v>
      </c>
      <c r="B62" s="10"/>
      <c r="C62" s="10"/>
      <c r="D62" s="10"/>
      <c r="E62" s="10"/>
      <c r="F62" s="10"/>
      <c r="G62" s="10"/>
      <c r="H62" s="10"/>
      <c r="I62" s="10"/>
      <c r="J62" s="10"/>
      <c r="K62" s="11" t="s">
        <v>12</v>
      </c>
      <c r="L62" s="11" t="s">
        <v>12</v>
      </c>
      <c r="M62" s="30"/>
      <c r="N62" s="10">
        <v>4905</v>
      </c>
      <c r="O62" s="10">
        <v>4321</v>
      </c>
      <c r="P62" s="10">
        <v>3958</v>
      </c>
      <c r="Q62" s="10">
        <v>5006</v>
      </c>
      <c r="R62" s="10">
        <v>5411</v>
      </c>
      <c r="S62" s="10">
        <v>4088</v>
      </c>
      <c r="T62" s="10">
        <v>3982</v>
      </c>
      <c r="U62" s="10"/>
      <c r="V62" s="10"/>
      <c r="W62" s="10"/>
      <c r="X62" s="10"/>
      <c r="Y62" s="10"/>
      <c r="Z62" s="10"/>
      <c r="AA62" s="10"/>
      <c r="AB62" s="10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</row>
    <row r="63" spans="1:42">
      <c r="A63" s="24" t="s">
        <v>73</v>
      </c>
      <c r="B63" s="10"/>
      <c r="C63" s="10"/>
      <c r="D63" s="10"/>
      <c r="E63" s="10"/>
      <c r="F63" s="10"/>
      <c r="G63" s="10"/>
      <c r="H63" s="10"/>
      <c r="I63" s="10"/>
      <c r="J63" s="10"/>
      <c r="K63" s="11" t="s">
        <v>12</v>
      </c>
      <c r="L63" s="11" t="s">
        <v>12</v>
      </c>
      <c r="M63" s="30"/>
      <c r="N63" s="10">
        <v>3209</v>
      </c>
      <c r="O63" s="10">
        <v>2280</v>
      </c>
      <c r="P63" s="10">
        <v>2803</v>
      </c>
      <c r="Q63" s="10">
        <v>3131</v>
      </c>
      <c r="R63" s="10">
        <v>2720</v>
      </c>
      <c r="S63" s="10">
        <v>2998</v>
      </c>
      <c r="T63" s="10">
        <v>2897</v>
      </c>
      <c r="U63" s="10"/>
      <c r="V63" s="10"/>
      <c r="W63" s="10"/>
      <c r="X63" s="10"/>
      <c r="Y63" s="10"/>
      <c r="Z63" s="10"/>
      <c r="AA63" s="10"/>
      <c r="AB63" s="10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</row>
    <row r="64" spans="1:42">
      <c r="A64" s="2" t="s">
        <v>74</v>
      </c>
      <c r="B64" s="3">
        <v>658982</v>
      </c>
      <c r="C64" s="3">
        <v>21118</v>
      </c>
      <c r="D64" s="3">
        <v>15597</v>
      </c>
      <c r="E64" s="3">
        <v>70589</v>
      </c>
      <c r="F64" s="3">
        <v>1174</v>
      </c>
      <c r="G64" s="3">
        <v>972</v>
      </c>
      <c r="H64" s="3">
        <v>690974</v>
      </c>
      <c r="I64" s="3">
        <v>20828</v>
      </c>
      <c r="J64" s="3">
        <v>15553</v>
      </c>
      <c r="K64" s="5">
        <v>32</v>
      </c>
      <c r="L64" s="5">
        <v>23.7</v>
      </c>
      <c r="M64" s="30"/>
      <c r="N64" s="3">
        <v>107461</v>
      </c>
      <c r="O64" s="3">
        <v>95108</v>
      </c>
      <c r="P64" s="3">
        <v>85885</v>
      </c>
      <c r="Q64" s="3">
        <v>102543</v>
      </c>
      <c r="R64" s="3">
        <v>86623</v>
      </c>
      <c r="S64" s="3">
        <v>125960</v>
      </c>
      <c r="T64" s="3">
        <v>55402</v>
      </c>
      <c r="U64" s="3"/>
      <c r="V64" s="3"/>
      <c r="W64" s="3"/>
      <c r="X64" s="3"/>
      <c r="Y64" s="3"/>
      <c r="Z64" s="3"/>
      <c r="AA64" s="3"/>
      <c r="AB64" s="3"/>
      <c r="AC64" s="47"/>
      <c r="AD64" s="48">
        <f>SUM(N64:AB64)</f>
        <v>658982</v>
      </c>
      <c r="AE64" s="48">
        <f>SUM(N65:AB65)</f>
        <v>21118</v>
      </c>
      <c r="AF64" s="48">
        <f>SUM(N66:AB66)</f>
        <v>15594</v>
      </c>
      <c r="AG64" s="47"/>
      <c r="AH64" s="48">
        <f>AD64-B64</f>
        <v>0</v>
      </c>
      <c r="AI64" s="48">
        <f>AE64-C64</f>
        <v>0</v>
      </c>
      <c r="AJ64" s="48">
        <f>AF64-D64</f>
        <v>-3</v>
      </c>
      <c r="AK64" s="47"/>
      <c r="AL64" s="49">
        <f>C64/B64*1000</f>
        <v>32.046398839422018</v>
      </c>
      <c r="AM64" s="49">
        <f>D64/B64*1000</f>
        <v>23.668324779736018</v>
      </c>
      <c r="AN64" s="47"/>
      <c r="AO64" s="49">
        <f>AL64-K64</f>
        <v>4.6398839422018057E-2</v>
      </c>
      <c r="AP64" s="49">
        <f>AM64-L64</f>
        <v>-3.1675220263981174E-2</v>
      </c>
    </row>
    <row r="65" spans="1:42">
      <c r="A65" s="24" t="s">
        <v>75</v>
      </c>
      <c r="B65" s="10"/>
      <c r="C65" s="10"/>
      <c r="D65" s="10"/>
      <c r="E65" s="10"/>
      <c r="F65" s="10"/>
      <c r="G65" s="10"/>
      <c r="H65" s="10"/>
      <c r="I65" s="10"/>
      <c r="J65" s="10"/>
      <c r="K65" s="11" t="s">
        <v>12</v>
      </c>
      <c r="L65" s="11" t="s">
        <v>12</v>
      </c>
      <c r="M65" s="30"/>
      <c r="N65" s="10">
        <v>3157</v>
      </c>
      <c r="O65" s="10">
        <v>2295</v>
      </c>
      <c r="P65" s="10">
        <v>2728</v>
      </c>
      <c r="Q65" s="10">
        <v>3015</v>
      </c>
      <c r="R65" s="10">
        <v>2671</v>
      </c>
      <c r="S65" s="10">
        <v>3992</v>
      </c>
      <c r="T65" s="10">
        <v>3260</v>
      </c>
      <c r="U65" s="10"/>
      <c r="V65" s="10"/>
      <c r="W65" s="10"/>
      <c r="X65" s="10"/>
      <c r="Y65" s="10"/>
      <c r="Z65" s="10"/>
      <c r="AA65" s="10"/>
      <c r="AB65" s="10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</row>
    <row r="66" spans="1:42">
      <c r="A66" s="24" t="s">
        <v>76</v>
      </c>
      <c r="B66" s="10"/>
      <c r="C66" s="10"/>
      <c r="D66" s="10"/>
      <c r="E66" s="10"/>
      <c r="F66" s="10"/>
      <c r="G66" s="10"/>
      <c r="H66" s="10"/>
      <c r="I66" s="10"/>
      <c r="J66" s="10"/>
      <c r="K66" s="11" t="s">
        <v>12</v>
      </c>
      <c r="L66" s="11" t="s">
        <v>12</v>
      </c>
      <c r="M66" s="30"/>
      <c r="N66" s="10">
        <v>2138</v>
      </c>
      <c r="O66" s="10">
        <v>1863</v>
      </c>
      <c r="P66" s="10">
        <v>1879</v>
      </c>
      <c r="Q66" s="10">
        <v>2233</v>
      </c>
      <c r="R66" s="10">
        <v>2151</v>
      </c>
      <c r="S66" s="10">
        <v>2679</v>
      </c>
      <c r="T66" s="10">
        <v>2651</v>
      </c>
      <c r="U66" s="10"/>
      <c r="V66" s="10"/>
      <c r="W66" s="10"/>
      <c r="X66" s="10"/>
      <c r="Y66" s="10"/>
      <c r="Z66" s="10"/>
      <c r="AA66" s="10"/>
      <c r="AB66" s="10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</row>
    <row r="67" spans="1:42">
      <c r="A67" s="2" t="s">
        <v>77</v>
      </c>
      <c r="B67" s="3">
        <v>775990</v>
      </c>
      <c r="C67" s="3">
        <v>28694</v>
      </c>
      <c r="D67" s="3">
        <v>16885</v>
      </c>
      <c r="E67" s="3">
        <v>64439</v>
      </c>
      <c r="F67" s="3">
        <v>2073</v>
      </c>
      <c r="G67" s="3">
        <v>1409</v>
      </c>
      <c r="H67" s="3">
        <v>728221</v>
      </c>
      <c r="I67" s="3">
        <v>27475</v>
      </c>
      <c r="J67" s="3">
        <v>17120</v>
      </c>
      <c r="K67" s="5">
        <v>37</v>
      </c>
      <c r="L67" s="5">
        <v>21.8</v>
      </c>
      <c r="M67" s="30"/>
      <c r="N67" s="3">
        <v>81423</v>
      </c>
      <c r="O67" s="3">
        <v>79723</v>
      </c>
      <c r="P67" s="3">
        <v>76707</v>
      </c>
      <c r="Q67" s="3">
        <v>94001</v>
      </c>
      <c r="R67" s="3">
        <v>122148</v>
      </c>
      <c r="S67" s="3">
        <v>65370</v>
      </c>
      <c r="T67" s="3">
        <v>102293</v>
      </c>
      <c r="U67" s="3">
        <v>82457</v>
      </c>
      <c r="V67" s="3">
        <v>71868</v>
      </c>
      <c r="W67" s="3"/>
      <c r="X67" s="3"/>
      <c r="Y67" s="3"/>
      <c r="Z67" s="3"/>
      <c r="AA67" s="3"/>
      <c r="AB67" s="3"/>
      <c r="AC67" s="47"/>
      <c r="AD67" s="48">
        <f>SUM(N67:AB67)</f>
        <v>775990</v>
      </c>
      <c r="AE67" s="48">
        <f>SUM(N68:AB68)</f>
        <v>28694</v>
      </c>
      <c r="AF67" s="48">
        <f>SUM(N69:AB69)</f>
        <v>16885</v>
      </c>
      <c r="AG67" s="47"/>
      <c r="AH67" s="48">
        <f>AD67-B67</f>
        <v>0</v>
      </c>
      <c r="AI67" s="48">
        <f>AE67-C67</f>
        <v>0</v>
      </c>
      <c r="AJ67" s="48">
        <f>AF67-D67</f>
        <v>0</v>
      </c>
      <c r="AK67" s="47"/>
      <c r="AL67" s="49">
        <f>C67/B67*1000</f>
        <v>36.977280635059728</v>
      </c>
      <c r="AM67" s="49">
        <f>D67/B67*1000</f>
        <v>21.759301021920383</v>
      </c>
      <c r="AN67" s="47"/>
      <c r="AO67" s="49">
        <f>AL67-K67</f>
        <v>-2.2719364940272158E-2</v>
      </c>
      <c r="AP67" s="49">
        <f>AM67-L67</f>
        <v>-4.0698978079618087E-2</v>
      </c>
    </row>
    <row r="68" spans="1:42">
      <c r="A68" s="24" t="s">
        <v>78</v>
      </c>
      <c r="B68" s="10"/>
      <c r="C68" s="10"/>
      <c r="D68" s="10"/>
      <c r="E68" s="10"/>
      <c r="F68" s="10"/>
      <c r="G68" s="10"/>
      <c r="H68" s="10"/>
      <c r="I68" s="10"/>
      <c r="J68" s="10"/>
      <c r="K68" s="11" t="s">
        <v>12</v>
      </c>
      <c r="L68" s="11" t="s">
        <v>12</v>
      </c>
      <c r="M68" s="30"/>
      <c r="N68" s="10">
        <v>2805</v>
      </c>
      <c r="O68" s="10">
        <v>2915</v>
      </c>
      <c r="P68" s="10">
        <v>2424</v>
      </c>
      <c r="Q68" s="10">
        <v>4306</v>
      </c>
      <c r="R68" s="10">
        <v>5268</v>
      </c>
      <c r="S68" s="10">
        <v>2210</v>
      </c>
      <c r="T68" s="10">
        <v>3773</v>
      </c>
      <c r="U68" s="10">
        <v>2842</v>
      </c>
      <c r="V68" s="10">
        <v>2151</v>
      </c>
      <c r="W68" s="10"/>
      <c r="X68" s="10"/>
      <c r="Y68" s="10"/>
      <c r="Z68" s="10"/>
      <c r="AA68" s="10"/>
      <c r="AB68" s="10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</row>
    <row r="69" spans="1:42">
      <c r="A69" s="24" t="s">
        <v>79</v>
      </c>
      <c r="B69" s="10"/>
      <c r="C69" s="10"/>
      <c r="D69" s="10"/>
      <c r="E69" s="10"/>
      <c r="F69" s="10"/>
      <c r="G69" s="10"/>
      <c r="H69" s="10"/>
      <c r="I69" s="10"/>
      <c r="J69" s="10"/>
      <c r="K69" s="11" t="s">
        <v>12</v>
      </c>
      <c r="L69" s="11" t="s">
        <v>12</v>
      </c>
      <c r="M69" s="30"/>
      <c r="N69" s="10">
        <v>1573</v>
      </c>
      <c r="O69" s="10">
        <v>1373</v>
      </c>
      <c r="P69" s="10">
        <v>1430</v>
      </c>
      <c r="Q69" s="10">
        <v>2609</v>
      </c>
      <c r="R69" s="10">
        <v>3076</v>
      </c>
      <c r="S69" s="10">
        <v>1576</v>
      </c>
      <c r="T69" s="10">
        <v>2114</v>
      </c>
      <c r="U69" s="10">
        <v>1791</v>
      </c>
      <c r="V69" s="10">
        <v>1343</v>
      </c>
      <c r="W69" s="10"/>
      <c r="X69" s="10"/>
      <c r="Y69" s="10"/>
      <c r="Z69" s="10"/>
      <c r="AA69" s="10"/>
      <c r="AB69" s="10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</row>
    <row r="70" spans="1:42">
      <c r="A70" s="6" t="s">
        <v>80</v>
      </c>
      <c r="B70" s="7">
        <v>9466668</v>
      </c>
      <c r="C70" s="7">
        <v>364847</v>
      </c>
      <c r="D70" s="7">
        <v>228651</v>
      </c>
      <c r="E70" s="7"/>
      <c r="F70" s="7"/>
      <c r="G70" s="7"/>
      <c r="H70" s="7">
        <v>8875617</v>
      </c>
      <c r="I70" s="7">
        <v>341226</v>
      </c>
      <c r="J70" s="7">
        <v>213407</v>
      </c>
      <c r="K70" s="8">
        <v>38.5</v>
      </c>
      <c r="L70" s="8">
        <v>24.2</v>
      </c>
      <c r="M70" s="30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47"/>
      <c r="AD70" s="50">
        <f>SUM(AD39:AD69)</f>
        <v>9504474</v>
      </c>
      <c r="AE70" s="50">
        <f>SUM(AE39:AE69)</f>
        <v>362855</v>
      </c>
      <c r="AF70" s="50">
        <f>SUM(AF39:AF69)</f>
        <v>228581</v>
      </c>
      <c r="AG70" s="47"/>
      <c r="AH70" s="50">
        <f>AD70-B70</f>
        <v>37806</v>
      </c>
      <c r="AI70" s="50">
        <f>AE70-C70</f>
        <v>-1992</v>
      </c>
      <c r="AJ70" s="50">
        <f>AF70-D70</f>
        <v>-70</v>
      </c>
      <c r="AK70" s="47"/>
      <c r="AL70" s="51">
        <f>C70/B70*1000</f>
        <v>38.540170628144978</v>
      </c>
      <c r="AM70" s="51">
        <f>D70/B70*1000</f>
        <v>24.153271246018132</v>
      </c>
      <c r="AN70" s="52"/>
      <c r="AO70" s="51">
        <f>AL70-K70</f>
        <v>4.0170628144977627E-2</v>
      </c>
      <c r="AP70" s="51">
        <f>AM70-L70</f>
        <v>-4.6728753981867044E-2</v>
      </c>
    </row>
    <row r="71" spans="1:42">
      <c r="A71" s="2" t="s">
        <v>81</v>
      </c>
      <c r="B71" s="3">
        <v>724909</v>
      </c>
      <c r="C71" s="3">
        <v>19950</v>
      </c>
      <c r="D71" s="3">
        <v>12462</v>
      </c>
      <c r="E71" s="3">
        <v>120357</v>
      </c>
      <c r="F71" s="3">
        <v>3820</v>
      </c>
      <c r="G71" s="3">
        <v>2583</v>
      </c>
      <c r="H71" s="3">
        <v>703595</v>
      </c>
      <c r="I71" s="3">
        <v>19216</v>
      </c>
      <c r="J71" s="3">
        <v>12288</v>
      </c>
      <c r="K71" s="5">
        <v>26.3</v>
      </c>
      <c r="L71" s="5">
        <v>17.2</v>
      </c>
      <c r="M71" s="30"/>
      <c r="N71" s="3">
        <v>107208</v>
      </c>
      <c r="O71" s="3">
        <v>59759</v>
      </c>
      <c r="P71" s="3">
        <v>51679</v>
      </c>
      <c r="Q71" s="3">
        <v>61217</v>
      </c>
      <c r="R71" s="3">
        <v>74971</v>
      </c>
      <c r="S71" s="3">
        <v>94978</v>
      </c>
      <c r="T71" s="3">
        <v>98811</v>
      </c>
      <c r="U71" s="3">
        <v>71336</v>
      </c>
      <c r="V71" s="3">
        <v>44135</v>
      </c>
      <c r="W71" s="3">
        <v>71015</v>
      </c>
      <c r="X71" s="3"/>
      <c r="Y71" s="3"/>
      <c r="Z71" s="3"/>
      <c r="AA71" s="3"/>
      <c r="AB71" s="3"/>
      <c r="AC71" s="47"/>
      <c r="AD71" s="48">
        <f>SUM(N71:AB71)</f>
        <v>735109</v>
      </c>
      <c r="AE71" s="48">
        <f>SUM(N72:AB72)</f>
        <v>19049</v>
      </c>
      <c r="AF71" s="48">
        <f>SUM(N73:AB73)</f>
        <v>12456</v>
      </c>
      <c r="AG71" s="47"/>
      <c r="AH71" s="48">
        <f>AD71-B71</f>
        <v>10200</v>
      </c>
      <c r="AI71" s="48">
        <f>AE71-C71</f>
        <v>-901</v>
      </c>
      <c r="AJ71" s="48">
        <f>AF71-D71</f>
        <v>-6</v>
      </c>
      <c r="AK71" s="47"/>
      <c r="AL71" s="49">
        <f>C71/B71*1000</f>
        <v>27.520695701115589</v>
      </c>
      <c r="AM71" s="49">
        <f>D71/B71*1000</f>
        <v>17.191123299614159</v>
      </c>
      <c r="AN71" s="47"/>
      <c r="AO71" s="49">
        <f>AL71-K71</f>
        <v>1.2206957011155879</v>
      </c>
      <c r="AP71" s="49">
        <f>AM71-L71</f>
        <v>-8.8767003858407634E-3</v>
      </c>
    </row>
    <row r="72" spans="1:42">
      <c r="A72" s="24" t="s">
        <v>82</v>
      </c>
      <c r="B72" s="10"/>
      <c r="C72" s="10"/>
      <c r="D72" s="10"/>
      <c r="E72" s="10"/>
      <c r="F72" s="10"/>
      <c r="G72" s="10"/>
      <c r="H72" s="10"/>
      <c r="I72" s="10"/>
      <c r="J72" s="10"/>
      <c r="K72" s="11" t="s">
        <v>12</v>
      </c>
      <c r="L72" s="11" t="s">
        <v>12</v>
      </c>
      <c r="M72" s="30"/>
      <c r="N72" s="10">
        <v>2603</v>
      </c>
      <c r="O72" s="10">
        <v>1394</v>
      </c>
      <c r="P72" s="10">
        <v>1263</v>
      </c>
      <c r="Q72" s="10">
        <v>1601</v>
      </c>
      <c r="R72" s="10">
        <v>2041</v>
      </c>
      <c r="S72" s="10">
        <v>3283</v>
      </c>
      <c r="T72" s="10">
        <v>2113</v>
      </c>
      <c r="U72" s="10">
        <v>1775</v>
      </c>
      <c r="V72" s="10">
        <v>1306</v>
      </c>
      <c r="W72" s="10">
        <v>1670</v>
      </c>
      <c r="X72" s="10"/>
      <c r="Y72" s="10"/>
      <c r="Z72" s="10"/>
      <c r="AA72" s="10"/>
      <c r="AB72" s="10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</row>
    <row r="73" spans="1:42">
      <c r="A73" s="24" t="s">
        <v>83</v>
      </c>
      <c r="B73" s="10"/>
      <c r="C73" s="10"/>
      <c r="D73" s="10"/>
      <c r="E73" s="10"/>
      <c r="F73" s="10"/>
      <c r="G73" s="10"/>
      <c r="H73" s="10"/>
      <c r="I73" s="10"/>
      <c r="J73" s="10"/>
      <c r="K73" s="11" t="s">
        <v>12</v>
      </c>
      <c r="L73" s="11" t="s">
        <v>12</v>
      </c>
      <c r="M73" s="30"/>
      <c r="N73" s="10">
        <v>1956</v>
      </c>
      <c r="O73" s="10">
        <v>990</v>
      </c>
      <c r="P73" s="10">
        <v>785</v>
      </c>
      <c r="Q73" s="10">
        <v>999</v>
      </c>
      <c r="R73" s="10">
        <v>1216</v>
      </c>
      <c r="S73" s="10">
        <v>2171</v>
      </c>
      <c r="T73" s="10">
        <v>1251</v>
      </c>
      <c r="U73" s="10">
        <v>1065</v>
      </c>
      <c r="V73" s="10">
        <v>722</v>
      </c>
      <c r="W73" s="10">
        <v>1301</v>
      </c>
      <c r="X73" s="10"/>
      <c r="Y73" s="10"/>
      <c r="Z73" s="10"/>
      <c r="AA73" s="10"/>
      <c r="AB73" s="10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</row>
    <row r="74" spans="1:42">
      <c r="A74" s="2" t="s">
        <v>84</v>
      </c>
      <c r="B74" s="3">
        <v>1295780</v>
      </c>
      <c r="C74" s="3">
        <v>35708</v>
      </c>
      <c r="D74" s="3">
        <v>27110</v>
      </c>
      <c r="E74" s="4" t="s">
        <v>12</v>
      </c>
      <c r="F74" s="4" t="s">
        <v>12</v>
      </c>
      <c r="G74" s="4" t="s">
        <v>12</v>
      </c>
      <c r="H74" s="3">
        <v>1257880</v>
      </c>
      <c r="I74" s="3">
        <v>36372</v>
      </c>
      <c r="J74" s="3">
        <v>25987</v>
      </c>
      <c r="K74" s="5">
        <v>27.5</v>
      </c>
      <c r="L74" s="5">
        <v>20.9</v>
      </c>
      <c r="M74" s="30"/>
      <c r="N74" s="3">
        <v>329458</v>
      </c>
      <c r="O74" s="3">
        <v>125438</v>
      </c>
      <c r="P74" s="3">
        <v>137269</v>
      </c>
      <c r="Q74" s="3">
        <v>104638</v>
      </c>
      <c r="R74" s="3">
        <v>126194</v>
      </c>
      <c r="S74" s="3">
        <v>105400</v>
      </c>
      <c r="T74" s="3">
        <v>97115</v>
      </c>
      <c r="U74" s="3">
        <v>62381</v>
      </c>
      <c r="V74" s="3">
        <v>200666</v>
      </c>
      <c r="W74" s="3"/>
      <c r="X74" s="3"/>
      <c r="Y74" s="3"/>
      <c r="Z74" s="3"/>
      <c r="AA74" s="3"/>
      <c r="AB74" s="3"/>
      <c r="AC74" s="47"/>
      <c r="AD74" s="48">
        <f>SUM(N74:AB74)</f>
        <v>1288559</v>
      </c>
      <c r="AE74" s="48">
        <f>SUM(N75:AB75)</f>
        <v>35693</v>
      </c>
      <c r="AF74" s="48">
        <f>SUM(N76:AB76)</f>
        <v>26744</v>
      </c>
      <c r="AG74" s="47"/>
      <c r="AH74" s="48">
        <f>AD74-B74</f>
        <v>-7221</v>
      </c>
      <c r="AI74" s="48">
        <f>AE74-C74</f>
        <v>-15</v>
      </c>
      <c r="AJ74" s="48">
        <f>AF74-D74</f>
        <v>-366</v>
      </c>
      <c r="AK74" s="47"/>
      <c r="AL74" s="49">
        <f>C74/B74*1000</f>
        <v>27.557147046566545</v>
      </c>
      <c r="AM74" s="49">
        <f>D74/B74*1000</f>
        <v>20.921761410115913</v>
      </c>
      <c r="AN74" s="47"/>
      <c r="AO74" s="49">
        <f>AL74-K74</f>
        <v>5.7147046566544901E-2</v>
      </c>
      <c r="AP74" s="49">
        <f>AM74-L74</f>
        <v>2.1761410115914259E-2</v>
      </c>
    </row>
    <row r="75" spans="1:42">
      <c r="A75" s="24" t="s">
        <v>85</v>
      </c>
      <c r="B75" s="10"/>
      <c r="C75" s="10"/>
      <c r="D75" s="10"/>
      <c r="E75" s="10"/>
      <c r="F75" s="10"/>
      <c r="G75" s="10"/>
      <c r="H75" s="10"/>
      <c r="I75" s="10"/>
      <c r="J75" s="10"/>
      <c r="K75" s="11" t="s">
        <v>12</v>
      </c>
      <c r="L75" s="11" t="s">
        <v>12</v>
      </c>
      <c r="M75" s="30"/>
      <c r="N75" s="10">
        <v>9891</v>
      </c>
      <c r="O75" s="10">
        <v>3769</v>
      </c>
      <c r="P75" s="10">
        <v>3038</v>
      </c>
      <c r="Q75" s="10">
        <v>3208</v>
      </c>
      <c r="R75" s="10">
        <v>3504</v>
      </c>
      <c r="S75" s="10">
        <v>2646</v>
      </c>
      <c r="T75" s="10">
        <v>2468</v>
      </c>
      <c r="U75" s="10">
        <v>1707</v>
      </c>
      <c r="V75" s="10">
        <v>5462</v>
      </c>
      <c r="W75" s="10"/>
      <c r="X75" s="10"/>
      <c r="Y75" s="10"/>
      <c r="Z75" s="10"/>
      <c r="AA75" s="10"/>
      <c r="AB75" s="10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</row>
    <row r="76" spans="1:42">
      <c r="A76" s="24" t="s">
        <v>86</v>
      </c>
      <c r="B76" s="10"/>
      <c r="C76" s="10"/>
      <c r="D76" s="10"/>
      <c r="E76" s="10"/>
      <c r="F76" s="10"/>
      <c r="G76" s="10"/>
      <c r="H76" s="10"/>
      <c r="I76" s="10"/>
      <c r="J76" s="10"/>
      <c r="K76" s="11" t="s">
        <v>12</v>
      </c>
      <c r="L76" s="11" t="s">
        <v>12</v>
      </c>
      <c r="M76" s="30"/>
      <c r="N76" s="10">
        <v>8264</v>
      </c>
      <c r="O76" s="10">
        <v>2911</v>
      </c>
      <c r="P76" s="10">
        <v>2482</v>
      </c>
      <c r="Q76" s="10">
        <v>2101</v>
      </c>
      <c r="R76" s="10">
        <v>2183</v>
      </c>
      <c r="S76" s="10">
        <v>1841</v>
      </c>
      <c r="T76" s="10">
        <v>1727</v>
      </c>
      <c r="U76" s="10">
        <v>1201</v>
      </c>
      <c r="V76" s="10">
        <v>4034</v>
      </c>
      <c r="W76" s="10"/>
      <c r="X76" s="10"/>
      <c r="Y76" s="10"/>
      <c r="Z76" s="10"/>
      <c r="AA76" s="10"/>
      <c r="AB76" s="10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</row>
    <row r="77" spans="1:42">
      <c r="A77" s="2" t="s">
        <v>87</v>
      </c>
      <c r="B77" s="3">
        <v>415661</v>
      </c>
      <c r="C77" s="3">
        <v>11344</v>
      </c>
      <c r="D77" s="3">
        <v>7787</v>
      </c>
      <c r="E77" s="4" t="s">
        <v>12</v>
      </c>
      <c r="F77" s="4" t="s">
        <v>12</v>
      </c>
      <c r="G77" s="4" t="s">
        <v>12</v>
      </c>
      <c r="H77" s="3">
        <v>402531</v>
      </c>
      <c r="I77" s="3">
        <v>11869</v>
      </c>
      <c r="J77" s="3">
        <v>8202</v>
      </c>
      <c r="K77" s="5">
        <v>27.3</v>
      </c>
      <c r="L77" s="5">
        <v>18.7</v>
      </c>
      <c r="M77" s="30"/>
      <c r="N77" s="3">
        <v>150466</v>
      </c>
      <c r="O77" s="3">
        <v>123822</v>
      </c>
      <c r="P77" s="3">
        <v>55533</v>
      </c>
      <c r="Q77" s="3">
        <v>85840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47"/>
      <c r="AD77" s="48">
        <f>SUM(N77:AB77)</f>
        <v>415661</v>
      </c>
      <c r="AE77" s="48">
        <f>SUM(N78:AB78)</f>
        <v>11344</v>
      </c>
      <c r="AF77" s="48">
        <f>SUM(N79:AB79)</f>
        <v>7787</v>
      </c>
      <c r="AG77" s="47"/>
      <c r="AH77" s="48">
        <f>AD77-B77</f>
        <v>0</v>
      </c>
      <c r="AI77" s="48">
        <f>AE77-C77</f>
        <v>0</v>
      </c>
      <c r="AJ77" s="48">
        <f>AF77-D77</f>
        <v>0</v>
      </c>
      <c r="AK77" s="47"/>
      <c r="AL77" s="49">
        <f>C77/B77*1000</f>
        <v>27.291470693666234</v>
      </c>
      <c r="AM77" s="49">
        <f>D77/B77*1000</f>
        <v>18.734016422036227</v>
      </c>
      <c r="AN77" s="47"/>
      <c r="AO77" s="49">
        <f>AL77-K77</f>
        <v>-8.5293063337665842E-3</v>
      </c>
      <c r="AP77" s="49">
        <f>AM77-L77</f>
        <v>3.4016422036227567E-2</v>
      </c>
    </row>
    <row r="78" spans="1:42">
      <c r="A78" s="24" t="s">
        <v>88</v>
      </c>
      <c r="B78" s="10"/>
      <c r="C78" s="10"/>
      <c r="D78" s="10"/>
      <c r="E78" s="10"/>
      <c r="F78" s="10"/>
      <c r="G78" s="10"/>
      <c r="H78" s="10"/>
      <c r="I78" s="10"/>
      <c r="J78" s="10"/>
      <c r="K78" s="11" t="s">
        <v>12</v>
      </c>
      <c r="L78" s="11" t="s">
        <v>12</v>
      </c>
      <c r="M78" s="30"/>
      <c r="N78" s="10">
        <v>3987</v>
      </c>
      <c r="O78" s="10">
        <v>3639</v>
      </c>
      <c r="P78" s="10">
        <v>1505</v>
      </c>
      <c r="Q78" s="10">
        <v>2213</v>
      </c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</row>
    <row r="79" spans="1:42">
      <c r="A79" s="24" t="s">
        <v>89</v>
      </c>
      <c r="B79" s="10"/>
      <c r="C79" s="10"/>
      <c r="D79" s="10"/>
      <c r="E79" s="10"/>
      <c r="F79" s="10"/>
      <c r="G79" s="10"/>
      <c r="H79" s="10"/>
      <c r="I79" s="10"/>
      <c r="J79" s="10"/>
      <c r="K79" s="11" t="s">
        <v>12</v>
      </c>
      <c r="L79" s="11" t="s">
        <v>12</v>
      </c>
      <c r="M79" s="30"/>
      <c r="N79" s="10">
        <v>2886</v>
      </c>
      <c r="O79" s="10">
        <v>2550</v>
      </c>
      <c r="P79" s="10">
        <v>967</v>
      </c>
      <c r="Q79" s="10">
        <v>1384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</row>
    <row r="80" spans="1:42">
      <c r="A80" s="6" t="s">
        <v>90</v>
      </c>
      <c r="B80" s="7">
        <v>2435450</v>
      </c>
      <c r="C80" s="7">
        <v>66102</v>
      </c>
      <c r="D80" s="7">
        <v>47359</v>
      </c>
      <c r="E80" s="7"/>
      <c r="F80" s="7"/>
      <c r="G80" s="7"/>
      <c r="H80" s="7">
        <v>2364005</v>
      </c>
      <c r="I80" s="7">
        <v>67456</v>
      </c>
      <c r="J80" s="7">
        <v>46444</v>
      </c>
      <c r="K80" s="8">
        <v>27.1</v>
      </c>
      <c r="L80" s="8">
        <v>19.399999999999999</v>
      </c>
      <c r="M80" s="30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47"/>
      <c r="AD80" s="50">
        <f>SUM(AD71:AD79)</f>
        <v>2439329</v>
      </c>
      <c r="AE80" s="50">
        <f>SUM(AE71:AE79)</f>
        <v>66086</v>
      </c>
      <c r="AF80" s="50">
        <f>SUM(AF71:AF79)</f>
        <v>46987</v>
      </c>
      <c r="AG80" s="47"/>
      <c r="AH80" s="50">
        <f>AD80-B80</f>
        <v>3879</v>
      </c>
      <c r="AI80" s="50">
        <f>AE80-C80</f>
        <v>-16</v>
      </c>
      <c r="AJ80" s="50">
        <f>AF80-D80</f>
        <v>-372</v>
      </c>
      <c r="AK80" s="47"/>
      <c r="AL80" s="51">
        <f>C80/B80*1000</f>
        <v>27.141596008951119</v>
      </c>
      <c r="AM80" s="51">
        <f>D80/B80*1000</f>
        <v>19.44568765525878</v>
      </c>
      <c r="AN80" s="52"/>
      <c r="AO80" s="51">
        <f>AL80-K80</f>
        <v>4.1596008951117369E-2</v>
      </c>
      <c r="AP80" s="51">
        <f>AM80-L80</f>
        <v>4.568765525878149E-2</v>
      </c>
    </row>
    <row r="81" spans="1:42">
      <c r="A81" s="2" t="s">
        <v>91</v>
      </c>
      <c r="B81" s="3">
        <v>1705981</v>
      </c>
      <c r="C81" s="3">
        <v>73354</v>
      </c>
      <c r="D81" s="3">
        <v>52208</v>
      </c>
      <c r="E81" s="3">
        <v>286722</v>
      </c>
      <c r="F81" s="3">
        <v>9295</v>
      </c>
      <c r="G81" s="3">
        <v>7583</v>
      </c>
      <c r="H81" s="3">
        <v>1579743</v>
      </c>
      <c r="I81" s="3">
        <v>75192</v>
      </c>
      <c r="J81" s="3">
        <v>49017</v>
      </c>
      <c r="K81" s="5">
        <v>42.7</v>
      </c>
      <c r="L81" s="5">
        <v>30.2</v>
      </c>
      <c r="M81" s="30"/>
      <c r="N81" s="3">
        <v>262171</v>
      </c>
      <c r="O81" s="3">
        <v>284330</v>
      </c>
      <c r="P81" s="3">
        <v>174183</v>
      </c>
      <c r="Q81" s="3">
        <v>160938</v>
      </c>
      <c r="R81" s="3">
        <v>207700</v>
      </c>
      <c r="S81" s="3">
        <v>170770</v>
      </c>
      <c r="T81" s="3">
        <v>180003</v>
      </c>
      <c r="U81" s="3">
        <v>265886</v>
      </c>
      <c r="V81" s="3"/>
      <c r="W81" s="3"/>
      <c r="X81" s="3"/>
      <c r="Y81" s="3"/>
      <c r="Z81" s="3"/>
      <c r="AA81" s="3"/>
      <c r="AB81" s="3"/>
      <c r="AC81" s="47"/>
      <c r="AD81" s="48">
        <f>SUM(N81:AB81)</f>
        <v>1705981</v>
      </c>
      <c r="AE81" s="48">
        <f>SUM(N82:AB82)</f>
        <v>73854</v>
      </c>
      <c r="AF81" s="48">
        <f>SUM(N83:AB83)</f>
        <v>52208</v>
      </c>
      <c r="AG81" s="47"/>
      <c r="AH81" s="48">
        <f>AD81-B81</f>
        <v>0</v>
      </c>
      <c r="AI81" s="48">
        <f>AE81-C81</f>
        <v>500</v>
      </c>
      <c r="AJ81" s="48">
        <f>AF81-D81</f>
        <v>0</v>
      </c>
      <c r="AK81" s="47"/>
      <c r="AL81" s="49">
        <f>C81/B81*1000</f>
        <v>42.998134211342332</v>
      </c>
      <c r="AM81" s="49">
        <f>D81/B81*1000</f>
        <v>30.60291996218012</v>
      </c>
      <c r="AN81" s="47"/>
      <c r="AO81" s="49">
        <f>AL81-K81</f>
        <v>0.29813421134232954</v>
      </c>
      <c r="AP81" s="49">
        <f>AM81-L81</f>
        <v>0.40291996218012116</v>
      </c>
    </row>
    <row r="82" spans="1:42">
      <c r="A82" s="24" t="s">
        <v>92</v>
      </c>
      <c r="B82" s="10"/>
      <c r="C82" s="10"/>
      <c r="D82" s="10"/>
      <c r="E82" s="10"/>
      <c r="F82" s="10"/>
      <c r="G82" s="10"/>
      <c r="H82" s="10"/>
      <c r="I82" s="10"/>
      <c r="J82" s="10"/>
      <c r="K82" s="11" t="s">
        <v>12</v>
      </c>
      <c r="L82" s="11" t="s">
        <v>12</v>
      </c>
      <c r="M82" s="30"/>
      <c r="N82" s="10">
        <v>9995</v>
      </c>
      <c r="O82" s="10">
        <v>12182</v>
      </c>
      <c r="P82" s="10">
        <v>7648</v>
      </c>
      <c r="Q82" s="10">
        <v>7340</v>
      </c>
      <c r="R82" s="10">
        <v>9949</v>
      </c>
      <c r="S82" s="10">
        <v>8302</v>
      </c>
      <c r="T82" s="10">
        <v>7575</v>
      </c>
      <c r="U82" s="10">
        <v>10863</v>
      </c>
      <c r="V82" s="10"/>
      <c r="W82" s="10"/>
      <c r="X82" s="10"/>
      <c r="Y82" s="10"/>
      <c r="Z82" s="10"/>
      <c r="AA82" s="10"/>
      <c r="AB82" s="10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</row>
    <row r="83" spans="1:42">
      <c r="A83" s="24" t="s">
        <v>93</v>
      </c>
      <c r="B83" s="10"/>
      <c r="C83" s="10"/>
      <c r="D83" s="10"/>
      <c r="E83" s="10"/>
      <c r="F83" s="10"/>
      <c r="G83" s="10"/>
      <c r="H83" s="10"/>
      <c r="I83" s="10"/>
      <c r="J83" s="10"/>
      <c r="K83" s="11" t="s">
        <v>12</v>
      </c>
      <c r="L83" s="11" t="s">
        <v>12</v>
      </c>
      <c r="M83" s="30"/>
      <c r="N83" s="10">
        <v>9337</v>
      </c>
      <c r="O83" s="10">
        <v>7789</v>
      </c>
      <c r="P83" s="10">
        <v>5748</v>
      </c>
      <c r="Q83" s="10">
        <v>5020</v>
      </c>
      <c r="R83" s="10">
        <v>6490</v>
      </c>
      <c r="S83" s="10">
        <v>5783</v>
      </c>
      <c r="T83" s="10">
        <v>6069</v>
      </c>
      <c r="U83" s="10">
        <v>5972</v>
      </c>
      <c r="V83" s="10"/>
      <c r="W83" s="10"/>
      <c r="X83" s="10"/>
      <c r="Y83" s="10"/>
      <c r="Z83" s="10"/>
      <c r="AA83" s="10"/>
      <c r="AB83" s="10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</row>
    <row r="84" spans="1:42">
      <c r="A84" s="21" t="s">
        <v>94</v>
      </c>
      <c r="B84" s="22">
        <v>1519707</v>
      </c>
      <c r="C84" s="22">
        <v>77608</v>
      </c>
      <c r="D84" s="22">
        <v>58714</v>
      </c>
      <c r="E84" s="22">
        <v>135386</v>
      </c>
      <c r="F84" s="22">
        <v>6488</v>
      </c>
      <c r="G84" s="22">
        <v>6205</v>
      </c>
      <c r="H84" s="22">
        <v>1484327</v>
      </c>
      <c r="I84" s="22">
        <v>93539</v>
      </c>
      <c r="J84" s="22">
        <v>60341</v>
      </c>
      <c r="K84" s="23">
        <v>51</v>
      </c>
      <c r="L84" s="23">
        <v>39</v>
      </c>
      <c r="M84" s="30"/>
      <c r="N84" s="22">
        <v>162695</v>
      </c>
      <c r="O84" s="22">
        <v>103607</v>
      </c>
      <c r="P84" s="22">
        <v>90679</v>
      </c>
      <c r="Q84" s="22">
        <v>107680</v>
      </c>
      <c r="R84" s="22">
        <v>122271</v>
      </c>
      <c r="S84" s="22">
        <v>135232</v>
      </c>
      <c r="T84" s="22">
        <v>120757</v>
      </c>
      <c r="U84" s="22">
        <v>93517</v>
      </c>
      <c r="V84" s="22">
        <v>122007</v>
      </c>
      <c r="W84" s="22">
        <v>86632</v>
      </c>
      <c r="X84" s="22">
        <v>117902</v>
      </c>
      <c r="Y84" s="22">
        <v>148335</v>
      </c>
      <c r="Z84" s="22">
        <v>108593</v>
      </c>
      <c r="AA84" s="22"/>
      <c r="AB84" s="22"/>
      <c r="AC84" s="47"/>
      <c r="AD84" s="48">
        <f>SUM(N84:AB84)</f>
        <v>1519907</v>
      </c>
      <c r="AE84" s="48">
        <f>SUM(N85:AB85)</f>
        <v>76708</v>
      </c>
      <c r="AF84" s="48">
        <f>SUM(N86:AB86)</f>
        <v>58714</v>
      </c>
      <c r="AG84" s="47"/>
      <c r="AH84" s="48">
        <f>AD84-B84</f>
        <v>200</v>
      </c>
      <c r="AI84" s="48">
        <f>AE84-C84</f>
        <v>-900</v>
      </c>
      <c r="AJ84" s="48">
        <f>AF84-D84</f>
        <v>0</v>
      </c>
      <c r="AK84" s="47"/>
      <c r="AL84" s="49">
        <f>C84/B84*1000</f>
        <v>51.067738715423431</v>
      </c>
      <c r="AM84" s="49">
        <f>D84/B84*1000</f>
        <v>38.635078998780685</v>
      </c>
      <c r="AN84" s="47"/>
      <c r="AO84" s="49">
        <f>AL84-K84</f>
        <v>6.7738715423431017E-2</v>
      </c>
      <c r="AP84" s="49">
        <f>AM84-L84</f>
        <v>-0.36492100121931514</v>
      </c>
    </row>
    <row r="85" spans="1:42">
      <c r="A85" s="24" t="s">
        <v>95</v>
      </c>
      <c r="B85" s="10"/>
      <c r="C85" s="10"/>
      <c r="D85" s="10"/>
      <c r="E85" s="10"/>
      <c r="F85" s="10"/>
      <c r="G85" s="10"/>
      <c r="H85" s="10"/>
      <c r="I85" s="10"/>
      <c r="J85" s="10"/>
      <c r="K85" s="11" t="s">
        <v>12</v>
      </c>
      <c r="L85" s="11" t="s">
        <v>12</v>
      </c>
      <c r="M85" s="30"/>
      <c r="N85" s="10">
        <v>6786</v>
      </c>
      <c r="O85" s="10">
        <v>4714</v>
      </c>
      <c r="P85" s="10">
        <v>4162</v>
      </c>
      <c r="Q85" s="10">
        <v>4485</v>
      </c>
      <c r="R85" s="10">
        <v>5928</v>
      </c>
      <c r="S85" s="10">
        <v>7362</v>
      </c>
      <c r="T85" s="10">
        <v>6299</v>
      </c>
      <c r="U85" s="10">
        <v>4625</v>
      </c>
      <c r="V85" s="10">
        <v>8313</v>
      </c>
      <c r="W85" s="10">
        <v>4807</v>
      </c>
      <c r="X85" s="10">
        <v>6141</v>
      </c>
      <c r="Y85" s="10">
        <v>7339</v>
      </c>
      <c r="Z85" s="10">
        <v>5747</v>
      </c>
      <c r="AA85" s="10"/>
      <c r="AB85" s="10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</row>
    <row r="86" spans="1:42">
      <c r="A86" s="24" t="s">
        <v>96</v>
      </c>
      <c r="B86" s="10"/>
      <c r="C86" s="10"/>
      <c r="D86" s="10"/>
      <c r="E86" s="10"/>
      <c r="F86" s="10"/>
      <c r="G86" s="10"/>
      <c r="H86" s="10"/>
      <c r="I86" s="10"/>
      <c r="J86" s="10"/>
      <c r="K86" s="11" t="s">
        <v>12</v>
      </c>
      <c r="L86" s="11" t="s">
        <v>12</v>
      </c>
      <c r="M86" s="30"/>
      <c r="N86" s="10">
        <v>6287</v>
      </c>
      <c r="O86" s="10">
        <v>3721</v>
      </c>
      <c r="P86" s="10">
        <v>3250</v>
      </c>
      <c r="Q86" s="10">
        <v>3154</v>
      </c>
      <c r="R86" s="10">
        <v>4093</v>
      </c>
      <c r="S86" s="10">
        <v>5522</v>
      </c>
      <c r="T86" s="10">
        <v>5289</v>
      </c>
      <c r="U86" s="10">
        <v>3269</v>
      </c>
      <c r="V86" s="10">
        <v>6164</v>
      </c>
      <c r="W86" s="10">
        <v>3646</v>
      </c>
      <c r="X86" s="10">
        <v>4685</v>
      </c>
      <c r="Y86" s="10">
        <v>5648</v>
      </c>
      <c r="Z86" s="10">
        <v>3986</v>
      </c>
      <c r="AA86" s="10"/>
      <c r="AB86" s="10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</row>
    <row r="87" spans="1:42">
      <c r="A87" s="21" t="s">
        <v>97</v>
      </c>
      <c r="B87" s="22">
        <v>1342674</v>
      </c>
      <c r="C87" s="22">
        <v>61895</v>
      </c>
      <c r="D87" s="22">
        <v>36234</v>
      </c>
      <c r="E87" s="22">
        <v>38968</v>
      </c>
      <c r="F87" s="22">
        <v>1747</v>
      </c>
      <c r="G87" s="22">
        <v>1368</v>
      </c>
      <c r="H87" s="22">
        <v>1280097</v>
      </c>
      <c r="I87" s="22">
        <v>56519</v>
      </c>
      <c r="J87" s="22">
        <v>41134</v>
      </c>
      <c r="K87" s="23">
        <v>46.1</v>
      </c>
      <c r="L87" s="23">
        <v>27</v>
      </c>
      <c r="M87" s="30"/>
      <c r="N87" s="22">
        <v>171933</v>
      </c>
      <c r="O87" s="22">
        <v>106665</v>
      </c>
      <c r="P87" s="22">
        <v>108899</v>
      </c>
      <c r="Q87" s="22">
        <v>188546</v>
      </c>
      <c r="R87" s="22">
        <v>192420</v>
      </c>
      <c r="S87" s="22">
        <v>123203</v>
      </c>
      <c r="T87" s="22">
        <v>153853</v>
      </c>
      <c r="U87" s="22">
        <v>104907</v>
      </c>
      <c r="V87" s="22">
        <v>142343</v>
      </c>
      <c r="W87" s="22">
        <v>49946</v>
      </c>
      <c r="X87" s="22"/>
      <c r="Y87" s="22"/>
      <c r="Z87" s="22"/>
      <c r="AA87" s="22"/>
      <c r="AB87" s="22"/>
      <c r="AC87" s="47"/>
      <c r="AD87" s="48">
        <f>SUM(N87:AB87)</f>
        <v>1342715</v>
      </c>
      <c r="AE87" s="48">
        <f>SUM(N88:AB88)</f>
        <v>61895</v>
      </c>
      <c r="AF87" s="48">
        <f>SUM(N89:AB89)</f>
        <v>36199</v>
      </c>
      <c r="AG87" s="47"/>
      <c r="AH87" s="48">
        <f>AD87-B87</f>
        <v>41</v>
      </c>
      <c r="AI87" s="48">
        <f>AE87-C87</f>
        <v>0</v>
      </c>
      <c r="AJ87" s="48">
        <f>AF87-D87</f>
        <v>-35</v>
      </c>
      <c r="AK87" s="47"/>
      <c r="AL87" s="49">
        <f>C87/B87*1000</f>
        <v>46.098308301195971</v>
      </c>
      <c r="AM87" s="49">
        <f>D87/B87*1000</f>
        <v>26.986446449398738</v>
      </c>
      <c r="AN87" s="47"/>
      <c r="AO87" s="49">
        <f>AL87-K87</f>
        <v>-1.6916988040307501E-3</v>
      </c>
      <c r="AP87" s="49">
        <f>AM87-L87</f>
        <v>-1.3553550601262288E-2</v>
      </c>
    </row>
    <row r="88" spans="1:42">
      <c r="A88" s="24" t="s">
        <v>98</v>
      </c>
      <c r="B88" s="10"/>
      <c r="C88" s="10"/>
      <c r="D88" s="10"/>
      <c r="E88" s="10"/>
      <c r="F88" s="10"/>
      <c r="G88" s="10"/>
      <c r="H88" s="10"/>
      <c r="I88" s="10"/>
      <c r="J88" s="10"/>
      <c r="K88" s="11" t="s">
        <v>12</v>
      </c>
      <c r="L88" s="11" t="s">
        <v>12</v>
      </c>
      <c r="M88" s="30"/>
      <c r="N88" s="10">
        <v>6830</v>
      </c>
      <c r="O88" s="10">
        <v>4539</v>
      </c>
      <c r="P88" s="10">
        <v>4971</v>
      </c>
      <c r="Q88" s="10">
        <v>8319</v>
      </c>
      <c r="R88" s="10">
        <v>10675</v>
      </c>
      <c r="S88" s="10">
        <v>5390</v>
      </c>
      <c r="T88" s="10">
        <v>7325</v>
      </c>
      <c r="U88" s="10">
        <v>4448</v>
      </c>
      <c r="V88" s="10">
        <v>7170</v>
      </c>
      <c r="W88" s="10">
        <v>2228</v>
      </c>
      <c r="X88" s="10"/>
      <c r="Y88" s="10"/>
      <c r="Z88" s="10"/>
      <c r="AA88" s="10"/>
      <c r="AB88" s="10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</row>
    <row r="89" spans="1:42">
      <c r="A89" s="24" t="s">
        <v>99</v>
      </c>
      <c r="B89" s="10"/>
      <c r="C89" s="10"/>
      <c r="D89" s="10"/>
      <c r="E89" s="10"/>
      <c r="F89" s="10"/>
      <c r="G89" s="10"/>
      <c r="H89" s="10"/>
      <c r="I89" s="10"/>
      <c r="J89" s="10"/>
      <c r="K89" s="11" t="s">
        <v>12</v>
      </c>
      <c r="L89" s="11" t="s">
        <v>12</v>
      </c>
      <c r="M89" s="30"/>
      <c r="N89" s="10">
        <v>4270</v>
      </c>
      <c r="O89" s="10">
        <v>2916</v>
      </c>
      <c r="P89" s="10">
        <v>3000</v>
      </c>
      <c r="Q89" s="10">
        <v>5352</v>
      </c>
      <c r="R89" s="10">
        <v>5527</v>
      </c>
      <c r="S89" s="10">
        <v>3531</v>
      </c>
      <c r="T89" s="10">
        <v>4269</v>
      </c>
      <c r="U89" s="10">
        <v>2084</v>
      </c>
      <c r="V89" s="10">
        <v>3988</v>
      </c>
      <c r="W89" s="10">
        <v>1262</v>
      </c>
      <c r="X89" s="10"/>
      <c r="Y89" s="10"/>
      <c r="Z89" s="10"/>
      <c r="AA89" s="10"/>
      <c r="AB89" s="10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</row>
    <row r="90" spans="1:42">
      <c r="A90" s="21" t="s">
        <v>100</v>
      </c>
      <c r="B90" s="22">
        <v>2678957</v>
      </c>
      <c r="C90" s="22">
        <v>140311</v>
      </c>
      <c r="D90" s="22">
        <v>97045</v>
      </c>
      <c r="E90" s="22">
        <v>107896</v>
      </c>
      <c r="F90" s="22">
        <v>4301</v>
      </c>
      <c r="G90" s="22">
        <v>3762</v>
      </c>
      <c r="H90" s="22">
        <v>2672745</v>
      </c>
      <c r="I90" s="22">
        <v>136211</v>
      </c>
      <c r="J90" s="22">
        <v>111107</v>
      </c>
      <c r="K90" s="23">
        <v>52.4</v>
      </c>
      <c r="L90" s="23">
        <v>36.200000000000003</v>
      </c>
      <c r="M90" s="30"/>
      <c r="N90" s="22">
        <v>253446</v>
      </c>
      <c r="O90" s="22">
        <v>263993</v>
      </c>
      <c r="P90" s="22">
        <v>291036</v>
      </c>
      <c r="Q90" s="22">
        <v>318912</v>
      </c>
      <c r="R90" s="22">
        <v>217222</v>
      </c>
      <c r="S90" s="22">
        <v>124371</v>
      </c>
      <c r="T90" s="22">
        <v>213802</v>
      </c>
      <c r="U90" s="22">
        <v>160798</v>
      </c>
      <c r="V90" s="22">
        <v>179779</v>
      </c>
      <c r="W90" s="22">
        <v>195842</v>
      </c>
      <c r="X90" s="22">
        <v>273532</v>
      </c>
      <c r="Y90" s="22">
        <v>186224</v>
      </c>
      <c r="Z90" s="22"/>
      <c r="AA90" s="22"/>
      <c r="AB90" s="22"/>
      <c r="AC90" s="47"/>
      <c r="AD90" s="48">
        <f>SUM(N90:AB90)</f>
        <v>2678957</v>
      </c>
      <c r="AE90" s="48">
        <f>SUM(N91:AB91)</f>
        <v>140311</v>
      </c>
      <c r="AF90" s="48">
        <f>SUM(N92:AB92)</f>
        <v>97045</v>
      </c>
      <c r="AG90" s="47"/>
      <c r="AH90" s="48">
        <f>AD90-B90</f>
        <v>0</v>
      </c>
      <c r="AI90" s="48">
        <f>AE90-C90</f>
        <v>0</v>
      </c>
      <c r="AJ90" s="48">
        <f>AF90-D90</f>
        <v>0</v>
      </c>
      <c r="AK90" s="47"/>
      <c r="AL90" s="49">
        <f>C90/B90*1000</f>
        <v>52.375234092969762</v>
      </c>
      <c r="AM90" s="49">
        <f>D90/B90*1000</f>
        <v>36.224918877010715</v>
      </c>
      <c r="AN90" s="47"/>
      <c r="AO90" s="49">
        <f>AL90-K90</f>
        <v>-2.4765907030236178E-2</v>
      </c>
      <c r="AP90" s="49">
        <f>AM90-L90</f>
        <v>2.4918877010712492E-2</v>
      </c>
    </row>
    <row r="91" spans="1:42">
      <c r="A91" s="24" t="s">
        <v>101</v>
      </c>
      <c r="B91" s="10"/>
      <c r="C91" s="10"/>
      <c r="D91" s="10"/>
      <c r="E91" s="10"/>
      <c r="F91" s="10"/>
      <c r="G91" s="10"/>
      <c r="H91" s="10"/>
      <c r="I91" s="10"/>
      <c r="J91" s="10"/>
      <c r="K91" s="11" t="s">
        <v>12</v>
      </c>
      <c r="L91" s="11" t="s">
        <v>12</v>
      </c>
      <c r="M91" s="30"/>
      <c r="N91" s="10">
        <v>14135</v>
      </c>
      <c r="O91" s="10">
        <v>10144</v>
      </c>
      <c r="P91" s="10">
        <v>17015</v>
      </c>
      <c r="Q91" s="10">
        <v>16316</v>
      </c>
      <c r="R91" s="10">
        <v>10435</v>
      </c>
      <c r="S91" s="10">
        <v>6746</v>
      </c>
      <c r="T91" s="10">
        <v>11977</v>
      </c>
      <c r="U91" s="10">
        <v>8831</v>
      </c>
      <c r="V91" s="10">
        <v>10308</v>
      </c>
      <c r="W91" s="10">
        <v>10693</v>
      </c>
      <c r="X91" s="10">
        <v>14609</v>
      </c>
      <c r="Y91" s="10">
        <v>9102</v>
      </c>
      <c r="Z91" s="10"/>
      <c r="AA91" s="10"/>
      <c r="AB91" s="10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</row>
    <row r="92" spans="1:42">
      <c r="A92" s="24" t="s">
        <v>102</v>
      </c>
      <c r="B92" s="10"/>
      <c r="C92" s="10"/>
      <c r="D92" s="10"/>
      <c r="E92" s="10"/>
      <c r="F92" s="10"/>
      <c r="G92" s="10"/>
      <c r="H92" s="10"/>
      <c r="I92" s="10"/>
      <c r="J92" s="10"/>
      <c r="K92" s="11" t="s">
        <v>12</v>
      </c>
      <c r="L92" s="11" t="s">
        <v>12</v>
      </c>
      <c r="M92" s="30"/>
      <c r="N92" s="10">
        <v>11292</v>
      </c>
      <c r="O92" s="10">
        <v>7168</v>
      </c>
      <c r="P92" s="10">
        <v>11247</v>
      </c>
      <c r="Q92" s="10">
        <v>11823</v>
      </c>
      <c r="R92" s="10">
        <v>4830</v>
      </c>
      <c r="S92" s="10">
        <v>4386</v>
      </c>
      <c r="T92" s="10">
        <v>8959</v>
      </c>
      <c r="U92" s="10">
        <v>6879</v>
      </c>
      <c r="V92" s="10">
        <v>7032</v>
      </c>
      <c r="W92" s="10">
        <v>6227</v>
      </c>
      <c r="X92" s="10">
        <v>9519</v>
      </c>
      <c r="Y92" s="10">
        <v>7683</v>
      </c>
      <c r="Z92" s="10"/>
      <c r="AA92" s="10"/>
      <c r="AB92" s="10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</row>
    <row r="93" spans="1:42">
      <c r="A93" s="21" t="s">
        <v>103</v>
      </c>
      <c r="B93" s="22">
        <v>3062210</v>
      </c>
      <c r="C93" s="22">
        <v>152979</v>
      </c>
      <c r="D93" s="22">
        <v>106991</v>
      </c>
      <c r="E93" s="25" t="s">
        <v>12</v>
      </c>
      <c r="F93" s="25" t="s">
        <v>12</v>
      </c>
      <c r="G93" s="25" t="s">
        <v>12</v>
      </c>
      <c r="H93" s="22">
        <v>2983860</v>
      </c>
      <c r="I93" s="22">
        <v>153408</v>
      </c>
      <c r="J93" s="22">
        <v>120925</v>
      </c>
      <c r="K93" s="23">
        <v>49.9</v>
      </c>
      <c r="L93" s="23">
        <v>34.9</v>
      </c>
      <c r="M93" s="30"/>
      <c r="N93" s="22">
        <v>212406</v>
      </c>
      <c r="O93" s="22">
        <v>377780</v>
      </c>
      <c r="P93" s="22">
        <v>216096</v>
      </c>
      <c r="Q93" s="22">
        <v>292309</v>
      </c>
      <c r="R93" s="22">
        <v>268977</v>
      </c>
      <c r="S93" s="22">
        <v>220596</v>
      </c>
      <c r="T93" s="22">
        <v>222562</v>
      </c>
      <c r="U93" s="22">
        <v>375709</v>
      </c>
      <c r="V93" s="22">
        <v>216353</v>
      </c>
      <c r="W93" s="22">
        <v>286241</v>
      </c>
      <c r="X93" s="22">
        <v>373181</v>
      </c>
      <c r="Y93" s="22"/>
      <c r="Z93" s="22"/>
      <c r="AA93" s="22"/>
      <c r="AB93" s="22"/>
      <c r="AC93" s="47"/>
      <c r="AD93" s="48">
        <f>SUM(N93:AB93)</f>
        <v>3062210</v>
      </c>
      <c r="AE93" s="48">
        <f>SUM(N94:AB94)</f>
        <v>163979</v>
      </c>
      <c r="AF93" s="48">
        <f>SUM(N95:AB95)</f>
        <v>106991</v>
      </c>
      <c r="AG93" s="47"/>
      <c r="AH93" s="48">
        <f>AD93-B93</f>
        <v>0</v>
      </c>
      <c r="AI93" s="48">
        <f>AE93-C93</f>
        <v>11000</v>
      </c>
      <c r="AJ93" s="48">
        <f>AF93-D93</f>
        <v>0</v>
      </c>
      <c r="AK93" s="47"/>
      <c r="AL93" s="49">
        <f>C93/B93*1000</f>
        <v>49.957057158065581</v>
      </c>
      <c r="AM93" s="49">
        <f>D93/B93*1000</f>
        <v>34.939145257836657</v>
      </c>
      <c r="AN93" s="47"/>
      <c r="AO93" s="49">
        <f>AL93-K93</f>
        <v>5.7057158065582314E-2</v>
      </c>
      <c r="AP93" s="49">
        <f>AM93-L93</f>
        <v>3.9145257836658232E-2</v>
      </c>
    </row>
    <row r="94" spans="1:42">
      <c r="A94" s="24" t="s">
        <v>104</v>
      </c>
      <c r="B94" s="10"/>
      <c r="C94" s="10"/>
      <c r="D94" s="10"/>
      <c r="E94" s="10"/>
      <c r="F94" s="10"/>
      <c r="G94" s="10"/>
      <c r="H94" s="10"/>
      <c r="I94" s="10"/>
      <c r="J94" s="10"/>
      <c r="K94" s="11" t="s">
        <v>12</v>
      </c>
      <c r="L94" s="11" t="s">
        <v>12</v>
      </c>
      <c r="M94" s="30"/>
      <c r="N94" s="10">
        <v>9470</v>
      </c>
      <c r="O94" s="10">
        <v>19802</v>
      </c>
      <c r="P94" s="10">
        <v>22028</v>
      </c>
      <c r="Q94" s="10">
        <v>14562</v>
      </c>
      <c r="R94" s="10">
        <v>13742</v>
      </c>
      <c r="S94" s="10">
        <v>9523</v>
      </c>
      <c r="T94" s="10">
        <v>11366</v>
      </c>
      <c r="U94" s="10">
        <v>19856</v>
      </c>
      <c r="V94" s="10">
        <v>11146</v>
      </c>
      <c r="W94" s="10">
        <v>14464</v>
      </c>
      <c r="X94" s="10">
        <v>18020</v>
      </c>
      <c r="Y94" s="10"/>
      <c r="Z94" s="10"/>
      <c r="AA94" s="10"/>
      <c r="AB94" s="10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</row>
    <row r="95" spans="1:42">
      <c r="A95" s="24" t="s">
        <v>105</v>
      </c>
      <c r="B95" s="10"/>
      <c r="C95" s="10"/>
      <c r="D95" s="10"/>
      <c r="E95" s="10"/>
      <c r="F95" s="10"/>
      <c r="G95" s="10"/>
      <c r="H95" s="10"/>
      <c r="I95" s="10"/>
      <c r="J95" s="10"/>
      <c r="K95" s="11" t="s">
        <v>12</v>
      </c>
      <c r="L95" s="11" t="s">
        <v>12</v>
      </c>
      <c r="M95" s="30"/>
      <c r="N95" s="10">
        <v>6780</v>
      </c>
      <c r="O95" s="10">
        <v>12135</v>
      </c>
      <c r="P95" s="10">
        <v>8837</v>
      </c>
      <c r="Q95" s="10">
        <v>7753</v>
      </c>
      <c r="R95" s="10">
        <v>11007</v>
      </c>
      <c r="S95" s="10">
        <v>8556</v>
      </c>
      <c r="T95" s="10">
        <v>6886</v>
      </c>
      <c r="U95" s="10">
        <v>12771</v>
      </c>
      <c r="V95" s="10">
        <v>7239</v>
      </c>
      <c r="W95" s="10">
        <v>11367</v>
      </c>
      <c r="X95" s="10">
        <v>13660</v>
      </c>
      <c r="Y95" s="10"/>
      <c r="Z95" s="10"/>
      <c r="AA95" s="10"/>
      <c r="AB95" s="10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</row>
    <row r="96" spans="1:42">
      <c r="A96" s="21" t="s">
        <v>106</v>
      </c>
      <c r="B96" s="22">
        <v>1915212</v>
      </c>
      <c r="C96" s="22">
        <v>99673</v>
      </c>
      <c r="D96" s="22">
        <v>54389</v>
      </c>
      <c r="E96" s="22">
        <v>238977</v>
      </c>
      <c r="F96" s="22">
        <v>8117</v>
      </c>
      <c r="G96" s="22">
        <v>5581</v>
      </c>
      <c r="H96" s="22">
        <v>1712522</v>
      </c>
      <c r="I96" s="22">
        <v>94950</v>
      </c>
      <c r="J96" s="22">
        <v>62094</v>
      </c>
      <c r="K96" s="23">
        <v>52</v>
      </c>
      <c r="L96" s="23">
        <v>29</v>
      </c>
      <c r="M96" s="30"/>
      <c r="N96" s="22">
        <v>304178</v>
      </c>
      <c r="O96" s="22">
        <v>250057</v>
      </c>
      <c r="P96" s="22">
        <v>269150</v>
      </c>
      <c r="Q96" s="22">
        <v>182950</v>
      </c>
      <c r="R96" s="22">
        <v>234803</v>
      </c>
      <c r="S96" s="22">
        <v>233915</v>
      </c>
      <c r="T96" s="22">
        <v>261382</v>
      </c>
      <c r="U96" s="22">
        <v>178777</v>
      </c>
      <c r="V96" s="22"/>
      <c r="W96" s="22"/>
      <c r="X96" s="22"/>
      <c r="Y96" s="22"/>
      <c r="Z96" s="22"/>
      <c r="AA96" s="22"/>
      <c r="AB96" s="22"/>
      <c r="AC96" s="47"/>
      <c r="AD96" s="48">
        <f>SUM(N96:AB96)</f>
        <v>1915212</v>
      </c>
      <c r="AE96" s="48">
        <f>SUM(N97:AB97)</f>
        <v>99673</v>
      </c>
      <c r="AF96" s="48">
        <f>SUM(N98:AB98)</f>
        <v>54389</v>
      </c>
      <c r="AG96" s="47"/>
      <c r="AH96" s="48">
        <f>AD96-B96</f>
        <v>0</v>
      </c>
      <c r="AI96" s="48">
        <f>AE96-C96</f>
        <v>0</v>
      </c>
      <c r="AJ96" s="48">
        <f>AF96-D96</f>
        <v>0</v>
      </c>
      <c r="AK96" s="47"/>
      <c r="AL96" s="49">
        <f>C96/B96*1000</f>
        <v>52.042802572247872</v>
      </c>
      <c r="AM96" s="49">
        <f>D96/B96*1000</f>
        <v>28.398422733357979</v>
      </c>
      <c r="AN96" s="47"/>
      <c r="AO96" s="49">
        <f>AL96-K96</f>
        <v>4.2802572247872206E-2</v>
      </c>
      <c r="AP96" s="49">
        <f>AM96-L96</f>
        <v>-0.60157726664202116</v>
      </c>
    </row>
    <row r="97" spans="1:42">
      <c r="A97" s="24" t="s">
        <v>107</v>
      </c>
      <c r="B97" s="10"/>
      <c r="C97" s="10"/>
      <c r="D97" s="10"/>
      <c r="E97" s="10"/>
      <c r="F97" s="10"/>
      <c r="G97" s="10"/>
      <c r="H97" s="10"/>
      <c r="I97" s="10"/>
      <c r="J97" s="10"/>
      <c r="K97" s="11" t="s">
        <v>12</v>
      </c>
      <c r="L97" s="11" t="s">
        <v>12</v>
      </c>
      <c r="M97" s="30"/>
      <c r="N97" s="10">
        <v>15727</v>
      </c>
      <c r="O97" s="10">
        <v>11810</v>
      </c>
      <c r="P97" s="10">
        <v>12987</v>
      </c>
      <c r="Q97" s="10">
        <v>10460</v>
      </c>
      <c r="R97" s="10">
        <v>13876</v>
      </c>
      <c r="S97" s="10">
        <v>12972</v>
      </c>
      <c r="T97" s="10">
        <v>13430</v>
      </c>
      <c r="U97" s="10">
        <v>8411</v>
      </c>
      <c r="V97" s="10"/>
      <c r="W97" s="10"/>
      <c r="X97" s="10"/>
      <c r="Y97" s="10"/>
      <c r="Z97" s="10"/>
      <c r="AA97" s="10"/>
      <c r="AB97" s="10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</row>
    <row r="98" spans="1:42">
      <c r="A98" s="24" t="s">
        <v>108</v>
      </c>
      <c r="B98" s="10"/>
      <c r="C98" s="10"/>
      <c r="D98" s="10"/>
      <c r="E98" s="10"/>
      <c r="F98" s="10"/>
      <c r="G98" s="10"/>
      <c r="H98" s="10"/>
      <c r="I98" s="10"/>
      <c r="J98" s="10"/>
      <c r="K98" s="11" t="s">
        <v>12</v>
      </c>
      <c r="L98" s="11" t="s">
        <v>12</v>
      </c>
      <c r="M98" s="30"/>
      <c r="N98" s="10">
        <v>9215</v>
      </c>
      <c r="O98" s="10">
        <v>5274</v>
      </c>
      <c r="P98" s="10">
        <v>6665</v>
      </c>
      <c r="Q98" s="10">
        <v>5228</v>
      </c>
      <c r="R98" s="10">
        <v>8970</v>
      </c>
      <c r="S98" s="10">
        <v>6889</v>
      </c>
      <c r="T98" s="10">
        <v>7699</v>
      </c>
      <c r="U98" s="10">
        <v>4449</v>
      </c>
      <c r="V98" s="10"/>
      <c r="W98" s="10"/>
      <c r="X98" s="10"/>
      <c r="Y98" s="10"/>
      <c r="Z98" s="10"/>
      <c r="AA98" s="10"/>
      <c r="AB98" s="10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</row>
    <row r="99" spans="1:42">
      <c r="A99" s="21" t="s">
        <v>109</v>
      </c>
      <c r="B99" s="22">
        <v>2204027</v>
      </c>
      <c r="C99" s="22">
        <v>98617</v>
      </c>
      <c r="D99" s="22">
        <v>83544</v>
      </c>
      <c r="E99" s="22">
        <v>187619</v>
      </c>
      <c r="F99" s="22">
        <v>6486</v>
      </c>
      <c r="G99" s="22">
        <v>6450</v>
      </c>
      <c r="H99" s="22">
        <v>2190671</v>
      </c>
      <c r="I99" s="22">
        <v>101012</v>
      </c>
      <c r="J99" s="22">
        <v>78086</v>
      </c>
      <c r="K99" s="23">
        <v>44.7</v>
      </c>
      <c r="L99" s="23">
        <v>37.9</v>
      </c>
      <c r="M99" s="30"/>
      <c r="N99" s="22">
        <v>360216</v>
      </c>
      <c r="O99" s="22">
        <v>94281</v>
      </c>
      <c r="P99" s="22">
        <v>183610</v>
      </c>
      <c r="Q99" s="22">
        <v>202307</v>
      </c>
      <c r="R99" s="22">
        <v>133209</v>
      </c>
      <c r="S99" s="22">
        <v>184996</v>
      </c>
      <c r="T99" s="22">
        <v>194877</v>
      </c>
      <c r="U99" s="22">
        <v>113631</v>
      </c>
      <c r="V99" s="22">
        <v>162493</v>
      </c>
      <c r="W99" s="22">
        <v>120611</v>
      </c>
      <c r="X99" s="22">
        <v>306004</v>
      </c>
      <c r="Y99" s="22">
        <v>147861</v>
      </c>
      <c r="Z99" s="22"/>
      <c r="AA99" s="22"/>
      <c r="AB99" s="22"/>
      <c r="AC99" s="47"/>
      <c r="AD99" s="48">
        <f>SUM(N99:AB99)</f>
        <v>2204096</v>
      </c>
      <c r="AE99" s="48">
        <f>SUM(N100:AB100)</f>
        <v>98617</v>
      </c>
      <c r="AF99" s="48">
        <f>SUM(N101:AB101)</f>
        <v>83544</v>
      </c>
      <c r="AG99" s="47"/>
      <c r="AH99" s="48">
        <f>AD99-B99</f>
        <v>69</v>
      </c>
      <c r="AI99" s="48">
        <f>AE99-C99</f>
        <v>0</v>
      </c>
      <c r="AJ99" s="48">
        <f>AF99-D99</f>
        <v>0</v>
      </c>
      <c r="AK99" s="47"/>
      <c r="AL99" s="49">
        <f>C99/B99*1000</f>
        <v>44.744007219512284</v>
      </c>
      <c r="AM99" s="49">
        <f>D99/B99*1000</f>
        <v>37.905161778871125</v>
      </c>
      <c r="AN99" s="47"/>
      <c r="AO99" s="49">
        <f>AL99-K99</f>
        <v>4.4007219512280926E-2</v>
      </c>
      <c r="AP99" s="49">
        <f>AM99-L99</f>
        <v>5.1617788711268986E-3</v>
      </c>
    </row>
    <row r="100" spans="1:42">
      <c r="A100" s="24" t="s">
        <v>110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1" t="s">
        <v>12</v>
      </c>
      <c r="L100" s="11" t="s">
        <v>12</v>
      </c>
      <c r="M100" s="30"/>
      <c r="N100" s="10">
        <v>14222</v>
      </c>
      <c r="O100" s="10">
        <v>4213</v>
      </c>
      <c r="P100" s="10">
        <v>8358</v>
      </c>
      <c r="Q100" s="10">
        <v>7857</v>
      </c>
      <c r="R100" s="10">
        <v>6745</v>
      </c>
      <c r="S100" s="10">
        <v>8626</v>
      </c>
      <c r="T100" s="10">
        <v>9250</v>
      </c>
      <c r="U100" s="10">
        <v>5046</v>
      </c>
      <c r="V100" s="10">
        <v>7409</v>
      </c>
      <c r="W100" s="10">
        <v>5675</v>
      </c>
      <c r="X100" s="10">
        <v>14162</v>
      </c>
      <c r="Y100" s="10">
        <v>7054</v>
      </c>
      <c r="Z100" s="10"/>
      <c r="AA100" s="10"/>
      <c r="AB100" s="10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</row>
    <row r="101" spans="1:42">
      <c r="A101" s="24" t="s">
        <v>111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1" t="s">
        <v>12</v>
      </c>
      <c r="L101" s="11" t="s">
        <v>12</v>
      </c>
      <c r="M101" s="30"/>
      <c r="N101" s="10">
        <v>12347</v>
      </c>
      <c r="O101" s="10">
        <v>3356</v>
      </c>
      <c r="P101" s="10">
        <v>7365</v>
      </c>
      <c r="Q101" s="10">
        <v>6532</v>
      </c>
      <c r="R101" s="10">
        <v>4788</v>
      </c>
      <c r="S101" s="10">
        <v>7910</v>
      </c>
      <c r="T101" s="10">
        <v>7777</v>
      </c>
      <c r="U101" s="10">
        <v>4929</v>
      </c>
      <c r="V101" s="10">
        <v>6194</v>
      </c>
      <c r="W101" s="10">
        <v>3782</v>
      </c>
      <c r="X101" s="10">
        <v>13208</v>
      </c>
      <c r="Y101" s="10">
        <v>5356</v>
      </c>
      <c r="Z101" s="10"/>
      <c r="AA101" s="10"/>
      <c r="AB101" s="10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</row>
    <row r="102" spans="1:42">
      <c r="A102" s="21" t="s">
        <v>112</v>
      </c>
      <c r="B102" s="22">
        <v>1301126</v>
      </c>
      <c r="C102" s="22">
        <v>62665</v>
      </c>
      <c r="D102" s="22">
        <v>45025</v>
      </c>
      <c r="E102" s="22">
        <v>113955</v>
      </c>
      <c r="F102" s="22">
        <v>2915</v>
      </c>
      <c r="G102" s="22">
        <v>2734</v>
      </c>
      <c r="H102" s="22">
        <v>1236461</v>
      </c>
      <c r="I102" s="22">
        <v>58552</v>
      </c>
      <c r="J102" s="22">
        <v>45326</v>
      </c>
      <c r="K102" s="23">
        <v>48.2</v>
      </c>
      <c r="L102" s="23">
        <v>34.6</v>
      </c>
      <c r="M102" s="30"/>
      <c r="N102" s="22">
        <v>131435</v>
      </c>
      <c r="O102" s="22">
        <v>77870</v>
      </c>
      <c r="P102" s="22">
        <v>243032</v>
      </c>
      <c r="Q102" s="22">
        <v>137445</v>
      </c>
      <c r="R102" s="22">
        <v>95702</v>
      </c>
      <c r="S102" s="22">
        <v>50627</v>
      </c>
      <c r="T102" s="22">
        <v>128533</v>
      </c>
      <c r="U102" s="22">
        <v>123123</v>
      </c>
      <c r="V102" s="22">
        <v>168750</v>
      </c>
      <c r="W102" s="22">
        <v>72775</v>
      </c>
      <c r="X102" s="22">
        <v>71834</v>
      </c>
      <c r="Y102" s="22"/>
      <c r="Z102" s="22"/>
      <c r="AA102" s="22"/>
      <c r="AB102" s="22"/>
      <c r="AC102" s="47"/>
      <c r="AD102" s="48">
        <f>SUM(N102:AB102)</f>
        <v>1301126</v>
      </c>
      <c r="AE102" s="48">
        <f>SUM(N103:AB103)</f>
        <v>62665</v>
      </c>
      <c r="AF102" s="48">
        <f>SUM(N104:AB104)</f>
        <v>45025</v>
      </c>
      <c r="AG102" s="47"/>
      <c r="AH102" s="48">
        <f>AD102-B102</f>
        <v>0</v>
      </c>
      <c r="AI102" s="48">
        <f>AE102-C102</f>
        <v>0</v>
      </c>
      <c r="AJ102" s="48">
        <f>AF102-D102</f>
        <v>0</v>
      </c>
      <c r="AK102" s="47"/>
      <c r="AL102" s="49">
        <f>C102/B102*1000</f>
        <v>48.162130339413707</v>
      </c>
      <c r="AM102" s="49">
        <f>D102/B102*1000</f>
        <v>34.604642440470791</v>
      </c>
      <c r="AN102" s="47"/>
      <c r="AO102" s="49">
        <f>AL102-K102</f>
        <v>-3.7869660586295595E-2</v>
      </c>
      <c r="AP102" s="49">
        <f>AM102-L102</f>
        <v>4.6424404707892108E-3</v>
      </c>
    </row>
    <row r="103" spans="1:42">
      <c r="A103" s="24" t="s">
        <v>113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1" t="s">
        <v>12</v>
      </c>
      <c r="L103" s="11" t="s">
        <v>12</v>
      </c>
      <c r="M103" s="30"/>
      <c r="N103" s="10">
        <v>5066</v>
      </c>
      <c r="O103" s="10">
        <v>2961</v>
      </c>
      <c r="P103" s="10">
        <v>13850</v>
      </c>
      <c r="Q103" s="10">
        <v>6948</v>
      </c>
      <c r="R103" s="10">
        <v>4929</v>
      </c>
      <c r="S103" s="10">
        <v>2239</v>
      </c>
      <c r="T103" s="10">
        <v>6608</v>
      </c>
      <c r="U103" s="10">
        <v>4973</v>
      </c>
      <c r="V103" s="10">
        <v>8659</v>
      </c>
      <c r="W103" s="10">
        <v>3535</v>
      </c>
      <c r="X103" s="10">
        <v>2897</v>
      </c>
      <c r="Y103" s="10"/>
      <c r="Z103" s="10"/>
      <c r="AA103" s="10"/>
      <c r="AB103" s="10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</row>
    <row r="104" spans="1:42">
      <c r="A104" s="24" t="s">
        <v>114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1" t="s">
        <v>12</v>
      </c>
      <c r="L104" s="11" t="s">
        <v>12</v>
      </c>
      <c r="M104" s="30"/>
      <c r="N104" s="10">
        <v>3937</v>
      </c>
      <c r="O104" s="10">
        <v>2591</v>
      </c>
      <c r="P104" s="10">
        <v>8957</v>
      </c>
      <c r="Q104" s="10">
        <v>4163</v>
      </c>
      <c r="R104" s="10">
        <v>3686</v>
      </c>
      <c r="S104" s="10">
        <v>2421</v>
      </c>
      <c r="T104" s="10">
        <v>5155</v>
      </c>
      <c r="U104" s="10">
        <v>3373</v>
      </c>
      <c r="V104" s="10">
        <v>5439</v>
      </c>
      <c r="W104" s="10">
        <v>2507</v>
      </c>
      <c r="X104" s="10">
        <v>2796</v>
      </c>
      <c r="Y104" s="10"/>
      <c r="Z104" s="10"/>
      <c r="AA104" s="10"/>
      <c r="AB104" s="10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</row>
    <row r="105" spans="1:42">
      <c r="A105" s="21" t="s">
        <v>115</v>
      </c>
      <c r="B105" s="22">
        <v>1450121</v>
      </c>
      <c r="C105" s="22">
        <v>69330</v>
      </c>
      <c r="D105" s="22">
        <v>45298</v>
      </c>
      <c r="E105" s="22">
        <v>70305</v>
      </c>
      <c r="F105" s="22">
        <v>2897</v>
      </c>
      <c r="G105" s="22">
        <v>2499</v>
      </c>
      <c r="H105" s="22">
        <v>1390102</v>
      </c>
      <c r="I105" s="22">
        <v>64190</v>
      </c>
      <c r="J105" s="22">
        <v>49566</v>
      </c>
      <c r="K105" s="23">
        <v>47.5</v>
      </c>
      <c r="L105" s="23">
        <v>31</v>
      </c>
      <c r="M105" s="30"/>
      <c r="N105" s="22">
        <v>180583</v>
      </c>
      <c r="O105" s="22">
        <v>77251</v>
      </c>
      <c r="P105" s="22">
        <v>120850</v>
      </c>
      <c r="Q105" s="22">
        <v>115462</v>
      </c>
      <c r="R105" s="22">
        <v>118164</v>
      </c>
      <c r="S105" s="22">
        <v>140123</v>
      </c>
      <c r="T105" s="22">
        <v>114059</v>
      </c>
      <c r="U105" s="22">
        <v>149803</v>
      </c>
      <c r="V105" s="22">
        <v>170205</v>
      </c>
      <c r="W105" s="22">
        <v>67321</v>
      </c>
      <c r="X105" s="22">
        <v>59074</v>
      </c>
      <c r="Y105" s="22">
        <v>137266</v>
      </c>
      <c r="Z105" s="22"/>
      <c r="AA105" s="22"/>
      <c r="AB105" s="22"/>
      <c r="AC105" s="47"/>
      <c r="AD105" s="48">
        <f>SUM(N105:AB105)</f>
        <v>1450161</v>
      </c>
      <c r="AE105" s="48">
        <f>SUM(N106:AB106)</f>
        <v>69330</v>
      </c>
      <c r="AF105" s="48">
        <f>SUM(N107:AB107)</f>
        <v>45298</v>
      </c>
      <c r="AG105" s="47"/>
      <c r="AH105" s="48">
        <f>AD105-B105</f>
        <v>40</v>
      </c>
      <c r="AI105" s="48">
        <f>AE105-C105</f>
        <v>0</v>
      </c>
      <c r="AJ105" s="48">
        <f>AF105-D105</f>
        <v>0</v>
      </c>
      <c r="AK105" s="47"/>
      <c r="AL105" s="49">
        <f>C105/B105*1000</f>
        <v>47.809803457780426</v>
      </c>
      <c r="AM105" s="49">
        <f>D105/B105*1000</f>
        <v>31.237393293387239</v>
      </c>
      <c r="AN105" s="47"/>
      <c r="AO105" s="49">
        <f>AL105-K105</f>
        <v>0.30980345778042562</v>
      </c>
      <c r="AP105" s="49">
        <f>AM105-L105</f>
        <v>0.23739329338723891</v>
      </c>
    </row>
    <row r="106" spans="1:42">
      <c r="A106" s="24" t="s">
        <v>116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1" t="s">
        <v>12</v>
      </c>
      <c r="L106" s="11" t="s">
        <v>12</v>
      </c>
      <c r="M106" s="30"/>
      <c r="N106" s="10">
        <v>8048</v>
      </c>
      <c r="O106" s="10">
        <v>3600</v>
      </c>
      <c r="P106" s="10">
        <v>6071</v>
      </c>
      <c r="Q106" s="10">
        <v>6799</v>
      </c>
      <c r="R106" s="10">
        <v>4898</v>
      </c>
      <c r="S106" s="10">
        <v>6981</v>
      </c>
      <c r="T106" s="10">
        <v>5624</v>
      </c>
      <c r="U106" s="10">
        <v>7465</v>
      </c>
      <c r="V106" s="10">
        <v>8208</v>
      </c>
      <c r="W106" s="10">
        <v>2817</v>
      </c>
      <c r="X106" s="10">
        <v>2308</v>
      </c>
      <c r="Y106" s="10">
        <v>6511</v>
      </c>
      <c r="Z106" s="10"/>
      <c r="AA106" s="10"/>
      <c r="AB106" s="10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</row>
    <row r="107" spans="1:42">
      <c r="A107" s="24" t="s">
        <v>117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1" t="s">
        <v>12</v>
      </c>
      <c r="L107" s="11" t="s">
        <v>12</v>
      </c>
      <c r="M107" s="30"/>
      <c r="N107" s="10">
        <v>5521</v>
      </c>
      <c r="O107" s="10">
        <v>2180</v>
      </c>
      <c r="P107" s="10">
        <v>4080</v>
      </c>
      <c r="Q107" s="10">
        <v>4438</v>
      </c>
      <c r="R107" s="10">
        <v>3073</v>
      </c>
      <c r="S107" s="10">
        <v>4624</v>
      </c>
      <c r="T107" s="10">
        <v>2876</v>
      </c>
      <c r="U107" s="10">
        <v>4861</v>
      </c>
      <c r="V107" s="10">
        <v>5985</v>
      </c>
      <c r="W107" s="10">
        <v>1508</v>
      </c>
      <c r="X107" s="10">
        <v>1582</v>
      </c>
      <c r="Y107" s="10">
        <v>4570</v>
      </c>
      <c r="Z107" s="10"/>
      <c r="AA107" s="10"/>
      <c r="AB107" s="10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</row>
    <row r="108" spans="1:42">
      <c r="A108" s="21" t="s">
        <v>118</v>
      </c>
      <c r="B108" s="22">
        <v>2603963</v>
      </c>
      <c r="C108" s="22">
        <v>116165</v>
      </c>
      <c r="D108" s="22">
        <v>100841</v>
      </c>
      <c r="E108" s="22">
        <v>172383</v>
      </c>
      <c r="F108" s="22">
        <v>10366</v>
      </c>
      <c r="G108" s="22">
        <v>9651</v>
      </c>
      <c r="H108" s="22">
        <v>2538530</v>
      </c>
      <c r="I108" s="22">
        <v>117451</v>
      </c>
      <c r="J108" s="22">
        <v>83743</v>
      </c>
      <c r="K108" s="23">
        <v>40.6</v>
      </c>
      <c r="L108" s="23">
        <v>35</v>
      </c>
      <c r="M108" s="30"/>
      <c r="N108" s="22">
        <v>243654</v>
      </c>
      <c r="O108" s="22">
        <v>199721</v>
      </c>
      <c r="P108" s="22">
        <v>193909</v>
      </c>
      <c r="Q108" s="22">
        <v>124349</v>
      </c>
      <c r="R108" s="22">
        <v>181472</v>
      </c>
      <c r="S108" s="22">
        <v>133998</v>
      </c>
      <c r="T108" s="22">
        <v>185735</v>
      </c>
      <c r="U108" s="22">
        <v>201688</v>
      </c>
      <c r="V108" s="22">
        <v>179240</v>
      </c>
      <c r="W108" s="22">
        <v>158016</v>
      </c>
      <c r="X108" s="22">
        <v>167598</v>
      </c>
      <c r="Y108" s="22">
        <v>172151</v>
      </c>
      <c r="Z108" s="22">
        <v>154269</v>
      </c>
      <c r="AA108" s="22">
        <v>129835</v>
      </c>
      <c r="AB108" s="22">
        <v>178427</v>
      </c>
      <c r="AC108" s="47"/>
      <c r="AD108" s="48">
        <f>SUM(N108:AB108)</f>
        <v>2604062</v>
      </c>
      <c r="AE108" s="48">
        <f>SUM(N109:AB109)</f>
        <v>116264</v>
      </c>
      <c r="AF108" s="48">
        <f>SUM(N110:AB110)</f>
        <v>100741</v>
      </c>
      <c r="AG108" s="47"/>
      <c r="AH108" s="48">
        <f>AD108-B108</f>
        <v>99</v>
      </c>
      <c r="AI108" s="48">
        <f>AE108-C108</f>
        <v>99</v>
      </c>
      <c r="AJ108" s="48">
        <f>AF108-D108</f>
        <v>-100</v>
      </c>
      <c r="AK108" s="47"/>
      <c r="AL108" s="49">
        <f>C108/B108*1000</f>
        <v>44.610848925272748</v>
      </c>
      <c r="AM108" s="49">
        <f>D108/B108*1000</f>
        <v>38.725972680871429</v>
      </c>
      <c r="AN108" s="47"/>
      <c r="AO108" s="49">
        <f>AL108-K108</f>
        <v>4.0108489252727466</v>
      </c>
      <c r="AP108" s="49">
        <f>AM108-L108</f>
        <v>3.7259726808714291</v>
      </c>
    </row>
    <row r="109" spans="1:42">
      <c r="A109" s="24" t="s">
        <v>119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1" t="s">
        <v>12</v>
      </c>
      <c r="L109" s="11" t="s">
        <v>12</v>
      </c>
      <c r="M109" s="30"/>
      <c r="N109" s="10">
        <v>10937</v>
      </c>
      <c r="O109" s="10">
        <v>8149</v>
      </c>
      <c r="P109" s="10">
        <v>8474</v>
      </c>
      <c r="Q109" s="10">
        <v>6891</v>
      </c>
      <c r="R109" s="10">
        <v>7275</v>
      </c>
      <c r="S109" s="10">
        <v>6923</v>
      </c>
      <c r="T109" s="10">
        <v>7363</v>
      </c>
      <c r="U109" s="10">
        <v>8999</v>
      </c>
      <c r="V109" s="10">
        <v>8237</v>
      </c>
      <c r="W109" s="10">
        <v>7910</v>
      </c>
      <c r="X109" s="10">
        <v>7281</v>
      </c>
      <c r="Y109" s="10">
        <v>7443</v>
      </c>
      <c r="Z109" s="10">
        <v>6687</v>
      </c>
      <c r="AA109" s="10">
        <v>6584</v>
      </c>
      <c r="AB109" s="10">
        <v>7111</v>
      </c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</row>
    <row r="110" spans="1:42">
      <c r="A110" s="24" t="s">
        <v>120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1" t="s">
        <v>12</v>
      </c>
      <c r="L110" s="11" t="s">
        <v>12</v>
      </c>
      <c r="M110" s="30"/>
      <c r="N110" s="10">
        <v>10296</v>
      </c>
      <c r="O110" s="10">
        <v>7644</v>
      </c>
      <c r="P110" s="10">
        <v>6374</v>
      </c>
      <c r="Q110" s="10">
        <v>5639</v>
      </c>
      <c r="R110" s="10">
        <v>7103</v>
      </c>
      <c r="S110" s="10">
        <v>5957</v>
      </c>
      <c r="T110" s="10">
        <v>6509</v>
      </c>
      <c r="U110" s="10">
        <v>7128</v>
      </c>
      <c r="V110" s="10">
        <v>6468</v>
      </c>
      <c r="W110" s="10">
        <v>7212</v>
      </c>
      <c r="X110" s="10">
        <v>6557</v>
      </c>
      <c r="Y110" s="10">
        <v>6004</v>
      </c>
      <c r="Z110" s="10">
        <v>5778</v>
      </c>
      <c r="AA110" s="10">
        <v>5570</v>
      </c>
      <c r="AB110" s="10">
        <v>6502</v>
      </c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</row>
    <row r="111" spans="1:42">
      <c r="A111" s="21" t="s">
        <v>121</v>
      </c>
      <c r="B111" s="22">
        <v>945763</v>
      </c>
      <c r="C111" s="22">
        <v>28365</v>
      </c>
      <c r="D111" s="22">
        <v>27061</v>
      </c>
      <c r="E111" s="22"/>
      <c r="F111" s="22"/>
      <c r="G111" s="22"/>
      <c r="H111" s="22">
        <v>805560</v>
      </c>
      <c r="I111" s="22">
        <v>31931</v>
      </c>
      <c r="J111" s="22">
        <v>28232</v>
      </c>
      <c r="K111" s="23">
        <v>30</v>
      </c>
      <c r="L111" s="23">
        <v>28.6</v>
      </c>
      <c r="M111" s="30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47"/>
      <c r="AD111" s="48">
        <f>B111</f>
        <v>945763</v>
      </c>
      <c r="AE111" s="48">
        <f>C111</f>
        <v>28365</v>
      </c>
      <c r="AF111" s="48">
        <f>D111</f>
        <v>27061</v>
      </c>
      <c r="AG111" s="47"/>
      <c r="AH111" s="53"/>
      <c r="AI111" s="53"/>
      <c r="AJ111" s="53"/>
      <c r="AK111" s="47"/>
      <c r="AL111" s="49">
        <f>C111/B111*1000</f>
        <v>29.991657529423332</v>
      </c>
      <c r="AM111" s="49">
        <f>D111/B111*1000</f>
        <v>28.612876587474872</v>
      </c>
      <c r="AN111" s="47"/>
      <c r="AO111" s="49">
        <f>AL111-K111</f>
        <v>-8.3424705766681484E-3</v>
      </c>
      <c r="AP111" s="49">
        <f>AM111-L111</f>
        <v>1.287658747487086E-2</v>
      </c>
    </row>
    <row r="112" spans="1:42">
      <c r="A112" s="21" t="s">
        <v>122</v>
      </c>
      <c r="B112" s="22">
        <v>1536781</v>
      </c>
      <c r="C112" s="22">
        <v>70386</v>
      </c>
      <c r="D112" s="22">
        <v>59393</v>
      </c>
      <c r="E112" s="22">
        <v>110179</v>
      </c>
      <c r="F112" s="22">
        <v>2597</v>
      </c>
      <c r="G112" s="22">
        <v>2476</v>
      </c>
      <c r="H112" s="22">
        <v>1497430</v>
      </c>
      <c r="I112" s="22">
        <v>68999</v>
      </c>
      <c r="J112" s="22">
        <v>58588</v>
      </c>
      <c r="K112" s="23">
        <v>46.1</v>
      </c>
      <c r="L112" s="23">
        <v>39</v>
      </c>
      <c r="M112" s="30"/>
      <c r="N112" s="22">
        <v>150567</v>
      </c>
      <c r="O112" s="22">
        <v>191444</v>
      </c>
      <c r="P112" s="22">
        <v>155723</v>
      </c>
      <c r="Q112" s="22">
        <v>62734</v>
      </c>
      <c r="R112" s="22">
        <v>98225</v>
      </c>
      <c r="S112" s="22">
        <v>145338</v>
      </c>
      <c r="T112" s="22">
        <v>44910</v>
      </c>
      <c r="U112" s="22">
        <v>128041</v>
      </c>
      <c r="V112" s="22">
        <v>131175</v>
      </c>
      <c r="W112" s="22">
        <v>69264</v>
      </c>
      <c r="X112" s="22">
        <v>102497</v>
      </c>
      <c r="Y112" s="22">
        <v>70928</v>
      </c>
      <c r="Z112" s="22">
        <v>135935</v>
      </c>
      <c r="AA112" s="22"/>
      <c r="AB112" s="22"/>
      <c r="AC112" s="47"/>
      <c r="AD112" s="48">
        <f>SUM(N112:AB112)</f>
        <v>1486781</v>
      </c>
      <c r="AE112" s="48">
        <f>SUM(N113:AB113)</f>
        <v>70386</v>
      </c>
      <c r="AF112" s="48">
        <f>SUM(N114:AB114)</f>
        <v>59393</v>
      </c>
      <c r="AG112" s="47"/>
      <c r="AH112" s="48">
        <f>AD112-B112</f>
        <v>-50000</v>
      </c>
      <c r="AI112" s="48">
        <f>AE112-C112</f>
        <v>0</v>
      </c>
      <c r="AJ112" s="48">
        <f>AF112-D112</f>
        <v>0</v>
      </c>
      <c r="AK112" s="47"/>
      <c r="AL112" s="49">
        <f>C112/B112*1000</f>
        <v>45.800930646591802</v>
      </c>
      <c r="AM112" s="49">
        <f>D112/B112*1000</f>
        <v>38.647666778805828</v>
      </c>
      <c r="AN112" s="47"/>
      <c r="AO112" s="49">
        <f>AL112-K112</f>
        <v>-0.29906935340819985</v>
      </c>
      <c r="AP112" s="49">
        <f>AM112-L112</f>
        <v>-0.3523332211941721</v>
      </c>
    </row>
    <row r="113" spans="1:42">
      <c r="A113" s="24" t="s">
        <v>123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1" t="s">
        <v>12</v>
      </c>
      <c r="L113" s="11" t="s">
        <v>12</v>
      </c>
      <c r="M113" s="30"/>
      <c r="N113" s="10">
        <v>9606</v>
      </c>
      <c r="O113" s="10">
        <v>10092</v>
      </c>
      <c r="P113" s="10">
        <v>6436</v>
      </c>
      <c r="Q113" s="10">
        <v>2912</v>
      </c>
      <c r="R113" s="10">
        <v>4054</v>
      </c>
      <c r="S113" s="10">
        <v>5935</v>
      </c>
      <c r="T113" s="10">
        <v>4376</v>
      </c>
      <c r="U113" s="10">
        <v>6000</v>
      </c>
      <c r="V113" s="10">
        <v>5087</v>
      </c>
      <c r="W113" s="10">
        <v>3180</v>
      </c>
      <c r="X113" s="10">
        <v>4298</v>
      </c>
      <c r="Y113" s="10">
        <v>3298</v>
      </c>
      <c r="Z113" s="10">
        <v>5112</v>
      </c>
      <c r="AA113" s="10"/>
      <c r="AB113" s="10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</row>
    <row r="114" spans="1:42">
      <c r="A114" s="24" t="s">
        <v>124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1" t="s">
        <v>12</v>
      </c>
      <c r="L114" s="11" t="s">
        <v>12</v>
      </c>
      <c r="M114" s="30"/>
      <c r="N114" s="10">
        <v>8448</v>
      </c>
      <c r="O114" s="10">
        <v>8181</v>
      </c>
      <c r="P114" s="10">
        <v>5423</v>
      </c>
      <c r="Q114" s="10">
        <v>2493</v>
      </c>
      <c r="R114" s="10">
        <v>3153</v>
      </c>
      <c r="S114" s="10">
        <v>5198</v>
      </c>
      <c r="T114" s="10">
        <v>3579</v>
      </c>
      <c r="U114" s="10">
        <v>4832</v>
      </c>
      <c r="V114" s="10">
        <v>4341</v>
      </c>
      <c r="W114" s="10">
        <v>2581</v>
      </c>
      <c r="X114" s="10">
        <v>3905</v>
      </c>
      <c r="Y114" s="10">
        <v>3329</v>
      </c>
      <c r="Z114" s="10">
        <v>3930</v>
      </c>
      <c r="AA114" s="10"/>
      <c r="AB114" s="10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</row>
    <row r="115" spans="1:42">
      <c r="A115" s="21" t="s">
        <v>125</v>
      </c>
      <c r="B115" s="22">
        <v>1586764</v>
      </c>
      <c r="C115" s="22">
        <v>81007</v>
      </c>
      <c r="D115" s="22">
        <v>65727</v>
      </c>
      <c r="E115" s="22">
        <v>104925</v>
      </c>
      <c r="F115" s="22">
        <v>4399</v>
      </c>
      <c r="G115" s="22">
        <v>4453</v>
      </c>
      <c r="H115" s="22">
        <v>1548272</v>
      </c>
      <c r="I115" s="22">
        <v>81545</v>
      </c>
      <c r="J115" s="22">
        <v>66678</v>
      </c>
      <c r="K115" s="23">
        <v>51</v>
      </c>
      <c r="L115" s="23">
        <v>41.4</v>
      </c>
      <c r="M115" s="30"/>
      <c r="N115" s="22">
        <v>208069</v>
      </c>
      <c r="O115" s="22">
        <v>141283</v>
      </c>
      <c r="P115" s="22">
        <v>150387</v>
      </c>
      <c r="Q115" s="22">
        <v>115720</v>
      </c>
      <c r="R115" s="22">
        <v>133892</v>
      </c>
      <c r="S115" s="22">
        <v>135445</v>
      </c>
      <c r="T115" s="22">
        <v>119520</v>
      </c>
      <c r="U115" s="22">
        <v>193690</v>
      </c>
      <c r="V115" s="22">
        <v>108078</v>
      </c>
      <c r="W115" s="22">
        <v>111134</v>
      </c>
      <c r="X115" s="22">
        <v>169546</v>
      </c>
      <c r="Y115" s="22"/>
      <c r="Z115" s="22"/>
      <c r="AA115" s="22"/>
      <c r="AB115" s="22"/>
      <c r="AC115" s="47"/>
      <c r="AD115" s="48">
        <f>SUM(N115:AB115)</f>
        <v>1586764</v>
      </c>
      <c r="AE115" s="48">
        <f>SUM(N116:AB116)</f>
        <v>81007</v>
      </c>
      <c r="AF115" s="48">
        <f>SUM(N117:AB117)</f>
        <v>65717</v>
      </c>
      <c r="AG115" s="47"/>
      <c r="AH115" s="48">
        <f>AD115-B115</f>
        <v>0</v>
      </c>
      <c r="AI115" s="48">
        <f>AE115-C115</f>
        <v>0</v>
      </c>
      <c r="AJ115" s="48">
        <f>AF115-D115</f>
        <v>-10</v>
      </c>
      <c r="AK115" s="47"/>
      <c r="AL115" s="49">
        <f>C115/B115*1000</f>
        <v>51.051700189820288</v>
      </c>
      <c r="AM115" s="49">
        <f>D115/B115*1000</f>
        <v>41.422038816106237</v>
      </c>
      <c r="AN115" s="47"/>
      <c r="AO115" s="49">
        <f>AL115-K115</f>
        <v>5.170018982028779E-2</v>
      </c>
      <c r="AP115" s="49">
        <f>AM115-L115</f>
        <v>2.2038816106238812E-2</v>
      </c>
    </row>
    <row r="116" spans="1:42">
      <c r="A116" s="24" t="s">
        <v>126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1" t="s">
        <v>12</v>
      </c>
      <c r="L116" s="11" t="s">
        <v>12</v>
      </c>
      <c r="M116" s="30"/>
      <c r="N116" s="10">
        <v>9960</v>
      </c>
      <c r="O116" s="10">
        <v>8269</v>
      </c>
      <c r="P116" s="10">
        <v>7945</v>
      </c>
      <c r="Q116" s="10">
        <v>6175</v>
      </c>
      <c r="R116" s="10">
        <v>6322</v>
      </c>
      <c r="S116" s="10">
        <v>6682</v>
      </c>
      <c r="T116" s="10">
        <v>6251</v>
      </c>
      <c r="U116" s="10">
        <v>10124</v>
      </c>
      <c r="V116" s="10">
        <v>5711</v>
      </c>
      <c r="W116" s="10">
        <v>5358</v>
      </c>
      <c r="X116" s="10">
        <v>8210</v>
      </c>
      <c r="Y116" s="10"/>
      <c r="Z116" s="10"/>
      <c r="AA116" s="10"/>
      <c r="AB116" s="10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</row>
    <row r="117" spans="1:42">
      <c r="A117" s="24" t="s">
        <v>127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1" t="s">
        <v>12</v>
      </c>
      <c r="L117" s="11" t="s">
        <v>12</v>
      </c>
      <c r="M117" s="30"/>
      <c r="N117" s="10">
        <v>8821</v>
      </c>
      <c r="O117" s="10">
        <v>6503</v>
      </c>
      <c r="P117" s="10">
        <v>6682</v>
      </c>
      <c r="Q117" s="10">
        <v>5141</v>
      </c>
      <c r="R117" s="10">
        <v>4419</v>
      </c>
      <c r="S117" s="10">
        <v>6016</v>
      </c>
      <c r="T117" s="10">
        <v>5086</v>
      </c>
      <c r="U117" s="10">
        <v>7559</v>
      </c>
      <c r="V117" s="10">
        <v>4756</v>
      </c>
      <c r="W117" s="10">
        <v>4380</v>
      </c>
      <c r="X117" s="10">
        <v>6354</v>
      </c>
      <c r="Y117" s="10"/>
      <c r="Z117" s="10"/>
      <c r="AA117" s="10"/>
      <c r="AB117" s="10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</row>
    <row r="118" spans="1:42">
      <c r="A118" s="21" t="s">
        <v>128</v>
      </c>
      <c r="B118" s="22">
        <v>1321972</v>
      </c>
      <c r="C118" s="22">
        <v>53695</v>
      </c>
      <c r="D118" s="22">
        <v>38112</v>
      </c>
      <c r="E118" s="22">
        <v>90299</v>
      </c>
      <c r="F118" s="22">
        <v>2505</v>
      </c>
      <c r="G118" s="22">
        <v>2517</v>
      </c>
      <c r="H118" s="22">
        <v>1269440</v>
      </c>
      <c r="I118" s="22">
        <v>54861</v>
      </c>
      <c r="J118" s="22">
        <v>39756</v>
      </c>
      <c r="K118" s="23">
        <v>40.6</v>
      </c>
      <c r="L118" s="23">
        <v>28.9</v>
      </c>
      <c r="M118" s="30"/>
      <c r="N118" s="22">
        <v>175050</v>
      </c>
      <c r="O118" s="22">
        <v>149159</v>
      </c>
      <c r="P118" s="22">
        <v>82425</v>
      </c>
      <c r="Q118" s="22">
        <v>101731</v>
      </c>
      <c r="R118" s="22">
        <v>70536</v>
      </c>
      <c r="S118" s="22">
        <v>119384</v>
      </c>
      <c r="T118" s="22">
        <v>91251</v>
      </c>
      <c r="U118" s="22">
        <v>192709</v>
      </c>
      <c r="V118" s="22">
        <v>96885</v>
      </c>
      <c r="W118" s="22">
        <v>94583</v>
      </c>
      <c r="X118" s="22">
        <v>148258</v>
      </c>
      <c r="Y118" s="22"/>
      <c r="Z118" s="22"/>
      <c r="AA118" s="22"/>
      <c r="AB118" s="22"/>
      <c r="AC118" s="47"/>
      <c r="AD118" s="48">
        <f>SUM(N118:AB118)</f>
        <v>1321971</v>
      </c>
      <c r="AE118" s="48">
        <f>SUM(N119:AB119)</f>
        <v>53695</v>
      </c>
      <c r="AF118" s="48">
        <f>SUM(N120:AB120)</f>
        <v>38103</v>
      </c>
      <c r="AG118" s="47"/>
      <c r="AH118" s="48">
        <f>AD118-B118</f>
        <v>-1</v>
      </c>
      <c r="AI118" s="48">
        <f>AE118-C118</f>
        <v>0</v>
      </c>
      <c r="AJ118" s="48">
        <f>AF118-D118</f>
        <v>-9</v>
      </c>
      <c r="AK118" s="47"/>
      <c r="AL118" s="49">
        <f>C118/B118*1000</f>
        <v>40.617350443125872</v>
      </c>
      <c r="AM118" s="49">
        <f>D118/B118*1000</f>
        <v>28.829657511656826</v>
      </c>
      <c r="AN118" s="47"/>
      <c r="AO118" s="49">
        <f>AL118-K118</f>
        <v>1.735044312587064E-2</v>
      </c>
      <c r="AP118" s="49">
        <f>AM118-L118</f>
        <v>-7.0342488343172249E-2</v>
      </c>
    </row>
    <row r="119" spans="1:42">
      <c r="A119" s="24" t="s">
        <v>129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1" t="s">
        <v>12</v>
      </c>
      <c r="L119" s="11" t="s">
        <v>12</v>
      </c>
      <c r="M119" s="30"/>
      <c r="N119" s="10">
        <v>5958</v>
      </c>
      <c r="O119" s="10">
        <v>5749</v>
      </c>
      <c r="P119" s="10">
        <v>3408</v>
      </c>
      <c r="Q119" s="10">
        <v>3788</v>
      </c>
      <c r="R119" s="10">
        <v>3518</v>
      </c>
      <c r="S119" s="10">
        <v>5673</v>
      </c>
      <c r="T119" s="10">
        <v>3665</v>
      </c>
      <c r="U119" s="10">
        <v>7469</v>
      </c>
      <c r="V119" s="10">
        <v>3697</v>
      </c>
      <c r="W119" s="10">
        <v>4211</v>
      </c>
      <c r="X119" s="10">
        <v>6559</v>
      </c>
      <c r="Y119" s="10"/>
      <c r="Z119" s="10"/>
      <c r="AA119" s="10"/>
      <c r="AB119" s="10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</row>
    <row r="120" spans="1:42">
      <c r="A120" s="24" t="s">
        <v>130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1" t="s">
        <v>12</v>
      </c>
      <c r="L120" s="11" t="s">
        <v>12</v>
      </c>
      <c r="M120" s="30"/>
      <c r="N120" s="10">
        <v>4743</v>
      </c>
      <c r="O120" s="10">
        <v>4413</v>
      </c>
      <c r="P120" s="10">
        <v>1952</v>
      </c>
      <c r="Q120" s="10">
        <v>3103</v>
      </c>
      <c r="R120" s="10">
        <v>2583</v>
      </c>
      <c r="S120" s="10">
        <v>3251</v>
      </c>
      <c r="T120" s="10">
        <v>2962</v>
      </c>
      <c r="U120" s="10">
        <v>5432</v>
      </c>
      <c r="V120" s="10">
        <v>3559</v>
      </c>
      <c r="W120" s="10">
        <v>2355</v>
      </c>
      <c r="X120" s="10">
        <v>3750</v>
      </c>
      <c r="Y120" s="10"/>
      <c r="Z120" s="10"/>
      <c r="AA120" s="10"/>
      <c r="AB120" s="10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</row>
    <row r="121" spans="1:42">
      <c r="A121" s="21" t="s">
        <v>131</v>
      </c>
      <c r="B121" s="22">
        <v>366476</v>
      </c>
      <c r="C121" s="22">
        <v>15492</v>
      </c>
      <c r="D121" s="22">
        <v>13696</v>
      </c>
      <c r="E121" s="22">
        <v>23951</v>
      </c>
      <c r="F121" s="22">
        <v>906</v>
      </c>
      <c r="G121" s="22">
        <v>984</v>
      </c>
      <c r="H121" s="22">
        <v>354288</v>
      </c>
      <c r="I121" s="22">
        <v>16733</v>
      </c>
      <c r="J121" s="22">
        <v>12578</v>
      </c>
      <c r="K121" s="23">
        <v>42.4</v>
      </c>
      <c r="L121" s="23">
        <v>37.4</v>
      </c>
      <c r="M121" s="30"/>
      <c r="N121" s="22">
        <v>82252</v>
      </c>
      <c r="O121" s="22">
        <v>52291</v>
      </c>
      <c r="P121" s="22">
        <v>80261</v>
      </c>
      <c r="Q121" s="22">
        <v>46209</v>
      </c>
      <c r="R121" s="22">
        <v>40735</v>
      </c>
      <c r="S121" s="22">
        <v>27547</v>
      </c>
      <c r="T121" s="22">
        <v>35183</v>
      </c>
      <c r="U121" s="22"/>
      <c r="V121" s="22"/>
      <c r="W121" s="22"/>
      <c r="X121" s="22"/>
      <c r="Y121" s="22"/>
      <c r="Z121" s="22"/>
      <c r="AA121" s="22"/>
      <c r="AB121" s="22"/>
      <c r="AC121" s="47"/>
      <c r="AD121" s="48">
        <f>SUM(N121:AB121)</f>
        <v>364478</v>
      </c>
      <c r="AE121" s="48">
        <f>SUM(N122:AB122)</f>
        <v>15492</v>
      </c>
      <c r="AF121" s="48">
        <f>SUM(N123:AB123)</f>
        <v>13696</v>
      </c>
      <c r="AG121" s="47"/>
      <c r="AH121" s="48">
        <f>AD121-B121</f>
        <v>-1998</v>
      </c>
      <c r="AI121" s="48">
        <f>AE121-C121</f>
        <v>0</v>
      </c>
      <c r="AJ121" s="48">
        <f>AF121-D121</f>
        <v>0</v>
      </c>
      <c r="AK121" s="47"/>
      <c r="AL121" s="49">
        <f>C121/B121*1000</f>
        <v>42.272890994226088</v>
      </c>
      <c r="AM121" s="49">
        <f>D121/B121*1000</f>
        <v>37.372160796341369</v>
      </c>
      <c r="AN121" s="47"/>
      <c r="AO121" s="49">
        <f>AL121-K121</f>
        <v>-0.12710900577391016</v>
      </c>
      <c r="AP121" s="49">
        <f>AM121-L121</f>
        <v>-2.7839203658629685E-2</v>
      </c>
    </row>
    <row r="122" spans="1:42">
      <c r="A122" s="24" t="s">
        <v>132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1" t="s">
        <v>12</v>
      </c>
      <c r="L122" s="11" t="s">
        <v>12</v>
      </c>
      <c r="M122" s="30"/>
      <c r="N122" s="10">
        <v>3307</v>
      </c>
      <c r="O122" s="10">
        <v>2477</v>
      </c>
      <c r="P122" s="10">
        <v>3742</v>
      </c>
      <c r="Q122" s="10">
        <v>1954</v>
      </c>
      <c r="R122" s="10">
        <v>1561</v>
      </c>
      <c r="S122" s="10">
        <v>955</v>
      </c>
      <c r="T122" s="10">
        <v>1496</v>
      </c>
      <c r="U122" s="10"/>
      <c r="V122" s="10"/>
      <c r="W122" s="10"/>
      <c r="X122" s="10"/>
      <c r="Y122" s="10"/>
      <c r="Z122" s="10"/>
      <c r="AA122" s="10"/>
      <c r="AB122" s="10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</row>
    <row r="123" spans="1:42">
      <c r="A123" s="24" t="s">
        <v>133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1" t="s">
        <v>12</v>
      </c>
      <c r="L123" s="11" t="s">
        <v>12</v>
      </c>
      <c r="M123" s="30"/>
      <c r="N123" s="10">
        <v>3130</v>
      </c>
      <c r="O123" s="10">
        <v>1869</v>
      </c>
      <c r="P123" s="10">
        <v>2804</v>
      </c>
      <c r="Q123" s="10">
        <v>1936</v>
      </c>
      <c r="R123" s="10">
        <v>1742</v>
      </c>
      <c r="S123" s="10">
        <v>829</v>
      </c>
      <c r="T123" s="10">
        <v>1386</v>
      </c>
      <c r="U123" s="10"/>
      <c r="V123" s="10"/>
      <c r="W123" s="10"/>
      <c r="X123" s="10"/>
      <c r="Y123" s="10"/>
      <c r="Z123" s="10"/>
      <c r="AA123" s="10"/>
      <c r="AB123" s="10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</row>
    <row r="124" spans="1:42">
      <c r="A124" s="21" t="s">
        <v>134</v>
      </c>
      <c r="B124" s="22">
        <v>2172255</v>
      </c>
      <c r="C124" s="22">
        <v>109253</v>
      </c>
      <c r="D124" s="22">
        <v>77254</v>
      </c>
      <c r="E124" s="22">
        <v>242859</v>
      </c>
      <c r="F124" s="22">
        <v>7485</v>
      </c>
      <c r="G124" s="22">
        <v>7711</v>
      </c>
      <c r="H124" s="22">
        <v>2077295</v>
      </c>
      <c r="I124" s="22">
        <v>104555</v>
      </c>
      <c r="J124" s="22">
        <v>78611</v>
      </c>
      <c r="K124" s="23">
        <v>50.3</v>
      </c>
      <c r="L124" s="23">
        <v>35.6</v>
      </c>
      <c r="M124" s="30"/>
      <c r="N124" s="22">
        <v>228359</v>
      </c>
      <c r="O124" s="22">
        <v>156217</v>
      </c>
      <c r="P124" s="22">
        <v>170744</v>
      </c>
      <c r="Q124" s="22">
        <v>109111</v>
      </c>
      <c r="R124" s="22">
        <v>298052</v>
      </c>
      <c r="S124" s="22">
        <v>137142</v>
      </c>
      <c r="T124" s="22">
        <v>119274</v>
      </c>
      <c r="U124" s="22">
        <v>360040</v>
      </c>
      <c r="V124" s="22">
        <v>194500</v>
      </c>
      <c r="W124" s="22">
        <v>110645</v>
      </c>
      <c r="X124" s="22">
        <v>150872</v>
      </c>
      <c r="Y124" s="22">
        <v>137299</v>
      </c>
      <c r="Z124" s="22"/>
      <c r="AA124" s="22"/>
      <c r="AB124" s="22"/>
      <c r="AC124" s="47"/>
      <c r="AD124" s="48">
        <f>SUM(N124:AB124)</f>
        <v>2172255</v>
      </c>
      <c r="AE124" s="48">
        <f>SUM(N125:AB125)</f>
        <v>109248</v>
      </c>
      <c r="AF124" s="48">
        <f>SUM(N126:AB126)</f>
        <v>77774</v>
      </c>
      <c r="AG124" s="47"/>
      <c r="AH124" s="48">
        <f>AD124-B124</f>
        <v>0</v>
      </c>
      <c r="AI124" s="48">
        <f>AE124-C124</f>
        <v>-5</v>
      </c>
      <c r="AJ124" s="48">
        <f>AF124-D124</f>
        <v>520</v>
      </c>
      <c r="AK124" s="47"/>
      <c r="AL124" s="49">
        <f>C124/B124*1000</f>
        <v>50.29473979804397</v>
      </c>
      <c r="AM124" s="49">
        <f>D124/B124*1000</f>
        <v>35.563964635827745</v>
      </c>
      <c r="AN124" s="47"/>
      <c r="AO124" s="49">
        <f>AL124-K124</f>
        <v>-5.2602019560268332E-3</v>
      </c>
      <c r="AP124" s="49">
        <f>AM124-L124</f>
        <v>-3.6035364172256834E-2</v>
      </c>
    </row>
    <row r="125" spans="1:42">
      <c r="A125" s="24" t="s">
        <v>135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1" t="s">
        <v>12</v>
      </c>
      <c r="L125" s="11" t="s">
        <v>12</v>
      </c>
      <c r="M125" s="30"/>
      <c r="N125" s="10">
        <v>10063</v>
      </c>
      <c r="O125" s="10">
        <v>7423</v>
      </c>
      <c r="P125" s="10">
        <v>10082</v>
      </c>
      <c r="Q125" s="10">
        <v>5414</v>
      </c>
      <c r="R125" s="10">
        <v>16060</v>
      </c>
      <c r="S125" s="10">
        <v>7528</v>
      </c>
      <c r="T125" s="10">
        <v>5074</v>
      </c>
      <c r="U125" s="10">
        <v>17001</v>
      </c>
      <c r="V125" s="10">
        <v>9202</v>
      </c>
      <c r="W125" s="10">
        <v>5428</v>
      </c>
      <c r="X125" s="10">
        <v>8452</v>
      </c>
      <c r="Y125" s="10">
        <v>7521</v>
      </c>
      <c r="Z125" s="10"/>
      <c r="AA125" s="10"/>
      <c r="AB125" s="10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</row>
    <row r="126" spans="1:42">
      <c r="A126" s="24" t="s">
        <v>136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1" t="s">
        <v>12</v>
      </c>
      <c r="L126" s="11" t="s">
        <v>12</v>
      </c>
      <c r="M126" s="30"/>
      <c r="N126" s="10">
        <v>9876</v>
      </c>
      <c r="O126" s="10">
        <v>5412</v>
      </c>
      <c r="P126" s="10">
        <v>8499</v>
      </c>
      <c r="Q126" s="10">
        <v>3304</v>
      </c>
      <c r="R126" s="10">
        <v>10634</v>
      </c>
      <c r="S126" s="10">
        <v>4433</v>
      </c>
      <c r="T126" s="10">
        <v>3907</v>
      </c>
      <c r="U126" s="10">
        <v>10573</v>
      </c>
      <c r="V126" s="10">
        <v>6622</v>
      </c>
      <c r="W126" s="10">
        <v>5412</v>
      </c>
      <c r="X126" s="10">
        <v>4998</v>
      </c>
      <c r="Y126" s="10">
        <v>4104</v>
      </c>
      <c r="Z126" s="10"/>
      <c r="AA126" s="10"/>
      <c r="AB126" s="10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</row>
    <row r="127" spans="1:42">
      <c r="A127" s="21" t="s">
        <v>137</v>
      </c>
      <c r="B127" s="22">
        <v>1601499</v>
      </c>
      <c r="C127" s="22">
        <v>79245</v>
      </c>
      <c r="D127" s="22">
        <v>68298</v>
      </c>
      <c r="E127" s="22">
        <v>122150</v>
      </c>
      <c r="F127" s="22">
        <v>6090</v>
      </c>
      <c r="G127" s="22">
        <v>5476</v>
      </c>
      <c r="H127" s="22">
        <v>1575536</v>
      </c>
      <c r="I127" s="22">
        <v>80353</v>
      </c>
      <c r="J127" s="22">
        <v>66142</v>
      </c>
      <c r="K127" s="23">
        <v>49.5</v>
      </c>
      <c r="L127" s="23">
        <v>42.1</v>
      </c>
      <c r="M127" s="30"/>
      <c r="N127" s="22">
        <v>163257</v>
      </c>
      <c r="O127" s="22">
        <v>176652</v>
      </c>
      <c r="P127" s="22">
        <v>213092</v>
      </c>
      <c r="Q127" s="22">
        <v>135908</v>
      </c>
      <c r="R127" s="22">
        <v>184971</v>
      </c>
      <c r="S127" s="22">
        <v>115456</v>
      </c>
      <c r="T127" s="22">
        <v>131307</v>
      </c>
      <c r="U127" s="22">
        <v>167214</v>
      </c>
      <c r="V127" s="22">
        <v>158001</v>
      </c>
      <c r="W127" s="22">
        <v>155641</v>
      </c>
      <c r="X127" s="22"/>
      <c r="Y127" s="22"/>
      <c r="Z127" s="22"/>
      <c r="AA127" s="22"/>
      <c r="AB127" s="22"/>
      <c r="AC127" s="47"/>
      <c r="AD127" s="48">
        <f>SUM(N127:AB127)</f>
        <v>1601499</v>
      </c>
      <c r="AE127" s="48">
        <f>SUM(N128:AB128)</f>
        <v>79202</v>
      </c>
      <c r="AF127" s="48">
        <f>SUM(N129:AB129)</f>
        <v>68298</v>
      </c>
      <c r="AG127" s="47"/>
      <c r="AH127" s="48">
        <f>AD127-B127</f>
        <v>0</v>
      </c>
      <c r="AI127" s="48">
        <f>AE127-C127</f>
        <v>-43</v>
      </c>
      <c r="AJ127" s="48">
        <f>AF127-D127</f>
        <v>0</v>
      </c>
      <c r="AK127" s="47"/>
      <c r="AL127" s="49">
        <f>C127/B127*1000</f>
        <v>49.481766769757577</v>
      </c>
      <c r="AM127" s="49">
        <f>D127/B127*1000</f>
        <v>42.646295751667658</v>
      </c>
      <c r="AN127" s="47"/>
      <c r="AO127" s="49">
        <f>AL127-K127</f>
        <v>-1.8233230242422849E-2</v>
      </c>
      <c r="AP127" s="49">
        <f>AM127-L127</f>
        <v>0.54629575166765676</v>
      </c>
    </row>
    <row r="128" spans="1:42">
      <c r="A128" s="24" t="s">
        <v>138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1" t="s">
        <v>12</v>
      </c>
      <c r="L128" s="11" t="s">
        <v>12</v>
      </c>
      <c r="M128" s="30"/>
      <c r="N128" s="10">
        <v>8725</v>
      </c>
      <c r="O128" s="10">
        <v>8958</v>
      </c>
      <c r="P128" s="10">
        <v>10230</v>
      </c>
      <c r="Q128" s="10">
        <v>5217</v>
      </c>
      <c r="R128" s="10">
        <v>9260</v>
      </c>
      <c r="S128" s="10">
        <v>6672</v>
      </c>
      <c r="T128" s="10">
        <v>6378</v>
      </c>
      <c r="U128" s="10">
        <v>8211</v>
      </c>
      <c r="V128" s="10">
        <v>7048</v>
      </c>
      <c r="W128" s="10">
        <v>8503</v>
      </c>
      <c r="X128" s="10"/>
      <c r="Y128" s="10"/>
      <c r="Z128" s="10"/>
      <c r="AA128" s="10"/>
      <c r="AB128" s="10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</row>
    <row r="129" spans="1:42">
      <c r="A129" s="24" t="s">
        <v>139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1" t="s">
        <v>12</v>
      </c>
      <c r="L129" s="11" t="s">
        <v>12</v>
      </c>
      <c r="M129" s="30"/>
      <c r="N129" s="10">
        <v>7514</v>
      </c>
      <c r="O129" s="10">
        <v>8147</v>
      </c>
      <c r="P129" s="10">
        <v>7524</v>
      </c>
      <c r="Q129" s="10">
        <v>5152</v>
      </c>
      <c r="R129" s="10">
        <v>7118</v>
      </c>
      <c r="S129" s="10">
        <v>5447</v>
      </c>
      <c r="T129" s="10">
        <v>6080</v>
      </c>
      <c r="U129" s="10">
        <v>6669</v>
      </c>
      <c r="V129" s="10">
        <v>6491</v>
      </c>
      <c r="W129" s="10">
        <v>8156</v>
      </c>
      <c r="X129" s="10"/>
      <c r="Y129" s="10"/>
      <c r="Z129" s="10"/>
      <c r="AA129" s="10"/>
      <c r="AB129" s="10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</row>
    <row r="130" spans="1:42">
      <c r="A130" s="21" t="s">
        <v>140</v>
      </c>
      <c r="B130" s="22">
        <v>2861806</v>
      </c>
      <c r="C130" s="22">
        <v>150520</v>
      </c>
      <c r="D130" s="22">
        <v>102515</v>
      </c>
      <c r="E130" s="22">
        <v>149170</v>
      </c>
      <c r="F130" s="22">
        <v>5390</v>
      </c>
      <c r="G130" s="22">
        <v>4576</v>
      </c>
      <c r="H130" s="22">
        <v>2773853</v>
      </c>
      <c r="I130" s="22">
        <v>149956</v>
      </c>
      <c r="J130" s="22">
        <v>123462</v>
      </c>
      <c r="K130" s="23">
        <v>52.5</v>
      </c>
      <c r="L130" s="23">
        <v>35.799999999999997</v>
      </c>
      <c r="M130" s="30"/>
      <c r="N130" s="22">
        <v>236978</v>
      </c>
      <c r="O130" s="22">
        <v>233433</v>
      </c>
      <c r="P130" s="22">
        <v>401266</v>
      </c>
      <c r="Q130" s="22">
        <v>148394</v>
      </c>
      <c r="R130" s="22">
        <v>260471</v>
      </c>
      <c r="S130" s="22">
        <v>243419</v>
      </c>
      <c r="T130" s="22">
        <v>127551</v>
      </c>
      <c r="U130" s="22">
        <v>291739</v>
      </c>
      <c r="V130" s="22">
        <v>264717</v>
      </c>
      <c r="W130" s="22">
        <v>221955</v>
      </c>
      <c r="X130" s="22">
        <v>96571</v>
      </c>
      <c r="Y130" s="22">
        <v>335312</v>
      </c>
      <c r="Z130" s="22"/>
      <c r="AA130" s="22"/>
      <c r="AB130" s="22"/>
      <c r="AC130" s="47"/>
      <c r="AD130" s="48">
        <f>SUM(N130:AB130)</f>
        <v>2861806</v>
      </c>
      <c r="AE130" s="48">
        <f>SUM(N131:AB131)</f>
        <v>150520</v>
      </c>
      <c r="AF130" s="48">
        <f>SUM(N132:AB132)</f>
        <v>102515</v>
      </c>
      <c r="AG130" s="47"/>
      <c r="AH130" s="48">
        <f>AD130-B130</f>
        <v>0</v>
      </c>
      <c r="AI130" s="48">
        <f>AE130-C130</f>
        <v>0</v>
      </c>
      <c r="AJ130" s="48">
        <f>AF130-D130</f>
        <v>0</v>
      </c>
      <c r="AK130" s="47"/>
      <c r="AL130" s="49">
        <f>C130/B130*1000</f>
        <v>52.596157810836928</v>
      </c>
      <c r="AM130" s="49">
        <f>D130/B130*1000</f>
        <v>35.821785264270183</v>
      </c>
      <c r="AN130" s="47"/>
      <c r="AO130" s="49">
        <f>AL130-K130</f>
        <v>9.6157810836928093E-2</v>
      </c>
      <c r="AP130" s="49">
        <f>AM130-L130</f>
        <v>2.1785264270185678E-2</v>
      </c>
    </row>
    <row r="131" spans="1:42">
      <c r="A131" s="24" t="s">
        <v>141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1" t="s">
        <v>12</v>
      </c>
      <c r="L131" s="11" t="s">
        <v>12</v>
      </c>
      <c r="M131" s="30"/>
      <c r="N131" s="10">
        <v>13429</v>
      </c>
      <c r="O131" s="10">
        <v>13178</v>
      </c>
      <c r="P131" s="10">
        <v>20609</v>
      </c>
      <c r="Q131" s="10">
        <v>8976</v>
      </c>
      <c r="R131" s="10">
        <v>12615</v>
      </c>
      <c r="S131" s="10">
        <v>12553</v>
      </c>
      <c r="T131" s="10">
        <v>7911</v>
      </c>
      <c r="U131" s="10">
        <v>16130</v>
      </c>
      <c r="V131" s="10">
        <v>12856</v>
      </c>
      <c r="W131" s="10">
        <v>12721</v>
      </c>
      <c r="X131" s="10">
        <v>6051</v>
      </c>
      <c r="Y131" s="10">
        <v>13491</v>
      </c>
      <c r="Z131" s="10"/>
      <c r="AA131" s="10"/>
      <c r="AB131" s="10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</row>
    <row r="132" spans="1:42">
      <c r="A132" s="24" t="s">
        <v>142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1" t="s">
        <v>12</v>
      </c>
      <c r="L132" s="11" t="s">
        <v>12</v>
      </c>
      <c r="M132" s="30"/>
      <c r="N132" s="10">
        <v>9491</v>
      </c>
      <c r="O132" s="10">
        <v>9859</v>
      </c>
      <c r="P132" s="10">
        <v>14408</v>
      </c>
      <c r="Q132" s="10">
        <v>6246</v>
      </c>
      <c r="R132" s="10">
        <v>8839</v>
      </c>
      <c r="S132" s="10">
        <v>8869</v>
      </c>
      <c r="T132" s="10">
        <v>6112</v>
      </c>
      <c r="U132" s="10">
        <v>10392</v>
      </c>
      <c r="V132" s="10">
        <v>8248</v>
      </c>
      <c r="W132" s="10">
        <v>7823</v>
      </c>
      <c r="X132" s="10">
        <v>2410</v>
      </c>
      <c r="Y132" s="10">
        <v>9818</v>
      </c>
      <c r="Z132" s="10"/>
      <c r="AA132" s="10"/>
      <c r="AB132" s="10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</row>
    <row r="133" spans="1:42">
      <c r="A133" s="21" t="s">
        <v>143</v>
      </c>
      <c r="B133" s="22">
        <v>3039578</v>
      </c>
      <c r="C133" s="22">
        <v>130243</v>
      </c>
      <c r="D133" s="22">
        <v>74364</v>
      </c>
      <c r="E133" s="22">
        <v>257518</v>
      </c>
      <c r="F133" s="22">
        <v>10472</v>
      </c>
      <c r="G133" s="22">
        <v>7289</v>
      </c>
      <c r="H133" s="22">
        <v>2871117</v>
      </c>
      <c r="I133" s="22">
        <v>130571</v>
      </c>
      <c r="J133" s="22">
        <v>83512</v>
      </c>
      <c r="K133" s="23">
        <v>42.8</v>
      </c>
      <c r="L133" s="23">
        <v>23.5</v>
      </c>
      <c r="M133" s="30"/>
      <c r="N133" s="22">
        <v>242894</v>
      </c>
      <c r="O133" s="22">
        <v>179653</v>
      </c>
      <c r="P133" s="22">
        <v>246378</v>
      </c>
      <c r="Q133" s="22">
        <v>157484</v>
      </c>
      <c r="R133" s="22">
        <v>260053</v>
      </c>
      <c r="S133" s="22">
        <v>214035</v>
      </c>
      <c r="T133" s="22">
        <v>254612</v>
      </c>
      <c r="U133" s="22">
        <v>158564</v>
      </c>
      <c r="V133" s="22">
        <v>140926</v>
      </c>
      <c r="W133" s="22">
        <v>172107</v>
      </c>
      <c r="X133" s="22">
        <v>211833</v>
      </c>
      <c r="Y133" s="22">
        <v>177209</v>
      </c>
      <c r="Z133" s="22">
        <v>224259</v>
      </c>
      <c r="AA133" s="22">
        <v>218450</v>
      </c>
      <c r="AB133" s="22">
        <v>181023</v>
      </c>
      <c r="AC133" s="47"/>
      <c r="AD133" s="48">
        <f>SUM(N133:AB133)</f>
        <v>3039480</v>
      </c>
      <c r="AE133" s="48">
        <f>SUM(N134:AB134)</f>
        <v>130243</v>
      </c>
      <c r="AF133" s="48">
        <f>SUM(N135:AB135)</f>
        <v>74364</v>
      </c>
      <c r="AG133" s="47"/>
      <c r="AH133" s="48">
        <f>AD133-B133</f>
        <v>-98</v>
      </c>
      <c r="AI133" s="48">
        <f>AE133-C133</f>
        <v>0</v>
      </c>
      <c r="AJ133" s="48">
        <f>AF133-D133</f>
        <v>0</v>
      </c>
      <c r="AK133" s="47"/>
      <c r="AL133" s="49">
        <f>C133/B133*1000</f>
        <v>42.849040228610683</v>
      </c>
      <c r="AM133" s="49">
        <f>D133/B133*1000</f>
        <v>24.4652382666278</v>
      </c>
      <c r="AN133" s="47"/>
      <c r="AO133" s="49">
        <f>AL133-K133</f>
        <v>4.9040228610685688E-2</v>
      </c>
      <c r="AP133" s="49">
        <f>AM133-L133</f>
        <v>0.9652382666278001</v>
      </c>
    </row>
    <row r="134" spans="1:42">
      <c r="A134" s="24" t="s">
        <v>144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1" t="s">
        <v>12</v>
      </c>
      <c r="L134" s="11" t="s">
        <v>12</v>
      </c>
      <c r="M134" s="30"/>
      <c r="N134" s="10">
        <v>9976</v>
      </c>
      <c r="O134" s="10">
        <v>7562</v>
      </c>
      <c r="P134" s="10">
        <v>10868</v>
      </c>
      <c r="Q134" s="10">
        <v>6474</v>
      </c>
      <c r="R134" s="10">
        <v>9439</v>
      </c>
      <c r="S134" s="10">
        <v>11798</v>
      </c>
      <c r="T134" s="10">
        <v>10605</v>
      </c>
      <c r="U134" s="10">
        <v>6779</v>
      </c>
      <c r="V134" s="10">
        <v>6308</v>
      </c>
      <c r="W134" s="10">
        <v>7281</v>
      </c>
      <c r="X134" s="10">
        <v>9710</v>
      </c>
      <c r="Y134" s="10">
        <v>7729</v>
      </c>
      <c r="Z134" s="10">
        <v>8950</v>
      </c>
      <c r="AA134" s="10">
        <v>9127</v>
      </c>
      <c r="AB134" s="10">
        <v>7637</v>
      </c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</row>
    <row r="135" spans="1:42">
      <c r="A135" s="24" t="s">
        <v>145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1" t="s">
        <v>12</v>
      </c>
      <c r="L135" s="11" t="s">
        <v>12</v>
      </c>
      <c r="M135" s="30"/>
      <c r="N135" s="10">
        <v>5809</v>
      </c>
      <c r="O135" s="10">
        <v>4413</v>
      </c>
      <c r="P135" s="10">
        <v>5876</v>
      </c>
      <c r="Q135" s="10">
        <v>3154</v>
      </c>
      <c r="R135" s="10">
        <v>5106</v>
      </c>
      <c r="S135" s="10">
        <v>5662</v>
      </c>
      <c r="T135" s="10">
        <v>6646</v>
      </c>
      <c r="U135" s="10">
        <v>3923</v>
      </c>
      <c r="V135" s="10">
        <v>3991</v>
      </c>
      <c r="W135" s="10">
        <v>4228</v>
      </c>
      <c r="X135" s="10">
        <v>4954</v>
      </c>
      <c r="Y135" s="10">
        <v>5457</v>
      </c>
      <c r="Z135" s="10">
        <v>5386</v>
      </c>
      <c r="AA135" s="10">
        <v>5112</v>
      </c>
      <c r="AB135" s="10">
        <v>4647</v>
      </c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</row>
    <row r="136" spans="1:42">
      <c r="A136" s="21" t="s">
        <v>146</v>
      </c>
      <c r="B136" s="22">
        <v>1077670</v>
      </c>
      <c r="C136" s="22">
        <v>48400</v>
      </c>
      <c r="D136" s="22">
        <v>36808</v>
      </c>
      <c r="E136" s="22">
        <v>60916</v>
      </c>
      <c r="F136" s="22">
        <v>1920</v>
      </c>
      <c r="G136" s="22">
        <v>1842</v>
      </c>
      <c r="H136" s="22">
        <v>1013705</v>
      </c>
      <c r="I136" s="22">
        <v>49787</v>
      </c>
      <c r="J136" s="22">
        <v>33514</v>
      </c>
      <c r="K136" s="23">
        <v>45</v>
      </c>
      <c r="L136" s="23">
        <v>34.1</v>
      </c>
      <c r="M136" s="30"/>
      <c r="N136" s="22">
        <v>225913</v>
      </c>
      <c r="O136" s="22">
        <v>116347</v>
      </c>
      <c r="P136" s="22">
        <v>108677</v>
      </c>
      <c r="Q136" s="22">
        <v>133532</v>
      </c>
      <c r="R136" s="22">
        <v>165086</v>
      </c>
      <c r="S136" s="22">
        <v>171122</v>
      </c>
      <c r="T136" s="22">
        <v>79882</v>
      </c>
      <c r="U136" s="22">
        <v>77105</v>
      </c>
      <c r="V136" s="22"/>
      <c r="W136" s="22"/>
      <c r="X136" s="22"/>
      <c r="Y136" s="22"/>
      <c r="Z136" s="22"/>
      <c r="AA136" s="22"/>
      <c r="AB136" s="22"/>
      <c r="AC136" s="47"/>
      <c r="AD136" s="48">
        <f>SUM(N136:AB136)</f>
        <v>1077664</v>
      </c>
      <c r="AE136" s="48">
        <f>SUM(N137:AB137)</f>
        <v>48400</v>
      </c>
      <c r="AF136" s="48">
        <f>SUM(N138:AB138)</f>
        <v>36808</v>
      </c>
      <c r="AG136" s="47"/>
      <c r="AH136" s="48">
        <f>AD136-B136</f>
        <v>-6</v>
      </c>
      <c r="AI136" s="48">
        <f>AE136-C136</f>
        <v>0</v>
      </c>
      <c r="AJ136" s="48">
        <f>AF136-D136</f>
        <v>0</v>
      </c>
      <c r="AK136" s="47"/>
      <c r="AL136" s="49">
        <f>C136/B136*1000</f>
        <v>44.911707665611921</v>
      </c>
      <c r="AM136" s="49">
        <f>D136/B136*1000</f>
        <v>34.155168094129003</v>
      </c>
      <c r="AN136" s="47"/>
      <c r="AO136" s="49">
        <f>AL136-K136</f>
        <v>-8.8292334388079041E-2</v>
      </c>
      <c r="AP136" s="49">
        <f>AM136-L136</f>
        <v>5.5168094129001588E-2</v>
      </c>
    </row>
    <row r="137" spans="1:42">
      <c r="A137" s="24" t="s">
        <v>147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1" t="s">
        <v>12</v>
      </c>
      <c r="L137" s="11" t="s">
        <v>12</v>
      </c>
      <c r="M137" s="30"/>
      <c r="N137" s="10">
        <v>9179</v>
      </c>
      <c r="O137" s="10">
        <v>5933</v>
      </c>
      <c r="P137" s="10">
        <v>5088</v>
      </c>
      <c r="Q137" s="10">
        <v>6024</v>
      </c>
      <c r="R137" s="10">
        <v>7066</v>
      </c>
      <c r="S137" s="10">
        <v>6875</v>
      </c>
      <c r="T137" s="10">
        <v>4317</v>
      </c>
      <c r="U137" s="10">
        <v>3918</v>
      </c>
      <c r="V137" s="10"/>
      <c r="W137" s="10"/>
      <c r="X137" s="10"/>
      <c r="Y137" s="10"/>
      <c r="Z137" s="10"/>
      <c r="AA137" s="10"/>
      <c r="AB137" s="10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</row>
    <row r="138" spans="1:42">
      <c r="A138" s="24" t="s">
        <v>148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1" t="s">
        <v>12</v>
      </c>
      <c r="L138" s="11" t="s">
        <v>12</v>
      </c>
      <c r="M138" s="30"/>
      <c r="N138" s="10">
        <v>6988</v>
      </c>
      <c r="O138" s="10">
        <v>4583</v>
      </c>
      <c r="P138" s="10">
        <v>3526</v>
      </c>
      <c r="Q138" s="10">
        <v>4197</v>
      </c>
      <c r="R138" s="10">
        <v>5174</v>
      </c>
      <c r="S138" s="10">
        <v>5854</v>
      </c>
      <c r="T138" s="10">
        <v>3079</v>
      </c>
      <c r="U138" s="10">
        <v>3407</v>
      </c>
      <c r="V138" s="10"/>
      <c r="W138" s="10"/>
      <c r="X138" s="10"/>
      <c r="Y138" s="10"/>
      <c r="Z138" s="10"/>
      <c r="AA138" s="10"/>
      <c r="AB138" s="10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</row>
    <row r="139" spans="1:42">
      <c r="A139" s="21" t="s">
        <v>149</v>
      </c>
      <c r="B139" s="22">
        <v>1927417</v>
      </c>
      <c r="C139" s="22">
        <v>92176</v>
      </c>
      <c r="D139" s="22">
        <v>66912</v>
      </c>
      <c r="E139" s="22">
        <v>112917</v>
      </c>
      <c r="F139" s="22">
        <v>5534</v>
      </c>
      <c r="G139" s="22">
        <v>4908</v>
      </c>
      <c r="H139" s="22">
        <v>1909802</v>
      </c>
      <c r="I139" s="22">
        <v>91084</v>
      </c>
      <c r="J139" s="22">
        <v>66083</v>
      </c>
      <c r="K139" s="23">
        <v>47.8</v>
      </c>
      <c r="L139" s="23">
        <v>34.700000000000003</v>
      </c>
      <c r="M139" s="30"/>
      <c r="N139" s="22">
        <v>224194</v>
      </c>
      <c r="O139" s="22">
        <v>110394</v>
      </c>
      <c r="P139" s="22">
        <v>157664</v>
      </c>
      <c r="Q139" s="22">
        <v>184063</v>
      </c>
      <c r="R139" s="22">
        <v>147546</v>
      </c>
      <c r="S139" s="22">
        <v>161240</v>
      </c>
      <c r="T139" s="22">
        <v>122175</v>
      </c>
      <c r="U139" s="22">
        <v>155726</v>
      </c>
      <c r="V139" s="22">
        <v>144870</v>
      </c>
      <c r="W139" s="22">
        <v>166125</v>
      </c>
      <c r="X139" s="22">
        <v>185622</v>
      </c>
      <c r="Y139" s="22">
        <v>167798</v>
      </c>
      <c r="Z139" s="22"/>
      <c r="AA139" s="22"/>
      <c r="AB139" s="22"/>
      <c r="AC139" s="47"/>
      <c r="AD139" s="48">
        <f>SUM(N139:AB139)</f>
        <v>1927417</v>
      </c>
      <c r="AE139" s="48">
        <f>SUM(N140:AB140)</f>
        <v>92176</v>
      </c>
      <c r="AF139" s="48">
        <f>SUM(N141:AB141)</f>
        <v>66912</v>
      </c>
      <c r="AG139" s="47"/>
      <c r="AH139" s="48">
        <f>AD139-B139</f>
        <v>0</v>
      </c>
      <c r="AI139" s="48">
        <f>AE139-C139</f>
        <v>0</v>
      </c>
      <c r="AJ139" s="48">
        <f>AF139-D139</f>
        <v>0</v>
      </c>
      <c r="AK139" s="47"/>
      <c r="AL139" s="49">
        <f>C139/B139*1000</f>
        <v>47.823589809574159</v>
      </c>
      <c r="AM139" s="49">
        <f>D139/B139*1000</f>
        <v>34.715891786779927</v>
      </c>
      <c r="AN139" s="47"/>
      <c r="AO139" s="49">
        <f>AL139-K139</f>
        <v>2.3589809574161791E-2</v>
      </c>
      <c r="AP139" s="49">
        <f>AM139-L139</f>
        <v>1.5891786779924644E-2</v>
      </c>
    </row>
    <row r="140" spans="1:42">
      <c r="A140" s="24" t="s">
        <v>150</v>
      </c>
      <c r="B140" s="10"/>
      <c r="C140" s="10"/>
      <c r="D140" s="10"/>
      <c r="E140" s="10"/>
      <c r="F140" s="10"/>
      <c r="G140" s="10"/>
      <c r="H140" s="10"/>
      <c r="I140" s="10"/>
      <c r="J140" s="10"/>
      <c r="K140" s="11" t="s">
        <v>12</v>
      </c>
      <c r="L140" s="11" t="s">
        <v>12</v>
      </c>
      <c r="M140" s="30"/>
      <c r="N140" s="10">
        <v>10044</v>
      </c>
      <c r="O140" s="10">
        <v>5663</v>
      </c>
      <c r="P140" s="10">
        <v>7998</v>
      </c>
      <c r="Q140" s="10">
        <v>8041</v>
      </c>
      <c r="R140" s="10">
        <v>5754</v>
      </c>
      <c r="S140" s="10">
        <v>8231</v>
      </c>
      <c r="T140" s="10">
        <v>5579</v>
      </c>
      <c r="U140" s="10">
        <v>8247</v>
      </c>
      <c r="V140" s="10">
        <v>7458</v>
      </c>
      <c r="W140" s="10">
        <v>8250</v>
      </c>
      <c r="X140" s="10">
        <v>9144</v>
      </c>
      <c r="Y140" s="10">
        <v>7767</v>
      </c>
      <c r="Z140" s="10"/>
      <c r="AA140" s="10"/>
      <c r="AB140" s="10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</row>
    <row r="141" spans="1:42">
      <c r="A141" s="24" t="s">
        <v>151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1" t="s">
        <v>12</v>
      </c>
      <c r="L141" s="11" t="s">
        <v>12</v>
      </c>
      <c r="M141" s="30"/>
      <c r="N141" s="10">
        <v>7443</v>
      </c>
      <c r="O141" s="10">
        <v>4206</v>
      </c>
      <c r="P141" s="10">
        <v>6050</v>
      </c>
      <c r="Q141" s="10">
        <v>5631</v>
      </c>
      <c r="R141" s="10">
        <v>4254</v>
      </c>
      <c r="S141" s="10">
        <v>5729</v>
      </c>
      <c r="T141" s="10">
        <v>3729</v>
      </c>
      <c r="U141" s="10">
        <v>6508</v>
      </c>
      <c r="V141" s="10">
        <v>5985</v>
      </c>
      <c r="W141" s="10">
        <v>5704</v>
      </c>
      <c r="X141" s="10">
        <v>6258</v>
      </c>
      <c r="Y141" s="10">
        <v>5415</v>
      </c>
      <c r="Z141" s="10"/>
      <c r="AA141" s="10"/>
      <c r="AB141" s="10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</row>
    <row r="142" spans="1:42">
      <c r="A142" s="21" t="s">
        <v>152</v>
      </c>
      <c r="B142" s="22">
        <v>2663223</v>
      </c>
      <c r="C142" s="22">
        <v>145852</v>
      </c>
      <c r="D142" s="22">
        <v>133209</v>
      </c>
      <c r="E142" s="22">
        <v>166734</v>
      </c>
      <c r="F142" s="22">
        <v>6976</v>
      </c>
      <c r="G142" s="22">
        <v>8161</v>
      </c>
      <c r="H142" s="22">
        <v>2618617</v>
      </c>
      <c r="I142" s="22">
        <v>146178</v>
      </c>
      <c r="J142" s="22">
        <v>115436</v>
      </c>
      <c r="K142" s="23">
        <v>54.7</v>
      </c>
      <c r="L142" s="23">
        <v>50</v>
      </c>
      <c r="M142" s="30"/>
      <c r="N142" s="22">
        <v>342589</v>
      </c>
      <c r="O142" s="22">
        <v>297200</v>
      </c>
      <c r="P142" s="22">
        <v>386720</v>
      </c>
      <c r="Q142" s="22">
        <v>452674</v>
      </c>
      <c r="R142" s="22">
        <v>504485</v>
      </c>
      <c r="S142" s="22">
        <v>405550</v>
      </c>
      <c r="T142" s="22">
        <v>274005</v>
      </c>
      <c r="U142" s="22"/>
      <c r="V142" s="22"/>
      <c r="W142" s="22"/>
      <c r="X142" s="22"/>
      <c r="Y142" s="22"/>
      <c r="Z142" s="22"/>
      <c r="AA142" s="22"/>
      <c r="AB142" s="22"/>
      <c r="AC142" s="47"/>
      <c r="AD142" s="48">
        <f>SUM(N142:AB142)</f>
        <v>2663223</v>
      </c>
      <c r="AE142" s="48">
        <f>SUM(N143:AB143)</f>
        <v>155852</v>
      </c>
      <c r="AF142" s="48">
        <f>SUM(N144:AB144)</f>
        <v>133209</v>
      </c>
      <c r="AG142" s="47"/>
      <c r="AH142" s="48">
        <f>AD142-B142</f>
        <v>0</v>
      </c>
      <c r="AI142" s="48">
        <f>AE142-C142</f>
        <v>10000</v>
      </c>
      <c r="AJ142" s="48">
        <f>AF142-D142</f>
        <v>0</v>
      </c>
      <c r="AK142" s="47"/>
      <c r="AL142" s="49">
        <f>C142/B142*1000</f>
        <v>54.765222439127328</v>
      </c>
      <c r="AM142" s="49">
        <f>D142/B142*1000</f>
        <v>50.017966952072733</v>
      </c>
      <c r="AN142" s="47"/>
      <c r="AO142" s="49">
        <f>AL142-K142</f>
        <v>6.522243912732506E-2</v>
      </c>
      <c r="AP142" s="49">
        <f>AM142-L142</f>
        <v>1.7966952072733022E-2</v>
      </c>
    </row>
    <row r="143" spans="1:42">
      <c r="A143" s="24" t="s">
        <v>153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1" t="s">
        <v>12</v>
      </c>
      <c r="L143" s="11" t="s">
        <v>12</v>
      </c>
      <c r="M143" s="30"/>
      <c r="N143" s="10">
        <v>17630</v>
      </c>
      <c r="O143" s="10">
        <v>13520</v>
      </c>
      <c r="P143" s="10">
        <v>30253</v>
      </c>
      <c r="Q143" s="10">
        <v>26134</v>
      </c>
      <c r="R143" s="10">
        <v>29047</v>
      </c>
      <c r="S143" s="10">
        <v>24547</v>
      </c>
      <c r="T143" s="10">
        <v>14721</v>
      </c>
      <c r="U143" s="10"/>
      <c r="V143" s="10"/>
      <c r="W143" s="10"/>
      <c r="X143" s="10"/>
      <c r="Y143" s="10"/>
      <c r="Z143" s="10"/>
      <c r="AA143" s="10"/>
      <c r="AB143" s="10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</row>
    <row r="144" spans="1:42">
      <c r="A144" s="24" t="s">
        <v>154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1" t="s">
        <v>12</v>
      </c>
      <c r="L144" s="11" t="s">
        <v>12</v>
      </c>
      <c r="M144" s="30"/>
      <c r="N144" s="10">
        <v>19856</v>
      </c>
      <c r="O144" s="10">
        <v>10857</v>
      </c>
      <c r="P144" s="10">
        <v>18836</v>
      </c>
      <c r="Q144" s="10">
        <v>25577</v>
      </c>
      <c r="R144" s="10">
        <v>26810</v>
      </c>
      <c r="S144" s="10">
        <v>15631</v>
      </c>
      <c r="T144" s="10">
        <v>15642</v>
      </c>
      <c r="U144" s="10"/>
      <c r="V144" s="10"/>
      <c r="W144" s="10"/>
      <c r="X144" s="10"/>
      <c r="Y144" s="10"/>
      <c r="Z144" s="10"/>
      <c r="AA144" s="10"/>
      <c r="AB144" s="10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</row>
    <row r="145" spans="1:42">
      <c r="A145" s="21" t="s">
        <v>155</v>
      </c>
      <c r="B145" s="22">
        <v>956226</v>
      </c>
      <c r="C145" s="22">
        <v>30156</v>
      </c>
      <c r="D145" s="22">
        <v>25405</v>
      </c>
      <c r="E145" s="22"/>
      <c r="F145" s="22"/>
      <c r="G145" s="22"/>
      <c r="H145" s="22">
        <v>943166</v>
      </c>
      <c r="I145" s="22">
        <v>29424</v>
      </c>
      <c r="J145" s="22">
        <v>26286</v>
      </c>
      <c r="K145" s="23">
        <v>31.5</v>
      </c>
      <c r="L145" s="23">
        <v>26.6</v>
      </c>
      <c r="M145" s="30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47"/>
      <c r="AD145" s="48">
        <f>B145</f>
        <v>956226</v>
      </c>
      <c r="AE145" s="48">
        <f>C145</f>
        <v>30156</v>
      </c>
      <c r="AF145" s="48">
        <f>D145</f>
        <v>25405</v>
      </c>
      <c r="AG145" s="47"/>
      <c r="AH145" s="53"/>
      <c r="AI145" s="53"/>
      <c r="AJ145" s="53"/>
      <c r="AK145" s="47"/>
      <c r="AL145" s="49">
        <f>C145/B145*1000</f>
        <v>31.536477778265805</v>
      </c>
      <c r="AM145" s="49">
        <f>D145/B145*1000</f>
        <v>26.567987065819167</v>
      </c>
      <c r="AN145" s="47"/>
      <c r="AO145" s="49">
        <f>AL145-K145</f>
        <v>3.6477778265805227E-2</v>
      </c>
      <c r="AP145" s="49">
        <f>AM145-L145</f>
        <v>-3.2012934180833952E-2</v>
      </c>
    </row>
    <row r="146" spans="1:42">
      <c r="A146" s="21" t="s">
        <v>156</v>
      </c>
      <c r="B146" s="22">
        <v>807260</v>
      </c>
      <c r="C146" s="22">
        <v>30176</v>
      </c>
      <c r="D146" s="22">
        <v>25692</v>
      </c>
      <c r="E146" s="25" t="s">
        <v>12</v>
      </c>
      <c r="F146" s="25" t="s">
        <v>12</v>
      </c>
      <c r="G146" s="25" t="s">
        <v>12</v>
      </c>
      <c r="H146" s="22">
        <v>800014</v>
      </c>
      <c r="I146" s="22">
        <v>30799</v>
      </c>
      <c r="J146" s="22">
        <v>25259</v>
      </c>
      <c r="K146" s="23">
        <v>37.4</v>
      </c>
      <c r="L146" s="23">
        <v>31.8</v>
      </c>
      <c r="M146" s="30"/>
      <c r="N146" s="22">
        <v>130730</v>
      </c>
      <c r="O146" s="22">
        <v>154830</v>
      </c>
      <c r="P146" s="22">
        <v>112238</v>
      </c>
      <c r="Q146" s="22">
        <v>92345</v>
      </c>
      <c r="R146" s="22">
        <v>59997</v>
      </c>
      <c r="S146" s="22">
        <v>128890</v>
      </c>
      <c r="T146" s="22">
        <v>48308</v>
      </c>
      <c r="U146" s="22">
        <v>79992</v>
      </c>
      <c r="V146" s="22"/>
      <c r="W146" s="22"/>
      <c r="X146" s="22"/>
      <c r="Y146" s="22"/>
      <c r="Z146" s="22"/>
      <c r="AA146" s="22"/>
      <c r="AB146" s="22"/>
      <c r="AC146" s="47"/>
      <c r="AD146" s="48">
        <f>SUM(N146:AB146)</f>
        <v>807330</v>
      </c>
      <c r="AE146" s="48">
        <f>SUM(N147:AB147)</f>
        <v>30076</v>
      </c>
      <c r="AF146" s="48">
        <f>SUM(N148:AB148)</f>
        <v>25672</v>
      </c>
      <c r="AG146" s="47"/>
      <c r="AH146" s="48">
        <f>AD146-B146</f>
        <v>70</v>
      </c>
      <c r="AI146" s="48">
        <f>AE146-C146</f>
        <v>-100</v>
      </c>
      <c r="AJ146" s="48">
        <f>AF146-D146</f>
        <v>-20</v>
      </c>
      <c r="AK146" s="47"/>
      <c r="AL146" s="49">
        <f>C146/B146*1000</f>
        <v>37.380769516636526</v>
      </c>
      <c r="AM146" s="49">
        <f>D146/B146*1000</f>
        <v>31.826177439734412</v>
      </c>
      <c r="AN146" s="47"/>
      <c r="AO146" s="49">
        <f>AL146-K146</f>
        <v>-1.9230483363472217E-2</v>
      </c>
      <c r="AP146" s="49">
        <f>AM146-L146</f>
        <v>2.6177439734411223E-2</v>
      </c>
    </row>
    <row r="147" spans="1:42">
      <c r="A147" s="24" t="s">
        <v>157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1" t="s">
        <v>12</v>
      </c>
      <c r="L147" s="11" t="s">
        <v>12</v>
      </c>
      <c r="M147" s="30"/>
      <c r="N147" s="10">
        <v>4225</v>
      </c>
      <c r="O147" s="10">
        <v>5259</v>
      </c>
      <c r="P147" s="10">
        <v>4576</v>
      </c>
      <c r="Q147" s="10">
        <v>3311</v>
      </c>
      <c r="R147" s="10">
        <v>2880</v>
      </c>
      <c r="S147" s="10">
        <v>4607</v>
      </c>
      <c r="T147" s="10">
        <v>2007</v>
      </c>
      <c r="U147" s="10">
        <v>3211</v>
      </c>
      <c r="V147" s="10"/>
      <c r="W147" s="10"/>
      <c r="X147" s="10"/>
      <c r="Y147" s="10"/>
      <c r="Z147" s="10"/>
      <c r="AA147" s="10"/>
      <c r="AB147" s="10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</row>
    <row r="148" spans="1:42">
      <c r="A148" s="24" t="s">
        <v>158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1" t="s">
        <v>12</v>
      </c>
      <c r="L148" s="11" t="s">
        <v>12</v>
      </c>
      <c r="M148" s="30"/>
      <c r="N148" s="10">
        <v>3563</v>
      </c>
      <c r="O148" s="10">
        <v>4352</v>
      </c>
      <c r="P148" s="10">
        <v>4095</v>
      </c>
      <c r="Q148" s="10">
        <v>2918</v>
      </c>
      <c r="R148" s="10">
        <v>2356</v>
      </c>
      <c r="S148" s="10">
        <v>4185</v>
      </c>
      <c r="T148" s="10">
        <v>1695</v>
      </c>
      <c r="U148" s="10">
        <v>2508</v>
      </c>
      <c r="V148" s="10"/>
      <c r="W148" s="10"/>
      <c r="X148" s="10"/>
      <c r="Y148" s="10"/>
      <c r="Z148" s="10"/>
      <c r="AA148" s="10"/>
      <c r="AB148" s="10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</row>
    <row r="149" spans="1:42">
      <c r="A149" s="21" t="s">
        <v>159</v>
      </c>
      <c r="B149" s="22">
        <v>2488827</v>
      </c>
      <c r="C149" s="22">
        <v>135268</v>
      </c>
      <c r="D149" s="22">
        <v>93039</v>
      </c>
      <c r="E149" s="22">
        <v>311148</v>
      </c>
      <c r="F149" s="22">
        <v>13171</v>
      </c>
      <c r="G149" s="22">
        <v>10373</v>
      </c>
      <c r="H149" s="22">
        <v>2395386</v>
      </c>
      <c r="I149" s="22">
        <v>123012</v>
      </c>
      <c r="J149" s="22">
        <v>99881</v>
      </c>
      <c r="K149" s="23">
        <v>54.8</v>
      </c>
      <c r="L149" s="23">
        <v>37.700000000000003</v>
      </c>
      <c r="M149" s="30"/>
      <c r="N149" s="22">
        <v>323326</v>
      </c>
      <c r="O149" s="22">
        <v>301447</v>
      </c>
      <c r="P149" s="22">
        <v>304553</v>
      </c>
      <c r="Q149" s="22">
        <v>206680</v>
      </c>
      <c r="R149" s="22">
        <v>364869</v>
      </c>
      <c r="S149" s="22">
        <v>187799</v>
      </c>
      <c r="T149" s="22">
        <v>227714</v>
      </c>
      <c r="U149" s="22">
        <v>224622</v>
      </c>
      <c r="V149" s="22">
        <v>209692</v>
      </c>
      <c r="W149" s="22">
        <v>138125</v>
      </c>
      <c r="X149" s="22"/>
      <c r="Y149" s="22"/>
      <c r="Z149" s="22"/>
      <c r="AA149" s="22"/>
      <c r="AB149" s="22"/>
      <c r="AC149" s="47"/>
      <c r="AD149" s="48">
        <f>SUM(N149:AB149)</f>
        <v>2488827</v>
      </c>
      <c r="AE149" s="48">
        <f>SUM(N150:AB150)</f>
        <v>135268</v>
      </c>
      <c r="AF149" s="48">
        <f>SUM(N151:AB151)</f>
        <v>93041</v>
      </c>
      <c r="AG149" s="47"/>
      <c r="AH149" s="48">
        <f>AD149-B149</f>
        <v>0</v>
      </c>
      <c r="AI149" s="48">
        <f>AE149-C149</f>
        <v>0</v>
      </c>
      <c r="AJ149" s="48">
        <f>AF149-D149</f>
        <v>2</v>
      </c>
      <c r="AK149" s="47"/>
      <c r="AL149" s="49">
        <f>C149/B149*1000</f>
        <v>54.35010147350539</v>
      </c>
      <c r="AM149" s="49">
        <f>D149/B149*1000</f>
        <v>37.382670631586684</v>
      </c>
      <c r="AN149" s="47"/>
      <c r="AO149" s="49">
        <f>AL149-K149</f>
        <v>-0.44989852649460715</v>
      </c>
      <c r="AP149" s="49">
        <f>AM149-L149</f>
        <v>-0.31732936841331849</v>
      </c>
    </row>
    <row r="150" spans="1:42">
      <c r="A150" s="24" t="s">
        <v>160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1" t="s">
        <v>12</v>
      </c>
      <c r="L150" s="11" t="s">
        <v>12</v>
      </c>
      <c r="M150" s="30"/>
      <c r="N150" s="10">
        <v>16988</v>
      </c>
      <c r="O150" s="10">
        <v>16948</v>
      </c>
      <c r="P150" s="10">
        <v>17697</v>
      </c>
      <c r="Q150" s="10">
        <v>9637</v>
      </c>
      <c r="R150" s="10">
        <v>17994</v>
      </c>
      <c r="S150" s="10">
        <v>9843</v>
      </c>
      <c r="T150" s="10">
        <v>13198</v>
      </c>
      <c r="U150" s="10">
        <v>13151</v>
      </c>
      <c r="V150" s="10">
        <v>11144</v>
      </c>
      <c r="W150" s="10">
        <v>8668</v>
      </c>
      <c r="X150" s="10"/>
      <c r="Y150" s="10"/>
      <c r="Z150" s="10"/>
      <c r="AA150" s="10"/>
      <c r="AB150" s="10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</row>
    <row r="151" spans="1:42">
      <c r="A151" s="24" t="s">
        <v>161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1" t="s">
        <v>12</v>
      </c>
      <c r="L151" s="11" t="s">
        <v>12</v>
      </c>
      <c r="M151" s="30"/>
      <c r="N151" s="10">
        <v>13569</v>
      </c>
      <c r="O151" s="10">
        <v>11877</v>
      </c>
      <c r="P151" s="10">
        <v>11971</v>
      </c>
      <c r="Q151" s="10">
        <v>6230</v>
      </c>
      <c r="R151" s="10">
        <v>12756</v>
      </c>
      <c r="S151" s="10">
        <v>6063</v>
      </c>
      <c r="T151" s="10">
        <v>8643</v>
      </c>
      <c r="U151" s="10">
        <v>8934</v>
      </c>
      <c r="V151" s="10">
        <v>7393</v>
      </c>
      <c r="W151" s="10">
        <v>5605</v>
      </c>
      <c r="X151" s="10"/>
      <c r="Y151" s="10"/>
      <c r="Z151" s="10"/>
      <c r="AA151" s="10"/>
      <c r="AB151" s="10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</row>
    <row r="152" spans="1:42">
      <c r="A152" s="21" t="s">
        <v>162</v>
      </c>
      <c r="B152" s="22">
        <v>1541518</v>
      </c>
      <c r="C152" s="22">
        <v>75104</v>
      </c>
      <c r="D152" s="22">
        <v>64713</v>
      </c>
      <c r="E152" s="22">
        <v>109742</v>
      </c>
      <c r="F152" s="22">
        <v>4622</v>
      </c>
      <c r="G152" s="22">
        <v>4522</v>
      </c>
      <c r="H152" s="22">
        <v>1604073</v>
      </c>
      <c r="I152" s="22">
        <v>76116</v>
      </c>
      <c r="J152" s="22">
        <v>61249</v>
      </c>
      <c r="K152" s="23">
        <v>48.7</v>
      </c>
      <c r="L152" s="23">
        <v>42</v>
      </c>
      <c r="M152" s="30"/>
      <c r="N152" s="22">
        <v>224311</v>
      </c>
      <c r="O152" s="22">
        <v>170891</v>
      </c>
      <c r="P152" s="22">
        <v>194762</v>
      </c>
      <c r="Q152" s="22">
        <v>181525</v>
      </c>
      <c r="R152" s="22">
        <v>218545</v>
      </c>
      <c r="S152" s="22">
        <v>163118</v>
      </c>
      <c r="T152" s="22">
        <v>151735</v>
      </c>
      <c r="U152" s="22">
        <v>236631</v>
      </c>
      <c r="V152" s="22"/>
      <c r="W152" s="22"/>
      <c r="X152" s="22"/>
      <c r="Y152" s="22"/>
      <c r="Z152" s="22"/>
      <c r="AA152" s="22"/>
      <c r="AB152" s="22"/>
      <c r="AC152" s="47"/>
      <c r="AD152" s="48">
        <f>SUM(N152:AB152)</f>
        <v>1541518</v>
      </c>
      <c r="AE152" s="48">
        <f>SUM(N153:AB153)</f>
        <v>75104</v>
      </c>
      <c r="AF152" s="48">
        <f>SUM(N154:AB154)</f>
        <v>64715</v>
      </c>
      <c r="AG152" s="47"/>
      <c r="AH152" s="48">
        <f>AD152-B152</f>
        <v>0</v>
      </c>
      <c r="AI152" s="48">
        <f>AE152-C152</f>
        <v>0</v>
      </c>
      <c r="AJ152" s="48">
        <f>AF152-D152</f>
        <v>2</v>
      </c>
      <c r="AK152" s="47"/>
      <c r="AL152" s="49">
        <f>C152/B152*1000</f>
        <v>48.720806373976821</v>
      </c>
      <c r="AM152" s="49">
        <f>D152/B152*1000</f>
        <v>41.980048238165239</v>
      </c>
      <c r="AN152" s="47"/>
      <c r="AO152" s="49">
        <f>AL152-K152</f>
        <v>2.0806373976817838E-2</v>
      </c>
      <c r="AP152" s="49">
        <f>AM152-L152</f>
        <v>-1.9951761834761328E-2</v>
      </c>
    </row>
    <row r="153" spans="1:42">
      <c r="A153" s="24" t="s">
        <v>163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1" t="s">
        <v>12</v>
      </c>
      <c r="L153" s="11" t="s">
        <v>12</v>
      </c>
      <c r="M153" s="30"/>
      <c r="N153" s="10">
        <v>10958</v>
      </c>
      <c r="O153" s="10">
        <v>6730</v>
      </c>
      <c r="P153" s="10">
        <v>8965</v>
      </c>
      <c r="Q153" s="10">
        <v>8299</v>
      </c>
      <c r="R153" s="10">
        <v>10134</v>
      </c>
      <c r="S153" s="10">
        <v>8882</v>
      </c>
      <c r="T153" s="10">
        <v>8283</v>
      </c>
      <c r="U153" s="10">
        <v>12853</v>
      </c>
      <c r="V153" s="10"/>
      <c r="W153" s="10"/>
      <c r="X153" s="10"/>
      <c r="Y153" s="10"/>
      <c r="Z153" s="10"/>
      <c r="AA153" s="10"/>
      <c r="AB153" s="10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</row>
    <row r="154" spans="1:42">
      <c r="A154" s="24" t="s">
        <v>164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1" t="s">
        <v>12</v>
      </c>
      <c r="L154" s="11" t="s">
        <v>12</v>
      </c>
      <c r="M154" s="30"/>
      <c r="N154" s="10">
        <v>10047</v>
      </c>
      <c r="O154" s="10">
        <v>6134</v>
      </c>
      <c r="P154" s="10">
        <v>8033</v>
      </c>
      <c r="Q154" s="10">
        <v>7703</v>
      </c>
      <c r="R154" s="10">
        <v>10333</v>
      </c>
      <c r="S154" s="10">
        <v>5457</v>
      </c>
      <c r="T154" s="10">
        <v>7555</v>
      </c>
      <c r="U154" s="10">
        <v>9453</v>
      </c>
      <c r="V154" s="10"/>
      <c r="W154" s="10"/>
      <c r="X154" s="10"/>
      <c r="Y154" s="10"/>
      <c r="Z154" s="10"/>
      <c r="AA154" s="10"/>
      <c r="AB154" s="10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</row>
    <row r="155" spans="1:42">
      <c r="A155" s="21" t="s">
        <v>165</v>
      </c>
      <c r="B155" s="22">
        <v>1469756</v>
      </c>
      <c r="C155" s="22">
        <v>79974</v>
      </c>
      <c r="D155" s="22">
        <v>54049</v>
      </c>
      <c r="E155" s="22">
        <v>132671</v>
      </c>
      <c r="F155" s="22">
        <v>3601</v>
      </c>
      <c r="G155" s="22">
        <v>3113</v>
      </c>
      <c r="H155" s="22">
        <v>1403803</v>
      </c>
      <c r="I155" s="22">
        <v>76094</v>
      </c>
      <c r="J155" s="22">
        <v>55041</v>
      </c>
      <c r="K155" s="23">
        <v>54.4</v>
      </c>
      <c r="L155" s="23">
        <v>36.799999999999997</v>
      </c>
      <c r="M155" s="30"/>
      <c r="N155" s="22">
        <v>132596</v>
      </c>
      <c r="O155" s="22">
        <v>122306</v>
      </c>
      <c r="P155" s="22">
        <v>107948</v>
      </c>
      <c r="Q155" s="22">
        <v>144273</v>
      </c>
      <c r="R155" s="22">
        <v>104833</v>
      </c>
      <c r="S155" s="22">
        <v>90879</v>
      </c>
      <c r="T155" s="22">
        <v>134736</v>
      </c>
      <c r="U155" s="22">
        <v>100363</v>
      </c>
      <c r="V155" s="22">
        <v>120988</v>
      </c>
      <c r="W155" s="22">
        <v>184134</v>
      </c>
      <c r="X155" s="22">
        <v>120871</v>
      </c>
      <c r="Y155" s="22">
        <v>105829</v>
      </c>
      <c r="Z155" s="22"/>
      <c r="AA155" s="22"/>
      <c r="AB155" s="22"/>
      <c r="AC155" s="47"/>
      <c r="AD155" s="48">
        <f>SUM(N155:AB155)</f>
        <v>1469756</v>
      </c>
      <c r="AE155" s="48">
        <f>SUM(N156:AB156)</f>
        <v>79974</v>
      </c>
      <c r="AF155" s="48">
        <f>SUM(N157:AB157)</f>
        <v>54049</v>
      </c>
      <c r="AG155" s="47"/>
      <c r="AH155" s="48">
        <f>AD155-B155</f>
        <v>0</v>
      </c>
      <c r="AI155" s="48">
        <f>AE155-C155</f>
        <v>0</v>
      </c>
      <c r="AJ155" s="48">
        <f>AF155-D155</f>
        <v>0</v>
      </c>
      <c r="AK155" s="47"/>
      <c r="AL155" s="49">
        <f>C155/B155*1000</f>
        <v>54.413113469174476</v>
      </c>
      <c r="AM155" s="49">
        <f>D155/B155*1000</f>
        <v>36.774131216337949</v>
      </c>
      <c r="AN155" s="47"/>
      <c r="AO155" s="49">
        <f>AL155-K155</f>
        <v>1.3113469174477643E-2</v>
      </c>
      <c r="AP155" s="49">
        <f>AM155-L155</f>
        <v>-2.5868783662048145E-2</v>
      </c>
    </row>
    <row r="156" spans="1:42">
      <c r="A156" s="24" t="s">
        <v>166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1" t="s">
        <v>12</v>
      </c>
      <c r="L156" s="11" t="s">
        <v>12</v>
      </c>
      <c r="M156" s="30"/>
      <c r="N156" s="10">
        <v>6548</v>
      </c>
      <c r="O156" s="10">
        <v>8590</v>
      </c>
      <c r="P156" s="10">
        <v>5770</v>
      </c>
      <c r="Q156" s="10">
        <v>5523</v>
      </c>
      <c r="R156" s="10">
        <v>5918</v>
      </c>
      <c r="S156" s="10">
        <v>6227</v>
      </c>
      <c r="T156" s="10">
        <v>7783</v>
      </c>
      <c r="U156" s="10">
        <v>5449</v>
      </c>
      <c r="V156" s="10">
        <v>6568</v>
      </c>
      <c r="W156" s="10">
        <v>9646</v>
      </c>
      <c r="X156" s="10">
        <v>5156</v>
      </c>
      <c r="Y156" s="10">
        <v>6796</v>
      </c>
      <c r="Z156" s="10"/>
      <c r="AA156" s="10"/>
      <c r="AB156" s="10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</row>
    <row r="157" spans="1:42">
      <c r="A157" s="24" t="s">
        <v>167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1" t="s">
        <v>12</v>
      </c>
      <c r="L157" s="11" t="s">
        <v>12</v>
      </c>
      <c r="M157" s="30"/>
      <c r="N157" s="10">
        <v>4482</v>
      </c>
      <c r="O157" s="10">
        <v>5908</v>
      </c>
      <c r="P157" s="10">
        <v>3798</v>
      </c>
      <c r="Q157" s="10">
        <v>4442</v>
      </c>
      <c r="R157" s="10">
        <v>3801</v>
      </c>
      <c r="S157" s="10">
        <v>4289</v>
      </c>
      <c r="T157" s="10">
        <v>4726</v>
      </c>
      <c r="U157" s="10">
        <v>3240</v>
      </c>
      <c r="V157" s="10">
        <v>5113</v>
      </c>
      <c r="W157" s="10">
        <v>5726</v>
      </c>
      <c r="X157" s="10">
        <v>3930</v>
      </c>
      <c r="Y157" s="10">
        <v>4594</v>
      </c>
      <c r="Z157" s="10"/>
      <c r="AA157" s="10"/>
      <c r="AB157" s="10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</row>
    <row r="158" spans="1:42">
      <c r="A158" s="21" t="s">
        <v>168</v>
      </c>
      <c r="B158" s="22">
        <v>1214841</v>
      </c>
      <c r="C158" s="22">
        <v>56864</v>
      </c>
      <c r="D158" s="22">
        <v>31718</v>
      </c>
      <c r="E158" s="22">
        <v>226457</v>
      </c>
      <c r="F158" s="22">
        <v>9950</v>
      </c>
      <c r="G158" s="22">
        <v>7276</v>
      </c>
      <c r="H158" s="22">
        <v>1119127</v>
      </c>
      <c r="I158" s="22">
        <v>56401</v>
      </c>
      <c r="J158" s="22">
        <v>34972</v>
      </c>
      <c r="K158" s="23">
        <v>46.8</v>
      </c>
      <c r="L158" s="23">
        <v>26.1</v>
      </c>
      <c r="M158" s="30"/>
      <c r="N158" s="22">
        <v>139458</v>
      </c>
      <c r="O158" s="22">
        <v>306363</v>
      </c>
      <c r="P158" s="22">
        <v>200982</v>
      </c>
      <c r="Q158" s="22">
        <v>49483</v>
      </c>
      <c r="R158" s="22">
        <v>311607</v>
      </c>
      <c r="S158" s="22">
        <v>38105</v>
      </c>
      <c r="T158" s="22">
        <v>87870</v>
      </c>
      <c r="U158" s="22">
        <v>48647</v>
      </c>
      <c r="V158" s="22">
        <v>32326</v>
      </c>
      <c r="W158" s="22"/>
      <c r="X158" s="22"/>
      <c r="Y158" s="22"/>
      <c r="Z158" s="22"/>
      <c r="AA158" s="22"/>
      <c r="AB158" s="22"/>
      <c r="AC158" s="47"/>
      <c r="AD158" s="48">
        <f>SUM(N158:AB158)</f>
        <v>1214841</v>
      </c>
      <c r="AE158" s="48">
        <f>SUM(N159:AB159)</f>
        <v>56864</v>
      </c>
      <c r="AF158" s="48">
        <f>SUM(N160:AB160)</f>
        <v>31718</v>
      </c>
      <c r="AG158" s="47"/>
      <c r="AH158" s="48">
        <f>AD158-B158</f>
        <v>0</v>
      </c>
      <c r="AI158" s="48">
        <f>AE158-C158</f>
        <v>0</v>
      </c>
      <c r="AJ158" s="48">
        <f>AF158-D158</f>
        <v>0</v>
      </c>
      <c r="AK158" s="47"/>
      <c r="AL158" s="49">
        <f>C158/B158*1000</f>
        <v>46.807771551997341</v>
      </c>
      <c r="AM158" s="49">
        <f>D158/B158*1000</f>
        <v>26.108766497014834</v>
      </c>
      <c r="AN158" s="47"/>
      <c r="AO158" s="49">
        <f>AL158-K158</f>
        <v>7.7715519973438063E-3</v>
      </c>
      <c r="AP158" s="49">
        <f>AM158-L158</f>
        <v>8.7664970148324528E-3</v>
      </c>
    </row>
    <row r="159" spans="1:42">
      <c r="A159" s="24" t="s">
        <v>169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1" t="s">
        <v>12</v>
      </c>
      <c r="L159" s="11" t="s">
        <v>12</v>
      </c>
      <c r="M159" s="30"/>
      <c r="N159" s="10">
        <v>4578</v>
      </c>
      <c r="O159" s="10">
        <v>14798</v>
      </c>
      <c r="P159" s="10">
        <v>9466</v>
      </c>
      <c r="Q159" s="10">
        <v>2218</v>
      </c>
      <c r="R159" s="10">
        <v>16010</v>
      </c>
      <c r="S159" s="10">
        <v>760</v>
      </c>
      <c r="T159" s="10">
        <v>4792</v>
      </c>
      <c r="U159" s="10">
        <v>2255</v>
      </c>
      <c r="V159" s="10">
        <v>1987</v>
      </c>
      <c r="W159" s="10"/>
      <c r="X159" s="10"/>
      <c r="Y159" s="10"/>
      <c r="Z159" s="10"/>
      <c r="AA159" s="10"/>
      <c r="AB159" s="10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</row>
    <row r="160" spans="1:42">
      <c r="A160" s="24" t="s">
        <v>170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1" t="s">
        <v>12</v>
      </c>
      <c r="L160" s="11" t="s">
        <v>12</v>
      </c>
      <c r="M160" s="30"/>
      <c r="N160" s="10">
        <v>3790</v>
      </c>
      <c r="O160" s="10">
        <v>7106</v>
      </c>
      <c r="P160" s="10">
        <v>4445</v>
      </c>
      <c r="Q160" s="10">
        <v>1945</v>
      </c>
      <c r="R160" s="10">
        <v>7823</v>
      </c>
      <c r="S160" s="10">
        <v>463</v>
      </c>
      <c r="T160" s="10">
        <v>3317</v>
      </c>
      <c r="U160" s="10">
        <v>1472</v>
      </c>
      <c r="V160" s="10">
        <v>1357</v>
      </c>
      <c r="W160" s="10"/>
      <c r="X160" s="10"/>
      <c r="Y160" s="10"/>
      <c r="Z160" s="10"/>
      <c r="AA160" s="10"/>
      <c r="AB160" s="10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</row>
    <row r="161" spans="1:42">
      <c r="A161" s="21" t="s">
        <v>171</v>
      </c>
      <c r="B161" s="22">
        <v>2944306</v>
      </c>
      <c r="C161" s="22">
        <v>140738</v>
      </c>
      <c r="D161" s="22">
        <v>108656</v>
      </c>
      <c r="E161" s="22">
        <v>200343</v>
      </c>
      <c r="F161" s="22">
        <v>5713</v>
      </c>
      <c r="G161" s="22">
        <v>5822</v>
      </c>
      <c r="H161" s="22">
        <v>2852719</v>
      </c>
      <c r="I161" s="22">
        <v>136696</v>
      </c>
      <c r="J161" s="22">
        <v>103216</v>
      </c>
      <c r="K161" s="23">
        <v>47.4</v>
      </c>
      <c r="L161" s="23">
        <v>36.6</v>
      </c>
      <c r="M161" s="30"/>
      <c r="N161" s="22">
        <v>425330</v>
      </c>
      <c r="O161" s="22">
        <v>326280</v>
      </c>
      <c r="P161" s="22">
        <v>193590</v>
      </c>
      <c r="Q161" s="22">
        <v>294365</v>
      </c>
      <c r="R161" s="22">
        <v>362517</v>
      </c>
      <c r="S161" s="22">
        <v>161841</v>
      </c>
      <c r="T161" s="22">
        <v>192653</v>
      </c>
      <c r="U161" s="22">
        <v>285774</v>
      </c>
      <c r="V161" s="22">
        <v>141022</v>
      </c>
      <c r="W161" s="22">
        <v>159929</v>
      </c>
      <c r="X161" s="22">
        <v>221791</v>
      </c>
      <c r="Y161" s="22">
        <v>179217</v>
      </c>
      <c r="Z161" s="22"/>
      <c r="AA161" s="22"/>
      <c r="AB161" s="22"/>
      <c r="AC161" s="47"/>
      <c r="AD161" s="48">
        <f>SUM(N161:AB161)</f>
        <v>2944309</v>
      </c>
      <c r="AE161" s="48">
        <f>SUM(N162:AB162)</f>
        <v>140738</v>
      </c>
      <c r="AF161" s="48">
        <f>SUM(N163:AB163)</f>
        <v>108596</v>
      </c>
      <c r="AG161" s="47"/>
      <c r="AH161" s="48">
        <f>AD161-B161</f>
        <v>3</v>
      </c>
      <c r="AI161" s="48">
        <f>AE161-C161</f>
        <v>0</v>
      </c>
      <c r="AJ161" s="48">
        <f>AF161-D161</f>
        <v>-60</v>
      </c>
      <c r="AK161" s="47"/>
      <c r="AL161" s="49">
        <f>C161/B161*1000</f>
        <v>47.800058825407419</v>
      </c>
      <c r="AM161" s="49">
        <f>D161/B161*1000</f>
        <v>36.903772909473403</v>
      </c>
      <c r="AN161" s="47"/>
      <c r="AO161" s="49">
        <f>AL161-K161</f>
        <v>0.40005882540742022</v>
      </c>
      <c r="AP161" s="49">
        <f>AM161-L161</f>
        <v>0.30377290947340185</v>
      </c>
    </row>
    <row r="162" spans="1:42">
      <c r="A162" s="24" t="s">
        <v>172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1" t="s">
        <v>12</v>
      </c>
      <c r="L162" s="11" t="s">
        <v>12</v>
      </c>
      <c r="M162" s="30"/>
      <c r="N162" s="10">
        <v>20665</v>
      </c>
      <c r="O162" s="10">
        <v>16363</v>
      </c>
      <c r="P162" s="10">
        <v>6813</v>
      </c>
      <c r="Q162" s="10">
        <v>14036</v>
      </c>
      <c r="R162" s="10">
        <v>18717</v>
      </c>
      <c r="S162" s="10">
        <v>7776</v>
      </c>
      <c r="T162" s="10">
        <v>8686</v>
      </c>
      <c r="U162" s="10">
        <v>13145</v>
      </c>
      <c r="V162" s="10">
        <v>7419</v>
      </c>
      <c r="W162" s="10">
        <v>6890</v>
      </c>
      <c r="X162" s="10">
        <v>12065</v>
      </c>
      <c r="Y162" s="10">
        <v>8163</v>
      </c>
      <c r="Z162" s="10"/>
      <c r="AA162" s="10"/>
      <c r="AB162" s="10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</row>
    <row r="163" spans="1:42">
      <c r="A163" s="24" t="s">
        <v>173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1" t="s">
        <v>12</v>
      </c>
      <c r="L163" s="11" t="s">
        <v>12</v>
      </c>
      <c r="M163" s="30"/>
      <c r="N163" s="10">
        <v>15829</v>
      </c>
      <c r="O163" s="10">
        <v>14639</v>
      </c>
      <c r="P163" s="10">
        <v>4484</v>
      </c>
      <c r="Q163" s="10">
        <v>11218</v>
      </c>
      <c r="R163" s="10">
        <v>14192</v>
      </c>
      <c r="S163" s="10">
        <v>6691</v>
      </c>
      <c r="T163" s="10">
        <v>5765</v>
      </c>
      <c r="U163" s="10">
        <v>9467</v>
      </c>
      <c r="V163" s="10">
        <v>6887</v>
      </c>
      <c r="W163" s="10">
        <v>5669</v>
      </c>
      <c r="X163" s="10">
        <v>8303</v>
      </c>
      <c r="Y163" s="10">
        <v>5452</v>
      </c>
      <c r="Z163" s="10"/>
      <c r="AA163" s="10"/>
      <c r="AB163" s="10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</row>
    <row r="164" spans="1:42">
      <c r="A164" s="21" t="s">
        <v>174</v>
      </c>
      <c r="B164" s="22">
        <v>1930014</v>
      </c>
      <c r="C164" s="22">
        <v>87280</v>
      </c>
      <c r="D164" s="22">
        <v>61561</v>
      </c>
      <c r="E164" s="22">
        <v>154263</v>
      </c>
      <c r="F164" s="22">
        <v>4124</v>
      </c>
      <c r="G164" s="22">
        <v>3494</v>
      </c>
      <c r="H164" s="22">
        <v>1843359</v>
      </c>
      <c r="I164" s="22">
        <v>84173</v>
      </c>
      <c r="J164" s="22">
        <v>59612</v>
      </c>
      <c r="K164" s="23">
        <v>45.2</v>
      </c>
      <c r="L164" s="23">
        <v>31.9</v>
      </c>
      <c r="M164" s="30"/>
      <c r="N164" s="22">
        <v>173206</v>
      </c>
      <c r="O164" s="22">
        <v>257610</v>
      </c>
      <c r="P164" s="22">
        <v>157942</v>
      </c>
      <c r="Q164" s="22">
        <v>181883</v>
      </c>
      <c r="R164" s="22">
        <v>121620</v>
      </c>
      <c r="S164" s="22">
        <v>145640</v>
      </c>
      <c r="T164" s="22">
        <v>140402</v>
      </c>
      <c r="U164" s="22">
        <v>135489</v>
      </c>
      <c r="V164" s="22">
        <v>129435</v>
      </c>
      <c r="W164" s="22">
        <v>147542</v>
      </c>
      <c r="X164" s="22">
        <v>165146</v>
      </c>
      <c r="Y164" s="22">
        <v>172106</v>
      </c>
      <c r="Z164" s="22"/>
      <c r="AA164" s="22"/>
      <c r="AB164" s="22"/>
      <c r="AC164" s="47"/>
      <c r="AD164" s="48">
        <f>SUM(N164:AB164)</f>
        <v>1928021</v>
      </c>
      <c r="AE164" s="48">
        <f>SUM(N165:AB165)</f>
        <v>87247</v>
      </c>
      <c r="AF164" s="48">
        <f>SUM(N166:AB166)</f>
        <v>61511</v>
      </c>
      <c r="AG164" s="47"/>
      <c r="AH164" s="48">
        <f>AD164-B164</f>
        <v>-1993</v>
      </c>
      <c r="AI164" s="48">
        <f>AE164-C164</f>
        <v>-33</v>
      </c>
      <c r="AJ164" s="48">
        <f>AF164-D164</f>
        <v>-50</v>
      </c>
      <c r="AK164" s="47"/>
      <c r="AL164" s="49">
        <f>C164/B164*1000</f>
        <v>45.222469888819454</v>
      </c>
      <c r="AM164" s="49">
        <f>D164/B164*1000</f>
        <v>31.896659816975419</v>
      </c>
      <c r="AN164" s="47"/>
      <c r="AO164" s="49">
        <f>AL164-K164</f>
        <v>2.2469888819451E-2</v>
      </c>
      <c r="AP164" s="49">
        <f>AM164-L164</f>
        <v>-3.3401830245800568E-3</v>
      </c>
    </row>
    <row r="165" spans="1:42">
      <c r="A165" s="24" t="s">
        <v>175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1" t="s">
        <v>12</v>
      </c>
      <c r="L165" s="11" t="s">
        <v>12</v>
      </c>
      <c r="M165" s="30"/>
      <c r="N165" s="10">
        <v>8087</v>
      </c>
      <c r="O165" s="10">
        <v>12591</v>
      </c>
      <c r="P165" s="10">
        <v>7595</v>
      </c>
      <c r="Q165" s="10">
        <v>7044</v>
      </c>
      <c r="R165" s="10">
        <v>5180</v>
      </c>
      <c r="S165" s="10">
        <v>6233</v>
      </c>
      <c r="T165" s="10">
        <v>5972</v>
      </c>
      <c r="U165" s="10">
        <v>6301</v>
      </c>
      <c r="V165" s="10">
        <v>6113</v>
      </c>
      <c r="W165" s="10">
        <v>7864</v>
      </c>
      <c r="X165" s="10">
        <v>7466</v>
      </c>
      <c r="Y165" s="10">
        <v>6801</v>
      </c>
      <c r="Z165" s="10"/>
      <c r="AA165" s="10"/>
      <c r="AB165" s="10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</row>
    <row r="166" spans="1:42">
      <c r="A166" s="24" t="s">
        <v>176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1" t="s">
        <v>12</v>
      </c>
      <c r="L166" s="11" t="s">
        <v>12</v>
      </c>
      <c r="M166" s="30"/>
      <c r="N166" s="10">
        <v>5711</v>
      </c>
      <c r="O166" s="10">
        <v>8633</v>
      </c>
      <c r="P166" s="10">
        <v>5129</v>
      </c>
      <c r="Q166" s="10">
        <v>5292</v>
      </c>
      <c r="R166" s="10">
        <v>3558</v>
      </c>
      <c r="S166" s="10">
        <v>4345</v>
      </c>
      <c r="T166" s="10">
        <v>4598</v>
      </c>
      <c r="U166" s="10">
        <v>4174</v>
      </c>
      <c r="V166" s="10">
        <v>4601</v>
      </c>
      <c r="W166" s="10">
        <v>5177</v>
      </c>
      <c r="X166" s="10">
        <v>4951</v>
      </c>
      <c r="Y166" s="10">
        <v>5342</v>
      </c>
      <c r="Z166" s="10"/>
      <c r="AA166" s="10"/>
      <c r="AB166" s="10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</row>
    <row r="167" spans="1:42">
      <c r="A167" s="21" t="s">
        <v>177</v>
      </c>
      <c r="B167" s="22">
        <v>1547905</v>
      </c>
      <c r="C167" s="22">
        <v>77602</v>
      </c>
      <c r="D167" s="22">
        <v>64823</v>
      </c>
      <c r="E167" s="22">
        <v>150491</v>
      </c>
      <c r="F167" s="22">
        <v>5743</v>
      </c>
      <c r="G167" s="22">
        <v>5410</v>
      </c>
      <c r="H167" s="22">
        <v>1499870</v>
      </c>
      <c r="I167" s="22">
        <v>75777</v>
      </c>
      <c r="J167" s="22">
        <v>61078</v>
      </c>
      <c r="K167" s="23">
        <v>50.1</v>
      </c>
      <c r="L167" s="23">
        <v>41.9</v>
      </c>
      <c r="M167" s="30"/>
      <c r="N167" s="22">
        <v>187345</v>
      </c>
      <c r="O167" s="22">
        <v>91471</v>
      </c>
      <c r="P167" s="22">
        <v>174561</v>
      </c>
      <c r="Q167" s="22">
        <v>87839</v>
      </c>
      <c r="R167" s="22">
        <v>125908</v>
      </c>
      <c r="S167" s="22">
        <v>140184</v>
      </c>
      <c r="T167" s="22">
        <v>176176</v>
      </c>
      <c r="U167" s="22">
        <v>81815</v>
      </c>
      <c r="V167" s="22">
        <v>110350</v>
      </c>
      <c r="W167" s="22">
        <v>149953</v>
      </c>
      <c r="X167" s="22">
        <v>106009</v>
      </c>
      <c r="Y167" s="22">
        <v>116294</v>
      </c>
      <c r="Z167" s="22"/>
      <c r="AA167" s="22"/>
      <c r="AB167" s="22"/>
      <c r="AC167" s="47"/>
      <c r="AD167" s="48">
        <f>SUM(N167:AB167)</f>
        <v>1547905</v>
      </c>
      <c r="AE167" s="48">
        <f>SUM(N168:AB168)</f>
        <v>77602</v>
      </c>
      <c r="AF167" s="48">
        <f>SUM(N169:AB169)</f>
        <v>64823</v>
      </c>
      <c r="AG167" s="47"/>
      <c r="AH167" s="48">
        <f>AD167-B167</f>
        <v>0</v>
      </c>
      <c r="AI167" s="48">
        <f>AE167-C167</f>
        <v>0</v>
      </c>
      <c r="AJ167" s="48">
        <f>AF167-D167</f>
        <v>0</v>
      </c>
      <c r="AK167" s="47"/>
      <c r="AL167" s="49">
        <f>C167/B167*1000</f>
        <v>50.133567628504338</v>
      </c>
      <c r="AM167" s="49">
        <f>D167/B167*1000</f>
        <v>41.877893023150648</v>
      </c>
      <c r="AN167" s="47"/>
      <c r="AO167" s="49">
        <f>AL167-K167</f>
        <v>3.3567628504336255E-2</v>
      </c>
      <c r="AP167" s="49">
        <f>AM167-L167</f>
        <v>-2.2106976849350701E-2</v>
      </c>
    </row>
    <row r="168" spans="1:42">
      <c r="A168" s="24" t="s">
        <v>178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1" t="s">
        <v>12</v>
      </c>
      <c r="L168" s="11" t="s">
        <v>12</v>
      </c>
      <c r="M168" s="30"/>
      <c r="N168" s="10">
        <v>9161</v>
      </c>
      <c r="O168" s="10">
        <v>4044</v>
      </c>
      <c r="P168" s="10">
        <v>9602</v>
      </c>
      <c r="Q168" s="10">
        <v>3780</v>
      </c>
      <c r="R168" s="10">
        <v>5836</v>
      </c>
      <c r="S168" s="10">
        <v>6599</v>
      </c>
      <c r="T168" s="10">
        <v>9246</v>
      </c>
      <c r="U168" s="10">
        <v>3743</v>
      </c>
      <c r="V168" s="10">
        <v>5891</v>
      </c>
      <c r="W168" s="10">
        <v>8536</v>
      </c>
      <c r="X168" s="10">
        <v>5088</v>
      </c>
      <c r="Y168" s="10">
        <v>6076</v>
      </c>
      <c r="Z168" s="10"/>
      <c r="AA168" s="10"/>
      <c r="AB168" s="10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</row>
    <row r="169" spans="1:42">
      <c r="A169" s="24" t="s">
        <v>179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1" t="s">
        <v>12</v>
      </c>
      <c r="L169" s="11" t="s">
        <v>12</v>
      </c>
      <c r="M169" s="30"/>
      <c r="N169" s="10">
        <v>8903</v>
      </c>
      <c r="O169" s="10">
        <v>3426</v>
      </c>
      <c r="P169" s="10">
        <v>8207</v>
      </c>
      <c r="Q169" s="10">
        <v>2802</v>
      </c>
      <c r="R169" s="10">
        <v>4641</v>
      </c>
      <c r="S169" s="10">
        <v>5001</v>
      </c>
      <c r="T169" s="10">
        <v>7991</v>
      </c>
      <c r="U169" s="10">
        <v>3564</v>
      </c>
      <c r="V169" s="10">
        <v>4615</v>
      </c>
      <c r="W169" s="10">
        <v>6151</v>
      </c>
      <c r="X169" s="10">
        <v>4344</v>
      </c>
      <c r="Y169" s="10">
        <v>5178</v>
      </c>
      <c r="Z169" s="10"/>
      <c r="AA169" s="10"/>
      <c r="AB169" s="10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</row>
    <row r="170" spans="1:42">
      <c r="A170" s="54" t="s">
        <v>180</v>
      </c>
      <c r="B170" s="55">
        <v>2122214</v>
      </c>
      <c r="C170" s="55">
        <v>102285</v>
      </c>
      <c r="D170" s="55">
        <v>72197</v>
      </c>
      <c r="E170" s="55">
        <v>89818</v>
      </c>
      <c r="F170" s="55">
        <v>4532</v>
      </c>
      <c r="G170" s="55">
        <v>3746</v>
      </c>
      <c r="H170" s="55">
        <v>2033039</v>
      </c>
      <c r="I170" s="55">
        <v>95075</v>
      </c>
      <c r="J170" s="55">
        <v>70408</v>
      </c>
      <c r="K170" s="56">
        <v>48.2</v>
      </c>
      <c r="L170" s="56">
        <v>34</v>
      </c>
      <c r="M170" s="30"/>
      <c r="N170" s="55">
        <v>347118</v>
      </c>
      <c r="O170" s="55">
        <v>415557</v>
      </c>
      <c r="P170" s="55">
        <v>470663</v>
      </c>
      <c r="Q170" s="55">
        <v>183176</v>
      </c>
      <c r="R170" s="55">
        <v>377109</v>
      </c>
      <c r="S170" s="55">
        <v>328591</v>
      </c>
      <c r="T170" s="55"/>
      <c r="U170" s="55"/>
      <c r="V170" s="55"/>
      <c r="W170" s="55"/>
      <c r="X170" s="55"/>
      <c r="Y170" s="55"/>
      <c r="Z170" s="55"/>
      <c r="AA170" s="55"/>
      <c r="AB170" s="55"/>
      <c r="AC170" s="47"/>
      <c r="AD170" s="48">
        <f>SUM(N170:AB170)</f>
        <v>2122214</v>
      </c>
      <c r="AE170" s="48">
        <f>SUM(N171:AB171)</f>
        <v>102285</v>
      </c>
      <c r="AF170" s="48">
        <f>SUM(N172:AB172)</f>
        <v>72197</v>
      </c>
      <c r="AG170" s="47"/>
      <c r="AH170" s="48">
        <f>AD170-B170</f>
        <v>0</v>
      </c>
      <c r="AI170" s="48">
        <f>AE170-C170</f>
        <v>0</v>
      </c>
      <c r="AJ170" s="48">
        <f>AF170-D170</f>
        <v>0</v>
      </c>
      <c r="AK170" s="47"/>
      <c r="AL170" s="49">
        <f>C170/B170*1000</f>
        <v>48.197307151870646</v>
      </c>
      <c r="AM170" s="49">
        <f>D170/B170*1000</f>
        <v>34.01966059973217</v>
      </c>
      <c r="AN170" s="47"/>
      <c r="AO170" s="49">
        <f>AL170-K170</f>
        <v>-2.692848129356662E-3</v>
      </c>
      <c r="AP170" s="49">
        <f>AM170-L170</f>
        <v>1.9660599732169715E-2</v>
      </c>
    </row>
    <row r="171" spans="1:42">
      <c r="A171" s="9" t="s">
        <v>181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1" t="s">
        <v>12</v>
      </c>
      <c r="L171" s="11" t="s">
        <v>12</v>
      </c>
      <c r="M171" s="30"/>
      <c r="N171" s="10">
        <v>19376</v>
      </c>
      <c r="O171" s="10">
        <v>18916</v>
      </c>
      <c r="P171" s="10">
        <v>21994</v>
      </c>
      <c r="Q171" s="10">
        <v>9320</v>
      </c>
      <c r="R171" s="10">
        <v>16686</v>
      </c>
      <c r="S171" s="10">
        <v>15993</v>
      </c>
      <c r="T171" s="10"/>
      <c r="U171" s="10"/>
      <c r="V171" s="10"/>
      <c r="W171" s="10"/>
      <c r="X171" s="10"/>
      <c r="Y171" s="10"/>
      <c r="Z171" s="10"/>
      <c r="AA171" s="10"/>
      <c r="AB171" s="10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</row>
    <row r="172" spans="1:42">
      <c r="A172" s="9" t="s">
        <v>182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1" t="s">
        <v>12</v>
      </c>
      <c r="L172" s="11" t="s">
        <v>12</v>
      </c>
      <c r="M172" s="30"/>
      <c r="N172" s="10">
        <v>12607</v>
      </c>
      <c r="O172" s="10">
        <v>12446</v>
      </c>
      <c r="P172" s="10">
        <v>16340</v>
      </c>
      <c r="Q172" s="10">
        <v>5628</v>
      </c>
      <c r="R172" s="10">
        <v>12805</v>
      </c>
      <c r="S172" s="10">
        <v>12371</v>
      </c>
      <c r="T172" s="10"/>
      <c r="U172" s="10"/>
      <c r="V172" s="10"/>
      <c r="W172" s="10"/>
      <c r="X172" s="10"/>
      <c r="Y172" s="10"/>
      <c r="Z172" s="10"/>
      <c r="AA172" s="10"/>
      <c r="AB172" s="10"/>
      <c r="AC172" s="47"/>
      <c r="AD172" s="57"/>
      <c r="AE172" s="57"/>
      <c r="AF172" s="57"/>
      <c r="AG172" s="58"/>
      <c r="AH172" s="57"/>
      <c r="AI172" s="57"/>
      <c r="AJ172" s="57"/>
      <c r="AK172" s="58"/>
      <c r="AL172" s="59"/>
      <c r="AM172" s="59"/>
      <c r="AN172" s="58"/>
      <c r="AO172" s="59"/>
      <c r="AP172" s="59"/>
    </row>
    <row r="173" spans="1:42">
      <c r="A173" s="54" t="s">
        <v>183</v>
      </c>
      <c r="B173" s="55">
        <v>2563679</v>
      </c>
      <c r="C173" s="55">
        <v>125849</v>
      </c>
      <c r="D173" s="55">
        <v>68691</v>
      </c>
      <c r="E173" s="55">
        <v>337196</v>
      </c>
      <c r="F173" s="55">
        <v>10311</v>
      </c>
      <c r="G173" s="55">
        <v>6865</v>
      </c>
      <c r="H173" s="55">
        <v>2442437</v>
      </c>
      <c r="I173" s="55">
        <v>116882</v>
      </c>
      <c r="J173" s="55">
        <v>88175</v>
      </c>
      <c r="K173" s="56">
        <v>49.1</v>
      </c>
      <c r="L173" s="56">
        <v>27</v>
      </c>
      <c r="M173" s="30"/>
      <c r="N173" s="55">
        <v>383431</v>
      </c>
      <c r="O173" s="55">
        <v>144761</v>
      </c>
      <c r="P173" s="55">
        <v>161572</v>
      </c>
      <c r="Q173" s="55">
        <v>137150</v>
      </c>
      <c r="R173" s="55">
        <v>165569</v>
      </c>
      <c r="S173" s="55">
        <v>227228</v>
      </c>
      <c r="T173" s="55">
        <v>328400</v>
      </c>
      <c r="U173" s="55">
        <v>235694</v>
      </c>
      <c r="V173" s="55">
        <v>163779</v>
      </c>
      <c r="W173" s="55">
        <v>381008</v>
      </c>
      <c r="X173" s="55">
        <v>235087</v>
      </c>
      <c r="Y173" s="55"/>
      <c r="Z173" s="55"/>
      <c r="AA173" s="55"/>
      <c r="AB173" s="55"/>
      <c r="AC173" s="47"/>
      <c r="AD173" s="48">
        <f>SUM(N173:AB173)</f>
        <v>2563679</v>
      </c>
      <c r="AE173" s="48">
        <f>SUM(N174:AB174)</f>
        <v>125849</v>
      </c>
      <c r="AF173" s="48">
        <f>SUM(N175:AB175)</f>
        <v>68691</v>
      </c>
      <c r="AG173" s="47"/>
      <c r="AH173" s="48">
        <f>AD173-B173</f>
        <v>0</v>
      </c>
      <c r="AI173" s="48">
        <f>AE173-C173</f>
        <v>0</v>
      </c>
      <c r="AJ173" s="48">
        <f>AF173-D173</f>
        <v>0</v>
      </c>
      <c r="AK173" s="47"/>
      <c r="AL173" s="49">
        <f>C173/B173*1000</f>
        <v>49.089219048094556</v>
      </c>
      <c r="AM173" s="49">
        <f>D173/B173*1000</f>
        <v>26.793916086998411</v>
      </c>
      <c r="AN173" s="47"/>
      <c r="AO173" s="49">
        <f>AL173-K173</f>
        <v>-1.078095190544559E-2</v>
      </c>
      <c r="AP173" s="49">
        <f>AM173-L173</f>
        <v>-0.20608391300158857</v>
      </c>
    </row>
    <row r="174" spans="1:42">
      <c r="A174" s="9" t="s">
        <v>184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1" t="s">
        <v>12</v>
      </c>
      <c r="L174" s="11" t="s">
        <v>12</v>
      </c>
      <c r="M174" s="30"/>
      <c r="N174" s="10">
        <v>14202</v>
      </c>
      <c r="O174" s="10">
        <v>7710</v>
      </c>
      <c r="P174" s="10">
        <v>7695</v>
      </c>
      <c r="Q174" s="10">
        <v>6558</v>
      </c>
      <c r="R174" s="10">
        <v>9815</v>
      </c>
      <c r="S174" s="10">
        <v>11958</v>
      </c>
      <c r="T174" s="10">
        <v>15794</v>
      </c>
      <c r="U174" s="10">
        <v>12665</v>
      </c>
      <c r="V174" s="10">
        <v>8607</v>
      </c>
      <c r="W174" s="10">
        <v>20576</v>
      </c>
      <c r="X174" s="10">
        <v>10269</v>
      </c>
      <c r="Y174" s="10"/>
      <c r="Z174" s="10"/>
      <c r="AA174" s="10"/>
      <c r="AB174" s="10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</row>
    <row r="175" spans="1:42">
      <c r="A175" s="9" t="s">
        <v>185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1" t="s">
        <v>12</v>
      </c>
      <c r="L175" s="11" t="s">
        <v>12</v>
      </c>
      <c r="M175" s="30"/>
      <c r="N175" s="10">
        <v>8759</v>
      </c>
      <c r="O175" s="10">
        <v>4125</v>
      </c>
      <c r="P175" s="10">
        <v>4144</v>
      </c>
      <c r="Q175" s="10">
        <v>3456</v>
      </c>
      <c r="R175" s="10">
        <v>4759</v>
      </c>
      <c r="S175" s="10">
        <v>6362</v>
      </c>
      <c r="T175" s="10">
        <v>8466</v>
      </c>
      <c r="U175" s="10">
        <v>6560</v>
      </c>
      <c r="V175" s="10">
        <v>5557</v>
      </c>
      <c r="W175" s="10">
        <v>10217</v>
      </c>
      <c r="X175" s="10">
        <v>6286</v>
      </c>
      <c r="Y175" s="10"/>
      <c r="Z175" s="10"/>
      <c r="AA175" s="10"/>
      <c r="AB175" s="10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</row>
    <row r="176" spans="1:42">
      <c r="A176" s="54" t="s">
        <v>186</v>
      </c>
      <c r="B176" s="55">
        <v>1942367</v>
      </c>
      <c r="C176" s="55">
        <v>101858</v>
      </c>
      <c r="D176" s="55">
        <v>55832</v>
      </c>
      <c r="E176" s="55">
        <v>177560</v>
      </c>
      <c r="F176" s="55">
        <v>15316</v>
      </c>
      <c r="G176" s="55">
        <v>9702</v>
      </c>
      <c r="H176" s="55">
        <v>1828333</v>
      </c>
      <c r="I176" s="55">
        <v>100618</v>
      </c>
      <c r="J176" s="55">
        <v>52082</v>
      </c>
      <c r="K176" s="56">
        <v>52.5</v>
      </c>
      <c r="L176" s="56">
        <v>28.7</v>
      </c>
      <c r="M176" s="30"/>
      <c r="N176" s="55">
        <v>443389</v>
      </c>
      <c r="O176" s="55">
        <v>384181</v>
      </c>
      <c r="P176" s="55">
        <v>204991</v>
      </c>
      <c r="Q176" s="55">
        <v>523691</v>
      </c>
      <c r="R176" s="55">
        <v>172896</v>
      </c>
      <c r="S176" s="55">
        <v>213219</v>
      </c>
      <c r="T176" s="55"/>
      <c r="U176" s="55"/>
      <c r="V176" s="55"/>
      <c r="W176" s="55"/>
      <c r="X176" s="55"/>
      <c r="Y176" s="55"/>
      <c r="Z176" s="55"/>
      <c r="AA176" s="55"/>
      <c r="AB176" s="55"/>
      <c r="AC176" s="47"/>
      <c r="AD176" s="48">
        <f>SUM(N176:AB176)</f>
        <v>1942367</v>
      </c>
      <c r="AE176" s="48">
        <f>SUM(N177:AB177)</f>
        <v>101858</v>
      </c>
      <c r="AF176" s="48">
        <f>SUM(N178:AB178)</f>
        <v>55832</v>
      </c>
      <c r="AG176" s="47"/>
      <c r="AH176" s="48">
        <f>AD176-B176</f>
        <v>0</v>
      </c>
      <c r="AI176" s="48">
        <f>AE176-C176</f>
        <v>0</v>
      </c>
      <c r="AJ176" s="48">
        <f>AF176-D176</f>
        <v>0</v>
      </c>
      <c r="AK176" s="47"/>
      <c r="AL176" s="49">
        <f>C176/B176*1000</f>
        <v>52.440141332714155</v>
      </c>
      <c r="AM176" s="49">
        <f>D176/B176*1000</f>
        <v>28.744310421254067</v>
      </c>
      <c r="AN176" s="47"/>
      <c r="AO176" s="49">
        <f>AL176-K176</f>
        <v>-5.9858667285844547E-2</v>
      </c>
      <c r="AP176" s="49">
        <f>AM176-L176</f>
        <v>4.4310421254067478E-2</v>
      </c>
    </row>
    <row r="177" spans="1:42">
      <c r="A177" s="9" t="s">
        <v>187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1" t="s">
        <v>12</v>
      </c>
      <c r="L177" s="11" t="s">
        <v>12</v>
      </c>
      <c r="M177" s="30"/>
      <c r="N177" s="10">
        <v>24207</v>
      </c>
      <c r="O177" s="10">
        <v>20582</v>
      </c>
      <c r="P177" s="10">
        <v>10302</v>
      </c>
      <c r="Q177" s="10">
        <v>27598</v>
      </c>
      <c r="R177" s="10">
        <v>9536</v>
      </c>
      <c r="S177" s="10">
        <v>9633</v>
      </c>
      <c r="T177" s="10"/>
      <c r="U177" s="10"/>
      <c r="V177" s="10"/>
      <c r="W177" s="10"/>
      <c r="X177" s="10"/>
      <c r="Y177" s="10"/>
      <c r="Z177" s="10"/>
      <c r="AA177" s="10"/>
      <c r="AB177" s="10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</row>
    <row r="178" spans="1:42">
      <c r="A178" s="9" t="s">
        <v>188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1" t="s">
        <v>12</v>
      </c>
      <c r="L178" s="11" t="s">
        <v>12</v>
      </c>
      <c r="M178" s="30"/>
      <c r="N178" s="10">
        <v>13068</v>
      </c>
      <c r="O178" s="10">
        <v>9269</v>
      </c>
      <c r="P178" s="10">
        <v>5494</v>
      </c>
      <c r="Q178" s="10">
        <v>16041</v>
      </c>
      <c r="R178" s="10">
        <v>5648</v>
      </c>
      <c r="S178" s="10">
        <v>6312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</row>
    <row r="179" spans="1:42">
      <c r="A179" s="54" t="s">
        <v>189</v>
      </c>
      <c r="B179" s="55">
        <v>77262</v>
      </c>
      <c r="C179" s="55">
        <v>3227</v>
      </c>
      <c r="D179" s="55">
        <v>2217</v>
      </c>
      <c r="E179" s="55"/>
      <c r="F179" s="55"/>
      <c r="G179" s="55"/>
      <c r="H179" s="55">
        <v>76570</v>
      </c>
      <c r="I179" s="55">
        <v>2678</v>
      </c>
      <c r="J179" s="55">
        <v>2716</v>
      </c>
      <c r="K179" s="56" t="s">
        <v>12</v>
      </c>
      <c r="L179" s="56" t="s">
        <v>12</v>
      </c>
      <c r="M179" s="30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47"/>
      <c r="AD179" s="48">
        <f>B179</f>
        <v>77262</v>
      </c>
      <c r="AE179" s="48">
        <f>C179</f>
        <v>3227</v>
      </c>
      <c r="AF179" s="48">
        <f>D179</f>
        <v>2217</v>
      </c>
      <c r="AG179" s="47"/>
      <c r="AH179" s="53"/>
      <c r="AI179" s="53"/>
      <c r="AJ179" s="53"/>
      <c r="AK179" s="47"/>
      <c r="AL179" s="49">
        <f>C179/B179*1000</f>
        <v>41.766974709430251</v>
      </c>
      <c r="AM179" s="49">
        <f>D179/B179*1000</f>
        <v>28.694571717014831</v>
      </c>
      <c r="AN179" s="47"/>
      <c r="AO179" s="49"/>
      <c r="AP179" s="49"/>
    </row>
    <row r="180" spans="1:42">
      <c r="A180" s="54" t="s">
        <v>190</v>
      </c>
      <c r="B180" s="55">
        <v>343630</v>
      </c>
      <c r="C180" s="55">
        <v>11435</v>
      </c>
      <c r="D180" s="55">
        <v>8824</v>
      </c>
      <c r="E180" s="55"/>
      <c r="F180" s="55"/>
      <c r="G180" s="55"/>
      <c r="H180" s="55">
        <v>294844</v>
      </c>
      <c r="I180" s="55">
        <v>10705</v>
      </c>
      <c r="J180" s="55">
        <v>7928</v>
      </c>
      <c r="K180" s="56">
        <v>33.299999999999997</v>
      </c>
      <c r="L180" s="56">
        <v>25.6</v>
      </c>
      <c r="M180" s="30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47"/>
      <c r="AD180" s="48">
        <f>B180</f>
        <v>343630</v>
      </c>
      <c r="AE180" s="48">
        <f>C180</f>
        <v>11435</v>
      </c>
      <c r="AF180" s="48">
        <f>D180</f>
        <v>8824</v>
      </c>
      <c r="AG180" s="47"/>
      <c r="AH180" s="53"/>
      <c r="AI180" s="53"/>
      <c r="AJ180" s="53"/>
      <c r="AK180" s="47"/>
      <c r="AL180" s="49">
        <f>C180/B180*1000</f>
        <v>33.277071268515556</v>
      </c>
      <c r="AM180" s="49">
        <f>D180/B180*1000</f>
        <v>25.678782411314494</v>
      </c>
      <c r="AN180" s="47"/>
      <c r="AO180" s="49">
        <f>AL180-K180</f>
        <v>-2.29287314844413E-2</v>
      </c>
      <c r="AP180" s="49">
        <f>AM180-L180</f>
        <v>7.8782411314492151E-2</v>
      </c>
    </row>
    <row r="181" spans="1:42">
      <c r="A181" s="54" t="s">
        <v>191</v>
      </c>
      <c r="B181" s="55">
        <v>2335845</v>
      </c>
      <c r="C181" s="55">
        <v>111270</v>
      </c>
      <c r="D181" s="55">
        <v>63511</v>
      </c>
      <c r="E181" s="55">
        <v>220949</v>
      </c>
      <c r="F181" s="55">
        <v>6941</v>
      </c>
      <c r="G181" s="55">
        <v>4827</v>
      </c>
      <c r="H181" s="55">
        <v>2129927</v>
      </c>
      <c r="I181" s="55">
        <v>106665</v>
      </c>
      <c r="J181" s="55">
        <v>71384</v>
      </c>
      <c r="K181" s="56">
        <v>47.6</v>
      </c>
      <c r="L181" s="56">
        <v>27.2</v>
      </c>
      <c r="M181" s="30"/>
      <c r="N181" s="55">
        <v>169121</v>
      </c>
      <c r="O181" s="55">
        <v>143426</v>
      </c>
      <c r="P181" s="55">
        <v>140085</v>
      </c>
      <c r="Q181" s="55">
        <v>139214</v>
      </c>
      <c r="R181" s="55">
        <v>132923</v>
      </c>
      <c r="S181" s="55">
        <v>159451</v>
      </c>
      <c r="T181" s="55">
        <v>139505</v>
      </c>
      <c r="U181" s="55">
        <v>145878</v>
      </c>
      <c r="V181" s="55">
        <v>142307</v>
      </c>
      <c r="W181" s="55">
        <v>180099</v>
      </c>
      <c r="X181" s="55">
        <v>176764</v>
      </c>
      <c r="Y181" s="55">
        <v>141162</v>
      </c>
      <c r="Z181" s="55">
        <v>159321</v>
      </c>
      <c r="AA181" s="55">
        <v>175020</v>
      </c>
      <c r="AB181" s="55">
        <v>191569</v>
      </c>
      <c r="AC181" s="47"/>
      <c r="AD181" s="48">
        <f>SUM(N181:AB181)</f>
        <v>2335845</v>
      </c>
      <c r="AE181" s="48">
        <f>SUM(N182:AB182)</f>
        <v>117570</v>
      </c>
      <c r="AF181" s="48">
        <f>SUM(N183:AB183)</f>
        <v>63511</v>
      </c>
      <c r="AG181" s="47"/>
      <c r="AH181" s="48">
        <f>AD181-B181</f>
        <v>0</v>
      </c>
      <c r="AI181" s="48">
        <f>AE181-C181</f>
        <v>6300</v>
      </c>
      <c r="AJ181" s="48">
        <f>AF181-D181</f>
        <v>0</v>
      </c>
      <c r="AK181" s="47"/>
      <c r="AL181" s="49">
        <f>C181/B181*1000</f>
        <v>47.635866249686941</v>
      </c>
      <c r="AM181" s="49">
        <f>D181/B181*1000</f>
        <v>27.189732195415363</v>
      </c>
      <c r="AN181" s="47"/>
      <c r="AO181" s="49">
        <f>AL181-K181</f>
        <v>3.5866249686939966E-2</v>
      </c>
      <c r="AP181" s="49">
        <f>AM181-L181</f>
        <v>-1.0267804584636053E-2</v>
      </c>
    </row>
    <row r="182" spans="1:42">
      <c r="A182" s="9" t="s">
        <v>192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1" t="s">
        <v>12</v>
      </c>
      <c r="L182" s="11" t="s">
        <v>12</v>
      </c>
      <c r="M182" s="30"/>
      <c r="N182" s="10">
        <v>13686</v>
      </c>
      <c r="O182" s="10">
        <v>6891</v>
      </c>
      <c r="P182" s="10">
        <v>6582</v>
      </c>
      <c r="Q182" s="10">
        <v>7228</v>
      </c>
      <c r="R182" s="10">
        <v>6417</v>
      </c>
      <c r="S182" s="10">
        <v>7326</v>
      </c>
      <c r="T182" s="10">
        <v>6088</v>
      </c>
      <c r="U182" s="10">
        <v>7293</v>
      </c>
      <c r="V182" s="10">
        <v>7629</v>
      </c>
      <c r="W182" s="10">
        <v>8169</v>
      </c>
      <c r="X182" s="10">
        <v>7839</v>
      </c>
      <c r="Y182" s="10">
        <v>7783</v>
      </c>
      <c r="Z182" s="10">
        <v>7845</v>
      </c>
      <c r="AA182" s="10">
        <v>7417</v>
      </c>
      <c r="AB182" s="10">
        <v>9377</v>
      </c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</row>
    <row r="183" spans="1:42">
      <c r="A183" s="9" t="s">
        <v>193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1" t="s">
        <v>12</v>
      </c>
      <c r="L183" s="11" t="s">
        <v>12</v>
      </c>
      <c r="M183" s="30"/>
      <c r="N183" s="10">
        <v>4791</v>
      </c>
      <c r="O183" s="10">
        <v>3870</v>
      </c>
      <c r="P183" s="10">
        <v>4609</v>
      </c>
      <c r="Q183" s="10">
        <v>4028</v>
      </c>
      <c r="R183" s="10">
        <v>3630</v>
      </c>
      <c r="S183" s="10">
        <v>3839</v>
      </c>
      <c r="T183" s="10">
        <v>3359</v>
      </c>
      <c r="U183" s="10">
        <v>3800</v>
      </c>
      <c r="V183" s="10">
        <v>4631</v>
      </c>
      <c r="W183" s="10">
        <v>4508</v>
      </c>
      <c r="X183" s="10">
        <v>4897</v>
      </c>
      <c r="Y183" s="10">
        <v>4313</v>
      </c>
      <c r="Z183" s="10">
        <v>4271</v>
      </c>
      <c r="AA183" s="10">
        <v>4402</v>
      </c>
      <c r="AB183" s="10">
        <v>4563</v>
      </c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</row>
    <row r="184" spans="1:42">
      <c r="A184" s="54" t="s">
        <v>194</v>
      </c>
      <c r="B184" s="55">
        <v>1205163</v>
      </c>
      <c r="C184" s="55">
        <v>46517</v>
      </c>
      <c r="D184" s="55">
        <v>34111</v>
      </c>
      <c r="E184" s="55">
        <v>172050</v>
      </c>
      <c r="F184" s="55">
        <v>5383</v>
      </c>
      <c r="G184" s="55">
        <v>5389</v>
      </c>
      <c r="H184" s="55">
        <v>1181653</v>
      </c>
      <c r="I184" s="55">
        <v>44735</v>
      </c>
      <c r="J184" s="55">
        <v>35782</v>
      </c>
      <c r="K184" s="56">
        <v>41.1</v>
      </c>
      <c r="L184" s="56">
        <v>30.1</v>
      </c>
      <c r="M184" s="30"/>
      <c r="N184" s="55">
        <v>231874</v>
      </c>
      <c r="O184" s="55">
        <v>77038</v>
      </c>
      <c r="P184" s="55">
        <v>70915</v>
      </c>
      <c r="Q184" s="55">
        <v>132414</v>
      </c>
      <c r="R184" s="55">
        <v>95984</v>
      </c>
      <c r="S184" s="55">
        <v>112038</v>
      </c>
      <c r="T184" s="55">
        <v>82341</v>
      </c>
      <c r="U184" s="55">
        <v>174286</v>
      </c>
      <c r="V184" s="55">
        <v>109462</v>
      </c>
      <c r="W184" s="55">
        <v>118811</v>
      </c>
      <c r="X184" s="55"/>
      <c r="Y184" s="55"/>
      <c r="Z184" s="55"/>
      <c r="AA184" s="55"/>
      <c r="AB184" s="55"/>
      <c r="AC184" s="47"/>
      <c r="AD184" s="48">
        <f>SUM(N184:AB184)</f>
        <v>1205163</v>
      </c>
      <c r="AE184" s="48">
        <f>SUM(N185:AB185)</f>
        <v>46517</v>
      </c>
      <c r="AF184" s="48">
        <f>SUM(N186:AB186)</f>
        <v>34111</v>
      </c>
      <c r="AG184" s="47"/>
      <c r="AH184" s="48">
        <f>AD184-B184</f>
        <v>0</v>
      </c>
      <c r="AI184" s="48">
        <f>AE184-C184</f>
        <v>0</v>
      </c>
      <c r="AJ184" s="48">
        <f>AF184-D184</f>
        <v>0</v>
      </c>
      <c r="AK184" s="47"/>
      <c r="AL184" s="49">
        <f>C184/B184*1000</f>
        <v>38.59809834852215</v>
      </c>
      <c r="AM184" s="49">
        <f>D184/B184*1000</f>
        <v>28.304055136110218</v>
      </c>
      <c r="AN184" s="47"/>
      <c r="AO184" s="49">
        <f>AL184-K184</f>
        <v>-2.5019016514778514</v>
      </c>
      <c r="AP184" s="49">
        <f>AM184-L184</f>
        <v>-1.7959448638897832</v>
      </c>
    </row>
    <row r="185" spans="1:42">
      <c r="A185" s="9" t="s">
        <v>195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1" t="s">
        <v>12</v>
      </c>
      <c r="L185" s="11" t="s">
        <v>12</v>
      </c>
      <c r="M185" s="30"/>
      <c r="N185" s="10">
        <v>8701</v>
      </c>
      <c r="O185" s="10">
        <v>2727</v>
      </c>
      <c r="P185" s="10">
        <v>2606</v>
      </c>
      <c r="Q185" s="10">
        <v>5697</v>
      </c>
      <c r="R185" s="10">
        <v>3962</v>
      </c>
      <c r="S185" s="10">
        <v>4715</v>
      </c>
      <c r="T185" s="10">
        <v>3259</v>
      </c>
      <c r="U185" s="10">
        <v>6995</v>
      </c>
      <c r="V185" s="10">
        <v>3653</v>
      </c>
      <c r="W185" s="10">
        <v>4202</v>
      </c>
      <c r="X185" s="10"/>
      <c r="Y185" s="10"/>
      <c r="Z185" s="10"/>
      <c r="AA185" s="10"/>
      <c r="AB185" s="10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</row>
    <row r="186" spans="1:42">
      <c r="A186" s="9" t="s">
        <v>196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1" t="s">
        <v>12</v>
      </c>
      <c r="L186" s="11" t="s">
        <v>12</v>
      </c>
      <c r="M186" s="30"/>
      <c r="N186" s="10">
        <v>7205</v>
      </c>
      <c r="O186" s="10">
        <v>1797</v>
      </c>
      <c r="P186" s="10">
        <v>1661</v>
      </c>
      <c r="Q186" s="10">
        <v>3720</v>
      </c>
      <c r="R186" s="10">
        <v>2945</v>
      </c>
      <c r="S186" s="10">
        <v>3058</v>
      </c>
      <c r="T186" s="10">
        <v>2441</v>
      </c>
      <c r="U186" s="10">
        <v>5328</v>
      </c>
      <c r="V186" s="10">
        <v>3057</v>
      </c>
      <c r="W186" s="10">
        <v>2899</v>
      </c>
      <c r="X186" s="10"/>
      <c r="Y186" s="10"/>
      <c r="Z186" s="10"/>
      <c r="AA186" s="10"/>
      <c r="AB186" s="10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</row>
    <row r="187" spans="1:42">
      <c r="A187" s="60" t="s">
        <v>197</v>
      </c>
      <c r="B187" s="61">
        <v>66343424</v>
      </c>
      <c r="C187" s="61">
        <v>3164627</v>
      </c>
      <c r="D187" s="61">
        <v>2270522</v>
      </c>
      <c r="E187" s="61"/>
      <c r="F187" s="61"/>
      <c r="G187" s="61"/>
      <c r="H187" s="61">
        <v>64050822</v>
      </c>
      <c r="I187" s="61">
        <v>3105305</v>
      </c>
      <c r="J187" s="61">
        <v>2335697</v>
      </c>
      <c r="K187" s="62">
        <v>47.7</v>
      </c>
      <c r="L187" s="62">
        <v>33.200000000000003</v>
      </c>
      <c r="M187" s="63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47"/>
      <c r="AD187" s="50">
        <f>SUM(AD81:AD186)</f>
        <v>66322421</v>
      </c>
      <c r="AE187" s="50">
        <f>SUM(AE81:AE186)</f>
        <v>3199652</v>
      </c>
      <c r="AF187" s="50">
        <f>SUM(AF81:AF186)</f>
        <v>2278917</v>
      </c>
      <c r="AG187" s="47"/>
      <c r="AH187" s="50">
        <f>AD187-B187</f>
        <v>-21003</v>
      </c>
      <c r="AI187" s="50">
        <f>AE187-C187</f>
        <v>35025</v>
      </c>
      <c r="AJ187" s="50">
        <f>AF187-D187</f>
        <v>8395</v>
      </c>
      <c r="AK187" s="47"/>
      <c r="AL187" s="51">
        <f>C187/B187*1000</f>
        <v>47.70068846612439</v>
      </c>
      <c r="AM187" s="51">
        <f>D187/B187*1000</f>
        <v>34.223768734034593</v>
      </c>
      <c r="AN187" s="52"/>
      <c r="AO187" s="51">
        <f>AL187-K187</f>
        <v>6.8846612438733246E-4</v>
      </c>
      <c r="AP187" s="51">
        <f>AM187-L187</f>
        <v>1.02376873403459</v>
      </c>
    </row>
    <row r="188" spans="1:42">
      <c r="A188" s="54" t="s">
        <v>198</v>
      </c>
      <c r="B188" s="55">
        <v>2168784</v>
      </c>
      <c r="C188" s="55">
        <v>125690</v>
      </c>
      <c r="D188" s="55">
        <v>68329</v>
      </c>
      <c r="E188" s="55">
        <v>264909</v>
      </c>
      <c r="F188" s="55">
        <v>12646</v>
      </c>
      <c r="G188" s="55">
        <v>8997</v>
      </c>
      <c r="H188" s="55">
        <v>1977226</v>
      </c>
      <c r="I188" s="55">
        <v>117220</v>
      </c>
      <c r="J188" s="55">
        <v>80855</v>
      </c>
      <c r="K188" s="56">
        <v>57.9</v>
      </c>
      <c r="L188" s="56">
        <v>31.5</v>
      </c>
      <c r="M188" s="30"/>
      <c r="N188" s="55">
        <v>168124</v>
      </c>
      <c r="O188" s="55">
        <v>229150</v>
      </c>
      <c r="P188" s="55">
        <v>197198</v>
      </c>
      <c r="Q188" s="55">
        <v>407487</v>
      </c>
      <c r="R188" s="55">
        <v>263266</v>
      </c>
      <c r="S188" s="55">
        <v>56232</v>
      </c>
      <c r="T188" s="55">
        <v>424828</v>
      </c>
      <c r="U188" s="55">
        <v>209596</v>
      </c>
      <c r="V188" s="55">
        <v>212903</v>
      </c>
      <c r="W188" s="55"/>
      <c r="X188" s="55"/>
      <c r="Y188" s="55"/>
      <c r="Z188" s="55"/>
      <c r="AA188" s="55"/>
      <c r="AB188" s="55"/>
      <c r="AC188" s="47"/>
      <c r="AD188" s="48">
        <f>SUM(N188:AB188)</f>
        <v>2168784</v>
      </c>
      <c r="AE188" s="48">
        <f>SUM(N189:AB189)</f>
        <v>125690</v>
      </c>
      <c r="AF188" s="48">
        <f>SUM(N190:AB190)</f>
        <v>68329</v>
      </c>
      <c r="AG188" s="47"/>
      <c r="AH188" s="48">
        <f>AD188-B188</f>
        <v>0</v>
      </c>
      <c r="AI188" s="48">
        <f>AE188-C188</f>
        <v>0</v>
      </c>
      <c r="AJ188" s="48">
        <f>AF188-D188</f>
        <v>0</v>
      </c>
      <c r="AK188" s="47"/>
      <c r="AL188" s="49">
        <f>C188/B188*1000</f>
        <v>57.954134667168333</v>
      </c>
      <c r="AM188" s="49">
        <f>D188/B188*1000</f>
        <v>31.505673225180558</v>
      </c>
      <c r="AN188" s="47"/>
      <c r="AO188" s="49">
        <f>AL188-K188</f>
        <v>5.4134667168334261E-2</v>
      </c>
      <c r="AP188" s="49">
        <f>AM188-L188</f>
        <v>5.673225180558461E-3</v>
      </c>
    </row>
    <row r="189" spans="1:42">
      <c r="A189" s="9" t="s">
        <v>199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1" t="s">
        <v>12</v>
      </c>
      <c r="L189" s="11" t="s">
        <v>12</v>
      </c>
      <c r="M189" s="30"/>
      <c r="N189" s="10">
        <v>13656</v>
      </c>
      <c r="O189" s="10">
        <v>15330</v>
      </c>
      <c r="P189" s="10">
        <v>9539</v>
      </c>
      <c r="Q189" s="10">
        <v>24828</v>
      </c>
      <c r="R189" s="10">
        <v>15598</v>
      </c>
      <c r="S189" s="10">
        <v>2775</v>
      </c>
      <c r="T189" s="10">
        <v>21885</v>
      </c>
      <c r="U189" s="10">
        <v>10928</v>
      </c>
      <c r="V189" s="10">
        <v>11151</v>
      </c>
      <c r="W189" s="10"/>
      <c r="X189" s="10"/>
      <c r="Y189" s="10"/>
      <c r="Z189" s="10"/>
      <c r="AA189" s="10"/>
      <c r="AB189" s="10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</row>
    <row r="190" spans="1:42">
      <c r="A190" s="9" t="s">
        <v>200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1" t="s">
        <v>12</v>
      </c>
      <c r="L190" s="11" t="s">
        <v>12</v>
      </c>
      <c r="M190" s="30"/>
      <c r="N190" s="10">
        <v>7336</v>
      </c>
      <c r="O190" s="10">
        <v>7295</v>
      </c>
      <c r="P190" s="10">
        <v>4075</v>
      </c>
      <c r="Q190" s="10">
        <v>10128</v>
      </c>
      <c r="R190" s="10">
        <v>9383</v>
      </c>
      <c r="S190" s="10">
        <v>1656</v>
      </c>
      <c r="T190" s="10">
        <v>13800</v>
      </c>
      <c r="U190" s="10">
        <v>6436</v>
      </c>
      <c r="V190" s="10">
        <v>8220</v>
      </c>
      <c r="W190" s="10"/>
      <c r="X190" s="10"/>
      <c r="Y190" s="10"/>
      <c r="Z190" s="10"/>
      <c r="AA190" s="10"/>
      <c r="AB190" s="10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</row>
    <row r="191" spans="1:42">
      <c r="A191" s="60" t="s">
        <v>201</v>
      </c>
      <c r="B191" s="61">
        <v>101111922</v>
      </c>
      <c r="C191" s="61">
        <v>4651704</v>
      </c>
      <c r="D191" s="61">
        <v>3240169</v>
      </c>
      <c r="E191" s="61"/>
      <c r="F191" s="61"/>
      <c r="G191" s="61"/>
      <c r="H191" s="61">
        <v>96772953</v>
      </c>
      <c r="I191" s="61">
        <v>4535007</v>
      </c>
      <c r="J191" s="61">
        <v>3024095</v>
      </c>
      <c r="K191" s="62">
        <v>46.1</v>
      </c>
      <c r="L191" s="62">
        <v>31.1</v>
      </c>
      <c r="M191" s="63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47"/>
      <c r="AD191" s="45">
        <f>SUM(AD38, AD70, AD80, AD187, AD188)</f>
        <v>101004130</v>
      </c>
      <c r="AE191" s="45">
        <f>SUM(AE38, AE70, AE80, AE187, AE188)</f>
        <v>4685625</v>
      </c>
      <c r="AF191" s="45">
        <f>SUM(AF38, AF70, AF80, AF187, AF188)</f>
        <v>3243313</v>
      </c>
      <c r="AG191" s="47"/>
      <c r="AH191" s="50">
        <f>AD191-B191</f>
        <v>-107792</v>
      </c>
      <c r="AI191" s="50">
        <f>AE191-C191</f>
        <v>33921</v>
      </c>
      <c r="AJ191" s="50">
        <f>AF191-D191</f>
        <v>3144</v>
      </c>
      <c r="AK191" s="47"/>
      <c r="AL191" s="51">
        <f>C191/B191*1000</f>
        <v>46.005494782306677</v>
      </c>
      <c r="AM191" s="51">
        <f>D191/B191*1000</f>
        <v>32.045370475699201</v>
      </c>
      <c r="AN191" s="52"/>
      <c r="AO191" s="51">
        <f>AL191-K191</f>
        <v>-9.4505217693324539E-2</v>
      </c>
      <c r="AP191" s="51">
        <f>AM191-L191</f>
        <v>0.94537047569919963</v>
      </c>
    </row>
    <row r="192" spans="1:42">
      <c r="A192" s="54" t="s">
        <v>202</v>
      </c>
      <c r="B192" s="55">
        <v>779303</v>
      </c>
      <c r="C192" s="55">
        <v>14809</v>
      </c>
      <c r="D192" s="55">
        <v>11510</v>
      </c>
      <c r="E192" s="55">
        <v>158290</v>
      </c>
      <c r="F192" s="55">
        <v>2807</v>
      </c>
      <c r="G192" s="55">
        <v>2484</v>
      </c>
      <c r="H192" s="55">
        <v>797405</v>
      </c>
      <c r="I192" s="55">
        <v>19253</v>
      </c>
      <c r="J192" s="55">
        <v>17998</v>
      </c>
      <c r="K192" s="56">
        <v>26</v>
      </c>
      <c r="L192" s="56">
        <v>17</v>
      </c>
      <c r="M192" s="30"/>
      <c r="N192" s="55">
        <v>177632</v>
      </c>
      <c r="O192" s="55">
        <v>78521</v>
      </c>
      <c r="P192" s="55">
        <v>98651</v>
      </c>
      <c r="Q192" s="55">
        <v>173673</v>
      </c>
      <c r="R192" s="55">
        <v>128161</v>
      </c>
      <c r="S192" s="55">
        <v>122665</v>
      </c>
      <c r="T192" s="55"/>
      <c r="U192" s="55"/>
      <c r="V192" s="55"/>
      <c r="W192" s="55"/>
      <c r="X192" s="55"/>
      <c r="Y192" s="55"/>
      <c r="Z192" s="55"/>
      <c r="AA192" s="55"/>
      <c r="AB192" s="55"/>
      <c r="AC192" s="47"/>
      <c r="AD192" s="48">
        <f>SUM(N192:AB192)</f>
        <v>779303</v>
      </c>
      <c r="AE192" s="48">
        <f>SUM(N193:AB193)</f>
        <v>14809</v>
      </c>
      <c r="AF192" s="48">
        <f>SUM(N194:AB194)</f>
        <v>11510</v>
      </c>
      <c r="AG192" s="47"/>
      <c r="AH192" s="48">
        <f>AD192-B192</f>
        <v>0</v>
      </c>
      <c r="AI192" s="48">
        <f>AE192-C192</f>
        <v>0</v>
      </c>
      <c r="AJ192" s="48">
        <f>AF192-D192</f>
        <v>0</v>
      </c>
      <c r="AK192" s="47"/>
      <c r="AL192" s="49">
        <f>C192/B192*1000</f>
        <v>19.002878212967229</v>
      </c>
      <c r="AM192" s="49">
        <f>D192/B192*1000</f>
        <v>14.769608226838598</v>
      </c>
      <c r="AN192" s="47"/>
      <c r="AO192" s="49">
        <f>AL192-K192</f>
        <v>-6.9971217870327713</v>
      </c>
      <c r="AP192" s="49">
        <f>AM192-L192</f>
        <v>-2.2303917731614025</v>
      </c>
    </row>
    <row r="193" spans="1:42">
      <c r="A193" s="9" t="s">
        <v>203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1" t="s">
        <v>12</v>
      </c>
      <c r="L193" s="11" t="s">
        <v>12</v>
      </c>
      <c r="M193" s="30"/>
      <c r="N193" s="10">
        <v>3004</v>
      </c>
      <c r="O193" s="10">
        <v>2527</v>
      </c>
      <c r="P193" s="10">
        <v>1397</v>
      </c>
      <c r="Q193" s="10">
        <v>3343</v>
      </c>
      <c r="R193" s="10">
        <v>1418</v>
      </c>
      <c r="S193" s="10">
        <v>3120</v>
      </c>
      <c r="T193" s="10"/>
      <c r="U193" s="10"/>
      <c r="V193" s="10"/>
      <c r="W193" s="10"/>
      <c r="X193" s="10"/>
      <c r="Y193" s="10"/>
      <c r="Z193" s="10"/>
      <c r="AA193" s="10"/>
      <c r="AB193" s="10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</row>
    <row r="194" spans="1:42">
      <c r="A194" s="9" t="s">
        <v>204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1" t="s">
        <v>12</v>
      </c>
      <c r="L194" s="11" t="s">
        <v>12</v>
      </c>
      <c r="M194" s="30"/>
      <c r="N194" s="10">
        <v>2844</v>
      </c>
      <c r="O194" s="10">
        <v>1595</v>
      </c>
      <c r="P194" s="10">
        <v>614</v>
      </c>
      <c r="Q194" s="10">
        <v>3550</v>
      </c>
      <c r="R194" s="10">
        <v>841</v>
      </c>
      <c r="S194" s="10">
        <v>2066</v>
      </c>
      <c r="T194" s="10"/>
      <c r="U194" s="10"/>
      <c r="V194" s="10"/>
      <c r="W194" s="10"/>
      <c r="X194" s="10"/>
      <c r="Y194" s="10"/>
      <c r="Z194" s="10"/>
      <c r="AA194" s="10"/>
      <c r="AB194" s="10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</row>
    <row r="195" spans="1:42">
      <c r="A195" s="54" t="s">
        <v>205</v>
      </c>
      <c r="B195" s="55">
        <v>648512</v>
      </c>
      <c r="C195" s="55">
        <v>10546</v>
      </c>
      <c r="D195" s="55">
        <v>10393</v>
      </c>
      <c r="E195" s="64" t="s">
        <v>12</v>
      </c>
      <c r="F195" s="64" t="s">
        <v>12</v>
      </c>
      <c r="G195" s="64" t="s">
        <v>12</v>
      </c>
      <c r="H195" s="55">
        <v>628192</v>
      </c>
      <c r="I195" s="55">
        <v>13315</v>
      </c>
      <c r="J195" s="55">
        <v>14579</v>
      </c>
      <c r="K195" s="56" t="s">
        <v>12</v>
      </c>
      <c r="L195" s="56" t="s">
        <v>12</v>
      </c>
      <c r="M195" s="30"/>
      <c r="N195" s="55">
        <v>34770</v>
      </c>
      <c r="O195" s="55">
        <v>49406</v>
      </c>
      <c r="P195" s="55">
        <v>60848</v>
      </c>
      <c r="Q195" s="55">
        <v>79915</v>
      </c>
      <c r="R195" s="55">
        <v>74395</v>
      </c>
      <c r="S195" s="55">
        <v>76064</v>
      </c>
      <c r="T195" s="55">
        <v>52358</v>
      </c>
      <c r="U195" s="55">
        <v>79043</v>
      </c>
      <c r="V195" s="55">
        <v>66606</v>
      </c>
      <c r="W195" s="55">
        <v>74007</v>
      </c>
      <c r="X195" s="55"/>
      <c r="Y195" s="55"/>
      <c r="Z195" s="55"/>
      <c r="AA195" s="55"/>
      <c r="AB195" s="55"/>
      <c r="AC195" s="47"/>
      <c r="AD195" s="48">
        <f>SUM(N195:AB195)</f>
        <v>647412</v>
      </c>
      <c r="AE195" s="48">
        <f>SUM(N196:AB196)</f>
        <v>10546</v>
      </c>
      <c r="AF195" s="48">
        <f>SUM(N197:AB197)</f>
        <v>10393</v>
      </c>
      <c r="AG195" s="47"/>
      <c r="AH195" s="48">
        <f>AD195-B195</f>
        <v>-1100</v>
      </c>
      <c r="AI195" s="48">
        <f>AE195-C195</f>
        <v>0</v>
      </c>
      <c r="AJ195" s="48">
        <f>AF195-D195</f>
        <v>0</v>
      </c>
      <c r="AK195" s="47"/>
      <c r="AL195" s="49">
        <f>C195/B195*1000</f>
        <v>16.261842494818911</v>
      </c>
      <c r="AM195" s="49">
        <f>D195/B195*1000</f>
        <v>16.025917793348462</v>
      </c>
      <c r="AN195" s="47"/>
      <c r="AO195" s="49"/>
      <c r="AP195" s="49"/>
    </row>
    <row r="196" spans="1:42">
      <c r="A196" s="9" t="s">
        <v>206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1" t="s">
        <v>12</v>
      </c>
      <c r="L196" s="11" t="s">
        <v>12</v>
      </c>
      <c r="M196" s="30"/>
      <c r="N196" s="10">
        <v>631</v>
      </c>
      <c r="O196" s="10">
        <v>1128</v>
      </c>
      <c r="P196" s="10">
        <v>1086</v>
      </c>
      <c r="Q196" s="10">
        <v>1205</v>
      </c>
      <c r="R196" s="10">
        <v>686</v>
      </c>
      <c r="S196" s="10">
        <v>1606</v>
      </c>
      <c r="T196" s="10">
        <v>1455</v>
      </c>
      <c r="U196" s="12" t="s">
        <v>12</v>
      </c>
      <c r="V196" s="10">
        <v>1465</v>
      </c>
      <c r="W196" s="10">
        <v>1284</v>
      </c>
      <c r="X196" s="10"/>
      <c r="Y196" s="10"/>
      <c r="Z196" s="10"/>
      <c r="AA196" s="10"/>
      <c r="AB196" s="10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</row>
    <row r="197" spans="1:42">
      <c r="A197" s="9" t="s">
        <v>207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1" t="s">
        <v>12</v>
      </c>
      <c r="L197" s="11" t="s">
        <v>12</v>
      </c>
      <c r="M197" s="30"/>
      <c r="N197" s="10">
        <v>518</v>
      </c>
      <c r="O197" s="10">
        <v>581</v>
      </c>
      <c r="P197" s="10">
        <v>1045</v>
      </c>
      <c r="Q197" s="10">
        <v>1465</v>
      </c>
      <c r="R197" s="10">
        <v>779</v>
      </c>
      <c r="S197" s="10">
        <v>1467</v>
      </c>
      <c r="T197" s="10">
        <v>1053</v>
      </c>
      <c r="U197" s="12" t="s">
        <v>12</v>
      </c>
      <c r="V197" s="10">
        <v>1254</v>
      </c>
      <c r="W197" s="10">
        <v>2231</v>
      </c>
      <c r="X197" s="10"/>
      <c r="Y197" s="10"/>
      <c r="Z197" s="10"/>
      <c r="AA197" s="10"/>
      <c r="AB197" s="10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</row>
    <row r="198" spans="1:42">
      <c r="A198" s="54" t="s">
        <v>208</v>
      </c>
      <c r="B198" s="55">
        <v>808015</v>
      </c>
      <c r="C198" s="55">
        <v>21359</v>
      </c>
      <c r="D198" s="55">
        <v>11225</v>
      </c>
      <c r="E198" s="55">
        <v>86574</v>
      </c>
      <c r="F198" s="55">
        <v>2645</v>
      </c>
      <c r="G198" s="55">
        <v>1783</v>
      </c>
      <c r="H198" s="55">
        <v>771373</v>
      </c>
      <c r="I198" s="55">
        <v>20710</v>
      </c>
      <c r="J198" s="55">
        <v>15193</v>
      </c>
      <c r="K198" s="56">
        <v>26.4</v>
      </c>
      <c r="L198" s="56">
        <v>14</v>
      </c>
      <c r="M198" s="30"/>
      <c r="N198" s="55">
        <v>140844</v>
      </c>
      <c r="O198" s="55">
        <v>58827</v>
      </c>
      <c r="P198" s="55">
        <v>53709</v>
      </c>
      <c r="Q198" s="55">
        <v>59160</v>
      </c>
      <c r="R198" s="55">
        <v>135051</v>
      </c>
      <c r="S198" s="55">
        <v>96700</v>
      </c>
      <c r="T198" s="55">
        <v>119244</v>
      </c>
      <c r="U198" s="55">
        <v>144480</v>
      </c>
      <c r="V198" s="55"/>
      <c r="W198" s="55"/>
      <c r="X198" s="55"/>
      <c r="Y198" s="55"/>
      <c r="Z198" s="55"/>
      <c r="AA198" s="55"/>
      <c r="AB198" s="55"/>
      <c r="AC198" s="47"/>
      <c r="AD198" s="48">
        <f>SUM(N198:AB198)</f>
        <v>808015</v>
      </c>
      <c r="AE198" s="48">
        <f>SUM(N199:AB199)</f>
        <v>21359</v>
      </c>
      <c r="AF198" s="48">
        <f>SUM(N200:AB200)</f>
        <v>12225</v>
      </c>
      <c r="AG198" s="47"/>
      <c r="AH198" s="48">
        <f>AD198-B198</f>
        <v>0</v>
      </c>
      <c r="AI198" s="48">
        <f>AE198-C198</f>
        <v>0</v>
      </c>
      <c r="AJ198" s="48">
        <f>AF198-D198</f>
        <v>1000</v>
      </c>
      <c r="AK198" s="47"/>
      <c r="AL198" s="49">
        <f>C198/B198*1000</f>
        <v>26.433915211970074</v>
      </c>
      <c r="AM198" s="49">
        <f>D198/B198*1000</f>
        <v>13.892068835355779</v>
      </c>
      <c r="AN198" s="47"/>
      <c r="AO198" s="49">
        <f>AL198-K198</f>
        <v>3.3915211970075632E-2</v>
      </c>
      <c r="AP198" s="49">
        <f>AM198-L198</f>
        <v>-0.1079311646442207</v>
      </c>
    </row>
    <row r="199" spans="1:42">
      <c r="A199" s="9" t="s">
        <v>209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1" t="s">
        <v>12</v>
      </c>
      <c r="L199" s="11" t="s">
        <v>12</v>
      </c>
      <c r="M199" s="30"/>
      <c r="N199" s="10">
        <v>3353</v>
      </c>
      <c r="O199" s="10">
        <v>1775</v>
      </c>
      <c r="P199" s="10">
        <v>1080</v>
      </c>
      <c r="Q199" s="10">
        <v>847</v>
      </c>
      <c r="R199" s="10">
        <v>3227</v>
      </c>
      <c r="S199" s="10">
        <v>3417</v>
      </c>
      <c r="T199" s="10">
        <v>4089</v>
      </c>
      <c r="U199" s="10">
        <v>3571</v>
      </c>
      <c r="V199" s="10"/>
      <c r="W199" s="10"/>
      <c r="X199" s="10"/>
      <c r="Y199" s="10"/>
      <c r="Z199" s="10"/>
      <c r="AA199" s="10"/>
      <c r="AB199" s="10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</row>
    <row r="200" spans="1:42">
      <c r="A200" s="9" t="s">
        <v>210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1" t="s">
        <v>12</v>
      </c>
      <c r="L200" s="11" t="s">
        <v>12</v>
      </c>
      <c r="M200" s="30"/>
      <c r="N200" s="10">
        <v>1726</v>
      </c>
      <c r="O200" s="10">
        <v>997</v>
      </c>
      <c r="P200" s="10">
        <v>604</v>
      </c>
      <c r="Q200" s="10">
        <v>386</v>
      </c>
      <c r="R200" s="10">
        <v>1135</v>
      </c>
      <c r="S200" s="10">
        <v>2527</v>
      </c>
      <c r="T200" s="10">
        <v>3269</v>
      </c>
      <c r="U200" s="10">
        <v>1581</v>
      </c>
      <c r="V200" s="10"/>
      <c r="W200" s="10"/>
      <c r="X200" s="10"/>
      <c r="Y200" s="10"/>
      <c r="Z200" s="10"/>
      <c r="AA200" s="10"/>
      <c r="AB200" s="10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</row>
    <row r="201" spans="1:42">
      <c r="A201" s="54" t="s">
        <v>211</v>
      </c>
      <c r="B201" s="55">
        <v>158982</v>
      </c>
      <c r="C201" s="55">
        <v>5996</v>
      </c>
      <c r="D201" s="55">
        <v>3291</v>
      </c>
      <c r="E201" s="64" t="s">
        <v>12</v>
      </c>
      <c r="F201" s="64" t="s">
        <v>12</v>
      </c>
      <c r="G201" s="64" t="s">
        <v>12</v>
      </c>
      <c r="H201" s="55">
        <v>232193</v>
      </c>
      <c r="I201" s="55">
        <v>8790</v>
      </c>
      <c r="J201" s="55">
        <v>1618</v>
      </c>
      <c r="K201" s="56" t="s">
        <v>12</v>
      </c>
      <c r="L201" s="56" t="s">
        <v>12</v>
      </c>
      <c r="M201" s="30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47"/>
      <c r="AD201" s="48">
        <f>B201</f>
        <v>158982</v>
      </c>
      <c r="AE201" s="48">
        <f>C201</f>
        <v>5996</v>
      </c>
      <c r="AF201" s="48">
        <f>D201</f>
        <v>3291</v>
      </c>
      <c r="AG201" s="47"/>
      <c r="AH201" s="53"/>
      <c r="AI201" s="53"/>
      <c r="AJ201" s="53"/>
      <c r="AK201" s="47"/>
      <c r="AL201" s="49">
        <f>C201/B201*1000</f>
        <v>37.714961442175841</v>
      </c>
      <c r="AM201" s="49">
        <f>D201/B201*1000</f>
        <v>20.700456655470429</v>
      </c>
      <c r="AN201" s="47"/>
      <c r="AO201" s="49"/>
      <c r="AP201" s="49"/>
    </row>
    <row r="202" spans="1:42">
      <c r="A202" s="54" t="s">
        <v>212</v>
      </c>
      <c r="B202" s="55">
        <v>1646698</v>
      </c>
      <c r="C202" s="55">
        <v>91164</v>
      </c>
      <c r="D202" s="55">
        <v>55941</v>
      </c>
      <c r="E202" s="55">
        <v>200277</v>
      </c>
      <c r="F202" s="55">
        <v>3478</v>
      </c>
      <c r="G202" s="55">
        <v>2572</v>
      </c>
      <c r="H202" s="55">
        <v>1445310</v>
      </c>
      <c r="I202" s="55">
        <v>87961</v>
      </c>
      <c r="J202" s="55">
        <v>65519</v>
      </c>
      <c r="K202" s="56">
        <v>54.7</v>
      </c>
      <c r="L202" s="56">
        <v>33.6</v>
      </c>
      <c r="M202" s="30"/>
      <c r="N202" s="55">
        <v>226326</v>
      </c>
      <c r="O202" s="55">
        <v>173703</v>
      </c>
      <c r="P202" s="55">
        <v>233085</v>
      </c>
      <c r="Q202" s="55">
        <v>192369</v>
      </c>
      <c r="R202" s="55">
        <v>267247</v>
      </c>
      <c r="S202" s="55">
        <v>234753</v>
      </c>
      <c r="T202" s="55">
        <v>259143</v>
      </c>
      <c r="U202" s="55">
        <v>60122</v>
      </c>
      <c r="V202" s="55"/>
      <c r="W202" s="55"/>
      <c r="X202" s="55"/>
      <c r="Y202" s="55"/>
      <c r="Z202" s="55"/>
      <c r="AA202" s="55"/>
      <c r="AB202" s="55"/>
      <c r="AC202" s="47"/>
      <c r="AD202" s="48">
        <f>SUM(N202:AB202)</f>
        <v>1646748</v>
      </c>
      <c r="AE202" s="48">
        <f>SUM(N203:AB203)</f>
        <v>91164</v>
      </c>
      <c r="AF202" s="48">
        <f>SUM(N204:AB204)</f>
        <v>55941</v>
      </c>
      <c r="AG202" s="47"/>
      <c r="AH202" s="48">
        <f>AD202-B202</f>
        <v>50</v>
      </c>
      <c r="AI202" s="48">
        <f>AE202-C202</f>
        <v>0</v>
      </c>
      <c r="AJ202" s="48">
        <f>AF202-D202</f>
        <v>0</v>
      </c>
      <c r="AK202" s="47"/>
      <c r="AL202" s="49">
        <f>C202/B202*1000</f>
        <v>55.36169959518989</v>
      </c>
      <c r="AM202" s="49">
        <f>D202/B202*1000</f>
        <v>33.971620782924376</v>
      </c>
      <c r="AN202" s="47"/>
      <c r="AO202" s="49">
        <f>AL202-K202</f>
        <v>0.66169959518988719</v>
      </c>
      <c r="AP202" s="49">
        <f>AM202-L202</f>
        <v>0.37162078292437428</v>
      </c>
    </row>
    <row r="203" spans="1:42">
      <c r="A203" s="9" t="s">
        <v>213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1" t="s">
        <v>12</v>
      </c>
      <c r="L203" s="11" t="s">
        <v>12</v>
      </c>
      <c r="M203" s="30"/>
      <c r="N203" s="10">
        <v>9556</v>
      </c>
      <c r="O203" s="10">
        <v>12036</v>
      </c>
      <c r="P203" s="10">
        <v>14329</v>
      </c>
      <c r="Q203" s="10">
        <v>14320</v>
      </c>
      <c r="R203" s="10">
        <v>13138</v>
      </c>
      <c r="S203" s="10">
        <v>10142</v>
      </c>
      <c r="T203" s="10">
        <v>15874</v>
      </c>
      <c r="U203" s="10">
        <v>1769</v>
      </c>
      <c r="V203" s="10"/>
      <c r="W203" s="10"/>
      <c r="X203" s="10"/>
      <c r="Y203" s="10"/>
      <c r="Z203" s="10"/>
      <c r="AA203" s="10"/>
      <c r="AB203" s="10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</row>
    <row r="204" spans="1:42">
      <c r="A204" s="9" t="s">
        <v>214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1" t="s">
        <v>12</v>
      </c>
      <c r="L204" s="11" t="s">
        <v>12</v>
      </c>
      <c r="M204" s="30"/>
      <c r="N204" s="10">
        <v>5152</v>
      </c>
      <c r="O204" s="10">
        <v>7821</v>
      </c>
      <c r="P204" s="10">
        <v>8526</v>
      </c>
      <c r="Q204" s="10">
        <v>7663</v>
      </c>
      <c r="R204" s="10">
        <v>9727</v>
      </c>
      <c r="S204" s="10">
        <v>7194</v>
      </c>
      <c r="T204" s="10">
        <v>8403</v>
      </c>
      <c r="U204" s="10">
        <v>1455</v>
      </c>
      <c r="V204" s="10"/>
      <c r="W204" s="10"/>
      <c r="X204" s="10"/>
      <c r="Y204" s="10"/>
      <c r="Z204" s="10"/>
      <c r="AA204" s="10"/>
      <c r="AB204" s="10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</row>
    <row r="205" spans="1:42">
      <c r="A205" s="54" t="s">
        <v>215</v>
      </c>
      <c r="B205" s="55">
        <v>991927</v>
      </c>
      <c r="C205" s="55">
        <v>29609</v>
      </c>
      <c r="D205" s="55">
        <v>16726</v>
      </c>
      <c r="E205" s="55">
        <v>48510</v>
      </c>
      <c r="F205" s="55">
        <v>1454</v>
      </c>
      <c r="G205" s="55">
        <v>1084</v>
      </c>
      <c r="H205" s="55">
        <v>961931</v>
      </c>
      <c r="I205" s="55">
        <v>28746</v>
      </c>
      <c r="J205" s="55">
        <v>15483</v>
      </c>
      <c r="K205" s="56">
        <v>30</v>
      </c>
      <c r="L205" s="56">
        <v>16.899999999999999</v>
      </c>
      <c r="M205" s="30"/>
      <c r="N205" s="55">
        <v>197513</v>
      </c>
      <c r="O205" s="55">
        <v>54418</v>
      </c>
      <c r="P205" s="55">
        <v>71979</v>
      </c>
      <c r="Q205" s="55">
        <v>107885</v>
      </c>
      <c r="R205" s="55">
        <v>50657</v>
      </c>
      <c r="S205" s="55">
        <v>83912</v>
      </c>
      <c r="T205" s="55">
        <v>80491</v>
      </c>
      <c r="U205" s="55">
        <v>106314</v>
      </c>
      <c r="V205" s="55">
        <v>83487</v>
      </c>
      <c r="W205" s="55">
        <v>155271</v>
      </c>
      <c r="X205" s="55"/>
      <c r="Y205" s="55"/>
      <c r="Z205" s="55"/>
      <c r="AA205" s="55"/>
      <c r="AB205" s="55"/>
      <c r="AC205" s="47"/>
      <c r="AD205" s="48">
        <f>SUM(N205:AB205)</f>
        <v>991927</v>
      </c>
      <c r="AE205" s="48">
        <f>SUM(N206:AB206)</f>
        <v>29609</v>
      </c>
      <c r="AF205" s="48">
        <f>SUM(N207:AB207)</f>
        <v>16726</v>
      </c>
      <c r="AG205" s="47"/>
      <c r="AH205" s="48">
        <f>AD205-B205</f>
        <v>0</v>
      </c>
      <c r="AI205" s="48">
        <f>AE205-C205</f>
        <v>0</v>
      </c>
      <c r="AJ205" s="48">
        <f>AF205-D205</f>
        <v>0</v>
      </c>
      <c r="AK205" s="47"/>
      <c r="AL205" s="49">
        <f>C205/B205*1000</f>
        <v>29.849978879494156</v>
      </c>
      <c r="AM205" s="49">
        <f>D205/B205*1000</f>
        <v>16.862127959013112</v>
      </c>
      <c r="AN205" s="47"/>
      <c r="AO205" s="49">
        <f>AL205-K205</f>
        <v>-0.15002112050584415</v>
      </c>
      <c r="AP205" s="49">
        <f>AM205-L205</f>
        <v>-3.7872040986886901E-2</v>
      </c>
    </row>
    <row r="206" spans="1:42">
      <c r="A206" s="9" t="s">
        <v>216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1" t="s">
        <v>12</v>
      </c>
      <c r="L206" s="11" t="s">
        <v>12</v>
      </c>
      <c r="M206" s="30"/>
      <c r="N206" s="10">
        <v>5755</v>
      </c>
      <c r="O206" s="10">
        <v>1717</v>
      </c>
      <c r="P206" s="10">
        <v>1865</v>
      </c>
      <c r="Q206" s="10">
        <v>3102</v>
      </c>
      <c r="R206" s="10">
        <v>1356</v>
      </c>
      <c r="S206" s="10">
        <v>2874</v>
      </c>
      <c r="T206" s="10">
        <v>2459</v>
      </c>
      <c r="U206" s="10">
        <v>3173</v>
      </c>
      <c r="V206" s="10">
        <v>2854</v>
      </c>
      <c r="W206" s="10">
        <v>4454</v>
      </c>
      <c r="X206" s="10"/>
      <c r="Y206" s="10"/>
      <c r="Z206" s="10"/>
      <c r="AA206" s="10"/>
      <c r="AB206" s="10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</row>
    <row r="207" spans="1:42">
      <c r="A207" s="9" t="s">
        <v>217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1" t="s">
        <v>12</v>
      </c>
      <c r="L207" s="11" t="s">
        <v>12</v>
      </c>
      <c r="M207" s="30"/>
      <c r="N207" s="10">
        <v>3208</v>
      </c>
      <c r="O207" s="10">
        <v>1085</v>
      </c>
      <c r="P207" s="10">
        <v>748</v>
      </c>
      <c r="Q207" s="10">
        <v>2026</v>
      </c>
      <c r="R207" s="10">
        <v>784</v>
      </c>
      <c r="S207" s="10">
        <v>1106</v>
      </c>
      <c r="T207" s="10">
        <v>1067</v>
      </c>
      <c r="U207" s="10">
        <v>1669</v>
      </c>
      <c r="V207" s="10">
        <v>2243</v>
      </c>
      <c r="W207" s="10">
        <v>2790</v>
      </c>
      <c r="X207" s="10"/>
      <c r="Y207" s="10"/>
      <c r="Z207" s="10"/>
      <c r="AA207" s="10"/>
      <c r="AB207" s="10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</row>
    <row r="208" spans="1:42">
      <c r="A208" s="54" t="s">
        <v>218</v>
      </c>
      <c r="B208" s="55">
        <v>714436</v>
      </c>
      <c r="C208" s="55">
        <v>49519</v>
      </c>
      <c r="D208" s="55">
        <v>31405</v>
      </c>
      <c r="E208" s="55">
        <v>38156</v>
      </c>
      <c r="F208" s="55">
        <v>2764</v>
      </c>
      <c r="G208" s="55">
        <v>1728</v>
      </c>
      <c r="H208" s="55">
        <v>681315</v>
      </c>
      <c r="I208" s="55">
        <v>43097</v>
      </c>
      <c r="J208" s="55">
        <v>33183</v>
      </c>
      <c r="K208" s="56">
        <v>69</v>
      </c>
      <c r="L208" s="56">
        <v>44</v>
      </c>
      <c r="M208" s="30"/>
      <c r="N208" s="55">
        <v>140845</v>
      </c>
      <c r="O208" s="55">
        <v>146528</v>
      </c>
      <c r="P208" s="55">
        <v>175989</v>
      </c>
      <c r="Q208" s="55">
        <v>202756</v>
      </c>
      <c r="R208" s="55">
        <v>48318</v>
      </c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47"/>
      <c r="AD208" s="48">
        <f>SUM(N208:AB208)</f>
        <v>714436</v>
      </c>
      <c r="AE208" s="48">
        <f>SUM(N209:AB209)</f>
        <v>49519</v>
      </c>
      <c r="AF208" s="48">
        <f>SUM(N210:AB210)</f>
        <v>31405</v>
      </c>
      <c r="AG208" s="47"/>
      <c r="AH208" s="48">
        <f>AD208-B208</f>
        <v>0</v>
      </c>
      <c r="AI208" s="48">
        <f>AE208-C208</f>
        <v>0</v>
      </c>
      <c r="AJ208" s="48">
        <f>AF208-D208</f>
        <v>0</v>
      </c>
      <c r="AK208" s="47"/>
      <c r="AL208" s="49">
        <f>C208/B208*1000</f>
        <v>69.312016751675444</v>
      </c>
      <c r="AM208" s="49">
        <f>D208/B208*1000</f>
        <v>43.957751289128765</v>
      </c>
      <c r="AN208" s="47"/>
      <c r="AO208" s="49">
        <f>AL208-K208</f>
        <v>0.31201675167544352</v>
      </c>
      <c r="AP208" s="49">
        <f>AM208-L208</f>
        <v>-4.2248710871234607E-2</v>
      </c>
    </row>
    <row r="209" spans="1:42">
      <c r="A209" s="9" t="s">
        <v>219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1" t="s">
        <v>12</v>
      </c>
      <c r="L209" s="11" t="s">
        <v>12</v>
      </c>
      <c r="M209" s="30"/>
      <c r="N209" s="10">
        <v>10108</v>
      </c>
      <c r="O209" s="10">
        <v>9602</v>
      </c>
      <c r="P209" s="10">
        <v>14695</v>
      </c>
      <c r="Q209" s="10">
        <v>14151</v>
      </c>
      <c r="R209" s="10">
        <v>963</v>
      </c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</row>
    <row r="210" spans="1:42">
      <c r="A210" s="9" t="s">
        <v>220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1" t="s">
        <v>12</v>
      </c>
      <c r="L210" s="11" t="s">
        <v>12</v>
      </c>
      <c r="M210" s="30"/>
      <c r="N210" s="10">
        <v>6622</v>
      </c>
      <c r="O210" s="10">
        <v>5649</v>
      </c>
      <c r="P210" s="10">
        <v>9449</v>
      </c>
      <c r="Q210" s="10">
        <v>8651</v>
      </c>
      <c r="R210" s="10">
        <v>1034</v>
      </c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</row>
    <row r="211" spans="1:42">
      <c r="A211" s="54" t="s">
        <v>221</v>
      </c>
      <c r="B211" s="55">
        <v>806099</v>
      </c>
      <c r="C211" s="55">
        <v>29427</v>
      </c>
      <c r="D211" s="55">
        <v>22226</v>
      </c>
      <c r="E211" s="55">
        <v>99755</v>
      </c>
      <c r="F211" s="55">
        <v>3955</v>
      </c>
      <c r="G211" s="55">
        <v>2725</v>
      </c>
      <c r="H211" s="55">
        <v>749458</v>
      </c>
      <c r="I211" s="55">
        <v>25031</v>
      </c>
      <c r="J211" s="55">
        <v>19044</v>
      </c>
      <c r="K211" s="56">
        <v>36.5</v>
      </c>
      <c r="L211" s="56">
        <v>27.6</v>
      </c>
      <c r="M211" s="30"/>
      <c r="N211" s="55">
        <v>134375</v>
      </c>
      <c r="O211" s="55">
        <v>184753</v>
      </c>
      <c r="P211" s="55">
        <v>85904</v>
      </c>
      <c r="Q211" s="55">
        <v>102985</v>
      </c>
      <c r="R211" s="55">
        <v>120703</v>
      </c>
      <c r="S211" s="55">
        <v>106574</v>
      </c>
      <c r="T211" s="55">
        <v>67905</v>
      </c>
      <c r="U211" s="55"/>
      <c r="V211" s="55"/>
      <c r="W211" s="55"/>
      <c r="X211" s="55"/>
      <c r="Y211" s="55"/>
      <c r="Z211" s="55"/>
      <c r="AA211" s="55"/>
      <c r="AB211" s="55"/>
      <c r="AC211" s="47"/>
      <c r="AD211" s="48">
        <f>SUM(N211:AB211)</f>
        <v>803199</v>
      </c>
      <c r="AE211" s="48">
        <f>SUM(N212:AB212)</f>
        <v>29427</v>
      </c>
      <c r="AF211" s="48">
        <f>SUM(N213:AB213)</f>
        <v>22226</v>
      </c>
      <c r="AG211" s="47"/>
      <c r="AH211" s="48">
        <f>AD211-B211</f>
        <v>-2900</v>
      </c>
      <c r="AI211" s="48">
        <f>AE211-C211</f>
        <v>0</v>
      </c>
      <c r="AJ211" s="48">
        <f>AF211-D211</f>
        <v>0</v>
      </c>
      <c r="AK211" s="47"/>
      <c r="AL211" s="49">
        <f>C211/B211*1000</f>
        <v>36.505441639302369</v>
      </c>
      <c r="AM211" s="49">
        <f>D211/B211*1000</f>
        <v>27.572295710576494</v>
      </c>
      <c r="AN211" s="47"/>
      <c r="AO211" s="49">
        <f>AL211-K211</f>
        <v>5.4416393023686283E-3</v>
      </c>
      <c r="AP211" s="49">
        <f>AM211-L211</f>
        <v>-2.7704289423507333E-2</v>
      </c>
    </row>
    <row r="212" spans="1:42">
      <c r="A212" s="9" t="s">
        <v>222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1" t="s">
        <v>12</v>
      </c>
      <c r="L212" s="11" t="s">
        <v>12</v>
      </c>
      <c r="M212" s="30"/>
      <c r="N212" s="10">
        <v>4456</v>
      </c>
      <c r="O212" s="10">
        <v>5085</v>
      </c>
      <c r="P212" s="10">
        <v>3635</v>
      </c>
      <c r="Q212" s="10">
        <v>2792</v>
      </c>
      <c r="R212" s="10">
        <v>8063</v>
      </c>
      <c r="S212" s="10">
        <v>3907</v>
      </c>
      <c r="T212" s="10">
        <v>1489</v>
      </c>
      <c r="U212" s="10"/>
      <c r="V212" s="10"/>
      <c r="W212" s="10"/>
      <c r="X212" s="10"/>
      <c r="Y212" s="10"/>
      <c r="Z212" s="10"/>
      <c r="AA212" s="10"/>
      <c r="AB212" s="10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</row>
    <row r="213" spans="1:42">
      <c r="A213" s="9" t="s">
        <v>223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1" t="s">
        <v>12</v>
      </c>
      <c r="L213" s="11" t="s">
        <v>12</v>
      </c>
      <c r="M213" s="30"/>
      <c r="N213" s="10">
        <v>2807</v>
      </c>
      <c r="O213" s="10">
        <v>2934</v>
      </c>
      <c r="P213" s="10">
        <v>3157</v>
      </c>
      <c r="Q213" s="10">
        <v>2514</v>
      </c>
      <c r="R213" s="10">
        <v>6482</v>
      </c>
      <c r="S213" s="10">
        <v>2660</v>
      </c>
      <c r="T213" s="10">
        <v>1672</v>
      </c>
      <c r="U213" s="10"/>
      <c r="V213" s="10"/>
      <c r="W213" s="10"/>
      <c r="X213" s="10"/>
      <c r="Y213" s="10"/>
      <c r="Z213" s="10"/>
      <c r="AA213" s="10"/>
      <c r="AB213" s="10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</row>
    <row r="214" spans="1:42">
      <c r="A214" s="54" t="s">
        <v>224</v>
      </c>
      <c r="B214" s="55">
        <v>833722</v>
      </c>
      <c r="C214" s="55">
        <v>31095</v>
      </c>
      <c r="D214" s="55">
        <v>20355</v>
      </c>
      <c r="E214" s="55">
        <v>155531</v>
      </c>
      <c r="F214" s="55">
        <v>5535</v>
      </c>
      <c r="G214" s="55">
        <v>4724</v>
      </c>
      <c r="H214" s="55">
        <v>817195</v>
      </c>
      <c r="I214" s="55">
        <v>28887</v>
      </c>
      <c r="J214" s="55">
        <v>18515</v>
      </c>
      <c r="K214" s="56">
        <v>37.299999999999997</v>
      </c>
      <c r="L214" s="56">
        <v>24.4</v>
      </c>
      <c r="M214" s="30"/>
      <c r="N214" s="55">
        <v>170401</v>
      </c>
      <c r="O214" s="55">
        <v>63799</v>
      </c>
      <c r="P214" s="55">
        <v>58791</v>
      </c>
      <c r="Q214" s="55">
        <v>101847</v>
      </c>
      <c r="R214" s="55">
        <v>180194</v>
      </c>
      <c r="S214" s="55">
        <v>70017</v>
      </c>
      <c r="T214" s="55">
        <v>88830</v>
      </c>
      <c r="U214" s="55">
        <v>65119</v>
      </c>
      <c r="V214" s="55">
        <v>34724</v>
      </c>
      <c r="W214" s="55"/>
      <c r="X214" s="55"/>
      <c r="Y214" s="55"/>
      <c r="Z214" s="55"/>
      <c r="AA214" s="55"/>
      <c r="AB214" s="55"/>
      <c r="AC214" s="47"/>
      <c r="AD214" s="48">
        <f>SUM(N214:AB214)</f>
        <v>833722</v>
      </c>
      <c r="AE214" s="48">
        <f>SUM(N215:AB215)</f>
        <v>31095</v>
      </c>
      <c r="AF214" s="48">
        <f>SUM(N216:AB216)</f>
        <v>20355</v>
      </c>
      <c r="AG214" s="47"/>
      <c r="AH214" s="48">
        <f>AD214-B214</f>
        <v>0</v>
      </c>
      <c r="AI214" s="48">
        <f>AE214-C214</f>
        <v>0</v>
      </c>
      <c r="AJ214" s="48">
        <f>AF214-D214</f>
        <v>0</v>
      </c>
      <c r="AK214" s="47"/>
      <c r="AL214" s="49">
        <f>C214/B214*1000</f>
        <v>37.296604863491666</v>
      </c>
      <c r="AM214" s="49">
        <f>D214/B214*1000</f>
        <v>24.41461302448538</v>
      </c>
      <c r="AN214" s="47"/>
      <c r="AO214" s="49">
        <f>AL214-K214</f>
        <v>-3.3951365083311202E-3</v>
      </c>
      <c r="AP214" s="49">
        <f>AM214-L214</f>
        <v>1.4613024485381487E-2</v>
      </c>
    </row>
    <row r="215" spans="1:42">
      <c r="A215" s="9" t="s">
        <v>225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1" t="s">
        <v>12</v>
      </c>
      <c r="L215" s="11" t="s">
        <v>12</v>
      </c>
      <c r="M215" s="30"/>
      <c r="N215" s="10">
        <v>6673</v>
      </c>
      <c r="O215" s="10">
        <v>3502</v>
      </c>
      <c r="P215" s="10">
        <v>1983</v>
      </c>
      <c r="Q215" s="10">
        <v>3778</v>
      </c>
      <c r="R215" s="10">
        <v>5429</v>
      </c>
      <c r="S215" s="10">
        <v>1980</v>
      </c>
      <c r="T215" s="10">
        <v>3681</v>
      </c>
      <c r="U215" s="10">
        <v>2862</v>
      </c>
      <c r="V215" s="10">
        <v>1207</v>
      </c>
      <c r="W215" s="10"/>
      <c r="X215" s="10"/>
      <c r="Y215" s="10"/>
      <c r="Z215" s="10"/>
      <c r="AA215" s="10"/>
      <c r="AB215" s="10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</row>
    <row r="216" spans="1:42">
      <c r="A216" s="9" t="s">
        <v>226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1" t="s">
        <v>12</v>
      </c>
      <c r="L216" s="11" t="s">
        <v>12</v>
      </c>
      <c r="M216" s="30"/>
      <c r="N216" s="10">
        <v>5530</v>
      </c>
      <c r="O216" s="10">
        <v>2671</v>
      </c>
      <c r="P216" s="10">
        <v>1104</v>
      </c>
      <c r="Q216" s="10">
        <v>1676</v>
      </c>
      <c r="R216" s="10">
        <v>3196</v>
      </c>
      <c r="S216" s="10">
        <v>1606</v>
      </c>
      <c r="T216" s="10">
        <v>1593</v>
      </c>
      <c r="U216" s="10">
        <v>2110</v>
      </c>
      <c r="V216" s="10">
        <v>869</v>
      </c>
      <c r="W216" s="10"/>
      <c r="X216" s="10"/>
      <c r="Y216" s="10"/>
      <c r="Z216" s="10"/>
      <c r="AA216" s="10"/>
      <c r="AB216" s="10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</row>
    <row r="217" spans="1:42">
      <c r="A217" s="54" t="s">
        <v>227</v>
      </c>
      <c r="B217" s="55">
        <v>716607</v>
      </c>
      <c r="C217" s="55">
        <v>30837</v>
      </c>
      <c r="D217" s="55">
        <v>17141</v>
      </c>
      <c r="E217" s="64" t="s">
        <v>12</v>
      </c>
      <c r="F217" s="55">
        <v>2173</v>
      </c>
      <c r="G217" s="55">
        <v>2224</v>
      </c>
      <c r="H217" s="55">
        <v>666628</v>
      </c>
      <c r="I217" s="55">
        <v>19737</v>
      </c>
      <c r="J217" s="55">
        <v>12493</v>
      </c>
      <c r="K217" s="56">
        <v>43</v>
      </c>
      <c r="L217" s="56">
        <v>25</v>
      </c>
      <c r="M217" s="30"/>
      <c r="N217" s="64" t="s">
        <v>12</v>
      </c>
      <c r="O217" s="64" t="s">
        <v>12</v>
      </c>
      <c r="P217" s="64" t="s">
        <v>12</v>
      </c>
      <c r="Q217" s="64" t="s">
        <v>12</v>
      </c>
      <c r="R217" s="64" t="s">
        <v>12</v>
      </c>
      <c r="S217" s="64" t="s">
        <v>12</v>
      </c>
      <c r="T217" s="64" t="s">
        <v>12</v>
      </c>
      <c r="U217" s="55"/>
      <c r="V217" s="55"/>
      <c r="W217" s="55"/>
      <c r="X217" s="55"/>
      <c r="Y217" s="55"/>
      <c r="Z217" s="55"/>
      <c r="AA217" s="55"/>
      <c r="AB217" s="55"/>
      <c r="AC217" s="47"/>
      <c r="AD217" s="48">
        <f>SUM(N217:AB217)</f>
        <v>0</v>
      </c>
      <c r="AE217" s="48">
        <f>SUM(N218:AB218)</f>
        <v>30837</v>
      </c>
      <c r="AF217" s="48">
        <f>SUM(N219:AB219)</f>
        <v>17741</v>
      </c>
      <c r="AG217" s="47"/>
      <c r="AH217" s="48">
        <f>AD217-B217</f>
        <v>-716607</v>
      </c>
      <c r="AI217" s="48">
        <f>AE217-C217</f>
        <v>0</v>
      </c>
      <c r="AJ217" s="48">
        <f>AF217-D217</f>
        <v>600</v>
      </c>
      <c r="AK217" s="47"/>
      <c r="AL217" s="49">
        <f>C217/B217*1000</f>
        <v>43.031954753442264</v>
      </c>
      <c r="AM217" s="49">
        <f>D217/B217*1000</f>
        <v>23.919665869856143</v>
      </c>
      <c r="AN217" s="47"/>
      <c r="AO217" s="49">
        <f>AL217-K217</f>
        <v>3.195475344226395E-2</v>
      </c>
      <c r="AP217" s="49">
        <f>AM217-L217</f>
        <v>-1.0803341301438572</v>
      </c>
    </row>
    <row r="218" spans="1:42">
      <c r="A218" s="9" t="s">
        <v>228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11" t="s">
        <v>12</v>
      </c>
      <c r="L218" s="11" t="s">
        <v>12</v>
      </c>
      <c r="M218" s="30"/>
      <c r="N218" s="10">
        <v>3994</v>
      </c>
      <c r="O218" s="10">
        <v>7229</v>
      </c>
      <c r="P218" s="10">
        <v>4924</v>
      </c>
      <c r="Q218" s="10">
        <v>4956</v>
      </c>
      <c r="R218" s="10">
        <v>3585</v>
      </c>
      <c r="S218" s="10">
        <v>1986</v>
      </c>
      <c r="T218" s="10">
        <v>4163</v>
      </c>
      <c r="U218" s="10"/>
      <c r="V218" s="10"/>
      <c r="W218" s="10"/>
      <c r="X218" s="10"/>
      <c r="Y218" s="10"/>
      <c r="Z218" s="10"/>
      <c r="AA218" s="10"/>
      <c r="AB218" s="10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</row>
    <row r="219" spans="1:42">
      <c r="A219" s="9" t="s">
        <v>229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11" t="s">
        <v>12</v>
      </c>
      <c r="L219" s="11" t="s">
        <v>12</v>
      </c>
      <c r="M219" s="30"/>
      <c r="N219" s="10">
        <v>1894</v>
      </c>
      <c r="O219" s="10">
        <v>6321</v>
      </c>
      <c r="P219" s="10">
        <v>1273</v>
      </c>
      <c r="Q219" s="10">
        <v>2821</v>
      </c>
      <c r="R219" s="10">
        <v>1652</v>
      </c>
      <c r="S219" s="10">
        <v>631</v>
      </c>
      <c r="T219" s="10">
        <v>3149</v>
      </c>
      <c r="U219" s="10"/>
      <c r="V219" s="10"/>
      <c r="W219" s="10"/>
      <c r="X219" s="10"/>
      <c r="Y219" s="10"/>
      <c r="Z219" s="10"/>
      <c r="AA219" s="10"/>
      <c r="AB219" s="10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</row>
    <row r="220" spans="1:42">
      <c r="A220" s="60" t="s">
        <v>230</v>
      </c>
      <c r="B220" s="61">
        <v>8177452</v>
      </c>
      <c r="C220" s="61">
        <v>314361</v>
      </c>
      <c r="D220" s="61">
        <v>200813</v>
      </c>
      <c r="E220" s="61"/>
      <c r="F220" s="61"/>
      <c r="G220" s="61"/>
      <c r="H220" s="61">
        <v>7764448</v>
      </c>
      <c r="I220" s="61">
        <v>341500</v>
      </c>
      <c r="J220" s="61">
        <v>209316</v>
      </c>
      <c r="K220" s="62">
        <v>40.799999999999997</v>
      </c>
      <c r="L220" s="62">
        <v>25.6</v>
      </c>
      <c r="M220" s="30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47"/>
      <c r="AD220" s="50">
        <f>SUM(AD192:AD219)</f>
        <v>7383744</v>
      </c>
      <c r="AE220" s="50">
        <f>SUM(AE192:AE219)</f>
        <v>314361</v>
      </c>
      <c r="AF220" s="50">
        <f>SUM(AF192:AF219)</f>
        <v>201813</v>
      </c>
      <c r="AG220" s="47"/>
      <c r="AH220" s="50">
        <f>AD220-B220</f>
        <v>-793708</v>
      </c>
      <c r="AI220" s="50">
        <f>AE220-C220</f>
        <v>0</v>
      </c>
      <c r="AJ220" s="50">
        <f>AF220-D220</f>
        <v>1000</v>
      </c>
      <c r="AK220" s="47"/>
      <c r="AL220" s="51">
        <f>C220/B220*1000</f>
        <v>38.442414580972169</v>
      </c>
      <c r="AM220" s="51">
        <f>D220/B220*1000</f>
        <v>24.556915772785949</v>
      </c>
      <c r="AN220" s="52"/>
      <c r="AO220" s="51">
        <f>AL220-K220</f>
        <v>-2.3575854190278278</v>
      </c>
      <c r="AP220" s="51">
        <f>AM220-L220</f>
        <v>-1.0430842272140524</v>
      </c>
    </row>
    <row r="221" spans="1:42">
      <c r="A221" s="54" t="s">
        <v>231</v>
      </c>
      <c r="B221" s="55">
        <v>59076</v>
      </c>
      <c r="C221" s="55">
        <v>2833</v>
      </c>
      <c r="D221" s="55">
        <v>2001</v>
      </c>
      <c r="E221" s="64" t="s">
        <v>12</v>
      </c>
      <c r="F221" s="64" t="s">
        <v>12</v>
      </c>
      <c r="G221" s="64" t="s">
        <v>12</v>
      </c>
      <c r="H221" s="64" t="s">
        <v>12</v>
      </c>
      <c r="I221" s="64" t="s">
        <v>12</v>
      </c>
      <c r="J221" s="64" t="s">
        <v>12</v>
      </c>
      <c r="K221" s="65">
        <v>48</v>
      </c>
      <c r="L221" s="65">
        <v>34</v>
      </c>
      <c r="M221" s="66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47"/>
      <c r="AD221" s="48">
        <f>B221</f>
        <v>59076</v>
      </c>
      <c r="AE221" s="48">
        <f>C221</f>
        <v>2833</v>
      </c>
      <c r="AF221" s="48">
        <f>D221</f>
        <v>2001</v>
      </c>
      <c r="AG221" s="47"/>
      <c r="AH221" s="48">
        <f>AD221-B221</f>
        <v>0</v>
      </c>
      <c r="AI221" s="48">
        <f>AE221-C221</f>
        <v>0</v>
      </c>
      <c r="AJ221" s="48">
        <f>AF221-D221</f>
        <v>0</v>
      </c>
      <c r="AK221" s="47"/>
      <c r="AL221" s="49">
        <f>C221/B221*1000</f>
        <v>47.955176382964318</v>
      </c>
      <c r="AM221" s="49">
        <f>D221/B221*1000</f>
        <v>33.871622994109288</v>
      </c>
      <c r="AN221" s="47"/>
      <c r="AO221" s="49">
        <f>AL221-K221</f>
        <v>-4.4823617035682162E-2</v>
      </c>
      <c r="AP221" s="49">
        <f>AM221-L221</f>
        <v>-0.12837700589071233</v>
      </c>
    </row>
    <row r="222" spans="1:42">
      <c r="A222" s="54" t="s">
        <v>232</v>
      </c>
      <c r="B222" s="55">
        <v>483170</v>
      </c>
      <c r="C222" s="55">
        <v>25914</v>
      </c>
      <c r="D222" s="55">
        <v>17272</v>
      </c>
      <c r="E222" s="55">
        <v>44787</v>
      </c>
      <c r="F222" s="55">
        <v>2024</v>
      </c>
      <c r="G222" s="55">
        <v>2035</v>
      </c>
      <c r="H222" s="55">
        <v>470855</v>
      </c>
      <c r="I222" s="55">
        <v>24087</v>
      </c>
      <c r="J222" s="55">
        <v>17934</v>
      </c>
      <c r="K222" s="56">
        <v>53.5</v>
      </c>
      <c r="L222" s="56">
        <v>35.700000000000003</v>
      </c>
      <c r="M222" s="30"/>
      <c r="N222" s="55">
        <v>90878</v>
      </c>
      <c r="O222" s="55">
        <v>82195</v>
      </c>
      <c r="P222" s="55">
        <v>71807</v>
      </c>
      <c r="Q222" s="55">
        <v>79052</v>
      </c>
      <c r="R222" s="55">
        <v>147918</v>
      </c>
      <c r="S222" s="55">
        <v>11320</v>
      </c>
      <c r="T222" s="55"/>
      <c r="U222" s="55"/>
      <c r="V222" s="55"/>
      <c r="W222" s="55"/>
      <c r="X222" s="55"/>
      <c r="Y222" s="55"/>
      <c r="Z222" s="55"/>
      <c r="AA222" s="55"/>
      <c r="AB222" s="55"/>
      <c r="AC222" s="47"/>
      <c r="AD222" s="48">
        <f>SUM(N222:AB222)</f>
        <v>483170</v>
      </c>
      <c r="AE222" s="48">
        <f>SUM(N223:AB223)</f>
        <v>25914</v>
      </c>
      <c r="AF222" s="48">
        <f>SUM(N224:AB224)</f>
        <v>17272</v>
      </c>
      <c r="AG222" s="47"/>
      <c r="AH222" s="48">
        <f>AD222-B222</f>
        <v>0</v>
      </c>
      <c r="AI222" s="48">
        <f>AE222-C222</f>
        <v>0</v>
      </c>
      <c r="AJ222" s="48">
        <f>AF222-D222</f>
        <v>0</v>
      </c>
      <c r="AK222" s="47"/>
      <c r="AL222" s="49">
        <f>C222/B222*1000</f>
        <v>53.633296769253064</v>
      </c>
      <c r="AM222" s="49">
        <f>D222/B222*1000</f>
        <v>35.747252519817046</v>
      </c>
      <c r="AN222" s="47"/>
      <c r="AO222" s="49">
        <f>AL222-K222</f>
        <v>0.13329676925306444</v>
      </c>
      <c r="AP222" s="49">
        <f>AM222-L222</f>
        <v>4.7252519817043037E-2</v>
      </c>
    </row>
    <row r="223" spans="1:42">
      <c r="A223" s="9" t="s">
        <v>233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1" t="s">
        <v>12</v>
      </c>
      <c r="L223" s="11" t="s">
        <v>12</v>
      </c>
      <c r="M223" s="30"/>
      <c r="N223" s="10">
        <v>4214</v>
      </c>
      <c r="O223" s="10">
        <v>4893</v>
      </c>
      <c r="P223" s="10">
        <v>3068</v>
      </c>
      <c r="Q223" s="10">
        <v>4039</v>
      </c>
      <c r="R223" s="10">
        <v>9258</v>
      </c>
      <c r="S223" s="10">
        <v>442</v>
      </c>
      <c r="T223" s="10"/>
      <c r="U223" s="10"/>
      <c r="V223" s="10"/>
      <c r="W223" s="10"/>
      <c r="X223" s="10"/>
      <c r="Y223" s="10"/>
      <c r="Z223" s="10"/>
      <c r="AA223" s="10"/>
      <c r="AB223" s="10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</row>
    <row r="224" spans="1:42">
      <c r="A224" s="9" t="s">
        <v>234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1" t="s">
        <v>12</v>
      </c>
      <c r="L224" s="11" t="s">
        <v>12</v>
      </c>
      <c r="M224" s="30"/>
      <c r="N224" s="10">
        <v>3258</v>
      </c>
      <c r="O224" s="10">
        <v>3561</v>
      </c>
      <c r="P224" s="10">
        <v>2280</v>
      </c>
      <c r="Q224" s="10">
        <v>2897</v>
      </c>
      <c r="R224" s="10">
        <v>5053</v>
      </c>
      <c r="S224" s="10">
        <v>223</v>
      </c>
      <c r="T224" s="10"/>
      <c r="U224" s="10"/>
      <c r="V224" s="10"/>
      <c r="W224" s="10"/>
      <c r="X224" s="10"/>
      <c r="Y224" s="10"/>
      <c r="Z224" s="10"/>
      <c r="AA224" s="10"/>
      <c r="AB224" s="10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</row>
    <row r="225" spans="1:42">
      <c r="A225" s="54" t="s">
        <v>235</v>
      </c>
      <c r="B225" s="55">
        <v>607738</v>
      </c>
      <c r="C225" s="55">
        <v>20379</v>
      </c>
      <c r="D225" s="55">
        <v>13459</v>
      </c>
      <c r="E225" s="64" t="s">
        <v>12</v>
      </c>
      <c r="F225" s="64" t="s">
        <v>12</v>
      </c>
      <c r="G225" s="64" t="s">
        <v>12</v>
      </c>
      <c r="H225" s="55">
        <v>546722</v>
      </c>
      <c r="I225" s="55">
        <v>19582</v>
      </c>
      <c r="J225" s="55">
        <v>12678</v>
      </c>
      <c r="K225" s="56">
        <v>33.5</v>
      </c>
      <c r="L225" s="56">
        <v>22.1</v>
      </c>
      <c r="M225" s="30"/>
      <c r="N225" s="55">
        <v>123069</v>
      </c>
      <c r="O225" s="55">
        <v>30185</v>
      </c>
      <c r="P225" s="55">
        <v>22000</v>
      </c>
      <c r="Q225" s="55">
        <v>159018</v>
      </c>
      <c r="R225" s="55">
        <v>77349</v>
      </c>
      <c r="S225" s="55">
        <v>67010</v>
      </c>
      <c r="T225" s="55">
        <v>99940</v>
      </c>
      <c r="U225" s="55">
        <v>30067</v>
      </c>
      <c r="V225" s="55"/>
      <c r="W225" s="55"/>
      <c r="X225" s="55"/>
      <c r="Y225" s="55"/>
      <c r="Z225" s="55"/>
      <c r="AA225" s="55"/>
      <c r="AB225" s="55"/>
      <c r="AC225" s="47"/>
      <c r="AD225" s="48">
        <f>SUM(N225:AB225)</f>
        <v>608638</v>
      </c>
      <c r="AE225" s="48">
        <f>SUM(N226:AB226)</f>
        <v>20379</v>
      </c>
      <c r="AF225" s="48">
        <f>SUM(N227:AB227)</f>
        <v>13468</v>
      </c>
      <c r="AG225" s="47"/>
      <c r="AH225" s="48">
        <f>AD225-B225</f>
        <v>900</v>
      </c>
      <c r="AI225" s="48">
        <f>AE225-C225</f>
        <v>0</v>
      </c>
      <c r="AJ225" s="48">
        <f>AF225-D225</f>
        <v>9</v>
      </c>
      <c r="AK225" s="47"/>
      <c r="AL225" s="49">
        <f>C225/B225*1000</f>
        <v>33.532541983552122</v>
      </c>
      <c r="AM225" s="49">
        <f>D225/B225*1000</f>
        <v>22.146056359812945</v>
      </c>
      <c r="AN225" s="47"/>
      <c r="AO225" s="49">
        <f>AL225-K225</f>
        <v>3.2541983552121678E-2</v>
      </c>
      <c r="AP225" s="49">
        <f>AM225-L225</f>
        <v>4.6056359812943981E-2</v>
      </c>
    </row>
    <row r="226" spans="1:42">
      <c r="A226" s="9" t="s">
        <v>236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1" t="s">
        <v>12</v>
      </c>
      <c r="L226" s="11" t="s">
        <v>12</v>
      </c>
      <c r="M226" s="30"/>
      <c r="N226" s="10">
        <v>3302</v>
      </c>
      <c r="O226" s="10">
        <v>1205</v>
      </c>
      <c r="P226" s="10">
        <v>624</v>
      </c>
      <c r="Q226" s="10">
        <v>5007</v>
      </c>
      <c r="R226" s="10">
        <v>3907</v>
      </c>
      <c r="S226" s="10">
        <v>2865</v>
      </c>
      <c r="T226" s="10">
        <v>2413</v>
      </c>
      <c r="U226" s="10">
        <v>1056</v>
      </c>
      <c r="V226" s="10"/>
      <c r="W226" s="10"/>
      <c r="X226" s="10"/>
      <c r="Y226" s="10"/>
      <c r="Z226" s="10"/>
      <c r="AA226" s="10"/>
      <c r="AB226" s="10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</row>
    <row r="227" spans="1:42">
      <c r="A227" s="9" t="s">
        <v>237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1" t="s">
        <v>12</v>
      </c>
      <c r="L227" s="11" t="s">
        <v>12</v>
      </c>
      <c r="M227" s="30"/>
      <c r="N227" s="10">
        <v>2273</v>
      </c>
      <c r="O227" s="10">
        <v>617</v>
      </c>
      <c r="P227" s="10">
        <v>561</v>
      </c>
      <c r="Q227" s="10">
        <v>3375</v>
      </c>
      <c r="R227" s="10">
        <v>2562</v>
      </c>
      <c r="S227" s="10">
        <v>1639</v>
      </c>
      <c r="T227" s="10">
        <v>1576</v>
      </c>
      <c r="U227" s="10">
        <v>865</v>
      </c>
      <c r="V227" s="10"/>
      <c r="W227" s="10"/>
      <c r="X227" s="10"/>
      <c r="Y227" s="10"/>
      <c r="Z227" s="10"/>
      <c r="AA227" s="10"/>
      <c r="AB227" s="10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</row>
    <row r="228" spans="1:42">
      <c r="A228" s="54" t="s">
        <v>238</v>
      </c>
      <c r="B228" s="55">
        <v>477519</v>
      </c>
      <c r="C228" s="55">
        <v>22440</v>
      </c>
      <c r="D228" s="55">
        <v>19440</v>
      </c>
      <c r="E228" s="55">
        <v>55025</v>
      </c>
      <c r="F228" s="55">
        <v>2585</v>
      </c>
      <c r="G228" s="55">
        <v>2466</v>
      </c>
      <c r="H228" s="55">
        <v>442753</v>
      </c>
      <c r="I228" s="55">
        <v>20523</v>
      </c>
      <c r="J228" s="55">
        <v>15996</v>
      </c>
      <c r="K228" s="56">
        <v>46.8</v>
      </c>
      <c r="L228" s="56">
        <v>40.700000000000003</v>
      </c>
      <c r="M228" s="30"/>
      <c r="N228" s="55">
        <v>145119</v>
      </c>
      <c r="O228" s="55">
        <v>131239</v>
      </c>
      <c r="P228" s="55">
        <v>65692</v>
      </c>
      <c r="Q228" s="55">
        <v>48088</v>
      </c>
      <c r="R228" s="55">
        <v>57381</v>
      </c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47"/>
      <c r="AD228" s="48">
        <f>SUM(N228:AB228)</f>
        <v>447519</v>
      </c>
      <c r="AE228" s="48">
        <f>SUM(N229:AB229)</f>
        <v>22440</v>
      </c>
      <c r="AF228" s="48">
        <f>SUM(N230:AB230)</f>
        <v>19440</v>
      </c>
      <c r="AG228" s="47"/>
      <c r="AH228" s="48">
        <f>AD228-B228</f>
        <v>-30000</v>
      </c>
      <c r="AI228" s="48">
        <f>AE228-C228</f>
        <v>0</v>
      </c>
      <c r="AJ228" s="48">
        <f>AF228-D228</f>
        <v>0</v>
      </c>
      <c r="AK228" s="47"/>
      <c r="AL228" s="49">
        <f>C228/B228*1000</f>
        <v>46.992894523568694</v>
      </c>
      <c r="AM228" s="49">
        <f>D228/B228*1000</f>
        <v>40.71042199367983</v>
      </c>
      <c r="AN228" s="47"/>
      <c r="AO228" s="49">
        <f>AL228-K228</f>
        <v>0.19289452356869674</v>
      </c>
      <c r="AP228" s="49">
        <f>AM228-L228</f>
        <v>1.0421993679827324E-2</v>
      </c>
    </row>
    <row r="229" spans="1:42">
      <c r="A229" s="9" t="s">
        <v>239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1" t="s">
        <v>12</v>
      </c>
      <c r="L229" s="11" t="s">
        <v>12</v>
      </c>
      <c r="M229" s="30"/>
      <c r="N229" s="10">
        <v>6999</v>
      </c>
      <c r="O229" s="10">
        <v>6205</v>
      </c>
      <c r="P229" s="10">
        <v>3154</v>
      </c>
      <c r="Q229" s="10">
        <v>2710</v>
      </c>
      <c r="R229" s="10">
        <v>3372</v>
      </c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</row>
    <row r="230" spans="1:42">
      <c r="A230" s="9" t="s">
        <v>240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1" t="s">
        <v>12</v>
      </c>
      <c r="L230" s="11" t="s">
        <v>12</v>
      </c>
      <c r="M230" s="30"/>
      <c r="N230" s="10">
        <v>7085</v>
      </c>
      <c r="O230" s="10">
        <v>5188</v>
      </c>
      <c r="P230" s="10">
        <v>2936</v>
      </c>
      <c r="Q230" s="10">
        <v>1718</v>
      </c>
      <c r="R230" s="10">
        <v>2513</v>
      </c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</row>
    <row r="231" spans="1:42">
      <c r="A231" s="54" t="s">
        <v>241</v>
      </c>
      <c r="B231" s="55">
        <v>147055</v>
      </c>
      <c r="C231" s="55">
        <v>5505</v>
      </c>
      <c r="D231" s="55">
        <v>3198</v>
      </c>
      <c r="E231" s="55">
        <v>39448</v>
      </c>
      <c r="F231" s="55">
        <v>1212</v>
      </c>
      <c r="G231" s="55">
        <v>919</v>
      </c>
      <c r="H231" s="55">
        <v>117436</v>
      </c>
      <c r="I231" s="55">
        <v>6366</v>
      </c>
      <c r="J231" s="55">
        <v>3530</v>
      </c>
      <c r="K231" s="56" t="s">
        <v>12</v>
      </c>
      <c r="L231" s="56" t="s">
        <v>12</v>
      </c>
      <c r="M231" s="30"/>
      <c r="N231" s="55">
        <v>17481</v>
      </c>
      <c r="O231" s="55">
        <v>10100</v>
      </c>
      <c r="P231" s="55">
        <v>6062</v>
      </c>
      <c r="Q231" s="55">
        <v>673</v>
      </c>
      <c r="R231" s="55">
        <v>10820</v>
      </c>
      <c r="S231" s="55">
        <v>4024</v>
      </c>
      <c r="T231" s="55">
        <v>7784</v>
      </c>
      <c r="U231" s="55">
        <v>7203</v>
      </c>
      <c r="V231" s="55">
        <v>82908</v>
      </c>
      <c r="W231" s="55"/>
      <c r="X231" s="55"/>
      <c r="Y231" s="55"/>
      <c r="Z231" s="55"/>
      <c r="AA231" s="55"/>
      <c r="AB231" s="55"/>
      <c r="AC231" s="47"/>
      <c r="AD231" s="48">
        <f>SUM(N231:AB231)</f>
        <v>147055</v>
      </c>
      <c r="AE231" s="48">
        <f>SUM(N232:AB232)</f>
        <v>5505</v>
      </c>
      <c r="AF231" s="48">
        <f>SUM(N233:AB233)</f>
        <v>3198</v>
      </c>
      <c r="AG231" s="47"/>
      <c r="AH231" s="48">
        <f>AD231-B231</f>
        <v>0</v>
      </c>
      <c r="AI231" s="48">
        <f>AE231-C231</f>
        <v>0</v>
      </c>
      <c r="AJ231" s="48">
        <f>AF231-D231</f>
        <v>0</v>
      </c>
      <c r="AK231" s="47"/>
      <c r="AL231" s="49">
        <f>C231/B231*1000</f>
        <v>37.434973309306045</v>
      </c>
      <c r="AM231" s="49">
        <f>D231/B231*1000</f>
        <v>21.746965421100949</v>
      </c>
      <c r="AN231" s="47"/>
      <c r="AO231" s="49" t="e">
        <f>AL231-K231</f>
        <v>#VALUE!</v>
      </c>
      <c r="AP231" s="49" t="e">
        <f>AM231-L231</f>
        <v>#VALUE!</v>
      </c>
    </row>
    <row r="232" spans="1:42">
      <c r="A232" s="9" t="s">
        <v>242</v>
      </c>
      <c r="B232" s="10"/>
      <c r="C232" s="10"/>
      <c r="D232" s="10"/>
      <c r="E232" s="10"/>
      <c r="F232" s="10"/>
      <c r="G232" s="10"/>
      <c r="H232" s="10"/>
      <c r="I232" s="10"/>
      <c r="J232" s="10"/>
      <c r="K232" s="11" t="s">
        <v>12</v>
      </c>
      <c r="L232" s="11" t="s">
        <v>12</v>
      </c>
      <c r="M232" s="30"/>
      <c r="N232" s="10">
        <v>741</v>
      </c>
      <c r="O232" s="12" t="s">
        <v>12</v>
      </c>
      <c r="P232" s="10">
        <v>75</v>
      </c>
      <c r="Q232" s="10">
        <v>42</v>
      </c>
      <c r="R232" s="10">
        <v>362</v>
      </c>
      <c r="S232" s="10">
        <v>125</v>
      </c>
      <c r="T232" s="10">
        <v>327</v>
      </c>
      <c r="U232" s="10">
        <v>280</v>
      </c>
      <c r="V232" s="10">
        <v>3553</v>
      </c>
      <c r="W232" s="10"/>
      <c r="X232" s="10"/>
      <c r="Y232" s="10"/>
      <c r="Z232" s="10"/>
      <c r="AA232" s="10"/>
      <c r="AB232" s="10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</row>
    <row r="233" spans="1:42">
      <c r="A233" s="9" t="s">
        <v>243</v>
      </c>
      <c r="B233" s="10"/>
      <c r="C233" s="10"/>
      <c r="D233" s="10"/>
      <c r="E233" s="10"/>
      <c r="F233" s="10"/>
      <c r="G233" s="10"/>
      <c r="H233" s="10"/>
      <c r="I233" s="10"/>
      <c r="J233" s="10"/>
      <c r="K233" s="11" t="s">
        <v>12</v>
      </c>
      <c r="L233" s="11" t="s">
        <v>12</v>
      </c>
      <c r="M233" s="30"/>
      <c r="N233" s="10">
        <v>273</v>
      </c>
      <c r="O233" s="12" t="s">
        <v>12</v>
      </c>
      <c r="P233" s="10">
        <v>34</v>
      </c>
      <c r="Q233" s="10">
        <v>44</v>
      </c>
      <c r="R233" s="10">
        <v>622</v>
      </c>
      <c r="S233" s="10">
        <v>66</v>
      </c>
      <c r="T233" s="10">
        <v>153</v>
      </c>
      <c r="U233" s="10">
        <v>110</v>
      </c>
      <c r="V233" s="10">
        <v>1896</v>
      </c>
      <c r="W233" s="10"/>
      <c r="X233" s="10"/>
      <c r="Y233" s="10"/>
      <c r="Z233" s="10"/>
      <c r="AA233" s="10"/>
      <c r="AB233" s="10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</row>
    <row r="234" spans="1:42">
      <c r="A234" s="54" t="s">
        <v>244</v>
      </c>
      <c r="B234" s="55">
        <v>1462658</v>
      </c>
      <c r="C234" s="55">
        <v>70413</v>
      </c>
      <c r="D234" s="55">
        <v>44927</v>
      </c>
      <c r="E234" s="55">
        <v>102813</v>
      </c>
      <c r="F234" s="55">
        <v>2390</v>
      </c>
      <c r="G234" s="55">
        <v>44927</v>
      </c>
      <c r="H234" s="55">
        <v>1402333</v>
      </c>
      <c r="I234" s="55">
        <v>71621</v>
      </c>
      <c r="J234" s="55">
        <v>65670</v>
      </c>
      <c r="K234" s="56">
        <v>48.2</v>
      </c>
      <c r="L234" s="56">
        <v>30.7</v>
      </c>
      <c r="M234" s="30"/>
      <c r="N234" s="55">
        <v>133412</v>
      </c>
      <c r="O234" s="55">
        <v>30492</v>
      </c>
      <c r="P234" s="55">
        <v>279473</v>
      </c>
      <c r="Q234" s="55">
        <v>278692</v>
      </c>
      <c r="R234" s="55">
        <v>7409</v>
      </c>
      <c r="S234" s="55">
        <v>159250</v>
      </c>
      <c r="T234" s="55">
        <v>71720</v>
      </c>
      <c r="U234" s="55">
        <v>175531</v>
      </c>
      <c r="V234" s="55">
        <v>128471</v>
      </c>
      <c r="W234" s="55">
        <v>198208</v>
      </c>
      <c r="X234" s="55"/>
      <c r="Y234" s="55"/>
      <c r="Z234" s="55"/>
      <c r="AA234" s="55"/>
      <c r="AB234" s="55"/>
      <c r="AC234" s="47"/>
      <c r="AD234" s="48">
        <f>SUM(N234:AB234)</f>
        <v>1462658</v>
      </c>
      <c r="AE234" s="48">
        <f>SUM(N235:AB235)</f>
        <v>70158</v>
      </c>
      <c r="AF234" s="48">
        <f>SUM(N236:AB236)</f>
        <v>44927</v>
      </c>
      <c r="AG234" s="47"/>
      <c r="AH234" s="48">
        <f>AD234-B234</f>
        <v>0</v>
      </c>
      <c r="AI234" s="48">
        <f>AE234-C234</f>
        <v>-255</v>
      </c>
      <c r="AJ234" s="48">
        <f>AF234-D234</f>
        <v>0</v>
      </c>
      <c r="AK234" s="47"/>
      <c r="AL234" s="49">
        <f>C234/B234*1000</f>
        <v>48.140440212271081</v>
      </c>
      <c r="AM234" s="49">
        <f>D234/B234*1000</f>
        <v>30.715997861427617</v>
      </c>
      <c r="AN234" s="47"/>
      <c r="AO234" s="49">
        <f>AL234-K234</f>
        <v>-5.9559787728922231E-2</v>
      </c>
      <c r="AP234" s="49">
        <f>AM234-L234</f>
        <v>1.5997861427617721E-2</v>
      </c>
    </row>
    <row r="235" spans="1:42">
      <c r="A235" s="9" t="s">
        <v>245</v>
      </c>
      <c r="B235" s="10"/>
      <c r="C235" s="10"/>
      <c r="D235" s="10"/>
      <c r="E235" s="10"/>
      <c r="F235" s="10"/>
      <c r="G235" s="10"/>
      <c r="H235" s="10"/>
      <c r="I235" s="10"/>
      <c r="J235" s="10"/>
      <c r="K235" s="11" t="s">
        <v>12</v>
      </c>
      <c r="L235" s="11" t="s">
        <v>12</v>
      </c>
      <c r="M235" s="30"/>
      <c r="N235" s="10">
        <v>6149</v>
      </c>
      <c r="O235" s="10">
        <v>923</v>
      </c>
      <c r="P235" s="10">
        <v>13162</v>
      </c>
      <c r="Q235" s="10">
        <v>11855</v>
      </c>
      <c r="R235" s="10">
        <v>287</v>
      </c>
      <c r="S235" s="10">
        <v>8586</v>
      </c>
      <c r="T235" s="10">
        <v>3950</v>
      </c>
      <c r="U235" s="10">
        <v>11416</v>
      </c>
      <c r="V235" s="10">
        <v>5439</v>
      </c>
      <c r="W235" s="10">
        <v>8391</v>
      </c>
      <c r="X235" s="10"/>
      <c r="Y235" s="10"/>
      <c r="Z235" s="10"/>
      <c r="AA235" s="10"/>
      <c r="AB235" s="10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</row>
    <row r="236" spans="1:42">
      <c r="A236" s="9" t="s">
        <v>246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1" t="s">
        <v>12</v>
      </c>
      <c r="L236" s="11" t="s">
        <v>12</v>
      </c>
      <c r="M236" s="30"/>
      <c r="N236" s="10">
        <v>3830</v>
      </c>
      <c r="O236" s="10">
        <v>487</v>
      </c>
      <c r="P236" s="10">
        <v>8000</v>
      </c>
      <c r="Q236" s="10">
        <v>8489</v>
      </c>
      <c r="R236" s="10">
        <v>354</v>
      </c>
      <c r="S236" s="10">
        <v>4859</v>
      </c>
      <c r="T236" s="10">
        <v>2698</v>
      </c>
      <c r="U236" s="10">
        <v>6031</v>
      </c>
      <c r="V236" s="10">
        <v>4336</v>
      </c>
      <c r="W236" s="10">
        <v>5843</v>
      </c>
      <c r="X236" s="10"/>
      <c r="Y236" s="10"/>
      <c r="Z236" s="10"/>
      <c r="AA236" s="10"/>
      <c r="AB236" s="10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</row>
    <row r="237" spans="1:42">
      <c r="A237" s="54" t="s">
        <v>247</v>
      </c>
      <c r="B237" s="55">
        <v>1417196</v>
      </c>
      <c r="C237" s="55">
        <v>88348</v>
      </c>
      <c r="D237" s="55">
        <v>51896</v>
      </c>
      <c r="E237" s="55">
        <v>113669</v>
      </c>
      <c r="F237" s="55">
        <v>5737</v>
      </c>
      <c r="G237" s="55">
        <v>4574</v>
      </c>
      <c r="H237" s="55">
        <v>1374836</v>
      </c>
      <c r="I237" s="55">
        <v>66423</v>
      </c>
      <c r="J237" s="55">
        <v>40175</v>
      </c>
      <c r="K237" s="56">
        <v>62.3</v>
      </c>
      <c r="L237" s="56">
        <v>36.6</v>
      </c>
      <c r="M237" s="30"/>
      <c r="N237" s="55">
        <v>303917</v>
      </c>
      <c r="O237" s="55">
        <v>364304</v>
      </c>
      <c r="P237" s="55">
        <v>383135</v>
      </c>
      <c r="Q237" s="55">
        <v>131717</v>
      </c>
      <c r="R237" s="55">
        <v>130026</v>
      </c>
      <c r="S237" s="55">
        <v>104097</v>
      </c>
      <c r="T237" s="55"/>
      <c r="U237" s="55"/>
      <c r="V237" s="55"/>
      <c r="W237" s="55"/>
      <c r="X237" s="55"/>
      <c r="Y237" s="55"/>
      <c r="Z237" s="55"/>
      <c r="AA237" s="55"/>
      <c r="AB237" s="55"/>
      <c r="AC237" s="47"/>
      <c r="AD237" s="48">
        <f>SUM(N237:AB237)</f>
        <v>1417196</v>
      </c>
      <c r="AE237" s="48">
        <f>SUM(N238:AB238)</f>
        <v>88348</v>
      </c>
      <c r="AF237" s="48">
        <f>SUM(N239:AB239)</f>
        <v>51896</v>
      </c>
      <c r="AG237" s="47"/>
      <c r="AH237" s="48">
        <f>AD237-B237</f>
        <v>0</v>
      </c>
      <c r="AI237" s="48">
        <f>AE237-C237</f>
        <v>0</v>
      </c>
      <c r="AJ237" s="48">
        <f>AF237-D237</f>
        <v>0</v>
      </c>
      <c r="AK237" s="47"/>
      <c r="AL237" s="49">
        <f>C237/B237*1000</f>
        <v>62.340000959641436</v>
      </c>
      <c r="AM237" s="49">
        <f>D237/B237*1000</f>
        <v>36.61878808576936</v>
      </c>
      <c r="AN237" s="47"/>
      <c r="AO237" s="49">
        <f>AL237-K237</f>
        <v>4.0000959641439238E-2</v>
      </c>
      <c r="AP237" s="49">
        <f>AM237-L237</f>
        <v>1.8788085769358531E-2</v>
      </c>
    </row>
    <row r="238" spans="1:42">
      <c r="A238" s="9" t="s">
        <v>248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1" t="s">
        <v>12</v>
      </c>
      <c r="L238" s="11" t="s">
        <v>12</v>
      </c>
      <c r="M238" s="30"/>
      <c r="N238" s="10">
        <v>12088</v>
      </c>
      <c r="O238" s="10">
        <v>30059</v>
      </c>
      <c r="P238" s="10">
        <v>26232</v>
      </c>
      <c r="Q238" s="10">
        <v>7092</v>
      </c>
      <c r="R238" s="10">
        <v>6911</v>
      </c>
      <c r="S238" s="10">
        <v>5966</v>
      </c>
      <c r="T238" s="10"/>
      <c r="U238" s="10"/>
      <c r="V238" s="10"/>
      <c r="W238" s="10"/>
      <c r="X238" s="10"/>
      <c r="Y238" s="10"/>
      <c r="Z238" s="10"/>
      <c r="AA238" s="10"/>
      <c r="AB238" s="10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</row>
    <row r="239" spans="1:42">
      <c r="A239" s="9" t="s">
        <v>249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1" t="s">
        <v>12</v>
      </c>
      <c r="L239" s="11" t="s">
        <v>12</v>
      </c>
      <c r="M239" s="30"/>
      <c r="N239" s="10">
        <v>7743</v>
      </c>
      <c r="O239" s="10">
        <v>14715</v>
      </c>
      <c r="P239" s="10">
        <v>18815</v>
      </c>
      <c r="Q239" s="10">
        <v>3449</v>
      </c>
      <c r="R239" s="10">
        <v>3592</v>
      </c>
      <c r="S239" s="10">
        <v>3582</v>
      </c>
      <c r="T239" s="10"/>
      <c r="U239" s="10"/>
      <c r="V239" s="10"/>
      <c r="W239" s="10"/>
      <c r="X239" s="10"/>
      <c r="Y239" s="10"/>
      <c r="Z239" s="10"/>
      <c r="AA239" s="10"/>
      <c r="AB239" s="10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</row>
    <row r="240" spans="1:42">
      <c r="A240" s="54" t="s">
        <v>250</v>
      </c>
      <c r="B240" s="55">
        <v>272875</v>
      </c>
      <c r="C240" s="55">
        <v>9652</v>
      </c>
      <c r="D240" s="55">
        <v>5003</v>
      </c>
      <c r="E240" s="55">
        <v>8123</v>
      </c>
      <c r="F240" s="55">
        <v>243</v>
      </c>
      <c r="G240" s="55">
        <v>125</v>
      </c>
      <c r="H240" s="55">
        <v>258272</v>
      </c>
      <c r="I240" s="55">
        <v>6096</v>
      </c>
      <c r="J240" s="55">
        <v>5757</v>
      </c>
      <c r="K240" s="56">
        <v>35.4</v>
      </c>
      <c r="L240" s="56">
        <v>18.3</v>
      </c>
      <c r="M240" s="30"/>
      <c r="N240" s="55">
        <v>159595</v>
      </c>
      <c r="O240" s="55">
        <v>13378</v>
      </c>
      <c r="P240" s="55">
        <v>77239</v>
      </c>
      <c r="Q240" s="55">
        <v>6471</v>
      </c>
      <c r="R240" s="55">
        <v>16192</v>
      </c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47"/>
      <c r="AD240" s="48">
        <f>SUM(N240:AB240)</f>
        <v>272875</v>
      </c>
      <c r="AE240" s="48">
        <f>SUM(N241:AB241)</f>
        <v>9652</v>
      </c>
      <c r="AF240" s="48">
        <f>SUM(N242:AB242)</f>
        <v>5003</v>
      </c>
      <c r="AG240" s="47"/>
      <c r="AH240" s="48">
        <f>AD240-B240</f>
        <v>0</v>
      </c>
      <c r="AI240" s="48">
        <f>AE240-C240</f>
        <v>0</v>
      </c>
      <c r="AJ240" s="48">
        <f>AF240-D240</f>
        <v>0</v>
      </c>
      <c r="AK240" s="47"/>
      <c r="AL240" s="49">
        <f>C240/B240*1000</f>
        <v>35.371507100320656</v>
      </c>
      <c r="AM240" s="49">
        <f>D240/B240*1000</f>
        <v>18.334402198808981</v>
      </c>
      <c r="AN240" s="47"/>
      <c r="AO240" s="49">
        <f>AL240-K240</f>
        <v>-2.8492899679342543E-2</v>
      </c>
      <c r="AP240" s="49">
        <f>AM240-L240</f>
        <v>3.4402198808979989E-2</v>
      </c>
    </row>
    <row r="241" spans="1:42">
      <c r="A241" s="9" t="s">
        <v>251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1" t="s">
        <v>12</v>
      </c>
      <c r="L241" s="11" t="s">
        <v>12</v>
      </c>
      <c r="M241" s="30"/>
      <c r="N241" s="10">
        <v>6156</v>
      </c>
      <c r="O241" s="10">
        <v>250</v>
      </c>
      <c r="P241" s="10">
        <v>2445</v>
      </c>
      <c r="Q241" s="10">
        <v>172</v>
      </c>
      <c r="R241" s="10">
        <v>629</v>
      </c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</row>
    <row r="242" spans="1:42">
      <c r="A242" s="9" t="s">
        <v>252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1" t="s">
        <v>12</v>
      </c>
      <c r="L242" s="11" t="s">
        <v>12</v>
      </c>
      <c r="M242" s="30"/>
      <c r="N242" s="10">
        <v>3154</v>
      </c>
      <c r="O242" s="10">
        <v>152</v>
      </c>
      <c r="P242" s="10">
        <v>1314</v>
      </c>
      <c r="Q242" s="10">
        <v>67</v>
      </c>
      <c r="R242" s="10">
        <v>316</v>
      </c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</row>
    <row r="243" spans="1:42">
      <c r="A243" s="54" t="s">
        <v>253</v>
      </c>
      <c r="B243" s="55">
        <v>21389</v>
      </c>
      <c r="C243" s="55">
        <v>582</v>
      </c>
      <c r="D243" s="55">
        <v>462</v>
      </c>
      <c r="E243" s="64" t="s">
        <v>12</v>
      </c>
      <c r="F243" s="64" t="s">
        <v>12</v>
      </c>
      <c r="G243" s="64" t="s">
        <v>12</v>
      </c>
      <c r="H243" s="55">
        <v>17775</v>
      </c>
      <c r="I243" s="55">
        <v>388</v>
      </c>
      <c r="J243" s="55">
        <v>319</v>
      </c>
      <c r="K243" s="56">
        <v>27.7</v>
      </c>
      <c r="L243" s="56">
        <v>22</v>
      </c>
      <c r="M243" s="30"/>
      <c r="N243" s="55">
        <v>9517</v>
      </c>
      <c r="O243" s="55">
        <v>4638</v>
      </c>
      <c r="P243" s="55">
        <v>7234</v>
      </c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47"/>
      <c r="AD243" s="48">
        <f>SUM(N243:AB243)</f>
        <v>21389</v>
      </c>
      <c r="AE243" s="48">
        <f>SUM(N244:AB244)</f>
        <v>582</v>
      </c>
      <c r="AF243" s="48">
        <f>SUM(N245:AB245)</f>
        <v>462</v>
      </c>
      <c r="AG243" s="47"/>
      <c r="AH243" s="48">
        <f>AD243-B243</f>
        <v>0</v>
      </c>
      <c r="AI243" s="48">
        <f>AE243-C243</f>
        <v>0</v>
      </c>
      <c r="AJ243" s="48">
        <f>AF243-D243</f>
        <v>0</v>
      </c>
      <c r="AK243" s="47"/>
      <c r="AL243" s="49">
        <f>C243/B243*1000</f>
        <v>27.210248258450605</v>
      </c>
      <c r="AM243" s="49">
        <f>D243/B243*1000</f>
        <v>21.599887792790685</v>
      </c>
      <c r="AN243" s="47"/>
      <c r="AO243" s="49">
        <f>AL243-K243</f>
        <v>-0.48975174154939438</v>
      </c>
      <c r="AP243" s="49">
        <f>AM243-L243</f>
        <v>-0.40011220720931462</v>
      </c>
    </row>
    <row r="244" spans="1:42">
      <c r="A244" s="9" t="s">
        <v>254</v>
      </c>
      <c r="B244" s="10"/>
      <c r="C244" s="10"/>
      <c r="D244" s="10"/>
      <c r="E244" s="10"/>
      <c r="F244" s="10"/>
      <c r="G244" s="10"/>
      <c r="H244" s="10"/>
      <c r="I244" s="10"/>
      <c r="J244" s="10"/>
      <c r="K244" s="11" t="s">
        <v>12</v>
      </c>
      <c r="L244" s="11" t="s">
        <v>12</v>
      </c>
      <c r="M244" s="30"/>
      <c r="N244" s="10">
        <v>218</v>
      </c>
      <c r="O244" s="10">
        <v>112</v>
      </c>
      <c r="P244" s="10">
        <v>252</v>
      </c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</row>
    <row r="245" spans="1:42">
      <c r="A245" s="9" t="s">
        <v>255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1" t="s">
        <v>12</v>
      </c>
      <c r="L245" s="11" t="s">
        <v>12</v>
      </c>
      <c r="M245" s="30"/>
      <c r="N245" s="10">
        <v>236</v>
      </c>
      <c r="O245" s="10">
        <v>98</v>
      </c>
      <c r="P245" s="10">
        <v>128</v>
      </c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</row>
    <row r="246" spans="1:42">
      <c r="A246" s="46" t="s">
        <v>256</v>
      </c>
      <c r="B246" s="13">
        <v>4948676</v>
      </c>
      <c r="C246" s="13">
        <v>246052</v>
      </c>
      <c r="D246" s="13">
        <v>157629</v>
      </c>
      <c r="E246" s="13"/>
      <c r="F246" s="13"/>
      <c r="G246" s="13"/>
      <c r="H246" s="13">
        <v>4670017</v>
      </c>
      <c r="I246" s="13">
        <v>209313</v>
      </c>
      <c r="J246" s="13">
        <v>157708</v>
      </c>
      <c r="K246" s="14">
        <v>50.2</v>
      </c>
      <c r="L246" s="14">
        <v>32.200000000000003</v>
      </c>
      <c r="M246" s="31"/>
      <c r="N246" s="13"/>
      <c r="O246" s="13"/>
      <c r="P246" s="13"/>
      <c r="Q246" s="13"/>
      <c r="R246" s="13"/>
      <c r="S246" s="13"/>
      <c r="T246" s="13"/>
      <c r="U246" s="35"/>
      <c r="V246" s="35"/>
      <c r="W246" s="35"/>
      <c r="X246" s="35"/>
      <c r="Y246" s="35"/>
      <c r="Z246" s="35"/>
      <c r="AA246" s="35"/>
      <c r="AB246" s="35"/>
      <c r="AC246" s="47"/>
      <c r="AD246" s="50">
        <f>SUM(AD221:AD245)</f>
        <v>4919576</v>
      </c>
      <c r="AE246" s="50">
        <f>SUM(AE221:AE245)</f>
        <v>245811</v>
      </c>
      <c r="AF246" s="50">
        <f>SUM(AF221:AF245)</f>
        <v>157667</v>
      </c>
      <c r="AG246" s="47"/>
      <c r="AH246" s="50">
        <f>AD246-B246</f>
        <v>-29100</v>
      </c>
      <c r="AI246" s="50">
        <f>AE246-C246</f>
        <v>-241</v>
      </c>
      <c r="AJ246" s="50">
        <f>AF246-D246</f>
        <v>38</v>
      </c>
      <c r="AK246" s="47"/>
      <c r="AL246" s="51">
        <f>C246/B246*1000</f>
        <v>49.720773798890853</v>
      </c>
      <c r="AM246" s="51">
        <f>D246/B246*1000</f>
        <v>31.852762233777273</v>
      </c>
      <c r="AN246" s="52"/>
      <c r="AO246" s="51">
        <f>AL246-K246</f>
        <v>-0.47922620110914949</v>
      </c>
      <c r="AP246" s="51">
        <f>AM246-L246</f>
        <v>-0.3472377662227295</v>
      </c>
    </row>
    <row r="247" spans="1:42">
      <c r="A247" s="36" t="s">
        <v>257</v>
      </c>
      <c r="B247" s="15">
        <v>547931</v>
      </c>
      <c r="C247" s="15">
        <v>14212</v>
      </c>
      <c r="D247" s="15">
        <v>9117</v>
      </c>
      <c r="E247" s="15">
        <v>74341</v>
      </c>
      <c r="F247" s="15">
        <v>2785</v>
      </c>
      <c r="G247" s="15">
        <v>1051</v>
      </c>
      <c r="H247" s="15">
        <v>518800</v>
      </c>
      <c r="I247" s="15">
        <v>15438</v>
      </c>
      <c r="J247" s="15">
        <v>11907</v>
      </c>
      <c r="K247" s="20" t="s">
        <v>12</v>
      </c>
      <c r="L247" s="20" t="s">
        <v>12</v>
      </c>
      <c r="M247" s="31"/>
      <c r="N247" s="15">
        <v>94656</v>
      </c>
      <c r="O247" s="15">
        <v>144625</v>
      </c>
      <c r="P247" s="15">
        <v>80273</v>
      </c>
      <c r="Q247" s="15">
        <v>114542</v>
      </c>
      <c r="R247" s="15">
        <v>113835</v>
      </c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47"/>
      <c r="AD247" s="48">
        <f>SUM(N247:AB247)</f>
        <v>547931</v>
      </c>
      <c r="AE247" s="48">
        <f>SUM(N248:AB248)</f>
        <v>14212</v>
      </c>
      <c r="AF247" s="48">
        <f>SUM(N249:AB249)</f>
        <v>9117</v>
      </c>
      <c r="AG247" s="47"/>
      <c r="AH247" s="48">
        <f>AD247-B247</f>
        <v>0</v>
      </c>
      <c r="AI247" s="48">
        <f>AE247-C247</f>
        <v>0</v>
      </c>
      <c r="AJ247" s="48">
        <f>AF247-D247</f>
        <v>0</v>
      </c>
      <c r="AK247" s="47"/>
      <c r="AL247" s="49">
        <f>C247/B247*1000</f>
        <v>25.93757243156529</v>
      </c>
      <c r="AM247" s="49">
        <f>D247/B247*1000</f>
        <v>16.638956364943763</v>
      </c>
      <c r="AN247" s="47"/>
      <c r="AO247" s="49"/>
      <c r="AP247" s="49"/>
    </row>
    <row r="248" spans="1:42">
      <c r="A248" s="38" t="s">
        <v>258</v>
      </c>
      <c r="B248" s="39"/>
      <c r="C248" s="39"/>
      <c r="D248" s="39"/>
      <c r="E248" s="39"/>
      <c r="F248" s="39"/>
      <c r="G248" s="39"/>
      <c r="H248" s="39"/>
      <c r="I248" s="39"/>
      <c r="J248" s="39"/>
      <c r="K248" s="40" t="s">
        <v>12</v>
      </c>
      <c r="L248" s="40" t="s">
        <v>12</v>
      </c>
      <c r="M248" s="41"/>
      <c r="N248" s="16">
        <v>2772</v>
      </c>
      <c r="O248" s="16">
        <v>3085</v>
      </c>
      <c r="P248" s="16">
        <v>1633</v>
      </c>
      <c r="Q248" s="16">
        <v>3237</v>
      </c>
      <c r="R248" s="16">
        <v>3485</v>
      </c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</row>
    <row r="249" spans="1:42">
      <c r="A249" s="38" t="s">
        <v>259</v>
      </c>
      <c r="B249" s="39"/>
      <c r="C249" s="39"/>
      <c r="D249" s="39"/>
      <c r="E249" s="39"/>
      <c r="F249" s="39"/>
      <c r="G249" s="39"/>
      <c r="H249" s="39"/>
      <c r="I249" s="39"/>
      <c r="J249" s="39"/>
      <c r="K249" s="40" t="s">
        <v>12</v>
      </c>
      <c r="L249" s="40" t="s">
        <v>12</v>
      </c>
      <c r="M249" s="41"/>
      <c r="N249" s="16">
        <v>1936</v>
      </c>
      <c r="O249" s="16">
        <v>1872</v>
      </c>
      <c r="P249" s="16">
        <v>956</v>
      </c>
      <c r="Q249" s="16">
        <v>1855</v>
      </c>
      <c r="R249" s="16">
        <v>2498</v>
      </c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</row>
    <row r="250" spans="1:42">
      <c r="A250" s="36" t="s">
        <v>260</v>
      </c>
      <c r="B250" s="15">
        <v>700000</v>
      </c>
      <c r="C250" s="17" t="s">
        <v>12</v>
      </c>
      <c r="D250" s="17" t="s">
        <v>12</v>
      </c>
      <c r="E250" s="17" t="s">
        <v>12</v>
      </c>
      <c r="F250" s="17" t="s">
        <v>12</v>
      </c>
      <c r="G250" s="17" t="s">
        <v>12</v>
      </c>
      <c r="H250" s="17" t="s">
        <v>12</v>
      </c>
      <c r="I250" s="17" t="s">
        <v>12</v>
      </c>
      <c r="J250" s="17" t="s">
        <v>12</v>
      </c>
      <c r="K250" s="18" t="s">
        <v>12</v>
      </c>
      <c r="L250" s="18" t="s">
        <v>12</v>
      </c>
      <c r="M250" s="32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47"/>
      <c r="AD250" s="48">
        <f>B250</f>
        <v>700000</v>
      </c>
      <c r="AE250" s="67" t="str">
        <f t="shared" ref="AE250:AF250" si="0">C250</f>
        <v>—</v>
      </c>
      <c r="AF250" s="67" t="str">
        <f t="shared" si="0"/>
        <v>—</v>
      </c>
      <c r="AG250" s="47"/>
      <c r="AH250" s="53"/>
      <c r="AI250" s="53"/>
      <c r="AJ250" s="53"/>
      <c r="AK250" s="47"/>
      <c r="AL250" s="49"/>
      <c r="AM250" s="49"/>
      <c r="AN250" s="47"/>
      <c r="AO250" s="49"/>
      <c r="AP250" s="49"/>
    </row>
    <row r="251" spans="1:42">
      <c r="A251" s="36" t="s">
        <v>261</v>
      </c>
      <c r="B251" s="15">
        <v>754574</v>
      </c>
      <c r="C251" s="17" t="s">
        <v>12</v>
      </c>
      <c r="D251" s="17" t="s">
        <v>12</v>
      </c>
      <c r="E251" s="15">
        <v>89461</v>
      </c>
      <c r="F251" s="17" t="s">
        <v>12</v>
      </c>
      <c r="G251" s="17" t="s">
        <v>12</v>
      </c>
      <c r="H251" s="15">
        <v>730179</v>
      </c>
      <c r="I251" s="17" t="s">
        <v>12</v>
      </c>
      <c r="J251" s="17" t="s">
        <v>12</v>
      </c>
      <c r="K251" s="18" t="s">
        <v>12</v>
      </c>
      <c r="L251" s="18" t="s">
        <v>12</v>
      </c>
      <c r="M251" s="32"/>
      <c r="N251" s="15">
        <v>362032</v>
      </c>
      <c r="O251" s="15">
        <v>159996</v>
      </c>
      <c r="P251" s="15">
        <v>114722</v>
      </c>
      <c r="Q251" s="15">
        <v>117824</v>
      </c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47"/>
      <c r="AD251" s="48">
        <f>SUM(N251:AB251)</f>
        <v>754574</v>
      </c>
      <c r="AE251" s="48">
        <f>SUM(N252:AB252)</f>
        <v>0</v>
      </c>
      <c r="AF251" s="48">
        <f>SUM(N253:AB253)</f>
        <v>0</v>
      </c>
      <c r="AG251" s="47"/>
      <c r="AH251" s="48">
        <f>AD251-B251</f>
        <v>0</v>
      </c>
      <c r="AI251" s="48"/>
      <c r="AJ251" s="48"/>
      <c r="AK251" s="47"/>
      <c r="AL251" s="49"/>
      <c r="AM251" s="49"/>
      <c r="AN251" s="47"/>
      <c r="AO251" s="49"/>
      <c r="AP251" s="49"/>
    </row>
    <row r="252" spans="1:42">
      <c r="A252" s="38" t="s">
        <v>262</v>
      </c>
      <c r="B252" s="39"/>
      <c r="C252" s="39"/>
      <c r="D252" s="39"/>
      <c r="E252" s="39"/>
      <c r="F252" s="39"/>
      <c r="G252" s="39"/>
      <c r="H252" s="39"/>
      <c r="I252" s="39"/>
      <c r="J252" s="39"/>
      <c r="K252" s="40" t="s">
        <v>12</v>
      </c>
      <c r="L252" s="40" t="s">
        <v>12</v>
      </c>
      <c r="M252" s="41"/>
      <c r="N252" s="19" t="s">
        <v>12</v>
      </c>
      <c r="O252" s="19" t="s">
        <v>12</v>
      </c>
      <c r="P252" s="19" t="s">
        <v>12</v>
      </c>
      <c r="Q252" s="19" t="s">
        <v>12</v>
      </c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</row>
    <row r="253" spans="1:42">
      <c r="A253" s="38" t="s">
        <v>263</v>
      </c>
      <c r="B253" s="39"/>
      <c r="C253" s="39"/>
      <c r="D253" s="39"/>
      <c r="E253" s="39"/>
      <c r="F253" s="39"/>
      <c r="G253" s="39"/>
      <c r="H253" s="39"/>
      <c r="I253" s="39"/>
      <c r="J253" s="39"/>
      <c r="K253" s="40" t="s">
        <v>12</v>
      </c>
      <c r="L253" s="40" t="s">
        <v>12</v>
      </c>
      <c r="M253" s="41"/>
      <c r="N253" s="19" t="s">
        <v>12</v>
      </c>
      <c r="O253" s="19" t="s">
        <v>12</v>
      </c>
      <c r="P253" s="19" t="s">
        <v>12</v>
      </c>
      <c r="Q253" s="19" t="s">
        <v>12</v>
      </c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</row>
    <row r="254" spans="1:42">
      <c r="A254" s="36" t="s">
        <v>264</v>
      </c>
      <c r="B254" s="15">
        <v>599826</v>
      </c>
      <c r="C254" s="15">
        <v>9417</v>
      </c>
      <c r="D254" s="15">
        <v>6876</v>
      </c>
      <c r="E254" s="15">
        <v>47917</v>
      </c>
      <c r="F254" s="15">
        <v>1498</v>
      </c>
      <c r="G254" s="15">
        <v>905</v>
      </c>
      <c r="H254" s="15">
        <v>587103</v>
      </c>
      <c r="I254" s="15">
        <v>10085</v>
      </c>
      <c r="J254" s="15">
        <v>8509</v>
      </c>
      <c r="K254" s="20" t="s">
        <v>12</v>
      </c>
      <c r="L254" s="20" t="s">
        <v>12</v>
      </c>
      <c r="M254" s="31"/>
      <c r="N254" s="15">
        <v>162633</v>
      </c>
      <c r="O254" s="15">
        <v>79662</v>
      </c>
      <c r="P254" s="15">
        <v>134313</v>
      </c>
      <c r="Q254" s="15">
        <v>128113</v>
      </c>
      <c r="R254" s="15">
        <v>95106</v>
      </c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47"/>
      <c r="AD254" s="48">
        <f>SUM(N254:AB254)</f>
        <v>599827</v>
      </c>
      <c r="AE254" s="48">
        <f>SUM(N255:AB255)</f>
        <v>9417</v>
      </c>
      <c r="AF254" s="48">
        <f>SUM(N256:AB256)</f>
        <v>6876</v>
      </c>
      <c r="AG254" s="47"/>
      <c r="AH254" s="48">
        <f>AD254-B254</f>
        <v>1</v>
      </c>
      <c r="AI254" s="48">
        <f>AE254-C254</f>
        <v>0</v>
      </c>
      <c r="AJ254" s="48">
        <f>AF254-D254</f>
        <v>0</v>
      </c>
      <c r="AK254" s="47"/>
      <c r="AL254" s="49">
        <f>C254/B254*1000</f>
        <v>15.699552870332395</v>
      </c>
      <c r="AM254" s="49">
        <f>D254/B254*1000</f>
        <v>11.463324364065578</v>
      </c>
      <c r="AN254" s="47"/>
      <c r="AO254" s="49"/>
      <c r="AP254" s="49"/>
    </row>
    <row r="255" spans="1:42">
      <c r="A255" s="38" t="s">
        <v>265</v>
      </c>
      <c r="B255" s="39"/>
      <c r="C255" s="39"/>
      <c r="D255" s="39"/>
      <c r="E255" s="39"/>
      <c r="F255" s="39"/>
      <c r="G255" s="39"/>
      <c r="H255" s="39"/>
      <c r="I255" s="39"/>
      <c r="J255" s="39"/>
      <c r="K255" s="40" t="s">
        <v>12</v>
      </c>
      <c r="L255" s="40" t="s">
        <v>12</v>
      </c>
      <c r="M255" s="41"/>
      <c r="N255" s="16">
        <v>2969</v>
      </c>
      <c r="O255" s="16">
        <v>1434</v>
      </c>
      <c r="P255" s="16">
        <v>1539</v>
      </c>
      <c r="Q255" s="16">
        <v>1567</v>
      </c>
      <c r="R255" s="16">
        <v>1908</v>
      </c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</row>
    <row r="256" spans="1:42">
      <c r="A256" s="38" t="s">
        <v>266</v>
      </c>
      <c r="B256" s="39"/>
      <c r="C256" s="39"/>
      <c r="D256" s="39"/>
      <c r="E256" s="39"/>
      <c r="F256" s="39"/>
      <c r="G256" s="39"/>
      <c r="H256" s="39"/>
      <c r="I256" s="39"/>
      <c r="J256" s="39"/>
      <c r="K256" s="40" t="s">
        <v>12</v>
      </c>
      <c r="L256" s="40" t="s">
        <v>12</v>
      </c>
      <c r="M256" s="41"/>
      <c r="N256" s="16">
        <v>2092</v>
      </c>
      <c r="O256" s="16">
        <v>943</v>
      </c>
      <c r="P256" s="16">
        <v>1394</v>
      </c>
      <c r="Q256" s="16">
        <v>1097</v>
      </c>
      <c r="R256" s="16">
        <v>1350</v>
      </c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</row>
    <row r="257" spans="1:42">
      <c r="A257" s="36" t="s">
        <v>267</v>
      </c>
      <c r="B257" s="15">
        <v>720276</v>
      </c>
      <c r="C257" s="15">
        <v>23894</v>
      </c>
      <c r="D257" s="15">
        <v>16176</v>
      </c>
      <c r="E257" s="15">
        <v>51153</v>
      </c>
      <c r="F257" s="15">
        <v>2028</v>
      </c>
      <c r="G257" s="15">
        <v>1062</v>
      </c>
      <c r="H257" s="15">
        <v>656632</v>
      </c>
      <c r="I257" s="15">
        <v>15062</v>
      </c>
      <c r="J257" s="15">
        <v>10179</v>
      </c>
      <c r="K257" s="20">
        <v>33.200000000000003</v>
      </c>
      <c r="L257" s="20">
        <v>22.5</v>
      </c>
      <c r="M257" s="31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47"/>
      <c r="AD257" s="48">
        <f>B257</f>
        <v>720276</v>
      </c>
      <c r="AE257" s="48">
        <f>C257</f>
        <v>23894</v>
      </c>
      <c r="AF257" s="48">
        <f>D257</f>
        <v>16176</v>
      </c>
      <c r="AG257" s="47"/>
      <c r="AH257" s="53"/>
      <c r="AI257" s="53"/>
      <c r="AJ257" s="53"/>
      <c r="AK257" s="47"/>
      <c r="AL257" s="49">
        <f>C257/B257*1000</f>
        <v>33.173394643164563</v>
      </c>
      <c r="AM257" s="49">
        <f>D257/B257*1000</f>
        <v>22.458057744531263</v>
      </c>
      <c r="AN257" s="47"/>
      <c r="AO257" s="49">
        <f>AL257-K257</f>
        <v>-2.6605356835439409E-2</v>
      </c>
      <c r="AP257" s="49">
        <f>AM257-L257</f>
        <v>-4.1942255468736533E-2</v>
      </c>
    </row>
    <row r="258" spans="1:42">
      <c r="A258" s="36" t="s">
        <v>268</v>
      </c>
      <c r="B258" s="15">
        <v>1267912</v>
      </c>
      <c r="C258" s="15">
        <v>573</v>
      </c>
      <c r="D258" s="15">
        <v>348</v>
      </c>
      <c r="E258" s="15">
        <v>18960</v>
      </c>
      <c r="F258" s="15">
        <v>687</v>
      </c>
      <c r="G258" s="15">
        <v>348</v>
      </c>
      <c r="H258" s="15">
        <v>1089525</v>
      </c>
      <c r="I258" s="17" t="s">
        <v>12</v>
      </c>
      <c r="J258" s="17" t="s">
        <v>12</v>
      </c>
      <c r="K258" s="18" t="s">
        <v>12</v>
      </c>
      <c r="L258" s="18" t="s">
        <v>12</v>
      </c>
      <c r="M258" s="32"/>
      <c r="N258" s="17" t="s">
        <v>12</v>
      </c>
      <c r="O258" s="17" t="s">
        <v>12</v>
      </c>
      <c r="P258" s="15">
        <v>135000</v>
      </c>
      <c r="Q258" s="15">
        <v>110853</v>
      </c>
      <c r="R258" s="15">
        <v>7859</v>
      </c>
      <c r="S258" s="15">
        <v>175784</v>
      </c>
      <c r="T258" s="37"/>
      <c r="U258" s="37"/>
      <c r="V258" s="37"/>
      <c r="W258" s="37"/>
      <c r="X258" s="37"/>
      <c r="Y258" s="37"/>
      <c r="Z258" s="37"/>
      <c r="AA258" s="37"/>
      <c r="AB258" s="37"/>
      <c r="AC258" s="47"/>
      <c r="AD258" s="48">
        <f>SUM(N258:AB258)</f>
        <v>429496</v>
      </c>
      <c r="AE258" s="48">
        <f>SUM(N259:AB259)</f>
        <v>573</v>
      </c>
      <c r="AF258" s="48">
        <f>SUM(N260:AB260)</f>
        <v>348</v>
      </c>
      <c r="AG258" s="47"/>
      <c r="AH258" s="48">
        <f>AD258-B258</f>
        <v>-838416</v>
      </c>
      <c r="AI258" s="48">
        <f>AE258-C258</f>
        <v>0</v>
      </c>
      <c r="AJ258" s="48">
        <f>AF258-D258</f>
        <v>0</v>
      </c>
      <c r="AK258" s="47"/>
      <c r="AL258" s="49">
        <f>C258/B258*1000</f>
        <v>0.45192410829773677</v>
      </c>
      <c r="AM258" s="49">
        <f>D258/B258*1000</f>
        <v>0.27446699770962024</v>
      </c>
      <c r="AN258" s="47"/>
      <c r="AO258" s="49"/>
      <c r="AP258" s="49"/>
    </row>
    <row r="259" spans="1:42">
      <c r="A259" s="38" t="s">
        <v>269</v>
      </c>
      <c r="B259" s="39"/>
      <c r="C259" s="39"/>
      <c r="D259" s="39"/>
      <c r="E259" s="39"/>
      <c r="F259" s="39"/>
      <c r="G259" s="39"/>
      <c r="H259" s="39"/>
      <c r="I259" s="39"/>
      <c r="J259" s="39"/>
      <c r="K259" s="40" t="s">
        <v>12</v>
      </c>
      <c r="L259" s="40" t="s">
        <v>12</v>
      </c>
      <c r="M259" s="41"/>
      <c r="N259" s="19" t="s">
        <v>12</v>
      </c>
      <c r="O259" s="16">
        <v>11</v>
      </c>
      <c r="P259" s="16">
        <v>17</v>
      </c>
      <c r="Q259" s="16">
        <v>55</v>
      </c>
      <c r="R259" s="16">
        <v>399</v>
      </c>
      <c r="S259" s="16">
        <v>91</v>
      </c>
      <c r="T259" s="39"/>
      <c r="U259" s="39"/>
      <c r="V259" s="39"/>
      <c r="W259" s="39"/>
      <c r="X259" s="39"/>
      <c r="Y259" s="39"/>
      <c r="Z259" s="39"/>
      <c r="AA259" s="39"/>
      <c r="AB259" s="39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</row>
    <row r="260" spans="1:42">
      <c r="A260" s="38" t="s">
        <v>270</v>
      </c>
      <c r="B260" s="39"/>
      <c r="C260" s="39"/>
      <c r="D260" s="39"/>
      <c r="E260" s="39"/>
      <c r="F260" s="39"/>
      <c r="G260" s="39"/>
      <c r="H260" s="39"/>
      <c r="I260" s="39"/>
      <c r="J260" s="39"/>
      <c r="K260" s="40" t="s">
        <v>12</v>
      </c>
      <c r="L260" s="40" t="s">
        <v>12</v>
      </c>
      <c r="M260" s="41"/>
      <c r="N260" s="19" t="s">
        <v>12</v>
      </c>
      <c r="O260" s="19" t="s">
        <v>12</v>
      </c>
      <c r="P260" s="19" t="s">
        <v>12</v>
      </c>
      <c r="Q260" s="16">
        <v>36</v>
      </c>
      <c r="R260" s="16">
        <v>267</v>
      </c>
      <c r="S260" s="16">
        <v>45</v>
      </c>
      <c r="T260" s="39"/>
      <c r="U260" s="39"/>
      <c r="V260" s="39"/>
      <c r="W260" s="39"/>
      <c r="X260" s="39"/>
      <c r="Y260" s="39"/>
      <c r="Z260" s="39"/>
      <c r="AA260" s="39"/>
      <c r="AB260" s="39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</row>
    <row r="261" spans="1:42">
      <c r="A261" s="36" t="s">
        <v>271</v>
      </c>
      <c r="B261" s="15">
        <v>373003</v>
      </c>
      <c r="C261" s="15">
        <v>10316</v>
      </c>
      <c r="D261" s="15">
        <v>6868</v>
      </c>
      <c r="E261" s="17" t="s">
        <v>12</v>
      </c>
      <c r="F261" s="17" t="s">
        <v>12</v>
      </c>
      <c r="G261" s="17" t="s">
        <v>12</v>
      </c>
      <c r="H261" s="15">
        <v>384966</v>
      </c>
      <c r="I261" s="15">
        <v>10398</v>
      </c>
      <c r="J261" s="15">
        <v>6426</v>
      </c>
      <c r="K261" s="20" t="s">
        <v>12</v>
      </c>
      <c r="L261" s="20" t="s">
        <v>12</v>
      </c>
      <c r="M261" s="31"/>
      <c r="N261" s="15">
        <v>74290</v>
      </c>
      <c r="O261" s="15">
        <v>91401</v>
      </c>
      <c r="P261" s="15">
        <v>77686</v>
      </c>
      <c r="Q261" s="15">
        <v>129626</v>
      </c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47"/>
      <c r="AD261" s="48">
        <f>SUM(N261:AB261)</f>
        <v>373003</v>
      </c>
      <c r="AE261" s="48">
        <f>SUM(N262:AB262)</f>
        <v>10316</v>
      </c>
      <c r="AF261" s="48">
        <f>SUM(N263:AB263)</f>
        <v>6868</v>
      </c>
      <c r="AG261" s="47"/>
      <c r="AH261" s="48">
        <f>AD261-B261</f>
        <v>0</v>
      </c>
      <c r="AI261" s="48">
        <f>AE261-C261</f>
        <v>0</v>
      </c>
      <c r="AJ261" s="48">
        <f>AF261-D261</f>
        <v>0</v>
      </c>
      <c r="AK261" s="47"/>
      <c r="AL261" s="49">
        <f>C261/B261*1000</f>
        <v>27.656614021871135</v>
      </c>
      <c r="AM261" s="49">
        <f>D261/B261*1000</f>
        <v>18.412720541121654</v>
      </c>
      <c r="AN261" s="47"/>
      <c r="AO261" s="49"/>
      <c r="AP261" s="49"/>
    </row>
    <row r="262" spans="1:42">
      <c r="A262" s="38" t="s">
        <v>272</v>
      </c>
      <c r="B262" s="39"/>
      <c r="C262" s="39"/>
      <c r="D262" s="39"/>
      <c r="E262" s="39"/>
      <c r="F262" s="39"/>
      <c r="G262" s="39"/>
      <c r="H262" s="39"/>
      <c r="I262" s="39"/>
      <c r="J262" s="39"/>
      <c r="K262" s="40" t="s">
        <v>12</v>
      </c>
      <c r="L262" s="40" t="s">
        <v>12</v>
      </c>
      <c r="M262" s="41"/>
      <c r="N262" s="16">
        <v>1953</v>
      </c>
      <c r="O262" s="16">
        <v>94</v>
      </c>
      <c r="P262" s="16">
        <v>2362</v>
      </c>
      <c r="Q262" s="16">
        <v>5907</v>
      </c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</row>
    <row r="263" spans="1:42">
      <c r="A263" s="38" t="s">
        <v>273</v>
      </c>
      <c r="B263" s="39"/>
      <c r="C263" s="39"/>
      <c r="D263" s="39"/>
      <c r="E263" s="39"/>
      <c r="F263" s="39"/>
      <c r="G263" s="39"/>
      <c r="H263" s="39"/>
      <c r="I263" s="39"/>
      <c r="J263" s="39"/>
      <c r="K263" s="40" t="s">
        <v>12</v>
      </c>
      <c r="L263" s="40" t="s">
        <v>12</v>
      </c>
      <c r="M263" s="41"/>
      <c r="N263" s="16">
        <v>1045</v>
      </c>
      <c r="O263" s="16">
        <v>117</v>
      </c>
      <c r="P263" s="16">
        <v>1784</v>
      </c>
      <c r="Q263" s="16">
        <v>3922</v>
      </c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</row>
    <row r="264" spans="1:42">
      <c r="A264" s="36" t="s">
        <v>274</v>
      </c>
      <c r="B264" s="15">
        <v>545388</v>
      </c>
      <c r="C264" s="15">
        <v>15068</v>
      </c>
      <c r="D264" s="15">
        <v>10586</v>
      </c>
      <c r="E264" s="15">
        <v>40526</v>
      </c>
      <c r="F264" s="15">
        <v>2209</v>
      </c>
      <c r="G264" s="15">
        <v>1811</v>
      </c>
      <c r="H264" s="15">
        <v>556669</v>
      </c>
      <c r="I264" s="15">
        <v>8473</v>
      </c>
      <c r="J264" s="15">
        <v>8844</v>
      </c>
      <c r="K264" s="20">
        <v>27.7</v>
      </c>
      <c r="L264" s="20">
        <v>19.399999999999999</v>
      </c>
      <c r="M264" s="31"/>
      <c r="N264" s="15">
        <v>219338</v>
      </c>
      <c r="O264" s="15">
        <v>139292</v>
      </c>
      <c r="P264" s="15">
        <v>98759</v>
      </c>
      <c r="Q264" s="15">
        <v>87999</v>
      </c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47"/>
      <c r="AD264" s="48">
        <f>SUM(N264:AB264)</f>
        <v>545388</v>
      </c>
      <c r="AE264" s="48">
        <f>SUM(N265:AB265)</f>
        <v>15068</v>
      </c>
      <c r="AF264" s="48">
        <f>SUM(N266:AB266)</f>
        <v>10586</v>
      </c>
      <c r="AG264" s="47"/>
      <c r="AH264" s="48">
        <f>AD264-B264</f>
        <v>0</v>
      </c>
      <c r="AI264" s="48">
        <f>AE264-C264</f>
        <v>0</v>
      </c>
      <c r="AJ264" s="48">
        <f>AF264-D264</f>
        <v>0</v>
      </c>
      <c r="AK264" s="47"/>
      <c r="AL264" s="49">
        <f>C264/B264*1000</f>
        <v>27.628037287215708</v>
      </c>
      <c r="AM264" s="49">
        <f>D264/B264*1000</f>
        <v>19.410034690898957</v>
      </c>
      <c r="AN264" s="47"/>
      <c r="AO264" s="49">
        <f>AL264-K264</f>
        <v>-7.1962712784291227E-2</v>
      </c>
      <c r="AP264" s="49">
        <f>AM264-L264</f>
        <v>1.0034690898958587E-2</v>
      </c>
    </row>
    <row r="265" spans="1:42">
      <c r="A265" s="38" t="s">
        <v>275</v>
      </c>
      <c r="B265" s="39"/>
      <c r="C265" s="39"/>
      <c r="D265" s="39"/>
      <c r="E265" s="39"/>
      <c r="F265" s="39"/>
      <c r="G265" s="39"/>
      <c r="H265" s="39"/>
      <c r="I265" s="39"/>
      <c r="J265" s="39"/>
      <c r="K265" s="40" t="s">
        <v>12</v>
      </c>
      <c r="L265" s="40" t="s">
        <v>12</v>
      </c>
      <c r="M265" s="41"/>
      <c r="N265" s="16">
        <v>8843</v>
      </c>
      <c r="O265" s="16">
        <v>3111</v>
      </c>
      <c r="P265" s="16">
        <v>1983</v>
      </c>
      <c r="Q265" s="16">
        <v>1131</v>
      </c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</row>
    <row r="266" spans="1:42">
      <c r="A266" s="38" t="s">
        <v>276</v>
      </c>
      <c r="B266" s="39"/>
      <c r="C266" s="39"/>
      <c r="D266" s="39"/>
      <c r="E266" s="39"/>
      <c r="F266" s="39"/>
      <c r="G266" s="39"/>
      <c r="H266" s="39"/>
      <c r="I266" s="39"/>
      <c r="J266" s="39"/>
      <c r="K266" s="40" t="s">
        <v>12</v>
      </c>
      <c r="L266" s="40" t="s">
        <v>12</v>
      </c>
      <c r="M266" s="41"/>
      <c r="N266" s="16">
        <v>5392</v>
      </c>
      <c r="O266" s="16">
        <v>2421</v>
      </c>
      <c r="P266" s="16">
        <v>1706</v>
      </c>
      <c r="Q266" s="16">
        <v>1067</v>
      </c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</row>
    <row r="267" spans="1:42">
      <c r="A267" s="36" t="s">
        <v>277</v>
      </c>
      <c r="B267" s="15">
        <v>908562</v>
      </c>
      <c r="C267" s="15">
        <v>28180</v>
      </c>
      <c r="D267" s="15">
        <v>11468</v>
      </c>
      <c r="E267" s="15">
        <v>158549</v>
      </c>
      <c r="F267" s="15">
        <v>8775</v>
      </c>
      <c r="G267" s="15">
        <v>5822</v>
      </c>
      <c r="H267" s="15">
        <v>807304</v>
      </c>
      <c r="I267" s="17" t="s">
        <v>12</v>
      </c>
      <c r="J267" s="17" t="s">
        <v>12</v>
      </c>
      <c r="K267" s="18" t="s">
        <v>12</v>
      </c>
      <c r="L267" s="18" t="s">
        <v>12</v>
      </c>
      <c r="M267" s="32"/>
      <c r="N267" s="15">
        <v>203192</v>
      </c>
      <c r="O267" s="15">
        <v>175434</v>
      </c>
      <c r="P267" s="15">
        <v>254000</v>
      </c>
      <c r="Q267" s="15">
        <v>197209</v>
      </c>
      <c r="R267" s="15">
        <v>78727</v>
      </c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47"/>
      <c r="AD267" s="48">
        <f>SUM(N267:AB267)</f>
        <v>908562</v>
      </c>
      <c r="AE267" s="48">
        <f>SUM(N268:AB268)</f>
        <v>28180</v>
      </c>
      <c r="AF267" s="48">
        <f>SUM(N269:AB269)</f>
        <v>11568</v>
      </c>
      <c r="AG267" s="47"/>
      <c r="AH267" s="48">
        <f>AD267-B267</f>
        <v>0</v>
      </c>
      <c r="AI267" s="48">
        <f>AE267-C267</f>
        <v>0</v>
      </c>
      <c r="AJ267" s="48">
        <f>AF267-D267</f>
        <v>100</v>
      </c>
      <c r="AK267" s="47"/>
      <c r="AL267" s="49">
        <f>C267/B267*1000</f>
        <v>31.016045135059578</v>
      </c>
      <c r="AM267" s="49">
        <f>D267/B267*1000</f>
        <v>12.622143563125027</v>
      </c>
      <c r="AN267" s="47"/>
      <c r="AO267" s="49"/>
      <c r="AP267" s="49"/>
    </row>
    <row r="268" spans="1:42">
      <c r="A268" s="38" t="s">
        <v>278</v>
      </c>
      <c r="B268" s="39"/>
      <c r="C268" s="39"/>
      <c r="D268" s="39"/>
      <c r="E268" s="39"/>
      <c r="F268" s="39"/>
      <c r="G268" s="39"/>
      <c r="H268" s="39"/>
      <c r="I268" s="39"/>
      <c r="J268" s="39"/>
      <c r="K268" s="40" t="s">
        <v>12</v>
      </c>
      <c r="L268" s="40" t="s">
        <v>12</v>
      </c>
      <c r="M268" s="41"/>
      <c r="N268" s="16">
        <v>90</v>
      </c>
      <c r="O268" s="16">
        <v>7979</v>
      </c>
      <c r="P268" s="16">
        <v>18419</v>
      </c>
      <c r="Q268" s="19" t="s">
        <v>12</v>
      </c>
      <c r="R268" s="16">
        <v>1692</v>
      </c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</row>
    <row r="269" spans="1:42">
      <c r="A269" s="38" t="s">
        <v>279</v>
      </c>
      <c r="B269" s="39"/>
      <c r="C269" s="39"/>
      <c r="D269" s="39"/>
      <c r="E269" s="39"/>
      <c r="F269" s="39"/>
      <c r="G269" s="39"/>
      <c r="H269" s="39"/>
      <c r="I269" s="39"/>
      <c r="J269" s="39"/>
      <c r="K269" s="40" t="s">
        <v>12</v>
      </c>
      <c r="L269" s="40" t="s">
        <v>12</v>
      </c>
      <c r="M269" s="41"/>
      <c r="N269" s="16">
        <v>125</v>
      </c>
      <c r="O269" s="16">
        <v>3408</v>
      </c>
      <c r="P269" s="16">
        <v>6499</v>
      </c>
      <c r="Q269" s="19" t="s">
        <v>12</v>
      </c>
      <c r="R269" s="16">
        <v>1536</v>
      </c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</row>
    <row r="270" spans="1:42">
      <c r="A270" s="42" t="s">
        <v>280</v>
      </c>
      <c r="B270" s="13">
        <v>6417472</v>
      </c>
      <c r="C270" s="13">
        <v>102690</v>
      </c>
      <c r="D270" s="13">
        <v>62105</v>
      </c>
      <c r="E270" s="43"/>
      <c r="F270" s="43"/>
      <c r="G270" s="43"/>
      <c r="H270" s="13">
        <v>6083150</v>
      </c>
      <c r="I270" s="13">
        <v>77985</v>
      </c>
      <c r="J270" s="13">
        <v>59493</v>
      </c>
      <c r="K270" s="14">
        <v>30.8</v>
      </c>
      <c r="L270" s="14">
        <v>21.1</v>
      </c>
      <c r="M270" s="31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7"/>
      <c r="AD270" s="50">
        <f>SUM(AD247:AD269)</f>
        <v>5579057</v>
      </c>
      <c r="AE270" s="50">
        <f>SUM(AE247:AE269)</f>
        <v>101660</v>
      </c>
      <c r="AF270" s="50">
        <f>SUM(AF247:AF269)</f>
        <v>61539</v>
      </c>
      <c r="AG270" s="47"/>
      <c r="AH270" s="50">
        <f>AD270-B270</f>
        <v>-838415</v>
      </c>
      <c r="AI270" s="50">
        <f>AE270-C270</f>
        <v>-1030</v>
      </c>
      <c r="AJ270" s="50">
        <f>AF270-D270</f>
        <v>-566</v>
      </c>
      <c r="AK270" s="47"/>
      <c r="AL270" s="51">
        <f>C270/B270*1000</f>
        <v>16.001628055408734</v>
      </c>
      <c r="AM270" s="51">
        <f>D270/B270*1000</f>
        <v>9.6774867112782115</v>
      </c>
      <c r="AN270" s="52"/>
      <c r="AO270" s="51">
        <f>AL270-K270</f>
        <v>-14.798371944591267</v>
      </c>
      <c r="AP270" s="51">
        <f>AM270-L270</f>
        <v>-11.42251328872179</v>
      </c>
    </row>
    <row r="271" spans="1:42">
      <c r="A271" s="46" t="s">
        <v>281</v>
      </c>
      <c r="B271" s="13">
        <v>120653422</v>
      </c>
      <c r="C271" s="13">
        <v>5814807</v>
      </c>
      <c r="D271" s="13">
        <v>3660716</v>
      </c>
      <c r="E271" s="43"/>
      <c r="F271" s="43"/>
      <c r="G271" s="43"/>
      <c r="H271" s="13">
        <v>112529311</v>
      </c>
      <c r="I271" s="13">
        <v>5116634</v>
      </c>
      <c r="J271" s="13">
        <v>3695150</v>
      </c>
      <c r="K271" s="14">
        <v>45.7</v>
      </c>
      <c r="L271" s="14">
        <v>31.6</v>
      </c>
      <c r="M271" s="31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7"/>
      <c r="AD271" s="45">
        <f>SUM(AD191, AD220, AD246, AD270)</f>
        <v>118886507</v>
      </c>
      <c r="AE271" s="45">
        <f>SUM(AE191, AE220, AE246, AE270)</f>
        <v>5347457</v>
      </c>
      <c r="AF271" s="45">
        <f>SUM(AF191, AF220, AF246, AF270)</f>
        <v>3664332</v>
      </c>
      <c r="AG271" s="47"/>
      <c r="AH271" s="50">
        <f>AD271-B271</f>
        <v>-1766915</v>
      </c>
      <c r="AI271" s="50">
        <f>AE271-C271</f>
        <v>-467350</v>
      </c>
      <c r="AJ271" s="50">
        <f>AF271-D271</f>
        <v>3616</v>
      </c>
      <c r="AK271" s="47"/>
      <c r="AL271" s="51">
        <f>C271/B271*1000</f>
        <v>48.194298210621831</v>
      </c>
      <c r="AM271" s="51">
        <f>D271/B271*1000</f>
        <v>30.340755689465649</v>
      </c>
      <c r="AN271" s="52"/>
      <c r="AO271" s="51">
        <f>AL271-K271</f>
        <v>2.4942982106218281</v>
      </c>
      <c r="AP271" s="51">
        <f>AM271-L271</f>
        <v>-1.2592443105343527</v>
      </c>
    </row>
  </sheetData>
  <mergeCells count="1">
    <mergeCell ref="N1:A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Oboguev, Sergey</cp:lastModifiedBy>
  <dcterms:created xsi:type="dcterms:W3CDTF">2026-06-24T01:53:38Z</dcterms:created>
  <dcterms:modified xsi:type="dcterms:W3CDTF">2026-06-27T03:10:28Z</dcterms:modified>
</cp:coreProperties>
</file>