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"/>
    </mc:Choice>
  </mc:AlternateContent>
  <xr:revisionPtr revIDLastSave="0" documentId="13_ncr:1_{0EAFD10D-AEB0-465C-A81B-5B509A01E5C4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Notes" sheetId="2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99" i="1" l="1"/>
  <c r="AF99" i="1"/>
  <c r="AG98" i="1"/>
  <c r="AF98" i="1"/>
  <c r="AG97" i="1"/>
  <c r="AF97" i="1"/>
  <c r="AG86" i="1"/>
  <c r="AF86" i="1"/>
  <c r="AG77" i="1"/>
  <c r="AF77" i="1"/>
  <c r="AG64" i="1"/>
  <c r="AF64" i="1"/>
  <c r="AG63" i="1"/>
  <c r="AF63" i="1"/>
  <c r="AG52" i="1"/>
  <c r="AF52" i="1"/>
  <c r="L99" i="1"/>
  <c r="K99" i="1"/>
  <c r="L98" i="1"/>
  <c r="K98" i="1"/>
  <c r="L97" i="1"/>
  <c r="K97" i="1"/>
  <c r="L86" i="1"/>
  <c r="K86" i="1"/>
  <c r="L77" i="1"/>
  <c r="K77" i="1"/>
  <c r="L64" i="1"/>
  <c r="K64" i="1"/>
  <c r="L63" i="1"/>
  <c r="K63" i="1"/>
  <c r="L52" i="1"/>
  <c r="K52" i="1"/>
  <c r="L95" i="1"/>
  <c r="K95" i="1"/>
  <c r="L91" i="1"/>
  <c r="K91" i="1"/>
  <c r="L87" i="1"/>
  <c r="K87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2" i="1"/>
  <c r="K72" i="1"/>
  <c r="L71" i="1"/>
  <c r="K71" i="1"/>
  <c r="L67" i="1"/>
  <c r="K67" i="1"/>
  <c r="L66" i="1"/>
  <c r="K66" i="1"/>
  <c r="L65" i="1"/>
  <c r="K65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L2" i="1"/>
  <c r="K2" i="1"/>
  <c r="U97" i="1"/>
  <c r="AD97" i="1" s="1"/>
  <c r="T97" i="1"/>
  <c r="AC97" i="1" s="1"/>
  <c r="S97" i="1"/>
  <c r="AB97" i="1" s="1"/>
  <c r="R97" i="1"/>
  <c r="AA97" i="1" s="1"/>
  <c r="Q97" i="1"/>
  <c r="Z97" i="1" s="1"/>
  <c r="P97" i="1"/>
  <c r="Y97" i="1" s="1"/>
  <c r="O97" i="1"/>
  <c r="X97" i="1" s="1"/>
  <c r="N97" i="1"/>
  <c r="W97" i="1" s="1"/>
  <c r="U86" i="1"/>
  <c r="AD86" i="1" s="1"/>
  <c r="T86" i="1"/>
  <c r="AC86" i="1" s="1"/>
  <c r="S86" i="1"/>
  <c r="AB86" i="1" s="1"/>
  <c r="R86" i="1"/>
  <c r="AA86" i="1" s="1"/>
  <c r="Q86" i="1"/>
  <c r="Z86" i="1" s="1"/>
  <c r="P86" i="1"/>
  <c r="Y86" i="1" s="1"/>
  <c r="O86" i="1"/>
  <c r="X86" i="1" s="1"/>
  <c r="N86" i="1"/>
  <c r="W86" i="1" s="1"/>
  <c r="U77" i="1"/>
  <c r="T77" i="1"/>
  <c r="S77" i="1"/>
  <c r="R77" i="1"/>
  <c r="Q77" i="1"/>
  <c r="P77" i="1"/>
  <c r="O77" i="1"/>
  <c r="N77" i="1"/>
  <c r="W77" i="1" s="1"/>
  <c r="U63" i="1"/>
  <c r="T63" i="1"/>
  <c r="S63" i="1"/>
  <c r="AB63" i="1" s="1"/>
  <c r="R63" i="1"/>
  <c r="AA63" i="1" s="1"/>
  <c r="Q63" i="1"/>
  <c r="P63" i="1"/>
  <c r="O63" i="1"/>
  <c r="N63" i="1"/>
  <c r="W63" i="1" s="1"/>
  <c r="U52" i="1"/>
  <c r="AD52" i="1" s="1"/>
  <c r="T52" i="1"/>
  <c r="AC52" i="1" s="1"/>
  <c r="S52" i="1"/>
  <c r="AB52" i="1" s="1"/>
  <c r="R52" i="1"/>
  <c r="AA52" i="1" s="1"/>
  <c r="Q52" i="1"/>
  <c r="Z52" i="1" s="1"/>
  <c r="P52" i="1"/>
  <c r="Y52" i="1" s="1"/>
  <c r="O52" i="1"/>
  <c r="X52" i="1" s="1"/>
  <c r="N52" i="1"/>
  <c r="W52" i="1" s="1"/>
  <c r="R98" i="1" l="1"/>
  <c r="AA98" i="1" s="1"/>
  <c r="P98" i="1"/>
  <c r="S98" i="1"/>
  <c r="AB98" i="1" s="1"/>
  <c r="T98" i="1"/>
  <c r="AC98" i="1" s="1"/>
  <c r="U98" i="1"/>
  <c r="P64" i="1"/>
  <c r="Y64" i="1" s="1"/>
  <c r="Q64" i="1"/>
  <c r="Z64" i="1" s="1"/>
  <c r="O98" i="1"/>
  <c r="X98" i="1" s="1"/>
  <c r="T64" i="1"/>
  <c r="AC64" i="1" s="1"/>
  <c r="U64" i="1"/>
  <c r="AD64" i="1" s="1"/>
  <c r="Y63" i="1"/>
  <c r="Z63" i="1"/>
  <c r="Q98" i="1"/>
  <c r="Q99" i="1" s="1"/>
  <c r="Z99" i="1" s="1"/>
  <c r="O64" i="1"/>
  <c r="X64" i="1" s="1"/>
  <c r="P99" i="1"/>
  <c r="Y99" i="1" s="1"/>
  <c r="Y98" i="1"/>
  <c r="R99" i="1"/>
  <c r="AA99" i="1" s="1"/>
  <c r="AD98" i="1"/>
  <c r="U99" i="1"/>
  <c r="AD99" i="1" s="1"/>
  <c r="N98" i="1"/>
  <c r="X63" i="1"/>
  <c r="N64" i="1"/>
  <c r="W64" i="1" s="1"/>
  <c r="X77" i="1"/>
  <c r="Y77" i="1"/>
  <c r="Z77" i="1"/>
  <c r="AC63" i="1"/>
  <c r="AD63" i="1"/>
  <c r="R64" i="1"/>
  <c r="AA64" i="1" s="1"/>
  <c r="AA77" i="1"/>
  <c r="S64" i="1"/>
  <c r="AB64" i="1" s="1"/>
  <c r="AB77" i="1"/>
  <c r="AC77" i="1"/>
  <c r="AD77" i="1"/>
  <c r="T99" i="1" l="1"/>
  <c r="AC99" i="1" s="1"/>
  <c r="S99" i="1"/>
  <c r="AB99" i="1" s="1"/>
  <c r="Z98" i="1"/>
  <c r="O99" i="1"/>
  <c r="X99" i="1" s="1"/>
  <c r="W98" i="1"/>
  <c r="N99" i="1"/>
  <c r="W99" i="1" s="1"/>
</calcChain>
</file>

<file path=xl/sharedStrings.xml><?xml version="1.0" encoding="utf-8"?>
<sst xmlns="http://schemas.openxmlformats.org/spreadsheetml/2006/main" count="277" uniqueCount="122">
  <si>
    <t>губ</t>
  </si>
  <si>
    <t>чр-г-м</t>
  </si>
  <si>
    <t>чр-г-ж</t>
  </si>
  <si>
    <t>чр-у-м</t>
  </si>
  <si>
    <t>чр-с-ж</t>
  </si>
  <si>
    <t>чу-г-м</t>
  </si>
  <si>
    <t>чу-г-ж</t>
  </si>
  <si>
    <t>чу-у-м</t>
  </si>
  <si>
    <t>чу-с-ж</t>
  </si>
  <si>
    <t>Архангельская</t>
  </si>
  <si>
    <t>Астраханская</t>
  </si>
  <si>
    <t>Бессарабская</t>
  </si>
  <si>
    <t>Виленская</t>
  </si>
  <si>
    <t>Витебская</t>
  </si>
  <si>
    <t>Владимирская</t>
  </si>
  <si>
    <t>Вологодская</t>
  </si>
  <si>
    <t>Волынская</t>
  </si>
  <si>
    <t>Воронежская</t>
  </si>
  <si>
    <t>Вятская</t>
  </si>
  <si>
    <t>Гродненская</t>
  </si>
  <si>
    <t>Донск. войска, обл.</t>
  </si>
  <si>
    <t>Екатеринославская</t>
  </si>
  <si>
    <t>Казанская</t>
  </si>
  <si>
    <t>Калужская</t>
  </si>
  <si>
    <t>Кіевская</t>
  </si>
  <si>
    <t>Ковенская</t>
  </si>
  <si>
    <t>Костромская</t>
  </si>
  <si>
    <t>Курляндская</t>
  </si>
  <si>
    <t>Курская</t>
  </si>
  <si>
    <t>Лифляндская</t>
  </si>
  <si>
    <t>Минская</t>
  </si>
  <si>
    <t>Могилевская</t>
  </si>
  <si>
    <t>Московская</t>
  </si>
  <si>
    <t>Нижегородская</t>
  </si>
  <si>
    <t>Новгородская</t>
  </si>
  <si>
    <t>Олонецкая</t>
  </si>
  <si>
    <t>Оренбургская</t>
  </si>
  <si>
    <t>Орловская</t>
  </si>
  <si>
    <t>Пензенская</t>
  </si>
  <si>
    <t>Пермская</t>
  </si>
  <si>
    <t>Подольская</t>
  </si>
  <si>
    <t>Полтавская</t>
  </si>
  <si>
    <t>Псковская</t>
  </si>
  <si>
    <t>Рязанская</t>
  </si>
  <si>
    <t>Самарская</t>
  </si>
  <si>
    <t>С.-Петербургская</t>
  </si>
  <si>
    <t>Саратовская</t>
  </si>
  <si>
    <t>Симбирская</t>
  </si>
  <si>
    <t>Смоленская</t>
  </si>
  <si>
    <t>Таврическая</t>
  </si>
  <si>
    <t>Тамбовская</t>
  </si>
  <si>
    <t>Тверская</t>
  </si>
  <si>
    <t>Тульская</t>
  </si>
  <si>
    <t>Уфимская</t>
  </si>
  <si>
    <t>Харьковская</t>
  </si>
  <si>
    <t>Херсонская</t>
  </si>
  <si>
    <t>Черниговская</t>
  </si>
  <si>
    <t>Эстляндская</t>
  </si>
  <si>
    <t>Ярославская</t>
  </si>
  <si>
    <t>Европейская Россия: Итого</t>
  </si>
  <si>
    <t>Варшавская</t>
  </si>
  <si>
    <t>Калишская</t>
  </si>
  <si>
    <t>Кѣлецкая</t>
  </si>
  <si>
    <t>Ломжинская</t>
  </si>
  <si>
    <t>Люблинская</t>
  </si>
  <si>
    <t>Петроковская</t>
  </si>
  <si>
    <t>Плоцкая</t>
  </si>
  <si>
    <t>Радомская</t>
  </si>
  <si>
    <t>Сувалкская</t>
  </si>
  <si>
    <t>Сѣдлецкая</t>
  </si>
  <si>
    <t>Привислинские губ.: Итого</t>
  </si>
  <si>
    <t>Европейская Россия с Привислинскими губ.: Итого</t>
  </si>
  <si>
    <t>Кавказ: Бакинская</t>
  </si>
  <si>
    <t>Кавказ: Дагестанская обл.</t>
  </si>
  <si>
    <t>—</t>
  </si>
  <si>
    <t>Кавказ: Елисаветпольская</t>
  </si>
  <si>
    <t>Кавказ: Закатальский окр.</t>
  </si>
  <si>
    <t>Кавказ: Карсская обл.</t>
  </si>
  <si>
    <t>Кавказ: Кубанская обл.</t>
  </si>
  <si>
    <t>Кавказ: Кутаисская</t>
  </si>
  <si>
    <t>Кавказ: Ставропольская</t>
  </si>
  <si>
    <t>Кавказ: Терская</t>
  </si>
  <si>
    <t>Кавказ: Тифлисская</t>
  </si>
  <si>
    <t>Кавказ: Черноморский окр.</t>
  </si>
  <si>
    <t>Кавказ: Эриванская</t>
  </si>
  <si>
    <t>Кавказ: Итого</t>
  </si>
  <si>
    <t>Сибирь: Амурская обл.</t>
  </si>
  <si>
    <t>Сибирь: Енисейская губ.</t>
  </si>
  <si>
    <t>Сибирь: Забайкальская обл.</t>
  </si>
  <si>
    <t>Сибирь: Иркутская губ.</t>
  </si>
  <si>
    <t>Сибирь: Приморская обл. и Владивостокское воен. губ.</t>
  </si>
  <si>
    <t>Сибирь: Тобольская губ.</t>
  </si>
  <si>
    <t>Сибирь: Томская губ.</t>
  </si>
  <si>
    <t>Сибирь: Якутская обл.</t>
  </si>
  <si>
    <t>Сибирь: Итого</t>
  </si>
  <si>
    <t>Средняя Азия: Акмолинская</t>
  </si>
  <si>
    <t>Средняя Азия: Аму-Дарьинская</t>
  </si>
  <si>
    <t>Средняя Азия: Закаспийская обл.</t>
  </si>
  <si>
    <t>Средняя Азия: Зеравшанский окр.</t>
  </si>
  <si>
    <t>Средняя Азия: Семипалатинская</t>
  </si>
  <si>
    <t>Средняя Азия: Семирѣченская</t>
  </si>
  <si>
    <t>Средняя Азия: Сыр-Дарьинская</t>
  </si>
  <si>
    <t>Средняя Азия: Тургайское воен. губ.</t>
  </si>
  <si>
    <t>Средняя Азия: Уральская обл.</t>
  </si>
  <si>
    <t>Средняя Азия: Ферганская обл.</t>
  </si>
  <si>
    <t>Средняя Азия: Итого</t>
  </si>
  <si>
    <t>Кавказ и Азиатская Россия: Итого</t>
  </si>
  <si>
    <t>Всего</t>
  </si>
  <si>
    <t>Источник</t>
  </si>
  <si>
    <t>Сборник сведений по России 1884-1885 - RAW - ex1(1).pdf</t>
  </si>
  <si>
    <t>Таблица</t>
  </si>
  <si>
    <t>III. Движение населения в Российской Империи за 1884 и 1885 гг.</t>
  </si>
  <si>
    <t>Страницы</t>
  </si>
  <si>
    <t>PDF 16-19; печатные страницы 28-33</t>
  </si>
  <si>
    <t>Год</t>
  </si>
  <si>
    <t>1885</t>
  </si>
  <si>
    <t>Содержание</t>
  </si>
  <si>
    <t>Число родившихся и умерших по городам и уездам, мужчины/женщины; браки и незаконнорожденные не включены.</t>
  </si>
  <si>
    <t>Примечание</t>
  </si>
  <si>
    <t>Прочерки в источнике перенесены как em-dash.</t>
  </si>
  <si>
    <t>чр</t>
  </si>
  <si>
    <t>чу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</si>
</sst>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rlito"/>
    </font>
    <font>
      <sz val="10"/>
      <name val="Aptos"/>
      <family val="2"/>
    </font>
    <font>
      <b/>
      <sz val="10"/>
      <name val="Aptos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rlito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3" fontId="4" fillId="0" borderId="1" xfId="0" applyNumberFormat="1" applyFont="1" applyBorder="1"/>
    <xf numFmtId="0" fontId="0" fillId="0" borderId="1" xfId="0" applyBorder="1"/>
    <xf numFmtId="3" fontId="0" fillId="2" borderId="1" xfId="0" applyNumberFormat="1" applyFill="1" applyBorder="1"/>
    <xf numFmtId="0" fontId="5" fillId="0" borderId="1" xfId="0" applyFont="1" applyBorder="1" applyAlignment="1">
      <alignment horizontal="center"/>
    </xf>
    <xf numFmtId="3" fontId="0" fillId="0" borderId="1" xfId="0" applyNumberFormat="1" applyBorder="1"/>
    <xf numFmtId="3" fontId="4" fillId="0" borderId="1" xfId="0" applyNumberFormat="1" applyFont="1" applyBorder="1" applyAlignment="1">
      <alignment horizontal="center"/>
    </xf>
    <xf numFmtId="3" fontId="3" fillId="3" borderId="1" xfId="0" applyNumberFormat="1" applyFont="1" applyFill="1" applyBorder="1"/>
    <xf numFmtId="0" fontId="0" fillId="3" borderId="1" xfId="0" applyFill="1" applyBorder="1"/>
    <xf numFmtId="3" fontId="0" fillId="3" borderId="1" xfId="0" applyNumberFormat="1" applyFill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showGridLines="0" workbookViewId="0"/>
  </sheetViews>
  <sheetFormatPr defaultRowHeight="14.4" x14ac:dyDescent="0.55000000000000004"/>
  <cols>
    <col min="1" max="1" width="18" customWidth="1"/>
    <col min="2" max="2" width="90" customWidth="1"/>
  </cols>
  <sheetData>
    <row r="1" spans="1:2" x14ac:dyDescent="0.55000000000000004">
      <c r="A1" s="2" t="s">
        <v>108</v>
      </c>
      <c r="B1" s="1" t="s">
        <v>109</v>
      </c>
    </row>
    <row r="2" spans="1:2" x14ac:dyDescent="0.55000000000000004">
      <c r="A2" s="2" t="s">
        <v>110</v>
      </c>
      <c r="B2" s="1" t="s">
        <v>111</v>
      </c>
    </row>
    <row r="3" spans="1:2" x14ac:dyDescent="0.55000000000000004">
      <c r="A3" s="2" t="s">
        <v>112</v>
      </c>
      <c r="B3" s="1" t="s">
        <v>113</v>
      </c>
    </row>
    <row r="4" spans="1:2" x14ac:dyDescent="0.55000000000000004">
      <c r="A4" s="2" t="s">
        <v>114</v>
      </c>
      <c r="B4" s="1" t="s">
        <v>115</v>
      </c>
    </row>
    <row r="5" spans="1:2" x14ac:dyDescent="0.55000000000000004">
      <c r="A5" s="2" t="s">
        <v>116</v>
      </c>
      <c r="B5" s="1" t="s">
        <v>117</v>
      </c>
    </row>
    <row r="6" spans="1:2" x14ac:dyDescent="0.55000000000000004">
      <c r="A6" s="2" t="s">
        <v>118</v>
      </c>
      <c r="B6" s="1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9"/>
  <sheetViews>
    <sheetView showGridLines="0" tabSelected="1" workbookViewId="0">
      <pane xSplit="1" ySplit="1" topLeftCell="B55" activePane="bottomRight" state="frozen"/>
      <selection pane="topRight" activeCell="B1" sqref="B1"/>
      <selection pane="bottomLeft" activeCell="A2" sqref="A2"/>
      <selection pane="bottomRight" activeCell="I79" sqref="I79"/>
    </sheetView>
  </sheetViews>
  <sheetFormatPr defaultRowHeight="14.4" x14ac:dyDescent="0.55000000000000004"/>
  <cols>
    <col min="1" max="1" width="36" customWidth="1"/>
    <col min="2" max="9" width="12" customWidth="1"/>
    <col min="11" max="11" width="11.3671875" customWidth="1"/>
    <col min="12" max="12" width="10.83984375" customWidth="1"/>
    <col min="15" max="15" width="7.68359375" bestFit="1" customWidth="1"/>
    <col min="16" max="17" width="9.26171875" bestFit="1" customWidth="1"/>
    <col min="18" max="19" width="7.68359375" bestFit="1" customWidth="1"/>
    <col min="20" max="21" width="9.26171875" bestFit="1" customWidth="1"/>
  </cols>
  <sheetData>
    <row r="1" spans="1:12" s="6" customFormat="1" x14ac:dyDescent="0.5500000000000000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K1" s="8" t="s">
        <v>120</v>
      </c>
      <c r="L1" s="8" t="s">
        <v>121</v>
      </c>
    </row>
    <row r="2" spans="1:12" s="6" customFormat="1" x14ac:dyDescent="0.55000000000000004">
      <c r="A2" s="4" t="s">
        <v>9</v>
      </c>
      <c r="B2" s="5">
        <v>520</v>
      </c>
      <c r="C2" s="5">
        <v>529</v>
      </c>
      <c r="D2" s="5">
        <v>6338</v>
      </c>
      <c r="E2" s="5">
        <v>5762</v>
      </c>
      <c r="F2" s="5">
        <v>503</v>
      </c>
      <c r="G2" s="5">
        <v>449</v>
      </c>
      <c r="H2" s="5">
        <v>5137</v>
      </c>
      <c r="I2" s="5">
        <v>4842</v>
      </c>
      <c r="K2" s="9">
        <f>SUM(B2:E2)</f>
        <v>13149</v>
      </c>
      <c r="L2" s="9">
        <f>SUM(F2:I2)</f>
        <v>10931</v>
      </c>
    </row>
    <row r="3" spans="1:12" s="6" customFormat="1" x14ac:dyDescent="0.55000000000000004">
      <c r="A3" s="4" t="s">
        <v>10</v>
      </c>
      <c r="B3" s="5">
        <v>2522</v>
      </c>
      <c r="C3" s="5">
        <v>2401</v>
      </c>
      <c r="D3" s="5">
        <v>11888</v>
      </c>
      <c r="E3" s="5">
        <v>11166</v>
      </c>
      <c r="F3" s="5">
        <v>2074</v>
      </c>
      <c r="G3" s="5">
        <v>1770</v>
      </c>
      <c r="H3" s="5">
        <v>7247</v>
      </c>
      <c r="I3" s="5">
        <v>6798</v>
      </c>
      <c r="K3" s="9">
        <f t="shared" ref="K3:K66" si="0">SUM(B3:E3)</f>
        <v>27977</v>
      </c>
      <c r="L3" s="9">
        <f t="shared" ref="L3:L66" si="1">SUM(F3:I3)</f>
        <v>17889</v>
      </c>
    </row>
    <row r="4" spans="1:12" s="6" customFormat="1" x14ac:dyDescent="0.55000000000000004">
      <c r="A4" s="4" t="s">
        <v>11</v>
      </c>
      <c r="B4" s="5">
        <v>4960</v>
      </c>
      <c r="C4" s="5">
        <v>4156</v>
      </c>
      <c r="D4" s="5">
        <v>35098</v>
      </c>
      <c r="E4" s="5">
        <v>32402</v>
      </c>
      <c r="F4" s="5">
        <v>3633</v>
      </c>
      <c r="G4" s="5">
        <v>3131</v>
      </c>
      <c r="H4" s="5">
        <v>21286</v>
      </c>
      <c r="I4" s="5">
        <v>19976</v>
      </c>
      <c r="K4" s="9">
        <f t="shared" si="0"/>
        <v>76616</v>
      </c>
      <c r="L4" s="9">
        <f t="shared" si="1"/>
        <v>48026</v>
      </c>
    </row>
    <row r="5" spans="1:12" s="6" customFormat="1" x14ac:dyDescent="0.55000000000000004">
      <c r="A5" s="4" t="s">
        <v>12</v>
      </c>
      <c r="B5" s="5">
        <v>2386</v>
      </c>
      <c r="C5" s="5">
        <v>1744</v>
      </c>
      <c r="D5" s="5">
        <v>24378</v>
      </c>
      <c r="E5" s="5">
        <v>22357</v>
      </c>
      <c r="F5" s="5">
        <v>1845</v>
      </c>
      <c r="G5" s="5">
        <v>1479</v>
      </c>
      <c r="H5" s="5">
        <v>16750</v>
      </c>
      <c r="I5" s="5">
        <v>15904</v>
      </c>
      <c r="K5" s="9">
        <f t="shared" si="0"/>
        <v>50865</v>
      </c>
      <c r="L5" s="9">
        <f t="shared" si="1"/>
        <v>35978</v>
      </c>
    </row>
    <row r="6" spans="1:12" s="6" customFormat="1" x14ac:dyDescent="0.55000000000000004">
      <c r="A6" s="4" t="s">
        <v>13</v>
      </c>
      <c r="B6" s="5">
        <v>3145</v>
      </c>
      <c r="C6" s="5">
        <v>2221</v>
      </c>
      <c r="D6" s="5">
        <v>23485</v>
      </c>
      <c r="E6" s="5">
        <v>21928</v>
      </c>
      <c r="F6" s="5">
        <v>2037</v>
      </c>
      <c r="G6" s="5">
        <v>1629</v>
      </c>
      <c r="H6" s="5">
        <v>14906</v>
      </c>
      <c r="I6" s="5">
        <v>13673</v>
      </c>
      <c r="K6" s="9">
        <f t="shared" si="0"/>
        <v>50779</v>
      </c>
      <c r="L6" s="9">
        <f t="shared" si="1"/>
        <v>32245</v>
      </c>
    </row>
    <row r="7" spans="1:12" s="6" customFormat="1" x14ac:dyDescent="0.55000000000000004">
      <c r="A7" s="4" t="s">
        <v>14</v>
      </c>
      <c r="B7" s="5">
        <v>3126</v>
      </c>
      <c r="C7" s="5">
        <v>3032</v>
      </c>
      <c r="D7" s="5">
        <v>33106</v>
      </c>
      <c r="E7" s="5">
        <v>31240</v>
      </c>
      <c r="F7" s="5">
        <v>3429</v>
      </c>
      <c r="G7" s="5">
        <v>2931</v>
      </c>
      <c r="H7" s="5">
        <v>29527</v>
      </c>
      <c r="I7" s="5">
        <v>27911</v>
      </c>
      <c r="K7" s="9">
        <f t="shared" si="0"/>
        <v>70504</v>
      </c>
      <c r="L7" s="9">
        <f t="shared" si="1"/>
        <v>63798</v>
      </c>
    </row>
    <row r="8" spans="1:12" s="6" customFormat="1" x14ac:dyDescent="0.55000000000000004">
      <c r="A8" s="4" t="s">
        <v>15</v>
      </c>
      <c r="B8" s="5">
        <v>895</v>
      </c>
      <c r="C8" s="5">
        <v>911</v>
      </c>
      <c r="D8" s="5">
        <v>25826</v>
      </c>
      <c r="E8" s="5">
        <v>24441</v>
      </c>
      <c r="F8" s="5">
        <v>819</v>
      </c>
      <c r="G8" s="5">
        <v>742</v>
      </c>
      <c r="H8" s="5">
        <v>23402</v>
      </c>
      <c r="I8" s="5">
        <v>22632</v>
      </c>
      <c r="K8" s="9">
        <f t="shared" si="0"/>
        <v>52073</v>
      </c>
      <c r="L8" s="9">
        <f t="shared" si="1"/>
        <v>47595</v>
      </c>
    </row>
    <row r="9" spans="1:12" s="6" customFormat="1" x14ac:dyDescent="0.55000000000000004">
      <c r="A9" s="4" t="s">
        <v>16</v>
      </c>
      <c r="B9" s="5">
        <v>3824</v>
      </c>
      <c r="C9" s="5">
        <v>2521</v>
      </c>
      <c r="D9" s="5">
        <v>53438</v>
      </c>
      <c r="E9" s="5">
        <v>50358</v>
      </c>
      <c r="F9" s="5">
        <v>2565</v>
      </c>
      <c r="G9" s="5">
        <v>2144</v>
      </c>
      <c r="H9" s="5">
        <v>35303</v>
      </c>
      <c r="I9" s="5">
        <v>32848</v>
      </c>
      <c r="K9" s="9">
        <f t="shared" si="0"/>
        <v>110141</v>
      </c>
      <c r="L9" s="9">
        <f t="shared" si="1"/>
        <v>72860</v>
      </c>
    </row>
    <row r="10" spans="1:12" s="6" customFormat="1" x14ac:dyDescent="0.55000000000000004">
      <c r="A10" s="4" t="s">
        <v>17</v>
      </c>
      <c r="B10" s="5">
        <v>2276</v>
      </c>
      <c r="C10" s="5">
        <v>2187</v>
      </c>
      <c r="D10" s="5">
        <v>62308</v>
      </c>
      <c r="E10" s="5">
        <v>59557</v>
      </c>
      <c r="F10" s="5">
        <v>1888</v>
      </c>
      <c r="G10" s="5">
        <v>1621</v>
      </c>
      <c r="H10" s="5">
        <v>40653</v>
      </c>
      <c r="I10" s="5">
        <v>40008</v>
      </c>
      <c r="K10" s="9">
        <f t="shared" si="0"/>
        <v>126328</v>
      </c>
      <c r="L10" s="9">
        <f t="shared" si="1"/>
        <v>84170</v>
      </c>
    </row>
    <row r="11" spans="1:12" s="6" customFormat="1" x14ac:dyDescent="0.55000000000000004">
      <c r="A11" s="4" t="s">
        <v>18</v>
      </c>
      <c r="B11" s="5">
        <v>1269</v>
      </c>
      <c r="C11" s="5">
        <v>1252</v>
      </c>
      <c r="D11" s="5">
        <v>65343</v>
      </c>
      <c r="E11" s="5">
        <v>62591</v>
      </c>
      <c r="F11" s="5">
        <v>1355</v>
      </c>
      <c r="G11" s="5">
        <v>1228</v>
      </c>
      <c r="H11" s="5">
        <v>56747</v>
      </c>
      <c r="I11" s="5">
        <v>55780</v>
      </c>
      <c r="K11" s="9">
        <f t="shared" si="0"/>
        <v>130455</v>
      </c>
      <c r="L11" s="9">
        <f t="shared" si="1"/>
        <v>115110</v>
      </c>
    </row>
    <row r="12" spans="1:12" s="6" customFormat="1" x14ac:dyDescent="0.55000000000000004">
      <c r="A12" s="4" t="s">
        <v>19</v>
      </c>
      <c r="B12" s="5">
        <v>2995</v>
      </c>
      <c r="C12" s="5">
        <v>2159</v>
      </c>
      <c r="D12" s="5">
        <v>26350</v>
      </c>
      <c r="E12" s="5">
        <v>23608</v>
      </c>
      <c r="F12" s="5">
        <v>2383</v>
      </c>
      <c r="G12" s="5">
        <v>2076</v>
      </c>
      <c r="H12" s="5">
        <v>19623</v>
      </c>
      <c r="I12" s="5">
        <v>18796</v>
      </c>
      <c r="K12" s="9">
        <f t="shared" si="0"/>
        <v>55112</v>
      </c>
      <c r="L12" s="9">
        <f t="shared" si="1"/>
        <v>42878</v>
      </c>
    </row>
    <row r="13" spans="1:12" s="6" customFormat="1" x14ac:dyDescent="0.55000000000000004">
      <c r="A13" s="4" t="s">
        <v>20</v>
      </c>
      <c r="B13" s="5">
        <v>1496</v>
      </c>
      <c r="C13" s="5">
        <v>1423</v>
      </c>
      <c r="D13" s="5">
        <v>47212</v>
      </c>
      <c r="E13" s="5">
        <v>45461</v>
      </c>
      <c r="F13" s="5">
        <v>1272</v>
      </c>
      <c r="G13" s="5">
        <v>1017</v>
      </c>
      <c r="H13" s="5">
        <v>24367</v>
      </c>
      <c r="I13" s="5">
        <v>24379</v>
      </c>
      <c r="K13" s="9">
        <f t="shared" si="0"/>
        <v>95592</v>
      </c>
      <c r="L13" s="9">
        <f t="shared" si="1"/>
        <v>51035</v>
      </c>
    </row>
    <row r="14" spans="1:12" s="6" customFormat="1" x14ac:dyDescent="0.55000000000000004">
      <c r="A14" s="4" t="s">
        <v>21</v>
      </c>
      <c r="B14" s="5">
        <v>8515</v>
      </c>
      <c r="C14" s="5">
        <v>8177</v>
      </c>
      <c r="D14" s="5">
        <v>45146</v>
      </c>
      <c r="E14" s="5">
        <v>42985</v>
      </c>
      <c r="F14" s="5">
        <v>5666</v>
      </c>
      <c r="G14" s="5">
        <v>4548</v>
      </c>
      <c r="H14" s="5">
        <v>25916</v>
      </c>
      <c r="I14" s="5">
        <v>24120</v>
      </c>
      <c r="K14" s="9">
        <f t="shared" si="0"/>
        <v>104823</v>
      </c>
      <c r="L14" s="9">
        <f t="shared" si="1"/>
        <v>60250</v>
      </c>
    </row>
    <row r="15" spans="1:12" s="6" customFormat="1" x14ac:dyDescent="0.55000000000000004">
      <c r="A15" s="4" t="s">
        <v>22</v>
      </c>
      <c r="B15" s="5">
        <v>3543</v>
      </c>
      <c r="C15" s="5">
        <v>3288</v>
      </c>
      <c r="D15" s="5">
        <v>45098</v>
      </c>
      <c r="E15" s="5">
        <v>42880</v>
      </c>
      <c r="F15" s="5">
        <v>3348</v>
      </c>
      <c r="G15" s="5">
        <v>2997</v>
      </c>
      <c r="H15" s="5">
        <v>30336</v>
      </c>
      <c r="I15" s="5">
        <v>29816</v>
      </c>
      <c r="K15" s="9">
        <f t="shared" si="0"/>
        <v>94809</v>
      </c>
      <c r="L15" s="9">
        <f t="shared" si="1"/>
        <v>66497</v>
      </c>
    </row>
    <row r="16" spans="1:12" s="6" customFormat="1" x14ac:dyDescent="0.55000000000000004">
      <c r="A16" s="4" t="s">
        <v>23</v>
      </c>
      <c r="B16" s="5">
        <v>1540</v>
      </c>
      <c r="C16" s="5">
        <v>1505</v>
      </c>
      <c r="D16" s="5">
        <v>27858</v>
      </c>
      <c r="E16" s="5">
        <v>26305</v>
      </c>
      <c r="F16" s="5">
        <v>1567</v>
      </c>
      <c r="G16" s="5">
        <v>1470</v>
      </c>
      <c r="H16" s="5">
        <v>23291</v>
      </c>
      <c r="I16" s="5">
        <v>22542</v>
      </c>
      <c r="K16" s="9">
        <f t="shared" si="0"/>
        <v>57208</v>
      </c>
      <c r="L16" s="9">
        <f t="shared" si="1"/>
        <v>48870</v>
      </c>
    </row>
    <row r="17" spans="1:12" s="6" customFormat="1" x14ac:dyDescent="0.55000000000000004">
      <c r="A17" s="4" t="s">
        <v>24</v>
      </c>
      <c r="B17" s="5">
        <v>7527</v>
      </c>
      <c r="C17" s="5">
        <v>6274</v>
      </c>
      <c r="D17" s="5">
        <v>72076</v>
      </c>
      <c r="E17" s="5">
        <v>66206</v>
      </c>
      <c r="F17" s="5">
        <v>5605</v>
      </c>
      <c r="G17" s="5">
        <v>4524</v>
      </c>
      <c r="H17" s="5">
        <v>43365</v>
      </c>
      <c r="I17" s="5">
        <v>40133</v>
      </c>
      <c r="K17" s="9">
        <f t="shared" si="0"/>
        <v>152083</v>
      </c>
      <c r="L17" s="9">
        <f t="shared" si="1"/>
        <v>93627</v>
      </c>
    </row>
    <row r="18" spans="1:12" s="6" customFormat="1" x14ac:dyDescent="0.55000000000000004">
      <c r="A18" s="4" t="s">
        <v>25</v>
      </c>
      <c r="B18" s="5">
        <v>2059</v>
      </c>
      <c r="C18" s="5">
        <v>1568</v>
      </c>
      <c r="D18" s="5">
        <v>24597</v>
      </c>
      <c r="E18" s="5">
        <v>22750</v>
      </c>
      <c r="F18" s="5">
        <v>1574</v>
      </c>
      <c r="G18" s="5">
        <v>1213</v>
      </c>
      <c r="H18" s="5">
        <v>17383</v>
      </c>
      <c r="I18" s="5">
        <v>17054</v>
      </c>
      <c r="K18" s="9">
        <f t="shared" si="0"/>
        <v>50974</v>
      </c>
      <c r="L18" s="9">
        <f t="shared" si="1"/>
        <v>37224</v>
      </c>
    </row>
    <row r="19" spans="1:12" s="6" customFormat="1" x14ac:dyDescent="0.55000000000000004">
      <c r="A19" s="4" t="s">
        <v>26</v>
      </c>
      <c r="B19" s="5">
        <v>1561</v>
      </c>
      <c r="C19" s="5">
        <v>1465</v>
      </c>
      <c r="D19" s="5">
        <v>28005</v>
      </c>
      <c r="E19" s="5">
        <v>26894</v>
      </c>
      <c r="F19" s="5">
        <v>1448</v>
      </c>
      <c r="G19" s="5">
        <v>1281</v>
      </c>
      <c r="H19" s="5">
        <v>24162</v>
      </c>
      <c r="I19" s="5">
        <v>23591</v>
      </c>
      <c r="K19" s="9">
        <f t="shared" si="0"/>
        <v>57925</v>
      </c>
      <c r="L19" s="9">
        <f t="shared" si="1"/>
        <v>50482</v>
      </c>
    </row>
    <row r="20" spans="1:12" s="6" customFormat="1" x14ac:dyDescent="0.55000000000000004">
      <c r="A20" s="4" t="s">
        <v>27</v>
      </c>
      <c r="B20" s="5">
        <v>2768</v>
      </c>
      <c r="C20" s="5">
        <v>2432</v>
      </c>
      <c r="D20" s="5">
        <v>7572</v>
      </c>
      <c r="E20" s="5">
        <v>6933</v>
      </c>
      <c r="F20" s="5">
        <v>1789</v>
      </c>
      <c r="G20" s="5">
        <v>1540</v>
      </c>
      <c r="H20" s="5">
        <v>5128</v>
      </c>
      <c r="I20" s="5">
        <v>4901</v>
      </c>
      <c r="K20" s="9">
        <f t="shared" si="0"/>
        <v>19705</v>
      </c>
      <c r="L20" s="9">
        <f t="shared" si="1"/>
        <v>13358</v>
      </c>
    </row>
    <row r="21" spans="1:12" s="6" customFormat="1" x14ac:dyDescent="0.55000000000000004">
      <c r="A21" s="4" t="s">
        <v>28</v>
      </c>
      <c r="B21" s="5">
        <v>4869</v>
      </c>
      <c r="C21" s="5">
        <v>4580</v>
      </c>
      <c r="D21" s="5">
        <v>58056</v>
      </c>
      <c r="E21" s="5">
        <v>53073</v>
      </c>
      <c r="F21" s="5">
        <v>3865</v>
      </c>
      <c r="G21" s="5">
        <v>3666</v>
      </c>
      <c r="H21" s="5">
        <v>58056</v>
      </c>
      <c r="I21" s="5">
        <v>53073</v>
      </c>
      <c r="K21" s="9">
        <f t="shared" si="0"/>
        <v>120578</v>
      </c>
      <c r="L21" s="9">
        <f t="shared" si="1"/>
        <v>118660</v>
      </c>
    </row>
    <row r="22" spans="1:12" s="6" customFormat="1" x14ac:dyDescent="0.55000000000000004">
      <c r="A22" s="4" t="s">
        <v>29</v>
      </c>
      <c r="B22" s="5">
        <v>3995</v>
      </c>
      <c r="C22" s="5">
        <v>3795</v>
      </c>
      <c r="D22" s="5">
        <v>14985</v>
      </c>
      <c r="E22" s="5">
        <v>14173</v>
      </c>
      <c r="F22" s="5">
        <v>3407</v>
      </c>
      <c r="G22" s="5">
        <v>2881</v>
      </c>
      <c r="H22" s="5">
        <v>10853</v>
      </c>
      <c r="I22" s="5">
        <v>9988</v>
      </c>
      <c r="K22" s="9">
        <f t="shared" si="0"/>
        <v>36948</v>
      </c>
      <c r="L22" s="9">
        <f t="shared" si="1"/>
        <v>27129</v>
      </c>
    </row>
    <row r="23" spans="1:12" s="6" customFormat="1" x14ac:dyDescent="0.55000000000000004">
      <c r="A23" s="4" t="s">
        <v>30</v>
      </c>
      <c r="B23" s="5">
        <v>3079</v>
      </c>
      <c r="C23" s="5">
        <v>1970</v>
      </c>
      <c r="D23" s="5">
        <v>35544</v>
      </c>
      <c r="E23" s="5">
        <v>32831</v>
      </c>
      <c r="F23" s="5">
        <v>2235</v>
      </c>
      <c r="G23" s="5">
        <v>1527</v>
      </c>
      <c r="H23" s="5">
        <v>20630</v>
      </c>
      <c r="I23" s="5">
        <v>18778</v>
      </c>
      <c r="K23" s="9">
        <f t="shared" si="0"/>
        <v>73424</v>
      </c>
      <c r="L23" s="9">
        <f t="shared" si="1"/>
        <v>43170</v>
      </c>
    </row>
    <row r="24" spans="1:12" s="6" customFormat="1" x14ac:dyDescent="0.55000000000000004">
      <c r="A24" s="4" t="s">
        <v>31</v>
      </c>
      <c r="B24" s="5">
        <v>2047</v>
      </c>
      <c r="C24" s="5">
        <v>1512</v>
      </c>
      <c r="D24" s="5">
        <v>31062</v>
      </c>
      <c r="E24" s="5">
        <v>29191</v>
      </c>
      <c r="F24" s="5">
        <v>1441</v>
      </c>
      <c r="G24" s="5">
        <v>1141</v>
      </c>
      <c r="H24" s="5">
        <v>17494</v>
      </c>
      <c r="I24" s="5">
        <v>16129</v>
      </c>
      <c r="K24" s="9">
        <f t="shared" si="0"/>
        <v>63812</v>
      </c>
      <c r="L24" s="9">
        <f t="shared" si="1"/>
        <v>36205</v>
      </c>
    </row>
    <row r="25" spans="1:12" s="6" customFormat="1" x14ac:dyDescent="0.55000000000000004">
      <c r="A25" s="4" t="s">
        <v>32</v>
      </c>
      <c r="B25" s="5">
        <v>17558</v>
      </c>
      <c r="C25" s="5">
        <v>16577</v>
      </c>
      <c r="D25" s="5">
        <v>30984</v>
      </c>
      <c r="E25" s="5">
        <v>29665</v>
      </c>
      <c r="F25" s="5">
        <v>17253</v>
      </c>
      <c r="G25" s="5">
        <v>13785</v>
      </c>
      <c r="H25" s="5">
        <v>33182</v>
      </c>
      <c r="I25" s="5">
        <v>31670</v>
      </c>
      <c r="K25" s="9">
        <f t="shared" si="0"/>
        <v>94784</v>
      </c>
      <c r="L25" s="9">
        <f t="shared" si="1"/>
        <v>95890</v>
      </c>
    </row>
    <row r="26" spans="1:12" s="6" customFormat="1" x14ac:dyDescent="0.55000000000000004">
      <c r="A26" s="4" t="s">
        <v>33</v>
      </c>
      <c r="B26" s="5">
        <v>2060</v>
      </c>
      <c r="C26" s="5">
        <v>2047</v>
      </c>
      <c r="D26" s="5">
        <v>38355</v>
      </c>
      <c r="E26" s="5">
        <v>36519</v>
      </c>
      <c r="F26" s="5">
        <v>2113</v>
      </c>
      <c r="G26" s="5">
        <v>1836</v>
      </c>
      <c r="H26" s="5">
        <v>28632</v>
      </c>
      <c r="I26" s="5">
        <v>27720</v>
      </c>
      <c r="K26" s="9">
        <f t="shared" si="0"/>
        <v>78981</v>
      </c>
      <c r="L26" s="9">
        <f t="shared" si="1"/>
        <v>60301</v>
      </c>
    </row>
    <row r="27" spans="1:12" s="6" customFormat="1" x14ac:dyDescent="0.55000000000000004">
      <c r="A27" s="4" t="s">
        <v>34</v>
      </c>
      <c r="B27" s="5">
        <v>1200</v>
      </c>
      <c r="C27" s="5">
        <v>1110</v>
      </c>
      <c r="D27" s="5">
        <v>24568</v>
      </c>
      <c r="E27" s="5">
        <v>23546</v>
      </c>
      <c r="F27" s="5">
        <v>1219</v>
      </c>
      <c r="G27" s="5">
        <v>1045</v>
      </c>
      <c r="H27" s="5">
        <v>22035</v>
      </c>
      <c r="I27" s="5">
        <v>20509</v>
      </c>
      <c r="K27" s="9">
        <f t="shared" si="0"/>
        <v>50424</v>
      </c>
      <c r="L27" s="9">
        <f t="shared" si="1"/>
        <v>44808</v>
      </c>
    </row>
    <row r="28" spans="1:12" s="6" customFormat="1" x14ac:dyDescent="0.55000000000000004">
      <c r="A28" s="4" t="s">
        <v>35</v>
      </c>
      <c r="B28" s="5">
        <v>392</v>
      </c>
      <c r="C28" s="5">
        <v>407</v>
      </c>
      <c r="D28" s="5">
        <v>7616</v>
      </c>
      <c r="E28" s="5">
        <v>7432</v>
      </c>
      <c r="F28" s="5">
        <v>416</v>
      </c>
      <c r="G28" s="5">
        <v>357</v>
      </c>
      <c r="H28" s="5">
        <v>7561</v>
      </c>
      <c r="I28" s="5">
        <v>7239</v>
      </c>
      <c r="K28" s="9">
        <f t="shared" si="0"/>
        <v>15847</v>
      </c>
      <c r="L28" s="9">
        <f t="shared" si="1"/>
        <v>15573</v>
      </c>
    </row>
    <row r="29" spans="1:12" s="6" customFormat="1" x14ac:dyDescent="0.55000000000000004">
      <c r="A29" s="4" t="s">
        <v>36</v>
      </c>
      <c r="B29" s="5">
        <v>3872</v>
      </c>
      <c r="C29" s="5">
        <v>3589</v>
      </c>
      <c r="D29" s="5">
        <v>36395</v>
      </c>
      <c r="E29" s="5">
        <v>34820</v>
      </c>
      <c r="F29" s="5">
        <v>2843</v>
      </c>
      <c r="G29" s="5">
        <v>2395</v>
      </c>
      <c r="H29" s="5">
        <v>23946</v>
      </c>
      <c r="I29" s="5">
        <v>21596</v>
      </c>
      <c r="K29" s="9">
        <f t="shared" si="0"/>
        <v>78676</v>
      </c>
      <c r="L29" s="9">
        <f t="shared" si="1"/>
        <v>50780</v>
      </c>
    </row>
    <row r="30" spans="1:12" s="6" customFormat="1" x14ac:dyDescent="0.55000000000000004">
      <c r="A30" s="4" t="s">
        <v>37</v>
      </c>
      <c r="B30" s="5">
        <v>3951</v>
      </c>
      <c r="C30" s="5">
        <v>3651</v>
      </c>
      <c r="D30" s="5">
        <v>48930</v>
      </c>
      <c r="E30" s="5">
        <v>46227</v>
      </c>
      <c r="F30" s="5">
        <v>3490</v>
      </c>
      <c r="G30" s="5">
        <v>3119</v>
      </c>
      <c r="H30" s="5">
        <v>38509</v>
      </c>
      <c r="I30" s="5">
        <v>37403</v>
      </c>
      <c r="K30" s="9">
        <f t="shared" si="0"/>
        <v>102759</v>
      </c>
      <c r="L30" s="9">
        <f t="shared" si="1"/>
        <v>82521</v>
      </c>
    </row>
    <row r="31" spans="1:12" s="6" customFormat="1" x14ac:dyDescent="0.55000000000000004">
      <c r="A31" s="4" t="s">
        <v>38</v>
      </c>
      <c r="B31" s="5">
        <v>3839</v>
      </c>
      <c r="C31" s="5">
        <v>3356</v>
      </c>
      <c r="D31" s="5">
        <v>35985</v>
      </c>
      <c r="E31" s="5">
        <v>34555</v>
      </c>
      <c r="F31" s="5">
        <v>2608</v>
      </c>
      <c r="G31" s="5">
        <v>2314</v>
      </c>
      <c r="H31" s="5">
        <v>24002</v>
      </c>
      <c r="I31" s="5">
        <v>22973</v>
      </c>
      <c r="K31" s="9">
        <f t="shared" si="0"/>
        <v>77735</v>
      </c>
      <c r="L31" s="9">
        <f t="shared" si="1"/>
        <v>51897</v>
      </c>
    </row>
    <row r="32" spans="1:12" s="6" customFormat="1" x14ac:dyDescent="0.55000000000000004">
      <c r="A32" s="4" t="s">
        <v>39</v>
      </c>
      <c r="B32" s="5">
        <v>3876</v>
      </c>
      <c r="C32" s="5">
        <v>3282</v>
      </c>
      <c r="D32" s="5">
        <v>68300</v>
      </c>
      <c r="E32" s="5">
        <v>65868</v>
      </c>
      <c r="F32" s="5">
        <v>3688</v>
      </c>
      <c r="G32" s="5">
        <v>3233</v>
      </c>
      <c r="H32" s="5">
        <v>57479</v>
      </c>
      <c r="I32" s="5">
        <v>53881</v>
      </c>
      <c r="K32" s="9">
        <f t="shared" si="0"/>
        <v>141326</v>
      </c>
      <c r="L32" s="9">
        <f t="shared" si="1"/>
        <v>118281</v>
      </c>
    </row>
    <row r="33" spans="1:12" s="6" customFormat="1" x14ac:dyDescent="0.55000000000000004">
      <c r="A33" s="4" t="s">
        <v>40</v>
      </c>
      <c r="B33" s="5">
        <v>3115</v>
      </c>
      <c r="C33" s="5">
        <v>2513</v>
      </c>
      <c r="D33" s="5">
        <v>58968</v>
      </c>
      <c r="E33" s="5">
        <v>55255</v>
      </c>
      <c r="F33" s="5">
        <v>2348</v>
      </c>
      <c r="G33" s="5">
        <v>1767</v>
      </c>
      <c r="H33" s="5">
        <v>34383</v>
      </c>
      <c r="I33" s="5">
        <v>32251</v>
      </c>
      <c r="K33" s="9">
        <f t="shared" si="0"/>
        <v>119851</v>
      </c>
      <c r="L33" s="9">
        <f t="shared" si="1"/>
        <v>70749</v>
      </c>
    </row>
    <row r="34" spans="1:12" s="6" customFormat="1" x14ac:dyDescent="0.55000000000000004">
      <c r="A34" s="4" t="s">
        <v>41</v>
      </c>
      <c r="B34" s="5">
        <v>6001</v>
      </c>
      <c r="C34" s="5">
        <v>5623</v>
      </c>
      <c r="D34" s="5">
        <v>55059</v>
      </c>
      <c r="E34" s="5">
        <v>53399</v>
      </c>
      <c r="F34" s="5">
        <v>4876</v>
      </c>
      <c r="G34" s="5">
        <v>3789</v>
      </c>
      <c r="H34" s="5">
        <v>33168</v>
      </c>
      <c r="I34" s="5">
        <v>33863</v>
      </c>
      <c r="K34" s="9">
        <f t="shared" si="0"/>
        <v>120082</v>
      </c>
      <c r="L34" s="9">
        <f t="shared" si="1"/>
        <v>75696</v>
      </c>
    </row>
    <row r="35" spans="1:12" s="6" customFormat="1" x14ac:dyDescent="0.55000000000000004">
      <c r="A35" s="4" t="s">
        <v>42</v>
      </c>
      <c r="B35" s="5">
        <v>1214</v>
      </c>
      <c r="C35" s="5">
        <v>1168</v>
      </c>
      <c r="D35" s="5">
        <v>22273</v>
      </c>
      <c r="E35" s="5">
        <v>21307</v>
      </c>
      <c r="F35" s="5">
        <v>1020</v>
      </c>
      <c r="G35" s="5">
        <v>947</v>
      </c>
      <c r="H35" s="5">
        <v>17020</v>
      </c>
      <c r="I35" s="5">
        <v>16033</v>
      </c>
      <c r="K35" s="9">
        <f t="shared" si="0"/>
        <v>45962</v>
      </c>
      <c r="L35" s="9">
        <f t="shared" si="1"/>
        <v>35020</v>
      </c>
    </row>
    <row r="36" spans="1:12" s="6" customFormat="1" x14ac:dyDescent="0.55000000000000004">
      <c r="A36" s="4" t="s">
        <v>43</v>
      </c>
      <c r="B36" s="5">
        <v>2324</v>
      </c>
      <c r="C36" s="5">
        <v>2319</v>
      </c>
      <c r="D36" s="5">
        <v>41694</v>
      </c>
      <c r="E36" s="5">
        <v>40088</v>
      </c>
      <c r="F36" s="5">
        <v>2063</v>
      </c>
      <c r="G36" s="5">
        <v>1895</v>
      </c>
      <c r="H36" s="5">
        <v>30318</v>
      </c>
      <c r="I36" s="5">
        <v>28552</v>
      </c>
      <c r="K36" s="9">
        <f t="shared" si="0"/>
        <v>86425</v>
      </c>
      <c r="L36" s="9">
        <f t="shared" si="1"/>
        <v>62828</v>
      </c>
    </row>
    <row r="37" spans="1:12" s="6" customFormat="1" x14ac:dyDescent="0.55000000000000004">
      <c r="A37" s="4" t="s">
        <v>44</v>
      </c>
      <c r="B37" s="5">
        <v>3920</v>
      </c>
      <c r="C37" s="5">
        <v>3603</v>
      </c>
      <c r="D37" s="5">
        <v>71539</v>
      </c>
      <c r="E37" s="5">
        <v>69126</v>
      </c>
      <c r="F37" s="5">
        <v>3510</v>
      </c>
      <c r="G37" s="5">
        <v>2819</v>
      </c>
      <c r="H37" s="5">
        <v>45786</v>
      </c>
      <c r="I37" s="5">
        <v>43162</v>
      </c>
      <c r="K37" s="9">
        <f t="shared" si="0"/>
        <v>148188</v>
      </c>
      <c r="L37" s="9">
        <f t="shared" si="1"/>
        <v>95277</v>
      </c>
    </row>
    <row r="38" spans="1:12" s="6" customFormat="1" x14ac:dyDescent="0.55000000000000004">
      <c r="A38" s="4" t="s">
        <v>45</v>
      </c>
      <c r="B38" s="5">
        <v>16466</v>
      </c>
      <c r="C38" s="5">
        <v>15574</v>
      </c>
      <c r="D38" s="5">
        <v>13403</v>
      </c>
      <c r="E38" s="5">
        <v>12467</v>
      </c>
      <c r="F38" s="5">
        <v>16991</v>
      </c>
      <c r="G38" s="5">
        <v>12975</v>
      </c>
      <c r="H38" s="5">
        <v>12919</v>
      </c>
      <c r="I38" s="5">
        <v>11684</v>
      </c>
      <c r="K38" s="9">
        <f t="shared" si="0"/>
        <v>57910</v>
      </c>
      <c r="L38" s="9">
        <f t="shared" si="1"/>
        <v>54569</v>
      </c>
    </row>
    <row r="39" spans="1:12" s="6" customFormat="1" x14ac:dyDescent="0.55000000000000004">
      <c r="A39" s="4" t="s">
        <v>46</v>
      </c>
      <c r="B39" s="5">
        <v>6927</v>
      </c>
      <c r="C39" s="5">
        <v>6821</v>
      </c>
      <c r="D39" s="5">
        <v>54058</v>
      </c>
      <c r="E39" s="5">
        <v>51549</v>
      </c>
      <c r="F39" s="5">
        <v>6247</v>
      </c>
      <c r="G39" s="5">
        <v>5773</v>
      </c>
      <c r="H39" s="5">
        <v>35409</v>
      </c>
      <c r="I39" s="5">
        <v>34133</v>
      </c>
      <c r="K39" s="9">
        <f t="shared" si="0"/>
        <v>119355</v>
      </c>
      <c r="L39" s="9">
        <f t="shared" si="1"/>
        <v>81562</v>
      </c>
    </row>
    <row r="40" spans="1:12" s="6" customFormat="1" x14ac:dyDescent="0.55000000000000004">
      <c r="A40" s="4" t="s">
        <v>47</v>
      </c>
      <c r="B40" s="5">
        <v>2206</v>
      </c>
      <c r="C40" s="5">
        <v>2211</v>
      </c>
      <c r="D40" s="5">
        <v>35237</v>
      </c>
      <c r="E40" s="5">
        <v>33605</v>
      </c>
      <c r="F40" s="5">
        <v>2024</v>
      </c>
      <c r="G40" s="5">
        <v>1758</v>
      </c>
      <c r="H40" s="5">
        <v>23077</v>
      </c>
      <c r="I40" s="5">
        <v>22099</v>
      </c>
      <c r="K40" s="9">
        <f t="shared" si="0"/>
        <v>73259</v>
      </c>
      <c r="L40" s="9">
        <f t="shared" si="1"/>
        <v>48958</v>
      </c>
    </row>
    <row r="41" spans="1:12" s="6" customFormat="1" x14ac:dyDescent="0.55000000000000004">
      <c r="A41" s="4" t="s">
        <v>48</v>
      </c>
      <c r="B41" s="5">
        <v>1636</v>
      </c>
      <c r="C41" s="5">
        <v>1563</v>
      </c>
      <c r="D41" s="5">
        <v>34156</v>
      </c>
      <c r="E41" s="5">
        <v>32936</v>
      </c>
      <c r="F41" s="5">
        <v>1502</v>
      </c>
      <c r="G41" s="5">
        <v>1444</v>
      </c>
      <c r="H41" s="5">
        <v>30040</v>
      </c>
      <c r="I41" s="5">
        <v>28931</v>
      </c>
      <c r="K41" s="9">
        <f t="shared" si="0"/>
        <v>70291</v>
      </c>
      <c r="L41" s="9">
        <f t="shared" si="1"/>
        <v>61917</v>
      </c>
    </row>
    <row r="42" spans="1:12" s="6" customFormat="1" x14ac:dyDescent="0.55000000000000004">
      <c r="A42" s="4" t="s">
        <v>49</v>
      </c>
      <c r="B42" s="5">
        <v>4648</v>
      </c>
      <c r="C42" s="5">
        <v>4180</v>
      </c>
      <c r="D42" s="5">
        <v>21651</v>
      </c>
      <c r="E42" s="5">
        <v>20580</v>
      </c>
      <c r="F42" s="5">
        <v>3227</v>
      </c>
      <c r="G42" s="5">
        <v>2747</v>
      </c>
      <c r="H42" s="5">
        <v>12496</v>
      </c>
      <c r="I42" s="5">
        <v>11823</v>
      </c>
      <c r="K42" s="9">
        <f t="shared" si="0"/>
        <v>51059</v>
      </c>
      <c r="L42" s="9">
        <f t="shared" si="1"/>
        <v>30293</v>
      </c>
    </row>
    <row r="43" spans="1:12" s="6" customFormat="1" x14ac:dyDescent="0.55000000000000004">
      <c r="A43" s="4" t="s">
        <v>50</v>
      </c>
      <c r="B43" s="5">
        <v>3801</v>
      </c>
      <c r="C43" s="5">
        <v>3183</v>
      </c>
      <c r="D43" s="5">
        <v>60680</v>
      </c>
      <c r="E43" s="5">
        <v>58608</v>
      </c>
      <c r="F43" s="5">
        <v>2702</v>
      </c>
      <c r="G43" s="5">
        <v>2427</v>
      </c>
      <c r="H43" s="5">
        <v>39773</v>
      </c>
      <c r="I43" s="5">
        <v>38282</v>
      </c>
      <c r="K43" s="9">
        <f t="shared" si="0"/>
        <v>126272</v>
      </c>
      <c r="L43" s="9">
        <f t="shared" si="1"/>
        <v>83184</v>
      </c>
    </row>
    <row r="44" spans="1:12" s="6" customFormat="1" x14ac:dyDescent="0.55000000000000004">
      <c r="A44" s="4" t="s">
        <v>51</v>
      </c>
      <c r="B44" s="5">
        <v>2574</v>
      </c>
      <c r="C44" s="5">
        <v>2302</v>
      </c>
      <c r="D44" s="5">
        <v>36404</v>
      </c>
      <c r="E44" s="5">
        <v>34862</v>
      </c>
      <c r="F44" s="5">
        <v>2257</v>
      </c>
      <c r="G44" s="5">
        <v>2006</v>
      </c>
      <c r="H44" s="5">
        <v>32544</v>
      </c>
      <c r="I44" s="5">
        <v>30893</v>
      </c>
      <c r="K44" s="9">
        <f t="shared" si="0"/>
        <v>76142</v>
      </c>
      <c r="L44" s="9">
        <f t="shared" si="1"/>
        <v>67700</v>
      </c>
    </row>
    <row r="45" spans="1:12" s="6" customFormat="1" x14ac:dyDescent="0.55000000000000004">
      <c r="A45" s="4" t="s">
        <v>52</v>
      </c>
      <c r="B45" s="5">
        <v>3148</v>
      </c>
      <c r="C45" s="5">
        <v>2967</v>
      </c>
      <c r="D45" s="5">
        <v>34672</v>
      </c>
      <c r="E45" s="5">
        <v>32730</v>
      </c>
      <c r="F45" s="5">
        <v>3030</v>
      </c>
      <c r="G45" s="5">
        <v>2641</v>
      </c>
      <c r="H45" s="5">
        <v>26185</v>
      </c>
      <c r="I45" s="5">
        <v>25233</v>
      </c>
      <c r="K45" s="9">
        <f t="shared" si="0"/>
        <v>73517</v>
      </c>
      <c r="L45" s="9">
        <f t="shared" si="1"/>
        <v>57089</v>
      </c>
    </row>
    <row r="46" spans="1:12" s="6" customFormat="1" x14ac:dyDescent="0.55000000000000004">
      <c r="A46" s="4" t="s">
        <v>53</v>
      </c>
      <c r="B46" s="5">
        <v>1676</v>
      </c>
      <c r="C46" s="5">
        <v>1693</v>
      </c>
      <c r="D46" s="5">
        <v>43285</v>
      </c>
      <c r="E46" s="5">
        <v>40610</v>
      </c>
      <c r="F46" s="5">
        <v>1513</v>
      </c>
      <c r="G46" s="5">
        <v>1373</v>
      </c>
      <c r="H46" s="5">
        <v>26075</v>
      </c>
      <c r="I46" s="5">
        <v>24634</v>
      </c>
      <c r="K46" s="9">
        <f t="shared" si="0"/>
        <v>87264</v>
      </c>
      <c r="L46" s="9">
        <f t="shared" si="1"/>
        <v>53595</v>
      </c>
    </row>
    <row r="47" spans="1:12" s="6" customFormat="1" x14ac:dyDescent="0.55000000000000004">
      <c r="A47" s="4" t="s">
        <v>54</v>
      </c>
      <c r="B47" s="5">
        <v>6462</v>
      </c>
      <c r="C47" s="5">
        <v>5988</v>
      </c>
      <c r="D47" s="5">
        <v>51647</v>
      </c>
      <c r="E47" s="5">
        <v>48676</v>
      </c>
      <c r="F47" s="5">
        <v>4869</v>
      </c>
      <c r="G47" s="5">
        <v>4339</v>
      </c>
      <c r="H47" s="5">
        <v>32253</v>
      </c>
      <c r="I47" s="5">
        <v>31070</v>
      </c>
      <c r="K47" s="9">
        <f t="shared" si="0"/>
        <v>112773</v>
      </c>
      <c r="L47" s="9">
        <f t="shared" si="1"/>
        <v>72531</v>
      </c>
    </row>
    <row r="48" spans="1:12" s="6" customFormat="1" x14ac:dyDescent="0.55000000000000004">
      <c r="A48" s="4" t="s">
        <v>55</v>
      </c>
      <c r="B48" s="5">
        <v>13775</v>
      </c>
      <c r="C48" s="5">
        <v>12407</v>
      </c>
      <c r="D48" s="5">
        <v>40757</v>
      </c>
      <c r="E48" s="5">
        <v>39055</v>
      </c>
      <c r="F48" s="5">
        <v>10571</v>
      </c>
      <c r="G48" s="5">
        <v>8873</v>
      </c>
      <c r="H48" s="5">
        <v>25072</v>
      </c>
      <c r="I48" s="5">
        <v>23734</v>
      </c>
      <c r="K48" s="9">
        <f t="shared" si="0"/>
        <v>105994</v>
      </c>
      <c r="L48" s="9">
        <f t="shared" si="1"/>
        <v>68250</v>
      </c>
    </row>
    <row r="49" spans="1:33" s="6" customFormat="1" x14ac:dyDescent="0.55000000000000004">
      <c r="A49" s="4" t="s">
        <v>56</v>
      </c>
      <c r="B49" s="5">
        <v>3774</v>
      </c>
      <c r="C49" s="5">
        <v>3415</v>
      </c>
      <c r="D49" s="5">
        <v>48145</v>
      </c>
      <c r="E49" s="5">
        <v>45583</v>
      </c>
      <c r="F49" s="5">
        <v>2792</v>
      </c>
      <c r="G49" s="5">
        <v>2507</v>
      </c>
      <c r="H49" s="5">
        <v>31145</v>
      </c>
      <c r="I49" s="5">
        <v>30056</v>
      </c>
      <c r="K49" s="9">
        <f t="shared" si="0"/>
        <v>100917</v>
      </c>
      <c r="L49" s="9">
        <f t="shared" si="1"/>
        <v>66500</v>
      </c>
    </row>
    <row r="50" spans="1:33" s="6" customFormat="1" x14ac:dyDescent="0.55000000000000004">
      <c r="A50" s="4" t="s">
        <v>57</v>
      </c>
      <c r="B50" s="5">
        <v>982</v>
      </c>
      <c r="C50" s="5">
        <v>910</v>
      </c>
      <c r="D50" s="5">
        <v>4857</v>
      </c>
      <c r="E50" s="5">
        <v>4740</v>
      </c>
      <c r="F50" s="5">
        <v>884</v>
      </c>
      <c r="G50" s="5">
        <v>718</v>
      </c>
      <c r="H50" s="5">
        <v>4002</v>
      </c>
      <c r="I50" s="5">
        <v>3959</v>
      </c>
      <c r="K50" s="9">
        <f t="shared" si="0"/>
        <v>11489</v>
      </c>
      <c r="L50" s="9">
        <f t="shared" si="1"/>
        <v>9563</v>
      </c>
    </row>
    <row r="51" spans="1:33" s="6" customFormat="1" x14ac:dyDescent="0.55000000000000004">
      <c r="A51" s="4" t="s">
        <v>58</v>
      </c>
      <c r="B51" s="5">
        <v>2885</v>
      </c>
      <c r="C51" s="5">
        <v>2170</v>
      </c>
      <c r="D51" s="5">
        <v>18611</v>
      </c>
      <c r="E51" s="5">
        <v>18143</v>
      </c>
      <c r="F51" s="5">
        <v>2781</v>
      </c>
      <c r="G51" s="5">
        <v>2294</v>
      </c>
      <c r="H51" s="5">
        <v>19265</v>
      </c>
      <c r="I51" s="5">
        <v>19214</v>
      </c>
      <c r="K51" s="9">
        <f t="shared" si="0"/>
        <v>41809</v>
      </c>
      <c r="L51" s="9">
        <f t="shared" si="1"/>
        <v>43554</v>
      </c>
    </row>
    <row r="52" spans="1:33" s="6" customFormat="1" x14ac:dyDescent="0.55000000000000004">
      <c r="A52" s="14" t="s">
        <v>59</v>
      </c>
      <c r="B52" s="11">
        <v>192699</v>
      </c>
      <c r="C52" s="11">
        <v>176681</v>
      </c>
      <c r="D52" s="11">
        <v>1844888</v>
      </c>
      <c r="E52" s="11">
        <v>1745683</v>
      </c>
      <c r="F52" s="11">
        <v>164035</v>
      </c>
      <c r="G52" s="11">
        <v>138158</v>
      </c>
      <c r="H52" s="11">
        <v>1318283</v>
      </c>
      <c r="I52" s="11">
        <v>1244892</v>
      </c>
      <c r="J52" s="12"/>
      <c r="K52" s="13">
        <f>SUM(K2:K51)</f>
        <v>3960971</v>
      </c>
      <c r="L52" s="13">
        <f>SUM(L2:L51)</f>
        <v>2876873</v>
      </c>
      <c r="N52" s="7">
        <f t="shared" ref="N52:U52" si="2">SUM(B2:B51)</f>
        <v>195199</v>
      </c>
      <c r="O52" s="7">
        <f t="shared" si="2"/>
        <v>175731</v>
      </c>
      <c r="P52" s="7">
        <f t="shared" si="2"/>
        <v>1842998</v>
      </c>
      <c r="Q52" s="7">
        <f t="shared" si="2"/>
        <v>1747043</v>
      </c>
      <c r="R52" s="7">
        <f t="shared" si="2"/>
        <v>164585</v>
      </c>
      <c r="S52" s="7">
        <f t="shared" si="2"/>
        <v>138181</v>
      </c>
      <c r="T52" s="7">
        <f t="shared" si="2"/>
        <v>1317838</v>
      </c>
      <c r="U52" s="7">
        <f t="shared" si="2"/>
        <v>1256269</v>
      </c>
      <c r="W52" s="7">
        <f t="shared" ref="W52:AD52" si="3">B52-N52</f>
        <v>-2500</v>
      </c>
      <c r="X52" s="7">
        <f t="shared" si="3"/>
        <v>950</v>
      </c>
      <c r="Y52" s="7">
        <f t="shared" si="3"/>
        <v>1890</v>
      </c>
      <c r="Z52" s="7">
        <f t="shared" si="3"/>
        <v>-1360</v>
      </c>
      <c r="AA52" s="7">
        <f t="shared" si="3"/>
        <v>-550</v>
      </c>
      <c r="AB52" s="7">
        <f t="shared" si="3"/>
        <v>-23</v>
      </c>
      <c r="AC52" s="7">
        <f t="shared" si="3"/>
        <v>445</v>
      </c>
      <c r="AD52" s="7">
        <f t="shared" si="3"/>
        <v>-11377</v>
      </c>
      <c r="AF52" s="7">
        <f>SUM(B52:E52)-K52</f>
        <v>-1020</v>
      </c>
      <c r="AG52" s="7">
        <f>SUM(F52:I52)-L52</f>
        <v>-11505</v>
      </c>
    </row>
    <row r="53" spans="1:33" s="6" customFormat="1" x14ac:dyDescent="0.55000000000000004">
      <c r="A53" s="4" t="s">
        <v>60</v>
      </c>
      <c r="B53" s="5">
        <v>9465</v>
      </c>
      <c r="C53" s="5">
        <v>9005</v>
      </c>
      <c r="D53" s="5">
        <v>18824</v>
      </c>
      <c r="E53" s="5">
        <v>18096</v>
      </c>
      <c r="F53" s="5">
        <v>7598</v>
      </c>
      <c r="G53" s="5">
        <v>7013</v>
      </c>
      <c r="H53" s="5">
        <v>11607</v>
      </c>
      <c r="I53" s="5">
        <v>10869</v>
      </c>
      <c r="K53" s="9">
        <f t="shared" si="0"/>
        <v>55390</v>
      </c>
      <c r="L53" s="9">
        <f t="shared" si="1"/>
        <v>37087</v>
      </c>
    </row>
    <row r="54" spans="1:33" s="6" customFormat="1" x14ac:dyDescent="0.55000000000000004">
      <c r="A54" s="4" t="s">
        <v>61</v>
      </c>
      <c r="B54" s="5">
        <v>1746</v>
      </c>
      <c r="C54" s="5">
        <v>1526</v>
      </c>
      <c r="D54" s="5">
        <v>12727</v>
      </c>
      <c r="E54" s="5">
        <v>13179</v>
      </c>
      <c r="F54" s="5">
        <v>1173</v>
      </c>
      <c r="G54" s="5">
        <v>1071</v>
      </c>
      <c r="H54" s="5">
        <v>7820</v>
      </c>
      <c r="I54" s="5">
        <v>8295</v>
      </c>
      <c r="K54" s="9">
        <f t="shared" si="0"/>
        <v>29178</v>
      </c>
      <c r="L54" s="9">
        <f t="shared" si="1"/>
        <v>18359</v>
      </c>
    </row>
    <row r="55" spans="1:33" s="6" customFormat="1" x14ac:dyDescent="0.55000000000000004">
      <c r="A55" s="4" t="s">
        <v>62</v>
      </c>
      <c r="B55" s="5">
        <v>815</v>
      </c>
      <c r="C55" s="5">
        <v>695</v>
      </c>
      <c r="D55" s="5">
        <v>12202</v>
      </c>
      <c r="E55" s="5">
        <v>12506</v>
      </c>
      <c r="F55" s="5">
        <v>654</v>
      </c>
      <c r="G55" s="5">
        <v>666</v>
      </c>
      <c r="H55" s="5">
        <v>9167</v>
      </c>
      <c r="I55" s="5">
        <v>9430</v>
      </c>
      <c r="K55" s="9">
        <f t="shared" si="0"/>
        <v>26218</v>
      </c>
      <c r="L55" s="9">
        <f t="shared" si="1"/>
        <v>19917</v>
      </c>
    </row>
    <row r="56" spans="1:33" s="6" customFormat="1" x14ac:dyDescent="0.55000000000000004">
      <c r="A56" s="4" t="s">
        <v>63</v>
      </c>
      <c r="B56" s="5">
        <v>1214</v>
      </c>
      <c r="C56" s="5">
        <v>1225</v>
      </c>
      <c r="D56" s="5">
        <v>10422</v>
      </c>
      <c r="E56" s="5">
        <v>9747</v>
      </c>
      <c r="F56" s="5">
        <v>1053</v>
      </c>
      <c r="G56" s="5">
        <v>959</v>
      </c>
      <c r="H56" s="5">
        <v>7345</v>
      </c>
      <c r="I56" s="5">
        <v>7530</v>
      </c>
      <c r="K56" s="9">
        <f t="shared" si="0"/>
        <v>22608</v>
      </c>
      <c r="L56" s="9">
        <f t="shared" si="1"/>
        <v>16887</v>
      </c>
    </row>
    <row r="57" spans="1:33" s="6" customFormat="1" x14ac:dyDescent="0.55000000000000004">
      <c r="A57" s="4" t="s">
        <v>64</v>
      </c>
      <c r="B57" s="5">
        <v>1617</v>
      </c>
      <c r="C57" s="5">
        <v>1317</v>
      </c>
      <c r="D57" s="5">
        <v>18882</v>
      </c>
      <c r="E57" s="5">
        <v>18723</v>
      </c>
      <c r="F57" s="5">
        <v>1185</v>
      </c>
      <c r="G57" s="5">
        <v>1069</v>
      </c>
      <c r="H57" s="5">
        <v>10002</v>
      </c>
      <c r="I57" s="5">
        <v>10794</v>
      </c>
      <c r="K57" s="9">
        <f t="shared" si="0"/>
        <v>40539</v>
      </c>
      <c r="L57" s="9">
        <f t="shared" si="1"/>
        <v>23050</v>
      </c>
    </row>
    <row r="58" spans="1:33" s="6" customFormat="1" x14ac:dyDescent="0.55000000000000004">
      <c r="A58" s="4" t="s">
        <v>65</v>
      </c>
      <c r="B58" s="5">
        <v>3662</v>
      </c>
      <c r="C58" s="5">
        <v>3028</v>
      </c>
      <c r="D58" s="5">
        <v>13604</v>
      </c>
      <c r="E58" s="5">
        <v>13071</v>
      </c>
      <c r="F58" s="5">
        <v>2238</v>
      </c>
      <c r="G58" s="5">
        <v>1974</v>
      </c>
      <c r="H58" s="5">
        <v>8858</v>
      </c>
      <c r="I58" s="5">
        <v>8737</v>
      </c>
      <c r="K58" s="9">
        <f t="shared" si="0"/>
        <v>33365</v>
      </c>
      <c r="L58" s="9">
        <f t="shared" si="1"/>
        <v>21807</v>
      </c>
    </row>
    <row r="59" spans="1:33" s="6" customFormat="1" x14ac:dyDescent="0.55000000000000004">
      <c r="A59" s="4" t="s">
        <v>66</v>
      </c>
      <c r="B59" s="5">
        <v>1852</v>
      </c>
      <c r="C59" s="5">
        <v>1541</v>
      </c>
      <c r="D59" s="5">
        <v>10372</v>
      </c>
      <c r="E59" s="5">
        <v>10628</v>
      </c>
      <c r="F59" s="5">
        <v>1203</v>
      </c>
      <c r="G59" s="5">
        <v>1152</v>
      </c>
      <c r="H59" s="5">
        <v>7423</v>
      </c>
      <c r="I59" s="5">
        <v>7393</v>
      </c>
      <c r="K59" s="9">
        <f t="shared" si="0"/>
        <v>24393</v>
      </c>
      <c r="L59" s="9">
        <f t="shared" si="1"/>
        <v>17171</v>
      </c>
    </row>
    <row r="60" spans="1:33" s="6" customFormat="1" x14ac:dyDescent="0.55000000000000004">
      <c r="A60" s="4" t="s">
        <v>67</v>
      </c>
      <c r="B60" s="5">
        <v>1392</v>
      </c>
      <c r="C60" s="5">
        <v>1426</v>
      </c>
      <c r="D60" s="5">
        <v>13474</v>
      </c>
      <c r="E60" s="5">
        <v>12420</v>
      </c>
      <c r="F60" s="5">
        <v>1056</v>
      </c>
      <c r="G60" s="5">
        <v>1014</v>
      </c>
      <c r="H60" s="5">
        <v>9051</v>
      </c>
      <c r="I60" s="5">
        <v>8587</v>
      </c>
      <c r="K60" s="9">
        <f t="shared" si="0"/>
        <v>28712</v>
      </c>
      <c r="L60" s="9">
        <f t="shared" si="1"/>
        <v>19708</v>
      </c>
    </row>
    <row r="61" spans="1:33" s="6" customFormat="1" x14ac:dyDescent="0.55000000000000004">
      <c r="A61" s="4" t="s">
        <v>68</v>
      </c>
      <c r="B61" s="5">
        <v>941</v>
      </c>
      <c r="C61" s="5">
        <v>867</v>
      </c>
      <c r="D61" s="5">
        <v>9267</v>
      </c>
      <c r="E61" s="5">
        <v>9019</v>
      </c>
      <c r="F61" s="5">
        <v>717</v>
      </c>
      <c r="G61" s="5">
        <v>689</v>
      </c>
      <c r="H61" s="5">
        <v>7128</v>
      </c>
      <c r="I61" s="5">
        <v>7024</v>
      </c>
      <c r="K61" s="9">
        <f t="shared" si="0"/>
        <v>20094</v>
      </c>
      <c r="L61" s="9">
        <f t="shared" si="1"/>
        <v>15558</v>
      </c>
    </row>
    <row r="62" spans="1:33" s="6" customFormat="1" x14ac:dyDescent="0.55000000000000004">
      <c r="A62" s="4" t="s">
        <v>69</v>
      </c>
      <c r="B62" s="5">
        <v>275</v>
      </c>
      <c r="C62" s="5">
        <v>216</v>
      </c>
      <c r="D62" s="5">
        <v>12960</v>
      </c>
      <c r="E62" s="5">
        <v>13740</v>
      </c>
      <c r="F62" s="5">
        <v>153</v>
      </c>
      <c r="G62" s="5">
        <v>123</v>
      </c>
      <c r="H62" s="5">
        <v>7423</v>
      </c>
      <c r="I62" s="5">
        <v>8115</v>
      </c>
      <c r="K62" s="9">
        <f t="shared" si="0"/>
        <v>27191</v>
      </c>
      <c r="L62" s="9">
        <f t="shared" si="1"/>
        <v>15814</v>
      </c>
    </row>
    <row r="63" spans="1:33" s="6" customFormat="1" x14ac:dyDescent="0.55000000000000004">
      <c r="A63" s="14" t="s">
        <v>70</v>
      </c>
      <c r="B63" s="11">
        <v>22719</v>
      </c>
      <c r="C63" s="11">
        <v>20846</v>
      </c>
      <c r="D63" s="11">
        <v>132494</v>
      </c>
      <c r="E63" s="11">
        <v>130629</v>
      </c>
      <c r="F63" s="11">
        <v>17030</v>
      </c>
      <c r="G63" s="11">
        <v>15723</v>
      </c>
      <c r="H63" s="11">
        <v>85824</v>
      </c>
      <c r="I63" s="11">
        <v>86726</v>
      </c>
      <c r="J63" s="12"/>
      <c r="K63" s="13">
        <f>SUM(K53:K62)</f>
        <v>307688</v>
      </c>
      <c r="L63" s="13">
        <f>SUM(L53:L62)</f>
        <v>205358</v>
      </c>
      <c r="N63" s="7">
        <f t="shared" ref="N63:U63" si="4">SUM(B53:B62)</f>
        <v>22979</v>
      </c>
      <c r="O63" s="7">
        <f t="shared" si="4"/>
        <v>20846</v>
      </c>
      <c r="P63" s="7">
        <f t="shared" si="4"/>
        <v>132734</v>
      </c>
      <c r="Q63" s="7">
        <f t="shared" si="4"/>
        <v>131129</v>
      </c>
      <c r="R63" s="7">
        <f t="shared" si="4"/>
        <v>17030</v>
      </c>
      <c r="S63" s="7">
        <f t="shared" si="4"/>
        <v>15730</v>
      </c>
      <c r="T63" s="7">
        <f t="shared" si="4"/>
        <v>85824</v>
      </c>
      <c r="U63" s="7">
        <f t="shared" si="4"/>
        <v>86774</v>
      </c>
      <c r="W63" s="7">
        <f>B63-N63</f>
        <v>-260</v>
      </c>
      <c r="X63" s="7">
        <f t="shared" ref="X63:X64" si="5">C63-O63</f>
        <v>0</v>
      </c>
      <c r="Y63" s="7">
        <f t="shared" ref="Y63:Y64" si="6">D63-P63</f>
        <v>-240</v>
      </c>
      <c r="Z63" s="7">
        <f t="shared" ref="Z63:Z64" si="7">E63-Q63</f>
        <v>-500</v>
      </c>
      <c r="AA63" s="7">
        <f t="shared" ref="AA63:AA64" si="8">F63-R63</f>
        <v>0</v>
      </c>
      <c r="AB63" s="7">
        <f t="shared" ref="AB63:AB64" si="9">G63-S63</f>
        <v>-7</v>
      </c>
      <c r="AC63" s="7">
        <f t="shared" ref="AC63:AC64" si="10">H63-T63</f>
        <v>0</v>
      </c>
      <c r="AD63" s="7">
        <f t="shared" ref="AD63:AD64" si="11">I63-U63</f>
        <v>-48</v>
      </c>
      <c r="AF63" s="7">
        <f>SUM(B63:E63)-K63</f>
        <v>-1000</v>
      </c>
      <c r="AG63" s="7">
        <f>SUM(F63:I63)-L63</f>
        <v>-55</v>
      </c>
    </row>
    <row r="64" spans="1:33" s="6" customFormat="1" x14ac:dyDescent="0.55000000000000004">
      <c r="A64" s="14" t="s">
        <v>71</v>
      </c>
      <c r="B64" s="11">
        <v>215418</v>
      </c>
      <c r="C64" s="11">
        <v>196527</v>
      </c>
      <c r="D64" s="11">
        <v>1977382</v>
      </c>
      <c r="E64" s="11">
        <v>1877312</v>
      </c>
      <c r="F64" s="11">
        <v>181066</v>
      </c>
      <c r="G64" s="11">
        <v>153881</v>
      </c>
      <c r="H64" s="11">
        <v>1404107</v>
      </c>
      <c r="I64" s="11">
        <v>1331618</v>
      </c>
      <c r="J64" s="12"/>
      <c r="K64" s="13">
        <f>K63+K52</f>
        <v>4268659</v>
      </c>
      <c r="L64" s="13">
        <f>L63+L52</f>
        <v>3082231</v>
      </c>
      <c r="N64" s="7">
        <f>N63+N52</f>
        <v>218178</v>
      </c>
      <c r="O64" s="7">
        <f t="shared" ref="O64:U64" si="12">O63+O52</f>
        <v>196577</v>
      </c>
      <c r="P64" s="7">
        <f t="shared" si="12"/>
        <v>1975732</v>
      </c>
      <c r="Q64" s="7">
        <f t="shared" si="12"/>
        <v>1878172</v>
      </c>
      <c r="R64" s="7">
        <f t="shared" si="12"/>
        <v>181615</v>
      </c>
      <c r="S64" s="7">
        <f t="shared" si="12"/>
        <v>153911</v>
      </c>
      <c r="T64" s="7">
        <f t="shared" si="12"/>
        <v>1403662</v>
      </c>
      <c r="U64" s="7">
        <f t="shared" si="12"/>
        <v>1343043</v>
      </c>
      <c r="W64" s="7">
        <f>B64-N64</f>
        <v>-2760</v>
      </c>
      <c r="X64" s="7">
        <f t="shared" si="5"/>
        <v>-50</v>
      </c>
      <c r="Y64" s="7">
        <f t="shared" si="6"/>
        <v>1650</v>
      </c>
      <c r="Z64" s="7">
        <f t="shared" si="7"/>
        <v>-860</v>
      </c>
      <c r="AA64" s="7">
        <f t="shared" si="8"/>
        <v>-549</v>
      </c>
      <c r="AB64" s="7">
        <f t="shared" si="9"/>
        <v>-30</v>
      </c>
      <c r="AC64" s="7">
        <f t="shared" si="10"/>
        <v>445</v>
      </c>
      <c r="AD64" s="7">
        <f t="shared" si="11"/>
        <v>-11425</v>
      </c>
      <c r="AF64" s="7">
        <f>SUM(B64:E64)-K64</f>
        <v>-2020</v>
      </c>
      <c r="AG64" s="7">
        <f>SUM(F64:I64)-L64</f>
        <v>-11559</v>
      </c>
    </row>
    <row r="65" spans="1:33" s="6" customFormat="1" x14ac:dyDescent="0.55000000000000004">
      <c r="A65" s="4" t="s">
        <v>72</v>
      </c>
      <c r="B65" s="5">
        <v>995</v>
      </c>
      <c r="C65" s="5">
        <v>877</v>
      </c>
      <c r="D65" s="5">
        <v>7636</v>
      </c>
      <c r="E65" s="5">
        <v>6724</v>
      </c>
      <c r="F65" s="5">
        <v>821</v>
      </c>
      <c r="G65" s="5">
        <v>581</v>
      </c>
      <c r="H65" s="5">
        <v>5810</v>
      </c>
      <c r="I65" s="5">
        <v>4889</v>
      </c>
      <c r="K65" s="9">
        <f t="shared" si="0"/>
        <v>16232</v>
      </c>
      <c r="L65" s="9">
        <f t="shared" si="1"/>
        <v>12101</v>
      </c>
    </row>
    <row r="66" spans="1:33" s="6" customFormat="1" x14ac:dyDescent="0.55000000000000004">
      <c r="A66" s="4" t="s">
        <v>73</v>
      </c>
      <c r="B66" s="5">
        <v>479</v>
      </c>
      <c r="C66" s="5">
        <v>453</v>
      </c>
      <c r="D66" s="5" t="s">
        <v>74</v>
      </c>
      <c r="E66" s="5" t="s">
        <v>74</v>
      </c>
      <c r="F66" s="5">
        <v>298</v>
      </c>
      <c r="G66" s="5">
        <v>215</v>
      </c>
      <c r="H66" s="10" t="s">
        <v>74</v>
      </c>
      <c r="I66" s="10" t="s">
        <v>74</v>
      </c>
      <c r="K66" s="9">
        <f t="shared" si="0"/>
        <v>932</v>
      </c>
      <c r="L66" s="9">
        <f t="shared" si="1"/>
        <v>513</v>
      </c>
    </row>
    <row r="67" spans="1:33" s="6" customFormat="1" x14ac:dyDescent="0.55000000000000004">
      <c r="A67" s="4" t="s">
        <v>75</v>
      </c>
      <c r="B67" s="5">
        <v>1027</v>
      </c>
      <c r="C67" s="5">
        <v>871</v>
      </c>
      <c r="D67" s="5">
        <v>7555</v>
      </c>
      <c r="E67" s="5">
        <v>5943</v>
      </c>
      <c r="F67" s="5">
        <v>528</v>
      </c>
      <c r="G67" s="5">
        <v>481</v>
      </c>
      <c r="H67" s="5">
        <v>3878</v>
      </c>
      <c r="I67" s="5">
        <v>2965</v>
      </c>
      <c r="K67" s="9">
        <f t="shared" ref="K67:K95" si="13">SUM(B67:E67)</f>
        <v>15396</v>
      </c>
      <c r="L67" s="9">
        <f t="shared" ref="L67:L95" si="14">SUM(F67:I67)</f>
        <v>7852</v>
      </c>
    </row>
    <row r="68" spans="1:33" s="6" customFormat="1" x14ac:dyDescent="0.55000000000000004">
      <c r="A68" s="4" t="s">
        <v>76</v>
      </c>
      <c r="B68" s="10" t="s">
        <v>74</v>
      </c>
      <c r="C68" s="10" t="s">
        <v>74</v>
      </c>
      <c r="D68" s="10" t="s">
        <v>74</v>
      </c>
      <c r="E68" s="10" t="s">
        <v>74</v>
      </c>
      <c r="F68" s="10" t="s">
        <v>74</v>
      </c>
      <c r="G68" s="10" t="s">
        <v>74</v>
      </c>
      <c r="H68" s="10" t="s">
        <v>74</v>
      </c>
      <c r="I68" s="10" t="s">
        <v>74</v>
      </c>
      <c r="K68" s="10" t="s">
        <v>74</v>
      </c>
      <c r="L68" s="10" t="s">
        <v>74</v>
      </c>
    </row>
    <row r="69" spans="1:33" s="6" customFormat="1" x14ac:dyDescent="0.55000000000000004">
      <c r="A69" s="4" t="s">
        <v>77</v>
      </c>
      <c r="B69" s="10" t="s">
        <v>74</v>
      </c>
      <c r="C69" s="10" t="s">
        <v>74</v>
      </c>
      <c r="D69" s="10" t="s">
        <v>74</v>
      </c>
      <c r="E69" s="10" t="s">
        <v>74</v>
      </c>
      <c r="F69" s="10" t="s">
        <v>74</v>
      </c>
      <c r="G69" s="10" t="s">
        <v>74</v>
      </c>
      <c r="H69" s="10" t="s">
        <v>74</v>
      </c>
      <c r="I69" s="10" t="s">
        <v>74</v>
      </c>
      <c r="K69" s="10" t="s">
        <v>74</v>
      </c>
      <c r="L69" s="10" t="s">
        <v>74</v>
      </c>
    </row>
    <row r="70" spans="1:33" s="6" customFormat="1" x14ac:dyDescent="0.55000000000000004">
      <c r="A70" s="4" t="s">
        <v>78</v>
      </c>
      <c r="B70" s="10" t="s">
        <v>74</v>
      </c>
      <c r="C70" s="10" t="s">
        <v>74</v>
      </c>
      <c r="D70" s="10" t="s">
        <v>74</v>
      </c>
      <c r="E70" s="10" t="s">
        <v>74</v>
      </c>
      <c r="F70" s="10" t="s">
        <v>74</v>
      </c>
      <c r="G70" s="10" t="s">
        <v>74</v>
      </c>
      <c r="H70" s="10" t="s">
        <v>74</v>
      </c>
      <c r="I70" s="10" t="s">
        <v>74</v>
      </c>
      <c r="K70" s="10" t="s">
        <v>74</v>
      </c>
      <c r="L70" s="10" t="s">
        <v>74</v>
      </c>
    </row>
    <row r="71" spans="1:33" s="6" customFormat="1" x14ac:dyDescent="0.55000000000000004">
      <c r="A71" s="4" t="s">
        <v>79</v>
      </c>
      <c r="B71" s="10" t="s">
        <v>74</v>
      </c>
      <c r="C71" s="10" t="s">
        <v>74</v>
      </c>
      <c r="D71" s="5">
        <v>21868</v>
      </c>
      <c r="E71" s="5">
        <v>20976</v>
      </c>
      <c r="F71" s="5" t="s">
        <v>74</v>
      </c>
      <c r="G71" s="5" t="s">
        <v>74</v>
      </c>
      <c r="H71" s="5">
        <v>13013</v>
      </c>
      <c r="I71" s="5">
        <v>12599</v>
      </c>
      <c r="K71" s="9">
        <f t="shared" si="13"/>
        <v>42844</v>
      </c>
      <c r="L71" s="9">
        <f t="shared" si="14"/>
        <v>25612</v>
      </c>
    </row>
    <row r="72" spans="1:33" s="6" customFormat="1" x14ac:dyDescent="0.55000000000000004">
      <c r="A72" s="4" t="s">
        <v>80</v>
      </c>
      <c r="B72" s="5">
        <v>904</v>
      </c>
      <c r="C72" s="5">
        <v>864</v>
      </c>
      <c r="D72" s="5" t="s">
        <v>74</v>
      </c>
      <c r="E72" s="5" t="s">
        <v>74</v>
      </c>
      <c r="F72" s="5">
        <v>561</v>
      </c>
      <c r="G72" s="5">
        <v>477</v>
      </c>
      <c r="H72" s="5" t="s">
        <v>74</v>
      </c>
      <c r="I72" s="5" t="s">
        <v>74</v>
      </c>
      <c r="K72" s="9">
        <f t="shared" si="13"/>
        <v>1768</v>
      </c>
      <c r="L72" s="9">
        <f t="shared" si="14"/>
        <v>1038</v>
      </c>
    </row>
    <row r="73" spans="1:33" s="6" customFormat="1" x14ac:dyDescent="0.55000000000000004">
      <c r="A73" s="4" t="s">
        <v>81</v>
      </c>
      <c r="B73" s="10" t="s">
        <v>74</v>
      </c>
      <c r="C73" s="10" t="s">
        <v>74</v>
      </c>
      <c r="D73" s="10" t="s">
        <v>74</v>
      </c>
      <c r="E73" s="10" t="s">
        <v>74</v>
      </c>
      <c r="F73" s="10" t="s">
        <v>74</v>
      </c>
      <c r="G73" s="10" t="s">
        <v>74</v>
      </c>
      <c r="H73" s="10" t="s">
        <v>74</v>
      </c>
      <c r="I73" s="10" t="s">
        <v>74</v>
      </c>
      <c r="K73" s="10" t="s">
        <v>74</v>
      </c>
      <c r="L73" s="10" t="s">
        <v>74</v>
      </c>
    </row>
    <row r="74" spans="1:33" s="6" customFormat="1" x14ac:dyDescent="0.55000000000000004">
      <c r="A74" s="4" t="s">
        <v>82</v>
      </c>
      <c r="B74" s="10" t="s">
        <v>74</v>
      </c>
      <c r="C74" s="10" t="s">
        <v>74</v>
      </c>
      <c r="D74" s="10" t="s">
        <v>74</v>
      </c>
      <c r="E74" s="10" t="s">
        <v>74</v>
      </c>
      <c r="F74" s="10" t="s">
        <v>74</v>
      </c>
      <c r="G74" s="10" t="s">
        <v>74</v>
      </c>
      <c r="H74" s="10" t="s">
        <v>74</v>
      </c>
      <c r="I74" s="10" t="s">
        <v>74</v>
      </c>
      <c r="K74" s="10" t="s">
        <v>74</v>
      </c>
      <c r="L74" s="10" t="s">
        <v>74</v>
      </c>
    </row>
    <row r="75" spans="1:33" s="6" customFormat="1" x14ac:dyDescent="0.55000000000000004">
      <c r="A75" s="4" t="s">
        <v>83</v>
      </c>
      <c r="B75" s="10" t="s">
        <v>74</v>
      </c>
      <c r="C75" s="10" t="s">
        <v>74</v>
      </c>
      <c r="D75" s="10" t="s">
        <v>74</v>
      </c>
      <c r="E75" s="10" t="s">
        <v>74</v>
      </c>
      <c r="F75" s="10" t="s">
        <v>74</v>
      </c>
      <c r="G75" s="10" t="s">
        <v>74</v>
      </c>
      <c r="H75" s="10" t="s">
        <v>74</v>
      </c>
      <c r="I75" s="10" t="s">
        <v>74</v>
      </c>
      <c r="K75" s="10" t="s">
        <v>74</v>
      </c>
      <c r="L75" s="10" t="s">
        <v>74</v>
      </c>
    </row>
    <row r="76" spans="1:33" s="6" customFormat="1" x14ac:dyDescent="0.55000000000000004">
      <c r="A76" s="4" t="s">
        <v>84</v>
      </c>
      <c r="B76" s="10" t="s">
        <v>74</v>
      </c>
      <c r="C76" s="10" t="s">
        <v>74</v>
      </c>
      <c r="D76" s="10" t="s">
        <v>74</v>
      </c>
      <c r="E76" s="10" t="s">
        <v>74</v>
      </c>
      <c r="F76" s="10" t="s">
        <v>74</v>
      </c>
      <c r="G76" s="10" t="s">
        <v>74</v>
      </c>
      <c r="H76" s="10" t="s">
        <v>74</v>
      </c>
      <c r="I76" s="10" t="s">
        <v>74</v>
      </c>
      <c r="K76" s="10" t="s">
        <v>74</v>
      </c>
      <c r="L76" s="10" t="s">
        <v>74</v>
      </c>
    </row>
    <row r="77" spans="1:33" s="6" customFormat="1" x14ac:dyDescent="0.55000000000000004">
      <c r="A77" s="14" t="s">
        <v>85</v>
      </c>
      <c r="B77" s="11">
        <v>3405</v>
      </c>
      <c r="C77" s="11">
        <v>3065</v>
      </c>
      <c r="D77" s="11">
        <v>37059</v>
      </c>
      <c r="E77" s="11">
        <v>33643</v>
      </c>
      <c r="F77" s="11">
        <v>2208</v>
      </c>
      <c r="G77" s="11">
        <v>1754</v>
      </c>
      <c r="H77" s="11">
        <v>22701</v>
      </c>
      <c r="I77" s="11">
        <v>20453</v>
      </c>
      <c r="J77" s="12"/>
      <c r="K77" s="13">
        <f>SUM(K65:K76)</f>
        <v>77172</v>
      </c>
      <c r="L77" s="13">
        <f>SUM(L65:L76)</f>
        <v>47116</v>
      </c>
      <c r="N77" s="7">
        <f t="shared" ref="N77:U77" si="15">SUM(B65:B76)</f>
        <v>3405</v>
      </c>
      <c r="O77" s="7">
        <f t="shared" si="15"/>
        <v>3065</v>
      </c>
      <c r="P77" s="7">
        <f t="shared" si="15"/>
        <v>37059</v>
      </c>
      <c r="Q77" s="7">
        <f t="shared" si="15"/>
        <v>33643</v>
      </c>
      <c r="R77" s="7">
        <f t="shared" si="15"/>
        <v>2208</v>
      </c>
      <c r="S77" s="7">
        <f t="shared" si="15"/>
        <v>1754</v>
      </c>
      <c r="T77" s="7">
        <f t="shared" si="15"/>
        <v>22701</v>
      </c>
      <c r="U77" s="7">
        <f t="shared" si="15"/>
        <v>20453</v>
      </c>
      <c r="W77" s="7">
        <f>B77-N77</f>
        <v>0</v>
      </c>
      <c r="X77" s="7">
        <f t="shared" ref="X77" si="16">C77-O77</f>
        <v>0</v>
      </c>
      <c r="Y77" s="7">
        <f t="shared" ref="Y77" si="17">D77-P77</f>
        <v>0</v>
      </c>
      <c r="Z77" s="7">
        <f t="shared" ref="Z77" si="18">E77-Q77</f>
        <v>0</v>
      </c>
      <c r="AA77" s="7">
        <f t="shared" ref="AA77" si="19">F77-R77</f>
        <v>0</v>
      </c>
      <c r="AB77" s="7">
        <f t="shared" ref="AB77" si="20">G77-S77</f>
        <v>0</v>
      </c>
      <c r="AC77" s="7">
        <f t="shared" ref="AC77" si="21">H77-T77</f>
        <v>0</v>
      </c>
      <c r="AD77" s="7">
        <f t="shared" ref="AD77" si="22">I77-U77</f>
        <v>0</v>
      </c>
      <c r="AF77" s="7">
        <f>SUM(B77:E77)-K77</f>
        <v>0</v>
      </c>
      <c r="AG77" s="7">
        <f>SUM(F77:I77)-L77</f>
        <v>0</v>
      </c>
    </row>
    <row r="78" spans="1:33" s="6" customFormat="1" x14ac:dyDescent="0.55000000000000004">
      <c r="A78" s="4" t="s">
        <v>86</v>
      </c>
      <c r="B78" s="5">
        <v>252</v>
      </c>
      <c r="C78" s="5">
        <v>228</v>
      </c>
      <c r="D78" s="5">
        <v>752</v>
      </c>
      <c r="E78" s="5">
        <v>671</v>
      </c>
      <c r="F78" s="5">
        <v>100</v>
      </c>
      <c r="G78" s="5">
        <v>89</v>
      </c>
      <c r="H78" s="5">
        <v>609</v>
      </c>
      <c r="I78" s="5">
        <v>531</v>
      </c>
      <c r="K78" s="9">
        <f t="shared" si="13"/>
        <v>1903</v>
      </c>
      <c r="L78" s="9">
        <f t="shared" si="14"/>
        <v>1329</v>
      </c>
    </row>
    <row r="79" spans="1:33" s="6" customFormat="1" x14ac:dyDescent="0.55000000000000004">
      <c r="A79" s="4" t="s">
        <v>87</v>
      </c>
      <c r="B79" s="5">
        <v>698</v>
      </c>
      <c r="C79" s="5">
        <v>678</v>
      </c>
      <c r="D79" s="5">
        <v>10254</v>
      </c>
      <c r="E79" s="5">
        <v>9389</v>
      </c>
      <c r="F79" s="5">
        <v>485</v>
      </c>
      <c r="G79" s="5">
        <v>418</v>
      </c>
      <c r="H79" s="5">
        <v>6622</v>
      </c>
      <c r="I79" s="5">
        <v>5914</v>
      </c>
      <c r="K79" s="9">
        <f t="shared" si="13"/>
        <v>21019</v>
      </c>
      <c r="L79" s="9">
        <f t="shared" si="14"/>
        <v>13439</v>
      </c>
    </row>
    <row r="80" spans="1:33" s="6" customFormat="1" x14ac:dyDescent="0.55000000000000004">
      <c r="A80" s="4" t="s">
        <v>88</v>
      </c>
      <c r="B80" s="5">
        <v>997</v>
      </c>
      <c r="C80" s="5">
        <v>996</v>
      </c>
      <c r="D80" s="5">
        <v>10790</v>
      </c>
      <c r="E80" s="5">
        <v>10303</v>
      </c>
      <c r="F80" s="5">
        <v>1287</v>
      </c>
      <c r="G80" s="5">
        <v>780</v>
      </c>
      <c r="H80" s="5">
        <v>7518</v>
      </c>
      <c r="I80" s="5">
        <v>6889</v>
      </c>
      <c r="K80" s="9">
        <f t="shared" si="13"/>
        <v>23086</v>
      </c>
      <c r="L80" s="9">
        <f t="shared" si="14"/>
        <v>16474</v>
      </c>
    </row>
    <row r="81" spans="1:33" s="6" customFormat="1" x14ac:dyDescent="0.55000000000000004">
      <c r="A81" s="4" t="s">
        <v>89</v>
      </c>
      <c r="B81" s="5">
        <v>1203</v>
      </c>
      <c r="C81" s="5">
        <v>1160</v>
      </c>
      <c r="D81" s="5">
        <v>9125</v>
      </c>
      <c r="E81" s="5">
        <v>8488</v>
      </c>
      <c r="F81" s="5">
        <v>1279</v>
      </c>
      <c r="G81" s="5">
        <v>1031</v>
      </c>
      <c r="H81" s="5">
        <v>7775</v>
      </c>
      <c r="I81" s="5">
        <v>6609</v>
      </c>
      <c r="K81" s="9">
        <f t="shared" si="13"/>
        <v>19976</v>
      </c>
      <c r="L81" s="9">
        <f t="shared" si="14"/>
        <v>16694</v>
      </c>
    </row>
    <row r="82" spans="1:33" s="6" customFormat="1" x14ac:dyDescent="0.55000000000000004">
      <c r="A82" s="4" t="s">
        <v>90</v>
      </c>
      <c r="B82" s="5">
        <v>134</v>
      </c>
      <c r="C82" s="5">
        <v>123</v>
      </c>
      <c r="D82" s="5" t="s">
        <v>74</v>
      </c>
      <c r="E82" s="5" t="s">
        <v>74</v>
      </c>
      <c r="F82" s="5">
        <v>121</v>
      </c>
      <c r="G82" s="5">
        <v>75</v>
      </c>
      <c r="H82" s="5" t="s">
        <v>74</v>
      </c>
      <c r="I82" s="5" t="s">
        <v>74</v>
      </c>
      <c r="K82" s="9">
        <f t="shared" si="13"/>
        <v>257</v>
      </c>
      <c r="L82" s="9">
        <f t="shared" si="14"/>
        <v>196</v>
      </c>
    </row>
    <row r="83" spans="1:33" s="6" customFormat="1" x14ac:dyDescent="0.55000000000000004">
      <c r="A83" s="4" t="s">
        <v>91</v>
      </c>
      <c r="B83" s="5">
        <v>1258</v>
      </c>
      <c r="C83" s="5">
        <v>1282</v>
      </c>
      <c r="D83" s="5">
        <v>35063</v>
      </c>
      <c r="E83" s="5">
        <v>33446</v>
      </c>
      <c r="F83" s="5">
        <v>1506</v>
      </c>
      <c r="G83" s="5">
        <v>1297</v>
      </c>
      <c r="H83" s="5">
        <v>25139</v>
      </c>
      <c r="I83" s="5">
        <v>23111</v>
      </c>
      <c r="K83" s="9">
        <f t="shared" si="13"/>
        <v>71049</v>
      </c>
      <c r="L83" s="9">
        <f t="shared" si="14"/>
        <v>51053</v>
      </c>
    </row>
    <row r="84" spans="1:33" s="6" customFormat="1" x14ac:dyDescent="0.55000000000000004">
      <c r="A84" s="4" t="s">
        <v>92</v>
      </c>
      <c r="B84" s="5">
        <v>2356</v>
      </c>
      <c r="C84" s="5">
        <v>2276</v>
      </c>
      <c r="D84" s="5">
        <v>29670</v>
      </c>
      <c r="E84" s="5">
        <v>28039</v>
      </c>
      <c r="F84" s="5">
        <v>2269</v>
      </c>
      <c r="G84" s="5">
        <v>1935</v>
      </c>
      <c r="H84" s="5">
        <v>15823</v>
      </c>
      <c r="I84" s="5">
        <v>14311</v>
      </c>
      <c r="K84" s="9">
        <f t="shared" si="13"/>
        <v>62341</v>
      </c>
      <c r="L84" s="9">
        <f t="shared" si="14"/>
        <v>34338</v>
      </c>
    </row>
    <row r="85" spans="1:33" s="6" customFormat="1" x14ac:dyDescent="0.55000000000000004">
      <c r="A85" s="4" t="s">
        <v>93</v>
      </c>
      <c r="B85" s="5">
        <v>362</v>
      </c>
      <c r="C85" s="5">
        <v>392</v>
      </c>
      <c r="D85" s="5">
        <v>3150</v>
      </c>
      <c r="E85" s="5">
        <v>3093</v>
      </c>
      <c r="F85" s="5">
        <v>420</v>
      </c>
      <c r="G85" s="5">
        <v>375</v>
      </c>
      <c r="H85" s="5">
        <v>2482</v>
      </c>
      <c r="I85" s="5">
        <v>2254</v>
      </c>
      <c r="K85" s="9">
        <f t="shared" si="13"/>
        <v>6997</v>
      </c>
      <c r="L85" s="9">
        <f t="shared" si="14"/>
        <v>5531</v>
      </c>
    </row>
    <row r="86" spans="1:33" s="6" customFormat="1" x14ac:dyDescent="0.55000000000000004">
      <c r="A86" s="14" t="s">
        <v>94</v>
      </c>
      <c r="B86" s="11">
        <v>7260</v>
      </c>
      <c r="C86" s="11">
        <v>7135</v>
      </c>
      <c r="D86" s="11">
        <v>98804</v>
      </c>
      <c r="E86" s="11">
        <v>93429</v>
      </c>
      <c r="F86" s="11">
        <v>7467</v>
      </c>
      <c r="G86" s="11">
        <v>6000</v>
      </c>
      <c r="H86" s="11">
        <v>65968</v>
      </c>
      <c r="I86" s="11">
        <v>59619</v>
      </c>
      <c r="J86" s="12"/>
      <c r="K86" s="13">
        <f>SUM(K78:K85)</f>
        <v>206628</v>
      </c>
      <c r="L86" s="13">
        <f>SUM(L78:L85)</f>
        <v>139054</v>
      </c>
      <c r="N86" s="7">
        <f t="shared" ref="N86:U86" si="23">SUM(B78:B85)</f>
        <v>7260</v>
      </c>
      <c r="O86" s="7">
        <f t="shared" si="23"/>
        <v>7135</v>
      </c>
      <c r="P86" s="7">
        <f t="shared" si="23"/>
        <v>98804</v>
      </c>
      <c r="Q86" s="7">
        <f t="shared" si="23"/>
        <v>93429</v>
      </c>
      <c r="R86" s="7">
        <f t="shared" si="23"/>
        <v>7467</v>
      </c>
      <c r="S86" s="7">
        <f t="shared" si="23"/>
        <v>6000</v>
      </c>
      <c r="T86" s="7">
        <f t="shared" si="23"/>
        <v>65968</v>
      </c>
      <c r="U86" s="7">
        <f t="shared" si="23"/>
        <v>59619</v>
      </c>
      <c r="W86" s="7">
        <f>B86-N86</f>
        <v>0</v>
      </c>
      <c r="X86" s="7">
        <f t="shared" ref="X86" si="24">C86-O86</f>
        <v>0</v>
      </c>
      <c r="Y86" s="7">
        <f t="shared" ref="Y86" si="25">D86-P86</f>
        <v>0</v>
      </c>
      <c r="Z86" s="7">
        <f t="shared" ref="Z86" si="26">E86-Q86</f>
        <v>0</v>
      </c>
      <c r="AA86" s="7">
        <f t="shared" ref="AA86" si="27">F86-R86</f>
        <v>0</v>
      </c>
      <c r="AB86" s="7">
        <f t="shared" ref="AB86" si="28">G86-S86</f>
        <v>0</v>
      </c>
      <c r="AC86" s="7">
        <f t="shared" ref="AC86" si="29">H86-T86</f>
        <v>0</v>
      </c>
      <c r="AD86" s="7">
        <f t="shared" ref="AD86" si="30">I86-U86</f>
        <v>0</v>
      </c>
      <c r="AF86" s="7">
        <f>SUM(B86:E86)-K86</f>
        <v>0</v>
      </c>
      <c r="AG86" s="7">
        <f>SUM(F86:I86)-L86</f>
        <v>0</v>
      </c>
    </row>
    <row r="87" spans="1:33" s="6" customFormat="1" x14ac:dyDescent="0.55000000000000004">
      <c r="A87" s="4" t="s">
        <v>95</v>
      </c>
      <c r="B87" s="5">
        <v>1195</v>
      </c>
      <c r="C87" s="5">
        <v>1103</v>
      </c>
      <c r="D87" s="5">
        <v>5412</v>
      </c>
      <c r="E87" s="5">
        <v>4899</v>
      </c>
      <c r="F87" s="5">
        <v>902</v>
      </c>
      <c r="G87" s="5">
        <v>787</v>
      </c>
      <c r="H87" s="5">
        <v>3521</v>
      </c>
      <c r="I87" s="5">
        <v>3180</v>
      </c>
      <c r="K87" s="9">
        <f t="shared" si="13"/>
        <v>12609</v>
      </c>
      <c r="L87" s="9">
        <f t="shared" si="14"/>
        <v>8390</v>
      </c>
    </row>
    <row r="88" spans="1:33" s="6" customFormat="1" x14ac:dyDescent="0.55000000000000004">
      <c r="A88" s="4" t="s">
        <v>96</v>
      </c>
      <c r="B88" s="10" t="s">
        <v>74</v>
      </c>
      <c r="C88" s="10" t="s">
        <v>74</v>
      </c>
      <c r="D88" s="10" t="s">
        <v>74</v>
      </c>
      <c r="E88" s="10" t="s">
        <v>74</v>
      </c>
      <c r="F88" s="10" t="s">
        <v>74</v>
      </c>
      <c r="G88" s="10" t="s">
        <v>74</v>
      </c>
      <c r="H88" s="10" t="s">
        <v>74</v>
      </c>
      <c r="I88" s="10" t="s">
        <v>74</v>
      </c>
      <c r="K88" s="10" t="s">
        <v>74</v>
      </c>
      <c r="L88" s="10" t="s">
        <v>74</v>
      </c>
    </row>
    <row r="89" spans="1:33" s="6" customFormat="1" x14ac:dyDescent="0.55000000000000004">
      <c r="A89" s="4" t="s">
        <v>97</v>
      </c>
      <c r="B89" s="10" t="s">
        <v>74</v>
      </c>
      <c r="C89" s="10" t="s">
        <v>74</v>
      </c>
      <c r="D89" s="10" t="s">
        <v>74</v>
      </c>
      <c r="E89" s="10" t="s">
        <v>74</v>
      </c>
      <c r="F89" s="10" t="s">
        <v>74</v>
      </c>
      <c r="G89" s="10" t="s">
        <v>74</v>
      </c>
      <c r="H89" s="10" t="s">
        <v>74</v>
      </c>
      <c r="I89" s="10" t="s">
        <v>74</v>
      </c>
      <c r="K89" s="10" t="s">
        <v>74</v>
      </c>
      <c r="L89" s="10" t="s">
        <v>74</v>
      </c>
    </row>
    <row r="90" spans="1:33" s="6" customFormat="1" x14ac:dyDescent="0.55000000000000004">
      <c r="A90" s="4" t="s">
        <v>98</v>
      </c>
      <c r="B90" s="10" t="s">
        <v>74</v>
      </c>
      <c r="C90" s="10" t="s">
        <v>74</v>
      </c>
      <c r="D90" s="10" t="s">
        <v>74</v>
      </c>
      <c r="E90" s="10" t="s">
        <v>74</v>
      </c>
      <c r="F90" s="10" t="s">
        <v>74</v>
      </c>
      <c r="G90" s="10" t="s">
        <v>74</v>
      </c>
      <c r="H90" s="10" t="s">
        <v>74</v>
      </c>
      <c r="I90" s="10" t="s">
        <v>74</v>
      </c>
      <c r="K90" s="10" t="s">
        <v>74</v>
      </c>
      <c r="L90" s="10" t="s">
        <v>74</v>
      </c>
    </row>
    <row r="91" spans="1:33" s="6" customFormat="1" x14ac:dyDescent="0.55000000000000004">
      <c r="A91" s="4" t="s">
        <v>99</v>
      </c>
      <c r="B91" s="5">
        <v>761</v>
      </c>
      <c r="C91" s="5">
        <v>683</v>
      </c>
      <c r="D91" s="5">
        <v>4139</v>
      </c>
      <c r="E91" s="5">
        <v>3279</v>
      </c>
      <c r="F91" s="5">
        <v>688</v>
      </c>
      <c r="G91" s="5">
        <v>645</v>
      </c>
      <c r="H91" s="5">
        <v>3693</v>
      </c>
      <c r="I91" s="5">
        <v>2833</v>
      </c>
      <c r="K91" s="9">
        <f t="shared" si="13"/>
        <v>8862</v>
      </c>
      <c r="L91" s="9">
        <f t="shared" si="14"/>
        <v>7859</v>
      </c>
    </row>
    <row r="92" spans="1:33" s="6" customFormat="1" x14ac:dyDescent="0.55000000000000004">
      <c r="A92" s="4" t="s">
        <v>100</v>
      </c>
      <c r="B92" s="10" t="s">
        <v>74</v>
      </c>
      <c r="C92" s="10" t="s">
        <v>74</v>
      </c>
      <c r="D92" s="10" t="s">
        <v>74</v>
      </c>
      <c r="E92" s="10" t="s">
        <v>74</v>
      </c>
      <c r="F92" s="10" t="s">
        <v>74</v>
      </c>
      <c r="G92" s="10" t="s">
        <v>74</v>
      </c>
      <c r="H92" s="10" t="s">
        <v>74</v>
      </c>
      <c r="I92" s="10" t="s">
        <v>74</v>
      </c>
      <c r="K92" s="10" t="s">
        <v>74</v>
      </c>
      <c r="L92" s="10" t="s">
        <v>74</v>
      </c>
    </row>
    <row r="93" spans="1:33" s="6" customFormat="1" x14ac:dyDescent="0.55000000000000004">
      <c r="A93" s="4" t="s">
        <v>101</v>
      </c>
      <c r="B93" s="10" t="s">
        <v>74</v>
      </c>
      <c r="C93" s="10" t="s">
        <v>74</v>
      </c>
      <c r="D93" s="10" t="s">
        <v>74</v>
      </c>
      <c r="E93" s="10" t="s">
        <v>74</v>
      </c>
      <c r="F93" s="10" t="s">
        <v>74</v>
      </c>
      <c r="G93" s="10" t="s">
        <v>74</v>
      </c>
      <c r="H93" s="10" t="s">
        <v>74</v>
      </c>
      <c r="I93" s="10" t="s">
        <v>74</v>
      </c>
      <c r="K93" s="10" t="s">
        <v>74</v>
      </c>
      <c r="L93" s="10" t="s">
        <v>74</v>
      </c>
    </row>
    <row r="94" spans="1:33" s="6" customFormat="1" x14ac:dyDescent="0.55000000000000004">
      <c r="A94" s="4" t="s">
        <v>102</v>
      </c>
      <c r="B94" s="10" t="s">
        <v>74</v>
      </c>
      <c r="C94" s="10" t="s">
        <v>74</v>
      </c>
      <c r="D94" s="10" t="s">
        <v>74</v>
      </c>
      <c r="E94" s="10" t="s">
        <v>74</v>
      </c>
      <c r="F94" s="10" t="s">
        <v>74</v>
      </c>
      <c r="G94" s="10" t="s">
        <v>74</v>
      </c>
      <c r="H94" s="10" t="s">
        <v>74</v>
      </c>
      <c r="I94" s="10" t="s">
        <v>74</v>
      </c>
      <c r="K94" s="10" t="s">
        <v>74</v>
      </c>
      <c r="L94" s="10" t="s">
        <v>74</v>
      </c>
    </row>
    <row r="95" spans="1:33" s="6" customFormat="1" x14ac:dyDescent="0.55000000000000004">
      <c r="A95" s="4" t="s">
        <v>103</v>
      </c>
      <c r="B95" s="5">
        <v>87</v>
      </c>
      <c r="C95" s="5">
        <v>84</v>
      </c>
      <c r="D95" s="5">
        <v>2175</v>
      </c>
      <c r="E95" s="5">
        <v>1949</v>
      </c>
      <c r="F95" s="5">
        <v>102</v>
      </c>
      <c r="G95" s="5">
        <v>125</v>
      </c>
      <c r="H95" s="5">
        <v>1732</v>
      </c>
      <c r="I95" s="5">
        <v>1639</v>
      </c>
      <c r="K95" s="9">
        <f t="shared" si="13"/>
        <v>4295</v>
      </c>
      <c r="L95" s="9">
        <f t="shared" si="14"/>
        <v>3598</v>
      </c>
    </row>
    <row r="96" spans="1:33" s="6" customFormat="1" x14ac:dyDescent="0.55000000000000004">
      <c r="A96" s="4" t="s">
        <v>104</v>
      </c>
      <c r="B96" s="10" t="s">
        <v>74</v>
      </c>
      <c r="C96" s="10" t="s">
        <v>74</v>
      </c>
      <c r="D96" s="10" t="s">
        <v>74</v>
      </c>
      <c r="E96" s="10" t="s">
        <v>74</v>
      </c>
      <c r="F96" s="10" t="s">
        <v>74</v>
      </c>
      <c r="G96" s="10" t="s">
        <v>74</v>
      </c>
      <c r="H96" s="10" t="s">
        <v>74</v>
      </c>
      <c r="I96" s="10" t="s">
        <v>74</v>
      </c>
      <c r="K96" s="10" t="s">
        <v>74</v>
      </c>
      <c r="L96" s="10" t="s">
        <v>74</v>
      </c>
    </row>
    <row r="97" spans="1:33" s="6" customFormat="1" x14ac:dyDescent="0.55000000000000004">
      <c r="A97" s="14" t="s">
        <v>105</v>
      </c>
      <c r="B97" s="11">
        <v>2043</v>
      </c>
      <c r="C97" s="11">
        <v>1870</v>
      </c>
      <c r="D97" s="11">
        <v>11726</v>
      </c>
      <c r="E97" s="11">
        <v>10127</v>
      </c>
      <c r="F97" s="11">
        <v>1692</v>
      </c>
      <c r="G97" s="11">
        <v>1557</v>
      </c>
      <c r="H97" s="11">
        <v>8946</v>
      </c>
      <c r="I97" s="11">
        <v>7652</v>
      </c>
      <c r="J97" s="12"/>
      <c r="K97" s="13">
        <f>SUM(K87:K96)</f>
        <v>25766</v>
      </c>
      <c r="L97" s="13">
        <f>SUM(L87:L96)</f>
        <v>19847</v>
      </c>
      <c r="N97" s="7">
        <f t="shared" ref="N97:U97" si="31">SUM(B87:B96)</f>
        <v>2043</v>
      </c>
      <c r="O97" s="7">
        <f t="shared" si="31"/>
        <v>1870</v>
      </c>
      <c r="P97" s="7">
        <f t="shared" si="31"/>
        <v>11726</v>
      </c>
      <c r="Q97" s="7">
        <f t="shared" si="31"/>
        <v>10127</v>
      </c>
      <c r="R97" s="7">
        <f t="shared" si="31"/>
        <v>1692</v>
      </c>
      <c r="S97" s="7">
        <f t="shared" si="31"/>
        <v>1557</v>
      </c>
      <c r="T97" s="7">
        <f t="shared" si="31"/>
        <v>8946</v>
      </c>
      <c r="U97" s="7">
        <f t="shared" si="31"/>
        <v>7652</v>
      </c>
      <c r="W97" s="7">
        <f>B97-N97</f>
        <v>0</v>
      </c>
      <c r="X97" s="7">
        <f t="shared" ref="X97:X99" si="32">C97-O97</f>
        <v>0</v>
      </c>
      <c r="Y97" s="7">
        <f t="shared" ref="Y97:Y99" si="33">D97-P97</f>
        <v>0</v>
      </c>
      <c r="Z97" s="7">
        <f t="shared" ref="Z97:Z99" si="34">E97-Q97</f>
        <v>0</v>
      </c>
      <c r="AA97" s="7">
        <f t="shared" ref="AA97:AA99" si="35">F97-R97</f>
        <v>0</v>
      </c>
      <c r="AB97" s="7">
        <f t="shared" ref="AB97:AB99" si="36">G97-S97</f>
        <v>0</v>
      </c>
      <c r="AC97" s="7">
        <f t="shared" ref="AC97:AC99" si="37">H97-T97</f>
        <v>0</v>
      </c>
      <c r="AD97" s="7">
        <f t="shared" ref="AD97:AD99" si="38">I97-U97</f>
        <v>0</v>
      </c>
      <c r="AF97" s="7">
        <f>SUM(B97:E97)-K97</f>
        <v>0</v>
      </c>
      <c r="AG97" s="7">
        <f>SUM(F97:I97)-L97</f>
        <v>0</v>
      </c>
    </row>
    <row r="98" spans="1:33" s="6" customFormat="1" x14ac:dyDescent="0.55000000000000004">
      <c r="A98" s="14" t="s">
        <v>106</v>
      </c>
      <c r="B98" s="11">
        <v>12708</v>
      </c>
      <c r="C98" s="11">
        <v>12060</v>
      </c>
      <c r="D98" s="11">
        <v>147589</v>
      </c>
      <c r="E98" s="11">
        <v>137199</v>
      </c>
      <c r="F98" s="11">
        <v>11367</v>
      </c>
      <c r="G98" s="11">
        <v>9311</v>
      </c>
      <c r="H98" s="11">
        <v>97615</v>
      </c>
      <c r="I98" s="11">
        <v>87726</v>
      </c>
      <c r="J98" s="12"/>
      <c r="K98" s="13">
        <f>K97+K86+K77</f>
        <v>309566</v>
      </c>
      <c r="L98" s="13">
        <f>L97+L86+L77</f>
        <v>206017</v>
      </c>
      <c r="N98" s="7">
        <f>SUM(N77:N97)</f>
        <v>12708</v>
      </c>
      <c r="O98" s="7">
        <f t="shared" ref="O98:U98" si="39">SUM(O77:O97)</f>
        <v>12070</v>
      </c>
      <c r="P98" s="7">
        <f t="shared" si="39"/>
        <v>147589</v>
      </c>
      <c r="Q98" s="7">
        <f t="shared" si="39"/>
        <v>137199</v>
      </c>
      <c r="R98" s="7">
        <f t="shared" si="39"/>
        <v>11367</v>
      </c>
      <c r="S98" s="7">
        <f t="shared" si="39"/>
        <v>9311</v>
      </c>
      <c r="T98" s="7">
        <f t="shared" si="39"/>
        <v>97615</v>
      </c>
      <c r="U98" s="7">
        <f t="shared" si="39"/>
        <v>87724</v>
      </c>
      <c r="W98" s="7">
        <f>B98-N98</f>
        <v>0</v>
      </c>
      <c r="X98" s="7">
        <f t="shared" si="32"/>
        <v>-10</v>
      </c>
      <c r="Y98" s="7">
        <f t="shared" si="33"/>
        <v>0</v>
      </c>
      <c r="Z98" s="7">
        <f t="shared" si="34"/>
        <v>0</v>
      </c>
      <c r="AA98" s="7">
        <f t="shared" si="35"/>
        <v>0</v>
      </c>
      <c r="AB98" s="7">
        <f t="shared" si="36"/>
        <v>0</v>
      </c>
      <c r="AC98" s="7">
        <f t="shared" si="37"/>
        <v>0</v>
      </c>
      <c r="AD98" s="7">
        <f t="shared" si="38"/>
        <v>2</v>
      </c>
      <c r="AF98" s="7">
        <f>SUM(B98:E98)-K98</f>
        <v>-10</v>
      </c>
      <c r="AG98" s="7">
        <f>SUM(F98:I98)-L98</f>
        <v>2</v>
      </c>
    </row>
    <row r="99" spans="1:33" s="6" customFormat="1" x14ac:dyDescent="0.55000000000000004">
      <c r="A99" s="14" t="s">
        <v>107</v>
      </c>
      <c r="B99" s="11">
        <v>228126</v>
      </c>
      <c r="C99" s="11">
        <v>208687</v>
      </c>
      <c r="D99" s="11">
        <v>2124971</v>
      </c>
      <c r="E99" s="11">
        <v>2014511</v>
      </c>
      <c r="F99" s="11">
        <v>192432</v>
      </c>
      <c r="G99" s="11">
        <v>163192</v>
      </c>
      <c r="H99" s="11">
        <v>1501722</v>
      </c>
      <c r="I99" s="11">
        <v>1419344</v>
      </c>
      <c r="J99" s="12"/>
      <c r="K99" s="13">
        <f>K98+K64</f>
        <v>4578225</v>
      </c>
      <c r="L99" s="13">
        <f>L98+L64</f>
        <v>3288248</v>
      </c>
      <c r="N99" s="7">
        <f>N98+N52</f>
        <v>207907</v>
      </c>
      <c r="O99" s="7">
        <f t="shared" ref="O99:U99" si="40">O98+O52</f>
        <v>187801</v>
      </c>
      <c r="P99" s="7">
        <f t="shared" si="40"/>
        <v>1990587</v>
      </c>
      <c r="Q99" s="7">
        <f t="shared" si="40"/>
        <v>1884242</v>
      </c>
      <c r="R99" s="7">
        <f t="shared" si="40"/>
        <v>175952</v>
      </c>
      <c r="S99" s="7">
        <f t="shared" si="40"/>
        <v>147492</v>
      </c>
      <c r="T99" s="7">
        <f t="shared" si="40"/>
        <v>1415453</v>
      </c>
      <c r="U99" s="7">
        <f t="shared" si="40"/>
        <v>1343993</v>
      </c>
      <c r="W99" s="7">
        <f>B99-N99</f>
        <v>20219</v>
      </c>
      <c r="X99" s="7">
        <f t="shared" si="32"/>
        <v>20886</v>
      </c>
      <c r="Y99" s="7">
        <f t="shared" si="33"/>
        <v>134384</v>
      </c>
      <c r="Z99" s="7">
        <f t="shared" si="34"/>
        <v>130269</v>
      </c>
      <c r="AA99" s="7">
        <f t="shared" si="35"/>
        <v>16480</v>
      </c>
      <c r="AB99" s="7">
        <f t="shared" si="36"/>
        <v>15700</v>
      </c>
      <c r="AC99" s="7">
        <f t="shared" si="37"/>
        <v>86269</v>
      </c>
      <c r="AD99" s="7">
        <f t="shared" si="38"/>
        <v>75351</v>
      </c>
      <c r="AF99" s="7">
        <f>SUM(B99:E99)-K99</f>
        <v>-1930</v>
      </c>
      <c r="AG99" s="7">
        <f>SUM(F99:I99)-L99</f>
        <v>-11558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2026-07-13T04:08:19Z</dcterms:modified>
</cp:coreProperties>
</file>