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476B1074-6EE1-47D7-B94C-49518827F45A}" xr6:coauthVersionLast="47" xr6:coauthVersionMax="47" xr10:uidLastSave="{00000000-0000-0000-0000-000000000000}"/>
  <bookViews>
    <workbookView xWindow="82620" yWindow="1380" windowWidth="20655" windowHeight="16800" activeTab="1" xr2:uid="{985C1713-17F3-42B8-B4A8-3581E02B593F}"/>
  </bookViews>
  <sheets>
    <sheet name="note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1" l="1"/>
  <c r="J70" i="1"/>
  <c r="I70" i="1"/>
  <c r="R18" i="1" l="1"/>
  <c r="M90" i="1"/>
  <c r="S90" i="1" s="1"/>
  <c r="L90" i="1"/>
  <c r="R90" i="1" s="1"/>
  <c r="M83" i="1"/>
  <c r="S83" i="1" s="1"/>
  <c r="L83" i="1"/>
  <c r="R83" i="1" s="1"/>
  <c r="M70" i="1"/>
  <c r="S70" i="1" s="1"/>
  <c r="L70" i="1"/>
  <c r="R70" i="1" s="1"/>
  <c r="M69" i="1"/>
  <c r="S69" i="1" s="1"/>
  <c r="L69" i="1"/>
  <c r="R69" i="1" s="1"/>
  <c r="M68" i="1"/>
  <c r="S68" i="1" s="1"/>
  <c r="L68" i="1"/>
  <c r="R68" i="1" s="1"/>
  <c r="M67" i="1"/>
  <c r="S67" i="1" s="1"/>
  <c r="L67" i="1"/>
  <c r="R67" i="1" s="1"/>
  <c r="M66" i="1"/>
  <c r="S66" i="1" s="1"/>
  <c r="L66" i="1"/>
  <c r="R66" i="1" s="1"/>
  <c r="M65" i="1"/>
  <c r="S65" i="1" s="1"/>
  <c r="L65" i="1"/>
  <c r="R65" i="1" s="1"/>
  <c r="M64" i="1"/>
  <c r="S64" i="1" s="1"/>
  <c r="L64" i="1"/>
  <c r="R64" i="1" s="1"/>
  <c r="M63" i="1"/>
  <c r="S63" i="1" s="1"/>
  <c r="L63" i="1"/>
  <c r="R63" i="1" s="1"/>
  <c r="M62" i="1"/>
  <c r="S62" i="1" s="1"/>
  <c r="L62" i="1"/>
  <c r="R62" i="1" s="1"/>
  <c r="M61" i="1"/>
  <c r="S61" i="1" s="1"/>
  <c r="L61" i="1"/>
  <c r="R61" i="1" s="1"/>
  <c r="M60" i="1"/>
  <c r="S60" i="1" s="1"/>
  <c r="L60" i="1"/>
  <c r="R60" i="1" s="1"/>
  <c r="M59" i="1"/>
  <c r="S59" i="1" s="1"/>
  <c r="L59" i="1"/>
  <c r="R59" i="1" s="1"/>
  <c r="M58" i="1"/>
  <c r="S58" i="1" s="1"/>
  <c r="L58" i="1"/>
  <c r="R58" i="1" s="1"/>
  <c r="M57" i="1"/>
  <c r="S57" i="1" s="1"/>
  <c r="L57" i="1"/>
  <c r="R57" i="1" s="1"/>
  <c r="M56" i="1"/>
  <c r="S56" i="1" s="1"/>
  <c r="L56" i="1"/>
  <c r="R56" i="1" s="1"/>
  <c r="M55" i="1"/>
  <c r="S55" i="1" s="1"/>
  <c r="L55" i="1"/>
  <c r="R55" i="1" s="1"/>
  <c r="M54" i="1"/>
  <c r="S54" i="1" s="1"/>
  <c r="L54" i="1"/>
  <c r="R54" i="1" s="1"/>
  <c r="M53" i="1"/>
  <c r="S53" i="1" s="1"/>
  <c r="L53" i="1"/>
  <c r="R53" i="1" s="1"/>
  <c r="M51" i="1"/>
  <c r="S51" i="1" s="1"/>
  <c r="L51" i="1"/>
  <c r="R51" i="1" s="1"/>
  <c r="M50" i="1"/>
  <c r="S50" i="1" s="1"/>
  <c r="L50" i="1"/>
  <c r="R50" i="1" s="1"/>
  <c r="M49" i="1"/>
  <c r="S49" i="1" s="1"/>
  <c r="L49" i="1"/>
  <c r="R49" i="1" s="1"/>
  <c r="M48" i="1"/>
  <c r="S48" i="1" s="1"/>
  <c r="L48" i="1"/>
  <c r="R48" i="1" s="1"/>
  <c r="M47" i="1"/>
  <c r="S47" i="1" s="1"/>
  <c r="L47" i="1"/>
  <c r="R47" i="1" s="1"/>
  <c r="M46" i="1"/>
  <c r="S46" i="1" s="1"/>
  <c r="L46" i="1"/>
  <c r="R46" i="1" s="1"/>
  <c r="M45" i="1"/>
  <c r="S45" i="1" s="1"/>
  <c r="L45" i="1"/>
  <c r="R45" i="1" s="1"/>
  <c r="M44" i="1"/>
  <c r="S44" i="1" s="1"/>
  <c r="L44" i="1"/>
  <c r="R44" i="1" s="1"/>
  <c r="M43" i="1"/>
  <c r="S43" i="1" s="1"/>
  <c r="L43" i="1"/>
  <c r="R43" i="1" s="1"/>
  <c r="M42" i="1"/>
  <c r="S42" i="1" s="1"/>
  <c r="L42" i="1"/>
  <c r="R42" i="1" s="1"/>
  <c r="M41" i="1"/>
  <c r="S41" i="1" s="1"/>
  <c r="L41" i="1"/>
  <c r="R41" i="1" s="1"/>
  <c r="M40" i="1"/>
  <c r="S40" i="1" s="1"/>
  <c r="L40" i="1"/>
  <c r="R40" i="1" s="1"/>
  <c r="M39" i="1"/>
  <c r="S39" i="1" s="1"/>
  <c r="L39" i="1"/>
  <c r="R39" i="1" s="1"/>
  <c r="M38" i="1"/>
  <c r="S38" i="1" s="1"/>
  <c r="L38" i="1"/>
  <c r="R38" i="1" s="1"/>
  <c r="M37" i="1"/>
  <c r="S37" i="1" s="1"/>
  <c r="L37" i="1"/>
  <c r="R37" i="1" s="1"/>
  <c r="M36" i="1"/>
  <c r="S36" i="1" s="1"/>
  <c r="L36" i="1"/>
  <c r="R36" i="1" s="1"/>
  <c r="M35" i="1"/>
  <c r="S35" i="1" s="1"/>
  <c r="L35" i="1"/>
  <c r="R35" i="1" s="1"/>
  <c r="M34" i="1"/>
  <c r="S34" i="1" s="1"/>
  <c r="L34" i="1"/>
  <c r="R34" i="1" s="1"/>
  <c r="M33" i="1"/>
  <c r="S33" i="1" s="1"/>
  <c r="L33" i="1"/>
  <c r="R33" i="1" s="1"/>
  <c r="M32" i="1"/>
  <c r="S32" i="1" s="1"/>
  <c r="L32" i="1"/>
  <c r="R32" i="1" s="1"/>
  <c r="M31" i="1"/>
  <c r="S31" i="1" s="1"/>
  <c r="L31" i="1"/>
  <c r="R31" i="1" s="1"/>
  <c r="M30" i="1"/>
  <c r="S30" i="1" s="1"/>
  <c r="L30" i="1"/>
  <c r="R30" i="1" s="1"/>
  <c r="M29" i="1"/>
  <c r="S29" i="1" s="1"/>
  <c r="L29" i="1"/>
  <c r="R29" i="1" s="1"/>
  <c r="M28" i="1"/>
  <c r="S28" i="1" s="1"/>
  <c r="L28" i="1"/>
  <c r="R28" i="1" s="1"/>
  <c r="M27" i="1"/>
  <c r="S27" i="1" s="1"/>
  <c r="L27" i="1"/>
  <c r="R27" i="1" s="1"/>
  <c r="M26" i="1"/>
  <c r="S26" i="1" s="1"/>
  <c r="L26" i="1"/>
  <c r="R26" i="1" s="1"/>
  <c r="M25" i="1"/>
  <c r="S25" i="1" s="1"/>
  <c r="L25" i="1"/>
  <c r="R25" i="1" s="1"/>
  <c r="M24" i="1"/>
  <c r="S24" i="1" s="1"/>
  <c r="L24" i="1"/>
  <c r="R24" i="1" s="1"/>
  <c r="M23" i="1"/>
  <c r="S23" i="1" s="1"/>
  <c r="L23" i="1"/>
  <c r="R23" i="1" s="1"/>
  <c r="M22" i="1"/>
  <c r="S22" i="1" s="1"/>
  <c r="L22" i="1"/>
  <c r="R22" i="1" s="1"/>
  <c r="M21" i="1"/>
  <c r="S21" i="1" s="1"/>
  <c r="L21" i="1"/>
  <c r="R21" i="1" s="1"/>
  <c r="M20" i="1"/>
  <c r="S20" i="1" s="1"/>
  <c r="L20" i="1"/>
  <c r="R20" i="1" s="1"/>
  <c r="M19" i="1"/>
  <c r="S19" i="1" s="1"/>
  <c r="L19" i="1"/>
  <c r="R19" i="1" s="1"/>
  <c r="M18" i="1"/>
  <c r="S18" i="1" s="1"/>
  <c r="L18" i="1"/>
  <c r="M17" i="1"/>
  <c r="S17" i="1" s="1"/>
  <c r="L17" i="1"/>
  <c r="R17" i="1" s="1"/>
  <c r="M16" i="1"/>
  <c r="S16" i="1" s="1"/>
  <c r="L16" i="1"/>
  <c r="R16" i="1" s="1"/>
  <c r="M15" i="1"/>
  <c r="S15" i="1" s="1"/>
  <c r="L15" i="1"/>
  <c r="R15" i="1" s="1"/>
  <c r="M14" i="1"/>
  <c r="S14" i="1" s="1"/>
  <c r="L14" i="1"/>
  <c r="R14" i="1" s="1"/>
  <c r="M13" i="1"/>
  <c r="S13" i="1" s="1"/>
  <c r="L13" i="1"/>
  <c r="R13" i="1" s="1"/>
  <c r="M12" i="1"/>
  <c r="S12" i="1" s="1"/>
  <c r="L12" i="1"/>
  <c r="R12" i="1" s="1"/>
  <c r="M11" i="1"/>
  <c r="S11" i="1" s="1"/>
  <c r="L11" i="1"/>
  <c r="R11" i="1" s="1"/>
  <c r="M10" i="1"/>
  <c r="S10" i="1" s="1"/>
  <c r="L10" i="1"/>
  <c r="R10" i="1" s="1"/>
  <c r="M9" i="1"/>
  <c r="S9" i="1" s="1"/>
  <c r="L9" i="1"/>
  <c r="R9" i="1" s="1"/>
  <c r="M8" i="1"/>
  <c r="S8" i="1" s="1"/>
  <c r="L8" i="1"/>
  <c r="R8" i="1" s="1"/>
  <c r="M6" i="1"/>
  <c r="S6" i="1" s="1"/>
  <c r="L6" i="1"/>
  <c r="R6" i="1" s="1"/>
  <c r="M5" i="1"/>
  <c r="S5" i="1" s="1"/>
  <c r="L5" i="1"/>
  <c r="R5" i="1" s="1"/>
  <c r="M4" i="1"/>
  <c r="S4" i="1" s="1"/>
  <c r="L4" i="1"/>
  <c r="R4" i="1" s="1"/>
  <c r="M3" i="1"/>
  <c r="S3" i="1" s="1"/>
  <c r="L3" i="1"/>
  <c r="R3" i="1" s="1"/>
  <c r="D88" i="1"/>
  <c r="C88" i="1"/>
  <c r="B88" i="1"/>
  <c r="K83" i="1"/>
  <c r="Q83" i="1" s="1"/>
  <c r="J83" i="1"/>
  <c r="P83" i="1" s="1"/>
  <c r="Q70" i="1"/>
  <c r="P70" i="1"/>
  <c r="I83" i="1"/>
  <c r="O83" i="1" s="1"/>
  <c r="J88" i="1" l="1"/>
  <c r="P88" i="1" s="1"/>
  <c r="M88" i="1"/>
  <c r="K88" i="1"/>
  <c r="Q88" i="1" s="1"/>
  <c r="L88" i="1"/>
  <c r="I88" i="1"/>
  <c r="O88" i="1" s="1"/>
  <c r="K90" i="1"/>
  <c r="J90" i="1"/>
  <c r="O70" i="1"/>
  <c r="I90" i="1"/>
  <c r="O90" i="1" s="1"/>
  <c r="P90" i="1"/>
  <c r="Q90" i="1"/>
</calcChain>
</file>

<file path=xl/sharedStrings.xml><?xml version="1.0" encoding="utf-8"?>
<sst xmlns="http://schemas.openxmlformats.org/spreadsheetml/2006/main" count="129" uniqueCount="111">
  <si>
    <t>Архангельская</t>
  </si>
  <si>
    <t>Астраханская</t>
  </si>
  <si>
    <t>Бессарабская</t>
  </si>
  <si>
    <t xml:space="preserve">Варшавская </t>
  </si>
  <si>
    <t xml:space="preserve">Варшава </t>
  </si>
  <si>
    <t xml:space="preserve">Виленская </t>
  </si>
  <si>
    <t xml:space="preserve">Витебская </t>
  </si>
  <si>
    <t>Владимірская</t>
  </si>
  <si>
    <t xml:space="preserve">Вологодская </t>
  </si>
  <si>
    <t xml:space="preserve">Волынская </t>
  </si>
  <si>
    <t>Воронежская</t>
  </si>
  <si>
    <t xml:space="preserve">Гродненская </t>
  </si>
  <si>
    <t>Екатеринославская</t>
  </si>
  <si>
    <t>Енисейская</t>
  </si>
  <si>
    <t xml:space="preserve">Иркутская </t>
  </si>
  <si>
    <t xml:space="preserve">Казанская </t>
  </si>
  <si>
    <t xml:space="preserve">Калужская </t>
  </si>
  <si>
    <t xml:space="preserve">Кіевская </t>
  </si>
  <si>
    <t xml:space="preserve">Ковенская </t>
  </si>
  <si>
    <t>Костромская</t>
  </si>
  <si>
    <t>Курляндская</t>
  </si>
  <si>
    <t xml:space="preserve">Курская </t>
  </si>
  <si>
    <t xml:space="preserve">Кѣлециая </t>
  </si>
  <si>
    <t xml:space="preserve">Люблинская </t>
  </si>
  <si>
    <t xml:space="preserve">Минская </t>
  </si>
  <si>
    <t xml:space="preserve">Могилевская </t>
  </si>
  <si>
    <t xml:space="preserve">Московская </t>
  </si>
  <si>
    <t>Москва</t>
  </si>
  <si>
    <t>Нижегородская</t>
  </si>
  <si>
    <t>Новгородская</t>
  </si>
  <si>
    <t xml:space="preserve">Олонецкая </t>
  </si>
  <si>
    <t>Оренбургская</t>
  </si>
  <si>
    <t xml:space="preserve">Орловская </t>
  </si>
  <si>
    <t xml:space="preserve">Пензенская </t>
  </si>
  <si>
    <t xml:space="preserve">Пермская </t>
  </si>
  <si>
    <t xml:space="preserve">Плоцкая </t>
  </si>
  <si>
    <t xml:space="preserve">Подольская </t>
  </si>
  <si>
    <t>Полтавская</t>
  </si>
  <si>
    <t xml:space="preserve">Псковская </t>
  </si>
  <si>
    <t xml:space="preserve">Рязанская </t>
  </si>
  <si>
    <t xml:space="preserve">Самарская </t>
  </si>
  <si>
    <t xml:space="preserve">С-Петербургская   </t>
  </si>
  <si>
    <t xml:space="preserve">С-Петербург    </t>
  </si>
  <si>
    <t xml:space="preserve">Саратовская </t>
  </si>
  <si>
    <t xml:space="preserve">Симбирская </t>
  </si>
  <si>
    <t xml:space="preserve">Смоленская </t>
  </si>
  <si>
    <t xml:space="preserve">Седлецкая </t>
  </si>
  <si>
    <t xml:space="preserve">Таврическая </t>
  </si>
  <si>
    <t xml:space="preserve">Тамбовская </t>
  </si>
  <si>
    <t>Тверская</t>
  </si>
  <si>
    <t>Тобольская</t>
  </si>
  <si>
    <t>Томская</t>
  </si>
  <si>
    <t xml:space="preserve">Тульская </t>
  </si>
  <si>
    <t>Уфимская</t>
  </si>
  <si>
    <t>Харьковская</t>
  </si>
  <si>
    <t xml:space="preserve">Херсонская </t>
  </si>
  <si>
    <t xml:space="preserve">Эстляндская </t>
  </si>
  <si>
    <t>Ярославская</t>
  </si>
  <si>
    <t>Итого в губерниях</t>
  </si>
  <si>
    <t>Акмолинская</t>
  </si>
  <si>
    <t>Амурская</t>
  </si>
  <si>
    <t xml:space="preserve">Забайкальская </t>
  </si>
  <si>
    <t xml:space="preserve">Семипалатинская  </t>
  </si>
  <si>
    <t xml:space="preserve">Тургайская </t>
  </si>
  <si>
    <t>Уральская</t>
  </si>
  <si>
    <t xml:space="preserve">Ферганская </t>
  </si>
  <si>
    <t>Якутская</t>
  </si>
  <si>
    <t>Итого  в областях</t>
  </si>
  <si>
    <t>губ</t>
  </si>
  <si>
    <t>чж NYY</t>
  </si>
  <si>
    <t>чр YY</t>
  </si>
  <si>
    <t>чс YY</t>
  </si>
  <si>
    <t>Вятская</t>
  </si>
  <si>
    <t xml:space="preserve">Калишская </t>
  </si>
  <si>
    <t>Лифляндская</t>
  </si>
  <si>
    <t xml:space="preserve">Ломжинская </t>
  </si>
  <si>
    <t>Петроковская</t>
  </si>
  <si>
    <t>Радомская</t>
  </si>
  <si>
    <t>Сувалкская</t>
  </si>
  <si>
    <t xml:space="preserve">Черниговская </t>
  </si>
  <si>
    <t>Прим. Вост. Сибири</t>
  </si>
  <si>
    <t xml:space="preserve">Семирѣченская </t>
  </si>
  <si>
    <t xml:space="preserve">Сыр-Дарьинская  </t>
  </si>
  <si>
    <t>v-чж NYY</t>
  </si>
  <si>
    <t>v-чр YY</t>
  </si>
  <si>
    <t>v-чс YY</t>
  </si>
  <si>
    <t>—</t>
  </si>
  <si>
    <t>v-diff-чж NYY</t>
  </si>
  <si>
    <t>v-diff-чр YY</t>
  </si>
  <si>
    <t>v-diff-чс YY</t>
  </si>
  <si>
    <t>р YY</t>
  </si>
  <si>
    <t>с YY</t>
  </si>
  <si>
    <t>v-р YY</t>
  </si>
  <si>
    <t>v-с YY</t>
  </si>
  <si>
    <t>v-diff-р YY</t>
  </si>
  <si>
    <t>v-diff-с YY</t>
  </si>
  <si>
    <t>Для Варшавы, Енисейской, Плоцкой, Полтавской, С-Петербурга и Прим Вост Сибири данные за 1880 год.</t>
  </si>
  <si>
    <t>За 1881 год сведений не получено.</t>
  </si>
  <si>
    <t>С-Петербург  пригороды</t>
  </si>
  <si>
    <t>Строка "итого" исключает число рождений и смертей в Варшаве.</t>
  </si>
  <si>
    <t>Что сходится с примечанием, что это число не получено.</t>
  </si>
  <si>
    <t>Прим. Вост. Сибири = Приморская обл.</t>
  </si>
  <si>
    <t>необходимо прибавить к Санкт-Петербургской губернии</t>
  </si>
  <si>
    <t>градоначалия</t>
  </si>
  <si>
    <t>уже включены в соответствующие губернии</t>
  </si>
  <si>
    <t>[Севастополь]</t>
  </si>
  <si>
    <t>[Керчь-Еникольское град.]</t>
  </si>
  <si>
    <t>[Итого в градоначальствах]</t>
  </si>
  <si>
    <t>[Итого в Империи без гр.]</t>
  </si>
  <si>
    <t>С-Петербург пригороды</t>
  </si>
  <si>
    <t>добавить 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</si>
</sst>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0" fillId="2" borderId="0" xfId="0" applyNumberFormat="1" applyFill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4" fontId="0" fillId="0" borderId="0" xfId="0" applyNumberFormat="1"/>
    <xf numFmtId="165" fontId="1" fillId="2" borderId="0" xfId="0" applyNumberFormat="1" applyFont="1" applyFill="1" applyAlignment="1">
      <alignment horizontal="center"/>
    </xf>
    <xf numFmtId="165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DD7B-2B66-4003-BA93-F7F267E7D338}">
  <dimension ref="A2:D15"/>
  <sheetViews>
    <sheetView workbookViewId="0">
      <selection activeCell="A10" sqref="A10"/>
    </sheetView>
  </sheetViews>
  <sheetFormatPr defaultRowHeight="14.4" x14ac:dyDescent="0.55000000000000004"/>
  <sheetData>
    <row r="2" spans="1:4" x14ac:dyDescent="0.55000000000000004">
      <c r="A2" t="s">
        <v>96</v>
      </c>
    </row>
    <row r="3" spans="1:4" x14ac:dyDescent="0.55000000000000004">
      <c r="A3" t="s">
        <v>97</v>
      </c>
    </row>
    <row r="6" spans="1:4" x14ac:dyDescent="0.55000000000000004">
      <c r="A6" t="s">
        <v>99</v>
      </c>
    </row>
    <row r="7" spans="1:4" x14ac:dyDescent="0.55000000000000004">
      <c r="A7" t="s">
        <v>100</v>
      </c>
    </row>
    <row r="10" spans="1:4" x14ac:dyDescent="0.55000000000000004">
      <c r="A10" t="s">
        <v>101</v>
      </c>
    </row>
    <row r="14" spans="1:4" x14ac:dyDescent="0.55000000000000004">
      <c r="A14" t="s">
        <v>98</v>
      </c>
      <c r="D14" t="s">
        <v>102</v>
      </c>
    </row>
    <row r="15" spans="1:4" x14ac:dyDescent="0.55000000000000004">
      <c r="A15" t="s">
        <v>103</v>
      </c>
      <c r="D15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086F-87DA-488B-9CB2-83FFAA408376}">
  <dimension ref="A1:S90"/>
  <sheetViews>
    <sheetView tabSelected="1" topLeftCell="A64" workbookViewId="0">
      <selection activeCell="G2" sqref="G2"/>
    </sheetView>
  </sheetViews>
  <sheetFormatPr defaultRowHeight="14.4" x14ac:dyDescent="0.55000000000000004"/>
  <cols>
    <col min="1" max="1" width="27.578125" customWidth="1"/>
    <col min="2" max="2" width="10.578125" style="3" customWidth="1"/>
    <col min="3" max="4" width="9.15625" style="3"/>
    <col min="5" max="6" width="9.15625" style="8"/>
    <col min="7" max="7" width="9.89453125" style="8" customWidth="1"/>
    <col min="9" max="9" width="10.15625" bestFit="1" customWidth="1"/>
    <col min="12" max="13" width="9.15625" style="13"/>
    <col min="15" max="15" width="13.41796875" bestFit="1" customWidth="1"/>
    <col min="16" max="16" width="11.41796875" bestFit="1" customWidth="1"/>
    <col min="17" max="17" width="11.15625" bestFit="1" customWidth="1"/>
    <col min="18" max="18" width="10.41796875" bestFit="1" customWidth="1"/>
    <col min="19" max="19" width="10.15625" bestFit="1" customWidth="1"/>
  </cols>
  <sheetData>
    <row r="1" spans="1:19" x14ac:dyDescent="0.55000000000000004">
      <c r="A1" s="1" t="s">
        <v>68</v>
      </c>
      <c r="B1" s="2" t="s">
        <v>69</v>
      </c>
      <c r="C1" s="2" t="s">
        <v>70</v>
      </c>
      <c r="D1" s="2" t="s">
        <v>71</v>
      </c>
      <c r="E1" s="7" t="s">
        <v>90</v>
      </c>
      <c r="F1" s="7" t="s">
        <v>91</v>
      </c>
      <c r="G1" s="7" t="s">
        <v>110</v>
      </c>
      <c r="I1" s="5" t="s">
        <v>83</v>
      </c>
      <c r="J1" s="5" t="s">
        <v>84</v>
      </c>
      <c r="K1" s="5" t="s">
        <v>85</v>
      </c>
      <c r="L1" s="12" t="s">
        <v>92</v>
      </c>
      <c r="M1" s="12" t="s">
        <v>93</v>
      </c>
      <c r="O1" s="5" t="s">
        <v>87</v>
      </c>
      <c r="P1" s="5" t="s">
        <v>88</v>
      </c>
      <c r="Q1" s="5" t="s">
        <v>89</v>
      </c>
      <c r="R1" s="12" t="s">
        <v>94</v>
      </c>
      <c r="S1" s="12" t="s">
        <v>95</v>
      </c>
    </row>
    <row r="3" spans="1:19" x14ac:dyDescent="0.55000000000000004">
      <c r="A3" t="s">
        <v>0</v>
      </c>
      <c r="B3" s="3">
        <v>315856</v>
      </c>
      <c r="C3" s="3">
        <v>11556</v>
      </c>
      <c r="D3" s="3">
        <v>8324</v>
      </c>
      <c r="E3" s="8">
        <v>3.6</v>
      </c>
      <c r="F3" s="8">
        <v>2.7</v>
      </c>
      <c r="H3" s="3"/>
      <c r="I3" s="3"/>
      <c r="J3" s="3"/>
      <c r="K3" s="3"/>
      <c r="L3" s="13">
        <f>100*C3/B3</f>
        <v>3.6586292487715921</v>
      </c>
      <c r="M3" s="13">
        <f>D3/B3*100</f>
        <v>2.6353781470036979</v>
      </c>
      <c r="R3" s="14">
        <f>E3-L3</f>
        <v>-5.8629248771592035E-2</v>
      </c>
      <c r="S3" s="14">
        <f>F3-M3</f>
        <v>6.4621852996302298E-2</v>
      </c>
    </row>
    <row r="4" spans="1:19" x14ac:dyDescent="0.55000000000000004">
      <c r="A4" t="s">
        <v>1</v>
      </c>
      <c r="B4" s="3">
        <v>766840</v>
      </c>
      <c r="C4" s="3">
        <v>23319</v>
      </c>
      <c r="D4" s="3">
        <v>13803</v>
      </c>
      <c r="E4" s="8">
        <v>3</v>
      </c>
      <c r="F4" s="8">
        <v>1.8</v>
      </c>
      <c r="H4" s="3"/>
      <c r="I4" s="3"/>
      <c r="J4" s="3"/>
      <c r="K4" s="3"/>
      <c r="L4" s="13">
        <f t="shared" ref="L4:L68" si="0">100*C4/B4</f>
        <v>3.0409211830368785</v>
      </c>
      <c r="M4" s="13">
        <f t="shared" ref="M4:M68" si="1">D4/B4*100</f>
        <v>1.7999843513640394</v>
      </c>
      <c r="R4" s="14">
        <f t="shared" ref="R4:R68" si="2">E4-L4</f>
        <v>-4.0921183036878528E-2</v>
      </c>
      <c r="S4" s="14">
        <f t="shared" ref="S4:S68" si="3">F4-M4</f>
        <v>1.5648635960596735E-5</v>
      </c>
    </row>
    <row r="5" spans="1:19" x14ac:dyDescent="0.55000000000000004">
      <c r="A5" t="s">
        <v>2</v>
      </c>
      <c r="B5" s="3">
        <v>1365307</v>
      </c>
      <c r="C5" s="3">
        <v>65021</v>
      </c>
      <c r="D5" s="3">
        <v>32486</v>
      </c>
      <c r="E5" s="10">
        <v>4.7</v>
      </c>
      <c r="F5" s="8">
        <v>2.2999999999999998</v>
      </c>
      <c r="H5" s="3"/>
      <c r="I5" s="3"/>
      <c r="J5" s="3"/>
      <c r="K5" s="3"/>
      <c r="L5" s="13">
        <f t="shared" si="0"/>
        <v>4.7623721258295753</v>
      </c>
      <c r="M5" s="13">
        <f t="shared" si="1"/>
        <v>2.379391594710933</v>
      </c>
      <c r="R5" s="14">
        <f t="shared" si="2"/>
        <v>-6.2372125829575076E-2</v>
      </c>
      <c r="S5" s="14">
        <f t="shared" si="3"/>
        <v>-7.9391594710933155E-2</v>
      </c>
    </row>
    <row r="6" spans="1:19" x14ac:dyDescent="0.55000000000000004">
      <c r="A6" t="s">
        <v>3</v>
      </c>
      <c r="B6" s="3">
        <v>906039</v>
      </c>
      <c r="C6" s="3">
        <v>34032</v>
      </c>
      <c r="D6" s="3">
        <v>24096</v>
      </c>
      <c r="E6" s="8">
        <v>3.7</v>
      </c>
      <c r="F6" s="8">
        <v>2.6</v>
      </c>
      <c r="H6" s="3"/>
      <c r="I6" s="3"/>
      <c r="J6" s="3"/>
      <c r="K6" s="3"/>
      <c r="L6" s="13">
        <f t="shared" si="0"/>
        <v>3.7561297030260286</v>
      </c>
      <c r="M6" s="13">
        <f t="shared" si="1"/>
        <v>2.6594881677278792</v>
      </c>
      <c r="R6" s="14">
        <f t="shared" si="2"/>
        <v>-5.6129703026028377E-2</v>
      </c>
      <c r="S6" s="14">
        <f t="shared" si="3"/>
        <v>-5.9488167727879127E-2</v>
      </c>
    </row>
    <row r="7" spans="1:19" x14ac:dyDescent="0.55000000000000004">
      <c r="A7" t="s">
        <v>4</v>
      </c>
      <c r="B7" s="3">
        <v>406261</v>
      </c>
      <c r="C7" s="3">
        <v>13044</v>
      </c>
      <c r="D7" s="3">
        <v>11483</v>
      </c>
      <c r="E7" s="9" t="s">
        <v>86</v>
      </c>
      <c r="F7" s="9" t="s">
        <v>86</v>
      </c>
      <c r="G7" s="9"/>
      <c r="H7" s="3"/>
      <c r="I7" s="3"/>
      <c r="J7" s="3"/>
      <c r="K7" s="3"/>
      <c r="R7" s="14"/>
      <c r="S7" s="14"/>
    </row>
    <row r="8" spans="1:19" x14ac:dyDescent="0.55000000000000004">
      <c r="A8" t="s">
        <v>5</v>
      </c>
      <c r="B8" s="3">
        <v>1181798</v>
      </c>
      <c r="C8" s="3">
        <v>47455</v>
      </c>
      <c r="D8" s="3">
        <v>37393</v>
      </c>
      <c r="E8" s="8">
        <v>4</v>
      </c>
      <c r="F8" s="8">
        <v>3.1</v>
      </c>
      <c r="H8" s="3"/>
      <c r="I8" s="3"/>
      <c r="J8" s="3"/>
      <c r="K8" s="3"/>
      <c r="L8" s="13">
        <f t="shared" si="0"/>
        <v>4.0154916491650861</v>
      </c>
      <c r="M8" s="13">
        <f t="shared" si="1"/>
        <v>3.1640771096244871</v>
      </c>
      <c r="R8" s="14">
        <f t="shared" si="2"/>
        <v>-1.5491649165086052E-2</v>
      </c>
      <c r="S8" s="14">
        <f t="shared" si="3"/>
        <v>-6.4077109624486983E-2</v>
      </c>
    </row>
    <row r="9" spans="1:19" x14ac:dyDescent="0.55000000000000004">
      <c r="A9" t="s">
        <v>6</v>
      </c>
      <c r="B9" s="3">
        <v>1135422</v>
      </c>
      <c r="C9" s="3">
        <v>45773</v>
      </c>
      <c r="D9" s="3">
        <v>29592</v>
      </c>
      <c r="E9" s="8">
        <v>4</v>
      </c>
      <c r="F9" s="8">
        <v>2.6</v>
      </c>
      <c r="H9" s="3"/>
      <c r="I9" s="3"/>
      <c r="J9" s="3"/>
      <c r="K9" s="3"/>
      <c r="L9" s="13">
        <f t="shared" si="0"/>
        <v>4.0313645499206459</v>
      </c>
      <c r="M9" s="13">
        <f t="shared" si="1"/>
        <v>2.6062556476798933</v>
      </c>
      <c r="R9" s="14">
        <f t="shared" si="2"/>
        <v>-3.1364549920645857E-2</v>
      </c>
      <c r="S9" s="14">
        <f t="shared" si="3"/>
        <v>-6.2556476798931726E-3</v>
      </c>
    </row>
    <row r="10" spans="1:19" x14ac:dyDescent="0.55000000000000004">
      <c r="A10" t="s">
        <v>7</v>
      </c>
      <c r="B10" s="3">
        <v>1341661</v>
      </c>
      <c r="C10" s="3">
        <v>70001</v>
      </c>
      <c r="D10" s="3">
        <v>50551</v>
      </c>
      <c r="E10" s="8">
        <v>5.2</v>
      </c>
      <c r="F10" s="8">
        <v>3.7</v>
      </c>
      <c r="H10" s="3"/>
      <c r="I10" s="3"/>
      <c r="J10" s="3"/>
      <c r="K10" s="3"/>
      <c r="L10" s="13">
        <f t="shared" si="0"/>
        <v>5.2174878751040685</v>
      </c>
      <c r="M10" s="13">
        <f t="shared" si="1"/>
        <v>3.7677923111724945</v>
      </c>
      <c r="R10" s="14">
        <f t="shared" si="2"/>
        <v>-1.7487875104068351E-2</v>
      </c>
      <c r="S10" s="14">
        <f t="shared" si="3"/>
        <v>-6.7792311172494291E-2</v>
      </c>
    </row>
    <row r="11" spans="1:19" x14ac:dyDescent="0.55000000000000004">
      <c r="A11" t="s">
        <v>8</v>
      </c>
      <c r="B11" s="3">
        <v>1149167</v>
      </c>
      <c r="C11" s="3">
        <v>54542</v>
      </c>
      <c r="D11" s="3">
        <v>45267</v>
      </c>
      <c r="E11" s="8">
        <v>4.7</v>
      </c>
      <c r="F11" s="8">
        <v>3.9</v>
      </c>
      <c r="H11" s="3"/>
      <c r="I11" s="3"/>
      <c r="J11" s="3"/>
      <c r="K11" s="3"/>
      <c r="L11" s="13">
        <f t="shared" si="0"/>
        <v>4.7462205232137711</v>
      </c>
      <c r="M11" s="13">
        <f t="shared" si="1"/>
        <v>3.9391141583425209</v>
      </c>
      <c r="R11" s="14">
        <f t="shared" si="2"/>
        <v>-4.6220523213770903E-2</v>
      </c>
      <c r="S11" s="14">
        <f t="shared" si="3"/>
        <v>-3.9114158342520966E-2</v>
      </c>
    </row>
    <row r="12" spans="1:19" x14ac:dyDescent="0.55000000000000004">
      <c r="A12" t="s">
        <v>9</v>
      </c>
      <c r="B12" s="3">
        <v>2034929</v>
      </c>
      <c r="C12" s="3">
        <v>94971</v>
      </c>
      <c r="D12" s="3">
        <v>71569</v>
      </c>
      <c r="E12" s="8">
        <v>4.5999999999999996</v>
      </c>
      <c r="F12" s="8">
        <v>3.5</v>
      </c>
      <c r="H12" s="3"/>
      <c r="I12" s="3"/>
      <c r="J12" s="3"/>
      <c r="K12" s="3"/>
      <c r="L12" s="13">
        <f t="shared" si="0"/>
        <v>4.6670424373528512</v>
      </c>
      <c r="M12" s="13">
        <f t="shared" si="1"/>
        <v>3.5170268839846504</v>
      </c>
      <c r="R12" s="14">
        <f t="shared" si="2"/>
        <v>-6.7042437352851536E-2</v>
      </c>
      <c r="S12" s="14">
        <f t="shared" si="3"/>
        <v>-1.7026883984650354E-2</v>
      </c>
    </row>
    <row r="13" spans="1:19" x14ac:dyDescent="0.55000000000000004">
      <c r="A13" t="s">
        <v>10</v>
      </c>
      <c r="B13" s="3">
        <v>2335156</v>
      </c>
      <c r="C13" s="3">
        <v>121033</v>
      </c>
      <c r="D13" s="3">
        <v>84188</v>
      </c>
      <c r="E13" s="8">
        <v>5.0999999999999996</v>
      </c>
      <c r="F13" s="8">
        <v>3.6</v>
      </c>
      <c r="H13" s="3"/>
      <c r="I13" s="3"/>
      <c r="J13" s="3"/>
      <c r="K13" s="3"/>
      <c r="L13" s="13">
        <f t="shared" si="0"/>
        <v>5.1830798456291571</v>
      </c>
      <c r="M13" s="13">
        <f t="shared" si="1"/>
        <v>3.6052409346527599</v>
      </c>
      <c r="R13" s="14">
        <f t="shared" si="2"/>
        <v>-8.3079845629157489E-2</v>
      </c>
      <c r="S13" s="14">
        <f t="shared" si="3"/>
        <v>-5.2409346527597656E-3</v>
      </c>
    </row>
    <row r="14" spans="1:19" x14ac:dyDescent="0.55000000000000004">
      <c r="A14" t="s">
        <v>72</v>
      </c>
      <c r="B14" s="3">
        <v>2698500</v>
      </c>
      <c r="C14" s="3">
        <v>153348</v>
      </c>
      <c r="D14" s="3">
        <v>113296</v>
      </c>
      <c r="E14" s="8">
        <v>5.6</v>
      </c>
      <c r="F14" s="8">
        <v>4.2</v>
      </c>
      <c r="H14" s="3"/>
      <c r="I14" s="3"/>
      <c r="J14" s="3"/>
      <c r="K14" s="3"/>
      <c r="L14" s="13">
        <f t="shared" si="0"/>
        <v>5.6827126181211787</v>
      </c>
      <c r="M14" s="13">
        <f t="shared" si="1"/>
        <v>4.1984806373911425</v>
      </c>
      <c r="R14" s="14">
        <f t="shared" si="2"/>
        <v>-8.2712618121179027E-2</v>
      </c>
      <c r="S14" s="14">
        <f t="shared" si="3"/>
        <v>1.5193626088576551E-3</v>
      </c>
    </row>
    <row r="15" spans="1:19" x14ac:dyDescent="0.55000000000000004">
      <c r="A15" t="s">
        <v>11</v>
      </c>
      <c r="B15" s="3">
        <v>1204150</v>
      </c>
      <c r="C15" s="3">
        <v>49418</v>
      </c>
      <c r="D15" s="3">
        <v>41813</v>
      </c>
      <c r="E15" s="8">
        <v>4.0999999999999996</v>
      </c>
      <c r="F15" s="8">
        <v>3.4</v>
      </c>
      <c r="H15" s="3"/>
      <c r="I15" s="3"/>
      <c r="J15" s="3"/>
      <c r="K15" s="3"/>
      <c r="L15" s="13">
        <f t="shared" si="0"/>
        <v>4.1039737574222483</v>
      </c>
      <c r="M15" s="13">
        <f t="shared" si="1"/>
        <v>3.4724079226010049</v>
      </c>
      <c r="R15" s="14">
        <f t="shared" si="2"/>
        <v>-3.9737574222487027E-3</v>
      </c>
      <c r="S15" s="14">
        <f t="shared" si="3"/>
        <v>-7.2407922601005037E-2</v>
      </c>
    </row>
    <row r="16" spans="1:19" x14ac:dyDescent="0.55000000000000004">
      <c r="A16" t="s">
        <v>12</v>
      </c>
      <c r="B16" s="3">
        <v>1535585</v>
      </c>
      <c r="C16" s="3">
        <v>82300</v>
      </c>
      <c r="D16" s="3">
        <v>46068</v>
      </c>
      <c r="E16" s="8">
        <v>5.3</v>
      </c>
      <c r="F16" s="8">
        <v>3</v>
      </c>
      <c r="H16" s="3"/>
      <c r="I16" s="3"/>
      <c r="J16" s="3"/>
      <c r="K16" s="3"/>
      <c r="L16" s="13">
        <f t="shared" si="0"/>
        <v>5.3595209643230426</v>
      </c>
      <c r="M16" s="13">
        <f t="shared" si="1"/>
        <v>3.0000293047926361</v>
      </c>
      <c r="R16" s="14">
        <f t="shared" si="2"/>
        <v>-5.9520964323042769E-2</v>
      </c>
      <c r="S16" s="14">
        <f t="shared" si="3"/>
        <v>-2.9304792636075661E-5</v>
      </c>
    </row>
    <row r="17" spans="1:19" x14ac:dyDescent="0.55000000000000004">
      <c r="A17" t="s">
        <v>13</v>
      </c>
      <c r="B17" s="3">
        <v>428517</v>
      </c>
      <c r="C17" s="3">
        <v>21022</v>
      </c>
      <c r="D17" s="3">
        <v>19718</v>
      </c>
      <c r="E17" s="8">
        <v>4.9000000000000004</v>
      </c>
      <c r="F17" s="8">
        <v>4.5999999999999996</v>
      </c>
      <c r="H17" s="3"/>
      <c r="I17" s="3"/>
      <c r="J17" s="3"/>
      <c r="K17" s="3"/>
      <c r="L17" s="13">
        <f t="shared" si="0"/>
        <v>4.9057563643916113</v>
      </c>
      <c r="M17" s="13">
        <f t="shared" si="1"/>
        <v>4.6014510509501374</v>
      </c>
      <c r="R17" s="14">
        <f t="shared" si="2"/>
        <v>-5.7563643916109797E-3</v>
      </c>
      <c r="S17" s="14">
        <f t="shared" si="3"/>
        <v>-1.4510509501377555E-3</v>
      </c>
    </row>
    <row r="18" spans="1:19" x14ac:dyDescent="0.55000000000000004">
      <c r="A18" t="s">
        <v>14</v>
      </c>
      <c r="B18" s="3">
        <v>387429</v>
      </c>
      <c r="C18" s="3">
        <v>18440</v>
      </c>
      <c r="D18" s="3">
        <v>14768</v>
      </c>
      <c r="E18" s="8">
        <v>4.7</v>
      </c>
      <c r="F18" s="8">
        <v>3.8</v>
      </c>
      <c r="H18" s="3"/>
      <c r="I18" s="3"/>
      <c r="J18" s="3"/>
      <c r="K18" s="3"/>
      <c r="L18" s="13">
        <f t="shared" si="0"/>
        <v>4.7595817556249012</v>
      </c>
      <c r="M18" s="13">
        <f t="shared" si="1"/>
        <v>3.811795193441895</v>
      </c>
      <c r="R18" s="14">
        <f t="shared" si="2"/>
        <v>-5.9581755624900978E-2</v>
      </c>
      <c r="S18" s="14">
        <f t="shared" si="3"/>
        <v>-1.1795193441895169E-2</v>
      </c>
    </row>
    <row r="19" spans="1:19" x14ac:dyDescent="0.55000000000000004">
      <c r="A19" t="s">
        <v>15</v>
      </c>
      <c r="B19" s="3">
        <v>1931154</v>
      </c>
      <c r="C19" s="3">
        <v>94562</v>
      </c>
      <c r="D19" s="3">
        <v>63496</v>
      </c>
      <c r="E19" s="8">
        <v>4.8</v>
      </c>
      <c r="F19" s="8">
        <v>3.2</v>
      </c>
      <c r="H19" s="3"/>
      <c r="I19" s="3"/>
      <c r="J19" s="3"/>
      <c r="K19" s="3"/>
      <c r="L19" s="13">
        <f t="shared" si="0"/>
        <v>4.8966576461535434</v>
      </c>
      <c r="M19" s="13">
        <f t="shared" si="1"/>
        <v>3.2879822116723987</v>
      </c>
      <c r="R19" s="14">
        <f t="shared" si="2"/>
        <v>-9.6657646153543553E-2</v>
      </c>
      <c r="S19" s="14">
        <f t="shared" si="3"/>
        <v>-8.7982211672398503E-2</v>
      </c>
    </row>
    <row r="20" spans="1:19" x14ac:dyDescent="0.55000000000000004">
      <c r="A20" t="s">
        <v>73</v>
      </c>
      <c r="B20" s="3">
        <v>765403</v>
      </c>
      <c r="C20" s="3">
        <v>27455</v>
      </c>
      <c r="D20" s="3">
        <v>17484</v>
      </c>
      <c r="E20" s="8">
        <v>3.5</v>
      </c>
      <c r="F20" s="8">
        <v>2.2000000000000002</v>
      </c>
      <c r="H20" s="3"/>
      <c r="I20" s="3"/>
      <c r="J20" s="3"/>
      <c r="K20" s="3"/>
      <c r="L20" s="13">
        <f t="shared" si="0"/>
        <v>3.5869992670527813</v>
      </c>
      <c r="M20" s="13">
        <f t="shared" si="1"/>
        <v>2.2842868397432463</v>
      </c>
      <c r="R20" s="14">
        <f t="shared" si="2"/>
        <v>-8.6999267052781271E-2</v>
      </c>
      <c r="S20" s="14">
        <f t="shared" si="3"/>
        <v>-8.4286839743246134E-2</v>
      </c>
    </row>
    <row r="21" spans="1:19" x14ac:dyDescent="0.55000000000000004">
      <c r="A21" t="s">
        <v>16</v>
      </c>
      <c r="B21" s="3">
        <v>1132187</v>
      </c>
      <c r="C21" s="3">
        <v>50562</v>
      </c>
      <c r="D21" s="3">
        <v>32747</v>
      </c>
      <c r="E21" s="8">
        <v>4.4000000000000004</v>
      </c>
      <c r="F21" s="8">
        <v>2.9</v>
      </c>
      <c r="H21" s="3"/>
      <c r="I21" s="3"/>
      <c r="J21" s="3"/>
      <c r="K21" s="3"/>
      <c r="L21" s="13">
        <f t="shared" si="0"/>
        <v>4.4658700373701521</v>
      </c>
      <c r="M21" s="13">
        <f t="shared" si="1"/>
        <v>2.8923667203386012</v>
      </c>
      <c r="R21" s="14">
        <f t="shared" si="2"/>
        <v>-6.5870037370151735E-2</v>
      </c>
      <c r="S21" s="14">
        <f t="shared" si="3"/>
        <v>7.6332796613987064E-3</v>
      </c>
    </row>
    <row r="22" spans="1:19" x14ac:dyDescent="0.55000000000000004">
      <c r="A22" t="s">
        <v>17</v>
      </c>
      <c r="B22" s="3">
        <v>2581766</v>
      </c>
      <c r="C22" s="3">
        <v>132899</v>
      </c>
      <c r="D22" s="3">
        <v>90342</v>
      </c>
      <c r="E22" s="8">
        <v>5.0999999999999996</v>
      </c>
      <c r="F22" s="8">
        <v>3.4</v>
      </c>
      <c r="H22" s="3"/>
      <c r="I22" s="3"/>
      <c r="J22" s="3"/>
      <c r="K22" s="3"/>
      <c r="L22" s="13">
        <f t="shared" si="0"/>
        <v>5.1476005184048441</v>
      </c>
      <c r="M22" s="13">
        <f t="shared" si="1"/>
        <v>3.4992326957594142</v>
      </c>
      <c r="R22" s="14">
        <f t="shared" si="2"/>
        <v>-4.7600518404844472E-2</v>
      </c>
      <c r="S22" s="14">
        <f t="shared" si="3"/>
        <v>-9.9232695759414291E-2</v>
      </c>
    </row>
    <row r="23" spans="1:19" x14ac:dyDescent="0.55000000000000004">
      <c r="A23" t="s">
        <v>18</v>
      </c>
      <c r="B23" s="3">
        <v>1416620</v>
      </c>
      <c r="C23" s="3">
        <v>48510</v>
      </c>
      <c r="D23" s="3">
        <v>38458</v>
      </c>
      <c r="E23" s="8">
        <v>3.4</v>
      </c>
      <c r="F23" s="8">
        <v>2.7</v>
      </c>
      <c r="H23" s="3"/>
      <c r="I23" s="3"/>
      <c r="J23" s="3"/>
      <c r="K23" s="3"/>
      <c r="L23" s="13">
        <f t="shared" si="0"/>
        <v>3.4243480961725798</v>
      </c>
      <c r="M23" s="13">
        <f t="shared" si="1"/>
        <v>2.7147717807174825</v>
      </c>
      <c r="R23" s="14">
        <f t="shared" si="2"/>
        <v>-2.4348096172579936E-2</v>
      </c>
      <c r="S23" s="14">
        <f t="shared" si="3"/>
        <v>-1.4771780717482308E-2</v>
      </c>
    </row>
    <row r="24" spans="1:19" x14ac:dyDescent="0.55000000000000004">
      <c r="A24" t="s">
        <v>19</v>
      </c>
      <c r="B24" s="3">
        <v>1261710</v>
      </c>
      <c r="C24" s="3">
        <v>59968</v>
      </c>
      <c r="D24" s="3">
        <v>43912</v>
      </c>
      <c r="E24" s="8">
        <v>4.7</v>
      </c>
      <c r="F24" s="8">
        <v>3.4</v>
      </c>
      <c r="H24" s="3"/>
      <c r="I24" s="3"/>
      <c r="J24" s="3"/>
      <c r="K24" s="3"/>
      <c r="L24" s="13">
        <f t="shared" si="0"/>
        <v>4.7529146951359662</v>
      </c>
      <c r="M24" s="13">
        <f t="shared" si="1"/>
        <v>3.4803560247600478</v>
      </c>
      <c r="R24" s="14">
        <f t="shared" si="2"/>
        <v>-5.2914695135966028E-2</v>
      </c>
      <c r="S24" s="14">
        <f t="shared" si="3"/>
        <v>-8.0356024760047884E-2</v>
      </c>
    </row>
    <row r="25" spans="1:19" x14ac:dyDescent="0.55000000000000004">
      <c r="A25" t="s">
        <v>20</v>
      </c>
      <c r="B25" s="3">
        <v>688440</v>
      </c>
      <c r="C25" s="3">
        <v>18806</v>
      </c>
      <c r="D25" s="3">
        <v>12937</v>
      </c>
      <c r="E25" s="8">
        <v>2.7</v>
      </c>
      <c r="F25" s="8">
        <v>1.8</v>
      </c>
      <c r="H25" s="3"/>
      <c r="I25" s="3"/>
      <c r="J25" s="3"/>
      <c r="K25" s="3"/>
      <c r="L25" s="13">
        <f t="shared" si="0"/>
        <v>2.7316832258439372</v>
      </c>
      <c r="M25" s="13">
        <f t="shared" si="1"/>
        <v>1.8791761083028296</v>
      </c>
      <c r="R25" s="14">
        <f t="shared" si="2"/>
        <v>-3.1683225843937013E-2</v>
      </c>
      <c r="S25" s="14">
        <f t="shared" si="3"/>
        <v>-7.9176108302829507E-2</v>
      </c>
    </row>
    <row r="26" spans="1:19" x14ac:dyDescent="0.55000000000000004">
      <c r="A26" t="s">
        <v>21</v>
      </c>
      <c r="B26" s="3">
        <v>2273930</v>
      </c>
      <c r="C26" s="3">
        <v>112426</v>
      </c>
      <c r="D26" s="3">
        <v>78142</v>
      </c>
      <c r="E26" s="8">
        <v>4.9000000000000004</v>
      </c>
      <c r="F26" s="8">
        <v>3.9</v>
      </c>
      <c r="H26" s="3"/>
      <c r="I26" s="3"/>
      <c r="J26" s="3"/>
      <c r="K26" s="3"/>
      <c r="L26" s="13">
        <f t="shared" si="0"/>
        <v>4.9441275676911776</v>
      </c>
      <c r="M26" s="13">
        <f t="shared" si="1"/>
        <v>3.4364294415395373</v>
      </c>
      <c r="R26" s="14">
        <f t="shared" si="2"/>
        <v>-4.4127567691177205E-2</v>
      </c>
      <c r="S26" s="14">
        <f t="shared" si="3"/>
        <v>0.46357055846046258</v>
      </c>
    </row>
    <row r="27" spans="1:19" x14ac:dyDescent="0.55000000000000004">
      <c r="A27" t="s">
        <v>22</v>
      </c>
      <c r="B27" s="3">
        <v>614711</v>
      </c>
      <c r="C27" s="3">
        <v>26518</v>
      </c>
      <c r="D27" s="3">
        <v>18387</v>
      </c>
      <c r="E27" s="8">
        <v>4.3</v>
      </c>
      <c r="F27" s="8">
        <v>2.9</v>
      </c>
      <c r="H27" s="3"/>
      <c r="I27" s="3"/>
      <c r="J27" s="3"/>
      <c r="K27" s="3"/>
      <c r="L27" s="13">
        <f t="shared" si="0"/>
        <v>4.3138970996126638</v>
      </c>
      <c r="M27" s="13">
        <f t="shared" si="1"/>
        <v>2.9911617003762747</v>
      </c>
      <c r="R27" s="14">
        <f t="shared" si="2"/>
        <v>-1.3897099612663943E-2</v>
      </c>
      <c r="S27" s="14">
        <f t="shared" si="3"/>
        <v>-9.1161700376274801E-2</v>
      </c>
    </row>
    <row r="28" spans="1:19" x14ac:dyDescent="0.55000000000000004">
      <c r="A28" t="s">
        <v>74</v>
      </c>
      <c r="B28" s="3">
        <v>1860787</v>
      </c>
      <c r="C28" s="3">
        <v>37403</v>
      </c>
      <c r="D28" s="3">
        <v>27440</v>
      </c>
      <c r="E28" s="8">
        <v>2</v>
      </c>
      <c r="F28" s="8">
        <v>1.4</v>
      </c>
      <c r="H28" s="3"/>
      <c r="I28" s="3"/>
      <c r="J28" s="3"/>
      <c r="K28" s="3"/>
      <c r="L28" s="13">
        <f t="shared" si="0"/>
        <v>2.0100634838914933</v>
      </c>
      <c r="M28" s="13">
        <f t="shared" si="1"/>
        <v>1.4746448680047743</v>
      </c>
      <c r="R28" s="14">
        <f t="shared" si="2"/>
        <v>-1.0063483891493252E-2</v>
      </c>
      <c r="S28" s="14">
        <f t="shared" si="3"/>
        <v>-7.4644868004774434E-2</v>
      </c>
    </row>
    <row r="29" spans="1:19" x14ac:dyDescent="0.55000000000000004">
      <c r="A29" t="s">
        <v>75</v>
      </c>
      <c r="B29" s="3">
        <v>542237</v>
      </c>
      <c r="C29" s="3">
        <v>21886</v>
      </c>
      <c r="D29" s="3">
        <v>14995</v>
      </c>
      <c r="E29" s="8">
        <v>4</v>
      </c>
      <c r="F29" s="8">
        <v>2.7</v>
      </c>
      <c r="H29" s="3"/>
      <c r="I29" s="3"/>
      <c r="J29" s="3"/>
      <c r="K29" s="3"/>
      <c r="L29" s="13">
        <f t="shared" si="0"/>
        <v>4.0362424548675211</v>
      </c>
      <c r="M29" s="13">
        <f t="shared" si="1"/>
        <v>2.7653959431023707</v>
      </c>
      <c r="R29" s="14">
        <f t="shared" si="2"/>
        <v>-3.624245486752109E-2</v>
      </c>
      <c r="S29" s="14">
        <f t="shared" si="3"/>
        <v>-6.5395943102370513E-2</v>
      </c>
    </row>
    <row r="30" spans="1:19" x14ac:dyDescent="0.55000000000000004">
      <c r="A30" t="s">
        <v>23</v>
      </c>
      <c r="B30" s="3">
        <v>860382</v>
      </c>
      <c r="C30" s="3">
        <v>34520</v>
      </c>
      <c r="D30" s="3">
        <v>25582</v>
      </c>
      <c r="E30" s="8">
        <v>4</v>
      </c>
      <c r="F30" s="8">
        <v>2.9</v>
      </c>
      <c r="H30" s="3"/>
      <c r="I30" s="3"/>
      <c r="J30" s="3"/>
      <c r="K30" s="3"/>
      <c r="L30" s="13">
        <f t="shared" si="0"/>
        <v>4.0121713378476072</v>
      </c>
      <c r="M30" s="13">
        <f t="shared" si="1"/>
        <v>2.9733304508927429</v>
      </c>
      <c r="R30" s="14">
        <f t="shared" si="2"/>
        <v>-1.2171337847607155E-2</v>
      </c>
      <c r="S30" s="14">
        <f t="shared" si="3"/>
        <v>-7.3330450892743038E-2</v>
      </c>
    </row>
    <row r="31" spans="1:19" x14ac:dyDescent="0.55000000000000004">
      <c r="A31" t="s">
        <v>24</v>
      </c>
      <c r="B31" s="3">
        <v>1554160</v>
      </c>
      <c r="C31" s="3">
        <v>64831</v>
      </c>
      <c r="D31" s="3">
        <v>44837</v>
      </c>
      <c r="E31" s="8">
        <v>4.0999999999999996</v>
      </c>
      <c r="F31" s="8">
        <v>2.8</v>
      </c>
      <c r="H31" s="3"/>
      <c r="I31" s="3"/>
      <c r="J31" s="3"/>
      <c r="K31" s="3"/>
      <c r="L31" s="13">
        <f t="shared" si="0"/>
        <v>4.1714495290060229</v>
      </c>
      <c r="M31" s="13">
        <f t="shared" si="1"/>
        <v>2.8849667987851957</v>
      </c>
      <c r="R31" s="14">
        <f t="shared" si="2"/>
        <v>-7.1449529006023305E-2</v>
      </c>
      <c r="S31" s="14">
        <f t="shared" si="3"/>
        <v>-8.4966798785195863E-2</v>
      </c>
    </row>
    <row r="32" spans="1:19" x14ac:dyDescent="0.55000000000000004">
      <c r="A32" t="s">
        <v>25</v>
      </c>
      <c r="B32" s="3">
        <v>1117398</v>
      </c>
      <c r="C32" s="3">
        <v>54859</v>
      </c>
      <c r="D32" s="3">
        <v>32378</v>
      </c>
      <c r="E32" s="8">
        <v>4.9000000000000004</v>
      </c>
      <c r="F32" s="8">
        <v>2.8</v>
      </c>
      <c r="H32" s="3"/>
      <c r="I32" s="3"/>
      <c r="J32" s="3"/>
      <c r="K32" s="3"/>
      <c r="L32" s="13">
        <f t="shared" si="0"/>
        <v>4.9095308923051588</v>
      </c>
      <c r="M32" s="13">
        <f t="shared" si="1"/>
        <v>2.8976246601479509</v>
      </c>
      <c r="R32" s="14">
        <f t="shared" si="2"/>
        <v>-9.5308923051584671E-3</v>
      </c>
      <c r="S32" s="14">
        <f t="shared" si="3"/>
        <v>-9.7624660147951126E-2</v>
      </c>
    </row>
    <row r="33" spans="1:19" x14ac:dyDescent="0.55000000000000004">
      <c r="A33" t="s">
        <v>26</v>
      </c>
      <c r="B33" s="3">
        <v>1187491</v>
      </c>
      <c r="C33" s="3">
        <v>63532</v>
      </c>
      <c r="D33" s="3">
        <v>54756</v>
      </c>
      <c r="E33" s="8">
        <v>5.3</v>
      </c>
      <c r="F33" s="8">
        <v>4.5999999999999996</v>
      </c>
      <c r="H33" s="3"/>
      <c r="I33" s="3"/>
      <c r="J33" s="3"/>
      <c r="K33" s="3"/>
      <c r="L33" s="13">
        <f t="shared" si="0"/>
        <v>5.3501037060491408</v>
      </c>
      <c r="M33" s="13">
        <f t="shared" si="1"/>
        <v>4.6110665259778809</v>
      </c>
      <c r="R33" s="14">
        <f t="shared" si="2"/>
        <v>-5.0103706049140939E-2</v>
      </c>
      <c r="S33" s="14">
        <f t="shared" si="3"/>
        <v>-1.106652597788127E-2</v>
      </c>
    </row>
    <row r="34" spans="1:19" x14ac:dyDescent="0.55000000000000004">
      <c r="A34" t="s">
        <v>27</v>
      </c>
      <c r="B34" s="3">
        <v>750867</v>
      </c>
      <c r="C34" s="3">
        <v>26224</v>
      </c>
      <c r="D34" s="3">
        <v>24577</v>
      </c>
      <c r="E34" s="8">
        <v>3.4</v>
      </c>
      <c r="F34" s="8">
        <v>3.2</v>
      </c>
      <c r="H34" s="3"/>
      <c r="I34" s="3"/>
      <c r="J34" s="3"/>
      <c r="K34" s="3"/>
      <c r="L34" s="13">
        <f t="shared" si="0"/>
        <v>3.4924960079481453</v>
      </c>
      <c r="M34" s="13">
        <f t="shared" si="1"/>
        <v>3.2731495724276067</v>
      </c>
      <c r="R34" s="14">
        <f t="shared" si="2"/>
        <v>-9.2496007948145387E-2</v>
      </c>
      <c r="S34" s="14">
        <f t="shared" si="3"/>
        <v>-7.3149572427606557E-2</v>
      </c>
    </row>
    <row r="35" spans="1:19" x14ac:dyDescent="0.55000000000000004">
      <c r="A35" t="s">
        <v>28</v>
      </c>
      <c r="B35" s="3">
        <v>1411159</v>
      </c>
      <c r="C35" s="3">
        <v>76113</v>
      </c>
      <c r="D35" s="3">
        <v>54971</v>
      </c>
      <c r="E35" s="8">
        <v>5.3</v>
      </c>
      <c r="F35" s="8">
        <v>3.8</v>
      </c>
      <c r="H35" s="3"/>
      <c r="I35" s="3"/>
      <c r="J35" s="3"/>
      <c r="K35" s="3"/>
      <c r="L35" s="13">
        <f t="shared" si="0"/>
        <v>5.3936516012724294</v>
      </c>
      <c r="M35" s="13">
        <f t="shared" si="1"/>
        <v>3.8954504772318357</v>
      </c>
      <c r="R35" s="14">
        <f t="shared" si="2"/>
        <v>-9.3651601272429552E-2</v>
      </c>
      <c r="S35" s="14">
        <f t="shared" si="3"/>
        <v>-9.5450477231835862E-2</v>
      </c>
    </row>
    <row r="36" spans="1:19" x14ac:dyDescent="0.55000000000000004">
      <c r="A36" t="s">
        <v>29</v>
      </c>
      <c r="B36" s="3">
        <v>1107571</v>
      </c>
      <c r="C36" s="3">
        <v>48131</v>
      </c>
      <c r="D36" s="3">
        <v>34172</v>
      </c>
      <c r="E36" s="8">
        <v>4.3</v>
      </c>
      <c r="F36" s="8">
        <v>3</v>
      </c>
      <c r="H36" s="3"/>
      <c r="I36" s="3"/>
      <c r="J36" s="3"/>
      <c r="K36" s="3"/>
      <c r="L36" s="13">
        <f t="shared" si="0"/>
        <v>4.3456356296797223</v>
      </c>
      <c r="M36" s="13">
        <f t="shared" si="1"/>
        <v>3.0853101065304167</v>
      </c>
      <c r="R36" s="14">
        <f t="shared" si="2"/>
        <v>-4.5635629679722456E-2</v>
      </c>
      <c r="S36" s="14">
        <f t="shared" si="3"/>
        <v>-8.5310106530416707E-2</v>
      </c>
    </row>
    <row r="37" spans="1:19" x14ac:dyDescent="0.55000000000000004">
      <c r="A37" t="s">
        <v>30</v>
      </c>
      <c r="B37" s="3">
        <v>321027</v>
      </c>
      <c r="C37" s="3">
        <v>15632</v>
      </c>
      <c r="D37" s="3">
        <v>11573</v>
      </c>
      <c r="E37" s="8">
        <v>4.8</v>
      </c>
      <c r="F37" s="8">
        <v>3.6</v>
      </c>
      <c r="H37" s="3"/>
      <c r="I37" s="3"/>
      <c r="J37" s="3"/>
      <c r="K37" s="3"/>
      <c r="L37" s="13">
        <f t="shared" si="0"/>
        <v>4.8693723580882606</v>
      </c>
      <c r="M37" s="13">
        <f t="shared" si="1"/>
        <v>3.60499272646849</v>
      </c>
      <c r="R37" s="14">
        <f t="shared" si="2"/>
        <v>-6.937235808826081E-2</v>
      </c>
      <c r="S37" s="14">
        <f t="shared" si="3"/>
        <v>-4.9927264684899164E-3</v>
      </c>
    </row>
    <row r="38" spans="1:19" x14ac:dyDescent="0.55000000000000004">
      <c r="A38" t="s">
        <v>31</v>
      </c>
      <c r="B38" s="3">
        <v>1096376</v>
      </c>
      <c r="C38" s="3">
        <v>59964</v>
      </c>
      <c r="D38" s="3">
        <v>40021</v>
      </c>
      <c r="E38" s="8">
        <v>5.4</v>
      </c>
      <c r="F38" s="8">
        <v>3.6</v>
      </c>
      <c r="H38" s="3"/>
      <c r="I38" s="3"/>
      <c r="J38" s="3"/>
      <c r="K38" s="3"/>
      <c r="L38" s="13">
        <f t="shared" si="0"/>
        <v>5.4692915569111324</v>
      </c>
      <c r="M38" s="13">
        <f t="shared" si="1"/>
        <v>3.6502988026005676</v>
      </c>
      <c r="R38" s="14">
        <f t="shared" si="2"/>
        <v>-6.9291556911132091E-2</v>
      </c>
      <c r="S38" s="14">
        <f t="shared" si="3"/>
        <v>-5.0298802600567516E-2</v>
      </c>
    </row>
    <row r="39" spans="1:19" x14ac:dyDescent="0.55000000000000004">
      <c r="A39" t="s">
        <v>32</v>
      </c>
      <c r="B39" s="3">
        <v>1877051</v>
      </c>
      <c r="C39" s="3">
        <v>93848</v>
      </c>
      <c r="D39" s="3">
        <v>64530</v>
      </c>
      <c r="E39" s="8">
        <v>4.9000000000000004</v>
      </c>
      <c r="F39" s="8">
        <v>3.4</v>
      </c>
      <c r="H39" s="3"/>
      <c r="I39" s="3"/>
      <c r="J39" s="3"/>
      <c r="K39" s="3"/>
      <c r="L39" s="13">
        <f t="shared" si="0"/>
        <v>4.9997575984882667</v>
      </c>
      <c r="M39" s="13">
        <f t="shared" si="1"/>
        <v>3.4378394620071591</v>
      </c>
      <c r="R39" s="14">
        <f t="shared" si="2"/>
        <v>-9.9757598488266375E-2</v>
      </c>
      <c r="S39" s="14">
        <f t="shared" si="3"/>
        <v>-3.7839462007159153E-2</v>
      </c>
    </row>
    <row r="40" spans="1:19" x14ac:dyDescent="0.55000000000000004">
      <c r="A40" t="s">
        <v>33</v>
      </c>
      <c r="B40" s="3">
        <v>1356571</v>
      </c>
      <c r="C40" s="3">
        <v>75346</v>
      </c>
      <c r="D40" s="3">
        <v>48639</v>
      </c>
      <c r="E40" s="8">
        <v>5.5</v>
      </c>
      <c r="F40" s="8">
        <v>3.5</v>
      </c>
      <c r="H40" s="3"/>
      <c r="I40" s="3"/>
      <c r="J40" s="3"/>
      <c r="K40" s="3"/>
      <c r="L40" s="13">
        <f t="shared" si="0"/>
        <v>5.5541508700982112</v>
      </c>
      <c r="M40" s="13">
        <f t="shared" si="1"/>
        <v>3.5854371057615118</v>
      </c>
      <c r="R40" s="14">
        <f t="shared" si="2"/>
        <v>-5.4150870098211179E-2</v>
      </c>
      <c r="S40" s="14">
        <f t="shared" si="3"/>
        <v>-8.5437105761511756E-2</v>
      </c>
    </row>
    <row r="41" spans="1:19" x14ac:dyDescent="0.55000000000000004">
      <c r="A41" t="s">
        <v>34</v>
      </c>
      <c r="B41" s="3">
        <v>2476876</v>
      </c>
      <c r="C41" s="3">
        <v>149002</v>
      </c>
      <c r="D41" s="3">
        <v>105568</v>
      </c>
      <c r="E41" s="8">
        <v>6</v>
      </c>
      <c r="F41" s="8">
        <v>4.2</v>
      </c>
      <c r="H41" s="3"/>
      <c r="I41" s="3"/>
      <c r="J41" s="3"/>
      <c r="K41" s="3"/>
      <c r="L41" s="13">
        <f t="shared" si="0"/>
        <v>6.0157230317545167</v>
      </c>
      <c r="M41" s="13">
        <f t="shared" si="1"/>
        <v>4.2621431189934418</v>
      </c>
      <c r="R41" s="14">
        <f t="shared" si="2"/>
        <v>-1.5723031754516725E-2</v>
      </c>
      <c r="S41" s="14">
        <f t="shared" si="3"/>
        <v>-6.2143118993441604E-2</v>
      </c>
    </row>
    <row r="42" spans="1:19" x14ac:dyDescent="0.55000000000000004">
      <c r="A42" t="s">
        <v>76</v>
      </c>
      <c r="B42" s="3">
        <v>837928</v>
      </c>
      <c r="C42" s="3">
        <v>32478</v>
      </c>
      <c r="D42" s="3">
        <v>20510</v>
      </c>
      <c r="E42" s="8">
        <v>3.8</v>
      </c>
      <c r="F42" s="8">
        <v>2.4</v>
      </c>
      <c r="H42" s="3"/>
      <c r="I42" s="3"/>
      <c r="J42" s="3"/>
      <c r="K42" s="3"/>
      <c r="L42" s="13">
        <f t="shared" si="0"/>
        <v>3.8759893451465999</v>
      </c>
      <c r="M42" s="13">
        <f t="shared" si="1"/>
        <v>2.4477043373655016</v>
      </c>
      <c r="R42" s="14">
        <f t="shared" si="2"/>
        <v>-7.5989345146600051E-2</v>
      </c>
      <c r="S42" s="14">
        <f t="shared" si="3"/>
        <v>-4.7704337365501726E-2</v>
      </c>
    </row>
    <row r="43" spans="1:19" x14ac:dyDescent="0.55000000000000004">
      <c r="A43" t="s">
        <v>35</v>
      </c>
      <c r="B43" s="3">
        <v>530099</v>
      </c>
      <c r="C43" s="3">
        <v>21615</v>
      </c>
      <c r="D43" s="3">
        <v>15960</v>
      </c>
      <c r="E43" s="8">
        <v>4</v>
      </c>
      <c r="F43" s="8">
        <v>2.8</v>
      </c>
      <c r="H43" s="3"/>
      <c r="I43" s="3"/>
      <c r="J43" s="3"/>
      <c r="K43" s="3"/>
      <c r="L43" s="13">
        <f t="shared" si="0"/>
        <v>4.0775402330508079</v>
      </c>
      <c r="M43" s="13">
        <f t="shared" si="1"/>
        <v>3.0107583677765852</v>
      </c>
      <c r="R43" s="14">
        <f t="shared" si="2"/>
        <v>-7.7540233050807927E-2</v>
      </c>
      <c r="S43" s="14">
        <f t="shared" si="3"/>
        <v>-0.21075836777658541</v>
      </c>
    </row>
    <row r="44" spans="1:19" x14ac:dyDescent="0.55000000000000004">
      <c r="A44" t="s">
        <v>36</v>
      </c>
      <c r="B44" s="3">
        <v>2204091</v>
      </c>
      <c r="C44" s="3">
        <v>108372</v>
      </c>
      <c r="D44" s="3">
        <v>70045</v>
      </c>
      <c r="E44" s="8">
        <v>4.9000000000000004</v>
      </c>
      <c r="F44" s="8">
        <v>3.1</v>
      </c>
      <c r="H44" s="3"/>
      <c r="I44" s="3"/>
      <c r="J44" s="3"/>
      <c r="K44" s="3"/>
      <c r="L44" s="13">
        <f t="shared" si="0"/>
        <v>4.9168568811360327</v>
      </c>
      <c r="M44" s="13">
        <f t="shared" si="1"/>
        <v>3.1779540862877256</v>
      </c>
      <c r="R44" s="14">
        <f t="shared" si="2"/>
        <v>-1.6856881136032342E-2</v>
      </c>
      <c r="S44" s="14">
        <f t="shared" si="3"/>
        <v>-7.7954086287725488E-2</v>
      </c>
    </row>
    <row r="45" spans="1:19" x14ac:dyDescent="0.55000000000000004">
      <c r="A45" t="s">
        <v>37</v>
      </c>
      <c r="B45" s="3">
        <v>2445423</v>
      </c>
      <c r="C45" s="3">
        <v>110615</v>
      </c>
      <c r="D45" s="3">
        <v>72042</v>
      </c>
      <c r="E45" s="8">
        <v>4.5</v>
      </c>
      <c r="F45" s="8">
        <v>2.9</v>
      </c>
      <c r="H45" s="3"/>
      <c r="I45" s="3"/>
      <c r="J45" s="3"/>
      <c r="K45" s="3"/>
      <c r="L45" s="13">
        <f t="shared" si="0"/>
        <v>4.5233483123369655</v>
      </c>
      <c r="M45" s="13">
        <f t="shared" si="1"/>
        <v>2.9459933925541715</v>
      </c>
      <c r="R45" s="14">
        <f t="shared" si="2"/>
        <v>-2.3348312336965549E-2</v>
      </c>
      <c r="S45" s="14">
        <f t="shared" si="3"/>
        <v>-4.5993392554171564E-2</v>
      </c>
    </row>
    <row r="46" spans="1:19" x14ac:dyDescent="0.55000000000000004">
      <c r="A46" t="s">
        <v>38</v>
      </c>
      <c r="B46" s="3">
        <v>890994</v>
      </c>
      <c r="C46" s="3">
        <v>42746</v>
      </c>
      <c r="D46" s="3">
        <v>35618</v>
      </c>
      <c r="E46" s="8">
        <v>4.7</v>
      </c>
      <c r="F46" s="8">
        <v>3.9</v>
      </c>
      <c r="H46" s="3"/>
      <c r="I46" s="3"/>
      <c r="J46" s="3"/>
      <c r="K46" s="3"/>
      <c r="L46" s="13">
        <f t="shared" si="0"/>
        <v>4.7975631710202311</v>
      </c>
      <c r="M46" s="13">
        <f t="shared" si="1"/>
        <v>3.9975577837785665</v>
      </c>
      <c r="R46" s="14">
        <f t="shared" si="2"/>
        <v>-9.7563171020230932E-2</v>
      </c>
      <c r="S46" s="14">
        <f t="shared" si="3"/>
        <v>-9.7557783778566609E-2</v>
      </c>
    </row>
    <row r="47" spans="1:19" x14ac:dyDescent="0.55000000000000004">
      <c r="A47" t="s">
        <v>77</v>
      </c>
      <c r="B47" s="3">
        <v>633725</v>
      </c>
      <c r="C47" s="3">
        <v>26595</v>
      </c>
      <c r="D47" s="3">
        <v>17137</v>
      </c>
      <c r="E47" s="8">
        <v>4.0999999999999996</v>
      </c>
      <c r="F47" s="8">
        <v>2.7</v>
      </c>
      <c r="H47" s="3"/>
      <c r="I47" s="3"/>
      <c r="J47" s="3"/>
      <c r="K47" s="3"/>
      <c r="L47" s="13">
        <f t="shared" si="0"/>
        <v>4.1966152510947179</v>
      </c>
      <c r="M47" s="13">
        <f t="shared" si="1"/>
        <v>2.7041697897352952</v>
      </c>
      <c r="R47" s="14">
        <f t="shared" si="2"/>
        <v>-9.6615251094718246E-2</v>
      </c>
      <c r="S47" s="14">
        <f t="shared" si="3"/>
        <v>-4.1697897352950264E-3</v>
      </c>
    </row>
    <row r="48" spans="1:19" x14ac:dyDescent="0.55000000000000004">
      <c r="A48" t="s">
        <v>39</v>
      </c>
      <c r="B48" s="3">
        <v>1678802</v>
      </c>
      <c r="C48" s="3">
        <v>77343</v>
      </c>
      <c r="D48" s="3">
        <v>52487</v>
      </c>
      <c r="E48" s="8">
        <v>4.5999999999999996</v>
      </c>
      <c r="F48" s="8">
        <v>3.1</v>
      </c>
      <c r="H48" s="3"/>
      <c r="I48" s="3"/>
      <c r="J48" s="3"/>
      <c r="K48" s="3"/>
      <c r="L48" s="13">
        <f t="shared" si="0"/>
        <v>4.6070352549020077</v>
      </c>
      <c r="M48" s="13">
        <f t="shared" si="1"/>
        <v>3.126455651113115</v>
      </c>
      <c r="R48" s="14">
        <f t="shared" si="2"/>
        <v>-7.0352549020080701E-3</v>
      </c>
      <c r="S48" s="14">
        <f t="shared" si="3"/>
        <v>-2.6455651113114875E-2</v>
      </c>
    </row>
    <row r="49" spans="1:19" x14ac:dyDescent="0.55000000000000004">
      <c r="A49" t="s">
        <v>40</v>
      </c>
      <c r="B49" s="3">
        <v>2177600</v>
      </c>
      <c r="C49" s="3">
        <v>120105</v>
      </c>
      <c r="D49" s="3">
        <v>81543</v>
      </c>
      <c r="E49" s="8">
        <v>5.5</v>
      </c>
      <c r="F49" s="8">
        <v>3.7</v>
      </c>
      <c r="H49" s="3"/>
      <c r="I49" s="3"/>
      <c r="J49" s="3"/>
      <c r="K49" s="3"/>
      <c r="L49" s="13">
        <f t="shared" si="0"/>
        <v>5.5154757531227041</v>
      </c>
      <c r="M49" s="13">
        <f t="shared" si="1"/>
        <v>3.7446271124173403</v>
      </c>
      <c r="R49" s="14">
        <f t="shared" si="2"/>
        <v>-1.5475753122704106E-2</v>
      </c>
      <c r="S49" s="14">
        <f t="shared" si="3"/>
        <v>-4.4627112417340076E-2</v>
      </c>
    </row>
    <row r="50" spans="1:19" x14ac:dyDescent="0.55000000000000004">
      <c r="A50" t="s">
        <v>41</v>
      </c>
      <c r="B50" s="3">
        <v>672400</v>
      </c>
      <c r="C50" s="3">
        <v>24356</v>
      </c>
      <c r="D50" s="3">
        <v>24312</v>
      </c>
      <c r="E50" s="8">
        <v>3.6</v>
      </c>
      <c r="F50" s="8">
        <v>3.6</v>
      </c>
      <c r="H50" s="3"/>
      <c r="I50" s="3"/>
      <c r="J50" s="3"/>
      <c r="K50" s="3"/>
      <c r="L50" s="13">
        <f t="shared" si="0"/>
        <v>3.6222486615110054</v>
      </c>
      <c r="M50" s="13">
        <f t="shared" si="1"/>
        <v>3.6157049375371799</v>
      </c>
      <c r="R50" s="14">
        <f t="shared" si="2"/>
        <v>-2.2248661511005352E-2</v>
      </c>
      <c r="S50" s="14">
        <f t="shared" si="3"/>
        <v>-1.5704937537179831E-2</v>
      </c>
    </row>
    <row r="51" spans="1:19" x14ac:dyDescent="0.55000000000000004">
      <c r="A51" t="s">
        <v>42</v>
      </c>
      <c r="B51" s="3">
        <v>861920</v>
      </c>
      <c r="C51" s="3">
        <v>26312</v>
      </c>
      <c r="D51" s="3">
        <v>32956</v>
      </c>
      <c r="E51" s="8">
        <v>3</v>
      </c>
      <c r="F51" s="8">
        <v>3.8</v>
      </c>
      <c r="H51" s="3"/>
      <c r="I51" s="3"/>
      <c r="J51" s="3"/>
      <c r="K51" s="3"/>
      <c r="L51" s="13">
        <f t="shared" si="0"/>
        <v>3.052719509931316</v>
      </c>
      <c r="M51" s="13">
        <f t="shared" si="1"/>
        <v>3.823556710599592</v>
      </c>
      <c r="R51" s="14">
        <f t="shared" si="2"/>
        <v>-5.2719509931316022E-2</v>
      </c>
      <c r="S51" s="14">
        <f t="shared" si="3"/>
        <v>-2.355671059959219E-2</v>
      </c>
    </row>
    <row r="52" spans="1:19" x14ac:dyDescent="0.55000000000000004">
      <c r="A52" t="s">
        <v>109</v>
      </c>
      <c r="B52" s="3">
        <v>67173</v>
      </c>
      <c r="D52" s="3">
        <v>1832</v>
      </c>
      <c r="G52" t="s">
        <v>41</v>
      </c>
      <c r="H52" s="3"/>
      <c r="I52" s="3"/>
      <c r="J52" s="3"/>
      <c r="K52" s="3"/>
      <c r="R52" s="14"/>
      <c r="S52" s="14"/>
    </row>
    <row r="53" spans="1:19" x14ac:dyDescent="0.55000000000000004">
      <c r="A53" t="s">
        <v>43</v>
      </c>
      <c r="B53" s="3">
        <v>2044131</v>
      </c>
      <c r="C53" s="3">
        <v>101286</v>
      </c>
      <c r="D53" s="3">
        <v>79092</v>
      </c>
      <c r="E53" s="15">
        <v>4.9000000000000004</v>
      </c>
      <c r="F53" s="8">
        <v>3.8</v>
      </c>
      <c r="H53" s="3"/>
      <c r="I53" s="3"/>
      <c r="J53" s="3"/>
      <c r="K53" s="3"/>
      <c r="L53" s="13">
        <f t="shared" si="0"/>
        <v>4.9549661934582474</v>
      </c>
      <c r="M53" s="13">
        <f t="shared" si="1"/>
        <v>3.8692236456469771</v>
      </c>
      <c r="R53" s="14">
        <f t="shared" si="2"/>
        <v>-5.4966193458247048E-2</v>
      </c>
      <c r="S53" s="14">
        <f t="shared" si="3"/>
        <v>-6.922364564697725E-2</v>
      </c>
    </row>
    <row r="54" spans="1:19" x14ac:dyDescent="0.55000000000000004">
      <c r="A54" t="s">
        <v>44</v>
      </c>
      <c r="B54" s="3">
        <v>1460299</v>
      </c>
      <c r="C54" s="3">
        <v>72885</v>
      </c>
      <c r="D54" s="3">
        <v>44458</v>
      </c>
      <c r="E54" s="8">
        <v>4.9000000000000004</v>
      </c>
      <c r="F54" s="8">
        <v>3</v>
      </c>
      <c r="H54" s="3"/>
      <c r="I54" s="3"/>
      <c r="J54" s="3"/>
      <c r="K54" s="3"/>
      <c r="L54" s="13">
        <f t="shared" si="0"/>
        <v>4.9911011375067709</v>
      </c>
      <c r="M54" s="13">
        <f t="shared" si="1"/>
        <v>3.0444450074950407</v>
      </c>
      <c r="R54" s="14">
        <f t="shared" si="2"/>
        <v>-9.1101137506770513E-2</v>
      </c>
      <c r="S54" s="14">
        <f t="shared" si="3"/>
        <v>-4.4445007495040656E-2</v>
      </c>
    </row>
    <row r="55" spans="1:19" x14ac:dyDescent="0.55000000000000004">
      <c r="A55" t="s">
        <v>45</v>
      </c>
      <c r="B55" s="3">
        <v>1243088</v>
      </c>
      <c r="C55" s="3">
        <v>66175</v>
      </c>
      <c r="D55" s="3">
        <v>45301</v>
      </c>
      <c r="E55" s="8">
        <v>5.3</v>
      </c>
      <c r="F55" s="8">
        <v>3.6</v>
      </c>
      <c r="H55" s="3"/>
      <c r="I55" s="3"/>
      <c r="J55" s="3"/>
      <c r="K55" s="3"/>
      <c r="L55" s="13">
        <f t="shared" si="0"/>
        <v>5.3234364743284468</v>
      </c>
      <c r="M55" s="13">
        <f t="shared" si="1"/>
        <v>3.6442311405145893</v>
      </c>
      <c r="R55" s="14">
        <f t="shared" si="2"/>
        <v>-2.3436474328446977E-2</v>
      </c>
      <c r="S55" s="14">
        <f t="shared" si="3"/>
        <v>-4.4231140514589207E-2</v>
      </c>
    </row>
    <row r="56" spans="1:19" x14ac:dyDescent="0.55000000000000004">
      <c r="A56" t="s">
        <v>78</v>
      </c>
      <c r="B56" s="3">
        <v>603174</v>
      </c>
      <c r="C56" s="3">
        <v>17512</v>
      </c>
      <c r="D56" s="3">
        <v>13128</v>
      </c>
      <c r="E56" s="8">
        <v>2.9</v>
      </c>
      <c r="F56" s="8">
        <v>2.1</v>
      </c>
      <c r="H56" s="3"/>
      <c r="I56" s="3"/>
      <c r="J56" s="3"/>
      <c r="K56" s="3"/>
      <c r="L56" s="13">
        <f t="shared" si="0"/>
        <v>2.9033081664660614</v>
      </c>
      <c r="M56" s="13">
        <f t="shared" si="1"/>
        <v>2.1764863870127029</v>
      </c>
      <c r="R56" s="14">
        <f t="shared" si="2"/>
        <v>-3.3081664660614685E-3</v>
      </c>
      <c r="S56" s="14">
        <f t="shared" si="3"/>
        <v>-7.6486387012702828E-2</v>
      </c>
    </row>
    <row r="57" spans="1:19" x14ac:dyDescent="0.55000000000000004">
      <c r="A57" t="s">
        <v>46</v>
      </c>
      <c r="B57" s="3">
        <v>616649</v>
      </c>
      <c r="C57" s="3">
        <v>20240</v>
      </c>
      <c r="D57" s="3">
        <v>15636</v>
      </c>
      <c r="E57" s="8">
        <v>3.2</v>
      </c>
      <c r="F57" s="8">
        <v>2.5</v>
      </c>
      <c r="H57" s="3"/>
      <c r="I57" s="3"/>
      <c r="J57" s="3"/>
      <c r="K57" s="3"/>
      <c r="L57" s="13">
        <f t="shared" si="0"/>
        <v>3.2822561943666493</v>
      </c>
      <c r="M57" s="13">
        <f t="shared" si="1"/>
        <v>2.53564021023305</v>
      </c>
      <c r="R57" s="14">
        <f t="shared" si="2"/>
        <v>-8.2256194366649105E-2</v>
      </c>
      <c r="S57" s="14">
        <f t="shared" si="3"/>
        <v>-3.5640210233049974E-2</v>
      </c>
    </row>
    <row r="58" spans="1:19" x14ac:dyDescent="0.55000000000000004">
      <c r="A58" t="s">
        <v>47</v>
      </c>
      <c r="B58" s="3">
        <v>946603</v>
      </c>
      <c r="C58" s="3">
        <v>45858</v>
      </c>
      <c r="D58" s="3">
        <v>25045</v>
      </c>
      <c r="E58" s="8">
        <v>4.8</v>
      </c>
      <c r="F58" s="15">
        <v>2.6</v>
      </c>
      <c r="G58" s="15"/>
      <c r="H58" s="3"/>
      <c r="I58" s="3"/>
      <c r="J58" s="3"/>
      <c r="K58" s="3"/>
      <c r="L58" s="13">
        <f t="shared" si="0"/>
        <v>4.8444807379651236</v>
      </c>
      <c r="M58" s="13">
        <f t="shared" si="1"/>
        <v>2.6457765293370081</v>
      </c>
      <c r="R58" s="14">
        <f t="shared" si="2"/>
        <v>-4.4480737965123751E-2</v>
      </c>
      <c r="S58" s="14">
        <f t="shared" si="3"/>
        <v>-4.5776529337008043E-2</v>
      </c>
    </row>
    <row r="59" spans="1:19" x14ac:dyDescent="0.55000000000000004">
      <c r="A59" t="s">
        <v>48</v>
      </c>
      <c r="B59" s="3">
        <v>2458568</v>
      </c>
      <c r="C59" s="3">
        <v>121575</v>
      </c>
      <c r="D59" s="3">
        <v>83495</v>
      </c>
      <c r="E59" s="8">
        <v>4.9000000000000004</v>
      </c>
      <c r="F59" s="8">
        <v>3.3</v>
      </c>
      <c r="H59" s="3"/>
      <c r="I59" s="3"/>
      <c r="J59" s="3"/>
      <c r="K59" s="3"/>
      <c r="L59" s="13">
        <f t="shared" si="0"/>
        <v>4.9449516954584949</v>
      </c>
      <c r="M59" s="13">
        <f t="shared" si="1"/>
        <v>3.3960825976747442</v>
      </c>
      <c r="R59" s="14">
        <f t="shared" si="2"/>
        <v>-4.4951695458494534E-2</v>
      </c>
      <c r="S59" s="14">
        <f t="shared" si="3"/>
        <v>-9.6082597674744363E-2</v>
      </c>
    </row>
    <row r="60" spans="1:19" x14ac:dyDescent="0.55000000000000004">
      <c r="A60" t="s">
        <v>49</v>
      </c>
      <c r="B60" s="3">
        <v>1644600</v>
      </c>
      <c r="C60" s="3">
        <v>79682</v>
      </c>
      <c r="D60" s="3">
        <v>53221</v>
      </c>
      <c r="E60" s="8">
        <v>4.8</v>
      </c>
      <c r="F60" s="8">
        <v>3.2</v>
      </c>
      <c r="H60" s="3"/>
      <c r="I60" s="3"/>
      <c r="J60" s="3"/>
      <c r="K60" s="3"/>
      <c r="L60" s="13">
        <f t="shared" si="0"/>
        <v>4.8450687097166485</v>
      </c>
      <c r="M60" s="13">
        <f t="shared" si="1"/>
        <v>3.2361060440228631</v>
      </c>
      <c r="R60" s="14">
        <f t="shared" si="2"/>
        <v>-4.5068709716648669E-2</v>
      </c>
      <c r="S60" s="14">
        <f t="shared" si="3"/>
        <v>-3.6106044022862882E-2</v>
      </c>
    </row>
    <row r="61" spans="1:19" x14ac:dyDescent="0.55000000000000004">
      <c r="A61" t="s">
        <v>50</v>
      </c>
      <c r="B61" s="3">
        <v>1279433</v>
      </c>
      <c r="C61" s="3">
        <v>70570</v>
      </c>
      <c r="D61" s="3">
        <v>54608</v>
      </c>
      <c r="E61" s="8">
        <v>5.5</v>
      </c>
      <c r="F61" s="8">
        <v>4.2</v>
      </c>
      <c r="H61" s="3"/>
      <c r="I61" s="3"/>
      <c r="J61" s="3"/>
      <c r="K61" s="3"/>
      <c r="L61" s="13">
        <f t="shared" si="0"/>
        <v>5.5157245436064253</v>
      </c>
      <c r="M61" s="13">
        <f t="shared" si="1"/>
        <v>4.2681406529298531</v>
      </c>
      <c r="R61" s="14">
        <f t="shared" si="2"/>
        <v>-1.5724543606425279E-2</v>
      </c>
      <c r="S61" s="14">
        <f t="shared" si="3"/>
        <v>-6.8140652929852941E-2</v>
      </c>
    </row>
    <row r="62" spans="1:19" x14ac:dyDescent="0.55000000000000004">
      <c r="A62" t="s">
        <v>51</v>
      </c>
      <c r="B62" s="3">
        <v>1078080</v>
      </c>
      <c r="C62" s="3">
        <v>46003</v>
      </c>
      <c r="D62" s="3">
        <v>27051</v>
      </c>
      <c r="E62" s="8">
        <v>4.2</v>
      </c>
      <c r="F62" s="8">
        <v>2.5</v>
      </c>
      <c r="H62" s="3"/>
      <c r="I62" s="3"/>
      <c r="J62" s="3"/>
      <c r="K62" s="3"/>
      <c r="L62" s="13">
        <f t="shared" si="0"/>
        <v>4.2671230335411101</v>
      </c>
      <c r="M62" s="13">
        <f t="shared" si="1"/>
        <v>2.5091829919857522</v>
      </c>
      <c r="R62" s="14">
        <f t="shared" si="2"/>
        <v>-6.7123033541109933E-2</v>
      </c>
      <c r="S62" s="14">
        <f t="shared" si="3"/>
        <v>-9.1829919857522313E-3</v>
      </c>
    </row>
    <row r="63" spans="1:19" x14ac:dyDescent="0.55000000000000004">
      <c r="A63" t="s">
        <v>52</v>
      </c>
      <c r="B63" s="3">
        <v>1327200</v>
      </c>
      <c r="C63" s="3">
        <v>68148</v>
      </c>
      <c r="D63" s="3">
        <v>50144</v>
      </c>
      <c r="E63" s="8">
        <v>5.0999999999999996</v>
      </c>
      <c r="F63" s="8">
        <v>3.7</v>
      </c>
      <c r="H63" s="3"/>
      <c r="I63" s="3"/>
      <c r="J63" s="3"/>
      <c r="K63" s="3"/>
      <c r="L63" s="13">
        <f t="shared" si="0"/>
        <v>5.1347197106690778</v>
      </c>
      <c r="M63" s="13">
        <f t="shared" si="1"/>
        <v>3.7781796262808918</v>
      </c>
      <c r="R63" s="14">
        <f t="shared" si="2"/>
        <v>-3.4719710669078196E-2</v>
      </c>
      <c r="S63" s="14">
        <f t="shared" si="3"/>
        <v>-7.817962628089159E-2</v>
      </c>
    </row>
    <row r="64" spans="1:19" x14ac:dyDescent="0.55000000000000004">
      <c r="A64" t="s">
        <v>53</v>
      </c>
      <c r="B64" s="3">
        <v>1684621</v>
      </c>
      <c r="C64" s="3">
        <v>83433</v>
      </c>
      <c r="D64" s="3">
        <v>52443</v>
      </c>
      <c r="E64" s="8">
        <v>4.9000000000000004</v>
      </c>
      <c r="F64" s="8">
        <v>3.1</v>
      </c>
      <c r="H64" s="3"/>
      <c r="I64" s="3"/>
      <c r="J64" s="3"/>
      <c r="K64" s="3"/>
      <c r="L64" s="13">
        <f t="shared" si="0"/>
        <v>4.952627326858682</v>
      </c>
      <c r="M64" s="13">
        <f t="shared" si="1"/>
        <v>3.1130444177058223</v>
      </c>
      <c r="R64" s="14">
        <f t="shared" si="2"/>
        <v>-5.2627326858681656E-2</v>
      </c>
      <c r="S64" s="14">
        <f t="shared" si="3"/>
        <v>-1.3044417705822209E-2</v>
      </c>
    </row>
    <row r="65" spans="1:19" x14ac:dyDescent="0.55000000000000004">
      <c r="A65" t="s">
        <v>54</v>
      </c>
      <c r="B65" s="3">
        <v>2071837</v>
      </c>
      <c r="C65" s="3">
        <v>99739</v>
      </c>
      <c r="D65" s="3">
        <v>64134</v>
      </c>
      <c r="E65" s="8">
        <v>4.8</v>
      </c>
      <c r="F65" s="8">
        <v>3</v>
      </c>
      <c r="H65" s="3"/>
      <c r="I65" s="3"/>
      <c r="J65" s="3"/>
      <c r="K65" s="3"/>
      <c r="L65" s="13">
        <f t="shared" si="0"/>
        <v>4.8140370115988853</v>
      </c>
      <c r="M65" s="13">
        <f t="shared" si="1"/>
        <v>3.0955137880055239</v>
      </c>
      <c r="R65" s="14">
        <f t="shared" si="2"/>
        <v>-1.4037011598885485E-2</v>
      </c>
      <c r="S65" s="14">
        <f t="shared" si="3"/>
        <v>-9.5513788005523903E-2</v>
      </c>
    </row>
    <row r="66" spans="1:19" x14ac:dyDescent="0.55000000000000004">
      <c r="A66" t="s">
        <v>55</v>
      </c>
      <c r="B66" s="3">
        <v>1684234</v>
      </c>
      <c r="C66" s="3">
        <v>84101</v>
      </c>
      <c r="D66" s="3">
        <v>44425</v>
      </c>
      <c r="E66" s="8">
        <v>4.9000000000000004</v>
      </c>
      <c r="F66" s="8">
        <v>2.6</v>
      </c>
      <c r="H66" s="3"/>
      <c r="I66" s="3"/>
      <c r="J66" s="3"/>
      <c r="K66" s="3"/>
      <c r="L66" s="13">
        <f t="shared" si="0"/>
        <v>4.9934272791072978</v>
      </c>
      <c r="M66" s="13">
        <f t="shared" si="1"/>
        <v>2.6376976120895312</v>
      </c>
      <c r="R66" s="14">
        <f t="shared" si="2"/>
        <v>-9.3427279107297423E-2</v>
      </c>
      <c r="S66" s="14">
        <f t="shared" si="3"/>
        <v>-3.7697612089531152E-2</v>
      </c>
    </row>
    <row r="67" spans="1:19" x14ac:dyDescent="0.55000000000000004">
      <c r="A67" t="s">
        <v>79</v>
      </c>
      <c r="B67" s="3">
        <v>1875855</v>
      </c>
      <c r="C67" s="3">
        <v>84393</v>
      </c>
      <c r="D67" s="3">
        <v>56774</v>
      </c>
      <c r="E67" s="8">
        <v>4.4000000000000004</v>
      </c>
      <c r="F67" s="8">
        <v>3</v>
      </c>
      <c r="H67" s="3"/>
      <c r="I67" s="3"/>
      <c r="J67" s="3"/>
      <c r="K67" s="3"/>
      <c r="L67" s="13">
        <f t="shared" si="0"/>
        <v>4.4989084977250373</v>
      </c>
      <c r="M67" s="13">
        <f t="shared" si="1"/>
        <v>3.0265665523188092</v>
      </c>
      <c r="R67" s="14">
        <f t="shared" si="2"/>
        <v>-9.8908497725036959E-2</v>
      </c>
      <c r="S67" s="14">
        <f t="shared" si="3"/>
        <v>-2.6566552318809222E-2</v>
      </c>
    </row>
    <row r="68" spans="1:19" x14ac:dyDescent="0.55000000000000004">
      <c r="A68" t="s">
        <v>56</v>
      </c>
      <c r="B68" s="3">
        <v>367254</v>
      </c>
      <c r="C68" s="3">
        <v>11265</v>
      </c>
      <c r="D68" s="3">
        <v>8190</v>
      </c>
      <c r="E68" s="8">
        <v>3</v>
      </c>
      <c r="F68" s="8">
        <v>2.2000000000000002</v>
      </c>
      <c r="H68" s="3"/>
      <c r="I68" s="3"/>
      <c r="J68" s="3"/>
      <c r="K68" s="3"/>
      <c r="L68" s="13">
        <f t="shared" si="0"/>
        <v>3.0673593752552728</v>
      </c>
      <c r="M68" s="13">
        <f t="shared" si="1"/>
        <v>2.2300642062441796</v>
      </c>
      <c r="R68" s="14">
        <f t="shared" si="2"/>
        <v>-6.7359375255272802E-2</v>
      </c>
      <c r="S68" s="14">
        <f t="shared" si="3"/>
        <v>-3.0064206244179381E-2</v>
      </c>
    </row>
    <row r="69" spans="1:19" x14ac:dyDescent="0.55000000000000004">
      <c r="A69" t="s">
        <v>57</v>
      </c>
      <c r="B69" s="3">
        <v>1047183</v>
      </c>
      <c r="C69" s="3">
        <v>42661</v>
      </c>
      <c r="D69" s="3">
        <v>31085</v>
      </c>
      <c r="E69" s="8">
        <v>4</v>
      </c>
      <c r="F69" s="8">
        <v>2.9</v>
      </c>
      <c r="H69" s="3"/>
      <c r="I69" s="3"/>
      <c r="J69" s="3"/>
      <c r="K69" s="3"/>
      <c r="L69" s="13">
        <f t="shared" ref="L69:L70" si="4">100*C69/B69</f>
        <v>4.0738820244408096</v>
      </c>
      <c r="M69" s="13">
        <f t="shared" ref="M69:M70" si="5">D69/B69*100</f>
        <v>2.9684400911779507</v>
      </c>
      <c r="R69" s="14">
        <f t="shared" ref="R69:R70" si="6">E69-L69</f>
        <v>-7.3882024440809602E-2</v>
      </c>
      <c r="S69" s="14">
        <f t="shared" ref="S69:S70" si="7">F69-M69</f>
        <v>-6.8440091177950801E-2</v>
      </c>
    </row>
    <row r="70" spans="1:19" x14ac:dyDescent="0.55000000000000004">
      <c r="A70" t="s">
        <v>58</v>
      </c>
      <c r="B70" s="3">
        <v>85811405</v>
      </c>
      <c r="C70" s="3">
        <v>3991291</v>
      </c>
      <c r="D70" s="3">
        <v>2784658</v>
      </c>
      <c r="E70" s="11">
        <v>4.67</v>
      </c>
      <c r="F70" s="11">
        <v>3.26</v>
      </c>
      <c r="G70" s="11"/>
      <c r="H70" s="3"/>
      <c r="I70" s="6">
        <f>SUM(B3:B69)</f>
        <v>85811455</v>
      </c>
      <c r="J70" s="6">
        <f>SUM(C3:C69)</f>
        <v>4004335</v>
      </c>
      <c r="K70" s="6">
        <f>SUM(D3:D69)</f>
        <v>2797031</v>
      </c>
      <c r="L70" s="13">
        <f t="shared" si="4"/>
        <v>4.6512360449056862</v>
      </c>
      <c r="M70" s="13">
        <f t="shared" si="5"/>
        <v>3.2450907895051944</v>
      </c>
      <c r="O70" s="6">
        <f>B70-I70</f>
        <v>-50</v>
      </c>
      <c r="P70" s="6">
        <f>C70-J70</f>
        <v>-13044</v>
      </c>
      <c r="Q70" s="6">
        <f>D70-K70</f>
        <v>-12373</v>
      </c>
      <c r="R70" s="14">
        <f t="shared" si="6"/>
        <v>1.8763955094313722E-2</v>
      </c>
      <c r="S70" s="14">
        <f t="shared" si="7"/>
        <v>1.4909210494805425E-2</v>
      </c>
    </row>
    <row r="71" spans="1:19" x14ac:dyDescent="0.55000000000000004">
      <c r="H71" s="3"/>
      <c r="I71" s="3"/>
      <c r="J71" s="3"/>
      <c r="K71" s="3"/>
    </row>
    <row r="72" spans="1:19" x14ac:dyDescent="0.55000000000000004">
      <c r="A72" s="16" t="s">
        <v>59</v>
      </c>
      <c r="B72" s="3">
        <v>460363</v>
      </c>
      <c r="C72" s="3">
        <v>11036</v>
      </c>
      <c r="D72" s="3">
        <v>9855</v>
      </c>
      <c r="E72" s="8">
        <v>2.4</v>
      </c>
      <c r="F72" s="8">
        <v>2.1</v>
      </c>
      <c r="H72" s="3"/>
      <c r="I72" s="3"/>
      <c r="J72" s="3"/>
      <c r="K72" s="3"/>
    </row>
    <row r="73" spans="1:19" x14ac:dyDescent="0.55000000000000004">
      <c r="A73" s="16" t="s">
        <v>60</v>
      </c>
      <c r="B73" s="3">
        <v>40533</v>
      </c>
      <c r="C73" s="3">
        <v>1751</v>
      </c>
      <c r="D73" s="3">
        <v>929</v>
      </c>
      <c r="E73" s="8">
        <v>4.3</v>
      </c>
      <c r="F73" s="8">
        <v>2.1</v>
      </c>
      <c r="H73" s="3"/>
      <c r="I73" s="3"/>
      <c r="J73" s="3"/>
      <c r="K73" s="3"/>
    </row>
    <row r="74" spans="1:19" x14ac:dyDescent="0.55000000000000004">
      <c r="A74" s="16" t="s">
        <v>61</v>
      </c>
      <c r="B74" s="3">
        <v>497760</v>
      </c>
      <c r="C74" s="3">
        <v>18396</v>
      </c>
      <c r="D74" s="3">
        <v>12028</v>
      </c>
      <c r="E74" s="8">
        <v>3.6</v>
      </c>
      <c r="F74" s="8">
        <v>2.4</v>
      </c>
      <c r="H74" s="3"/>
      <c r="I74" s="3"/>
      <c r="J74" s="3"/>
      <c r="K74" s="3"/>
    </row>
    <row r="75" spans="1:19" x14ac:dyDescent="0.55000000000000004">
      <c r="A75" s="16" t="s">
        <v>80</v>
      </c>
      <c r="B75" s="3">
        <v>74000</v>
      </c>
      <c r="C75" s="3">
        <v>971</v>
      </c>
      <c r="D75" s="3">
        <v>487</v>
      </c>
      <c r="E75" s="8">
        <v>1.3</v>
      </c>
      <c r="F75" s="8">
        <v>0.6</v>
      </c>
      <c r="H75" s="3"/>
      <c r="I75" s="3"/>
      <c r="J75" s="3"/>
      <c r="K75" s="3"/>
    </row>
    <row r="76" spans="1:19" x14ac:dyDescent="0.55000000000000004">
      <c r="A76" s="16" t="s">
        <v>62</v>
      </c>
      <c r="B76" s="3">
        <v>538385</v>
      </c>
      <c r="C76" s="3">
        <v>10235</v>
      </c>
      <c r="D76" s="3">
        <v>11137</v>
      </c>
      <c r="E76" s="8">
        <v>1.9</v>
      </c>
      <c r="F76" s="8">
        <v>2</v>
      </c>
      <c r="H76" s="3"/>
      <c r="I76" s="3"/>
      <c r="J76" s="3"/>
      <c r="K76" s="3"/>
    </row>
    <row r="77" spans="1:19" x14ac:dyDescent="0.55000000000000004">
      <c r="A77" s="16" t="s">
        <v>81</v>
      </c>
      <c r="B77" s="3">
        <v>685945</v>
      </c>
      <c r="C77" s="4" t="s">
        <v>86</v>
      </c>
      <c r="D77" s="4" t="s">
        <v>86</v>
      </c>
      <c r="E77" s="9" t="s">
        <v>86</v>
      </c>
      <c r="F77" s="9" t="s">
        <v>86</v>
      </c>
      <c r="G77" s="9"/>
      <c r="H77" s="3"/>
      <c r="I77" s="3"/>
      <c r="J77" s="3"/>
      <c r="K77" s="3"/>
    </row>
    <row r="78" spans="1:19" x14ac:dyDescent="0.55000000000000004">
      <c r="A78" s="16" t="s">
        <v>82</v>
      </c>
      <c r="B78" s="3">
        <v>1109542</v>
      </c>
      <c r="C78" s="4" t="s">
        <v>86</v>
      </c>
      <c r="D78" s="4" t="s">
        <v>86</v>
      </c>
      <c r="E78" s="9" t="s">
        <v>86</v>
      </c>
      <c r="F78" s="9" t="s">
        <v>86</v>
      </c>
      <c r="G78" s="9"/>
      <c r="H78" s="3"/>
      <c r="I78" s="3"/>
      <c r="J78" s="3"/>
      <c r="K78" s="3"/>
    </row>
    <row r="79" spans="1:19" x14ac:dyDescent="0.55000000000000004">
      <c r="A79" s="16" t="s">
        <v>63</v>
      </c>
      <c r="B79" s="3">
        <v>320075</v>
      </c>
      <c r="C79" s="4" t="s">
        <v>86</v>
      </c>
      <c r="D79" s="4" t="s">
        <v>86</v>
      </c>
      <c r="E79" s="9" t="s">
        <v>86</v>
      </c>
      <c r="F79" s="9" t="s">
        <v>86</v>
      </c>
      <c r="G79" s="9"/>
      <c r="H79" s="3"/>
      <c r="I79" s="3"/>
      <c r="J79" s="3"/>
      <c r="K79" s="3"/>
    </row>
    <row r="80" spans="1:19" x14ac:dyDescent="0.55000000000000004">
      <c r="A80" s="16" t="s">
        <v>64</v>
      </c>
      <c r="B80" s="3">
        <v>525332</v>
      </c>
      <c r="C80" s="3">
        <v>3885</v>
      </c>
      <c r="D80" s="3">
        <v>3400</v>
      </c>
      <c r="E80" s="8">
        <v>1.7</v>
      </c>
      <c r="F80" s="8">
        <v>0.6</v>
      </c>
      <c r="H80" s="3"/>
      <c r="I80" s="3"/>
      <c r="J80" s="3"/>
      <c r="K80" s="3"/>
    </row>
    <row r="81" spans="1:19" x14ac:dyDescent="0.55000000000000004">
      <c r="A81" s="16" t="s">
        <v>65</v>
      </c>
      <c r="B81" s="3">
        <v>808000</v>
      </c>
      <c r="C81" s="4" t="s">
        <v>86</v>
      </c>
      <c r="D81" s="4" t="s">
        <v>86</v>
      </c>
      <c r="E81" s="9" t="s">
        <v>86</v>
      </c>
      <c r="F81" s="9" t="s">
        <v>86</v>
      </c>
      <c r="G81" s="9"/>
      <c r="H81" s="3"/>
      <c r="I81" s="3"/>
      <c r="J81" s="3"/>
      <c r="K81" s="3"/>
    </row>
    <row r="82" spans="1:19" x14ac:dyDescent="0.55000000000000004">
      <c r="A82" s="16" t="s">
        <v>66</v>
      </c>
      <c r="B82" s="3">
        <v>247174</v>
      </c>
      <c r="C82" s="3">
        <v>6298</v>
      </c>
      <c r="D82" s="3">
        <v>3944</v>
      </c>
      <c r="E82" s="8">
        <v>2.5</v>
      </c>
      <c r="F82" s="8">
        <v>1.5</v>
      </c>
      <c r="H82" s="3"/>
      <c r="I82" s="3"/>
      <c r="J82" s="3"/>
      <c r="K82" s="3"/>
    </row>
    <row r="83" spans="1:19" x14ac:dyDescent="0.55000000000000004">
      <c r="A83" s="16" t="s">
        <v>67</v>
      </c>
      <c r="B83" s="3">
        <v>5307109</v>
      </c>
      <c r="C83" s="3">
        <v>52572</v>
      </c>
      <c r="D83" s="3">
        <v>41780</v>
      </c>
      <c r="E83" s="8">
        <v>2.2000000000000002</v>
      </c>
      <c r="F83" s="8">
        <v>1.7</v>
      </c>
      <c r="H83" s="3"/>
      <c r="I83" s="6">
        <f>SUM(B72:B82)</f>
        <v>5307109</v>
      </c>
      <c r="J83" s="6">
        <f>SUM(C72:C82)</f>
        <v>52572</v>
      </c>
      <c r="K83" s="6">
        <f>SUM(D72:D82)</f>
        <v>41780</v>
      </c>
      <c r="L83" s="13">
        <f t="shared" ref="L83" si="8">100*C83/B83</f>
        <v>0.99059582156688319</v>
      </c>
      <c r="M83" s="13">
        <f t="shared" ref="M83" si="9">D83/B83*100</f>
        <v>0.78724593747744775</v>
      </c>
      <c r="O83" s="6">
        <f>B83-I83</f>
        <v>0</v>
      </c>
      <c r="P83" s="6">
        <f>C83-J83</f>
        <v>0</v>
      </c>
      <c r="Q83" s="6">
        <f>D83-K83</f>
        <v>0</v>
      </c>
      <c r="R83" s="14">
        <f t="shared" ref="R83" si="10">E83-L83</f>
        <v>1.2094041784331169</v>
      </c>
      <c r="S83" s="14">
        <f t="shared" ref="S83" si="11">F83-M83</f>
        <v>0.9127540625225522</v>
      </c>
    </row>
    <row r="84" spans="1:19" x14ac:dyDescent="0.55000000000000004">
      <c r="A84" s="16"/>
      <c r="H84" s="3"/>
      <c r="I84" s="3"/>
      <c r="J84" s="3"/>
      <c r="K84" s="3"/>
    </row>
    <row r="85" spans="1:19" x14ac:dyDescent="0.55000000000000004">
      <c r="A85" s="16" t="s">
        <v>105</v>
      </c>
      <c r="B85" s="3">
        <v>23194</v>
      </c>
      <c r="C85" s="3">
        <v>1151</v>
      </c>
      <c r="D85" s="3">
        <v>977</v>
      </c>
      <c r="E85" s="8">
        <v>4.9000000000000004</v>
      </c>
      <c r="F85" s="8">
        <v>4.2</v>
      </c>
      <c r="H85" s="3"/>
      <c r="J85" s="3"/>
      <c r="K85" s="3"/>
    </row>
    <row r="86" spans="1:19" x14ac:dyDescent="0.55000000000000004">
      <c r="A86" s="16" t="s">
        <v>106</v>
      </c>
      <c r="B86" s="3">
        <v>28622</v>
      </c>
      <c r="C86" s="3">
        <v>1303</v>
      </c>
      <c r="D86" s="3">
        <v>872</v>
      </c>
      <c r="E86" s="8">
        <v>4.5</v>
      </c>
      <c r="F86" s="8">
        <v>3</v>
      </c>
      <c r="H86" s="3"/>
      <c r="J86" s="3"/>
      <c r="K86" s="3"/>
    </row>
    <row r="87" spans="1:19" x14ac:dyDescent="0.55000000000000004">
      <c r="A87" s="16"/>
      <c r="H87" s="3"/>
      <c r="J87" s="3"/>
      <c r="K87" s="3"/>
    </row>
    <row r="88" spans="1:19" x14ac:dyDescent="0.55000000000000004">
      <c r="A88" s="16" t="s">
        <v>107</v>
      </c>
      <c r="B88" s="3">
        <f>SUM(B85:B86)</f>
        <v>51816</v>
      </c>
      <c r="C88" s="3">
        <f>SUM(C85:C86)</f>
        <v>2454</v>
      </c>
      <c r="D88" s="3">
        <f>SUM(D85:D86)</f>
        <v>1849</v>
      </c>
      <c r="H88" s="3"/>
      <c r="I88" s="6">
        <f>B88</f>
        <v>51816</v>
      </c>
      <c r="J88" s="6">
        <f>C88</f>
        <v>2454</v>
      </c>
      <c r="K88" s="6">
        <f>D88</f>
        <v>1849</v>
      </c>
      <c r="L88" s="13">
        <f t="shared" ref="L88" si="12">100*C88/B88</f>
        <v>4.7359888837424737</v>
      </c>
      <c r="M88" s="13">
        <f t="shared" ref="M88" si="13">D88/B88*100</f>
        <v>3.5683958622819207</v>
      </c>
      <c r="O88" s="6">
        <f>B88-I88</f>
        <v>0</v>
      </c>
      <c r="P88" s="6">
        <f>C88-J88</f>
        <v>0</v>
      </c>
      <c r="Q88" s="6">
        <f>D88-K88</f>
        <v>0</v>
      </c>
      <c r="R88" s="8"/>
      <c r="S88" s="8"/>
    </row>
    <row r="89" spans="1:19" x14ac:dyDescent="0.55000000000000004">
      <c r="A89" s="16"/>
      <c r="H89" s="3"/>
      <c r="J89" s="3"/>
      <c r="K89" s="3"/>
    </row>
    <row r="90" spans="1:19" x14ac:dyDescent="0.55000000000000004">
      <c r="A90" s="16" t="s">
        <v>108</v>
      </c>
      <c r="B90" s="3">
        <v>91118514</v>
      </c>
      <c r="C90" s="3">
        <v>4043863</v>
      </c>
      <c r="D90" s="3">
        <v>2826438</v>
      </c>
      <c r="E90" s="8">
        <v>4.59</v>
      </c>
      <c r="F90" s="8">
        <v>3.21</v>
      </c>
      <c r="H90" s="3"/>
      <c r="I90" s="6">
        <f>SUM(I70:I86)</f>
        <v>91118564</v>
      </c>
      <c r="J90" s="6">
        <f>SUM(J70:J86)</f>
        <v>4056907</v>
      </c>
      <c r="K90" s="6">
        <f>SUM(K70:K86)</f>
        <v>2838811</v>
      </c>
      <c r="L90" s="13">
        <f t="shared" ref="L90" si="14">100*C90/B90</f>
        <v>4.4380256245179766</v>
      </c>
      <c r="M90" s="13">
        <f t="shared" ref="M90" si="15">D90/B90*100</f>
        <v>3.1019360126966071</v>
      </c>
      <c r="O90" s="6">
        <f>B90-I90</f>
        <v>-50</v>
      </c>
      <c r="P90" s="6">
        <f>C90-J90</f>
        <v>-13044</v>
      </c>
      <c r="Q90" s="6">
        <f>D90-K90</f>
        <v>-12373</v>
      </c>
      <c r="R90" s="14">
        <f t="shared" ref="R90" si="16">E90-L90</f>
        <v>0.15197437548202331</v>
      </c>
      <c r="S90" s="14">
        <f t="shared" ref="S90" si="17">F90-M90</f>
        <v>0.10806398730339284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2026-05-05T15:19:02Z</dcterms:created>
  <dcterms:modified xsi:type="dcterms:W3CDTF">2026-07-13T01:47:51Z</dcterms:modified>
</cp:coreProperties>
</file>