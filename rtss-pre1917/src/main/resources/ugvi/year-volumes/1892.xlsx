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6F5E52F7-3B50-4774-A581-96A8647D0CB9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D8" i="1"/>
  <c r="D5" i="1" s="1"/>
  <c r="C8" i="1"/>
  <c r="C5" i="1" s="1"/>
  <c r="B8" i="1"/>
  <c r="AD8" i="1" s="1"/>
  <c r="AF271" i="1"/>
  <c r="AE271" i="1"/>
  <c r="AF205" i="1"/>
  <c r="AE205" i="1"/>
  <c r="AD205" i="1"/>
  <c r="AF225" i="1"/>
  <c r="AE225" i="1"/>
  <c r="AD225" i="1"/>
  <c r="AF184" i="1"/>
  <c r="AE184" i="1"/>
  <c r="AD184" i="1"/>
  <c r="AF183" i="1"/>
  <c r="AE183" i="1"/>
  <c r="AD183" i="1"/>
  <c r="AF149" i="1"/>
  <c r="AE149" i="1"/>
  <c r="AD149" i="1"/>
  <c r="AF148" i="1"/>
  <c r="AE148" i="1"/>
  <c r="AD148" i="1"/>
  <c r="AF43" i="1"/>
  <c r="AJ43" i="1" s="1"/>
  <c r="AE43" i="1"/>
  <c r="AI43" i="1" s="1"/>
  <c r="AD43" i="1"/>
  <c r="AH43" i="1" s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D271" i="1"/>
  <c r="AH271" i="1" s="1"/>
  <c r="AM261" i="1"/>
  <c r="AP261" i="1" s="1"/>
  <c r="AL261" i="1"/>
  <c r="AO261" i="1" s="1"/>
  <c r="AJ265" i="1"/>
  <c r="AD262" i="1"/>
  <c r="AH262" i="1" s="1"/>
  <c r="AF261" i="1"/>
  <c r="AJ261" i="1" s="1"/>
  <c r="AE261" i="1"/>
  <c r="AI261" i="1" s="1"/>
  <c r="AD261" i="1"/>
  <c r="AH261" i="1" s="1"/>
  <c r="AF258" i="1"/>
  <c r="AJ258" i="1" s="1"/>
  <c r="AE258" i="1"/>
  <c r="AI258" i="1" s="1"/>
  <c r="AD258" i="1"/>
  <c r="AH258" i="1" s="1"/>
  <c r="AD255" i="1"/>
  <c r="AH255" i="1" s="1"/>
  <c r="AF254" i="1"/>
  <c r="AJ254" i="1" s="1"/>
  <c r="AE254" i="1"/>
  <c r="AD254" i="1"/>
  <c r="AH254" i="1" s="1"/>
  <c r="AF251" i="1"/>
  <c r="AJ251" i="1" s="1"/>
  <c r="AE251" i="1"/>
  <c r="AI251" i="1" s="1"/>
  <c r="AD251" i="1"/>
  <c r="AF221" i="1"/>
  <c r="AE221" i="1"/>
  <c r="AD221" i="1"/>
  <c r="AM268" i="1"/>
  <c r="AL268" i="1"/>
  <c r="AF268" i="1"/>
  <c r="AJ268" i="1" s="1"/>
  <c r="AE268" i="1"/>
  <c r="AI268" i="1" s="1"/>
  <c r="AD268" i="1"/>
  <c r="AH268" i="1" s="1"/>
  <c r="AM265" i="1"/>
  <c r="AL265" i="1"/>
  <c r="AF265" i="1"/>
  <c r="AE265" i="1"/>
  <c r="AI265" i="1" s="1"/>
  <c r="AD265" i="1"/>
  <c r="AH265" i="1" s="1"/>
  <c r="AM247" i="1"/>
  <c r="AP247" i="1" s="1"/>
  <c r="AL247" i="1"/>
  <c r="AO247" i="1" s="1"/>
  <c r="AF247" i="1"/>
  <c r="AJ247" i="1" s="1"/>
  <c r="AE247" i="1"/>
  <c r="AI247" i="1" s="1"/>
  <c r="AD247" i="1"/>
  <c r="AH247" i="1" s="1"/>
  <c r="AM244" i="1"/>
  <c r="AP244" i="1" s="1"/>
  <c r="AL244" i="1"/>
  <c r="AO244" i="1" s="1"/>
  <c r="AF244" i="1"/>
  <c r="AJ244" i="1" s="1"/>
  <c r="AE244" i="1"/>
  <c r="AI244" i="1" s="1"/>
  <c r="AD244" i="1"/>
  <c r="AH244" i="1" s="1"/>
  <c r="AM241" i="1"/>
  <c r="AP241" i="1" s="1"/>
  <c r="AL241" i="1"/>
  <c r="AO241" i="1" s="1"/>
  <c r="AF241" i="1"/>
  <c r="AJ241" i="1" s="1"/>
  <c r="AE241" i="1"/>
  <c r="AI241" i="1" s="1"/>
  <c r="AD241" i="1"/>
  <c r="AH241" i="1" s="1"/>
  <c r="AM238" i="1"/>
  <c r="AP238" i="1" s="1"/>
  <c r="AL238" i="1"/>
  <c r="AO238" i="1" s="1"/>
  <c r="AF238" i="1"/>
  <c r="AJ238" i="1" s="1"/>
  <c r="AE238" i="1"/>
  <c r="AI238" i="1" s="1"/>
  <c r="AD238" i="1"/>
  <c r="AH238" i="1" s="1"/>
  <c r="AM235" i="1"/>
  <c r="AL235" i="1"/>
  <c r="AF235" i="1"/>
  <c r="AJ235" i="1" s="1"/>
  <c r="AE235" i="1"/>
  <c r="AI235" i="1" s="1"/>
  <c r="AD235" i="1"/>
  <c r="AH235" i="1" s="1"/>
  <c r="AM232" i="1"/>
  <c r="AP232" i="1" s="1"/>
  <c r="AL232" i="1"/>
  <c r="AO232" i="1" s="1"/>
  <c r="AF232" i="1"/>
  <c r="AJ232" i="1" s="1"/>
  <c r="AE232" i="1"/>
  <c r="AI232" i="1" s="1"/>
  <c r="AD232" i="1"/>
  <c r="AH232" i="1" s="1"/>
  <c r="AM229" i="1"/>
  <c r="AP229" i="1" s="1"/>
  <c r="AL229" i="1"/>
  <c r="AO229" i="1" s="1"/>
  <c r="AF229" i="1"/>
  <c r="AJ229" i="1" s="1"/>
  <c r="AE229" i="1"/>
  <c r="AI229" i="1" s="1"/>
  <c r="AD229" i="1"/>
  <c r="AH229" i="1" s="1"/>
  <c r="AM226" i="1"/>
  <c r="AP226" i="1" s="1"/>
  <c r="AL226" i="1"/>
  <c r="AO226" i="1" s="1"/>
  <c r="AF226" i="1"/>
  <c r="AJ226" i="1" s="1"/>
  <c r="AE226" i="1"/>
  <c r="AI226" i="1" s="1"/>
  <c r="AD226" i="1"/>
  <c r="AH226" i="1" s="1"/>
  <c r="AM221" i="1"/>
  <c r="AP221" i="1" s="1"/>
  <c r="AL221" i="1"/>
  <c r="AO221" i="1" s="1"/>
  <c r="AM218" i="1"/>
  <c r="AP218" i="1" s="1"/>
  <c r="AL218" i="1"/>
  <c r="AO218" i="1" s="1"/>
  <c r="AF218" i="1"/>
  <c r="AJ218" i="1" s="1"/>
  <c r="AE218" i="1"/>
  <c r="AI218" i="1" s="1"/>
  <c r="AD218" i="1"/>
  <c r="AH218" i="1" s="1"/>
  <c r="AM215" i="1"/>
  <c r="AP215" i="1" s="1"/>
  <c r="AL215" i="1"/>
  <c r="AO215" i="1" s="1"/>
  <c r="AF215" i="1"/>
  <c r="AJ215" i="1" s="1"/>
  <c r="AE215" i="1"/>
  <c r="AI215" i="1" s="1"/>
  <c r="AD215" i="1"/>
  <c r="AH215" i="1" s="1"/>
  <c r="AM212" i="1"/>
  <c r="AP212" i="1" s="1"/>
  <c r="AL212" i="1"/>
  <c r="AO212" i="1" s="1"/>
  <c r="AF212" i="1"/>
  <c r="AJ212" i="1" s="1"/>
  <c r="AE212" i="1"/>
  <c r="AI212" i="1" s="1"/>
  <c r="AD212" i="1"/>
  <c r="AH212" i="1" s="1"/>
  <c r="AM209" i="1"/>
  <c r="AP209" i="1" s="1"/>
  <c r="AL209" i="1"/>
  <c r="AO209" i="1" s="1"/>
  <c r="AF209" i="1"/>
  <c r="AJ209" i="1" s="1"/>
  <c r="AE209" i="1"/>
  <c r="AI209" i="1" s="1"/>
  <c r="AD209" i="1"/>
  <c r="AH209" i="1" s="1"/>
  <c r="AM206" i="1"/>
  <c r="AP206" i="1" s="1"/>
  <c r="AL206" i="1"/>
  <c r="AO206" i="1" s="1"/>
  <c r="AF206" i="1"/>
  <c r="AJ206" i="1" s="1"/>
  <c r="AE206" i="1"/>
  <c r="AI206" i="1" s="1"/>
  <c r="AD206" i="1"/>
  <c r="AH206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M199" i="1"/>
  <c r="AP199" i="1" s="1"/>
  <c r="AL199" i="1"/>
  <c r="AO199" i="1" s="1"/>
  <c r="AF199" i="1"/>
  <c r="AJ199" i="1" s="1"/>
  <c r="AE199" i="1"/>
  <c r="AI199" i="1" s="1"/>
  <c r="AD199" i="1"/>
  <c r="AH199" i="1" s="1"/>
  <c r="AM196" i="1"/>
  <c r="AP196" i="1" s="1"/>
  <c r="AL196" i="1"/>
  <c r="AO196" i="1" s="1"/>
  <c r="AF196" i="1"/>
  <c r="AJ196" i="1" s="1"/>
  <c r="AE196" i="1"/>
  <c r="AI196" i="1" s="1"/>
  <c r="AD196" i="1"/>
  <c r="AH196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5" i="1"/>
  <c r="AP185" i="1" s="1"/>
  <c r="AL185" i="1"/>
  <c r="AO185" i="1" s="1"/>
  <c r="AF185" i="1"/>
  <c r="AJ185" i="1" s="1"/>
  <c r="AE185" i="1"/>
  <c r="AI185" i="1" s="1"/>
  <c r="AD185" i="1"/>
  <c r="AH185" i="1" s="1"/>
  <c r="AM180" i="1"/>
  <c r="AP180" i="1" s="1"/>
  <c r="AL180" i="1"/>
  <c r="AO180" i="1" s="1"/>
  <c r="AF180" i="1"/>
  <c r="AJ180" i="1" s="1"/>
  <c r="AE180" i="1"/>
  <c r="AI180" i="1" s="1"/>
  <c r="AD180" i="1"/>
  <c r="AH180" i="1" s="1"/>
  <c r="AM177" i="1"/>
  <c r="AP177" i="1" s="1"/>
  <c r="AL177" i="1"/>
  <c r="AO177" i="1" s="1"/>
  <c r="AF177" i="1"/>
  <c r="AJ177" i="1" s="1"/>
  <c r="AE177" i="1"/>
  <c r="AI177" i="1" s="1"/>
  <c r="AD177" i="1"/>
  <c r="AH177" i="1" s="1"/>
  <c r="AM174" i="1"/>
  <c r="AP174" i="1" s="1"/>
  <c r="AL174" i="1"/>
  <c r="AO174" i="1" s="1"/>
  <c r="AF174" i="1"/>
  <c r="AJ174" i="1" s="1"/>
  <c r="AE174" i="1"/>
  <c r="AI174" i="1" s="1"/>
  <c r="AD174" i="1"/>
  <c r="AH174" i="1" s="1"/>
  <c r="AM171" i="1"/>
  <c r="AP171" i="1" s="1"/>
  <c r="AL171" i="1"/>
  <c r="AO171" i="1" s="1"/>
  <c r="AF171" i="1"/>
  <c r="AJ171" i="1" s="1"/>
  <c r="AE171" i="1"/>
  <c r="AI171" i="1" s="1"/>
  <c r="AD171" i="1"/>
  <c r="AH171" i="1" s="1"/>
  <c r="AM168" i="1"/>
  <c r="AP168" i="1" s="1"/>
  <c r="AL168" i="1"/>
  <c r="AO168" i="1" s="1"/>
  <c r="AF168" i="1"/>
  <c r="AJ168" i="1" s="1"/>
  <c r="AE168" i="1"/>
  <c r="AI168" i="1" s="1"/>
  <c r="AD168" i="1"/>
  <c r="AH168" i="1" s="1"/>
  <c r="AM165" i="1"/>
  <c r="AP165" i="1" s="1"/>
  <c r="AL165" i="1"/>
  <c r="AO165" i="1" s="1"/>
  <c r="AF165" i="1"/>
  <c r="AJ165" i="1" s="1"/>
  <c r="AE165" i="1"/>
  <c r="AI165" i="1" s="1"/>
  <c r="AD165" i="1"/>
  <c r="AH165" i="1" s="1"/>
  <c r="AM162" i="1"/>
  <c r="AP162" i="1" s="1"/>
  <c r="AL162" i="1"/>
  <c r="AO162" i="1" s="1"/>
  <c r="AF162" i="1"/>
  <c r="AJ162" i="1" s="1"/>
  <c r="AE162" i="1"/>
  <c r="AI162" i="1" s="1"/>
  <c r="AD162" i="1"/>
  <c r="AH162" i="1" s="1"/>
  <c r="AM159" i="1"/>
  <c r="AP159" i="1" s="1"/>
  <c r="AL159" i="1"/>
  <c r="AO159" i="1" s="1"/>
  <c r="AF159" i="1"/>
  <c r="AJ159" i="1" s="1"/>
  <c r="AE159" i="1"/>
  <c r="AI159" i="1" s="1"/>
  <c r="AD159" i="1"/>
  <c r="AH159" i="1" s="1"/>
  <c r="AM156" i="1"/>
  <c r="AP156" i="1" s="1"/>
  <c r="AL156" i="1"/>
  <c r="AO156" i="1" s="1"/>
  <c r="AF156" i="1"/>
  <c r="AJ156" i="1" s="1"/>
  <c r="AE156" i="1"/>
  <c r="AI156" i="1" s="1"/>
  <c r="AD156" i="1"/>
  <c r="AH156" i="1" s="1"/>
  <c r="AM153" i="1"/>
  <c r="AP153" i="1" s="1"/>
  <c r="AL153" i="1"/>
  <c r="AO153" i="1" s="1"/>
  <c r="AF153" i="1"/>
  <c r="AJ153" i="1" s="1"/>
  <c r="AE153" i="1"/>
  <c r="AI153" i="1" s="1"/>
  <c r="AD153" i="1"/>
  <c r="AH153" i="1" s="1"/>
  <c r="AM150" i="1"/>
  <c r="AP150" i="1" s="1"/>
  <c r="AL150" i="1"/>
  <c r="AO150" i="1" s="1"/>
  <c r="AF150" i="1"/>
  <c r="AJ150" i="1" s="1"/>
  <c r="AE150" i="1"/>
  <c r="AI150" i="1" s="1"/>
  <c r="AD150" i="1"/>
  <c r="AH150" i="1" s="1"/>
  <c r="AM145" i="1"/>
  <c r="AP145" i="1" s="1"/>
  <c r="AL145" i="1"/>
  <c r="AO145" i="1" s="1"/>
  <c r="AF145" i="1"/>
  <c r="AJ145" i="1" s="1"/>
  <c r="AE145" i="1"/>
  <c r="AI145" i="1" s="1"/>
  <c r="AD145" i="1"/>
  <c r="AH145" i="1" s="1"/>
  <c r="AM142" i="1"/>
  <c r="AP142" i="1" s="1"/>
  <c r="AL142" i="1"/>
  <c r="AO142" i="1" s="1"/>
  <c r="AF142" i="1"/>
  <c r="AJ142" i="1" s="1"/>
  <c r="AE142" i="1"/>
  <c r="AI142" i="1" s="1"/>
  <c r="AD142" i="1"/>
  <c r="AH142" i="1" s="1"/>
  <c r="AM139" i="1"/>
  <c r="AP139" i="1" s="1"/>
  <c r="AL139" i="1"/>
  <c r="AO139" i="1" s="1"/>
  <c r="AF139" i="1"/>
  <c r="AJ139" i="1" s="1"/>
  <c r="AE139" i="1"/>
  <c r="AI139" i="1" s="1"/>
  <c r="AD139" i="1"/>
  <c r="AH139" i="1" s="1"/>
  <c r="AM136" i="1"/>
  <c r="AP136" i="1" s="1"/>
  <c r="AL136" i="1"/>
  <c r="AO136" i="1" s="1"/>
  <c r="AF136" i="1"/>
  <c r="AJ136" i="1" s="1"/>
  <c r="AE136" i="1"/>
  <c r="AI136" i="1" s="1"/>
  <c r="AD136" i="1"/>
  <c r="AH136" i="1" s="1"/>
  <c r="AM133" i="1"/>
  <c r="AP133" i="1" s="1"/>
  <c r="AL133" i="1"/>
  <c r="AO133" i="1" s="1"/>
  <c r="AF133" i="1"/>
  <c r="AJ133" i="1" s="1"/>
  <c r="AE133" i="1"/>
  <c r="AI133" i="1" s="1"/>
  <c r="AD133" i="1"/>
  <c r="AH133" i="1" s="1"/>
  <c r="AM130" i="1"/>
  <c r="AP130" i="1" s="1"/>
  <c r="AL130" i="1"/>
  <c r="AO130" i="1" s="1"/>
  <c r="AF130" i="1"/>
  <c r="AJ130" i="1" s="1"/>
  <c r="AE130" i="1"/>
  <c r="AI130" i="1" s="1"/>
  <c r="AD130" i="1"/>
  <c r="AH130" i="1" s="1"/>
  <c r="AM127" i="1"/>
  <c r="AP127" i="1" s="1"/>
  <c r="AL127" i="1"/>
  <c r="AO127" i="1" s="1"/>
  <c r="AF127" i="1"/>
  <c r="AJ127" i="1" s="1"/>
  <c r="AE127" i="1"/>
  <c r="AI127" i="1" s="1"/>
  <c r="AD127" i="1"/>
  <c r="AH127" i="1" s="1"/>
  <c r="AM124" i="1"/>
  <c r="AP124" i="1" s="1"/>
  <c r="AL124" i="1"/>
  <c r="AO124" i="1" s="1"/>
  <c r="AF124" i="1"/>
  <c r="AJ124" i="1" s="1"/>
  <c r="AE124" i="1"/>
  <c r="AI124" i="1" s="1"/>
  <c r="AD124" i="1"/>
  <c r="AH124" i="1" s="1"/>
  <c r="AM121" i="1"/>
  <c r="AP121" i="1" s="1"/>
  <c r="AL121" i="1"/>
  <c r="AO121" i="1" s="1"/>
  <c r="AF121" i="1"/>
  <c r="AJ121" i="1" s="1"/>
  <c r="AE121" i="1"/>
  <c r="AI121" i="1" s="1"/>
  <c r="AD121" i="1"/>
  <c r="AH121" i="1" s="1"/>
  <c r="AM118" i="1"/>
  <c r="AP118" i="1" s="1"/>
  <c r="AL118" i="1"/>
  <c r="AO118" i="1" s="1"/>
  <c r="AF118" i="1"/>
  <c r="AJ118" i="1" s="1"/>
  <c r="AE118" i="1"/>
  <c r="AI118" i="1" s="1"/>
  <c r="AD118" i="1"/>
  <c r="AH118" i="1" s="1"/>
  <c r="AM115" i="1"/>
  <c r="AP115" i="1" s="1"/>
  <c r="AL115" i="1"/>
  <c r="AO115" i="1" s="1"/>
  <c r="AF115" i="1"/>
  <c r="AJ115" i="1" s="1"/>
  <c r="AE115" i="1"/>
  <c r="AI115" i="1" s="1"/>
  <c r="AD115" i="1"/>
  <c r="AH115" i="1" s="1"/>
  <c r="AM112" i="1"/>
  <c r="AP112" i="1" s="1"/>
  <c r="AL112" i="1"/>
  <c r="AO112" i="1" s="1"/>
  <c r="AF112" i="1"/>
  <c r="AJ112" i="1" s="1"/>
  <c r="AE112" i="1"/>
  <c r="AI112" i="1" s="1"/>
  <c r="AD112" i="1"/>
  <c r="AH112" i="1" s="1"/>
  <c r="AM109" i="1"/>
  <c r="AP109" i="1" s="1"/>
  <c r="AL109" i="1"/>
  <c r="AO109" i="1" s="1"/>
  <c r="AF109" i="1"/>
  <c r="AJ109" i="1" s="1"/>
  <c r="AE109" i="1"/>
  <c r="AI109" i="1" s="1"/>
  <c r="AD109" i="1"/>
  <c r="AH109" i="1" s="1"/>
  <c r="AM106" i="1"/>
  <c r="AP106" i="1" s="1"/>
  <c r="AL106" i="1"/>
  <c r="AO106" i="1" s="1"/>
  <c r="AF106" i="1"/>
  <c r="AJ106" i="1" s="1"/>
  <c r="AE106" i="1"/>
  <c r="AI106" i="1" s="1"/>
  <c r="AD106" i="1"/>
  <c r="AH106" i="1" s="1"/>
  <c r="AM103" i="1"/>
  <c r="AP103" i="1" s="1"/>
  <c r="AL103" i="1"/>
  <c r="AO103" i="1" s="1"/>
  <c r="AF103" i="1"/>
  <c r="AJ103" i="1" s="1"/>
  <c r="AE103" i="1"/>
  <c r="AI103" i="1" s="1"/>
  <c r="AD103" i="1"/>
  <c r="AH103" i="1" s="1"/>
  <c r="AM100" i="1"/>
  <c r="AP100" i="1" s="1"/>
  <c r="AL100" i="1"/>
  <c r="AO100" i="1" s="1"/>
  <c r="AF100" i="1"/>
  <c r="AJ100" i="1" s="1"/>
  <c r="AE100" i="1"/>
  <c r="AI100" i="1" s="1"/>
  <c r="AD100" i="1"/>
  <c r="AH100" i="1" s="1"/>
  <c r="AM97" i="1"/>
  <c r="AP97" i="1" s="1"/>
  <c r="AL97" i="1"/>
  <c r="AO97" i="1" s="1"/>
  <c r="AF97" i="1"/>
  <c r="AJ97" i="1" s="1"/>
  <c r="AE97" i="1"/>
  <c r="AI97" i="1" s="1"/>
  <c r="AD97" i="1"/>
  <c r="AH97" i="1" s="1"/>
  <c r="AM94" i="1"/>
  <c r="AP94" i="1" s="1"/>
  <c r="AL94" i="1"/>
  <c r="AO94" i="1" s="1"/>
  <c r="AF94" i="1"/>
  <c r="AJ94" i="1" s="1"/>
  <c r="AE94" i="1"/>
  <c r="AI94" i="1" s="1"/>
  <c r="AD94" i="1"/>
  <c r="AH94" i="1" s="1"/>
  <c r="AM91" i="1"/>
  <c r="AP91" i="1" s="1"/>
  <c r="AL91" i="1"/>
  <c r="AO91" i="1" s="1"/>
  <c r="AF91" i="1"/>
  <c r="AJ91" i="1" s="1"/>
  <c r="AE91" i="1"/>
  <c r="AI91" i="1" s="1"/>
  <c r="AD91" i="1"/>
  <c r="AH91" i="1" s="1"/>
  <c r="AM88" i="1"/>
  <c r="AP88" i="1" s="1"/>
  <c r="AL88" i="1"/>
  <c r="AO88" i="1" s="1"/>
  <c r="AF88" i="1"/>
  <c r="AJ88" i="1" s="1"/>
  <c r="AE88" i="1"/>
  <c r="AI88" i="1" s="1"/>
  <c r="AD88" i="1"/>
  <c r="AH88" i="1" s="1"/>
  <c r="AM85" i="1"/>
  <c r="AP85" i="1" s="1"/>
  <c r="AL85" i="1"/>
  <c r="AO85" i="1" s="1"/>
  <c r="AF85" i="1"/>
  <c r="AJ85" i="1" s="1"/>
  <c r="AE85" i="1"/>
  <c r="AI85" i="1" s="1"/>
  <c r="AD85" i="1"/>
  <c r="AM81" i="1"/>
  <c r="AP81" i="1" s="1"/>
  <c r="AL81" i="1"/>
  <c r="AO81" i="1" s="1"/>
  <c r="AF81" i="1"/>
  <c r="AJ81" i="1" s="1"/>
  <c r="AE81" i="1"/>
  <c r="AI81" i="1" s="1"/>
  <c r="AD81" i="1"/>
  <c r="AM78" i="1"/>
  <c r="AP78" i="1" s="1"/>
  <c r="AL78" i="1"/>
  <c r="AO78" i="1" s="1"/>
  <c r="AF78" i="1"/>
  <c r="AJ78" i="1" s="1"/>
  <c r="AE78" i="1"/>
  <c r="AI78" i="1" s="1"/>
  <c r="AD78" i="1"/>
  <c r="AH78" i="1" s="1"/>
  <c r="AM75" i="1"/>
  <c r="AP75" i="1" s="1"/>
  <c r="AL75" i="1"/>
  <c r="AO75" i="1" s="1"/>
  <c r="AF75" i="1"/>
  <c r="AJ75" i="1" s="1"/>
  <c r="AE75" i="1"/>
  <c r="AI75" i="1" s="1"/>
  <c r="AD75" i="1"/>
  <c r="AH75" i="1" s="1"/>
  <c r="AM71" i="1"/>
  <c r="AP71" i="1" s="1"/>
  <c r="AL71" i="1"/>
  <c r="AO71" i="1" s="1"/>
  <c r="AF71" i="1"/>
  <c r="AJ71" i="1" s="1"/>
  <c r="AE71" i="1"/>
  <c r="AI71" i="1" s="1"/>
  <c r="AD71" i="1"/>
  <c r="AH71" i="1" s="1"/>
  <c r="AM68" i="1"/>
  <c r="AP68" i="1" s="1"/>
  <c r="AL68" i="1"/>
  <c r="AO68" i="1" s="1"/>
  <c r="AF68" i="1"/>
  <c r="AJ68" i="1" s="1"/>
  <c r="AE68" i="1"/>
  <c r="AI68" i="1" s="1"/>
  <c r="AD68" i="1"/>
  <c r="AH68" i="1" s="1"/>
  <c r="AM65" i="1"/>
  <c r="AP65" i="1" s="1"/>
  <c r="AL65" i="1"/>
  <c r="AO65" i="1" s="1"/>
  <c r="AF65" i="1"/>
  <c r="AJ65" i="1" s="1"/>
  <c r="AE65" i="1"/>
  <c r="AI65" i="1" s="1"/>
  <c r="AD65" i="1"/>
  <c r="AH65" i="1" s="1"/>
  <c r="AM62" i="1"/>
  <c r="AP62" i="1" s="1"/>
  <c r="AL62" i="1"/>
  <c r="AO62" i="1" s="1"/>
  <c r="AF62" i="1"/>
  <c r="AJ62" i="1" s="1"/>
  <c r="AE62" i="1"/>
  <c r="AI62" i="1" s="1"/>
  <c r="AD62" i="1"/>
  <c r="AH62" i="1" s="1"/>
  <c r="AM59" i="1"/>
  <c r="AP59" i="1" s="1"/>
  <c r="AL59" i="1"/>
  <c r="AO59" i="1" s="1"/>
  <c r="AF59" i="1"/>
  <c r="AJ59" i="1" s="1"/>
  <c r="AE59" i="1"/>
  <c r="AI59" i="1" s="1"/>
  <c r="AD59" i="1"/>
  <c r="AH59" i="1" s="1"/>
  <c r="AM56" i="1"/>
  <c r="AP56" i="1" s="1"/>
  <c r="AL56" i="1"/>
  <c r="AO56" i="1" s="1"/>
  <c r="AF56" i="1"/>
  <c r="AJ56" i="1" s="1"/>
  <c r="AE56" i="1"/>
  <c r="AI56" i="1" s="1"/>
  <c r="AD56" i="1"/>
  <c r="AH56" i="1" s="1"/>
  <c r="AM53" i="1"/>
  <c r="AP53" i="1" s="1"/>
  <c r="AL53" i="1"/>
  <c r="AO53" i="1" s="1"/>
  <c r="AF53" i="1"/>
  <c r="AJ53" i="1" s="1"/>
  <c r="AE53" i="1"/>
  <c r="AI53" i="1" s="1"/>
  <c r="AD53" i="1"/>
  <c r="AH53" i="1" s="1"/>
  <c r="AM50" i="1"/>
  <c r="AP50" i="1" s="1"/>
  <c r="AL50" i="1"/>
  <c r="AO50" i="1" s="1"/>
  <c r="AF50" i="1"/>
  <c r="AJ50" i="1" s="1"/>
  <c r="AE50" i="1"/>
  <c r="AI50" i="1" s="1"/>
  <c r="AD50" i="1"/>
  <c r="AH50" i="1" s="1"/>
  <c r="AM47" i="1"/>
  <c r="AP47" i="1" s="1"/>
  <c r="AL47" i="1"/>
  <c r="AO47" i="1" s="1"/>
  <c r="AF47" i="1"/>
  <c r="AJ47" i="1" s="1"/>
  <c r="AE47" i="1"/>
  <c r="AI47" i="1" s="1"/>
  <c r="AD47" i="1"/>
  <c r="AH47" i="1" s="1"/>
  <c r="AM44" i="1"/>
  <c r="AP44" i="1" s="1"/>
  <c r="AL44" i="1"/>
  <c r="AO44" i="1" s="1"/>
  <c r="AF44" i="1"/>
  <c r="AJ44" i="1" s="1"/>
  <c r="AE44" i="1"/>
  <c r="AI44" i="1" s="1"/>
  <c r="AD44" i="1"/>
  <c r="AM39" i="1"/>
  <c r="AP39" i="1" s="1"/>
  <c r="AL39" i="1"/>
  <c r="AO39" i="1" s="1"/>
  <c r="AF39" i="1"/>
  <c r="AJ39" i="1" s="1"/>
  <c r="AE39" i="1"/>
  <c r="AI39" i="1" s="1"/>
  <c r="AD39" i="1"/>
  <c r="AH39" i="1" s="1"/>
  <c r="AM36" i="1"/>
  <c r="AP36" i="1" s="1"/>
  <c r="AL36" i="1"/>
  <c r="AO36" i="1" s="1"/>
  <c r="AF36" i="1"/>
  <c r="AJ36" i="1" s="1"/>
  <c r="AE36" i="1"/>
  <c r="AI36" i="1" s="1"/>
  <c r="AD36" i="1"/>
  <c r="AH36" i="1" s="1"/>
  <c r="AM33" i="1"/>
  <c r="AP33" i="1" s="1"/>
  <c r="AL33" i="1"/>
  <c r="AO33" i="1" s="1"/>
  <c r="AF33" i="1"/>
  <c r="AJ33" i="1" s="1"/>
  <c r="AE33" i="1"/>
  <c r="AI33" i="1" s="1"/>
  <c r="AD33" i="1"/>
  <c r="AH33" i="1" s="1"/>
  <c r="AM30" i="1"/>
  <c r="AP30" i="1" s="1"/>
  <c r="AL30" i="1"/>
  <c r="AO30" i="1" s="1"/>
  <c r="AF30" i="1"/>
  <c r="AJ30" i="1" s="1"/>
  <c r="AE30" i="1"/>
  <c r="AI30" i="1" s="1"/>
  <c r="AD30" i="1"/>
  <c r="AH30" i="1" s="1"/>
  <c r="AM27" i="1"/>
  <c r="AP27" i="1" s="1"/>
  <c r="AL27" i="1"/>
  <c r="AO27" i="1" s="1"/>
  <c r="AF27" i="1"/>
  <c r="AJ27" i="1" s="1"/>
  <c r="AE27" i="1"/>
  <c r="AI27" i="1" s="1"/>
  <c r="AD27" i="1"/>
  <c r="AH27" i="1" s="1"/>
  <c r="AM24" i="1"/>
  <c r="AP24" i="1" s="1"/>
  <c r="AL24" i="1"/>
  <c r="AO24" i="1" s="1"/>
  <c r="AF24" i="1"/>
  <c r="AJ24" i="1" s="1"/>
  <c r="AE24" i="1"/>
  <c r="AI24" i="1" s="1"/>
  <c r="AD24" i="1"/>
  <c r="AH24" i="1" s="1"/>
  <c r="AM21" i="1"/>
  <c r="AP21" i="1" s="1"/>
  <c r="AL21" i="1"/>
  <c r="AO21" i="1" s="1"/>
  <c r="AF21" i="1"/>
  <c r="AJ21" i="1" s="1"/>
  <c r="AE21" i="1"/>
  <c r="AI21" i="1" s="1"/>
  <c r="AD21" i="1"/>
  <c r="AH21" i="1" s="1"/>
  <c r="AM18" i="1"/>
  <c r="AP18" i="1" s="1"/>
  <c r="AL18" i="1"/>
  <c r="AO18" i="1" s="1"/>
  <c r="AF18" i="1"/>
  <c r="AJ18" i="1" s="1"/>
  <c r="AE18" i="1"/>
  <c r="AI18" i="1" s="1"/>
  <c r="AD18" i="1"/>
  <c r="AH18" i="1" s="1"/>
  <c r="AM15" i="1"/>
  <c r="AP15" i="1" s="1"/>
  <c r="AL15" i="1"/>
  <c r="AO15" i="1" s="1"/>
  <c r="AF15" i="1"/>
  <c r="AJ15" i="1" s="1"/>
  <c r="AE15" i="1"/>
  <c r="AI15" i="1" s="1"/>
  <c r="AD15" i="1"/>
  <c r="AH15" i="1" s="1"/>
  <c r="AM12" i="1"/>
  <c r="AP12" i="1" s="1"/>
  <c r="AL12" i="1"/>
  <c r="AO12" i="1" s="1"/>
  <c r="AF12" i="1"/>
  <c r="AJ12" i="1" s="1"/>
  <c r="AE12" i="1"/>
  <c r="AI12" i="1" s="1"/>
  <c r="AD12" i="1"/>
  <c r="AH12" i="1" s="1"/>
  <c r="AF5" i="1"/>
  <c r="AE5" i="1"/>
  <c r="AD5" i="1"/>
  <c r="AM2" i="1"/>
  <c r="AP2" i="1" s="1"/>
  <c r="AL2" i="1"/>
  <c r="AO2" i="1" s="1"/>
  <c r="AF2" i="1"/>
  <c r="AE2" i="1"/>
  <c r="AI2" i="1" s="1"/>
  <c r="AD2" i="1"/>
  <c r="AI5" i="1" l="1"/>
  <c r="AJ5" i="1"/>
  <c r="AD274" i="1"/>
  <c r="AH274" i="1" s="1"/>
  <c r="B5" i="1"/>
  <c r="AL5" i="1" s="1"/>
  <c r="AO5" i="1" s="1"/>
  <c r="AE8" i="1"/>
  <c r="AF8" i="1"/>
  <c r="AD42" i="1"/>
  <c r="AH42" i="1" s="1"/>
  <c r="AD250" i="1"/>
  <c r="AH250" i="1" s="1"/>
  <c r="AE250" i="1"/>
  <c r="AI250" i="1" s="1"/>
  <c r="AD74" i="1"/>
  <c r="AH74" i="1" s="1"/>
  <c r="AD84" i="1"/>
  <c r="AH84" i="1" s="1"/>
  <c r="AF250" i="1"/>
  <c r="AJ250" i="1" s="1"/>
  <c r="AF42" i="1"/>
  <c r="AJ42" i="1" s="1"/>
  <c r="AF84" i="1"/>
  <c r="AJ84" i="1" s="1"/>
  <c r="AH44" i="1"/>
  <c r="AH251" i="1"/>
  <c r="AD191" i="1"/>
  <c r="AH191" i="1" s="1"/>
  <c r="AE274" i="1"/>
  <c r="AI274" i="1" s="1"/>
  <c r="AD195" i="1"/>
  <c r="AH81" i="1"/>
  <c r="AI254" i="1"/>
  <c r="AF74" i="1"/>
  <c r="AJ74" i="1" s="1"/>
  <c r="AE224" i="1"/>
  <c r="AI224" i="1" s="1"/>
  <c r="AJ2" i="1"/>
  <c r="AE74" i="1"/>
  <c r="AI74" i="1" s="1"/>
  <c r="AE42" i="1"/>
  <c r="AF224" i="1"/>
  <c r="AJ224" i="1" s="1"/>
  <c r="AD224" i="1"/>
  <c r="AH224" i="1" s="1"/>
  <c r="AH85" i="1"/>
  <c r="AE191" i="1"/>
  <c r="AI191" i="1" s="1"/>
  <c r="AE84" i="1"/>
  <c r="AI84" i="1" s="1"/>
  <c r="AF191" i="1"/>
  <c r="AJ191" i="1" s="1"/>
  <c r="AH2" i="1"/>
  <c r="AF274" i="1"/>
  <c r="AJ274" i="1" s="1"/>
  <c r="AH5" i="1" l="1"/>
  <c r="AM5" i="1"/>
  <c r="AP5" i="1" s="1"/>
  <c r="AH195" i="1"/>
  <c r="AD275" i="1"/>
  <c r="AH275" i="1" s="1"/>
  <c r="AE195" i="1"/>
  <c r="AI42" i="1"/>
  <c r="AF195" i="1"/>
  <c r="AJ195" i="1" l="1"/>
  <c r="AF275" i="1"/>
  <c r="AJ275" i="1" s="1"/>
  <c r="AI195" i="1"/>
  <c r="AE275" i="1"/>
  <c r="AI275" i="1" s="1"/>
</calcChain>
</file>

<file path=xl/sharedStrings.xml><?xml version="1.0" encoding="utf-8"?>
<sst xmlns="http://schemas.openxmlformats.org/spreadsheetml/2006/main" count="487" uniqueCount="303">
  <si>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</si>
  <si>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</si>
  <si>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</si>
  <si>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</si>
  <si>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</si>
  <si>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</si>
  <si>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</si>
  <si>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1887-1891</t>
  </si>
  <si>
    <t>ср-чр 1887-1891</t>
  </si>
  <si>
    <t>ср-чу 1887-1891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</si>
  <si>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</si>
  <si>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</si>
  <si>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</si>
  <si>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</si>
  <si>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</si>
  <si>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</si>
  <si>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</si>
  <si>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</si>
  <si>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</si>
  <si>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</si>
  <si>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</si>
  <si>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</si>
  <si>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</si>
  <si>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</si>
  <si>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</si>
  <si>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</si>
  <si>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</si>
  <si>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</si>
  <si>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</si>
  <si>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</si>
  <si>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</si>
  <si>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</si>
  <si>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</si>
  <si>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</si>
  <si>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</si>
  <si>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</si>
  <si>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</si>
  <si>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</si>
  <si>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</si>
  <si>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</si>
  <si>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</si>
  <si>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</si>
  <si>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</si>
  <si>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</si>
  <si>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</si>
  <si>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</si>
  <si>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</si>
  <si>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</si>
  <si>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</si>
  <si>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</si>
  <si>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</si>
  <si>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</si>
  <si>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</si>
  <si>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</si>
  <si>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</si>
  <si>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</si>
  <si>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</si>
  <si>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</si>
  <si>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</si>
  <si>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</si>
  <si>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</si>
  <si>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</si>
  <si>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</si>
  <si>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</si>
  <si>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</si>
  <si>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</si>
  <si>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</si>
  <si>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</si>
  <si>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</si>
  <si>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</si>
  <si>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</si>
  <si>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</si>
  <si>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</si>
  <si>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</si>
  <si>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</si>
  <si>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</si>
  <si>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</si>
  <si>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</si>
  <si>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</si>
  <si>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</si>
  <si>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</si>
  <si>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</si>
  <si>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</si>
  <si>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</si>
  <si>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</si>
  <si>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</si>
  <si>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</si>
  <si>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</si>
  <si>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</si>
  <si>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</si>
  <si>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</si>
  <si>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</si>
  <si>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</si>
  <si>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</si>
  <si>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</si>
  <si>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</si>
  <si>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</si>
  <si>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</si>
  <si>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</si>
  <si>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</si>
  <si>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</si>
  <si>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</si>
  <si>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</si>
  <si>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</si>
  <si>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</si>
  <si>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</si>
  <si>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</si>
  <si>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</si>
  <si>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</si>
  <si>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</si>
  <si>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</si>
  <si>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</si>
  <si>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</si>
  <si>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</si>
  <si>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</si>
  <si>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</si>
  <si>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</si>
  <si>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</si>
  <si>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</si>
  <si>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</si>
  <si>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</si>
  <si>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</si>
  <si>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</si>
  <si>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</si>
  <si>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</si>
  <si>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</si>
  <si>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</si>
  <si>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</si>
  <si>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</si>
  <si>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</si>
  <si>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</si>
  <si>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</si>
  <si>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</si>
  <si>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</si>
  <si>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</si>
  <si>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</si>
  <si>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</si>
  <si>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</si>
  <si>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</si>
  <si>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</si>
  <si>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</si>
  <si>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</si>
  <si>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</si>
  <si>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</si>
  <si>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</si>
  <si>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</si>
  <si>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</si>
  <si>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</si>
  <si>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</si>
  <si>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</si>
  <si>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</si>
  <si>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</si>
  <si>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</si>
  <si>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</si>
  <si>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</si>
  <si>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</si>
  <si>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</si>
  <si>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</si>
  <si>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</si>
  <si>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</si>
  <si>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</si>
  <si>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</si>
  <si>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</si>
  <si>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</si>
  <si>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</si>
  <si>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</si>
  <si>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</si>
  <si>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</si>
  <si>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</si>
  <si>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</si>
  <si>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</si>
  <si>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</si>
  <si>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</si>
  <si>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</si>
  <si>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</si>
  <si>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</si>
  <si>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</si>
  <si>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</si>
  <si>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</si>
  <si>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</si>
  <si>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</si>
  <si>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</si>
  <si>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</si>
  <si>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</si>
  <si>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</si>
  <si>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</si>
  <si>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</si>
  <si>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</si>
  <si>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</si>
  <si>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</si>
  <si>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</si>
  <si>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</si>
  <si>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</si>
  <si>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</si>
  <si>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</si>
  <si>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</si>
  <si>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</si>
  <si>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</si>
  <si>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</si>
  <si>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</si>
  <si>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</si>
  <si>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</si>
  <si>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</si>
  <si>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</si>
  <si>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</si>
  <si>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</si>
  <si>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</si>
  <si>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</si>
  <si>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</si>
  <si>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</si>
  <si>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</si>
  <si>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</si>
  <si>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</si>
  <si>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</si>
  <si>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</si>
  <si>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</si>
  <si>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</si>
  <si>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</si>
  <si>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</si>
  <si>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</si>
  <si>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</si>
  <si>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</si>
  <si>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</si>
  <si>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</si>
  <si>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</si>
  <si>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</si>
  <si>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</si>
  <si>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</si>
  <si>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</si>
  <si>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</si>
  <si>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</si>
  <si>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</si>
  <si>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</si>
  <si>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</si>
  <si>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</si>
  <si>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</si>
  <si>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</si>
  <si>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</si>
  <si>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</si>
  <si>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</si>
  <si>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</si>
  <si>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</si>
  <si>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</si>
  <si>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</si>
  <si>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</si>
  <si>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</si>
  <si>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</si>
  <si>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</si>
  <si>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</si>
  <si>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</si>
  <si>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</si>
  <si>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</si>
  <si>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</si>
  <si>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</si>
  <si>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</si>
  <si>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</si>
  <si>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</si>
  <si>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</si>
  <si>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</si>
  <si>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</si>
  <si>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</si>
  <si>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</si>
  <si>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</si>
  <si>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</si>
  <si>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</si>
  <si>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</si>
  <si>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</si>
  <si>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</si>
  <si>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</si>
  <si>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</si>
  <si>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</si>
  <si>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</si>
  <si>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</si>
  <si>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</si>
  <si>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</si>
  <si>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</si>
  <si>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</si>
  <si>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</si>
  <si>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</si>
  <si>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</si>
  <si>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</si>
  <si>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</si>
  <si>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</si>
  <si>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</si>
  <si>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</si>
  <si>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vd-dр</t>
  </si>
  <si>
    <t>vd-чу</t>
  </si>
  <si>
    <t>v-р</t>
  </si>
  <si>
    <t>v-c</t>
  </si>
  <si>
    <t>vd-р</t>
  </si>
  <si>
    <t>vd-c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</si>
  <si>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</si>
  <si>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</si>
  <si>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</si>
  <si>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</si>
  <si>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</si>
  <si>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</si>
  <si>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</si>
  <si>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Число рождений на Кавказе указано 283,282 (ниже числа смертей)</t>
  </si>
  <si>
    <t>однако сумма рождений по губерниям даёт 306,951</t>
  </si>
  <si>
    <t>значения для губерний сходятся с суммой для их уездов (единственно расхождение для Кубанской обл. на 6 человек)</t>
  </si>
  <si>
    <t>Число смертей на Кавказе указано 288,465</t>
  </si>
  <si>
    <t>однако сумма по губерниям даёт 309,999.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</si>
</sst>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0"/>
      <color rgb="FF000000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/>
  </cellStyleXfs>
  <cellXfs count="98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/>
    <xf numFmtId="0" fontId="0" fillId="0" borderId="1" xfId="0"/>
    <xf numFmtId="3" fontId="0" fillId="0" borderId="1" xfId="0" applyNumberFormat="1" applyAlignment="1">
      <alignment horizontal="right" vertical="center"/>
    </xf>
    <xf numFmtId="3" fontId="0" fillId="0" borderId="1" xfId="0" applyNumberFormat="1"/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0" borderId="1" xfId="0" applyNumberFormat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1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Alignment="1">
      <alignment horizontal="left" vertical="center"/>
    </xf>
    <xf numFmtId="3" fontId="0" fillId="2" borderId="1" xfId="0" applyNumberFormat="1" applyFill="1" applyAlignment="1">
      <alignment horizontal="right" vertical="center"/>
    </xf>
    <xf numFmtId="3" fontId="2" fillId="2" borderId="1" xfId="0" applyNumberFormat="1" applyFont="1" applyFill="1" applyAlignment="1">
      <alignment horizontal="right" vertical="center"/>
    </xf>
    <xf numFmtId="0" fontId="0" fillId="2" borderId="1" xfId="0" applyFill="1"/>
    <xf numFmtId="0" fontId="0" fillId="2" borderId="0" xfId="0" applyFill="1" applyBorder="1" applyAlignment="1">
      <alignment horizontal="lef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Border="1"/>
    <xf numFmtId="0" fontId="0" fillId="3" borderId="0" xfId="0" applyFill="1" applyBorder="1" applyAlignment="1">
      <alignment horizontal="left" vertical="center"/>
    </xf>
    <xf numFmtId="3" fontId="0" fillId="3" borderId="0" xfId="0" applyNumberFormat="1" applyFill="1" applyBorder="1" applyAlignment="1">
      <alignment horizontal="right" vertical="center"/>
    </xf>
    <xf numFmtId="0" fontId="0" fillId="3" borderId="0" xfId="0" applyFill="1" applyBorder="1"/>
    <xf numFmtId="0" fontId="0" fillId="3" borderId="1" xfId="0" applyFill="1" applyAlignment="1">
      <alignment horizontal="left" vertical="center"/>
    </xf>
    <xf numFmtId="3" fontId="0" fillId="3" borderId="1" xfId="0" applyNumberFormat="1" applyFill="1" applyAlignment="1">
      <alignment horizontal="right" vertical="center"/>
    </xf>
    <xf numFmtId="0" fontId="0" fillId="3" borderId="1" xfId="0" applyFill="1"/>
    <xf numFmtId="0" fontId="0" fillId="2" borderId="1" xfId="0" applyFill="1" applyAlignment="1">
      <alignment horizontal="left"/>
    </xf>
    <xf numFmtId="3" fontId="0" fillId="2" borderId="1" xfId="0" applyNumberFormat="1" applyFill="1" applyAlignment="1">
      <alignment horizontal="right"/>
    </xf>
    <xf numFmtId="3" fontId="0" fillId="2" borderId="1" xfId="0" applyNumberFormat="1" applyFill="1" applyAlignment="1">
      <alignment horizontal="center" vertical="center"/>
    </xf>
    <xf numFmtId="3" fontId="0" fillId="2" borderId="1" xfId="0" applyNumberFormat="1" applyFill="1"/>
    <xf numFmtId="3" fontId="0" fillId="3" borderId="1" xfId="0" applyNumberFormat="1" applyFill="1" applyAlignment="1">
      <alignment horizontal="right"/>
    </xf>
    <xf numFmtId="0" fontId="0" fillId="4" borderId="0" xfId="0" applyFill="1" applyBorder="1" applyAlignment="1">
      <alignment horizontal="left" vertical="center"/>
    </xf>
    <xf numFmtId="3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0" fontId="0" fillId="6" borderId="1" xfId="0" applyFill="1" applyAlignment="1">
      <alignment horizontal="left"/>
    </xf>
    <xf numFmtId="3" fontId="0" fillId="6" borderId="1" xfId="0" applyNumberFormat="1" applyFill="1" applyAlignment="1">
      <alignment horizontal="right" vertical="center"/>
    </xf>
    <xf numFmtId="3" fontId="0" fillId="6" borderId="1" xfId="0" applyNumberFormat="1" applyFill="1" applyAlignment="1">
      <alignment horizontal="center" vertical="center"/>
    </xf>
    <xf numFmtId="3" fontId="0" fillId="6" borderId="1" xfId="0" applyNumberFormat="1" applyFill="1" applyAlignment="1">
      <alignment horizontal="right"/>
    </xf>
    <xf numFmtId="0" fontId="0" fillId="6" borderId="1" xfId="0" applyFill="1"/>
    <xf numFmtId="3" fontId="0" fillId="7" borderId="1" xfId="0" applyNumberFormat="1" applyFill="1" applyAlignment="1">
      <alignment horizontal="right" vertical="center"/>
    </xf>
    <xf numFmtId="0" fontId="0" fillId="7" borderId="1" xfId="0" applyFill="1"/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/>
    <xf numFmtId="3" fontId="0" fillId="8" borderId="0" xfId="0" applyNumberForma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3" fontId="0" fillId="9" borderId="0" xfId="0" applyNumberFormat="1" applyFill="1" applyBorder="1"/>
    <xf numFmtId="3" fontId="0" fillId="9" borderId="0" xfId="0" applyNumberFormat="1" applyFill="1" applyBorder="1" applyAlignment="1">
      <alignment horizontal="center" vertical="center"/>
    </xf>
    <xf numFmtId="164" fontId="0" fillId="0" borderId="1" xfId="0" applyNumberFormat="1"/>
    <xf numFmtId="164" fontId="0" fillId="0" borderId="1" xfId="0" applyNumberFormat="1" applyAlignment="1">
      <alignment horizontal="right" vertical="center"/>
    </xf>
    <xf numFmtId="164" fontId="0" fillId="2" borderId="1" xfId="0" applyNumberFormat="1" applyFill="1" applyAlignment="1">
      <alignment horizontal="right" vertical="center"/>
    </xf>
    <xf numFmtId="164" fontId="0" fillId="3" borderId="1" xfId="0" applyNumberFormat="1" applyFill="1" applyAlignment="1">
      <alignment horizontal="right" vertical="center"/>
    </xf>
    <xf numFmtId="164" fontId="0" fillId="0" borderId="1" xfId="0" applyNumberFormat="1" applyAlignment="1">
      <alignment horizontal="right"/>
    </xf>
    <xf numFmtId="164" fontId="0" fillId="2" borderId="1" xfId="0" applyNumberFormat="1" applyFill="1" applyAlignment="1">
      <alignment horizontal="right"/>
    </xf>
    <xf numFmtId="164" fontId="0" fillId="3" borderId="1" xfId="0" applyNumberFormat="1" applyFill="1" applyAlignment="1">
      <alignment horizontal="right"/>
    </xf>
    <xf numFmtId="164" fontId="0" fillId="4" borderId="1" xfId="0" applyNumberFormat="1" applyFill="1" applyAlignment="1">
      <alignment horizontal="right" vertical="center"/>
    </xf>
    <xf numFmtId="164" fontId="0" fillId="5" borderId="1" xfId="0" applyNumberFormat="1" applyFill="1" applyAlignment="1">
      <alignment horizontal="right" vertical="center"/>
    </xf>
    <xf numFmtId="164" fontId="0" fillId="6" borderId="1" xfId="0" applyNumberFormat="1" applyFill="1" applyAlignment="1">
      <alignment horizontal="center" vertical="center"/>
    </xf>
    <xf numFmtId="164" fontId="0" fillId="6" borderId="1" xfId="0" applyNumberFormat="1" applyFill="1" applyAlignment="1">
      <alignment horizontal="right" vertical="center"/>
    </xf>
    <xf numFmtId="164" fontId="0" fillId="7" borderId="1" xfId="0" applyNumberFormat="1" applyFill="1" applyAlignment="1">
      <alignment horizontal="right" vertical="center"/>
    </xf>
    <xf numFmtId="164" fontId="0" fillId="8" borderId="1" xfId="0" applyNumberFormat="1" applyFill="1"/>
    <xf numFmtId="164" fontId="0" fillId="8" borderId="1" xfId="0" applyNumberFormat="1" applyFill="1" applyAlignment="1">
      <alignment horizontal="center" vertical="center"/>
    </xf>
    <xf numFmtId="164" fontId="0" fillId="9" borderId="1" xfId="0" applyNumberFormat="1" applyFill="1"/>
    <xf numFmtId="164" fontId="0" fillId="9" borderId="1" xfId="0" applyNumberFormat="1" applyFill="1" applyAlignment="1">
      <alignment horizontal="right" vertical="center"/>
    </xf>
    <xf numFmtId="0" fontId="0" fillId="7" borderId="1" xfId="0" applyFill="1" applyAlignment="1">
      <alignment horizontal="left" vertical="center"/>
    </xf>
    <xf numFmtId="0" fontId="0" fillId="9" borderId="0" xfId="0" applyFill="1" applyBorder="1" applyAlignment="1">
      <alignment horizontal="left"/>
    </xf>
    <xf numFmtId="164" fontId="0" fillId="8" borderId="1" xfId="0" applyNumberFormat="1" applyFill="1" applyAlignment="1">
      <alignment horizontal="center"/>
    </xf>
    <xf numFmtId="3" fontId="1" fillId="0" borderId="1" xfId="0" applyNumberFormat="1" applyFont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3" fontId="1" fillId="10" borderId="0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3" fontId="0" fillId="11" borderId="0" xfId="0" applyNumberFormat="1" applyFill="1" applyBorder="1"/>
    <xf numFmtId="164" fontId="0" fillId="11" borderId="0" xfId="0" applyNumberFormat="1" applyFill="1" applyBorder="1"/>
    <xf numFmtId="0" fontId="0" fillId="11" borderId="0" xfId="0" applyFill="1" applyBorder="1" applyAlignment="1">
      <alignment horizontal="right" vertical="center"/>
    </xf>
    <xf numFmtId="0" fontId="0" fillId="11" borderId="1" xfId="0" applyFill="1" applyAlignment="1">
      <alignment horizontal="right" vertical="center"/>
    </xf>
    <xf numFmtId="3" fontId="0" fillId="11" borderId="0" xfId="0" applyNumberForma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0" fillId="0" borderId="0" xfId="0" applyNumberFormat="1" applyBorder="1"/>
    <xf numFmtId="0" fontId="0" fillId="0" borderId="2" xfId="0" applyBorder="1" applyAlignment="1">
      <alignment horizontal="right" vertical="center"/>
    </xf>
    <xf numFmtId="0" fontId="0" fillId="0" borderId="1" xfId="0" applyAlignment="1">
      <alignment horizontal="right" vertical="center"/>
    </xf>
    <xf numFmtId="164" fontId="0" fillId="12" borderId="0" xfId="0" applyNumberFormat="1" applyFill="1" applyBorder="1"/>
    <xf numFmtId="3" fontId="0" fillId="12" borderId="0" xfId="0" applyNumberFormat="1" applyFill="1" applyBorder="1"/>
    <xf numFmtId="3" fontId="4" fillId="12" borderId="0" xfId="0" applyNumberFormat="1" applyFont="1" applyFill="1" applyBorder="1" applyAlignment="1">
      <alignment vertical="center"/>
    </xf>
    <xf numFmtId="3" fontId="0" fillId="11" borderId="0" xfId="0" applyNumberFormat="1" applyFill="1" applyBorder="1" applyAlignment="1">
      <alignment horizontal="center"/>
    </xf>
    <xf numFmtId="3" fontId="0" fillId="12" borderId="0" xfId="0" applyNumberFormat="1" applyFill="1" applyBorder="1" applyAlignment="1">
      <alignment horizontal="right" vertical="center"/>
    </xf>
    <xf numFmtId="0" fontId="0" fillId="11" borderId="1" xfId="0" applyFill="1" applyAlignment="1">
      <alignment horizontal="left" vertical="center"/>
    </xf>
    <xf numFmtId="0" fontId="0" fillId="11" borderId="1" xfId="0" applyFill="1"/>
    <xf numFmtId="164" fontId="0" fillId="11" borderId="1" xfId="0" applyNumberFormat="1" applyFill="1"/>
    <xf numFmtId="3" fontId="0" fillId="11" borderId="1" xfId="0" applyNumberFormat="1" applyFill="1" applyAlignment="1">
      <alignment horizontal="right" vertical="center"/>
    </xf>
    <xf numFmtId="3" fontId="0" fillId="11" borderId="1" xfId="0" applyNumberFormat="1" applyFill="1" applyAlignment="1">
      <alignment horizontal="center" vertical="center"/>
    </xf>
    <xf numFmtId="3" fontId="0" fillId="11" borderId="1" xfId="0" applyNumberFormat="1" applyFill="1"/>
    <xf numFmtId="3" fontId="0" fillId="13" borderId="1" xfId="0" applyNumberFormat="1" applyFill="1" applyAlignment="1">
      <alignment horizontal="right" vertical="center"/>
    </xf>
    <xf numFmtId="3" fontId="0" fillId="13" borderId="0" xfId="0" applyNumberFormat="1" applyFill="1" applyBorder="1" applyAlignment="1">
      <alignment horizontal="right" vertical="center"/>
    </xf>
    <xf numFmtId="3" fontId="0" fillId="13" borderId="1" xfId="0" applyNumberFormat="1" applyFill="1" applyAlignment="1">
      <alignment horizontal="right"/>
    </xf>
    <xf numFmtId="3" fontId="1" fillId="10" borderId="0" xfId="0" applyNumberFormat="1" applyFont="1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2B23-B2BB-42CB-9B01-E5EFB175E3FB}">
  <dimension ref="A1:A6"/>
  <sheetViews>
    <sheetView workbookViewId="0">
      <selection activeCell="G35" sqref="G35"/>
    </sheetView>
  </sheetViews>
  <sheetFormatPr defaultRowHeight="14.4"/>
  <cols>
    <col min="1" max="16384" width="8.83984375" style="4"/>
  </cols>
  <sheetData>
    <row r="1" spans="1:1">
      <c r="A1" s="4" t="s">
        <v>298</v>
      </c>
    </row>
    <row r="2" spans="1:1">
      <c r="A2" s="4" t="s">
        <v>299</v>
      </c>
    </row>
    <row r="3" spans="1:1">
      <c r="A3" s="4" t="s">
        <v>300</v>
      </c>
    </row>
    <row r="5" spans="1:1">
      <c r="A5" s="4" t="s">
        <v>301</v>
      </c>
    </row>
    <row r="6" spans="1:1">
      <c r="A6" s="4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tabSelected="1" workbookViewId="0">
      <pane xSplit="1" ySplit="1" topLeftCell="N161" activePane="bottomRight" state="frozen"/>
      <selection pane="topRight" activeCell="B1" sqref="B1"/>
      <selection pane="bottomLeft" activeCell="A2" sqref="A2"/>
      <selection pane="bottomRight" activeCell="AU164" sqref="AU164"/>
    </sheetView>
  </sheetViews>
  <sheetFormatPr defaultColWidth="12" defaultRowHeight="14.4"/>
  <cols>
    <col min="1" max="1" width="31.5234375" style="1" bestFit="1" customWidth="1"/>
    <col min="2" max="2" width="10.62890625" style="2" bestFit="1" customWidth="1"/>
    <col min="3" max="4" width="8.62890625" bestFit="1" customWidth="1"/>
    <col min="5" max="5" width="10.47265625" style="2" bestFit="1" customWidth="1"/>
    <col min="6" max="6" width="8.734375" style="2" bestFit="1" customWidth="1"/>
    <col min="7" max="7" width="8.62890625" style="2" bestFit="1" customWidth="1"/>
    <col min="8" max="8" width="14.5234375" style="2" bestFit="1" customWidth="1"/>
    <col min="9" max="9" width="14.15625" style="2" bestFit="1" customWidth="1"/>
    <col min="10" max="10" width="14.05078125" style="2" bestFit="1" customWidth="1"/>
    <col min="11" max="11" width="4.41796875" style="5" bestFit="1" customWidth="1"/>
    <col min="12" max="12" width="4.15625" style="5" bestFit="1" customWidth="1"/>
    <col min="13" max="13" width="2.62890625" style="5" customWidth="1"/>
    <col min="14" max="15" width="7.15625" style="2" bestFit="1" customWidth="1"/>
    <col min="16" max="17" width="7.15625" bestFit="1" customWidth="1"/>
    <col min="18" max="18" width="7.15625" style="2" bestFit="1" customWidth="1"/>
    <col min="19" max="20" width="7.15625" bestFit="1" customWidth="1"/>
    <col min="21" max="22" width="7.15625" style="2" bestFit="1" customWidth="1"/>
    <col min="23" max="26" width="7.15625" bestFit="1" customWidth="1"/>
    <col min="27" max="27" width="7.15625" style="1" bestFit="1" customWidth="1"/>
    <col min="28" max="28" width="7.15625" bestFit="1" customWidth="1"/>
    <col min="29" max="29" width="2.734375" style="1" customWidth="1"/>
    <col min="30" max="30" width="10.20703125" style="1" bestFit="1" customWidth="1"/>
    <col min="31" max="32" width="8.62890625" style="1" bestFit="1" customWidth="1"/>
    <col min="33" max="33" width="2.7890625" style="1" customWidth="1"/>
    <col min="34" max="34" width="9.20703125" style="1" bestFit="1" customWidth="1"/>
    <col min="35" max="35" width="7.15625" style="1" bestFit="1" customWidth="1"/>
    <col min="36" max="36" width="6.734375" style="1" bestFit="1" customWidth="1"/>
    <col min="37" max="37" width="3" style="1" customWidth="1"/>
    <col min="38" max="39" width="4.15625" style="1" bestFit="1" customWidth="1"/>
    <col min="40" max="40" width="3.05078125" style="1" customWidth="1"/>
    <col min="41" max="42" width="4.7890625" style="1" bestFit="1" customWidth="1"/>
    <col min="43" max="16384" width="12" style="1"/>
  </cols>
  <sheetData>
    <row r="1" spans="1:42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1" t="s">
        <v>279</v>
      </c>
      <c r="L1" s="71" t="s">
        <v>280</v>
      </c>
      <c r="M1" s="68"/>
      <c r="N1" s="96" t="s">
        <v>10</v>
      </c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D1" s="72" t="s">
        <v>281</v>
      </c>
      <c r="AE1" s="72" t="s">
        <v>282</v>
      </c>
      <c r="AF1" s="72" t="s">
        <v>283</v>
      </c>
      <c r="AH1" s="72" t="s">
        <v>284</v>
      </c>
      <c r="AI1" s="72" t="s">
        <v>285</v>
      </c>
      <c r="AJ1" s="72" t="s">
        <v>286</v>
      </c>
      <c r="AL1" s="72" t="s">
        <v>287</v>
      </c>
      <c r="AM1" s="72" t="s">
        <v>288</v>
      </c>
      <c r="AN1" s="78"/>
      <c r="AO1" s="72" t="s">
        <v>289</v>
      </c>
      <c r="AP1" s="72" t="s">
        <v>290</v>
      </c>
    </row>
    <row r="2" spans="1:42" customFormat="1">
      <c r="A2" s="14" t="s">
        <v>11</v>
      </c>
      <c r="B2" s="15">
        <v>363206</v>
      </c>
      <c r="C2" s="15">
        <v>12924</v>
      </c>
      <c r="D2" s="15">
        <v>9524</v>
      </c>
      <c r="E2" s="16">
        <v>17626</v>
      </c>
      <c r="F2" s="15">
        <v>571</v>
      </c>
      <c r="G2" s="15">
        <v>672</v>
      </c>
      <c r="H2" s="16">
        <v>350367</v>
      </c>
      <c r="I2" s="15">
        <v>13637</v>
      </c>
      <c r="J2" s="15">
        <v>8822</v>
      </c>
      <c r="K2" s="51">
        <v>35.6</v>
      </c>
      <c r="L2" s="51">
        <v>26.2</v>
      </c>
      <c r="M2" s="5"/>
      <c r="N2" s="15">
        <v>53900</v>
      </c>
      <c r="O2" s="15">
        <v>60561</v>
      </c>
      <c r="P2" s="15">
        <v>53591</v>
      </c>
      <c r="Q2" s="15">
        <v>40534</v>
      </c>
      <c r="R2" s="15">
        <v>29746</v>
      </c>
      <c r="S2" s="15">
        <v>40645</v>
      </c>
      <c r="T2" s="15">
        <v>84229</v>
      </c>
      <c r="U2" s="17"/>
      <c r="V2" s="17"/>
      <c r="W2" s="17"/>
      <c r="X2" s="17"/>
      <c r="Y2" s="17"/>
      <c r="Z2" s="17"/>
      <c r="AA2" s="17"/>
      <c r="AB2" s="17"/>
      <c r="AD2" s="73">
        <f>SUM(N2:AB2)</f>
        <v>363206</v>
      </c>
      <c r="AE2" s="73">
        <f>SUM(N3:AB3)</f>
        <v>12924</v>
      </c>
      <c r="AF2" s="73">
        <f>SUM(N4:AB4)</f>
        <v>9524</v>
      </c>
      <c r="AH2" s="73">
        <f>AD2-B2</f>
        <v>0</v>
      </c>
      <c r="AI2" s="73">
        <f>AE2-C2</f>
        <v>0</v>
      </c>
      <c r="AJ2" s="73">
        <f>AF2-D2</f>
        <v>0</v>
      </c>
      <c r="AL2" s="74">
        <f>C2/B2*1000</f>
        <v>35.583112613778411</v>
      </c>
      <c r="AM2" s="74">
        <f>D2/B2*1000</f>
        <v>26.222033776975049</v>
      </c>
      <c r="AN2" s="79"/>
      <c r="AO2" s="74">
        <f>AL2-K2</f>
        <v>-1.6887386221590361E-2</v>
      </c>
      <c r="AP2" s="74">
        <f>AM2-L2</f>
        <v>2.2033776975050046E-2</v>
      </c>
    </row>
    <row r="3" spans="1:42" customFormat="1">
      <c r="A3" s="12" t="s">
        <v>12</v>
      </c>
      <c r="B3" s="4"/>
      <c r="C3" s="4"/>
      <c r="D3" s="4"/>
      <c r="E3" s="4"/>
      <c r="F3" s="4"/>
      <c r="G3" s="4"/>
      <c r="H3" s="4"/>
      <c r="I3" s="4"/>
      <c r="J3" s="4"/>
      <c r="K3" s="49"/>
      <c r="L3" s="49"/>
      <c r="M3" s="4"/>
      <c r="N3" s="5">
        <v>1871</v>
      </c>
      <c r="O3" s="5">
        <v>1386</v>
      </c>
      <c r="P3" s="5">
        <v>2465</v>
      </c>
      <c r="Q3" s="5">
        <v>1491</v>
      </c>
      <c r="R3" s="5">
        <v>1138</v>
      </c>
      <c r="S3" s="5">
        <v>1433</v>
      </c>
      <c r="T3" s="5">
        <v>3140</v>
      </c>
      <c r="U3" s="4"/>
      <c r="V3" s="4"/>
      <c r="W3" s="4"/>
      <c r="X3" s="4"/>
      <c r="Y3" s="4"/>
      <c r="Z3" s="4"/>
      <c r="AA3" s="4"/>
      <c r="AB3" s="4"/>
    </row>
    <row r="4" spans="1:42" customFormat="1">
      <c r="A4" s="12" t="s">
        <v>13</v>
      </c>
      <c r="B4" s="4"/>
      <c r="C4" s="4"/>
      <c r="D4" s="4"/>
      <c r="E4" s="4"/>
      <c r="F4" s="4"/>
      <c r="G4" s="4"/>
      <c r="H4" s="4"/>
      <c r="I4" s="4"/>
      <c r="J4" s="4"/>
      <c r="K4" s="49"/>
      <c r="L4" s="49"/>
      <c r="M4" s="4"/>
      <c r="N4" s="5">
        <v>1682</v>
      </c>
      <c r="O4" s="5">
        <v>1172</v>
      </c>
      <c r="P4" s="5">
        <v>1634</v>
      </c>
      <c r="Q4" s="5">
        <v>1009</v>
      </c>
      <c r="R4" s="5">
        <v>793</v>
      </c>
      <c r="S4" s="5">
        <v>968</v>
      </c>
      <c r="T4" s="5">
        <v>2266</v>
      </c>
      <c r="U4" s="4"/>
      <c r="V4" s="4"/>
      <c r="W4" s="4"/>
      <c r="X4" s="4"/>
      <c r="Y4" s="4"/>
      <c r="Z4" s="4"/>
      <c r="AA4" s="4"/>
      <c r="AB4" s="4"/>
    </row>
    <row r="5" spans="1:42" customFormat="1">
      <c r="A5" s="14" t="s">
        <v>291</v>
      </c>
      <c r="B5" s="15">
        <f>923941-B8</f>
        <v>531805</v>
      </c>
      <c r="C5" s="15">
        <f>31603-C8</f>
        <v>28798</v>
      </c>
      <c r="D5" s="15">
        <f>44844-D8</f>
        <v>41608</v>
      </c>
      <c r="E5" s="16">
        <v>119717</v>
      </c>
      <c r="F5" s="15">
        <v>5205</v>
      </c>
      <c r="G5" s="15">
        <v>10602</v>
      </c>
      <c r="H5" s="16">
        <v>873326</v>
      </c>
      <c r="I5" s="15">
        <v>28600</v>
      </c>
      <c r="J5" s="15">
        <v>20723</v>
      </c>
      <c r="K5" s="51">
        <v>54.2</v>
      </c>
      <c r="L5" s="51">
        <v>78.400000000000006</v>
      </c>
      <c r="M5" s="5"/>
      <c r="N5" s="15">
        <v>163328</v>
      </c>
      <c r="O5" s="15">
        <v>66376</v>
      </c>
      <c r="P5" s="15">
        <v>34247</v>
      </c>
      <c r="Q5" s="15">
        <v>89415</v>
      </c>
      <c r="R5" s="15">
        <v>178439</v>
      </c>
      <c r="S5" s="15"/>
      <c r="T5" s="15"/>
      <c r="U5" s="17"/>
      <c r="V5" s="17"/>
      <c r="W5" s="17"/>
      <c r="X5" s="17"/>
      <c r="Y5" s="17"/>
      <c r="Z5" s="17"/>
      <c r="AA5" s="17"/>
      <c r="AB5" s="17"/>
      <c r="AD5" s="73">
        <f>SUM(N5:AB5)</f>
        <v>531805</v>
      </c>
      <c r="AE5" s="73">
        <f>SUM(N6:AB6)</f>
        <v>28798</v>
      </c>
      <c r="AF5" s="73">
        <f>SUM(N7:AB7)</f>
        <v>41608</v>
      </c>
      <c r="AH5" s="73">
        <f>AD5-B5</f>
        <v>0</v>
      </c>
      <c r="AI5" s="73">
        <f>AE5-C5</f>
        <v>0</v>
      </c>
      <c r="AJ5" s="73">
        <f>AF5-D5</f>
        <v>0</v>
      </c>
      <c r="AL5" s="74">
        <f>C5/B5*1000</f>
        <v>54.151427684959714</v>
      </c>
      <c r="AM5" s="74">
        <f>D5/B5*1000</f>
        <v>78.23920421959177</v>
      </c>
      <c r="AN5" s="79"/>
      <c r="AO5" s="74">
        <f>AL5-K5</f>
        <v>-4.8572315040289027E-2</v>
      </c>
      <c r="AP5" s="74">
        <f>AM5-L5</f>
        <v>-0.16079578040823606</v>
      </c>
    </row>
    <row r="6" spans="1:42" customFormat="1">
      <c r="A6" s="12" t="s">
        <v>292</v>
      </c>
      <c r="B6" s="4"/>
      <c r="C6" s="4"/>
      <c r="D6" s="4"/>
      <c r="E6" s="4"/>
      <c r="F6" s="4"/>
      <c r="G6" s="4"/>
      <c r="H6" s="4"/>
      <c r="I6" s="4"/>
      <c r="J6" s="4"/>
      <c r="K6" s="49"/>
      <c r="L6" s="49"/>
      <c r="M6" s="4"/>
      <c r="N6" s="5">
        <v>7864</v>
      </c>
      <c r="O6" s="5">
        <v>3115</v>
      </c>
      <c r="P6" s="5">
        <v>1996</v>
      </c>
      <c r="Q6" s="5">
        <v>5116</v>
      </c>
      <c r="R6" s="5">
        <v>10707</v>
      </c>
      <c r="S6" s="10"/>
      <c r="T6" s="5"/>
      <c r="U6" s="4"/>
      <c r="V6" s="4"/>
      <c r="W6" s="4"/>
      <c r="X6" s="4"/>
      <c r="Y6" s="4"/>
      <c r="Z6" s="4"/>
      <c r="AA6" s="4"/>
      <c r="AB6" s="4"/>
    </row>
    <row r="7" spans="1:42" customFormat="1">
      <c r="A7" s="12" t="s">
        <v>293</v>
      </c>
      <c r="B7" s="4"/>
      <c r="C7" s="4"/>
      <c r="D7" s="4"/>
      <c r="E7" s="4"/>
      <c r="F7" s="4"/>
      <c r="G7" s="4"/>
      <c r="H7" s="4"/>
      <c r="I7" s="4"/>
      <c r="J7" s="4"/>
      <c r="K7" s="49"/>
      <c r="L7" s="49"/>
      <c r="M7" s="4"/>
      <c r="N7" s="5">
        <v>14566</v>
      </c>
      <c r="O7" s="5">
        <v>4417</v>
      </c>
      <c r="P7" s="5">
        <v>2860</v>
      </c>
      <c r="Q7" s="5">
        <v>6173</v>
      </c>
      <c r="R7" s="5">
        <v>13592</v>
      </c>
      <c r="S7" s="10"/>
      <c r="T7" s="5"/>
      <c r="U7" s="4"/>
      <c r="V7" s="4"/>
      <c r="W7" s="4"/>
      <c r="X7" s="4"/>
      <c r="Y7" s="4"/>
      <c r="Z7" s="4"/>
      <c r="AA7" s="4"/>
      <c r="AB7" s="4"/>
    </row>
    <row r="8" spans="1:42" s="4" customFormat="1">
      <c r="A8" s="87" t="s">
        <v>294</v>
      </c>
      <c r="B8" s="92">
        <f>SUM(N8:O8)</f>
        <v>392136</v>
      </c>
      <c r="C8" s="92">
        <f>SUM(N9:O9)</f>
        <v>2805</v>
      </c>
      <c r="D8" s="92">
        <f>SUM(N10:O10)</f>
        <v>3236</v>
      </c>
      <c r="E8" s="88"/>
      <c r="F8" s="88"/>
      <c r="G8" s="88"/>
      <c r="H8" s="88"/>
      <c r="I8" s="88"/>
      <c r="J8" s="88"/>
      <c r="K8" s="89"/>
      <c r="L8" s="89"/>
      <c r="N8" s="15">
        <v>134206</v>
      </c>
      <c r="O8" s="15">
        <v>257930</v>
      </c>
      <c r="P8" s="90"/>
      <c r="Q8" s="90"/>
      <c r="R8" s="90"/>
      <c r="S8" s="91"/>
      <c r="T8" s="90"/>
      <c r="U8" s="88"/>
      <c r="V8" s="88"/>
      <c r="W8" s="88"/>
      <c r="X8" s="88"/>
      <c r="Y8" s="88"/>
      <c r="Z8" s="88"/>
      <c r="AA8" s="88"/>
      <c r="AB8" s="88"/>
      <c r="AD8" s="92">
        <f>B8</f>
        <v>392136</v>
      </c>
      <c r="AE8" s="92">
        <f>C8</f>
        <v>2805</v>
      </c>
      <c r="AF8" s="92">
        <f>D8</f>
        <v>3236</v>
      </c>
      <c r="AH8" s="88"/>
      <c r="AI8" s="88"/>
      <c r="AJ8" s="88"/>
      <c r="AL8" s="88"/>
      <c r="AM8" s="88"/>
      <c r="AO8" s="88"/>
      <c r="AP8" s="88"/>
    </row>
    <row r="9" spans="1:42" s="4" customFormat="1">
      <c r="A9" s="12" t="s">
        <v>295</v>
      </c>
      <c r="K9" s="49"/>
      <c r="L9" s="49"/>
      <c r="N9" s="10" t="s">
        <v>14</v>
      </c>
      <c r="O9" s="5">
        <v>2805</v>
      </c>
      <c r="P9" s="5"/>
      <c r="Q9" s="5"/>
      <c r="R9" s="5"/>
      <c r="S9" s="10"/>
      <c r="T9" s="5"/>
    </row>
    <row r="10" spans="1:42" s="4" customFormat="1">
      <c r="A10" s="12" t="s">
        <v>296</v>
      </c>
      <c r="K10" s="49"/>
      <c r="L10" s="49"/>
      <c r="N10" s="10" t="s">
        <v>14</v>
      </c>
      <c r="O10" s="5">
        <v>3236</v>
      </c>
      <c r="P10" s="5"/>
      <c r="Q10" s="5"/>
      <c r="R10" s="5"/>
      <c r="S10" s="10"/>
      <c r="T10" s="5"/>
    </row>
    <row r="11" spans="1:42" s="4" customFormat="1">
      <c r="A11" s="12" t="s">
        <v>297</v>
      </c>
      <c r="B11" s="6">
        <f>SUM(B5:B10)</f>
        <v>923941</v>
      </c>
      <c r="C11" s="6">
        <f>SUM(C5:C10)</f>
        <v>31603</v>
      </c>
      <c r="D11" s="6">
        <f>SUM(D5:D10)</f>
        <v>44844</v>
      </c>
      <c r="K11" s="49"/>
      <c r="L11" s="49"/>
      <c r="N11" s="10"/>
      <c r="O11" s="5"/>
      <c r="P11" s="5"/>
      <c r="Q11" s="5"/>
      <c r="R11" s="5"/>
      <c r="S11" s="10"/>
      <c r="T11" s="5"/>
    </row>
    <row r="12" spans="1:42" customFormat="1">
      <c r="A12" s="14" t="s">
        <v>15</v>
      </c>
      <c r="B12" s="15">
        <v>1373416</v>
      </c>
      <c r="C12" s="15">
        <v>57379</v>
      </c>
      <c r="D12" s="15">
        <v>41040</v>
      </c>
      <c r="E12" s="16">
        <v>144905</v>
      </c>
      <c r="F12" s="15">
        <v>5214</v>
      </c>
      <c r="G12" s="15">
        <v>4618</v>
      </c>
      <c r="H12" s="16">
        <v>1339861</v>
      </c>
      <c r="I12" s="15">
        <v>56361</v>
      </c>
      <c r="J12" s="15">
        <v>34040</v>
      </c>
      <c r="K12" s="51">
        <v>41.8</v>
      </c>
      <c r="L12" s="51">
        <v>29.9</v>
      </c>
      <c r="M12" s="5"/>
      <c r="N12" s="15">
        <v>303868</v>
      </c>
      <c r="O12" s="15">
        <v>200903</v>
      </c>
      <c r="P12" s="15">
        <v>183164</v>
      </c>
      <c r="Q12" s="15">
        <v>177512</v>
      </c>
      <c r="R12" s="15">
        <v>210047</v>
      </c>
      <c r="S12" s="15">
        <v>158814</v>
      </c>
      <c r="T12" s="15">
        <v>139108</v>
      </c>
      <c r="U12" s="17"/>
      <c r="V12" s="17"/>
      <c r="W12" s="17"/>
      <c r="X12" s="17"/>
      <c r="Y12" s="17"/>
      <c r="Z12" s="17"/>
      <c r="AA12" s="17"/>
      <c r="AB12" s="17"/>
      <c r="AD12" s="73">
        <f>SUM(N12:AB12)</f>
        <v>1373416</v>
      </c>
      <c r="AE12" s="73">
        <f>SUM(N13:AB13)</f>
        <v>57379</v>
      </c>
      <c r="AF12" s="73">
        <f>SUM(N14:AB14)</f>
        <v>41040</v>
      </c>
      <c r="AH12" s="73">
        <f>AD12-B12</f>
        <v>0</v>
      </c>
      <c r="AI12" s="73">
        <f>AE12-C12</f>
        <v>0</v>
      </c>
      <c r="AJ12" s="73">
        <f>AF12-D12</f>
        <v>0</v>
      </c>
      <c r="AL12" s="74">
        <f>C12/B12*1000</f>
        <v>41.778310431799248</v>
      </c>
      <c r="AM12" s="74">
        <f>D12/B12*1000</f>
        <v>29.881696441573421</v>
      </c>
      <c r="AN12" s="79"/>
      <c r="AO12" s="74">
        <f>AL12-K12</f>
        <v>-2.1689568200748965E-2</v>
      </c>
      <c r="AP12" s="74">
        <f>AM12-L12</f>
        <v>-1.8303558426577382E-2</v>
      </c>
    </row>
    <row r="13" spans="1:42" customFormat="1">
      <c r="A13" s="12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9"/>
      <c r="L13" s="49"/>
      <c r="M13" s="4"/>
      <c r="N13" s="5">
        <v>12073</v>
      </c>
      <c r="O13" s="5">
        <v>8131</v>
      </c>
      <c r="P13" s="5">
        <v>7438</v>
      </c>
      <c r="Q13" s="5">
        <v>7954</v>
      </c>
      <c r="R13" s="5">
        <v>8396</v>
      </c>
      <c r="S13" s="5">
        <v>6475</v>
      </c>
      <c r="T13" s="5">
        <v>6912</v>
      </c>
      <c r="U13" s="4"/>
      <c r="V13" s="4"/>
      <c r="W13" s="4"/>
      <c r="X13" s="4"/>
      <c r="Y13" s="4"/>
      <c r="Z13" s="4"/>
      <c r="AA13" s="4"/>
      <c r="AB13" s="4"/>
    </row>
    <row r="14" spans="1:42" customFormat="1">
      <c r="A14" s="12" t="s">
        <v>17</v>
      </c>
      <c r="B14" s="4"/>
      <c r="C14" s="4"/>
      <c r="D14" s="4"/>
      <c r="E14" s="4"/>
      <c r="F14" s="4"/>
      <c r="G14" s="4"/>
      <c r="H14" s="4"/>
      <c r="I14" s="4"/>
      <c r="J14" s="4"/>
      <c r="K14" s="49"/>
      <c r="L14" s="49"/>
      <c r="M14" s="4"/>
      <c r="N14" s="5">
        <v>8683</v>
      </c>
      <c r="O14" s="5">
        <v>4887</v>
      </c>
      <c r="P14" s="5">
        <v>5469</v>
      </c>
      <c r="Q14" s="5">
        <v>5364</v>
      </c>
      <c r="R14" s="5">
        <v>6684</v>
      </c>
      <c r="S14" s="5">
        <v>4522</v>
      </c>
      <c r="T14" s="5">
        <v>5431</v>
      </c>
      <c r="U14" s="4"/>
      <c r="V14" s="4"/>
      <c r="W14" s="4"/>
      <c r="X14" s="4"/>
      <c r="Y14" s="4"/>
      <c r="Z14" s="4"/>
      <c r="AA14" s="4"/>
      <c r="AB14" s="4"/>
    </row>
    <row r="15" spans="1:42" customFormat="1">
      <c r="A15" s="14" t="s">
        <v>18</v>
      </c>
      <c r="B15" s="15">
        <v>1396168</v>
      </c>
      <c r="C15" s="15">
        <v>57019</v>
      </c>
      <c r="D15" s="15">
        <v>32864</v>
      </c>
      <c r="E15" s="16">
        <v>220474</v>
      </c>
      <c r="F15" s="15">
        <v>6040</v>
      </c>
      <c r="G15" s="15">
        <v>4064</v>
      </c>
      <c r="H15" s="16">
        <v>1337549</v>
      </c>
      <c r="I15" s="15">
        <v>57785</v>
      </c>
      <c r="J15" s="15">
        <v>32991</v>
      </c>
      <c r="K15" s="51">
        <v>40.700000000000003</v>
      </c>
      <c r="L15" s="51">
        <v>23.5</v>
      </c>
      <c r="M15" s="5"/>
      <c r="N15" s="15">
        <v>153539</v>
      </c>
      <c r="O15" s="15">
        <v>103549</v>
      </c>
      <c r="P15" s="15">
        <v>102224</v>
      </c>
      <c r="Q15" s="15">
        <v>228236</v>
      </c>
      <c r="R15" s="15">
        <v>85042</v>
      </c>
      <c r="S15" s="15">
        <v>143886</v>
      </c>
      <c r="T15" s="15">
        <v>123160</v>
      </c>
      <c r="U15" s="15">
        <v>107173</v>
      </c>
      <c r="V15" s="15">
        <v>123483</v>
      </c>
      <c r="W15" s="15">
        <v>129667</v>
      </c>
      <c r="X15" s="15">
        <v>96209</v>
      </c>
      <c r="Y15" s="17"/>
      <c r="Z15" s="17"/>
      <c r="AA15" s="17"/>
      <c r="AB15" s="17"/>
      <c r="AD15" s="73">
        <f>SUM(N15:AB15)</f>
        <v>1396168</v>
      </c>
      <c r="AE15" s="73">
        <f>SUM(N16:AB16)</f>
        <v>57019</v>
      </c>
      <c r="AF15" s="73">
        <f>SUM(N17:AB17)</f>
        <v>32864</v>
      </c>
      <c r="AH15" s="73">
        <f>AD15-B15</f>
        <v>0</v>
      </c>
      <c r="AI15" s="73">
        <f>AE15-C15</f>
        <v>0</v>
      </c>
      <c r="AJ15" s="73">
        <f>AF15-D15</f>
        <v>0</v>
      </c>
      <c r="AL15" s="74">
        <f>C15/B15*1000</f>
        <v>40.839641074713072</v>
      </c>
      <c r="AM15" s="74">
        <f>D15/B15*1000</f>
        <v>23.538714538651508</v>
      </c>
      <c r="AN15" s="79"/>
      <c r="AO15" s="74">
        <f>AL15-K15</f>
        <v>0.13964107471306875</v>
      </c>
      <c r="AP15" s="74">
        <f>AM15-L15</f>
        <v>3.8714538651507979E-2</v>
      </c>
    </row>
    <row r="16" spans="1:42" customFormat="1">
      <c r="A16" s="12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9"/>
      <c r="L16" s="49"/>
      <c r="M16" s="4"/>
      <c r="N16" s="5">
        <v>6337</v>
      </c>
      <c r="O16" s="5">
        <v>4824</v>
      </c>
      <c r="P16" s="5">
        <v>4972</v>
      </c>
      <c r="Q16" s="5">
        <v>6617</v>
      </c>
      <c r="R16" s="5">
        <v>4077</v>
      </c>
      <c r="S16" s="5">
        <v>6668</v>
      </c>
      <c r="T16" s="5">
        <v>4792</v>
      </c>
      <c r="U16" s="5">
        <v>5021</v>
      </c>
      <c r="V16" s="5">
        <v>5603</v>
      </c>
      <c r="W16" s="5">
        <v>3992</v>
      </c>
      <c r="X16" s="5">
        <v>4116</v>
      </c>
      <c r="Y16" s="4"/>
      <c r="Z16" s="4"/>
      <c r="AA16" s="4"/>
      <c r="AB16" s="4"/>
    </row>
    <row r="17" spans="1:42" customFormat="1">
      <c r="A17" s="12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9"/>
      <c r="L17" s="49"/>
      <c r="M17" s="4"/>
      <c r="N17" s="5">
        <v>3516</v>
      </c>
      <c r="O17" s="5">
        <v>2744</v>
      </c>
      <c r="P17" s="5">
        <v>2973</v>
      </c>
      <c r="Q17" s="5">
        <v>4218</v>
      </c>
      <c r="R17" s="5">
        <v>2348</v>
      </c>
      <c r="S17" s="5">
        <v>4032</v>
      </c>
      <c r="T17" s="5">
        <v>2688</v>
      </c>
      <c r="U17" s="5">
        <v>2779</v>
      </c>
      <c r="V17" s="5">
        <v>3004</v>
      </c>
      <c r="W17" s="5">
        <v>2331</v>
      </c>
      <c r="X17" s="5">
        <v>2231</v>
      </c>
      <c r="Y17" s="4"/>
      <c r="Z17" s="4"/>
      <c r="AA17" s="4"/>
      <c r="AB17" s="4"/>
    </row>
    <row r="18" spans="1:42" customFormat="1">
      <c r="A18" s="14" t="s">
        <v>21</v>
      </c>
      <c r="B18" s="15">
        <v>2492805</v>
      </c>
      <c r="C18" s="15">
        <v>121863</v>
      </c>
      <c r="D18" s="15">
        <v>78923</v>
      </c>
      <c r="E18" s="16">
        <v>194754</v>
      </c>
      <c r="F18" s="15">
        <v>6867</v>
      </c>
      <c r="G18" s="15">
        <v>5099</v>
      </c>
      <c r="H18" s="16">
        <v>2352783</v>
      </c>
      <c r="I18" s="15">
        <v>121494</v>
      </c>
      <c r="J18" s="15">
        <v>75671</v>
      </c>
      <c r="K18" s="51">
        <v>48.9</v>
      </c>
      <c r="L18" s="51">
        <v>31</v>
      </c>
      <c r="M18" s="5"/>
      <c r="N18" s="15">
        <v>344070</v>
      </c>
      <c r="O18" s="15">
        <v>218400</v>
      </c>
      <c r="P18" s="15">
        <v>169668</v>
      </c>
      <c r="Q18" s="15">
        <v>177803</v>
      </c>
      <c r="R18" s="15">
        <v>189485</v>
      </c>
      <c r="S18" s="15">
        <v>188979</v>
      </c>
      <c r="T18" s="15">
        <v>195445</v>
      </c>
      <c r="U18" s="15">
        <v>269356</v>
      </c>
      <c r="V18" s="15">
        <v>184080</v>
      </c>
      <c r="W18" s="15">
        <v>158193</v>
      </c>
      <c r="X18" s="15">
        <v>220641</v>
      </c>
      <c r="Y18" s="15">
        <v>176685</v>
      </c>
      <c r="Z18" s="17"/>
      <c r="AA18" s="17"/>
      <c r="AB18" s="17"/>
      <c r="AD18" s="73">
        <f>SUM(N18:AB18)</f>
        <v>2492805</v>
      </c>
      <c r="AE18" s="73">
        <f>SUM(N19:AB19)</f>
        <v>121863</v>
      </c>
      <c r="AF18" s="73">
        <f>SUM(N20:AB20)</f>
        <v>78923</v>
      </c>
      <c r="AH18" s="73">
        <f>AD18-B18</f>
        <v>0</v>
      </c>
      <c r="AI18" s="73">
        <f>AE18-C18</f>
        <v>0</v>
      </c>
      <c r="AJ18" s="73">
        <f>AF18-D18</f>
        <v>0</v>
      </c>
      <c r="AL18" s="74">
        <f>C18/B18*1000</f>
        <v>48.885893601785938</v>
      </c>
      <c r="AM18" s="74">
        <f>D18/B18*1000</f>
        <v>31.660318396344678</v>
      </c>
      <c r="AN18" s="79"/>
      <c r="AO18" s="74">
        <f>AL18-K18</f>
        <v>-1.4106398214060789E-2</v>
      </c>
      <c r="AP18" s="74">
        <f>AM18-L18</f>
        <v>0.66031839634467815</v>
      </c>
    </row>
    <row r="19" spans="1:42" customFormat="1">
      <c r="A19" s="12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9"/>
      <c r="L19" s="49"/>
      <c r="M19" s="4"/>
      <c r="N19" s="5">
        <v>16927</v>
      </c>
      <c r="O19" s="5">
        <v>10899</v>
      </c>
      <c r="P19" s="5">
        <v>7663</v>
      </c>
      <c r="Q19" s="5">
        <v>9040</v>
      </c>
      <c r="R19" s="5">
        <v>7967</v>
      </c>
      <c r="S19" s="5">
        <v>8910</v>
      </c>
      <c r="T19" s="5">
        <v>10243</v>
      </c>
      <c r="U19" s="5">
        <v>14529</v>
      </c>
      <c r="V19" s="5">
        <v>9315</v>
      </c>
      <c r="W19" s="5">
        <v>7089</v>
      </c>
      <c r="X19" s="5">
        <v>11118</v>
      </c>
      <c r="Y19" s="5">
        <v>8163</v>
      </c>
      <c r="Z19" s="4"/>
      <c r="AA19" s="4"/>
      <c r="AB19" s="4"/>
    </row>
    <row r="20" spans="1:42" customFormat="1">
      <c r="A20" s="12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9"/>
      <c r="L20" s="49"/>
      <c r="M20" s="4"/>
      <c r="N20" s="5">
        <v>10580</v>
      </c>
      <c r="O20" s="5">
        <v>8668</v>
      </c>
      <c r="P20" s="5">
        <v>4433</v>
      </c>
      <c r="Q20" s="5">
        <v>7210</v>
      </c>
      <c r="R20" s="5">
        <v>6411</v>
      </c>
      <c r="S20" s="5">
        <v>5808</v>
      </c>
      <c r="T20" s="5">
        <v>5435</v>
      </c>
      <c r="U20" s="5">
        <v>8070</v>
      </c>
      <c r="V20" s="5">
        <v>4979</v>
      </c>
      <c r="W20" s="5">
        <v>4733</v>
      </c>
      <c r="X20" s="5">
        <v>6549</v>
      </c>
      <c r="Y20" s="5">
        <v>6047</v>
      </c>
      <c r="Z20" s="4"/>
      <c r="AA20" s="4"/>
      <c r="AB20" s="4"/>
    </row>
    <row r="21" spans="1:42" customFormat="1">
      <c r="A21" s="14" t="s">
        <v>24</v>
      </c>
      <c r="B21" s="15">
        <v>1532184</v>
      </c>
      <c r="C21" s="15">
        <v>55298</v>
      </c>
      <c r="D21" s="15">
        <v>41420</v>
      </c>
      <c r="E21" s="16">
        <v>221198</v>
      </c>
      <c r="F21" s="15">
        <v>5574</v>
      </c>
      <c r="G21" s="15">
        <v>4246</v>
      </c>
      <c r="H21" s="16">
        <v>1412948</v>
      </c>
      <c r="I21" s="15">
        <v>58549</v>
      </c>
      <c r="J21" s="15">
        <v>38354</v>
      </c>
      <c r="K21" s="51">
        <v>36.1</v>
      </c>
      <c r="L21" s="51">
        <v>27.7</v>
      </c>
      <c r="M21" s="5"/>
      <c r="N21" s="15">
        <v>189017</v>
      </c>
      <c r="O21" s="15">
        <v>200927</v>
      </c>
      <c r="P21" s="15">
        <v>192730</v>
      </c>
      <c r="Q21" s="15">
        <v>191312</v>
      </c>
      <c r="R21" s="15">
        <v>139931</v>
      </c>
      <c r="S21" s="15">
        <v>156289</v>
      </c>
      <c r="T21" s="15">
        <v>134890</v>
      </c>
      <c r="U21" s="15">
        <v>212556</v>
      </c>
      <c r="V21" s="15">
        <v>114532</v>
      </c>
      <c r="W21" s="17"/>
      <c r="X21" s="17"/>
      <c r="Y21" s="17"/>
      <c r="Z21" s="17"/>
      <c r="AA21" s="17"/>
      <c r="AB21" s="17"/>
      <c r="AD21" s="73">
        <f>SUM(N21:AB21)</f>
        <v>1532184</v>
      </c>
      <c r="AE21" s="73">
        <f>SUM(N22:AB22)</f>
        <v>55298</v>
      </c>
      <c r="AF21" s="73">
        <f>SUM(N23:AB23)</f>
        <v>41420</v>
      </c>
      <c r="AH21" s="73">
        <f>AD21-B21</f>
        <v>0</v>
      </c>
      <c r="AI21" s="73">
        <f>AE21-C21</f>
        <v>0</v>
      </c>
      <c r="AJ21" s="73">
        <f>AF21-D21</f>
        <v>0</v>
      </c>
      <c r="AL21" s="74">
        <f>C21/B21*1000</f>
        <v>36.090965575936053</v>
      </c>
      <c r="AM21" s="74">
        <f>D21/B21*1000</f>
        <v>27.033306704677766</v>
      </c>
      <c r="AN21" s="79"/>
      <c r="AO21" s="74">
        <f>AL21-K21</f>
        <v>-9.0344240639481654E-3</v>
      </c>
      <c r="AP21" s="74">
        <f>AM21-L21</f>
        <v>-0.66669329532223287</v>
      </c>
    </row>
    <row r="22" spans="1:42" customFormat="1">
      <c r="A22" s="12" t="s">
        <v>25</v>
      </c>
      <c r="B22" s="4"/>
      <c r="C22" s="4"/>
      <c r="D22" s="4"/>
      <c r="E22" s="4"/>
      <c r="F22" s="4"/>
      <c r="G22" s="4"/>
      <c r="H22" s="4"/>
      <c r="I22" s="4"/>
      <c r="J22" s="4"/>
      <c r="K22" s="49"/>
      <c r="L22" s="49"/>
      <c r="M22" s="4"/>
      <c r="N22" s="5">
        <v>5985</v>
      </c>
      <c r="O22" s="5">
        <v>8111</v>
      </c>
      <c r="P22" s="5">
        <v>6067</v>
      </c>
      <c r="Q22" s="5">
        <v>5929</v>
      </c>
      <c r="R22" s="5">
        <v>6116</v>
      </c>
      <c r="S22" s="5">
        <v>6845</v>
      </c>
      <c r="T22" s="5">
        <v>6196</v>
      </c>
      <c r="U22" s="5">
        <v>6585</v>
      </c>
      <c r="V22" s="5">
        <v>3464</v>
      </c>
      <c r="W22" s="4"/>
      <c r="X22" s="4"/>
      <c r="Y22" s="4"/>
      <c r="Z22" s="4"/>
      <c r="AA22" s="4"/>
      <c r="AB22" s="4"/>
    </row>
    <row r="23" spans="1:42" customFormat="1">
      <c r="A23" s="12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49"/>
      <c r="L23" s="49"/>
      <c r="M23" s="4"/>
      <c r="N23" s="5">
        <v>5014</v>
      </c>
      <c r="O23" s="5">
        <v>6232</v>
      </c>
      <c r="P23" s="5">
        <v>5038</v>
      </c>
      <c r="Q23" s="5">
        <v>4627</v>
      </c>
      <c r="R23" s="5">
        <v>4499</v>
      </c>
      <c r="S23" s="5">
        <v>4949</v>
      </c>
      <c r="T23" s="5">
        <v>3758</v>
      </c>
      <c r="U23" s="5">
        <v>4103</v>
      </c>
      <c r="V23" s="5">
        <v>3200</v>
      </c>
      <c r="W23" s="4"/>
      <c r="X23" s="4"/>
      <c r="Y23" s="4"/>
      <c r="Z23" s="4"/>
      <c r="AA23" s="4"/>
      <c r="AB23" s="4"/>
    </row>
    <row r="24" spans="1:42" customFormat="1">
      <c r="A24" s="14" t="s">
        <v>27</v>
      </c>
      <c r="B24" s="15">
        <v>3264112</v>
      </c>
      <c r="C24" s="15">
        <v>157731</v>
      </c>
      <c r="D24" s="15">
        <v>119327</v>
      </c>
      <c r="E24" s="16">
        <v>422476</v>
      </c>
      <c r="F24" s="15">
        <v>16088</v>
      </c>
      <c r="G24" s="15">
        <v>13646</v>
      </c>
      <c r="H24" s="16">
        <v>3050816</v>
      </c>
      <c r="I24" s="15">
        <v>157640</v>
      </c>
      <c r="J24" s="15">
        <v>99777</v>
      </c>
      <c r="K24" s="51">
        <v>48.5</v>
      </c>
      <c r="L24" s="51">
        <v>36.6</v>
      </c>
      <c r="M24" s="5"/>
      <c r="N24" s="15">
        <v>438422</v>
      </c>
      <c r="O24" s="15">
        <v>275853</v>
      </c>
      <c r="P24" s="15">
        <v>296273</v>
      </c>
      <c r="Q24" s="15">
        <v>275505</v>
      </c>
      <c r="R24" s="15">
        <v>265987</v>
      </c>
      <c r="S24" s="15">
        <v>214355</v>
      </c>
      <c r="T24" s="15">
        <v>262454</v>
      </c>
      <c r="U24" s="15">
        <v>220964</v>
      </c>
      <c r="V24" s="15">
        <v>234959</v>
      </c>
      <c r="W24" s="15">
        <v>278364</v>
      </c>
      <c r="X24" s="15">
        <v>284628</v>
      </c>
      <c r="Y24" s="15">
        <v>216358</v>
      </c>
      <c r="Z24" s="17"/>
      <c r="AA24" s="17"/>
      <c r="AB24" s="17"/>
      <c r="AD24" s="73">
        <f>SUM(N24:AB24)</f>
        <v>3264122</v>
      </c>
      <c r="AE24" s="73">
        <f>SUM(N25:AB25)</f>
        <v>157731</v>
      </c>
      <c r="AF24" s="73">
        <f>SUM(N26:AB26)</f>
        <v>119327</v>
      </c>
      <c r="AH24" s="73">
        <f>AD24-B24</f>
        <v>10</v>
      </c>
      <c r="AI24" s="73">
        <f>AE24-C24</f>
        <v>0</v>
      </c>
      <c r="AJ24" s="73">
        <f>AF24-D24</f>
        <v>0</v>
      </c>
      <c r="AL24" s="74">
        <f>C24/B24*1000</f>
        <v>48.322790394447253</v>
      </c>
      <c r="AM24" s="74">
        <f>D24/B24*1000</f>
        <v>36.557262740984378</v>
      </c>
      <c r="AN24" s="79"/>
      <c r="AO24" s="74">
        <f>AL24-K24</f>
        <v>-0.17720960555274701</v>
      </c>
      <c r="AP24" s="74">
        <f>AM24-L24</f>
        <v>-4.2737259015623863E-2</v>
      </c>
    </row>
    <row r="25" spans="1:42" customFormat="1">
      <c r="A25" s="12" t="s">
        <v>28</v>
      </c>
      <c r="B25" s="4"/>
      <c r="C25" s="4"/>
      <c r="D25" s="4"/>
      <c r="E25" s="4"/>
      <c r="F25" s="4"/>
      <c r="G25" s="4"/>
      <c r="H25" s="4"/>
      <c r="I25" s="4"/>
      <c r="J25" s="4"/>
      <c r="K25" s="49"/>
      <c r="L25" s="49"/>
      <c r="M25" s="4"/>
      <c r="N25" s="5">
        <v>20878</v>
      </c>
      <c r="O25" s="5">
        <v>12173</v>
      </c>
      <c r="P25" s="5">
        <v>14858</v>
      </c>
      <c r="Q25" s="5">
        <v>12783</v>
      </c>
      <c r="R25" s="5">
        <v>12481</v>
      </c>
      <c r="S25" s="5">
        <v>9375</v>
      </c>
      <c r="T25" s="5">
        <v>13393</v>
      </c>
      <c r="U25" s="5">
        <v>11190</v>
      </c>
      <c r="V25" s="5">
        <v>10701</v>
      </c>
      <c r="W25" s="5">
        <v>14545</v>
      </c>
      <c r="X25" s="5">
        <v>14602</v>
      </c>
      <c r="Y25" s="5">
        <v>10752</v>
      </c>
      <c r="Z25" s="4"/>
      <c r="AA25" s="4"/>
      <c r="AB25" s="4"/>
    </row>
    <row r="26" spans="1:42" customFormat="1">
      <c r="A26" s="12" t="s">
        <v>29</v>
      </c>
      <c r="B26" s="4"/>
      <c r="C26" s="4"/>
      <c r="D26" s="4"/>
      <c r="E26" s="4"/>
      <c r="F26" s="4"/>
      <c r="G26" s="4"/>
      <c r="H26" s="4"/>
      <c r="I26" s="4"/>
      <c r="J26" s="4"/>
      <c r="K26" s="49"/>
      <c r="L26" s="49"/>
      <c r="M26" s="4"/>
      <c r="N26" s="5">
        <v>17120</v>
      </c>
      <c r="O26" s="5">
        <v>9923</v>
      </c>
      <c r="P26" s="5">
        <v>11676</v>
      </c>
      <c r="Q26" s="5">
        <v>9529</v>
      </c>
      <c r="R26" s="5">
        <v>9751</v>
      </c>
      <c r="S26" s="5">
        <v>7577</v>
      </c>
      <c r="T26" s="5">
        <v>7950</v>
      </c>
      <c r="U26" s="5">
        <v>8986</v>
      </c>
      <c r="V26" s="5">
        <v>8100</v>
      </c>
      <c r="W26" s="5">
        <v>9896</v>
      </c>
      <c r="X26" s="5">
        <v>11081</v>
      </c>
      <c r="Y26" s="5">
        <v>7738</v>
      </c>
      <c r="Z26" s="4"/>
      <c r="AA26" s="4"/>
      <c r="AB26" s="4"/>
    </row>
    <row r="27" spans="1:42" customFormat="1">
      <c r="A27" s="14" t="s">
        <v>30</v>
      </c>
      <c r="B27" s="15">
        <v>1625836</v>
      </c>
      <c r="C27" s="15">
        <v>53348</v>
      </c>
      <c r="D27" s="15">
        <v>40291</v>
      </c>
      <c r="E27" s="16">
        <v>147791</v>
      </c>
      <c r="F27" s="15">
        <v>3433</v>
      </c>
      <c r="G27" s="15">
        <v>3457</v>
      </c>
      <c r="H27" s="16">
        <v>1571096</v>
      </c>
      <c r="I27" s="15">
        <v>55065</v>
      </c>
      <c r="J27" s="15">
        <v>37408</v>
      </c>
      <c r="K27" s="51">
        <v>32.799999999999997</v>
      </c>
      <c r="L27" s="51">
        <v>24.8</v>
      </c>
      <c r="M27" s="5"/>
      <c r="N27" s="15">
        <v>234754</v>
      </c>
      <c r="O27" s="15">
        <v>241535</v>
      </c>
      <c r="P27" s="15">
        <v>215400</v>
      </c>
      <c r="Q27" s="15">
        <v>227409</v>
      </c>
      <c r="R27" s="15">
        <v>248597</v>
      </c>
      <c r="S27" s="15">
        <v>199709</v>
      </c>
      <c r="T27" s="15">
        <v>258432</v>
      </c>
      <c r="U27" s="17"/>
      <c r="V27" s="17"/>
      <c r="W27" s="17"/>
      <c r="X27" s="17"/>
      <c r="Y27" s="17"/>
      <c r="Z27" s="17"/>
      <c r="AA27" s="17"/>
      <c r="AB27" s="17"/>
      <c r="AD27" s="73">
        <f>SUM(N27:AB27)</f>
        <v>1625836</v>
      </c>
      <c r="AE27" s="73">
        <f>SUM(N28:AB28)</f>
        <v>53348</v>
      </c>
      <c r="AF27" s="73">
        <f>SUM(N29:AB29)</f>
        <v>40291</v>
      </c>
      <c r="AH27" s="73">
        <f>AD27-B27</f>
        <v>0</v>
      </c>
      <c r="AI27" s="73">
        <f>AE27-C27</f>
        <v>0</v>
      </c>
      <c r="AJ27" s="73">
        <f>AF27-D27</f>
        <v>0</v>
      </c>
      <c r="AL27" s="74">
        <f>C27/B27*1000</f>
        <v>32.812657611222782</v>
      </c>
      <c r="AM27" s="74">
        <f>D27/B27*1000</f>
        <v>24.781712300625646</v>
      </c>
      <c r="AN27" s="79"/>
      <c r="AO27" s="74">
        <f>AL27-K27</f>
        <v>1.2657611222785192E-2</v>
      </c>
      <c r="AP27" s="74">
        <f>AM27-L27</f>
        <v>-1.8287699374354816E-2</v>
      </c>
    </row>
    <row r="28" spans="1:42" customFormat="1">
      <c r="A28" s="12" t="s">
        <v>31</v>
      </c>
      <c r="B28" s="4"/>
      <c r="C28" s="4"/>
      <c r="D28" s="4"/>
      <c r="E28" s="4"/>
      <c r="F28" s="4"/>
      <c r="G28" s="4"/>
      <c r="H28" s="4"/>
      <c r="I28" s="4"/>
      <c r="J28" s="4"/>
      <c r="K28" s="49"/>
      <c r="L28" s="49"/>
      <c r="M28" s="4"/>
      <c r="N28" s="5">
        <v>7210</v>
      </c>
      <c r="O28" s="5">
        <v>8256</v>
      </c>
      <c r="P28" s="5">
        <v>7116</v>
      </c>
      <c r="Q28" s="5">
        <v>7381</v>
      </c>
      <c r="R28" s="5">
        <v>8403</v>
      </c>
      <c r="S28" s="5">
        <v>7062</v>
      </c>
      <c r="T28" s="5">
        <v>7920</v>
      </c>
      <c r="U28" s="4"/>
      <c r="V28" s="4"/>
      <c r="W28" s="4"/>
      <c r="X28" s="4"/>
      <c r="Y28" s="4"/>
      <c r="Z28" s="4"/>
      <c r="AA28" s="4"/>
      <c r="AB28" s="4"/>
    </row>
    <row r="29" spans="1:42" customFormat="1">
      <c r="A29" s="12" t="s">
        <v>32</v>
      </c>
      <c r="B29" s="4"/>
      <c r="C29" s="4"/>
      <c r="D29" s="4"/>
      <c r="E29" s="4"/>
      <c r="F29" s="4"/>
      <c r="G29" s="4"/>
      <c r="H29" s="4"/>
      <c r="I29" s="4"/>
      <c r="J29" s="4"/>
      <c r="K29" s="49"/>
      <c r="L29" s="49"/>
      <c r="M29" s="4"/>
      <c r="N29" s="5">
        <v>6455</v>
      </c>
      <c r="O29" s="5">
        <v>6341</v>
      </c>
      <c r="P29" s="5">
        <v>4979</v>
      </c>
      <c r="Q29" s="5">
        <v>4708</v>
      </c>
      <c r="R29" s="5">
        <v>7812</v>
      </c>
      <c r="S29" s="5">
        <v>4748</v>
      </c>
      <c r="T29" s="5">
        <v>5248</v>
      </c>
      <c r="U29" s="4"/>
      <c r="V29" s="4"/>
      <c r="W29" s="4"/>
      <c r="X29" s="4"/>
      <c r="Y29" s="4"/>
      <c r="Z29" s="4"/>
      <c r="AA29" s="4"/>
      <c r="AB29" s="4"/>
    </row>
    <row r="30" spans="1:42" customFormat="1">
      <c r="A30" s="14" t="s">
        <v>33</v>
      </c>
      <c r="B30" s="15">
        <v>1879442</v>
      </c>
      <c r="C30" s="15">
        <v>85236</v>
      </c>
      <c r="D30" s="15">
        <v>48679</v>
      </c>
      <c r="E30" s="16">
        <v>251802</v>
      </c>
      <c r="F30" s="15">
        <v>6439</v>
      </c>
      <c r="G30" s="15">
        <v>4558</v>
      </c>
      <c r="H30" s="16">
        <v>1753855</v>
      </c>
      <c r="I30" s="15">
        <v>80835</v>
      </c>
      <c r="J30" s="15">
        <v>45567</v>
      </c>
      <c r="K30" s="51">
        <v>45.4</v>
      </c>
      <c r="L30" s="51">
        <v>26</v>
      </c>
      <c r="M30" s="5"/>
      <c r="N30" s="15">
        <v>237713</v>
      </c>
      <c r="O30" s="15">
        <v>290455</v>
      </c>
      <c r="P30" s="15">
        <v>147617</v>
      </c>
      <c r="Q30" s="15">
        <v>200697</v>
      </c>
      <c r="R30" s="15">
        <v>139124</v>
      </c>
      <c r="S30" s="15">
        <v>236362</v>
      </c>
      <c r="T30" s="15">
        <v>233119</v>
      </c>
      <c r="U30" s="15">
        <v>174929</v>
      </c>
      <c r="V30" s="15">
        <v>219426</v>
      </c>
      <c r="W30" s="17"/>
      <c r="X30" s="17"/>
      <c r="Y30" s="17"/>
      <c r="Z30" s="17"/>
      <c r="AA30" s="17"/>
      <c r="AB30" s="17"/>
      <c r="AD30" s="73">
        <f>SUM(N30:AB30)</f>
        <v>1879442</v>
      </c>
      <c r="AE30" s="73">
        <f>SUM(N31:AB31)</f>
        <v>85236</v>
      </c>
      <c r="AF30" s="73">
        <f>SUM(N32:AB32)</f>
        <v>48679</v>
      </c>
      <c r="AH30" s="73">
        <f>AD30-B30</f>
        <v>0</v>
      </c>
      <c r="AI30" s="73">
        <f>AE30-C30</f>
        <v>0</v>
      </c>
      <c r="AJ30" s="73">
        <f>AF30-D30</f>
        <v>0</v>
      </c>
      <c r="AL30" s="74">
        <f>C30/B30*1000</f>
        <v>45.35175866028321</v>
      </c>
      <c r="AM30" s="74">
        <f>D30/B30*1000</f>
        <v>25.900772676145369</v>
      </c>
      <c r="AN30" s="79"/>
      <c r="AO30" s="74">
        <f>AL30-K30</f>
        <v>-4.82413397167889E-2</v>
      </c>
      <c r="AP30" s="74">
        <f>AM30-L30</f>
        <v>-9.9227323854631067E-2</v>
      </c>
    </row>
    <row r="31" spans="1:42" customFormat="1">
      <c r="A31" s="12" t="s">
        <v>34</v>
      </c>
      <c r="B31" s="4"/>
      <c r="C31" s="4"/>
      <c r="D31" s="4"/>
      <c r="E31" s="4"/>
      <c r="F31" s="4"/>
      <c r="G31" s="4"/>
      <c r="H31" s="4"/>
      <c r="I31" s="4"/>
      <c r="J31" s="4"/>
      <c r="K31" s="49"/>
      <c r="L31" s="49"/>
      <c r="M31" s="4"/>
      <c r="N31" s="5">
        <v>8977</v>
      </c>
      <c r="O31" s="5">
        <v>10786</v>
      </c>
      <c r="P31" s="5">
        <v>9639</v>
      </c>
      <c r="Q31" s="5">
        <v>10276</v>
      </c>
      <c r="R31" s="5">
        <v>7815</v>
      </c>
      <c r="S31" s="5">
        <v>8957</v>
      </c>
      <c r="T31" s="5">
        <v>8979</v>
      </c>
      <c r="U31" s="5">
        <v>9963</v>
      </c>
      <c r="V31" s="5">
        <v>9844</v>
      </c>
      <c r="W31" s="4"/>
      <c r="X31" s="4"/>
      <c r="Y31" s="4"/>
      <c r="Z31" s="4"/>
      <c r="AA31" s="4"/>
      <c r="AB31" s="4"/>
    </row>
    <row r="32" spans="1:42" customFormat="1">
      <c r="A32" s="12" t="s">
        <v>35</v>
      </c>
      <c r="B32" s="4"/>
      <c r="C32" s="4"/>
      <c r="D32" s="4"/>
      <c r="E32" s="4"/>
      <c r="F32" s="4"/>
      <c r="G32" s="4"/>
      <c r="H32" s="4"/>
      <c r="I32" s="4"/>
      <c r="J32" s="4"/>
      <c r="K32" s="49"/>
      <c r="L32" s="49"/>
      <c r="M32" s="4"/>
      <c r="N32" s="5">
        <v>5166</v>
      </c>
      <c r="O32" s="5">
        <v>5181</v>
      </c>
      <c r="P32" s="5">
        <v>4961</v>
      </c>
      <c r="Q32" s="5">
        <v>5738</v>
      </c>
      <c r="R32" s="5">
        <v>4073</v>
      </c>
      <c r="S32" s="5">
        <v>5947</v>
      </c>
      <c r="T32" s="5">
        <v>6571</v>
      </c>
      <c r="U32" s="5">
        <v>5476</v>
      </c>
      <c r="V32" s="5">
        <v>5566</v>
      </c>
      <c r="W32" s="4"/>
      <c r="X32" s="4"/>
      <c r="Y32" s="4"/>
      <c r="Z32" s="4"/>
      <c r="AA32" s="4"/>
      <c r="AB32" s="4"/>
    </row>
    <row r="33" spans="1:42" customFormat="1">
      <c r="A33" s="14" t="s">
        <v>36</v>
      </c>
      <c r="B33" s="15">
        <v>1445741</v>
      </c>
      <c r="C33" s="15">
        <v>72838</v>
      </c>
      <c r="D33" s="15">
        <v>40160</v>
      </c>
      <c r="E33" s="16">
        <v>131301</v>
      </c>
      <c r="F33" s="15">
        <v>4304</v>
      </c>
      <c r="G33" s="15">
        <v>2618</v>
      </c>
      <c r="H33" s="16">
        <v>1367395</v>
      </c>
      <c r="I33" s="15">
        <v>68334</v>
      </c>
      <c r="J33" s="15">
        <v>37741</v>
      </c>
      <c r="K33" s="51">
        <v>50.3</v>
      </c>
      <c r="L33" s="51">
        <v>28</v>
      </c>
      <c r="M33" s="5"/>
      <c r="N33" s="15">
        <v>153330</v>
      </c>
      <c r="O33" s="15">
        <v>104592</v>
      </c>
      <c r="P33" s="15">
        <v>203894</v>
      </c>
      <c r="Q33" s="15">
        <v>107234</v>
      </c>
      <c r="R33" s="15">
        <v>126725</v>
      </c>
      <c r="S33" s="15">
        <v>85365</v>
      </c>
      <c r="T33" s="15">
        <v>131627</v>
      </c>
      <c r="U33" s="15">
        <v>183193</v>
      </c>
      <c r="V33" s="15">
        <v>138892</v>
      </c>
      <c r="W33" s="15">
        <v>79042</v>
      </c>
      <c r="X33" s="15">
        <v>131847</v>
      </c>
      <c r="Y33" s="17"/>
      <c r="Z33" s="17"/>
      <c r="AA33" s="17"/>
      <c r="AB33" s="17"/>
      <c r="AD33" s="73">
        <f>SUM(N33:AB33)</f>
        <v>1445741</v>
      </c>
      <c r="AE33" s="73">
        <f>SUM(N34:AB34)</f>
        <v>72838</v>
      </c>
      <c r="AF33" s="73">
        <f>SUM(N35:AB35)</f>
        <v>40160</v>
      </c>
      <c r="AH33" s="73">
        <f>AD33-B33</f>
        <v>0</v>
      </c>
      <c r="AI33" s="73">
        <f>AE33-C33</f>
        <v>0</v>
      </c>
      <c r="AJ33" s="73">
        <f>AF33-D33</f>
        <v>0</v>
      </c>
      <c r="AL33" s="74">
        <f>C33/B33*1000</f>
        <v>50.381084855447831</v>
      </c>
      <c r="AM33" s="74">
        <f>D33/B33*1000</f>
        <v>27.77814283471244</v>
      </c>
      <c r="AN33" s="79"/>
      <c r="AO33" s="74">
        <f>AL33-K33</f>
        <v>8.1084855447834059E-2</v>
      </c>
      <c r="AP33" s="74">
        <f>AM33-L33</f>
        <v>-0.22185716528755961</v>
      </c>
    </row>
    <row r="34" spans="1:42" customFormat="1">
      <c r="A34" s="12" t="s">
        <v>37</v>
      </c>
      <c r="B34" s="4"/>
      <c r="C34" s="4"/>
      <c r="D34" s="4"/>
      <c r="E34" s="4"/>
      <c r="F34" s="4"/>
      <c r="G34" s="4"/>
      <c r="H34" s="4"/>
      <c r="I34" s="4"/>
      <c r="J34" s="4"/>
      <c r="K34" s="49"/>
      <c r="L34" s="49"/>
      <c r="M34" s="4"/>
      <c r="N34" s="5">
        <v>5821</v>
      </c>
      <c r="O34" s="5">
        <v>5533</v>
      </c>
      <c r="P34" s="5">
        <v>10435</v>
      </c>
      <c r="Q34" s="5">
        <v>5099</v>
      </c>
      <c r="R34" s="5">
        <v>6069</v>
      </c>
      <c r="S34" s="5">
        <v>4487</v>
      </c>
      <c r="T34" s="5">
        <v>7868</v>
      </c>
      <c r="U34" s="5">
        <v>10441</v>
      </c>
      <c r="V34" s="5">
        <v>6797</v>
      </c>
      <c r="W34" s="5">
        <v>3710</v>
      </c>
      <c r="X34" s="5">
        <v>6578</v>
      </c>
      <c r="Y34" s="4"/>
      <c r="Z34" s="4"/>
      <c r="AA34" s="4"/>
      <c r="AB34" s="4"/>
    </row>
    <row r="35" spans="1:42" customFormat="1">
      <c r="A35" s="12" t="s">
        <v>38</v>
      </c>
      <c r="B35" s="4"/>
      <c r="C35" s="4"/>
      <c r="D35" s="4"/>
      <c r="E35" s="4"/>
      <c r="F35" s="4"/>
      <c r="G35" s="4"/>
      <c r="H35" s="4"/>
      <c r="I35" s="4"/>
      <c r="J35" s="4"/>
      <c r="K35" s="49"/>
      <c r="L35" s="49"/>
      <c r="M35" s="4"/>
      <c r="N35" s="5">
        <v>3193</v>
      </c>
      <c r="O35" s="5">
        <v>2633</v>
      </c>
      <c r="P35" s="5">
        <v>5822</v>
      </c>
      <c r="Q35" s="5">
        <v>3320</v>
      </c>
      <c r="R35" s="5">
        <v>3691</v>
      </c>
      <c r="S35" s="5">
        <v>2684</v>
      </c>
      <c r="T35" s="5">
        <v>4920</v>
      </c>
      <c r="U35" s="5">
        <v>4964</v>
      </c>
      <c r="V35" s="5">
        <v>3710</v>
      </c>
      <c r="W35" s="5">
        <v>1982</v>
      </c>
      <c r="X35" s="5">
        <v>3241</v>
      </c>
      <c r="Y35" s="4"/>
      <c r="Z35" s="4"/>
      <c r="AA35" s="4"/>
      <c r="AB35" s="4"/>
    </row>
    <row r="36" spans="1:42" customFormat="1">
      <c r="A36" s="18" t="s">
        <v>39</v>
      </c>
      <c r="B36" s="19">
        <v>1389724</v>
      </c>
      <c r="C36" s="19">
        <v>70653</v>
      </c>
      <c r="D36" s="19">
        <v>86152</v>
      </c>
      <c r="E36" s="19">
        <v>111988</v>
      </c>
      <c r="F36" s="19">
        <v>6115</v>
      </c>
      <c r="G36" s="19">
        <v>10661</v>
      </c>
      <c r="H36" s="19">
        <v>1359981</v>
      </c>
      <c r="I36" s="19">
        <v>81332</v>
      </c>
      <c r="J36" s="19">
        <v>56023</v>
      </c>
      <c r="K36" s="51">
        <v>50.8</v>
      </c>
      <c r="L36" s="51">
        <v>62</v>
      </c>
      <c r="M36" s="5"/>
      <c r="N36" s="19">
        <v>400800</v>
      </c>
      <c r="O36" s="19">
        <v>208513</v>
      </c>
      <c r="P36" s="19">
        <v>207060</v>
      </c>
      <c r="Q36" s="19">
        <v>181515</v>
      </c>
      <c r="R36" s="19">
        <v>391836</v>
      </c>
      <c r="S36" s="19"/>
      <c r="T36" s="19"/>
      <c r="U36" s="19"/>
      <c r="V36" s="19"/>
      <c r="W36" s="19"/>
      <c r="X36" s="19"/>
      <c r="Y36" s="19"/>
      <c r="Z36" s="20"/>
      <c r="AA36" s="20"/>
      <c r="AB36" s="20"/>
      <c r="AD36" s="73">
        <f>SUM(N36:AB36)</f>
        <v>1389724</v>
      </c>
      <c r="AE36" s="73">
        <f>SUM(N37:AB37)</f>
        <v>70653</v>
      </c>
      <c r="AF36" s="73">
        <f>SUM(N38:AB38)</f>
        <v>86152</v>
      </c>
      <c r="AH36" s="73">
        <f>AD36-B36</f>
        <v>0</v>
      </c>
      <c r="AI36" s="73">
        <f>AE36-C36</f>
        <v>0</v>
      </c>
      <c r="AJ36" s="73">
        <f>AF36-D36</f>
        <v>0</v>
      </c>
      <c r="AL36" s="74">
        <f>C36/B36*1000</f>
        <v>50.839591170620928</v>
      </c>
      <c r="AM36" s="74">
        <f>D36/B36*1000</f>
        <v>61.992165350817864</v>
      </c>
      <c r="AN36" s="79"/>
      <c r="AO36" s="74">
        <f>AL36-K36</f>
        <v>3.9591170620930427E-2</v>
      </c>
      <c r="AP36" s="74">
        <f>AM36-L36</f>
        <v>-7.8346491821363884E-3</v>
      </c>
    </row>
    <row r="37" spans="1:42" customFormat="1">
      <c r="A37" s="13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50"/>
      <c r="L37" s="50"/>
      <c r="M37" s="5"/>
      <c r="N37" s="2">
        <v>27881</v>
      </c>
      <c r="O37" s="2">
        <v>10077</v>
      </c>
      <c r="P37" s="2">
        <v>8098</v>
      </c>
      <c r="Q37" s="2">
        <v>8685</v>
      </c>
      <c r="R37" s="2">
        <v>15912</v>
      </c>
      <c r="S37" s="2"/>
      <c r="T37" s="2"/>
      <c r="U37" s="2"/>
      <c r="V37" s="2"/>
      <c r="W37" s="2"/>
      <c r="X37" s="2"/>
      <c r="Y37" s="2"/>
    </row>
    <row r="38" spans="1:42" customFormat="1">
      <c r="A38" s="13" t="s">
        <v>41</v>
      </c>
      <c r="B38" s="2"/>
      <c r="C38" s="2"/>
      <c r="D38" s="2"/>
      <c r="E38" s="2"/>
      <c r="F38" s="2"/>
      <c r="G38" s="2"/>
      <c r="H38" s="2"/>
      <c r="I38" s="2"/>
      <c r="J38" s="2"/>
      <c r="K38" s="50"/>
      <c r="L38" s="50"/>
      <c r="M38" s="5"/>
      <c r="N38" s="2">
        <v>35679</v>
      </c>
      <c r="O38" s="2">
        <v>10387</v>
      </c>
      <c r="P38" s="2">
        <v>9747</v>
      </c>
      <c r="Q38" s="2">
        <v>10098</v>
      </c>
      <c r="R38" s="2">
        <v>20241</v>
      </c>
      <c r="S38" s="2"/>
      <c r="T38" s="2"/>
      <c r="U38" s="2"/>
      <c r="V38" s="2"/>
      <c r="W38" s="2"/>
      <c r="X38" s="2"/>
      <c r="Y38" s="2"/>
    </row>
    <row r="39" spans="1:42" customFormat="1">
      <c r="A39" s="18" t="s">
        <v>42</v>
      </c>
      <c r="B39" s="19">
        <v>2672700</v>
      </c>
      <c r="C39" s="19">
        <v>124097</v>
      </c>
      <c r="D39" s="19">
        <v>99001</v>
      </c>
      <c r="E39" s="19">
        <v>201581</v>
      </c>
      <c r="F39" s="19">
        <v>6504</v>
      </c>
      <c r="G39" s="19">
        <v>5492</v>
      </c>
      <c r="H39" s="19">
        <v>2552194</v>
      </c>
      <c r="I39" s="19">
        <v>124456</v>
      </c>
      <c r="J39" s="19">
        <v>77842</v>
      </c>
      <c r="K39" s="51">
        <v>46.4</v>
      </c>
      <c r="L39" s="51">
        <v>37</v>
      </c>
      <c r="M39" s="5"/>
      <c r="N39" s="19">
        <v>234615</v>
      </c>
      <c r="O39" s="19">
        <v>332713</v>
      </c>
      <c r="P39" s="19">
        <v>217617</v>
      </c>
      <c r="Q39" s="19">
        <v>219865</v>
      </c>
      <c r="R39" s="19">
        <v>232303</v>
      </c>
      <c r="S39" s="19">
        <v>152786</v>
      </c>
      <c r="T39" s="19">
        <v>178298</v>
      </c>
      <c r="U39" s="19">
        <v>192724</v>
      </c>
      <c r="V39" s="19">
        <v>254597</v>
      </c>
      <c r="W39" s="19">
        <v>245362</v>
      </c>
      <c r="X39" s="19">
        <v>178738</v>
      </c>
      <c r="Y39" s="19">
        <v>232884</v>
      </c>
      <c r="Z39" s="20"/>
      <c r="AA39" s="20"/>
      <c r="AB39" s="20"/>
      <c r="AD39" s="73">
        <f>SUM(N39:AB39)</f>
        <v>2672502</v>
      </c>
      <c r="AE39" s="73">
        <f>SUM(N40:AB40)</f>
        <v>124113</v>
      </c>
      <c r="AF39" s="73">
        <f>SUM(N41:AB41)</f>
        <v>99001</v>
      </c>
      <c r="AH39" s="73">
        <f>AD39-B39</f>
        <v>-198</v>
      </c>
      <c r="AI39" s="73">
        <f>AE39-C39</f>
        <v>16</v>
      </c>
      <c r="AJ39" s="73">
        <f>AF39-D39</f>
        <v>0</v>
      </c>
      <c r="AL39" s="74">
        <f>C39/B39*1000</f>
        <v>46.43132412915778</v>
      </c>
      <c r="AM39" s="74">
        <f>D39/B39*1000</f>
        <v>37.041568451378758</v>
      </c>
      <c r="AN39" s="79"/>
      <c r="AO39" s="74">
        <f>AL39-K39</f>
        <v>3.1324129157781044E-2</v>
      </c>
      <c r="AP39" s="74">
        <f>AM39-L39</f>
        <v>4.1568451378758198E-2</v>
      </c>
    </row>
    <row r="40" spans="1:42" customFormat="1">
      <c r="A40" s="13" t="s">
        <v>43</v>
      </c>
      <c r="B40" s="2"/>
      <c r="C40" s="2"/>
      <c r="D40" s="2"/>
      <c r="E40" s="2"/>
      <c r="F40" s="2"/>
      <c r="G40" s="2"/>
      <c r="H40" s="2"/>
      <c r="I40" s="2"/>
      <c r="J40" s="2"/>
      <c r="K40" s="50"/>
      <c r="L40" s="50"/>
      <c r="M40" s="5"/>
      <c r="N40" s="2">
        <v>10251</v>
      </c>
      <c r="O40" s="2">
        <v>16842</v>
      </c>
      <c r="P40" s="2">
        <v>9655</v>
      </c>
      <c r="Q40" s="2">
        <v>10331</v>
      </c>
      <c r="R40" s="2">
        <v>9722</v>
      </c>
      <c r="S40" s="2">
        <v>7280</v>
      </c>
      <c r="T40" s="2">
        <v>9160</v>
      </c>
      <c r="U40" s="2">
        <v>9608</v>
      </c>
      <c r="V40" s="2">
        <v>9514</v>
      </c>
      <c r="W40" s="2">
        <v>11467</v>
      </c>
      <c r="X40" s="2">
        <v>9419</v>
      </c>
      <c r="Y40" s="2">
        <v>10864</v>
      </c>
    </row>
    <row r="41" spans="1:42" customFormat="1">
      <c r="A41" s="13" t="s">
        <v>44</v>
      </c>
      <c r="B41" s="2"/>
      <c r="C41" s="2"/>
      <c r="D41" s="2"/>
      <c r="E41" s="2"/>
      <c r="F41" s="2"/>
      <c r="G41" s="2"/>
      <c r="H41" s="2"/>
      <c r="I41" s="2"/>
      <c r="J41" s="2"/>
      <c r="K41" s="50"/>
      <c r="L41" s="50"/>
      <c r="M41" s="5"/>
      <c r="N41" s="2">
        <v>8903</v>
      </c>
      <c r="O41" s="2">
        <v>12996</v>
      </c>
      <c r="P41" s="2">
        <v>8044</v>
      </c>
      <c r="Q41" s="2">
        <v>8052</v>
      </c>
      <c r="R41" s="2">
        <v>9377</v>
      </c>
      <c r="S41" s="2">
        <v>4543</v>
      </c>
      <c r="T41" s="2">
        <v>6058</v>
      </c>
      <c r="U41" s="2">
        <v>7655</v>
      </c>
      <c r="V41" s="2">
        <v>7424</v>
      </c>
      <c r="W41" s="2">
        <v>11098</v>
      </c>
      <c r="X41" s="2">
        <v>6540</v>
      </c>
      <c r="Y41" s="2">
        <v>8311</v>
      </c>
    </row>
    <row r="42" spans="1:42" customFormat="1">
      <c r="A42" s="21" t="s">
        <v>45</v>
      </c>
      <c r="B42" s="22">
        <v>20362275</v>
      </c>
      <c r="C42" s="22">
        <v>899987</v>
      </c>
      <c r="D42" s="22">
        <v>682159</v>
      </c>
      <c r="E42" s="22"/>
      <c r="F42" s="22"/>
      <c r="G42" s="22"/>
      <c r="H42" s="22">
        <v>19332973</v>
      </c>
      <c r="I42" s="22">
        <v>904562</v>
      </c>
      <c r="J42" s="22">
        <v>565159</v>
      </c>
      <c r="K42" s="52">
        <v>44.9</v>
      </c>
      <c r="L42" s="52">
        <v>34</v>
      </c>
      <c r="M42" s="5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3"/>
      <c r="AA42" s="23"/>
      <c r="AB42" s="23"/>
      <c r="AD42" s="83">
        <f>SUM(AD2:AD39)</f>
        <v>20359087</v>
      </c>
      <c r="AE42" s="83">
        <f>SUM(AE2:AE39)</f>
        <v>900005</v>
      </c>
      <c r="AF42" s="83">
        <f>SUM(AF2:AF39)</f>
        <v>682225</v>
      </c>
      <c r="AH42" s="83">
        <f>B42-AD42</f>
        <v>3188</v>
      </c>
      <c r="AI42" s="83">
        <f>C42-AE42</f>
        <v>-18</v>
      </c>
      <c r="AJ42" s="83">
        <f>D42-AF42</f>
        <v>-66</v>
      </c>
      <c r="AL42" s="82">
        <f>C42/B42*1000</f>
        <v>44.198744983063037</v>
      </c>
      <c r="AM42" s="82">
        <f>D42/B42*1000</f>
        <v>33.501119103832949</v>
      </c>
      <c r="AN42" s="82"/>
      <c r="AO42" s="82">
        <f>AL42-K42</f>
        <v>-0.70125501693696179</v>
      </c>
      <c r="AP42" s="82">
        <f>AM42-L42</f>
        <v>-0.49888089616705145</v>
      </c>
    </row>
    <row r="43" spans="1:42" customFormat="1">
      <c r="A43" s="18" t="s">
        <v>46</v>
      </c>
      <c r="B43" s="19">
        <v>498448</v>
      </c>
      <c r="C43" s="19">
        <v>22079</v>
      </c>
      <c r="D43" s="19">
        <v>15047</v>
      </c>
      <c r="E43" s="19"/>
      <c r="F43" s="19"/>
      <c r="G43" s="19"/>
      <c r="H43" s="19">
        <v>454176</v>
      </c>
      <c r="I43" s="19">
        <v>19499</v>
      </c>
      <c r="J43" s="19">
        <v>12389</v>
      </c>
      <c r="K43" s="51">
        <v>44.3</v>
      </c>
      <c r="L43" s="51">
        <v>30.2</v>
      </c>
      <c r="M43" s="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"/>
      <c r="AA43" s="20"/>
      <c r="AB43" s="20"/>
      <c r="AD43" s="73">
        <f>B43</f>
        <v>498448</v>
      </c>
      <c r="AE43" s="73">
        <f>C43</f>
        <v>22079</v>
      </c>
      <c r="AF43" s="73">
        <f>D43</f>
        <v>15047</v>
      </c>
      <c r="AH43" s="73">
        <f t="shared" ref="AH43:AJ44" si="0">AD43-B43</f>
        <v>0</v>
      </c>
      <c r="AI43" s="73">
        <f t="shared" si="0"/>
        <v>0</v>
      </c>
      <c r="AJ43" s="73">
        <f t="shared" si="0"/>
        <v>0</v>
      </c>
      <c r="AL43" s="74"/>
      <c r="AM43" s="74"/>
      <c r="AN43" s="79"/>
      <c r="AO43" s="74"/>
      <c r="AP43" s="74"/>
    </row>
    <row r="44" spans="1:42" customFormat="1">
      <c r="A44" s="18" t="s">
        <v>47</v>
      </c>
      <c r="B44" s="19">
        <v>1096542</v>
      </c>
      <c r="C44" s="19">
        <v>42088</v>
      </c>
      <c r="D44" s="19">
        <v>30040</v>
      </c>
      <c r="E44" s="19">
        <v>78918</v>
      </c>
      <c r="F44" s="19">
        <v>2578</v>
      </c>
      <c r="G44" s="19">
        <v>2182</v>
      </c>
      <c r="H44" s="19">
        <v>1028503</v>
      </c>
      <c r="I44" s="19">
        <v>43098</v>
      </c>
      <c r="J44" s="19">
        <v>27624</v>
      </c>
      <c r="K44" s="51">
        <v>38.4</v>
      </c>
      <c r="L44" s="51">
        <v>27.4</v>
      </c>
      <c r="M44" s="5"/>
      <c r="N44" s="19">
        <v>135308</v>
      </c>
      <c r="O44" s="19">
        <v>112029</v>
      </c>
      <c r="P44" s="19">
        <v>90000</v>
      </c>
      <c r="Q44" s="19">
        <v>121757</v>
      </c>
      <c r="R44" s="19">
        <v>88714</v>
      </c>
      <c r="S44" s="19">
        <v>85026</v>
      </c>
      <c r="T44" s="19">
        <v>87692</v>
      </c>
      <c r="U44" s="19">
        <v>87705</v>
      </c>
      <c r="V44" s="19">
        <v>90996</v>
      </c>
      <c r="W44" s="19">
        <v>69411</v>
      </c>
      <c r="X44" s="19">
        <v>44682</v>
      </c>
      <c r="Y44" s="19">
        <v>83222</v>
      </c>
      <c r="Z44" s="20"/>
      <c r="AA44" s="20"/>
      <c r="AB44" s="20"/>
      <c r="AD44" s="73">
        <f>SUM(N44:AB44)</f>
        <v>1096542</v>
      </c>
      <c r="AE44" s="73">
        <f>SUM(N45:AB45)</f>
        <v>42088</v>
      </c>
      <c r="AF44" s="73">
        <f>SUM(N46:AB46)</f>
        <v>30040</v>
      </c>
      <c r="AH44" s="73">
        <f t="shared" si="0"/>
        <v>0</v>
      </c>
      <c r="AI44" s="73">
        <f t="shared" si="0"/>
        <v>0</v>
      </c>
      <c r="AJ44" s="73">
        <f t="shared" si="0"/>
        <v>0</v>
      </c>
      <c r="AL44" s="74">
        <f>C44/B44*1000</f>
        <v>38.382478737704524</v>
      </c>
      <c r="AM44" s="74">
        <f>D44/B44*1000</f>
        <v>27.395211492127068</v>
      </c>
      <c r="AN44" s="79"/>
      <c r="AO44" s="74">
        <f>AL44-K44</f>
        <v>-1.7521262295474571E-2</v>
      </c>
      <c r="AP44" s="74">
        <f>AM44-L44</f>
        <v>-4.7885078729308361E-3</v>
      </c>
    </row>
    <row r="45" spans="1:42" customFormat="1">
      <c r="A45" s="13" t="s">
        <v>48</v>
      </c>
      <c r="B45" s="2"/>
      <c r="C45" s="2"/>
      <c r="D45" s="2"/>
      <c r="E45" s="2"/>
      <c r="F45" s="2"/>
      <c r="G45" s="2"/>
      <c r="H45" s="2"/>
      <c r="I45" s="2"/>
      <c r="J45" s="2"/>
      <c r="K45" s="50"/>
      <c r="L45" s="50"/>
      <c r="M45" s="5"/>
      <c r="N45" s="2">
        <v>5764</v>
      </c>
      <c r="O45" s="2">
        <v>3959</v>
      </c>
      <c r="P45" s="2">
        <v>3200</v>
      </c>
      <c r="Q45" s="2">
        <v>3790</v>
      </c>
      <c r="R45" s="2">
        <v>3918</v>
      </c>
      <c r="S45" s="2">
        <v>3448</v>
      </c>
      <c r="T45" s="2">
        <v>3008</v>
      </c>
      <c r="U45" s="2">
        <v>4467</v>
      </c>
      <c r="V45" s="2">
        <v>2744</v>
      </c>
      <c r="W45" s="2">
        <v>2806</v>
      </c>
      <c r="X45" s="2">
        <v>2106</v>
      </c>
      <c r="Y45" s="2">
        <v>2878</v>
      </c>
    </row>
    <row r="46" spans="1:42" customFormat="1">
      <c r="A46" s="13" t="s">
        <v>49</v>
      </c>
      <c r="B46" s="2"/>
      <c r="C46" s="2"/>
      <c r="D46" s="2"/>
      <c r="E46" s="2"/>
      <c r="F46" s="2"/>
      <c r="G46" s="2"/>
      <c r="H46" s="2"/>
      <c r="I46" s="2"/>
      <c r="J46" s="2"/>
      <c r="K46" s="50"/>
      <c r="L46" s="50"/>
      <c r="M46" s="5"/>
      <c r="N46" s="2">
        <v>4724</v>
      </c>
      <c r="O46" s="2">
        <v>2757</v>
      </c>
      <c r="P46" s="2">
        <v>2600</v>
      </c>
      <c r="Q46" s="2">
        <v>2832</v>
      </c>
      <c r="R46" s="2">
        <v>2649</v>
      </c>
      <c r="S46" s="2">
        <v>2910</v>
      </c>
      <c r="T46" s="2">
        <v>2188</v>
      </c>
      <c r="U46" s="2">
        <v>2684</v>
      </c>
      <c r="V46" s="2">
        <v>2122</v>
      </c>
      <c r="W46" s="2">
        <v>1670</v>
      </c>
      <c r="X46" s="2">
        <v>962</v>
      </c>
      <c r="Y46" s="2">
        <v>1942</v>
      </c>
    </row>
    <row r="47" spans="1:42" customFormat="1">
      <c r="A47" s="18" t="s">
        <v>50</v>
      </c>
      <c r="B47" s="19">
        <v>909173</v>
      </c>
      <c r="C47" s="19">
        <v>31911</v>
      </c>
      <c r="D47" s="19">
        <v>20583</v>
      </c>
      <c r="E47" s="19">
        <v>66771</v>
      </c>
      <c r="F47" s="19">
        <v>1499</v>
      </c>
      <c r="G47" s="19">
        <v>1234</v>
      </c>
      <c r="H47" s="19">
        <v>864762</v>
      </c>
      <c r="I47" s="19">
        <v>34190</v>
      </c>
      <c r="J47" s="19">
        <v>20012</v>
      </c>
      <c r="K47" s="51">
        <v>35.1</v>
      </c>
      <c r="L47" s="51">
        <v>22.6</v>
      </c>
      <c r="M47" s="5"/>
      <c r="N47" s="19">
        <v>120488</v>
      </c>
      <c r="O47" s="19">
        <v>140984</v>
      </c>
      <c r="P47" s="19">
        <v>108505</v>
      </c>
      <c r="Q47" s="19">
        <v>91570</v>
      </c>
      <c r="R47" s="19">
        <v>120825</v>
      </c>
      <c r="S47" s="19">
        <v>90003</v>
      </c>
      <c r="T47" s="19">
        <v>131350</v>
      </c>
      <c r="U47" s="19">
        <v>105448</v>
      </c>
      <c r="V47" s="19"/>
      <c r="W47" s="19"/>
      <c r="X47" s="19"/>
      <c r="Y47" s="19"/>
      <c r="Z47" s="20"/>
      <c r="AA47" s="20"/>
      <c r="AB47" s="20"/>
      <c r="AD47" s="73">
        <f>SUM(N47:AB47)</f>
        <v>909173</v>
      </c>
      <c r="AE47" s="73">
        <f>SUM(N48:AB48)</f>
        <v>31911</v>
      </c>
      <c r="AF47" s="73">
        <f>SUM(N49:AB49)</f>
        <v>20583</v>
      </c>
      <c r="AH47" s="73">
        <f>AD47-B47</f>
        <v>0</v>
      </c>
      <c r="AI47" s="73">
        <f>AE47-C47</f>
        <v>0</v>
      </c>
      <c r="AJ47" s="73">
        <f>AF47-D47</f>
        <v>0</v>
      </c>
      <c r="AL47" s="74">
        <f>C47/B47*1000</f>
        <v>35.098930566569841</v>
      </c>
      <c r="AM47" s="74">
        <f>D47/B47*1000</f>
        <v>22.639255675212528</v>
      </c>
      <c r="AN47" s="79"/>
      <c r="AO47" s="74">
        <f>AL47-K47</f>
        <v>-1.0694334301604158E-3</v>
      </c>
      <c r="AP47" s="74">
        <f>AM47-L47</f>
        <v>3.9255675212526597E-2</v>
      </c>
    </row>
    <row r="48" spans="1:42" customFormat="1">
      <c r="A48" s="13" t="s">
        <v>51</v>
      </c>
      <c r="B48" s="2"/>
      <c r="C48" s="2"/>
      <c r="D48" s="2"/>
      <c r="E48" s="2"/>
      <c r="F48" s="2"/>
      <c r="G48" s="2"/>
      <c r="H48" s="2"/>
      <c r="I48" s="2"/>
      <c r="J48" s="2"/>
      <c r="K48" s="50"/>
      <c r="L48" s="50"/>
      <c r="M48" s="5"/>
      <c r="N48" s="2">
        <v>3930</v>
      </c>
      <c r="O48" s="2">
        <v>5303</v>
      </c>
      <c r="P48" s="2">
        <v>3255</v>
      </c>
      <c r="Q48" s="2">
        <v>3162</v>
      </c>
      <c r="R48" s="2">
        <v>4285</v>
      </c>
      <c r="S48" s="2">
        <v>4241</v>
      </c>
      <c r="T48" s="2">
        <v>4242</v>
      </c>
      <c r="U48" s="2">
        <v>3493</v>
      </c>
      <c r="V48" s="2"/>
      <c r="W48" s="2"/>
      <c r="X48" s="2"/>
      <c r="Y48" s="2"/>
    </row>
    <row r="49" spans="1:42" customFormat="1">
      <c r="A49" s="13" t="s">
        <v>52</v>
      </c>
      <c r="B49" s="2"/>
      <c r="C49" s="2"/>
      <c r="D49" s="2"/>
      <c r="E49" s="2"/>
      <c r="F49" s="2"/>
      <c r="G49" s="2"/>
      <c r="H49" s="2"/>
      <c r="I49" s="2"/>
      <c r="J49" s="2"/>
      <c r="K49" s="50"/>
      <c r="L49" s="50"/>
      <c r="M49" s="5"/>
      <c r="N49" s="2">
        <v>2991</v>
      </c>
      <c r="O49" s="2">
        <v>3166</v>
      </c>
      <c r="P49" s="2">
        <v>2556</v>
      </c>
      <c r="Q49" s="2">
        <v>1928</v>
      </c>
      <c r="R49" s="2">
        <v>2612</v>
      </c>
      <c r="S49" s="2">
        <v>2119</v>
      </c>
      <c r="T49" s="2">
        <v>2902</v>
      </c>
      <c r="U49" s="2">
        <v>2309</v>
      </c>
      <c r="V49" s="2"/>
      <c r="W49" s="2"/>
      <c r="X49" s="2"/>
      <c r="Y49" s="2"/>
    </row>
    <row r="50" spans="1:42" customFormat="1">
      <c r="A50" s="18" t="s">
        <v>53</v>
      </c>
      <c r="B50" s="19">
        <v>791321</v>
      </c>
      <c r="C50" s="19">
        <v>27747</v>
      </c>
      <c r="D50" s="19">
        <v>22226</v>
      </c>
      <c r="E50" s="19">
        <v>58321</v>
      </c>
      <c r="F50" s="19">
        <v>1845</v>
      </c>
      <c r="G50" s="19">
        <v>1228</v>
      </c>
      <c r="H50" s="19">
        <v>721595</v>
      </c>
      <c r="I50" s="19">
        <v>26842</v>
      </c>
      <c r="J50" s="19">
        <v>15817</v>
      </c>
      <c r="K50" s="51">
        <v>35.1</v>
      </c>
      <c r="L50" s="51">
        <v>28.1</v>
      </c>
      <c r="M50" s="5"/>
      <c r="N50" s="19">
        <v>144528</v>
      </c>
      <c r="O50" s="19">
        <v>76685</v>
      </c>
      <c r="P50" s="19">
        <v>80380</v>
      </c>
      <c r="Q50" s="19">
        <v>117974</v>
      </c>
      <c r="R50" s="19">
        <v>120429</v>
      </c>
      <c r="S50" s="19">
        <v>115544</v>
      </c>
      <c r="T50" s="19">
        <v>135784</v>
      </c>
      <c r="U50" s="19"/>
      <c r="V50" s="19"/>
      <c r="W50" s="19"/>
      <c r="X50" s="19"/>
      <c r="Y50" s="19"/>
      <c r="Z50" s="20"/>
      <c r="AA50" s="20"/>
      <c r="AB50" s="20"/>
      <c r="AD50" s="73">
        <f>SUM(N50:AB50)</f>
        <v>791324</v>
      </c>
      <c r="AE50" s="73">
        <f>SUM(N51:AB51)</f>
        <v>27747</v>
      </c>
      <c r="AF50" s="73">
        <f>SUM(N52:AB52)</f>
        <v>22226</v>
      </c>
      <c r="AH50" s="73">
        <f>AD50-B50</f>
        <v>3</v>
      </c>
      <c r="AI50" s="73">
        <f>AE50-C50</f>
        <v>0</v>
      </c>
      <c r="AJ50" s="73">
        <f>AF50-D50</f>
        <v>0</v>
      </c>
      <c r="AL50" s="74">
        <f>C50/B50*1000</f>
        <v>35.064152221412044</v>
      </c>
      <c r="AM50" s="74">
        <f>D50/B50*1000</f>
        <v>28.087211131765745</v>
      </c>
      <c r="AN50" s="79"/>
      <c r="AO50" s="74">
        <f>AL50-K50</f>
        <v>-3.584777858795718E-2</v>
      </c>
      <c r="AP50" s="74">
        <f>AM50-L50</f>
        <v>-1.2788868234256512E-2</v>
      </c>
    </row>
    <row r="51" spans="1:42" customFormat="1">
      <c r="A51" s="13" t="s">
        <v>54</v>
      </c>
      <c r="B51" s="2"/>
      <c r="C51" s="2"/>
      <c r="D51" s="2"/>
      <c r="E51" s="2"/>
      <c r="F51" s="2"/>
      <c r="G51" s="2"/>
      <c r="H51" s="2"/>
      <c r="I51" s="2"/>
      <c r="J51" s="2"/>
      <c r="K51" s="50"/>
      <c r="L51" s="50"/>
      <c r="M51" s="5"/>
      <c r="N51" s="2">
        <v>4913</v>
      </c>
      <c r="O51" s="2">
        <v>2632</v>
      </c>
      <c r="P51" s="2">
        <v>2813</v>
      </c>
      <c r="Q51" s="2">
        <v>4394</v>
      </c>
      <c r="R51" s="2">
        <v>4249</v>
      </c>
      <c r="S51" s="2">
        <v>3918</v>
      </c>
      <c r="T51" s="2">
        <v>4828</v>
      </c>
      <c r="U51" s="2"/>
      <c r="V51" s="2"/>
      <c r="W51" s="2"/>
      <c r="X51" s="2"/>
      <c r="Y51" s="2"/>
    </row>
    <row r="52" spans="1:42" customFormat="1">
      <c r="A52" s="13" t="s">
        <v>55</v>
      </c>
      <c r="B52" s="2"/>
      <c r="C52" s="2"/>
      <c r="D52" s="2"/>
      <c r="E52" s="2"/>
      <c r="F52" s="2"/>
      <c r="G52" s="2"/>
      <c r="H52" s="2"/>
      <c r="I52" s="2"/>
      <c r="J52" s="2"/>
      <c r="K52" s="50"/>
      <c r="L52" s="50"/>
      <c r="M52" s="5"/>
      <c r="N52" s="2">
        <v>3339</v>
      </c>
      <c r="O52" s="2">
        <v>2228</v>
      </c>
      <c r="P52" s="2">
        <v>2008</v>
      </c>
      <c r="Q52" s="2">
        <v>4151</v>
      </c>
      <c r="R52" s="2">
        <v>3556</v>
      </c>
      <c r="S52" s="2">
        <v>3451</v>
      </c>
      <c r="T52" s="2">
        <v>3493</v>
      </c>
      <c r="U52" s="2"/>
      <c r="V52" s="2"/>
      <c r="W52" s="2"/>
      <c r="X52" s="2"/>
      <c r="Y52" s="2"/>
    </row>
    <row r="53" spans="1:42" customFormat="1">
      <c r="A53" s="18" t="s">
        <v>56</v>
      </c>
      <c r="B53" s="19">
        <v>687220</v>
      </c>
      <c r="C53" s="19">
        <v>24307</v>
      </c>
      <c r="D53" s="19">
        <v>21060</v>
      </c>
      <c r="E53" s="19">
        <v>67521</v>
      </c>
      <c r="F53" s="19">
        <v>1953</v>
      </c>
      <c r="G53" s="19">
        <v>2048</v>
      </c>
      <c r="H53" s="19">
        <v>635617</v>
      </c>
      <c r="I53" s="19">
        <v>25394</v>
      </c>
      <c r="J53" s="19">
        <v>17410</v>
      </c>
      <c r="K53" s="51">
        <v>35.4</v>
      </c>
      <c r="L53" s="51">
        <v>30.7</v>
      </c>
      <c r="M53" s="5"/>
      <c r="N53" s="19">
        <v>109717</v>
      </c>
      <c r="O53" s="19">
        <v>79775</v>
      </c>
      <c r="P53" s="19">
        <v>77134</v>
      </c>
      <c r="Q53" s="19">
        <v>65286</v>
      </c>
      <c r="R53" s="19">
        <v>97310</v>
      </c>
      <c r="S53" s="19">
        <v>79790</v>
      </c>
      <c r="T53" s="19">
        <v>109654</v>
      </c>
      <c r="U53" s="19">
        <v>68554</v>
      </c>
      <c r="V53" s="19"/>
      <c r="W53" s="19"/>
      <c r="X53" s="19"/>
      <c r="Y53" s="19"/>
      <c r="Z53" s="20"/>
      <c r="AA53" s="20"/>
      <c r="AB53" s="20"/>
      <c r="AD53" s="73">
        <f>SUM(N53:AB53)</f>
        <v>687220</v>
      </c>
      <c r="AE53" s="73">
        <f>SUM(N54:AB54)</f>
        <v>24307</v>
      </c>
      <c r="AF53" s="73">
        <f>SUM(N55:AB55)</f>
        <v>21060</v>
      </c>
      <c r="AH53" s="73">
        <f>AD53-B53</f>
        <v>0</v>
      </c>
      <c r="AI53" s="73">
        <f>AE53-C53</f>
        <v>0</v>
      </c>
      <c r="AJ53" s="73">
        <f>AF53-D53</f>
        <v>0</v>
      </c>
      <c r="AL53" s="74">
        <f>C53/B53*1000</f>
        <v>35.37004161694945</v>
      </c>
      <c r="AM53" s="74">
        <f>D53/B53*1000</f>
        <v>30.645208230261055</v>
      </c>
      <c r="AN53" s="79"/>
      <c r="AO53" s="74">
        <f>AL53-K53</f>
        <v>-2.9958383050548321E-2</v>
      </c>
      <c r="AP53" s="74">
        <f>AM53-L53</f>
        <v>-5.4791769738944396E-2</v>
      </c>
    </row>
    <row r="54" spans="1:42" customFormat="1">
      <c r="A54" s="13" t="s">
        <v>57</v>
      </c>
      <c r="B54" s="2"/>
      <c r="C54" s="2"/>
      <c r="D54" s="2"/>
      <c r="E54" s="2"/>
      <c r="F54" s="2"/>
      <c r="G54" s="2"/>
      <c r="H54" s="2"/>
      <c r="I54" s="2"/>
      <c r="J54" s="2"/>
      <c r="K54" s="50"/>
      <c r="L54" s="50"/>
      <c r="M54" s="5"/>
      <c r="N54" s="2">
        <v>3816</v>
      </c>
      <c r="O54" s="2">
        <v>2800</v>
      </c>
      <c r="P54" s="2">
        <v>2188</v>
      </c>
      <c r="Q54" s="2">
        <v>2598</v>
      </c>
      <c r="R54" s="2">
        <v>3330</v>
      </c>
      <c r="S54" s="2">
        <v>3150</v>
      </c>
      <c r="T54" s="2">
        <v>4197</v>
      </c>
      <c r="U54" s="2">
        <v>2228</v>
      </c>
      <c r="V54" s="2"/>
      <c r="W54" s="2"/>
      <c r="X54" s="2"/>
      <c r="Y54" s="2"/>
    </row>
    <row r="55" spans="1:42" customFormat="1">
      <c r="A55" s="13" t="s">
        <v>58</v>
      </c>
      <c r="B55" s="2"/>
      <c r="C55" s="2"/>
      <c r="D55" s="2"/>
      <c r="E55" s="2"/>
      <c r="F55" s="2"/>
      <c r="G55" s="2"/>
      <c r="H55" s="2"/>
      <c r="I55" s="2"/>
      <c r="J55" s="2"/>
      <c r="K55" s="50"/>
      <c r="L55" s="50"/>
      <c r="M55" s="5"/>
      <c r="N55" s="2">
        <v>3560</v>
      </c>
      <c r="O55" s="2">
        <v>2546</v>
      </c>
      <c r="P55" s="2">
        <v>1827</v>
      </c>
      <c r="Q55" s="2">
        <v>2284</v>
      </c>
      <c r="R55" s="2">
        <v>2682</v>
      </c>
      <c r="S55" s="2">
        <v>2521</v>
      </c>
      <c r="T55" s="2">
        <v>3028</v>
      </c>
      <c r="U55" s="2">
        <v>2612</v>
      </c>
      <c r="V55" s="2"/>
      <c r="W55" s="2"/>
      <c r="X55" s="2"/>
      <c r="Y55" s="2"/>
    </row>
    <row r="56" spans="1:42" customFormat="1">
      <c r="A56" s="18" t="s">
        <v>59</v>
      </c>
      <c r="B56" s="19">
        <v>1116298</v>
      </c>
      <c r="C56" s="19">
        <v>41731</v>
      </c>
      <c r="D56" s="19">
        <v>29573</v>
      </c>
      <c r="E56" s="19">
        <v>131779</v>
      </c>
      <c r="F56" s="19">
        <v>3659</v>
      </c>
      <c r="G56" s="19">
        <v>3161</v>
      </c>
      <c r="H56" s="19">
        <v>1059331</v>
      </c>
      <c r="I56" s="19">
        <v>42231</v>
      </c>
      <c r="J56" s="19">
        <v>25522</v>
      </c>
      <c r="K56" s="51">
        <v>37.4</v>
      </c>
      <c r="L56" s="51">
        <v>26.5</v>
      </c>
      <c r="M56" s="5"/>
      <c r="N56" s="19">
        <v>160102</v>
      </c>
      <c r="O56" s="19">
        <v>99604</v>
      </c>
      <c r="P56" s="19">
        <v>104021</v>
      </c>
      <c r="Q56" s="19">
        <v>108696</v>
      </c>
      <c r="R56" s="19">
        <v>98070</v>
      </c>
      <c r="S56" s="19">
        <v>90313</v>
      </c>
      <c r="T56" s="19">
        <v>125837</v>
      </c>
      <c r="U56" s="19">
        <v>93740</v>
      </c>
      <c r="V56" s="19">
        <v>126259</v>
      </c>
      <c r="W56" s="19">
        <v>109656</v>
      </c>
      <c r="X56" s="19"/>
      <c r="Y56" s="19"/>
      <c r="Z56" s="20"/>
      <c r="AA56" s="20"/>
      <c r="AB56" s="20"/>
      <c r="AD56" s="73">
        <f>SUM(N56:AB56)</f>
        <v>1116298</v>
      </c>
      <c r="AE56" s="73">
        <f>SUM(N57:AB57)</f>
        <v>41731</v>
      </c>
      <c r="AF56" s="73">
        <f>SUM(N58:AB58)</f>
        <v>29573</v>
      </c>
      <c r="AH56" s="73">
        <f>AD56-B56</f>
        <v>0</v>
      </c>
      <c r="AI56" s="73">
        <f>AE56-C56</f>
        <v>0</v>
      </c>
      <c r="AJ56" s="73">
        <f>AF56-D56</f>
        <v>0</v>
      </c>
      <c r="AL56" s="74">
        <f>C56/B56*1000</f>
        <v>37.383386873397605</v>
      </c>
      <c r="AM56" s="74">
        <f>D56/B56*1000</f>
        <v>26.492029905992844</v>
      </c>
      <c r="AN56" s="79"/>
      <c r="AO56" s="74">
        <f>AL56-K56</f>
        <v>-1.6613126602393891E-2</v>
      </c>
      <c r="AP56" s="74">
        <f>AM56-L56</f>
        <v>-7.9700940071560922E-3</v>
      </c>
    </row>
    <row r="57" spans="1:42" customFormat="1">
      <c r="A57" s="13" t="s">
        <v>60</v>
      </c>
      <c r="B57" s="2"/>
      <c r="C57" s="2"/>
      <c r="D57" s="2"/>
      <c r="E57" s="2"/>
      <c r="F57" s="2"/>
      <c r="G57" s="2"/>
      <c r="H57" s="2"/>
      <c r="I57" s="2"/>
      <c r="J57" s="2"/>
      <c r="K57" s="50"/>
      <c r="L57" s="50"/>
      <c r="M57" s="5"/>
      <c r="N57" s="2">
        <v>5649</v>
      </c>
      <c r="O57" s="2">
        <v>3211</v>
      </c>
      <c r="P57" s="2">
        <v>4259</v>
      </c>
      <c r="Q57" s="2">
        <v>3964</v>
      </c>
      <c r="R57" s="2">
        <v>3287</v>
      </c>
      <c r="S57" s="2">
        <v>3083</v>
      </c>
      <c r="T57" s="2">
        <v>4832</v>
      </c>
      <c r="U57" s="2">
        <v>4061</v>
      </c>
      <c r="V57" s="2">
        <v>4678</v>
      </c>
      <c r="W57" s="2">
        <v>4707</v>
      </c>
      <c r="X57" s="2"/>
      <c r="Y57" s="2"/>
    </row>
    <row r="58" spans="1:42" customFormat="1">
      <c r="A58" s="13" t="s">
        <v>61</v>
      </c>
      <c r="B58" s="2"/>
      <c r="C58" s="2"/>
      <c r="D58" s="2"/>
      <c r="E58" s="2"/>
      <c r="F58" s="2"/>
      <c r="G58" s="2"/>
      <c r="H58" s="2"/>
      <c r="I58" s="2"/>
      <c r="J58" s="2"/>
      <c r="K58" s="50"/>
      <c r="L58" s="50"/>
      <c r="M58" s="5"/>
      <c r="N58" s="2">
        <v>4358</v>
      </c>
      <c r="O58" s="2">
        <v>3011</v>
      </c>
      <c r="P58" s="2">
        <v>3521</v>
      </c>
      <c r="Q58" s="2">
        <v>2505</v>
      </c>
      <c r="R58" s="2">
        <v>1884</v>
      </c>
      <c r="S58" s="2">
        <v>2264</v>
      </c>
      <c r="T58" s="2">
        <v>3709</v>
      </c>
      <c r="U58" s="2">
        <v>2834</v>
      </c>
      <c r="V58" s="2">
        <v>2955</v>
      </c>
      <c r="W58" s="2">
        <v>2532</v>
      </c>
      <c r="X58" s="2"/>
      <c r="Y58" s="2"/>
    </row>
    <row r="59" spans="1:42" customFormat="1">
      <c r="A59" s="18" t="s">
        <v>62</v>
      </c>
      <c r="B59" s="19">
        <v>1277095</v>
      </c>
      <c r="C59" s="19">
        <v>49493</v>
      </c>
      <c r="D59" s="19">
        <v>32558</v>
      </c>
      <c r="E59" s="19">
        <v>256761</v>
      </c>
      <c r="F59" s="19">
        <v>11416</v>
      </c>
      <c r="G59" s="19">
        <v>8056</v>
      </c>
      <c r="H59" s="19">
        <v>1173375</v>
      </c>
      <c r="I59" s="19">
        <v>44251</v>
      </c>
      <c r="J59" s="19">
        <v>24839</v>
      </c>
      <c r="K59" s="51">
        <v>38.799999999999997</v>
      </c>
      <c r="L59" s="51">
        <v>25.5</v>
      </c>
      <c r="M59" s="5"/>
      <c r="N59" s="19">
        <v>177868</v>
      </c>
      <c r="O59" s="19">
        <v>190067</v>
      </c>
      <c r="P59" s="19">
        <v>110706</v>
      </c>
      <c r="Q59" s="19">
        <v>126939</v>
      </c>
      <c r="R59" s="19">
        <v>288807</v>
      </c>
      <c r="S59" s="19">
        <v>145763</v>
      </c>
      <c r="T59" s="19">
        <v>82756</v>
      </c>
      <c r="U59" s="19">
        <v>154190</v>
      </c>
      <c r="V59" s="19"/>
      <c r="W59" s="19"/>
      <c r="X59" s="19"/>
      <c r="Y59" s="19"/>
      <c r="Z59" s="20"/>
      <c r="AA59" s="20"/>
      <c r="AB59" s="20"/>
      <c r="AD59" s="73">
        <f>SUM(N59:AB59)</f>
        <v>1277096</v>
      </c>
      <c r="AE59" s="73">
        <f>SUM(N60:AB60)</f>
        <v>49493</v>
      </c>
      <c r="AF59" s="73">
        <f>SUM(N61:AB61)</f>
        <v>32558</v>
      </c>
      <c r="AH59" s="73">
        <f>AD59-B59</f>
        <v>1</v>
      </c>
      <c r="AI59" s="73">
        <f>AE59-C59</f>
        <v>0</v>
      </c>
      <c r="AJ59" s="73">
        <f>AF59-D59</f>
        <v>0</v>
      </c>
      <c r="AL59" s="74">
        <f>C59/B59*1000</f>
        <v>38.75436048218809</v>
      </c>
      <c r="AM59" s="74">
        <f>D59/B59*1000</f>
        <v>25.493796467764732</v>
      </c>
      <c r="AN59" s="79"/>
      <c r="AO59" s="74">
        <f>AL59-K59</f>
        <v>-4.5639517811906671E-2</v>
      </c>
      <c r="AP59" s="74">
        <f>AM59-L59</f>
        <v>-6.203532235268483E-3</v>
      </c>
    </row>
    <row r="60" spans="1:42" customFormat="1">
      <c r="A60" s="13" t="s">
        <v>63</v>
      </c>
      <c r="B60" s="2"/>
      <c r="C60" s="2"/>
      <c r="D60" s="2"/>
      <c r="E60" s="2"/>
      <c r="F60" s="2"/>
      <c r="G60" s="2"/>
      <c r="H60" s="2"/>
      <c r="I60" s="2"/>
      <c r="J60" s="2"/>
      <c r="K60" s="50"/>
      <c r="L60" s="50"/>
      <c r="M60" s="5"/>
      <c r="N60" s="2">
        <v>4854</v>
      </c>
      <c r="O60" s="2">
        <v>7821</v>
      </c>
      <c r="P60" s="2">
        <v>4312</v>
      </c>
      <c r="Q60" s="2">
        <v>4724</v>
      </c>
      <c r="R60" s="2">
        <v>13447</v>
      </c>
      <c r="S60" s="2">
        <v>4907</v>
      </c>
      <c r="T60" s="2">
        <v>3382</v>
      </c>
      <c r="U60" s="2">
        <v>6046</v>
      </c>
      <c r="V60" s="2"/>
      <c r="W60" s="2"/>
      <c r="X60" s="2"/>
      <c r="Y60" s="2"/>
    </row>
    <row r="61" spans="1:42" customFormat="1">
      <c r="A61" s="13" t="s">
        <v>64</v>
      </c>
      <c r="B61" s="2"/>
      <c r="C61" s="2"/>
      <c r="D61" s="2"/>
      <c r="E61" s="2"/>
      <c r="F61" s="2"/>
      <c r="G61" s="2"/>
      <c r="H61" s="2"/>
      <c r="I61" s="2"/>
      <c r="J61" s="2"/>
      <c r="K61" s="50"/>
      <c r="L61" s="50"/>
      <c r="M61" s="5"/>
      <c r="N61" s="2">
        <v>3481</v>
      </c>
      <c r="O61" s="2">
        <v>5900</v>
      </c>
      <c r="P61" s="2">
        <v>2383</v>
      </c>
      <c r="Q61" s="2">
        <v>2944</v>
      </c>
      <c r="R61" s="2">
        <v>7963</v>
      </c>
      <c r="S61" s="2">
        <v>3202</v>
      </c>
      <c r="T61" s="2">
        <v>2381</v>
      </c>
      <c r="U61" s="2">
        <v>4304</v>
      </c>
      <c r="V61" s="2"/>
      <c r="W61" s="2"/>
      <c r="X61" s="2"/>
      <c r="Y61" s="2"/>
    </row>
    <row r="62" spans="1:42" customFormat="1">
      <c r="A62" s="18" t="s">
        <v>65</v>
      </c>
      <c r="B62" s="19">
        <v>666542</v>
      </c>
      <c r="C62" s="19">
        <v>24237</v>
      </c>
      <c r="D62" s="19">
        <v>17698</v>
      </c>
      <c r="E62" s="19"/>
      <c r="F62" s="19"/>
      <c r="G62" s="19"/>
      <c r="H62" s="19">
        <v>638742</v>
      </c>
      <c r="I62" s="19">
        <v>25153</v>
      </c>
      <c r="J62" s="19">
        <v>16038</v>
      </c>
      <c r="K62" s="51">
        <v>36.299999999999997</v>
      </c>
      <c r="L62" s="51">
        <v>26.5</v>
      </c>
      <c r="M62" s="5"/>
      <c r="N62" s="19">
        <v>108874</v>
      </c>
      <c r="O62" s="19">
        <v>93054</v>
      </c>
      <c r="P62" s="19">
        <v>90200</v>
      </c>
      <c r="Q62" s="19">
        <v>90377</v>
      </c>
      <c r="R62" s="19">
        <v>73302</v>
      </c>
      <c r="S62" s="19">
        <v>64485</v>
      </c>
      <c r="T62" s="19">
        <v>70243</v>
      </c>
      <c r="U62" s="19">
        <v>76007</v>
      </c>
      <c r="V62" s="19"/>
      <c r="W62" s="19"/>
      <c r="X62" s="19"/>
      <c r="Y62" s="19"/>
      <c r="Z62" s="20"/>
      <c r="AA62" s="20"/>
      <c r="AB62" s="20"/>
      <c r="AD62" s="73">
        <f>SUM(N62:AB62)</f>
        <v>666542</v>
      </c>
      <c r="AE62" s="73">
        <f>SUM(N63:AB63)</f>
        <v>24237</v>
      </c>
      <c r="AF62" s="73">
        <f>SUM(N64:AB64)</f>
        <v>17697</v>
      </c>
      <c r="AH62" s="73">
        <f>AD62-B62</f>
        <v>0</v>
      </c>
      <c r="AI62" s="73">
        <f>AE62-C62</f>
        <v>0</v>
      </c>
      <c r="AJ62" s="73">
        <f>AF62-D62</f>
        <v>-1</v>
      </c>
      <c r="AL62" s="74">
        <f>C62/B62*1000</f>
        <v>36.362299750053261</v>
      </c>
      <c r="AM62" s="74">
        <f>D62/B62*1000</f>
        <v>26.55196521749567</v>
      </c>
      <c r="AN62" s="79"/>
      <c r="AO62" s="74">
        <f>AL62-K62</f>
        <v>6.2299750053263381E-2</v>
      </c>
      <c r="AP62" s="74">
        <f>AM62-L62</f>
        <v>5.1965217495670402E-2</v>
      </c>
    </row>
    <row r="63" spans="1:42" customFormat="1">
      <c r="A63" s="13" t="s">
        <v>66</v>
      </c>
      <c r="B63" s="2"/>
      <c r="C63" s="2"/>
      <c r="D63" s="2"/>
      <c r="E63" s="2"/>
      <c r="F63" s="2"/>
      <c r="G63" s="2"/>
      <c r="H63" s="2"/>
      <c r="I63" s="2"/>
      <c r="J63" s="2"/>
      <c r="K63" s="50"/>
      <c r="L63" s="50"/>
      <c r="M63" s="5"/>
      <c r="N63" s="2">
        <v>4560</v>
      </c>
      <c r="O63" s="2">
        <v>3234</v>
      </c>
      <c r="P63" s="2">
        <v>3342</v>
      </c>
      <c r="Q63" s="2">
        <v>3170</v>
      </c>
      <c r="R63" s="2">
        <v>2601</v>
      </c>
      <c r="S63" s="2">
        <v>2720</v>
      </c>
      <c r="T63" s="2">
        <v>2053</v>
      </c>
      <c r="U63" s="2">
        <v>2557</v>
      </c>
      <c r="V63" s="2"/>
      <c r="W63" s="2"/>
      <c r="X63" s="2"/>
      <c r="Y63" s="2"/>
    </row>
    <row r="64" spans="1:42" customFormat="1">
      <c r="A64" s="13" t="s">
        <v>67</v>
      </c>
      <c r="B64" s="2"/>
      <c r="C64" s="2"/>
      <c r="D64" s="2"/>
      <c r="E64" s="2"/>
      <c r="F64" s="2"/>
      <c r="G64" s="2"/>
      <c r="H64" s="2"/>
      <c r="I64" s="2"/>
      <c r="J64" s="2"/>
      <c r="K64" s="50"/>
      <c r="L64" s="50"/>
      <c r="M64" s="5"/>
      <c r="N64" s="2">
        <v>2800</v>
      </c>
      <c r="O64" s="2">
        <v>2075</v>
      </c>
      <c r="P64" s="2">
        <v>2749</v>
      </c>
      <c r="Q64" s="2">
        <v>1881</v>
      </c>
      <c r="R64" s="2">
        <v>1803</v>
      </c>
      <c r="S64" s="2">
        <v>2747</v>
      </c>
      <c r="T64" s="2">
        <v>1695</v>
      </c>
      <c r="U64" s="2">
        <v>1947</v>
      </c>
      <c r="V64" s="2"/>
      <c r="W64" s="2"/>
      <c r="X64" s="2"/>
      <c r="Y64" s="2"/>
    </row>
    <row r="65" spans="1:42" customFormat="1">
      <c r="A65" s="14" t="s">
        <v>68</v>
      </c>
      <c r="B65" s="15">
        <v>812159</v>
      </c>
      <c r="C65" s="15">
        <v>30063</v>
      </c>
      <c r="D65" s="15">
        <v>19314</v>
      </c>
      <c r="E65" s="15">
        <v>52482</v>
      </c>
      <c r="F65" s="15">
        <v>1729</v>
      </c>
      <c r="G65" s="15">
        <v>1365</v>
      </c>
      <c r="H65" s="15">
        <v>754741</v>
      </c>
      <c r="I65" s="15">
        <v>30470</v>
      </c>
      <c r="J65" s="15">
        <v>17131</v>
      </c>
      <c r="K65" s="51">
        <v>37</v>
      </c>
      <c r="L65" s="51">
        <v>23.8</v>
      </c>
      <c r="M65" s="5"/>
      <c r="N65" s="15">
        <v>139894</v>
      </c>
      <c r="O65" s="15">
        <v>108679</v>
      </c>
      <c r="P65" s="15">
        <v>114680</v>
      </c>
      <c r="Q65" s="15">
        <v>117839</v>
      </c>
      <c r="R65" s="15">
        <v>119146</v>
      </c>
      <c r="S65" s="15">
        <v>113401</v>
      </c>
      <c r="T65" s="15">
        <v>98520</v>
      </c>
      <c r="U65" s="15"/>
      <c r="V65" s="15"/>
      <c r="W65" s="15"/>
      <c r="X65" s="15"/>
      <c r="Y65" s="15"/>
      <c r="Z65" s="17"/>
      <c r="AA65" s="17"/>
      <c r="AB65" s="17"/>
      <c r="AD65" s="73">
        <f>SUM(N65:AB65)</f>
        <v>812159</v>
      </c>
      <c r="AE65" s="73">
        <f>SUM(N66:AB66)</f>
        <v>30063</v>
      </c>
      <c r="AF65" s="73">
        <f>SUM(N67:AB67)</f>
        <v>19314</v>
      </c>
      <c r="AH65" s="73">
        <f>AD65-B65</f>
        <v>0</v>
      </c>
      <c r="AI65" s="73">
        <f>AE65-C65</f>
        <v>0</v>
      </c>
      <c r="AJ65" s="73">
        <f>AF65-D65</f>
        <v>0</v>
      </c>
      <c r="AL65" s="74">
        <f>C65/B65*1000</f>
        <v>37.016150778357442</v>
      </c>
      <c r="AM65" s="74">
        <f>D65/B65*1000</f>
        <v>23.781057650041433</v>
      </c>
      <c r="AN65" s="79"/>
      <c r="AO65" s="74">
        <f>AL65-K65</f>
        <v>1.6150778357442164E-2</v>
      </c>
      <c r="AP65" s="74">
        <f>AM65-L65</f>
        <v>-1.8942349958567917E-2</v>
      </c>
    </row>
    <row r="66" spans="1:42" customFormat="1">
      <c r="A66" s="12" t="s">
        <v>69</v>
      </c>
      <c r="B66" s="5"/>
      <c r="C66" s="5"/>
      <c r="D66" s="5"/>
      <c r="E66" s="5"/>
      <c r="F66" s="5"/>
      <c r="G66" s="5"/>
      <c r="H66" s="5"/>
      <c r="I66" s="5"/>
      <c r="J66" s="5"/>
      <c r="K66" s="50"/>
      <c r="L66" s="50"/>
      <c r="M66" s="5"/>
      <c r="N66" s="5">
        <v>4449</v>
      </c>
      <c r="O66" s="5">
        <v>4392</v>
      </c>
      <c r="P66" s="5">
        <v>4606</v>
      </c>
      <c r="Q66" s="5">
        <v>3580</v>
      </c>
      <c r="R66" s="5">
        <v>4828</v>
      </c>
      <c r="S66" s="5">
        <v>4203</v>
      </c>
      <c r="T66" s="5">
        <v>4005</v>
      </c>
      <c r="U66" s="5"/>
      <c r="V66" s="5"/>
      <c r="W66" s="5"/>
      <c r="X66" s="5"/>
      <c r="Y66" s="5"/>
      <c r="Z66" s="4"/>
      <c r="AA66" s="4"/>
      <c r="AB66" s="4"/>
    </row>
    <row r="67" spans="1:42" customFormat="1">
      <c r="A67" s="12" t="s">
        <v>70</v>
      </c>
      <c r="B67" s="5"/>
      <c r="C67" s="5"/>
      <c r="D67" s="5"/>
      <c r="E67" s="5"/>
      <c r="F67" s="5"/>
      <c r="G67" s="5"/>
      <c r="H67" s="5"/>
      <c r="I67" s="5"/>
      <c r="J67" s="5"/>
      <c r="K67" s="50"/>
      <c r="L67" s="50"/>
      <c r="M67" s="5"/>
      <c r="N67" s="5">
        <v>3075</v>
      </c>
      <c r="O67" s="5">
        <v>2283</v>
      </c>
      <c r="P67" s="5">
        <v>2502</v>
      </c>
      <c r="Q67" s="5">
        <v>2514</v>
      </c>
      <c r="R67" s="5">
        <v>3283</v>
      </c>
      <c r="S67" s="5">
        <v>2771</v>
      </c>
      <c r="T67" s="5">
        <v>2886</v>
      </c>
      <c r="U67" s="5"/>
      <c r="V67" s="5"/>
      <c r="W67" s="5"/>
      <c r="X67" s="5"/>
      <c r="Y67" s="5"/>
      <c r="Z67" s="4"/>
      <c r="AA67" s="4"/>
      <c r="AB67" s="4"/>
    </row>
    <row r="68" spans="1:42" customFormat="1">
      <c r="A68" s="14" t="s">
        <v>71</v>
      </c>
      <c r="B68" s="15">
        <v>706475</v>
      </c>
      <c r="C68" s="15">
        <v>20760</v>
      </c>
      <c r="D68" s="15">
        <v>16356</v>
      </c>
      <c r="E68" s="15">
        <v>72573</v>
      </c>
      <c r="F68" s="15">
        <v>1091</v>
      </c>
      <c r="G68" s="15">
        <v>996</v>
      </c>
      <c r="H68" s="15">
        <v>687874</v>
      </c>
      <c r="I68" s="15">
        <v>20842</v>
      </c>
      <c r="J68" s="15">
        <v>15392</v>
      </c>
      <c r="K68" s="51">
        <v>29.4</v>
      </c>
      <c r="L68" s="51">
        <v>23.2</v>
      </c>
      <c r="M68" s="5"/>
      <c r="N68" s="15">
        <v>111272</v>
      </c>
      <c r="O68" s="15">
        <v>95128</v>
      </c>
      <c r="P68" s="15">
        <v>85885</v>
      </c>
      <c r="Q68" s="15">
        <v>97976</v>
      </c>
      <c r="R68" s="15">
        <v>87217</v>
      </c>
      <c r="S68" s="15">
        <v>124767</v>
      </c>
      <c r="T68" s="15">
        <v>104230</v>
      </c>
      <c r="U68" s="15"/>
      <c r="V68" s="15"/>
      <c r="W68" s="15"/>
      <c r="X68" s="15"/>
      <c r="Y68" s="15"/>
      <c r="Z68" s="17"/>
      <c r="AA68" s="17"/>
      <c r="AB68" s="17"/>
      <c r="AD68" s="73">
        <f>SUM(N68:AB68)</f>
        <v>706475</v>
      </c>
      <c r="AE68" s="73">
        <f>SUM(N69:AB69)</f>
        <v>20760</v>
      </c>
      <c r="AF68" s="73">
        <f>SUM(N70:AB70)</f>
        <v>16356</v>
      </c>
      <c r="AH68" s="73">
        <f>AD68-B68</f>
        <v>0</v>
      </c>
      <c r="AI68" s="73">
        <f>AE68-C68</f>
        <v>0</v>
      </c>
      <c r="AJ68" s="73">
        <f>AF68-D68</f>
        <v>0</v>
      </c>
      <c r="AL68" s="74">
        <f>C68/B68*1000</f>
        <v>29.385328567889875</v>
      </c>
      <c r="AM68" s="74">
        <f>D68/B68*1000</f>
        <v>23.151562334123643</v>
      </c>
      <c r="AN68" s="79"/>
      <c r="AO68" s="74">
        <f>AL68-K68</f>
        <v>-1.4671432110123561E-2</v>
      </c>
      <c r="AP68" s="74">
        <f>AM68-L68</f>
        <v>-4.8437665876356562E-2</v>
      </c>
    </row>
    <row r="69" spans="1:42" customFormat="1">
      <c r="A69" s="12" t="s">
        <v>72</v>
      </c>
      <c r="B69" s="5"/>
      <c r="C69" s="5"/>
      <c r="D69" s="5"/>
      <c r="E69" s="5"/>
      <c r="F69" s="5"/>
      <c r="G69" s="5"/>
      <c r="H69" s="5"/>
      <c r="I69" s="5"/>
      <c r="J69" s="5"/>
      <c r="K69" s="50"/>
      <c r="L69" s="50"/>
      <c r="M69" s="5"/>
      <c r="N69" s="5">
        <v>2965</v>
      </c>
      <c r="O69" s="5">
        <v>2369</v>
      </c>
      <c r="P69" s="5">
        <v>2490</v>
      </c>
      <c r="Q69" s="5">
        <v>2610</v>
      </c>
      <c r="R69" s="5">
        <v>2711</v>
      </c>
      <c r="S69" s="93">
        <v>4201</v>
      </c>
      <c r="T69" s="5">
        <v>3414</v>
      </c>
      <c r="U69" s="5"/>
      <c r="V69" s="5"/>
      <c r="W69" s="5"/>
      <c r="X69" s="5"/>
      <c r="Y69" s="5"/>
      <c r="Z69" s="4"/>
      <c r="AA69" s="4"/>
      <c r="AB69" s="4"/>
    </row>
    <row r="70" spans="1:42" customFormat="1">
      <c r="A70" s="12" t="s">
        <v>73</v>
      </c>
      <c r="B70" s="5"/>
      <c r="C70" s="5"/>
      <c r="D70" s="5"/>
      <c r="E70" s="5"/>
      <c r="F70" s="5"/>
      <c r="G70" s="5"/>
      <c r="H70" s="5"/>
      <c r="I70" s="5"/>
      <c r="J70" s="5"/>
      <c r="K70" s="50"/>
      <c r="L70" s="50"/>
      <c r="M70" s="5"/>
      <c r="N70" s="5">
        <v>1961</v>
      </c>
      <c r="O70" s="5">
        <v>1814</v>
      </c>
      <c r="P70" s="5">
        <v>1516</v>
      </c>
      <c r="Q70" s="5">
        <v>2090</v>
      </c>
      <c r="R70" s="5">
        <v>2846</v>
      </c>
      <c r="S70" s="5">
        <v>2978</v>
      </c>
      <c r="T70" s="5">
        <v>3151</v>
      </c>
      <c r="U70" s="5"/>
      <c r="V70" s="5"/>
      <c r="W70" s="5"/>
      <c r="X70" s="5"/>
      <c r="Y70" s="5"/>
      <c r="Z70" s="4"/>
      <c r="AA70" s="4"/>
      <c r="AB70" s="4"/>
    </row>
    <row r="71" spans="1:42" customFormat="1">
      <c r="A71" s="14" t="s">
        <v>74</v>
      </c>
      <c r="B71" s="15">
        <v>764010</v>
      </c>
      <c r="C71" s="15">
        <v>26432</v>
      </c>
      <c r="D71" s="15">
        <v>16865</v>
      </c>
      <c r="E71" s="15">
        <v>64842</v>
      </c>
      <c r="F71" s="15">
        <v>1878</v>
      </c>
      <c r="G71" s="15">
        <v>1630</v>
      </c>
      <c r="H71" s="15">
        <v>721063</v>
      </c>
      <c r="I71" s="15">
        <v>27684</v>
      </c>
      <c r="J71" s="15">
        <v>17171</v>
      </c>
      <c r="K71" s="51">
        <v>34.6</v>
      </c>
      <c r="L71" s="51">
        <v>22.1</v>
      </c>
      <c r="M71" s="5"/>
      <c r="N71" s="15">
        <v>75528</v>
      </c>
      <c r="O71" s="15">
        <v>72426</v>
      </c>
      <c r="P71" s="15">
        <v>75713</v>
      </c>
      <c r="Q71" s="15">
        <v>101340</v>
      </c>
      <c r="R71" s="15">
        <v>115217</v>
      </c>
      <c r="S71" s="15">
        <v>61383</v>
      </c>
      <c r="T71" s="15">
        <v>102936</v>
      </c>
      <c r="U71" s="15">
        <v>83520</v>
      </c>
      <c r="V71" s="15">
        <v>75947</v>
      </c>
      <c r="W71" s="15"/>
      <c r="X71" s="15"/>
      <c r="Y71" s="15"/>
      <c r="Z71" s="17"/>
      <c r="AA71" s="17"/>
      <c r="AB71" s="17"/>
      <c r="AD71" s="73">
        <f>SUM(N71:AB71)</f>
        <v>764010</v>
      </c>
      <c r="AE71" s="73">
        <f>SUM(N72:AB72)</f>
        <v>26432</v>
      </c>
      <c r="AF71" s="73">
        <f>SUM(N73:AB73)</f>
        <v>16865</v>
      </c>
      <c r="AH71" s="73">
        <f>AD71-B71</f>
        <v>0</v>
      </c>
      <c r="AI71" s="73">
        <f>AE71-C71</f>
        <v>0</v>
      </c>
      <c r="AJ71" s="73">
        <f>AF71-D71</f>
        <v>0</v>
      </c>
      <c r="AL71" s="74">
        <f>C71/B71*1000</f>
        <v>34.596405806206725</v>
      </c>
      <c r="AM71" s="74">
        <f>D71/B71*1000</f>
        <v>22.074318398973837</v>
      </c>
      <c r="AN71" s="79"/>
      <c r="AO71" s="74">
        <f>AL71-K71</f>
        <v>-3.5941937932761903E-3</v>
      </c>
      <c r="AP71" s="74">
        <f>AM71-L71</f>
        <v>-2.5681601026164458E-2</v>
      </c>
    </row>
    <row r="72" spans="1:42" customFormat="1">
      <c r="A72" s="12" t="s">
        <v>75</v>
      </c>
      <c r="B72" s="5"/>
      <c r="C72" s="5"/>
      <c r="D72" s="5"/>
      <c r="E72" s="5"/>
      <c r="F72" s="5"/>
      <c r="G72" s="5"/>
      <c r="H72" s="5"/>
      <c r="I72" s="5"/>
      <c r="J72" s="5"/>
      <c r="K72" s="50"/>
      <c r="L72" s="50"/>
      <c r="M72" s="5"/>
      <c r="N72" s="5">
        <v>2260</v>
      </c>
      <c r="O72" s="5">
        <v>2095</v>
      </c>
      <c r="P72" s="5">
        <v>2828</v>
      </c>
      <c r="Q72" s="5">
        <v>4183</v>
      </c>
      <c r="R72" s="5">
        <v>4509</v>
      </c>
      <c r="S72" s="5">
        <v>1785</v>
      </c>
      <c r="T72" s="5">
        <v>3918</v>
      </c>
      <c r="U72" s="5">
        <v>2179</v>
      </c>
      <c r="V72" s="5">
        <v>2675</v>
      </c>
      <c r="W72" s="5"/>
      <c r="X72" s="5"/>
      <c r="Y72" s="5"/>
      <c r="Z72" s="4"/>
      <c r="AA72" s="4"/>
      <c r="AB72" s="4"/>
    </row>
    <row r="73" spans="1:42" customFormat="1">
      <c r="A73" s="12" t="s">
        <v>76</v>
      </c>
      <c r="B73" s="5"/>
      <c r="C73" s="5"/>
      <c r="D73" s="5"/>
      <c r="E73" s="5"/>
      <c r="F73" s="5"/>
      <c r="G73" s="5"/>
      <c r="H73" s="5"/>
      <c r="I73" s="5"/>
      <c r="J73" s="5"/>
      <c r="K73" s="50"/>
      <c r="L73" s="50"/>
      <c r="M73" s="5"/>
      <c r="N73" s="5">
        <v>1502</v>
      </c>
      <c r="O73" s="5">
        <v>1661</v>
      </c>
      <c r="P73" s="5">
        <v>1936</v>
      </c>
      <c r="Q73" s="5">
        <v>2952</v>
      </c>
      <c r="R73" s="5">
        <v>2922</v>
      </c>
      <c r="S73" s="5">
        <v>1219</v>
      </c>
      <c r="T73" s="5">
        <v>1098</v>
      </c>
      <c r="U73" s="5">
        <v>1817</v>
      </c>
      <c r="V73" s="5">
        <v>1758</v>
      </c>
      <c r="W73" s="5"/>
      <c r="X73" s="5"/>
      <c r="Y73" s="5"/>
      <c r="Z73" s="4"/>
      <c r="AA73" s="4"/>
      <c r="AB73" s="4"/>
    </row>
    <row r="74" spans="1:42" customFormat="1">
      <c r="A74" s="24" t="s">
        <v>77</v>
      </c>
      <c r="B74" s="25">
        <v>9325258</v>
      </c>
      <c r="C74" s="25">
        <v>340848</v>
      </c>
      <c r="D74" s="25">
        <v>241320</v>
      </c>
      <c r="E74" s="25"/>
      <c r="F74" s="25"/>
      <c r="G74" s="25"/>
      <c r="H74" s="25">
        <v>8713684</v>
      </c>
      <c r="I74" s="25">
        <v>341302</v>
      </c>
      <c r="J74" s="25">
        <v>207824</v>
      </c>
      <c r="K74" s="52">
        <v>36.6</v>
      </c>
      <c r="L74" s="52">
        <v>25.9</v>
      </c>
      <c r="M74" s="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6"/>
      <c r="AA74" s="26"/>
      <c r="AB74" s="26"/>
      <c r="AD74" s="83">
        <f>SUM(AD43:AD73)</f>
        <v>9325287</v>
      </c>
      <c r="AE74" s="83">
        <f>SUM(AE43:AE73)</f>
        <v>340848</v>
      </c>
      <c r="AF74" s="83">
        <f>SUM(AF43:AF73)</f>
        <v>241319</v>
      </c>
      <c r="AH74" s="83">
        <f>B74-AD74</f>
        <v>-29</v>
      </c>
      <c r="AI74" s="83">
        <f>C74-AE74</f>
        <v>0</v>
      </c>
      <c r="AJ74" s="83">
        <f>D74-AF74</f>
        <v>1</v>
      </c>
      <c r="AL74" s="82">
        <f>C74/B74*1000</f>
        <v>36.551053064698053</v>
      </c>
      <c r="AM74" s="82">
        <f>D74/B74*1000</f>
        <v>25.878104391320864</v>
      </c>
      <c r="AN74" s="82"/>
      <c r="AO74" s="82">
        <f>AL74-K74</f>
        <v>-4.8946935301948713E-2</v>
      </c>
      <c r="AP74" s="82">
        <f>AM74-L74</f>
        <v>-2.1895608679134426E-2</v>
      </c>
    </row>
    <row r="75" spans="1:42" customFormat="1">
      <c r="A75" s="14" t="s">
        <v>78</v>
      </c>
      <c r="B75" s="15">
        <v>718514</v>
      </c>
      <c r="C75" s="15">
        <v>19400</v>
      </c>
      <c r="D75" s="15">
        <v>12786</v>
      </c>
      <c r="E75" s="15">
        <v>120221</v>
      </c>
      <c r="F75" s="15">
        <v>4007</v>
      </c>
      <c r="G75" s="15">
        <v>2686</v>
      </c>
      <c r="H75" s="15">
        <v>700611</v>
      </c>
      <c r="I75" s="15">
        <v>19179</v>
      </c>
      <c r="J75" s="15">
        <v>12188</v>
      </c>
      <c r="K75" s="51">
        <v>27</v>
      </c>
      <c r="L75" s="51">
        <v>17.8</v>
      </c>
      <c r="M75" s="5"/>
      <c r="N75" s="15">
        <v>106561</v>
      </c>
      <c r="O75" s="15">
        <v>59355</v>
      </c>
      <c r="P75" s="15">
        <v>51201</v>
      </c>
      <c r="Q75" s="15">
        <v>60632</v>
      </c>
      <c r="R75" s="15">
        <v>74146</v>
      </c>
      <c r="S75" s="15">
        <v>93866</v>
      </c>
      <c r="T75" s="15">
        <v>77942</v>
      </c>
      <c r="U75" s="15">
        <v>70624</v>
      </c>
      <c r="V75" s="15">
        <v>53551</v>
      </c>
      <c r="W75" s="15">
        <v>70646</v>
      </c>
      <c r="X75" s="15"/>
      <c r="Y75" s="15"/>
      <c r="Z75" s="17"/>
      <c r="AA75" s="17"/>
      <c r="AB75" s="17"/>
      <c r="AD75" s="73">
        <f>SUM(N75:AB75)</f>
        <v>718524</v>
      </c>
      <c r="AE75" s="73">
        <f>SUM(N76:AB76)</f>
        <v>19400</v>
      </c>
      <c r="AF75" s="73">
        <f>SUM(N77:AB77)</f>
        <v>12786</v>
      </c>
      <c r="AH75" s="73">
        <f>AD75-B75</f>
        <v>10</v>
      </c>
      <c r="AI75" s="73">
        <f>AE75-C75</f>
        <v>0</v>
      </c>
      <c r="AJ75" s="73">
        <f>AF75-D75</f>
        <v>0</v>
      </c>
      <c r="AL75" s="74">
        <f>C75/B75*1000</f>
        <v>27.000169794882215</v>
      </c>
      <c r="AM75" s="74">
        <f>D75/B75*1000</f>
        <v>17.795060360688865</v>
      </c>
      <c r="AN75" s="79"/>
      <c r="AO75" s="74">
        <f>AL75-K75</f>
        <v>1.697948822148021E-4</v>
      </c>
      <c r="AP75" s="74">
        <f>AM75-L75</f>
        <v>-4.939639311135835E-3</v>
      </c>
    </row>
    <row r="76" spans="1:42" customFormat="1">
      <c r="A76" s="12" t="s">
        <v>79</v>
      </c>
      <c r="B76" s="5"/>
      <c r="C76" s="5"/>
      <c r="D76" s="5"/>
      <c r="E76" s="5"/>
      <c r="F76" s="5"/>
      <c r="G76" s="5"/>
      <c r="H76" s="5"/>
      <c r="I76" s="5"/>
      <c r="J76" s="5"/>
      <c r="K76" s="50"/>
      <c r="L76" s="50"/>
      <c r="M76" s="5"/>
      <c r="N76" s="5">
        <v>2504</v>
      </c>
      <c r="O76" s="5">
        <v>1449</v>
      </c>
      <c r="P76" s="5">
        <v>1389</v>
      </c>
      <c r="Q76" s="5">
        <v>1547</v>
      </c>
      <c r="R76" s="5">
        <v>1963</v>
      </c>
      <c r="S76" s="5">
        <v>3269</v>
      </c>
      <c r="T76" s="5">
        <v>2208</v>
      </c>
      <c r="U76" s="5">
        <v>1712</v>
      </c>
      <c r="V76" s="5">
        <v>1477</v>
      </c>
      <c r="W76" s="5">
        <v>1882</v>
      </c>
      <c r="X76" s="5"/>
      <c r="Y76" s="5"/>
      <c r="Z76" s="4"/>
      <c r="AA76" s="4"/>
      <c r="AB76" s="4"/>
    </row>
    <row r="77" spans="1:42" customFormat="1">
      <c r="A77" s="12" t="s">
        <v>80</v>
      </c>
      <c r="B77" s="5"/>
      <c r="C77" s="5"/>
      <c r="D77" s="5"/>
      <c r="E77" s="5"/>
      <c r="F77" s="5"/>
      <c r="G77" s="5"/>
      <c r="H77" s="5"/>
      <c r="I77" s="5"/>
      <c r="J77" s="5"/>
      <c r="K77" s="50"/>
      <c r="L77" s="50"/>
      <c r="M77" s="5"/>
      <c r="N77" s="5">
        <v>1943</v>
      </c>
      <c r="O77" s="5">
        <v>1094</v>
      </c>
      <c r="P77" s="5">
        <v>888</v>
      </c>
      <c r="Q77" s="5">
        <v>932</v>
      </c>
      <c r="R77" s="5">
        <v>1317</v>
      </c>
      <c r="S77" s="5">
        <v>2103</v>
      </c>
      <c r="T77" s="5">
        <v>1259</v>
      </c>
      <c r="U77" s="5">
        <v>1088</v>
      </c>
      <c r="V77" s="5">
        <v>926</v>
      </c>
      <c r="W77" s="5">
        <v>1236</v>
      </c>
      <c r="X77" s="5"/>
      <c r="Y77" s="5"/>
      <c r="Z77" s="4"/>
      <c r="AA77" s="4"/>
      <c r="AB77" s="4"/>
    </row>
    <row r="78" spans="1:42" customFormat="1">
      <c r="A78" s="14" t="s">
        <v>81</v>
      </c>
      <c r="B78" s="15">
        <v>1286623</v>
      </c>
      <c r="C78" s="15">
        <v>34402</v>
      </c>
      <c r="D78" s="15">
        <v>25029</v>
      </c>
      <c r="E78" s="15">
        <v>255346</v>
      </c>
      <c r="F78" s="15">
        <v>7861</v>
      </c>
      <c r="G78" s="15">
        <v>6630</v>
      </c>
      <c r="H78" s="15">
        <v>1262131</v>
      </c>
      <c r="I78" s="15">
        <v>36766</v>
      </c>
      <c r="J78" s="15">
        <v>26179</v>
      </c>
      <c r="K78" s="51">
        <v>26.7</v>
      </c>
      <c r="L78" s="51">
        <v>19.399999999999999</v>
      </c>
      <c r="M78" s="5"/>
      <c r="N78" s="15">
        <v>327821</v>
      </c>
      <c r="O78" s="15">
        <v>124633</v>
      </c>
      <c r="P78" s="15">
        <v>136601</v>
      </c>
      <c r="Q78" s="15">
        <v>103561</v>
      </c>
      <c r="R78" s="15">
        <v>124646</v>
      </c>
      <c r="S78" s="15">
        <v>104585</v>
      </c>
      <c r="T78" s="15">
        <v>103785</v>
      </c>
      <c r="U78" s="15">
        <v>61865</v>
      </c>
      <c r="V78" s="15">
        <v>199126</v>
      </c>
      <c r="W78" s="15"/>
      <c r="X78" s="15"/>
      <c r="Y78" s="15"/>
      <c r="Z78" s="17"/>
      <c r="AA78" s="17"/>
      <c r="AB78" s="17"/>
      <c r="AD78" s="73">
        <f>SUM(N78:AB78)</f>
        <v>1286623</v>
      </c>
      <c r="AE78" s="73">
        <f>SUM(N79:AB79)</f>
        <v>34402</v>
      </c>
      <c r="AF78" s="73">
        <f>SUM(N80:AB80)</f>
        <v>25029</v>
      </c>
      <c r="AH78" s="73">
        <f>AD78-B78</f>
        <v>0</v>
      </c>
      <c r="AI78" s="73">
        <f>AE78-C78</f>
        <v>0</v>
      </c>
      <c r="AJ78" s="73">
        <f>AF78-D78</f>
        <v>0</v>
      </c>
      <c r="AL78" s="74">
        <f>C78/B78*1000</f>
        <v>26.738213136248927</v>
      </c>
      <c r="AM78" s="74">
        <f>D78/B78*1000</f>
        <v>19.453250874576312</v>
      </c>
      <c r="AN78" s="79"/>
      <c r="AO78" s="74">
        <f>AL78-K78</f>
        <v>3.8213136248927526E-2</v>
      </c>
      <c r="AP78" s="74">
        <f>AM78-L78</f>
        <v>5.3250874576313834E-2</v>
      </c>
    </row>
    <row r="79" spans="1:42" customFormat="1">
      <c r="A79" s="12" t="s">
        <v>82</v>
      </c>
      <c r="B79" s="5"/>
      <c r="C79" s="5"/>
      <c r="D79" s="5"/>
      <c r="E79" s="5"/>
      <c r="F79" s="5"/>
      <c r="G79" s="5"/>
      <c r="H79" s="5"/>
      <c r="I79" s="5"/>
      <c r="J79" s="5"/>
      <c r="K79" s="50"/>
      <c r="L79" s="50"/>
      <c r="M79" s="5"/>
      <c r="N79" s="5">
        <v>8902</v>
      </c>
      <c r="O79" s="5">
        <v>3516</v>
      </c>
      <c r="P79" s="5">
        <v>3009</v>
      </c>
      <c r="Q79" s="5">
        <v>3170</v>
      </c>
      <c r="R79" s="5">
        <v>3128</v>
      </c>
      <c r="S79" s="5">
        <v>2761</v>
      </c>
      <c r="T79" s="5">
        <v>2730</v>
      </c>
      <c r="U79" s="5">
        <v>1815</v>
      </c>
      <c r="V79" s="5">
        <v>5371</v>
      </c>
      <c r="W79" s="5"/>
      <c r="X79" s="5"/>
      <c r="Y79" s="5"/>
      <c r="Z79" s="4"/>
      <c r="AA79" s="4"/>
      <c r="AB79" s="4"/>
    </row>
    <row r="80" spans="1:42" customFormat="1">
      <c r="A80" s="12" t="s">
        <v>83</v>
      </c>
      <c r="B80" s="5"/>
      <c r="C80" s="5"/>
      <c r="D80" s="5"/>
      <c r="E80" s="5"/>
      <c r="F80" s="5"/>
      <c r="G80" s="5"/>
      <c r="H80" s="5"/>
      <c r="I80" s="5"/>
      <c r="J80" s="5"/>
      <c r="K80" s="50"/>
      <c r="L80" s="50"/>
      <c r="M80" s="5"/>
      <c r="N80" s="5">
        <v>6891</v>
      </c>
      <c r="O80" s="5">
        <v>1961</v>
      </c>
      <c r="P80" s="5">
        <v>2364</v>
      </c>
      <c r="Q80" s="5">
        <v>1898</v>
      </c>
      <c r="R80" s="5">
        <v>2337</v>
      </c>
      <c r="S80" s="5">
        <v>1976</v>
      </c>
      <c r="T80" s="5">
        <v>2092</v>
      </c>
      <c r="U80" s="5">
        <v>1176</v>
      </c>
      <c r="V80" s="5">
        <v>4334</v>
      </c>
      <c r="W80" s="5"/>
      <c r="X80" s="5"/>
      <c r="Y80" s="5"/>
      <c r="Z80" s="4"/>
      <c r="AA80" s="4"/>
      <c r="AB80" s="4"/>
    </row>
    <row r="81" spans="1:42" customFormat="1">
      <c r="A81" s="14" t="s">
        <v>84</v>
      </c>
      <c r="B81" s="15">
        <v>412304</v>
      </c>
      <c r="C81" s="15">
        <v>11801</v>
      </c>
      <c r="D81" s="15">
        <v>8059</v>
      </c>
      <c r="E81" s="15"/>
      <c r="F81" s="15"/>
      <c r="G81" s="15"/>
      <c r="H81" s="15">
        <v>400576</v>
      </c>
      <c r="I81" s="15">
        <v>11882</v>
      </c>
      <c r="J81" s="15">
        <v>8231</v>
      </c>
      <c r="K81" s="51">
        <v>28.7</v>
      </c>
      <c r="L81" s="51">
        <v>19.600000000000001</v>
      </c>
      <c r="M81" s="5"/>
      <c r="N81" s="15">
        <v>149365</v>
      </c>
      <c r="O81" s="15">
        <v>122733</v>
      </c>
      <c r="P81" s="15">
        <v>54693</v>
      </c>
      <c r="Q81" s="15">
        <v>85513</v>
      </c>
      <c r="R81" s="15"/>
      <c r="S81" s="15"/>
      <c r="T81" s="15"/>
      <c r="U81" s="15"/>
      <c r="V81" s="15"/>
      <c r="W81" s="15"/>
      <c r="X81" s="15"/>
      <c r="Y81" s="15"/>
      <c r="Z81" s="17"/>
      <c r="AA81" s="17"/>
      <c r="AB81" s="17"/>
      <c r="AD81" s="73">
        <f>SUM(N81:AB81)</f>
        <v>412304</v>
      </c>
      <c r="AE81" s="73">
        <f>SUM(N82:AB82)</f>
        <v>11801</v>
      </c>
      <c r="AF81" s="73">
        <f>SUM(N83:AB83)</f>
        <v>8059</v>
      </c>
      <c r="AH81" s="73">
        <f>AD81-B81</f>
        <v>0</v>
      </c>
      <c r="AI81" s="73">
        <f>AE81-C81</f>
        <v>0</v>
      </c>
      <c r="AJ81" s="73">
        <f>AF81-D81</f>
        <v>0</v>
      </c>
      <c r="AL81" s="74">
        <f>C81/B81*1000</f>
        <v>28.622084675385153</v>
      </c>
      <c r="AM81" s="74">
        <f>D81/B81*1000</f>
        <v>19.546257130660873</v>
      </c>
      <c r="AN81" s="79"/>
      <c r="AO81" s="74">
        <f>AL81-K81</f>
        <v>-7.7915324614846071E-2</v>
      </c>
      <c r="AP81" s="74">
        <f>AM81-L81</f>
        <v>-5.3742869339128418E-2</v>
      </c>
    </row>
    <row r="82" spans="1:42" customFormat="1">
      <c r="A82" s="12" t="s">
        <v>85</v>
      </c>
      <c r="B82" s="5"/>
      <c r="C82" s="5"/>
      <c r="D82" s="5"/>
      <c r="E82" s="5"/>
      <c r="F82" s="5"/>
      <c r="G82" s="5"/>
      <c r="H82" s="5"/>
      <c r="I82" s="5"/>
      <c r="J82" s="5"/>
      <c r="K82" s="50"/>
      <c r="L82" s="50"/>
      <c r="M82" s="5"/>
      <c r="N82" s="5">
        <v>4235</v>
      </c>
      <c r="O82" s="5">
        <v>3809</v>
      </c>
      <c r="P82" s="5">
        <v>1549</v>
      </c>
      <c r="Q82" s="5">
        <v>2208</v>
      </c>
      <c r="R82" s="5"/>
      <c r="S82" s="5"/>
      <c r="T82" s="5"/>
      <c r="U82" s="5"/>
      <c r="V82" s="5"/>
      <c r="W82" s="5"/>
      <c r="X82" s="5"/>
      <c r="Y82" s="5"/>
      <c r="Z82" s="4"/>
      <c r="AA82" s="4"/>
      <c r="AB82" s="4"/>
    </row>
    <row r="83" spans="1:42" customFormat="1">
      <c r="A83" s="12" t="s">
        <v>86</v>
      </c>
      <c r="B83" s="5"/>
      <c r="C83" s="5"/>
      <c r="D83" s="5"/>
      <c r="E83" s="5"/>
      <c r="F83" s="5"/>
      <c r="G83" s="5"/>
      <c r="H83" s="5"/>
      <c r="I83" s="5"/>
      <c r="J83" s="5"/>
      <c r="K83" s="50"/>
      <c r="L83" s="50"/>
      <c r="M83" s="5"/>
      <c r="N83" s="5">
        <v>2920</v>
      </c>
      <c r="O83" s="5">
        <v>2586</v>
      </c>
      <c r="P83" s="5">
        <v>1021</v>
      </c>
      <c r="Q83" s="5">
        <v>1532</v>
      </c>
      <c r="R83" s="5"/>
      <c r="S83" s="5"/>
      <c r="T83" s="5"/>
      <c r="U83" s="5"/>
      <c r="V83" s="5"/>
      <c r="W83" s="5"/>
      <c r="X83" s="5"/>
      <c r="Y83" s="5"/>
      <c r="Z83" s="4"/>
      <c r="AA83" s="4"/>
      <c r="AB83" s="4"/>
    </row>
    <row r="84" spans="1:42" customFormat="1">
      <c r="A84" s="24" t="s">
        <v>87</v>
      </c>
      <c r="B84" s="25">
        <v>2417441</v>
      </c>
      <c r="C84" s="25">
        <v>65603</v>
      </c>
      <c r="D84" s="25">
        <v>45874</v>
      </c>
      <c r="E84" s="25"/>
      <c r="F84" s="25"/>
      <c r="G84" s="25"/>
      <c r="H84" s="25">
        <v>2353318</v>
      </c>
      <c r="I84" s="25">
        <v>67826</v>
      </c>
      <c r="J84" s="25">
        <v>46598</v>
      </c>
      <c r="K84" s="52">
        <v>27.2</v>
      </c>
      <c r="L84" s="52">
        <v>19</v>
      </c>
      <c r="M84" s="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6"/>
      <c r="AA84" s="26"/>
      <c r="AB84" s="26"/>
      <c r="AD84" s="83">
        <f>SUM(AD75:AD83)</f>
        <v>2417451</v>
      </c>
      <c r="AE84" s="83">
        <f>SUM(AE75:AE83)</f>
        <v>65603</v>
      </c>
      <c r="AF84" s="83">
        <f>SUM(AF75:AF83)</f>
        <v>45874</v>
      </c>
      <c r="AH84" s="83">
        <f>B84-AD84</f>
        <v>-10</v>
      </c>
      <c r="AI84" s="83">
        <f>C84-AE84</f>
        <v>0</v>
      </c>
      <c r="AJ84" s="83">
        <f>D84-AF84</f>
        <v>0</v>
      </c>
      <c r="AL84" s="82">
        <f>C84/B84*1000</f>
        <v>27.137373776650598</v>
      </c>
      <c r="AM84" s="82">
        <f>D84/B84*1000</f>
        <v>18.976264570676182</v>
      </c>
      <c r="AN84" s="82"/>
      <c r="AO84" s="82">
        <f>AL84-K84</f>
        <v>-6.2626223349401045E-2</v>
      </c>
      <c r="AP84" s="82">
        <f>AM84-L84</f>
        <v>-2.3735429323817669E-2</v>
      </c>
    </row>
    <row r="85" spans="1:42" customFormat="1">
      <c r="A85" s="14" t="s">
        <v>88</v>
      </c>
      <c r="B85" s="15">
        <v>1622286</v>
      </c>
      <c r="C85" s="15">
        <v>76427</v>
      </c>
      <c r="D85" s="15">
        <v>62590</v>
      </c>
      <c r="E85" s="15">
        <v>282922</v>
      </c>
      <c r="F85" s="15">
        <v>10481</v>
      </c>
      <c r="G85" s="15">
        <v>8989</v>
      </c>
      <c r="H85" s="15">
        <v>1571234</v>
      </c>
      <c r="I85" s="15">
        <v>74945</v>
      </c>
      <c r="J85" s="15">
        <v>46302</v>
      </c>
      <c r="K85" s="51">
        <v>47.1</v>
      </c>
      <c r="L85" s="51">
        <v>38.6</v>
      </c>
      <c r="M85" s="5"/>
      <c r="N85" s="15">
        <v>262177</v>
      </c>
      <c r="O85" s="15">
        <v>284330</v>
      </c>
      <c r="P85" s="15">
        <v>167782</v>
      </c>
      <c r="Q85" s="15">
        <v>191820</v>
      </c>
      <c r="R85" s="15">
        <v>170161</v>
      </c>
      <c r="S85" s="15">
        <v>180566</v>
      </c>
      <c r="T85" s="15">
        <v>209914</v>
      </c>
      <c r="U85" s="15">
        <v>155536</v>
      </c>
      <c r="V85" s="15"/>
      <c r="W85" s="15"/>
      <c r="X85" s="15"/>
      <c r="Y85" s="15"/>
      <c r="Z85" s="17"/>
      <c r="AA85" s="17"/>
      <c r="AB85" s="17"/>
      <c r="AD85" s="73">
        <f>SUM(N85:AB85)</f>
        <v>1622286</v>
      </c>
      <c r="AE85" s="73">
        <f>SUM(N86:AB86)</f>
        <v>76327</v>
      </c>
      <c r="AF85" s="73">
        <f>SUM(N87:AB87)</f>
        <v>62590</v>
      </c>
      <c r="AH85" s="73">
        <f>AD85-B85</f>
        <v>0</v>
      </c>
      <c r="AI85" s="73">
        <f>AE85-C85</f>
        <v>-100</v>
      </c>
      <c r="AJ85" s="73">
        <f>AF85-D85</f>
        <v>0</v>
      </c>
      <c r="AL85" s="74">
        <f>C85/B85*1000</f>
        <v>47.110682086882335</v>
      </c>
      <c r="AM85" s="74">
        <f>D85/B85*1000</f>
        <v>38.581359883522389</v>
      </c>
      <c r="AN85" s="79"/>
      <c r="AO85" s="74">
        <f>AL85-K85</f>
        <v>1.0682086882333408E-2</v>
      </c>
      <c r="AP85" s="74">
        <f>AM85-L85</f>
        <v>-1.8640116477612878E-2</v>
      </c>
    </row>
    <row r="86" spans="1:42" customFormat="1">
      <c r="A86" s="12" t="s">
        <v>89</v>
      </c>
      <c r="B86" s="5"/>
      <c r="C86" s="5"/>
      <c r="D86" s="5"/>
      <c r="E86" s="5"/>
      <c r="F86" s="5"/>
      <c r="G86" s="5"/>
      <c r="H86" s="5"/>
      <c r="I86" s="5"/>
      <c r="J86" s="5"/>
      <c r="K86" s="50"/>
      <c r="L86" s="50"/>
      <c r="M86" s="5"/>
      <c r="N86" s="5">
        <v>10463</v>
      </c>
      <c r="O86" s="5">
        <v>12072</v>
      </c>
      <c r="P86" s="5">
        <v>7811</v>
      </c>
      <c r="Q86" s="5">
        <v>8322</v>
      </c>
      <c r="R86" s="5">
        <v>8802</v>
      </c>
      <c r="S86" s="5">
        <v>8370</v>
      </c>
      <c r="T86" s="5">
        <v>11360</v>
      </c>
      <c r="U86" s="5">
        <v>9127</v>
      </c>
      <c r="V86" s="5"/>
      <c r="W86" s="5"/>
      <c r="X86" s="5"/>
      <c r="Y86" s="5"/>
      <c r="Z86" s="4"/>
      <c r="AA86" s="4"/>
      <c r="AB86" s="4"/>
    </row>
    <row r="87" spans="1:42" customFormat="1">
      <c r="A87" s="12" t="s">
        <v>90</v>
      </c>
      <c r="B87" s="5"/>
      <c r="C87" s="5"/>
      <c r="D87" s="5"/>
      <c r="E87" s="5"/>
      <c r="F87" s="5"/>
      <c r="G87" s="5"/>
      <c r="H87" s="5"/>
      <c r="I87" s="5"/>
      <c r="J87" s="5"/>
      <c r="K87" s="50"/>
      <c r="L87" s="50"/>
      <c r="M87" s="5"/>
      <c r="N87" s="5">
        <v>9768</v>
      </c>
      <c r="O87" s="5">
        <v>11192</v>
      </c>
      <c r="P87" s="5">
        <v>6564</v>
      </c>
      <c r="Q87" s="5">
        <v>5704</v>
      </c>
      <c r="R87" s="5">
        <v>6506</v>
      </c>
      <c r="S87" s="5">
        <v>6028</v>
      </c>
      <c r="T87" s="5">
        <v>7713</v>
      </c>
      <c r="U87" s="5">
        <v>9115</v>
      </c>
      <c r="V87" s="5"/>
      <c r="W87" s="5"/>
      <c r="X87" s="5"/>
      <c r="Y87" s="5"/>
      <c r="Z87" s="4"/>
      <c r="AA87" s="4"/>
      <c r="AB87" s="4"/>
    </row>
    <row r="88" spans="1:42" customFormat="1">
      <c r="A88" s="14" t="s">
        <v>91</v>
      </c>
      <c r="B88" s="15">
        <v>1544734</v>
      </c>
      <c r="C88" s="15">
        <v>76816</v>
      </c>
      <c r="D88" s="15">
        <v>63413</v>
      </c>
      <c r="E88" s="15">
        <v>134670</v>
      </c>
      <c r="F88" s="15">
        <v>7037</v>
      </c>
      <c r="G88" s="15">
        <v>6503</v>
      </c>
      <c r="H88" s="15">
        <v>1472244</v>
      </c>
      <c r="I88" s="15">
        <v>76883</v>
      </c>
      <c r="J88" s="15">
        <v>59727</v>
      </c>
      <c r="K88" s="51">
        <v>49.7</v>
      </c>
      <c r="L88" s="51">
        <v>41</v>
      </c>
      <c r="M88" s="5"/>
      <c r="N88" s="15">
        <v>167880</v>
      </c>
      <c r="O88" s="15">
        <v>105121</v>
      </c>
      <c r="P88" s="15">
        <v>93061</v>
      </c>
      <c r="Q88" s="15">
        <v>108751</v>
      </c>
      <c r="R88" s="15">
        <v>122983</v>
      </c>
      <c r="S88" s="15">
        <v>138298</v>
      </c>
      <c r="T88" s="15">
        <v>122640</v>
      </c>
      <c r="U88" s="15">
        <v>95712</v>
      </c>
      <c r="V88" s="15">
        <v>122694</v>
      </c>
      <c r="W88" s="15">
        <v>89469</v>
      </c>
      <c r="X88" s="15">
        <v>118631</v>
      </c>
      <c r="Y88" s="15">
        <v>150539</v>
      </c>
      <c r="Z88" s="15">
        <v>108955</v>
      </c>
      <c r="AA88" s="17"/>
      <c r="AB88" s="17"/>
      <c r="AD88" s="73">
        <f>SUM(N88:AB88)</f>
        <v>1544734</v>
      </c>
      <c r="AE88" s="73">
        <f>SUM(N89:AB89)</f>
        <v>76819</v>
      </c>
      <c r="AF88" s="73">
        <f>SUM(N90:AB90)</f>
        <v>63413</v>
      </c>
      <c r="AH88" s="73">
        <f>AD88-B88</f>
        <v>0</v>
      </c>
      <c r="AI88" s="73">
        <f>AE88-C88</f>
        <v>3</v>
      </c>
      <c r="AJ88" s="73">
        <f>AF88-D88</f>
        <v>0</v>
      </c>
      <c r="AL88" s="74">
        <f>C88/B88*1000</f>
        <v>49.727655376265432</v>
      </c>
      <c r="AM88" s="74">
        <f>D88/B88*1000</f>
        <v>41.051080639126219</v>
      </c>
      <c r="AN88" s="79"/>
      <c r="AO88" s="74">
        <f>AL88-K88</f>
        <v>2.7655376265428799E-2</v>
      </c>
      <c r="AP88" s="74">
        <f>AM88-L88</f>
        <v>5.1080639126219296E-2</v>
      </c>
    </row>
    <row r="89" spans="1:42" customFormat="1">
      <c r="A89" s="12" t="s">
        <v>92</v>
      </c>
      <c r="B89" s="5"/>
      <c r="C89" s="5"/>
      <c r="D89" s="5"/>
      <c r="E89" s="5"/>
      <c r="F89" s="5"/>
      <c r="G89" s="5"/>
      <c r="H89" s="5"/>
      <c r="I89" s="5"/>
      <c r="J89" s="5"/>
      <c r="K89" s="50"/>
      <c r="L89" s="50"/>
      <c r="M89" s="5"/>
      <c r="N89" s="5">
        <v>7823</v>
      </c>
      <c r="O89" s="5">
        <v>5385</v>
      </c>
      <c r="P89" s="5">
        <v>4417</v>
      </c>
      <c r="Q89" s="5">
        <v>4410</v>
      </c>
      <c r="R89" s="5">
        <v>5829</v>
      </c>
      <c r="S89" s="5">
        <v>7236</v>
      </c>
      <c r="T89" s="5">
        <v>6263</v>
      </c>
      <c r="U89" s="5">
        <v>4727</v>
      </c>
      <c r="V89" s="5">
        <v>7521</v>
      </c>
      <c r="W89" s="5">
        <v>4699</v>
      </c>
      <c r="X89" s="5">
        <v>6161</v>
      </c>
      <c r="Y89" s="5">
        <v>6944</v>
      </c>
      <c r="Z89" s="5">
        <v>5404</v>
      </c>
      <c r="AA89" s="4"/>
      <c r="AB89" s="4"/>
    </row>
    <row r="90" spans="1:42" customFormat="1">
      <c r="A90" s="12" t="s">
        <v>93</v>
      </c>
      <c r="B90" s="5"/>
      <c r="C90" s="5"/>
      <c r="D90" s="5"/>
      <c r="E90" s="5"/>
      <c r="F90" s="5"/>
      <c r="G90" s="5"/>
      <c r="H90" s="5"/>
      <c r="I90" s="5"/>
      <c r="J90" s="5"/>
      <c r="K90" s="50"/>
      <c r="L90" s="50"/>
      <c r="M90" s="5"/>
      <c r="N90" s="5">
        <v>6617</v>
      </c>
      <c r="O90" s="5">
        <v>4196</v>
      </c>
      <c r="P90" s="5">
        <v>3478</v>
      </c>
      <c r="Q90" s="5">
        <v>3880</v>
      </c>
      <c r="R90" s="5">
        <v>4429</v>
      </c>
      <c r="S90" s="5">
        <v>6137</v>
      </c>
      <c r="T90" s="5">
        <v>4916</v>
      </c>
      <c r="U90" s="5">
        <v>3334</v>
      </c>
      <c r="V90" s="5">
        <v>6498</v>
      </c>
      <c r="W90" s="5">
        <v>3472</v>
      </c>
      <c r="X90" s="5">
        <v>5083</v>
      </c>
      <c r="Y90" s="5">
        <v>6636</v>
      </c>
      <c r="Z90" s="5">
        <v>4737</v>
      </c>
      <c r="AA90" s="4"/>
      <c r="AB90" s="4"/>
    </row>
    <row r="91" spans="1:42" customFormat="1">
      <c r="A91" s="14" t="s">
        <v>94</v>
      </c>
      <c r="B91" s="15">
        <v>1314000</v>
      </c>
      <c r="C91" s="15">
        <v>55468</v>
      </c>
      <c r="D91" s="15">
        <v>47759</v>
      </c>
      <c r="E91" s="15">
        <v>43571</v>
      </c>
      <c r="F91" s="15">
        <v>1681</v>
      </c>
      <c r="G91" s="15">
        <v>1716</v>
      </c>
      <c r="H91" s="15">
        <v>1273316</v>
      </c>
      <c r="I91" s="15">
        <v>56729</v>
      </c>
      <c r="J91" s="15">
        <v>39809</v>
      </c>
      <c r="K91" s="51">
        <v>42.2</v>
      </c>
      <c r="L91" s="51">
        <v>36.299999999999997</v>
      </c>
      <c r="M91" s="5"/>
      <c r="N91" s="15">
        <v>166330</v>
      </c>
      <c r="O91" s="15">
        <v>105020</v>
      </c>
      <c r="P91" s="15">
        <v>106965</v>
      </c>
      <c r="Q91" s="15">
        <v>185579</v>
      </c>
      <c r="R91" s="15">
        <v>187292</v>
      </c>
      <c r="S91" s="15">
        <v>122042</v>
      </c>
      <c r="T91" s="15">
        <v>150797</v>
      </c>
      <c r="U91" s="15">
        <v>102543</v>
      </c>
      <c r="V91" s="15">
        <v>138502</v>
      </c>
      <c r="W91" s="15">
        <v>48930</v>
      </c>
      <c r="X91" s="15"/>
      <c r="Y91" s="15"/>
      <c r="Z91" s="17"/>
      <c r="AA91" s="17"/>
      <c r="AB91" s="17"/>
      <c r="AD91" s="73">
        <f>SUM(N91:AB91)</f>
        <v>1314000</v>
      </c>
      <c r="AE91" s="73">
        <f>SUM(N92:AB92)</f>
        <v>55465</v>
      </c>
      <c r="AF91" s="73">
        <f>SUM(N93:AB93)</f>
        <v>47759</v>
      </c>
      <c r="AH91" s="73">
        <f>AD91-B91</f>
        <v>0</v>
      </c>
      <c r="AI91" s="73">
        <f>AE91-C91</f>
        <v>-3</v>
      </c>
      <c r="AJ91" s="73">
        <f>AF91-D91</f>
        <v>0</v>
      </c>
      <c r="AL91" s="74">
        <f>C91/B91*1000</f>
        <v>42.213089802130895</v>
      </c>
      <c r="AM91" s="74">
        <f>D91/B91*1000</f>
        <v>36.346270928462708</v>
      </c>
      <c r="AN91" s="79"/>
      <c r="AO91" s="74">
        <f>AL91-K91</f>
        <v>1.3089802130892281E-2</v>
      </c>
      <c r="AP91" s="74">
        <f>AM91-L91</f>
        <v>4.627092846271097E-2</v>
      </c>
    </row>
    <row r="92" spans="1:42" customFormat="1">
      <c r="A92" s="12" t="s">
        <v>95</v>
      </c>
      <c r="B92" s="5"/>
      <c r="C92" s="5"/>
      <c r="D92" s="5"/>
      <c r="E92" s="5"/>
      <c r="F92" s="5"/>
      <c r="G92" s="5"/>
      <c r="H92" s="5"/>
      <c r="I92" s="5"/>
      <c r="J92" s="5"/>
      <c r="K92" s="50"/>
      <c r="L92" s="50"/>
      <c r="M92" s="5"/>
      <c r="N92" s="5">
        <v>6871</v>
      </c>
      <c r="O92" s="5">
        <v>4024</v>
      </c>
      <c r="P92" s="5">
        <v>4798</v>
      </c>
      <c r="Q92" s="5">
        <v>7433</v>
      </c>
      <c r="R92" s="5">
        <v>9134</v>
      </c>
      <c r="S92" s="5">
        <v>4905</v>
      </c>
      <c r="T92" s="5">
        <v>6508</v>
      </c>
      <c r="U92" s="5">
        <v>3769</v>
      </c>
      <c r="V92" s="5">
        <v>6308</v>
      </c>
      <c r="W92" s="5">
        <v>1715</v>
      </c>
      <c r="X92" s="5"/>
      <c r="Y92" s="5"/>
      <c r="Z92" s="4"/>
      <c r="AA92" s="4"/>
      <c r="AB92" s="4"/>
    </row>
    <row r="93" spans="1:42" customFormat="1">
      <c r="A93" s="12" t="s">
        <v>96</v>
      </c>
      <c r="B93" s="5"/>
      <c r="C93" s="5"/>
      <c r="D93" s="5"/>
      <c r="E93" s="5"/>
      <c r="F93" s="5"/>
      <c r="G93" s="5"/>
      <c r="H93" s="5"/>
      <c r="I93" s="5"/>
      <c r="J93" s="5"/>
      <c r="K93" s="50"/>
      <c r="L93" s="50"/>
      <c r="M93" s="5"/>
      <c r="N93" s="5">
        <v>4712</v>
      </c>
      <c r="O93" s="5">
        <v>3745</v>
      </c>
      <c r="P93" s="5">
        <v>3530</v>
      </c>
      <c r="Q93" s="5">
        <v>6178</v>
      </c>
      <c r="R93" s="5">
        <v>8700</v>
      </c>
      <c r="S93" s="5">
        <v>4256</v>
      </c>
      <c r="T93" s="5">
        <v>5636</v>
      </c>
      <c r="U93" s="5">
        <v>3432</v>
      </c>
      <c r="V93" s="5">
        <v>5669</v>
      </c>
      <c r="W93" s="5">
        <v>1901</v>
      </c>
      <c r="X93" s="5"/>
      <c r="Y93" s="5"/>
      <c r="Z93" s="4"/>
      <c r="AA93" s="4"/>
      <c r="AB93" s="4"/>
    </row>
    <row r="94" spans="1:42" customFormat="1">
      <c r="A94" s="27" t="s">
        <v>97</v>
      </c>
      <c r="B94" s="15">
        <v>2676587</v>
      </c>
      <c r="C94" s="15">
        <v>116448</v>
      </c>
      <c r="D94" s="15">
        <v>152129</v>
      </c>
      <c r="E94" s="15">
        <v>107841</v>
      </c>
      <c r="F94" s="15">
        <v>4329</v>
      </c>
      <c r="G94" s="15">
        <v>5091</v>
      </c>
      <c r="H94" s="15">
        <v>2671976</v>
      </c>
      <c r="I94" s="15">
        <v>140163</v>
      </c>
      <c r="J94" s="15">
        <v>102903</v>
      </c>
      <c r="K94" s="51">
        <v>43.5</v>
      </c>
      <c r="L94" s="51">
        <v>56.8</v>
      </c>
      <c r="M94" s="5"/>
      <c r="N94" s="15">
        <v>245075</v>
      </c>
      <c r="O94" s="93">
        <v>258050</v>
      </c>
      <c r="P94" s="15">
        <v>280114</v>
      </c>
      <c r="Q94" s="15">
        <v>347912</v>
      </c>
      <c r="R94" s="15">
        <v>207342</v>
      </c>
      <c r="S94" s="15">
        <v>132273</v>
      </c>
      <c r="T94" s="15">
        <v>211382</v>
      </c>
      <c r="U94" s="15">
        <v>160392</v>
      </c>
      <c r="V94" s="15">
        <v>192114</v>
      </c>
      <c r="W94" s="15">
        <v>176987</v>
      </c>
      <c r="X94" s="15">
        <v>279974</v>
      </c>
      <c r="Y94" s="15">
        <v>184962</v>
      </c>
      <c r="Z94" s="28"/>
      <c r="AA94" s="17"/>
      <c r="AB94" s="17"/>
      <c r="AD94" s="73">
        <f>SUM(N94:AB94)</f>
        <v>2676577</v>
      </c>
      <c r="AE94" s="73">
        <f>SUM(N95:AB95)</f>
        <v>116448</v>
      </c>
      <c r="AF94" s="73">
        <f>SUM(N96:AB96)</f>
        <v>152129</v>
      </c>
      <c r="AH94" s="73">
        <f>AD94-B94</f>
        <v>-10</v>
      </c>
      <c r="AI94" s="73">
        <f>AE94-C94</f>
        <v>0</v>
      </c>
      <c r="AJ94" s="73">
        <f>AF94-D94</f>
        <v>0</v>
      </c>
      <c r="AL94" s="74">
        <f>C94/B94*1000</f>
        <v>43.50615167749077</v>
      </c>
      <c r="AM94" s="74">
        <f>D94/B94*1000</f>
        <v>56.836934499046734</v>
      </c>
      <c r="AN94" s="79"/>
      <c r="AO94" s="74">
        <f>AL94-K94</f>
        <v>6.1516774907701688E-3</v>
      </c>
      <c r="AP94" s="74">
        <f>AM94-L94</f>
        <v>3.6934499046736846E-2</v>
      </c>
    </row>
    <row r="95" spans="1:42" customFormat="1">
      <c r="A95" s="9" t="s">
        <v>98</v>
      </c>
      <c r="B95" s="7"/>
      <c r="C95" s="7"/>
      <c r="D95" s="7"/>
      <c r="E95" s="7"/>
      <c r="F95" s="7"/>
      <c r="G95" s="7"/>
      <c r="H95" s="7"/>
      <c r="I95" s="7"/>
      <c r="J95" s="7"/>
      <c r="K95" s="53"/>
      <c r="L95" s="53"/>
      <c r="M95" s="7"/>
      <c r="N95" s="5">
        <v>12034</v>
      </c>
      <c r="O95" s="5">
        <v>9021</v>
      </c>
      <c r="P95" s="5">
        <v>13062</v>
      </c>
      <c r="Q95" s="5">
        <v>13752</v>
      </c>
      <c r="R95" s="5">
        <v>9613</v>
      </c>
      <c r="S95" s="5">
        <v>5689</v>
      </c>
      <c r="T95" s="5">
        <v>10413</v>
      </c>
      <c r="U95" s="5">
        <v>7394</v>
      </c>
      <c r="V95" s="5">
        <v>7139</v>
      </c>
      <c r="W95" s="5">
        <v>9492</v>
      </c>
      <c r="X95" s="5">
        <v>11707</v>
      </c>
      <c r="Y95" s="5">
        <v>7132</v>
      </c>
      <c r="Z95" s="7"/>
      <c r="AA95" s="4"/>
      <c r="AB95" s="4"/>
    </row>
    <row r="96" spans="1:42" customFormat="1">
      <c r="A96" s="9" t="s">
        <v>99</v>
      </c>
      <c r="B96" s="7"/>
      <c r="C96" s="7"/>
      <c r="D96" s="7"/>
      <c r="E96" s="7"/>
      <c r="F96" s="7"/>
      <c r="G96" s="7"/>
      <c r="H96" s="7"/>
      <c r="I96" s="7"/>
      <c r="J96" s="7"/>
      <c r="K96" s="53"/>
      <c r="L96" s="53"/>
      <c r="M96" s="7"/>
      <c r="N96" s="5">
        <v>14881</v>
      </c>
      <c r="O96" s="5">
        <v>13952</v>
      </c>
      <c r="P96" s="5">
        <v>14461</v>
      </c>
      <c r="Q96" s="5">
        <v>23135</v>
      </c>
      <c r="R96" s="5">
        <v>11935</v>
      </c>
      <c r="S96" s="5">
        <v>6198</v>
      </c>
      <c r="T96" s="5">
        <v>11682</v>
      </c>
      <c r="U96" s="5">
        <v>10186</v>
      </c>
      <c r="V96" s="5">
        <v>9314</v>
      </c>
      <c r="W96" s="5">
        <v>8024</v>
      </c>
      <c r="X96" s="5">
        <v>17887</v>
      </c>
      <c r="Y96" s="5">
        <v>10474</v>
      </c>
      <c r="Z96" s="7"/>
      <c r="AA96" s="4"/>
      <c r="AB96" s="4"/>
    </row>
    <row r="97" spans="1:42" customFormat="1">
      <c r="A97" s="27" t="s">
        <v>100</v>
      </c>
      <c r="B97" s="15">
        <v>3050600</v>
      </c>
      <c r="C97" s="15">
        <v>140463</v>
      </c>
      <c r="D97" s="15">
        <v>133061</v>
      </c>
      <c r="E97" s="15">
        <v>90349</v>
      </c>
      <c r="F97" s="15">
        <v>2499</v>
      </c>
      <c r="G97" s="15">
        <v>3294</v>
      </c>
      <c r="H97" s="15">
        <v>2970535</v>
      </c>
      <c r="I97" s="15">
        <v>155997</v>
      </c>
      <c r="J97" s="15">
        <v>118498</v>
      </c>
      <c r="K97" s="51">
        <v>46</v>
      </c>
      <c r="L97" s="51">
        <v>43.6</v>
      </c>
      <c r="M97" s="5"/>
      <c r="N97" s="15">
        <v>210592</v>
      </c>
      <c r="O97" s="15">
        <v>371883</v>
      </c>
      <c r="P97" s="15">
        <v>218970</v>
      </c>
      <c r="Q97" s="15">
        <v>287711</v>
      </c>
      <c r="R97" s="15">
        <v>268974</v>
      </c>
      <c r="S97" s="15">
        <v>223829</v>
      </c>
      <c r="T97" s="15">
        <v>224525</v>
      </c>
      <c r="U97" s="15">
        <v>367228</v>
      </c>
      <c r="V97" s="15">
        <v>214762</v>
      </c>
      <c r="W97" s="15">
        <v>291061</v>
      </c>
      <c r="X97" s="15">
        <v>371065</v>
      </c>
      <c r="Y97" s="28"/>
      <c r="Z97" s="28"/>
      <c r="AA97" s="17"/>
      <c r="AB97" s="17"/>
      <c r="AD97" s="73">
        <f>SUM(N97:AB97)</f>
        <v>3050600</v>
      </c>
      <c r="AE97" s="73">
        <f>SUM(N98:AB98)</f>
        <v>140463</v>
      </c>
      <c r="AF97" s="73">
        <f>SUM(N99:AB99)</f>
        <v>133055</v>
      </c>
      <c r="AH97" s="73">
        <f>AD97-B97</f>
        <v>0</v>
      </c>
      <c r="AI97" s="73">
        <f>AE97-C97</f>
        <v>0</v>
      </c>
      <c r="AJ97" s="73">
        <f>AF97-D97</f>
        <v>-6</v>
      </c>
      <c r="AL97" s="74">
        <f>C97/B97*1000</f>
        <v>46.044384711204351</v>
      </c>
      <c r="AM97" s="74">
        <f>D97/B97*1000</f>
        <v>43.617976791450857</v>
      </c>
      <c r="AN97" s="79"/>
      <c r="AO97" s="74">
        <f>AL97-K97</f>
        <v>4.438471120435139E-2</v>
      </c>
      <c r="AP97" s="74">
        <f>AM97-L97</f>
        <v>1.7976791450855956E-2</v>
      </c>
    </row>
    <row r="98" spans="1:42" customFormat="1">
      <c r="A98" s="9" t="s">
        <v>101</v>
      </c>
      <c r="B98" s="7"/>
      <c r="C98" s="7"/>
      <c r="D98" s="7"/>
      <c r="E98" s="7"/>
      <c r="F98" s="7"/>
      <c r="G98" s="7"/>
      <c r="H98" s="7"/>
      <c r="I98" s="7"/>
      <c r="J98" s="7"/>
      <c r="K98" s="53"/>
      <c r="L98" s="53"/>
      <c r="M98" s="7"/>
      <c r="N98" s="5">
        <v>8905</v>
      </c>
      <c r="O98" s="5">
        <v>18069</v>
      </c>
      <c r="P98" s="5">
        <v>10669</v>
      </c>
      <c r="Q98" s="5">
        <v>13058</v>
      </c>
      <c r="R98" s="5">
        <v>12468</v>
      </c>
      <c r="S98" s="5">
        <v>9435</v>
      </c>
      <c r="T98" s="5">
        <v>10027</v>
      </c>
      <c r="U98" s="5">
        <v>18642</v>
      </c>
      <c r="V98" s="5">
        <v>10298</v>
      </c>
      <c r="W98" s="5">
        <v>12501</v>
      </c>
      <c r="X98" s="5">
        <v>16391</v>
      </c>
      <c r="Y98" s="7"/>
      <c r="Z98" s="7"/>
      <c r="AA98" s="4"/>
      <c r="AB98" s="4"/>
    </row>
    <row r="99" spans="1:42" customFormat="1">
      <c r="A99" s="9" t="s">
        <v>102</v>
      </c>
      <c r="B99" s="7"/>
      <c r="C99" s="7"/>
      <c r="D99" s="7"/>
      <c r="E99" s="7"/>
      <c r="F99" s="7"/>
      <c r="G99" s="7"/>
      <c r="H99" s="7"/>
      <c r="I99" s="7"/>
      <c r="J99" s="7"/>
      <c r="K99" s="53"/>
      <c r="L99" s="53"/>
      <c r="M99" s="7"/>
      <c r="N99" s="5">
        <v>8871</v>
      </c>
      <c r="O99" s="5">
        <v>16519</v>
      </c>
      <c r="P99" s="5">
        <v>13330</v>
      </c>
      <c r="Q99" s="5">
        <v>8709</v>
      </c>
      <c r="R99" s="5">
        <v>13340</v>
      </c>
      <c r="S99" s="5">
        <v>7913</v>
      </c>
      <c r="T99" s="5">
        <v>8027</v>
      </c>
      <c r="U99" s="5">
        <v>21656</v>
      </c>
      <c r="V99" s="5">
        <v>8719</v>
      </c>
      <c r="W99" s="5">
        <v>12634</v>
      </c>
      <c r="X99" s="5">
        <v>13337</v>
      </c>
      <c r="Y99" s="7"/>
      <c r="Z99" s="7"/>
      <c r="AA99" s="4"/>
      <c r="AB99" s="4"/>
    </row>
    <row r="100" spans="1:42" customFormat="1">
      <c r="A100" s="27" t="s">
        <v>103</v>
      </c>
      <c r="B100" s="15">
        <v>1852363</v>
      </c>
      <c r="C100" s="15">
        <v>102673</v>
      </c>
      <c r="D100" s="15">
        <v>70996</v>
      </c>
      <c r="E100" s="15">
        <v>235177</v>
      </c>
      <c r="F100" s="15">
        <v>8360</v>
      </c>
      <c r="G100" s="15">
        <v>6634</v>
      </c>
      <c r="H100" s="15">
        <v>1684554</v>
      </c>
      <c r="I100" s="15">
        <v>93405</v>
      </c>
      <c r="J100" s="15">
        <v>60314</v>
      </c>
      <c r="K100" s="51">
        <v>55.5</v>
      </c>
      <c r="L100" s="51">
        <v>38.200000000000003</v>
      </c>
      <c r="M100" s="5"/>
      <c r="N100" s="15">
        <v>293402</v>
      </c>
      <c r="O100" s="15">
        <v>240103</v>
      </c>
      <c r="P100" s="15">
        <v>250040</v>
      </c>
      <c r="Q100" s="15">
        <v>178797</v>
      </c>
      <c r="R100" s="15">
        <v>231255</v>
      </c>
      <c r="S100" s="15">
        <v>233216</v>
      </c>
      <c r="T100" s="15">
        <v>254155</v>
      </c>
      <c r="U100" s="15">
        <v>171395</v>
      </c>
      <c r="V100" s="28"/>
      <c r="W100" s="28"/>
      <c r="X100" s="28"/>
      <c r="Y100" s="28"/>
      <c r="Z100" s="28"/>
      <c r="AA100" s="17"/>
      <c r="AB100" s="17"/>
      <c r="AD100" s="73">
        <f>SUM(N100:AB100)</f>
        <v>1852363</v>
      </c>
      <c r="AE100" s="73">
        <f>SUM(N101:AB101)</f>
        <v>102673</v>
      </c>
      <c r="AF100" s="73">
        <f>SUM(N102:AB102)</f>
        <v>70996</v>
      </c>
      <c r="AH100" s="73">
        <f>AD100-B100</f>
        <v>0</v>
      </c>
      <c r="AI100" s="73">
        <f>AE100-C100</f>
        <v>0</v>
      </c>
      <c r="AJ100" s="73">
        <f>AF100-D100</f>
        <v>0</v>
      </c>
      <c r="AL100" s="74">
        <f>C100/B100*1000</f>
        <v>55.428120730116078</v>
      </c>
      <c r="AM100" s="74">
        <f>D100/B100*1000</f>
        <v>38.327260909443773</v>
      </c>
      <c r="AN100" s="79"/>
      <c r="AO100" s="74">
        <f>AL100-K100</f>
        <v>-7.1879269883922348E-2</v>
      </c>
      <c r="AP100" s="74">
        <f>AM100-L100</f>
        <v>0.12726090944376978</v>
      </c>
    </row>
    <row r="101" spans="1:42" customFormat="1">
      <c r="A101" s="9" t="s">
        <v>104</v>
      </c>
      <c r="B101" s="7"/>
      <c r="C101" s="7"/>
      <c r="D101" s="7"/>
      <c r="E101" s="7"/>
      <c r="F101" s="7"/>
      <c r="G101" s="7"/>
      <c r="H101" s="7"/>
      <c r="I101" s="7"/>
      <c r="J101" s="7"/>
      <c r="K101" s="53"/>
      <c r="L101" s="53"/>
      <c r="M101" s="7"/>
      <c r="N101" s="5">
        <v>18415</v>
      </c>
      <c r="O101" s="5">
        <v>13950</v>
      </c>
      <c r="P101" s="5">
        <v>14008</v>
      </c>
      <c r="Q101" s="5">
        <v>9785</v>
      </c>
      <c r="R101" s="5">
        <v>13677</v>
      </c>
      <c r="S101" s="5">
        <v>12648</v>
      </c>
      <c r="T101" s="5">
        <v>11927</v>
      </c>
      <c r="U101" s="5">
        <v>8263</v>
      </c>
      <c r="V101" s="7"/>
      <c r="W101" s="7"/>
      <c r="X101" s="7"/>
      <c r="Y101" s="7"/>
      <c r="Z101" s="7"/>
      <c r="AA101" s="4"/>
      <c r="AB101" s="4"/>
    </row>
    <row r="102" spans="1:42" customFormat="1">
      <c r="A102" s="9" t="s">
        <v>105</v>
      </c>
      <c r="B102" s="7"/>
      <c r="C102" s="7"/>
      <c r="D102" s="7"/>
      <c r="E102" s="7"/>
      <c r="F102" s="7"/>
      <c r="G102" s="7"/>
      <c r="H102" s="7"/>
      <c r="I102" s="7"/>
      <c r="J102" s="7"/>
      <c r="K102" s="53"/>
      <c r="L102" s="53"/>
      <c r="M102" s="7"/>
      <c r="N102" s="5">
        <v>11209</v>
      </c>
      <c r="O102" s="5">
        <v>8715</v>
      </c>
      <c r="P102" s="5">
        <v>10223</v>
      </c>
      <c r="Q102" s="5">
        <v>5689</v>
      </c>
      <c r="R102" s="5">
        <v>11706</v>
      </c>
      <c r="S102" s="5">
        <v>7824</v>
      </c>
      <c r="T102" s="5">
        <v>8538</v>
      </c>
      <c r="U102" s="5">
        <v>7092</v>
      </c>
      <c r="V102" s="7"/>
      <c r="W102" s="7"/>
      <c r="X102" s="7"/>
      <c r="Y102" s="7"/>
      <c r="Z102" s="7"/>
      <c r="AA102" s="4"/>
      <c r="AB102" s="4"/>
    </row>
    <row r="103" spans="1:42" customFormat="1">
      <c r="A103" s="27" t="s">
        <v>106</v>
      </c>
      <c r="B103" s="15">
        <v>2201028</v>
      </c>
      <c r="C103" s="15">
        <v>83840</v>
      </c>
      <c r="D103" s="15">
        <v>102498</v>
      </c>
      <c r="E103" s="29" t="s">
        <v>14</v>
      </c>
      <c r="F103" s="15">
        <v>6097</v>
      </c>
      <c r="G103" s="15">
        <v>9702</v>
      </c>
      <c r="H103" s="15">
        <v>2188599</v>
      </c>
      <c r="I103" s="15">
        <v>104449</v>
      </c>
      <c r="J103" s="15">
        <v>73204</v>
      </c>
      <c r="K103" s="51">
        <v>38.1</v>
      </c>
      <c r="L103" s="51">
        <v>46.6</v>
      </c>
      <c r="M103" s="5"/>
      <c r="N103" s="15">
        <v>370268</v>
      </c>
      <c r="O103" s="15">
        <v>98453</v>
      </c>
      <c r="P103" s="15">
        <v>194800</v>
      </c>
      <c r="Q103" s="15">
        <v>198044</v>
      </c>
      <c r="R103" s="15">
        <v>128081</v>
      </c>
      <c r="S103" s="15">
        <v>176744</v>
      </c>
      <c r="T103" s="15">
        <v>193584</v>
      </c>
      <c r="U103" s="15">
        <v>111318</v>
      </c>
      <c r="V103" s="15">
        <v>161459</v>
      </c>
      <c r="W103" s="15">
        <v>118672</v>
      </c>
      <c r="X103" s="15">
        <v>311269</v>
      </c>
      <c r="Y103" s="15">
        <v>138336</v>
      </c>
      <c r="Z103" s="28"/>
      <c r="AA103" s="17"/>
      <c r="AB103" s="17"/>
      <c r="AD103" s="73">
        <f>SUM(N103:AB103)</f>
        <v>2201028</v>
      </c>
      <c r="AE103" s="73">
        <f>SUM(N104:AB104)</f>
        <v>84290</v>
      </c>
      <c r="AF103" s="73">
        <f>SUM(N105:AB105)</f>
        <v>102496</v>
      </c>
      <c r="AH103" s="73">
        <f>AD103-B103</f>
        <v>0</v>
      </c>
      <c r="AI103" s="73">
        <f>AE103-C103</f>
        <v>450</v>
      </c>
      <c r="AJ103" s="73">
        <f>AF103-D103</f>
        <v>-2</v>
      </c>
      <c r="AL103" s="74">
        <f>C103/B103*1000</f>
        <v>38.091291887245418</v>
      </c>
      <c r="AM103" s="74">
        <f>D103/B103*1000</f>
        <v>46.568239931522903</v>
      </c>
      <c r="AN103" s="79"/>
      <c r="AO103" s="74">
        <f>AL103-K103</f>
        <v>-8.7081127545829418E-3</v>
      </c>
      <c r="AP103" s="74">
        <f>AM103-L103</f>
        <v>-3.1760068477098002E-2</v>
      </c>
    </row>
    <row r="104" spans="1:42" customFormat="1">
      <c r="A104" s="9" t="s">
        <v>107</v>
      </c>
      <c r="B104" s="7"/>
      <c r="C104" s="7"/>
      <c r="D104" s="7"/>
      <c r="E104" s="7"/>
      <c r="F104" s="7"/>
      <c r="G104" s="7"/>
      <c r="H104" s="7"/>
      <c r="I104" s="7"/>
      <c r="J104" s="7"/>
      <c r="K104" s="53"/>
      <c r="L104" s="53"/>
      <c r="M104" s="7"/>
      <c r="N104" s="5">
        <v>12350</v>
      </c>
      <c r="O104" s="5">
        <v>3891</v>
      </c>
      <c r="P104" s="5">
        <v>6866</v>
      </c>
      <c r="Q104" s="5">
        <v>6763</v>
      </c>
      <c r="R104" s="5">
        <v>5830</v>
      </c>
      <c r="S104" s="5">
        <v>7665</v>
      </c>
      <c r="T104" s="5">
        <v>6718</v>
      </c>
      <c r="U104" s="5">
        <v>4367</v>
      </c>
      <c r="V104" s="5">
        <v>5758</v>
      </c>
      <c r="W104" s="5">
        <v>4677</v>
      </c>
      <c r="X104" s="5">
        <v>13162</v>
      </c>
      <c r="Y104" s="5">
        <v>6243</v>
      </c>
      <c r="Z104" s="7"/>
      <c r="AA104" s="4"/>
      <c r="AB104" s="4"/>
    </row>
    <row r="105" spans="1:42" customFormat="1">
      <c r="A105" s="9" t="s">
        <v>108</v>
      </c>
      <c r="B105" s="7"/>
      <c r="C105" s="7"/>
      <c r="D105" s="7"/>
      <c r="E105" s="7"/>
      <c r="F105" s="7"/>
      <c r="G105" s="7"/>
      <c r="H105" s="7"/>
      <c r="I105" s="7"/>
      <c r="J105" s="7"/>
      <c r="K105" s="53"/>
      <c r="L105" s="53"/>
      <c r="M105" s="7"/>
      <c r="N105" s="5">
        <v>16922</v>
      </c>
      <c r="O105" s="5">
        <v>3443</v>
      </c>
      <c r="P105" s="5">
        <v>10056</v>
      </c>
      <c r="Q105" s="5">
        <v>9125</v>
      </c>
      <c r="R105" s="5">
        <v>6428</v>
      </c>
      <c r="S105" s="5">
        <v>10203</v>
      </c>
      <c r="T105" s="5">
        <v>10869</v>
      </c>
      <c r="U105" s="5">
        <v>4489</v>
      </c>
      <c r="V105" s="5">
        <v>5396</v>
      </c>
      <c r="W105" s="5">
        <v>4252</v>
      </c>
      <c r="X105" s="5">
        <v>16032</v>
      </c>
      <c r="Y105" s="5">
        <v>5281</v>
      </c>
      <c r="Z105" s="7"/>
      <c r="AA105" s="4"/>
      <c r="AB105" s="4"/>
    </row>
    <row r="106" spans="1:42" customFormat="1">
      <c r="A106" s="27" t="s">
        <v>109</v>
      </c>
      <c r="B106" s="15">
        <v>1267028</v>
      </c>
      <c r="C106" s="15">
        <v>59822</v>
      </c>
      <c r="D106" s="15">
        <v>45967</v>
      </c>
      <c r="E106" s="15">
        <v>97316</v>
      </c>
      <c r="F106" s="15">
        <v>2872</v>
      </c>
      <c r="G106" s="15">
        <v>2613</v>
      </c>
      <c r="H106" s="15">
        <v>1230347</v>
      </c>
      <c r="I106" s="15">
        <v>58298</v>
      </c>
      <c r="J106" s="15">
        <v>45198</v>
      </c>
      <c r="K106" s="51">
        <v>47.2</v>
      </c>
      <c r="L106" s="51">
        <v>36.299999999999997</v>
      </c>
      <c r="M106" s="5"/>
      <c r="N106" s="15">
        <v>113848</v>
      </c>
      <c r="O106" s="15">
        <v>77500</v>
      </c>
      <c r="P106" s="15">
        <v>238139</v>
      </c>
      <c r="Q106" s="15">
        <v>134660</v>
      </c>
      <c r="R106" s="15">
        <v>94459</v>
      </c>
      <c r="S106" s="15">
        <v>50809</v>
      </c>
      <c r="T106" s="15">
        <v>127080</v>
      </c>
      <c r="U106" s="15">
        <v>121523</v>
      </c>
      <c r="V106" s="15">
        <v>165530</v>
      </c>
      <c r="W106" s="15">
        <v>71747</v>
      </c>
      <c r="X106" s="15">
        <v>71733</v>
      </c>
      <c r="Y106" s="28"/>
      <c r="Z106" s="28"/>
      <c r="AA106" s="17"/>
      <c r="AB106" s="17"/>
      <c r="AD106" s="73">
        <f>SUM(N106:AB106)</f>
        <v>1267028</v>
      </c>
      <c r="AE106" s="73">
        <f>SUM(N107:AB107)</f>
        <v>59822</v>
      </c>
      <c r="AF106" s="73">
        <f>SUM(N108:AB108)</f>
        <v>45964</v>
      </c>
      <c r="AH106" s="73">
        <f>AD106-B106</f>
        <v>0</v>
      </c>
      <c r="AI106" s="73">
        <f>AE106-C106</f>
        <v>0</v>
      </c>
      <c r="AJ106" s="73">
        <f>AF106-D106</f>
        <v>-3</v>
      </c>
      <c r="AL106" s="74">
        <f>C106/B106*1000</f>
        <v>47.214426200525956</v>
      </c>
      <c r="AM106" s="74">
        <f>D106/B106*1000</f>
        <v>36.279387669412202</v>
      </c>
      <c r="AN106" s="79"/>
      <c r="AO106" s="74">
        <f>AL106-K106</f>
        <v>1.4426200525953448E-2</v>
      </c>
      <c r="AP106" s="74">
        <f>AM106-L106</f>
        <v>-2.0612330587795213E-2</v>
      </c>
    </row>
    <row r="107" spans="1:42" customFormat="1">
      <c r="A107" s="9" t="s">
        <v>110</v>
      </c>
      <c r="B107" s="7"/>
      <c r="C107" s="7"/>
      <c r="D107" s="7"/>
      <c r="E107" s="7"/>
      <c r="F107" s="7"/>
      <c r="G107" s="7"/>
      <c r="H107" s="7"/>
      <c r="I107" s="7"/>
      <c r="J107" s="7"/>
      <c r="K107" s="53"/>
      <c r="L107" s="53"/>
      <c r="M107" s="7"/>
      <c r="N107" s="5">
        <v>4857</v>
      </c>
      <c r="O107" s="5">
        <v>3143</v>
      </c>
      <c r="P107" s="5">
        <v>12289</v>
      </c>
      <c r="Q107" s="5">
        <v>6356</v>
      </c>
      <c r="R107" s="5">
        <v>4679</v>
      </c>
      <c r="S107" s="5">
        <v>2315</v>
      </c>
      <c r="T107" s="5">
        <v>6558</v>
      </c>
      <c r="U107" s="5">
        <v>4927</v>
      </c>
      <c r="V107" s="5">
        <v>8431</v>
      </c>
      <c r="W107" s="5">
        <v>3365</v>
      </c>
      <c r="X107" s="5">
        <v>2902</v>
      </c>
      <c r="Y107" s="7"/>
      <c r="Z107" s="7"/>
      <c r="AA107" s="4"/>
      <c r="AB107" s="4"/>
    </row>
    <row r="108" spans="1:42" customFormat="1">
      <c r="A108" s="9" t="s">
        <v>111</v>
      </c>
      <c r="B108" s="7"/>
      <c r="C108" s="7"/>
      <c r="D108" s="7"/>
      <c r="E108" s="7"/>
      <c r="F108" s="7"/>
      <c r="G108" s="7"/>
      <c r="H108" s="7"/>
      <c r="I108" s="7"/>
      <c r="J108" s="7"/>
      <c r="K108" s="53"/>
      <c r="L108" s="53"/>
      <c r="M108" s="7"/>
      <c r="N108" s="5">
        <v>3648</v>
      </c>
      <c r="O108" s="5">
        <v>2695</v>
      </c>
      <c r="P108" s="5">
        <v>9028</v>
      </c>
      <c r="Q108" s="5">
        <v>4184</v>
      </c>
      <c r="R108" s="5">
        <v>3512</v>
      </c>
      <c r="S108" s="5">
        <v>2164</v>
      </c>
      <c r="T108" s="5">
        <v>5337</v>
      </c>
      <c r="U108" s="5">
        <v>3808</v>
      </c>
      <c r="V108" s="5">
        <v>6543</v>
      </c>
      <c r="W108" s="5">
        <v>2734</v>
      </c>
      <c r="X108" s="5">
        <v>2311</v>
      </c>
      <c r="Y108" s="7"/>
      <c r="Z108" s="7"/>
      <c r="AA108" s="4"/>
      <c r="AB108" s="4"/>
    </row>
    <row r="109" spans="1:42" customFormat="1">
      <c r="A109" s="27" t="s">
        <v>112</v>
      </c>
      <c r="B109" s="15">
        <v>1426099</v>
      </c>
      <c r="C109" s="15">
        <v>62808</v>
      </c>
      <c r="D109" s="15">
        <v>51993</v>
      </c>
      <c r="E109" s="15">
        <v>69907</v>
      </c>
      <c r="F109" s="15">
        <v>3074</v>
      </c>
      <c r="G109" s="15">
        <v>3027</v>
      </c>
      <c r="H109" s="15">
        <v>1382902</v>
      </c>
      <c r="I109" s="15">
        <v>64466</v>
      </c>
      <c r="J109" s="15">
        <v>49080</v>
      </c>
      <c r="K109" s="51">
        <v>44</v>
      </c>
      <c r="L109" s="51">
        <v>36.5</v>
      </c>
      <c r="M109" s="5"/>
      <c r="N109" s="15">
        <v>178058</v>
      </c>
      <c r="O109" s="15">
        <v>75831</v>
      </c>
      <c r="P109" s="15">
        <v>118859</v>
      </c>
      <c r="Q109" s="15">
        <v>113098</v>
      </c>
      <c r="R109" s="15">
        <v>116339</v>
      </c>
      <c r="S109" s="15">
        <v>137777</v>
      </c>
      <c r="T109" s="15">
        <v>111282</v>
      </c>
      <c r="U109" s="15">
        <v>147199</v>
      </c>
      <c r="V109" s="15">
        <v>167983</v>
      </c>
      <c r="W109" s="15">
        <v>66012</v>
      </c>
      <c r="X109" s="15">
        <v>58337</v>
      </c>
      <c r="Y109" s="15">
        <v>135325</v>
      </c>
      <c r="Z109" s="28"/>
      <c r="AA109" s="17"/>
      <c r="AB109" s="17"/>
      <c r="AD109" s="73">
        <f>SUM(N109:AB109)</f>
        <v>1426100</v>
      </c>
      <c r="AE109" s="73">
        <f>SUM(N110:AB110)</f>
        <v>62808</v>
      </c>
      <c r="AF109" s="73">
        <f>SUM(N111:AB111)</f>
        <v>51993</v>
      </c>
      <c r="AH109" s="73">
        <f>AD109-B109</f>
        <v>1</v>
      </c>
      <c r="AI109" s="73">
        <f>AE109-C109</f>
        <v>0</v>
      </c>
      <c r="AJ109" s="73">
        <f>AF109-D109</f>
        <v>0</v>
      </c>
      <c r="AL109" s="74">
        <f>C109/B109*1000</f>
        <v>44.041823183383485</v>
      </c>
      <c r="AM109" s="74">
        <f>D109/B109*1000</f>
        <v>36.458198203631028</v>
      </c>
      <c r="AN109" s="79"/>
      <c r="AO109" s="74">
        <f>AL109-K109</f>
        <v>4.182318338348523E-2</v>
      </c>
      <c r="AP109" s="74">
        <f>AM109-L109</f>
        <v>-4.1801796368972077E-2</v>
      </c>
    </row>
    <row r="110" spans="1:42" customFormat="1">
      <c r="A110" s="9" t="s">
        <v>113</v>
      </c>
      <c r="B110" s="7"/>
      <c r="C110" s="7"/>
      <c r="D110" s="7"/>
      <c r="E110" s="7"/>
      <c r="F110" s="7"/>
      <c r="G110" s="7"/>
      <c r="H110" s="7"/>
      <c r="I110" s="7"/>
      <c r="J110" s="7"/>
      <c r="K110" s="53"/>
      <c r="L110" s="53"/>
      <c r="M110" s="7"/>
      <c r="N110" s="5">
        <v>7458</v>
      </c>
      <c r="O110" s="5">
        <v>3373</v>
      </c>
      <c r="P110" s="5">
        <v>4434</v>
      </c>
      <c r="Q110" s="5">
        <v>6261</v>
      </c>
      <c r="R110" s="5">
        <v>4563</v>
      </c>
      <c r="S110" s="5">
        <v>6142</v>
      </c>
      <c r="T110" s="5">
        <v>5075</v>
      </c>
      <c r="U110" s="5">
        <v>6671</v>
      </c>
      <c r="V110" s="5">
        <v>7698</v>
      </c>
      <c r="W110" s="5">
        <v>2574</v>
      </c>
      <c r="X110" s="5">
        <v>2431</v>
      </c>
      <c r="Y110" s="5">
        <v>6128</v>
      </c>
      <c r="Z110" s="7"/>
      <c r="AA110" s="4"/>
      <c r="AB110" s="4"/>
    </row>
    <row r="111" spans="1:42" customFormat="1">
      <c r="A111" s="9" t="s">
        <v>114</v>
      </c>
      <c r="B111" s="7"/>
      <c r="C111" s="7"/>
      <c r="D111" s="7"/>
      <c r="E111" s="7"/>
      <c r="F111" s="7"/>
      <c r="G111" s="7"/>
      <c r="H111" s="7"/>
      <c r="I111" s="7"/>
      <c r="J111" s="7"/>
      <c r="K111" s="53"/>
      <c r="L111" s="53"/>
      <c r="M111" s="7"/>
      <c r="N111" s="5">
        <v>5702</v>
      </c>
      <c r="O111" s="5">
        <v>2874</v>
      </c>
      <c r="P111" s="5">
        <v>2870</v>
      </c>
      <c r="Q111" s="5">
        <v>4476</v>
      </c>
      <c r="R111" s="5">
        <v>3757</v>
      </c>
      <c r="S111" s="5">
        <v>5450</v>
      </c>
      <c r="T111" s="5">
        <v>4374</v>
      </c>
      <c r="U111" s="5">
        <v>5781</v>
      </c>
      <c r="V111" s="5">
        <v>6803</v>
      </c>
      <c r="W111" s="5">
        <v>2245</v>
      </c>
      <c r="X111" s="5">
        <v>2043</v>
      </c>
      <c r="Y111" s="5">
        <v>5618</v>
      </c>
      <c r="Z111" s="7"/>
      <c r="AA111" s="4"/>
      <c r="AB111" s="4"/>
    </row>
    <row r="112" spans="1:42" customFormat="1">
      <c r="A112" s="27" t="s">
        <v>115</v>
      </c>
      <c r="B112" s="15">
        <v>2592028</v>
      </c>
      <c r="C112" s="15">
        <v>109091</v>
      </c>
      <c r="D112" s="15">
        <v>97021</v>
      </c>
      <c r="E112" s="15">
        <v>171668</v>
      </c>
      <c r="F112" s="15">
        <v>8389</v>
      </c>
      <c r="G112" s="15">
        <v>9439</v>
      </c>
      <c r="H112" s="15">
        <v>2527830</v>
      </c>
      <c r="I112" s="15">
        <v>119123</v>
      </c>
      <c r="J112" s="15">
        <v>81087</v>
      </c>
      <c r="K112" s="51">
        <v>42.1</v>
      </c>
      <c r="L112" s="51">
        <v>37.4</v>
      </c>
      <c r="M112" s="5"/>
      <c r="N112" s="15">
        <v>243112</v>
      </c>
      <c r="O112" s="15">
        <v>199351</v>
      </c>
      <c r="P112" s="15">
        <v>192216</v>
      </c>
      <c r="Q112" s="15">
        <v>123218</v>
      </c>
      <c r="R112" s="15">
        <v>181663</v>
      </c>
      <c r="S112" s="15">
        <v>133078</v>
      </c>
      <c r="T112" s="15">
        <v>185142</v>
      </c>
      <c r="U112" s="15">
        <v>199934</v>
      </c>
      <c r="V112" s="15">
        <v>177594</v>
      </c>
      <c r="W112" s="15">
        <v>157318</v>
      </c>
      <c r="X112" s="15">
        <v>167151</v>
      </c>
      <c r="Y112" s="15">
        <v>171245</v>
      </c>
      <c r="Z112" s="15">
        <v>153944</v>
      </c>
      <c r="AA112" s="15">
        <v>129228</v>
      </c>
      <c r="AB112" s="15">
        <v>177834</v>
      </c>
      <c r="AD112" s="73">
        <f>SUM(N112:AB112)</f>
        <v>2592028</v>
      </c>
      <c r="AE112" s="73">
        <f>SUM(N113:AB113)</f>
        <v>109091</v>
      </c>
      <c r="AF112" s="73">
        <f>SUM(N114:AB114)</f>
        <v>97021</v>
      </c>
      <c r="AH112" s="73">
        <f>AD112-B112</f>
        <v>0</v>
      </c>
      <c r="AI112" s="73">
        <f>AE112-C112</f>
        <v>0</v>
      </c>
      <c r="AJ112" s="73">
        <f>AF112-D112</f>
        <v>0</v>
      </c>
      <c r="AL112" s="74">
        <f>C112/B112*1000</f>
        <v>42.087122515651835</v>
      </c>
      <c r="AM112" s="74">
        <f>D112/B112*1000</f>
        <v>37.430537015803843</v>
      </c>
      <c r="AN112" s="79"/>
      <c r="AO112" s="74">
        <f>AL112-K112</f>
        <v>-1.287748434816649E-2</v>
      </c>
      <c r="AP112" s="74">
        <f>AM112-L112</f>
        <v>3.053701580384427E-2</v>
      </c>
    </row>
    <row r="113" spans="1:42" customFormat="1">
      <c r="A113" s="9" t="s">
        <v>116</v>
      </c>
      <c r="B113" s="7"/>
      <c r="C113" s="7"/>
      <c r="D113" s="7"/>
      <c r="E113" s="7"/>
      <c r="F113" s="7"/>
      <c r="G113" s="7"/>
      <c r="H113" s="7"/>
      <c r="I113" s="7"/>
      <c r="J113" s="7"/>
      <c r="K113" s="53"/>
      <c r="L113" s="53"/>
      <c r="M113" s="7"/>
      <c r="N113" s="5">
        <v>10225</v>
      </c>
      <c r="O113" s="5">
        <v>7878</v>
      </c>
      <c r="P113" s="5">
        <v>8095</v>
      </c>
      <c r="Q113" s="5">
        <v>6406</v>
      </c>
      <c r="R113" s="5">
        <v>6891</v>
      </c>
      <c r="S113" s="5">
        <v>6574</v>
      </c>
      <c r="T113" s="5">
        <v>6673</v>
      </c>
      <c r="U113" s="5">
        <v>8809</v>
      </c>
      <c r="V113" s="5">
        <v>7624</v>
      </c>
      <c r="W113" s="5">
        <v>7704</v>
      </c>
      <c r="X113" s="5">
        <v>6194</v>
      </c>
      <c r="Y113" s="5">
        <v>7331</v>
      </c>
      <c r="Z113" s="5">
        <v>6011</v>
      </c>
      <c r="AA113" s="5">
        <v>5848</v>
      </c>
      <c r="AB113" s="5">
        <v>6828</v>
      </c>
    </row>
    <row r="114" spans="1:42" customFormat="1">
      <c r="A114" s="9" t="s">
        <v>117</v>
      </c>
      <c r="B114" s="7"/>
      <c r="C114" s="7"/>
      <c r="D114" s="7"/>
      <c r="E114" s="7"/>
      <c r="F114" s="7"/>
      <c r="G114" s="7"/>
      <c r="H114" s="7"/>
      <c r="I114" s="7"/>
      <c r="J114" s="7"/>
      <c r="K114" s="53"/>
      <c r="L114" s="53"/>
      <c r="M114" s="7"/>
      <c r="N114" s="5">
        <v>11379</v>
      </c>
      <c r="O114" s="5">
        <v>7631</v>
      </c>
      <c r="P114" s="5">
        <v>5995</v>
      </c>
      <c r="Q114" s="5">
        <v>5171</v>
      </c>
      <c r="R114" s="5">
        <v>6685</v>
      </c>
      <c r="S114" s="5">
        <v>5614</v>
      </c>
      <c r="T114" s="5">
        <v>5826</v>
      </c>
      <c r="U114" s="5">
        <v>6928</v>
      </c>
      <c r="V114" s="5">
        <v>5849</v>
      </c>
      <c r="W114" s="5">
        <v>6975</v>
      </c>
      <c r="X114" s="5">
        <v>6731</v>
      </c>
      <c r="Y114" s="5">
        <v>5863</v>
      </c>
      <c r="Z114" s="5">
        <v>5137</v>
      </c>
      <c r="AA114" s="5">
        <v>4985</v>
      </c>
      <c r="AB114" s="5">
        <v>6252</v>
      </c>
    </row>
    <row r="115" spans="1:42" customFormat="1">
      <c r="A115" s="27" t="s">
        <v>118</v>
      </c>
      <c r="B115" s="15">
        <v>1532039</v>
      </c>
      <c r="C115" s="15">
        <v>69506</v>
      </c>
      <c r="D115" s="15">
        <v>59841</v>
      </c>
      <c r="E115" s="15">
        <v>142085</v>
      </c>
      <c r="F115" s="15">
        <v>3583</v>
      </c>
      <c r="G115" s="15">
        <v>3508</v>
      </c>
      <c r="H115" s="15">
        <v>1490508</v>
      </c>
      <c r="I115" s="15">
        <v>68898</v>
      </c>
      <c r="J115" s="15">
        <v>58337</v>
      </c>
      <c r="K115" s="51">
        <v>45.4</v>
      </c>
      <c r="L115" s="51">
        <v>39.1</v>
      </c>
      <c r="M115" s="5"/>
      <c r="N115" s="15">
        <v>153842</v>
      </c>
      <c r="O115" s="15">
        <v>186786</v>
      </c>
      <c r="P115" s="15">
        <v>156477</v>
      </c>
      <c r="Q115" s="15">
        <v>62708</v>
      </c>
      <c r="R115" s="15">
        <v>96753</v>
      </c>
      <c r="S115" s="15">
        <v>144840</v>
      </c>
      <c r="T115" s="15">
        <v>94244</v>
      </c>
      <c r="U115" s="15">
        <v>124974</v>
      </c>
      <c r="V115" s="15">
        <v>132808</v>
      </c>
      <c r="W115" s="15">
        <v>70778</v>
      </c>
      <c r="X115" s="15">
        <v>101067</v>
      </c>
      <c r="Y115" s="15">
        <v>70647</v>
      </c>
      <c r="Z115" s="15">
        <v>136114</v>
      </c>
      <c r="AA115" s="17"/>
      <c r="AB115" s="17"/>
      <c r="AD115" s="73">
        <f>SUM(N115:AB115)</f>
        <v>1532038</v>
      </c>
      <c r="AE115" s="73">
        <f>SUM(N116:AB116)</f>
        <v>69506</v>
      </c>
      <c r="AF115" s="73">
        <f>SUM(N117:AB117)</f>
        <v>59841</v>
      </c>
      <c r="AH115" s="73">
        <f>AD115-B115</f>
        <v>-1</v>
      </c>
      <c r="AI115" s="73">
        <f>AE115-C115</f>
        <v>0</v>
      </c>
      <c r="AJ115" s="73">
        <f>AF115-D115</f>
        <v>0</v>
      </c>
      <c r="AL115" s="74">
        <f>C115/B115*1000</f>
        <v>45.368296760069427</v>
      </c>
      <c r="AM115" s="74">
        <f>D115/B115*1000</f>
        <v>39.059710620943726</v>
      </c>
      <c r="AN115" s="79"/>
      <c r="AO115" s="74">
        <f>AL115-K115</f>
        <v>-3.1703239930571669E-2</v>
      </c>
      <c r="AP115" s="74">
        <f>AM115-L115</f>
        <v>-4.028937905627572E-2</v>
      </c>
    </row>
    <row r="116" spans="1:42" customFormat="1">
      <c r="A116" s="9" t="s">
        <v>119</v>
      </c>
      <c r="B116" s="7"/>
      <c r="C116" s="7"/>
      <c r="D116" s="7"/>
      <c r="E116" s="7"/>
      <c r="F116" s="7"/>
      <c r="G116" s="7"/>
      <c r="H116" s="7"/>
      <c r="I116" s="7"/>
      <c r="J116" s="7"/>
      <c r="K116" s="53"/>
      <c r="L116" s="53"/>
      <c r="M116" s="7"/>
      <c r="N116" s="5">
        <v>9440</v>
      </c>
      <c r="O116" s="5">
        <v>9570</v>
      </c>
      <c r="P116" s="5">
        <v>6494</v>
      </c>
      <c r="Q116" s="5">
        <v>2862</v>
      </c>
      <c r="R116" s="5">
        <v>4142</v>
      </c>
      <c r="S116" s="5">
        <v>6166</v>
      </c>
      <c r="T116" s="5">
        <v>4265</v>
      </c>
      <c r="U116" s="5">
        <v>6081</v>
      </c>
      <c r="V116" s="5">
        <v>4747</v>
      </c>
      <c r="W116" s="5">
        <v>3155</v>
      </c>
      <c r="X116" s="5">
        <v>4394</v>
      </c>
      <c r="Y116" s="5">
        <v>3262</v>
      </c>
      <c r="Z116" s="5">
        <v>4928</v>
      </c>
      <c r="AA116" s="4"/>
      <c r="AB116" s="4"/>
    </row>
    <row r="117" spans="1:42" customFormat="1">
      <c r="A117" s="9" t="s">
        <v>120</v>
      </c>
      <c r="B117" s="7"/>
      <c r="C117" s="7"/>
      <c r="D117" s="7"/>
      <c r="E117" s="7"/>
      <c r="F117" s="7"/>
      <c r="G117" s="7"/>
      <c r="H117" s="7"/>
      <c r="I117" s="7"/>
      <c r="J117" s="7"/>
      <c r="K117" s="53"/>
      <c r="L117" s="53"/>
      <c r="M117" s="7"/>
      <c r="N117" s="5">
        <v>7900</v>
      </c>
      <c r="O117" s="5">
        <v>7996</v>
      </c>
      <c r="P117" s="5">
        <v>5263</v>
      </c>
      <c r="Q117" s="5">
        <v>2546</v>
      </c>
      <c r="R117" s="5">
        <v>3245</v>
      </c>
      <c r="S117" s="5">
        <v>5064</v>
      </c>
      <c r="T117" s="5">
        <v>4392</v>
      </c>
      <c r="U117" s="5">
        <v>5009</v>
      </c>
      <c r="V117" s="5">
        <v>4174</v>
      </c>
      <c r="W117" s="5">
        <v>3187</v>
      </c>
      <c r="X117" s="5">
        <v>3570</v>
      </c>
      <c r="Y117" s="5">
        <v>3471</v>
      </c>
      <c r="Z117" s="5">
        <v>4024</v>
      </c>
      <c r="AA117" s="4"/>
      <c r="AB117" s="4"/>
    </row>
    <row r="118" spans="1:42" customFormat="1">
      <c r="A118" s="27" t="s">
        <v>121</v>
      </c>
      <c r="B118" s="15">
        <v>1580635</v>
      </c>
      <c r="C118" s="15">
        <v>76809</v>
      </c>
      <c r="D118" s="15">
        <v>69315</v>
      </c>
      <c r="E118" s="15">
        <v>104622</v>
      </c>
      <c r="F118" s="15">
        <v>4634</v>
      </c>
      <c r="G118" s="15">
        <v>4969</v>
      </c>
      <c r="H118" s="15">
        <v>1541799</v>
      </c>
      <c r="I118" s="15">
        <v>82494</v>
      </c>
      <c r="J118" s="15">
        <v>66151</v>
      </c>
      <c r="K118" s="51">
        <v>48.6</v>
      </c>
      <c r="L118" s="51">
        <v>43.9</v>
      </c>
      <c r="M118" s="5"/>
      <c r="N118" s="15">
        <v>211789</v>
      </c>
      <c r="O118" s="15">
        <v>142995</v>
      </c>
      <c r="P118" s="15">
        <v>148240</v>
      </c>
      <c r="Q118" s="15">
        <v>114662</v>
      </c>
      <c r="R118" s="15">
        <v>132057</v>
      </c>
      <c r="S118" s="15">
        <v>132795</v>
      </c>
      <c r="T118" s="15">
        <v>119238</v>
      </c>
      <c r="U118" s="15">
        <v>192772</v>
      </c>
      <c r="V118" s="15">
        <v>107436</v>
      </c>
      <c r="W118" s="15">
        <v>111398</v>
      </c>
      <c r="X118" s="15">
        <v>167253</v>
      </c>
      <c r="Y118" s="28"/>
      <c r="Z118" s="28"/>
      <c r="AA118" s="17"/>
      <c r="AB118" s="17"/>
      <c r="AD118" s="73">
        <f>SUM(N118:AB118)</f>
        <v>1580635</v>
      </c>
      <c r="AE118" s="73">
        <f>SUM(N119:AB119)</f>
        <v>76839</v>
      </c>
      <c r="AF118" s="73">
        <f>SUM(N120:AB120)</f>
        <v>69315</v>
      </c>
      <c r="AH118" s="73">
        <f>AD118-B118</f>
        <v>0</v>
      </c>
      <c r="AI118" s="73">
        <f>AE118-C118</f>
        <v>30</v>
      </c>
      <c r="AJ118" s="73">
        <f>AF118-D118</f>
        <v>0</v>
      </c>
      <c r="AL118" s="74">
        <f>C118/B118*1000</f>
        <v>48.59376136805777</v>
      </c>
      <c r="AM118" s="74">
        <f>D118/B118*1000</f>
        <v>43.852628848532397</v>
      </c>
      <c r="AN118" s="79"/>
      <c r="AO118" s="74">
        <f>AL118-K118</f>
        <v>-6.2386319422316205E-3</v>
      </c>
      <c r="AP118" s="74">
        <f>AM118-L118</f>
        <v>-4.737115146760118E-2</v>
      </c>
    </row>
    <row r="119" spans="1:42" customFormat="1">
      <c r="A119" s="9" t="s">
        <v>122</v>
      </c>
      <c r="B119" s="7"/>
      <c r="C119" s="7"/>
      <c r="D119" s="7"/>
      <c r="E119" s="7"/>
      <c r="F119" s="7"/>
      <c r="G119" s="7"/>
      <c r="H119" s="7"/>
      <c r="I119" s="7"/>
      <c r="J119" s="7"/>
      <c r="K119" s="53"/>
      <c r="L119" s="53"/>
      <c r="M119" s="7"/>
      <c r="N119" s="5">
        <v>10338</v>
      </c>
      <c r="O119" s="5">
        <v>7393</v>
      </c>
      <c r="P119" s="5">
        <v>7171</v>
      </c>
      <c r="Q119" s="5">
        <v>5888</v>
      </c>
      <c r="R119" s="5">
        <v>6380</v>
      </c>
      <c r="S119" s="5">
        <v>6324</v>
      </c>
      <c r="T119" s="5">
        <v>5467</v>
      </c>
      <c r="U119" s="5">
        <v>9770</v>
      </c>
      <c r="V119" s="5">
        <v>5503</v>
      </c>
      <c r="W119" s="5">
        <v>5081</v>
      </c>
      <c r="X119" s="5">
        <v>7524</v>
      </c>
      <c r="Y119" s="7"/>
      <c r="Z119" s="7"/>
      <c r="AA119" s="4"/>
      <c r="AB119" s="4"/>
    </row>
    <row r="120" spans="1:42" customFormat="1">
      <c r="A120" s="9" t="s">
        <v>123</v>
      </c>
      <c r="B120" s="7"/>
      <c r="C120" s="7"/>
      <c r="D120" s="7"/>
      <c r="E120" s="7"/>
      <c r="F120" s="7"/>
      <c r="G120" s="7"/>
      <c r="H120" s="7"/>
      <c r="I120" s="7"/>
      <c r="J120" s="7"/>
      <c r="K120" s="53"/>
      <c r="L120" s="53"/>
      <c r="M120" s="7"/>
      <c r="N120" s="5">
        <v>9266</v>
      </c>
      <c r="O120" s="5">
        <v>6184</v>
      </c>
      <c r="P120" s="5">
        <v>6244</v>
      </c>
      <c r="Q120" s="5">
        <v>5457</v>
      </c>
      <c r="R120" s="5">
        <v>5888</v>
      </c>
      <c r="S120" s="5">
        <v>5682</v>
      </c>
      <c r="T120" s="5">
        <v>5536</v>
      </c>
      <c r="U120" s="5">
        <v>8763</v>
      </c>
      <c r="V120" s="5">
        <v>4486</v>
      </c>
      <c r="W120" s="5">
        <v>5396</v>
      </c>
      <c r="X120" s="5">
        <v>6413</v>
      </c>
      <c r="Y120" s="7"/>
      <c r="Z120" s="7"/>
      <c r="AA120" s="4"/>
      <c r="AB120" s="4"/>
    </row>
    <row r="121" spans="1:42" customFormat="1">
      <c r="A121" s="27" t="s">
        <v>124</v>
      </c>
      <c r="B121" s="15">
        <v>1302614</v>
      </c>
      <c r="C121" s="15">
        <v>53096</v>
      </c>
      <c r="D121" s="15">
        <v>40765</v>
      </c>
      <c r="E121" s="15">
        <v>89441</v>
      </c>
      <c r="F121" s="15">
        <v>2424</v>
      </c>
      <c r="G121" s="15">
        <v>2429</v>
      </c>
      <c r="H121" s="15">
        <v>1262805</v>
      </c>
      <c r="I121" s="15">
        <v>55214</v>
      </c>
      <c r="J121" s="15">
        <v>39554</v>
      </c>
      <c r="K121" s="51">
        <v>40.799999999999997</v>
      </c>
      <c r="L121" s="51">
        <v>31.3</v>
      </c>
      <c r="M121" s="5"/>
      <c r="N121" s="15">
        <v>171211</v>
      </c>
      <c r="O121" s="15">
        <v>149040</v>
      </c>
      <c r="P121" s="15">
        <v>81004</v>
      </c>
      <c r="Q121" s="15">
        <v>95322</v>
      </c>
      <c r="R121" s="15">
        <v>71671</v>
      </c>
      <c r="S121" s="15">
        <v>117230</v>
      </c>
      <c r="T121" s="15">
        <v>90729</v>
      </c>
      <c r="U121" s="15">
        <v>190583</v>
      </c>
      <c r="V121" s="15">
        <v>96728</v>
      </c>
      <c r="W121" s="15">
        <v>92325</v>
      </c>
      <c r="X121" s="15">
        <v>146770</v>
      </c>
      <c r="Y121" s="28"/>
      <c r="Z121" s="28"/>
      <c r="AA121" s="17"/>
      <c r="AB121" s="17"/>
      <c r="AD121" s="73">
        <f>SUM(N121:AB121)</f>
        <v>1302613</v>
      </c>
      <c r="AE121" s="73">
        <f>SUM(N122:AB122)</f>
        <v>53096</v>
      </c>
      <c r="AF121" s="73">
        <f>SUM(N123:AB123)</f>
        <v>40765</v>
      </c>
      <c r="AH121" s="73">
        <f>AD121-B121</f>
        <v>-1</v>
      </c>
      <c r="AI121" s="73">
        <f>AE121-C121</f>
        <v>0</v>
      </c>
      <c r="AJ121" s="73">
        <f>AF121-D121</f>
        <v>0</v>
      </c>
      <c r="AL121" s="74">
        <f>C121/B121*1000</f>
        <v>40.761115725763737</v>
      </c>
      <c r="AM121" s="74">
        <f>D121/B121*1000</f>
        <v>31.294765755626766</v>
      </c>
      <c r="AN121" s="79"/>
      <c r="AO121" s="74">
        <f>AL121-K121</f>
        <v>-3.8884274236259841E-2</v>
      </c>
      <c r="AP121" s="74">
        <f>AM121-L121</f>
        <v>-5.2342443732342758E-3</v>
      </c>
    </row>
    <row r="122" spans="1:42" customFormat="1">
      <c r="A122" s="9" t="s">
        <v>125</v>
      </c>
      <c r="B122" s="7"/>
      <c r="C122" s="7"/>
      <c r="D122" s="7"/>
      <c r="E122" s="7"/>
      <c r="F122" s="7"/>
      <c r="G122" s="7"/>
      <c r="H122" s="7"/>
      <c r="I122" s="7"/>
      <c r="J122" s="7"/>
      <c r="K122" s="53"/>
      <c r="L122" s="53"/>
      <c r="M122" s="7"/>
      <c r="N122" s="5">
        <v>6568</v>
      </c>
      <c r="O122" s="5">
        <v>5934</v>
      </c>
      <c r="P122" s="5">
        <v>1271</v>
      </c>
      <c r="Q122" s="5">
        <v>3705</v>
      </c>
      <c r="R122" s="5">
        <v>3908</v>
      </c>
      <c r="S122" s="5">
        <v>5350</v>
      </c>
      <c r="T122" s="5">
        <v>3584</v>
      </c>
      <c r="U122" s="5">
        <v>7691</v>
      </c>
      <c r="V122" s="5">
        <v>4156</v>
      </c>
      <c r="W122" s="5">
        <v>4187</v>
      </c>
      <c r="X122" s="5">
        <v>6742</v>
      </c>
      <c r="Y122" s="7"/>
      <c r="Z122" s="7"/>
      <c r="AA122" s="4"/>
      <c r="AB122" s="4"/>
    </row>
    <row r="123" spans="1:42" customFormat="1">
      <c r="A123" s="9" t="s">
        <v>126</v>
      </c>
      <c r="B123" s="7"/>
      <c r="C123" s="7"/>
      <c r="D123" s="7"/>
      <c r="E123" s="7"/>
      <c r="F123" s="7"/>
      <c r="G123" s="7"/>
      <c r="H123" s="7"/>
      <c r="I123" s="7"/>
      <c r="J123" s="7"/>
      <c r="K123" s="53"/>
      <c r="L123" s="53"/>
      <c r="M123" s="7"/>
      <c r="N123" s="5">
        <v>4983</v>
      </c>
      <c r="O123" s="5">
        <v>4778</v>
      </c>
      <c r="P123" s="5">
        <v>2408</v>
      </c>
      <c r="Q123" s="5">
        <v>3465</v>
      </c>
      <c r="R123" s="5">
        <v>2977</v>
      </c>
      <c r="S123" s="5">
        <v>3715</v>
      </c>
      <c r="T123" s="5">
        <v>2858</v>
      </c>
      <c r="U123" s="5">
        <v>5450</v>
      </c>
      <c r="V123" s="5">
        <v>2906</v>
      </c>
      <c r="W123" s="5">
        <v>2770</v>
      </c>
      <c r="X123" s="5">
        <v>4455</v>
      </c>
      <c r="Y123" s="7"/>
      <c r="Z123" s="7"/>
      <c r="AA123" s="4"/>
      <c r="AB123" s="4"/>
    </row>
    <row r="124" spans="1:42" customFormat="1">
      <c r="A124" s="27" t="s">
        <v>127</v>
      </c>
      <c r="B124" s="15">
        <v>361220</v>
      </c>
      <c r="C124" s="15">
        <v>15337</v>
      </c>
      <c r="D124" s="15">
        <v>14175</v>
      </c>
      <c r="E124" s="15">
        <v>23699</v>
      </c>
      <c r="F124" s="15">
        <v>851</v>
      </c>
      <c r="G124" s="15">
        <v>902</v>
      </c>
      <c r="H124" s="15">
        <v>352902</v>
      </c>
      <c r="I124" s="15">
        <v>17012</v>
      </c>
      <c r="J124" s="15">
        <v>12259</v>
      </c>
      <c r="K124" s="51">
        <v>42.5</v>
      </c>
      <c r="L124" s="51">
        <v>39.299999999999997</v>
      </c>
      <c r="M124" s="5"/>
      <c r="N124" s="15">
        <v>83494</v>
      </c>
      <c r="O124" s="15">
        <v>50669</v>
      </c>
      <c r="P124" s="15">
        <v>79699</v>
      </c>
      <c r="Q124" s="15">
        <v>45255</v>
      </c>
      <c r="R124" s="15">
        <v>39841</v>
      </c>
      <c r="S124" s="15">
        <v>27414</v>
      </c>
      <c r="T124" s="15">
        <v>34848</v>
      </c>
      <c r="U124" s="15"/>
      <c r="V124" s="15"/>
      <c r="W124" s="15"/>
      <c r="X124" s="15"/>
      <c r="Y124" s="28"/>
      <c r="Z124" s="28"/>
      <c r="AA124" s="30"/>
      <c r="AB124" s="30"/>
      <c r="AD124" s="73">
        <f>SUM(N124:AB124)</f>
        <v>361220</v>
      </c>
      <c r="AE124" s="73">
        <f>SUM(N125:AB125)</f>
        <v>15337</v>
      </c>
      <c r="AF124" s="73">
        <f>SUM(N126:AB126)</f>
        <v>14175</v>
      </c>
      <c r="AH124" s="73">
        <f>AD124-B124</f>
        <v>0</v>
      </c>
      <c r="AI124" s="73">
        <f>AE124-C124</f>
        <v>0</v>
      </c>
      <c r="AJ124" s="73">
        <f>AF124-D124</f>
        <v>0</v>
      </c>
      <c r="AL124" s="74">
        <f>C124/B124*1000</f>
        <v>42.458889319528268</v>
      </c>
      <c r="AM124" s="74">
        <f>D124/B124*1000</f>
        <v>39.242013177564921</v>
      </c>
      <c r="AN124" s="79"/>
      <c r="AO124" s="74">
        <f>AL124-K124</f>
        <v>-4.1110680471732053E-2</v>
      </c>
      <c r="AP124" s="74">
        <f>AM124-L124</f>
        <v>-5.7986822435076135E-2</v>
      </c>
    </row>
    <row r="125" spans="1:42" customFormat="1">
      <c r="A125" s="9" t="s">
        <v>128</v>
      </c>
      <c r="B125" s="7"/>
      <c r="C125" s="7"/>
      <c r="D125" s="7"/>
      <c r="E125" s="7"/>
      <c r="F125" s="7"/>
      <c r="G125" s="7"/>
      <c r="H125" s="7"/>
      <c r="I125" s="7"/>
      <c r="J125" s="7"/>
      <c r="K125" s="53"/>
      <c r="L125" s="53"/>
      <c r="M125" s="7"/>
      <c r="N125" s="5">
        <v>3444</v>
      </c>
      <c r="O125" s="5">
        <v>2260</v>
      </c>
      <c r="P125" s="5">
        <v>3383</v>
      </c>
      <c r="Q125" s="5">
        <v>2106</v>
      </c>
      <c r="R125" s="5">
        <v>1618</v>
      </c>
      <c r="S125" s="5">
        <v>979</v>
      </c>
      <c r="T125" s="5">
        <v>1547</v>
      </c>
      <c r="U125" s="5"/>
      <c r="V125" s="5"/>
      <c r="W125" s="5"/>
      <c r="X125" s="5"/>
      <c r="Y125" s="7"/>
      <c r="Z125" s="7"/>
      <c r="AA125" s="6"/>
      <c r="AB125" s="6"/>
    </row>
    <row r="126" spans="1:42" customFormat="1">
      <c r="A126" s="9" t="s">
        <v>129</v>
      </c>
      <c r="B126" s="7"/>
      <c r="C126" s="7"/>
      <c r="D126" s="7"/>
      <c r="E126" s="7"/>
      <c r="F126" s="7"/>
      <c r="G126" s="7"/>
      <c r="H126" s="7"/>
      <c r="I126" s="7"/>
      <c r="J126" s="7"/>
      <c r="K126" s="53"/>
      <c r="L126" s="53"/>
      <c r="M126" s="7"/>
      <c r="N126" s="5">
        <v>2960</v>
      </c>
      <c r="O126" s="5">
        <v>2286</v>
      </c>
      <c r="P126" s="5">
        <v>3066</v>
      </c>
      <c r="Q126" s="5">
        <v>1833</v>
      </c>
      <c r="R126" s="5">
        <v>1686</v>
      </c>
      <c r="S126" s="5">
        <v>1028</v>
      </c>
      <c r="T126" s="5">
        <v>1316</v>
      </c>
      <c r="U126" s="5"/>
      <c r="V126" s="5"/>
      <c r="W126" s="5"/>
      <c r="X126" s="5"/>
      <c r="Y126" s="7"/>
      <c r="Z126" s="7"/>
      <c r="AA126" s="6"/>
      <c r="AB126" s="6"/>
    </row>
    <row r="127" spans="1:42" customFormat="1">
      <c r="A127" s="27" t="s">
        <v>130</v>
      </c>
      <c r="B127" s="15">
        <v>2140587</v>
      </c>
      <c r="C127" s="15">
        <v>94405</v>
      </c>
      <c r="D127" s="15">
        <v>81125</v>
      </c>
      <c r="E127" s="15">
        <v>242859</v>
      </c>
      <c r="F127" s="15">
        <v>7022</v>
      </c>
      <c r="G127" s="15">
        <v>7479</v>
      </c>
      <c r="H127" s="15">
        <v>2064636</v>
      </c>
      <c r="I127" s="15">
        <v>106585</v>
      </c>
      <c r="J127" s="15">
        <v>78108</v>
      </c>
      <c r="K127" s="51">
        <v>44.6</v>
      </c>
      <c r="L127" s="51">
        <v>38.4</v>
      </c>
      <c r="M127" s="5"/>
      <c r="N127" s="15">
        <v>227995</v>
      </c>
      <c r="O127" s="15">
        <v>154317</v>
      </c>
      <c r="P127" s="15">
        <v>169022</v>
      </c>
      <c r="Q127" s="15">
        <v>107006</v>
      </c>
      <c r="R127" s="15">
        <v>292924</v>
      </c>
      <c r="S127" s="15">
        <v>134070</v>
      </c>
      <c r="T127" s="15">
        <v>118091</v>
      </c>
      <c r="U127" s="15">
        <v>353642</v>
      </c>
      <c r="V127" s="15">
        <v>191870</v>
      </c>
      <c r="W127" s="15">
        <v>110242</v>
      </c>
      <c r="X127" s="15">
        <v>147519</v>
      </c>
      <c r="Y127" s="28">
        <v>133889</v>
      </c>
      <c r="Z127" s="28"/>
      <c r="AA127" s="30"/>
      <c r="AB127" s="30"/>
      <c r="AD127" s="73">
        <f>SUM(N127:AB127)</f>
        <v>2140587</v>
      </c>
      <c r="AE127" s="73">
        <f>SUM(N128:AB128)</f>
        <v>94405</v>
      </c>
      <c r="AF127" s="73">
        <f>SUM(N129:AB129)</f>
        <v>81125</v>
      </c>
      <c r="AH127" s="73">
        <f>AD127-B127</f>
        <v>0</v>
      </c>
      <c r="AI127" s="73">
        <f>AE127-C127</f>
        <v>0</v>
      </c>
      <c r="AJ127" s="73">
        <f>AF127-D127</f>
        <v>0</v>
      </c>
      <c r="AL127" s="74">
        <f>C127/B127*1000</f>
        <v>44.102388737294952</v>
      </c>
      <c r="AM127" s="74">
        <f>D127/B127*1000</f>
        <v>37.898482986208926</v>
      </c>
      <c r="AN127" s="79"/>
      <c r="AO127" s="74">
        <f>AL127-K127</f>
        <v>-0.49761126270504974</v>
      </c>
      <c r="AP127" s="74">
        <f>AM127-L127</f>
        <v>-0.50151701379107294</v>
      </c>
    </row>
    <row r="128" spans="1:42" customFormat="1">
      <c r="A128" s="9" t="s">
        <v>131</v>
      </c>
      <c r="B128" s="7"/>
      <c r="C128" s="7"/>
      <c r="D128" s="7"/>
      <c r="E128" s="7"/>
      <c r="F128" s="7"/>
      <c r="G128" s="7"/>
      <c r="H128" s="7"/>
      <c r="I128" s="7"/>
      <c r="J128" s="7"/>
      <c r="K128" s="53"/>
      <c r="L128" s="53"/>
      <c r="M128" s="7"/>
      <c r="N128" s="5">
        <v>7652</v>
      </c>
      <c r="O128" s="5">
        <v>6013</v>
      </c>
      <c r="P128" s="5">
        <v>8531</v>
      </c>
      <c r="Q128" s="5">
        <v>5100</v>
      </c>
      <c r="R128" s="5">
        <v>13080</v>
      </c>
      <c r="S128" s="5">
        <v>6613</v>
      </c>
      <c r="T128" s="5">
        <v>5453</v>
      </c>
      <c r="U128" s="5">
        <v>14492</v>
      </c>
      <c r="V128" s="5">
        <v>8441</v>
      </c>
      <c r="W128" s="5">
        <v>4709</v>
      </c>
      <c r="X128" s="5">
        <v>7453</v>
      </c>
      <c r="Y128" s="7">
        <v>6868</v>
      </c>
      <c r="Z128" s="7"/>
      <c r="AA128" s="6"/>
      <c r="AB128" s="6"/>
    </row>
    <row r="129" spans="1:42" customFormat="1">
      <c r="A129" s="9" t="s">
        <v>132</v>
      </c>
      <c r="B129" s="7"/>
      <c r="C129" s="7"/>
      <c r="D129" s="7"/>
      <c r="E129" s="7"/>
      <c r="F129" s="7"/>
      <c r="G129" s="7"/>
      <c r="H129" s="7"/>
      <c r="I129" s="7"/>
      <c r="J129" s="7"/>
      <c r="K129" s="53"/>
      <c r="L129" s="53"/>
      <c r="M129" s="7"/>
      <c r="N129" s="5">
        <v>6239</v>
      </c>
      <c r="O129" s="5">
        <v>5386</v>
      </c>
      <c r="P129" s="5">
        <v>5775</v>
      </c>
      <c r="Q129" s="5">
        <v>3649</v>
      </c>
      <c r="R129" s="5">
        <v>13592</v>
      </c>
      <c r="S129" s="5">
        <v>5233</v>
      </c>
      <c r="T129" s="5">
        <v>4656</v>
      </c>
      <c r="U129" s="5">
        <v>14333</v>
      </c>
      <c r="V129" s="5">
        <v>7966</v>
      </c>
      <c r="W129" s="5">
        <v>3956</v>
      </c>
      <c r="X129" s="5">
        <v>5599</v>
      </c>
      <c r="Y129" s="7">
        <v>4741</v>
      </c>
      <c r="Z129" s="7"/>
      <c r="AA129" s="6"/>
      <c r="AB129" s="6"/>
    </row>
    <row r="130" spans="1:42" customFormat="1">
      <c r="A130" s="27" t="s">
        <v>133</v>
      </c>
      <c r="B130" s="93">
        <v>1593548</v>
      </c>
      <c r="C130" s="15">
        <v>74225</v>
      </c>
      <c r="D130" s="15">
        <v>80603</v>
      </c>
      <c r="E130" s="15">
        <v>122409</v>
      </c>
      <c r="F130" s="15">
        <v>5562</v>
      </c>
      <c r="G130" s="15">
        <v>7699</v>
      </c>
      <c r="H130" s="15">
        <v>1571536</v>
      </c>
      <c r="I130" s="15">
        <v>80978</v>
      </c>
      <c r="J130" s="15">
        <v>63250</v>
      </c>
      <c r="K130" s="51">
        <v>46.5</v>
      </c>
      <c r="L130" s="51">
        <v>50.5</v>
      </c>
      <c r="M130" s="5"/>
      <c r="N130" s="15">
        <v>162407</v>
      </c>
      <c r="O130" s="15">
        <v>175439</v>
      </c>
      <c r="P130" s="15">
        <v>211424</v>
      </c>
      <c r="Q130" s="15">
        <v>139909</v>
      </c>
      <c r="R130" s="15">
        <v>182881</v>
      </c>
      <c r="S130" s="15">
        <v>114754</v>
      </c>
      <c r="T130" s="15">
        <v>130927</v>
      </c>
      <c r="U130" s="15">
        <v>155155</v>
      </c>
      <c r="V130" s="15">
        <v>165421</v>
      </c>
      <c r="W130" s="15">
        <v>155231</v>
      </c>
      <c r="X130" s="15"/>
      <c r="Y130" s="28"/>
      <c r="Z130" s="28"/>
      <c r="AA130" s="30"/>
      <c r="AB130" s="30"/>
      <c r="AD130" s="73">
        <f>SUM(N130:AB130)</f>
        <v>1593548</v>
      </c>
      <c r="AE130" s="73">
        <f>SUM(N131:AB131)</f>
        <v>74225</v>
      </c>
      <c r="AF130" s="73">
        <f>SUM(N132:AB132)</f>
        <v>80603</v>
      </c>
      <c r="AH130" s="73">
        <f>AD130-B130</f>
        <v>0</v>
      </c>
      <c r="AI130" s="73">
        <f>AE130-C130</f>
        <v>0</v>
      </c>
      <c r="AJ130" s="73">
        <f>AF130-D130</f>
        <v>0</v>
      </c>
      <c r="AL130" s="74">
        <f>C130/B130*1000</f>
        <v>46.578452610150428</v>
      </c>
      <c r="AM130" s="74">
        <f>D130/B130*1000</f>
        <v>50.580842246358444</v>
      </c>
      <c r="AN130" s="79"/>
      <c r="AO130" s="74">
        <f>AL130-K130</f>
        <v>7.845261015042837E-2</v>
      </c>
      <c r="AP130" s="74">
        <f>AM130-L130</f>
        <v>8.0842246358443504E-2</v>
      </c>
    </row>
    <row r="131" spans="1:42" customFormat="1">
      <c r="A131" s="9" t="s">
        <v>134</v>
      </c>
      <c r="B131" s="7"/>
      <c r="C131" s="7"/>
      <c r="D131" s="7"/>
      <c r="E131" s="7"/>
      <c r="F131" s="7"/>
      <c r="G131" s="7"/>
      <c r="H131" s="7"/>
      <c r="I131" s="7"/>
      <c r="J131" s="7"/>
      <c r="K131" s="53"/>
      <c r="L131" s="53"/>
      <c r="M131" s="7"/>
      <c r="N131" s="5">
        <v>7993</v>
      </c>
      <c r="O131" s="5">
        <v>8482</v>
      </c>
      <c r="P131" s="5">
        <v>9930</v>
      </c>
      <c r="Q131" s="5">
        <v>5279</v>
      </c>
      <c r="R131" s="5">
        <v>7932</v>
      </c>
      <c r="S131" s="5">
        <v>5798</v>
      </c>
      <c r="T131" s="5">
        <v>6658</v>
      </c>
      <c r="U131" s="5">
        <v>7806</v>
      </c>
      <c r="V131" s="5">
        <v>6631</v>
      </c>
      <c r="W131" s="5">
        <v>7716</v>
      </c>
      <c r="X131" s="5"/>
      <c r="Y131" s="7"/>
      <c r="Z131" s="7"/>
      <c r="AA131" s="6"/>
      <c r="AB131" s="6"/>
    </row>
    <row r="132" spans="1:42" customFormat="1">
      <c r="A132" s="9" t="s">
        <v>135</v>
      </c>
      <c r="B132" s="7"/>
      <c r="C132" s="7"/>
      <c r="D132" s="7"/>
      <c r="E132" s="7"/>
      <c r="F132" s="7"/>
      <c r="G132" s="7"/>
      <c r="H132" s="7"/>
      <c r="I132" s="7"/>
      <c r="J132" s="7"/>
      <c r="K132" s="53"/>
      <c r="L132" s="53"/>
      <c r="M132" s="7"/>
      <c r="N132" s="5">
        <v>9809</v>
      </c>
      <c r="O132" s="5">
        <v>8451</v>
      </c>
      <c r="P132" s="5">
        <v>10264</v>
      </c>
      <c r="Q132" s="5">
        <v>6019</v>
      </c>
      <c r="R132" s="5">
        <v>8481</v>
      </c>
      <c r="S132" s="5">
        <v>6709</v>
      </c>
      <c r="T132" s="5">
        <v>7145</v>
      </c>
      <c r="U132" s="5">
        <v>7349</v>
      </c>
      <c r="V132" s="5">
        <v>6909</v>
      </c>
      <c r="W132" s="5">
        <v>9467</v>
      </c>
      <c r="X132" s="5"/>
      <c r="Y132" s="7"/>
      <c r="Z132" s="7"/>
      <c r="AA132" s="6"/>
      <c r="AB132" s="6"/>
    </row>
    <row r="133" spans="1:42" customFormat="1">
      <c r="A133" s="27" t="s">
        <v>136</v>
      </c>
      <c r="B133" s="15">
        <v>2815860</v>
      </c>
      <c r="C133" s="93">
        <v>133279</v>
      </c>
      <c r="D133" s="93">
        <v>137565</v>
      </c>
      <c r="E133" s="15">
        <v>138057</v>
      </c>
      <c r="F133" s="15">
        <v>5168</v>
      </c>
      <c r="G133" s="15">
        <v>6925</v>
      </c>
      <c r="H133" s="15">
        <v>2765128</v>
      </c>
      <c r="I133" s="15">
        <v>153231</v>
      </c>
      <c r="J133" s="15">
        <v>120601</v>
      </c>
      <c r="K133" s="51">
        <v>47.4</v>
      </c>
      <c r="L133" s="51">
        <v>48.9</v>
      </c>
      <c r="M133" s="5"/>
      <c r="N133" s="15">
        <v>233040</v>
      </c>
      <c r="O133" s="15">
        <v>230114</v>
      </c>
      <c r="P133" s="15">
        <v>395125</v>
      </c>
      <c r="Q133" s="15">
        <v>145664</v>
      </c>
      <c r="R133" s="15">
        <v>256695</v>
      </c>
      <c r="S133" s="15">
        <v>239735</v>
      </c>
      <c r="T133" s="15">
        <v>125752</v>
      </c>
      <c r="U133" s="15">
        <v>286001</v>
      </c>
      <c r="V133" s="15">
        <v>260109</v>
      </c>
      <c r="W133" s="15">
        <v>217057</v>
      </c>
      <c r="X133" s="15">
        <v>94930</v>
      </c>
      <c r="Y133" s="28">
        <v>331639</v>
      </c>
      <c r="Z133" s="28"/>
      <c r="AA133" s="30"/>
      <c r="AB133" s="30"/>
      <c r="AD133" s="73">
        <f>SUM(N133:AB133)</f>
        <v>2815861</v>
      </c>
      <c r="AE133" s="73">
        <f>SUM(N134:AB134)</f>
        <v>133279</v>
      </c>
      <c r="AF133" s="73">
        <f>SUM(N135:AB135)</f>
        <v>137565</v>
      </c>
      <c r="AH133" s="73">
        <f>AD133-B133</f>
        <v>1</v>
      </c>
      <c r="AI133" s="73">
        <f>AE133-C133</f>
        <v>0</v>
      </c>
      <c r="AJ133" s="73">
        <f>AF133-D133</f>
        <v>0</v>
      </c>
      <c r="AL133" s="74">
        <f>C133/B133*1000</f>
        <v>47.331543471621458</v>
      </c>
      <c r="AM133" s="74">
        <f>D133/B133*1000</f>
        <v>48.853636189299188</v>
      </c>
      <c r="AN133" s="79"/>
      <c r="AO133" s="74">
        <f>AL133-K133</f>
        <v>-6.8456528378540327E-2</v>
      </c>
      <c r="AP133" s="74">
        <f>AM133-L133</f>
        <v>-4.6363810700810859E-2</v>
      </c>
    </row>
    <row r="134" spans="1:42" customFormat="1">
      <c r="A134" s="9" t="s">
        <v>137</v>
      </c>
      <c r="B134" s="7"/>
      <c r="C134" s="7"/>
      <c r="D134" s="7"/>
      <c r="E134" s="7"/>
      <c r="F134" s="7"/>
      <c r="G134" s="7"/>
      <c r="H134" s="7"/>
      <c r="I134" s="7"/>
      <c r="J134" s="7"/>
      <c r="K134" s="53"/>
      <c r="L134" s="53"/>
      <c r="M134" s="7"/>
      <c r="N134" s="5">
        <v>12585</v>
      </c>
      <c r="O134" s="5">
        <v>11189</v>
      </c>
      <c r="P134" s="5">
        <v>16663</v>
      </c>
      <c r="Q134" s="5">
        <v>7933</v>
      </c>
      <c r="R134" s="5">
        <v>9921</v>
      </c>
      <c r="S134" s="5">
        <v>11604</v>
      </c>
      <c r="T134" s="5">
        <v>7566</v>
      </c>
      <c r="U134" s="5">
        <v>15122</v>
      </c>
      <c r="V134" s="5">
        <v>11745</v>
      </c>
      <c r="W134" s="5">
        <v>11880</v>
      </c>
      <c r="X134" s="5">
        <v>5349</v>
      </c>
      <c r="Y134" s="7">
        <v>11722</v>
      </c>
      <c r="Z134" s="7"/>
      <c r="AA134" s="6"/>
      <c r="AB134" s="6"/>
    </row>
    <row r="135" spans="1:42" customFormat="1">
      <c r="A135" s="9" t="s">
        <v>138</v>
      </c>
      <c r="B135" s="7"/>
      <c r="C135" s="7"/>
      <c r="D135" s="7"/>
      <c r="E135" s="7"/>
      <c r="F135" s="7"/>
      <c r="G135" s="7"/>
      <c r="H135" s="7"/>
      <c r="I135" s="7"/>
      <c r="J135" s="7"/>
      <c r="K135" s="53"/>
      <c r="L135" s="53"/>
      <c r="M135" s="7"/>
      <c r="N135" s="5">
        <v>12508</v>
      </c>
      <c r="O135" s="5">
        <v>11992</v>
      </c>
      <c r="P135" s="5">
        <v>19356</v>
      </c>
      <c r="Q135" s="5">
        <v>9147</v>
      </c>
      <c r="R135" s="5">
        <v>11910</v>
      </c>
      <c r="S135" s="5">
        <v>10102</v>
      </c>
      <c r="T135" s="5">
        <v>6623</v>
      </c>
      <c r="U135" s="5">
        <v>13891</v>
      </c>
      <c r="V135" s="5">
        <v>10610</v>
      </c>
      <c r="W135" s="5">
        <v>11014</v>
      </c>
      <c r="X135" s="5">
        <v>4044</v>
      </c>
      <c r="Y135" s="7">
        <v>16368</v>
      </c>
      <c r="Z135" s="7"/>
      <c r="AA135" s="6"/>
      <c r="AB135" s="6"/>
    </row>
    <row r="136" spans="1:42" customFormat="1">
      <c r="A136" s="27" t="s">
        <v>139</v>
      </c>
      <c r="B136" s="15">
        <v>2983699</v>
      </c>
      <c r="C136" s="93">
        <v>126721</v>
      </c>
      <c r="D136" s="15">
        <v>89300</v>
      </c>
      <c r="E136" s="15">
        <v>259893</v>
      </c>
      <c r="F136" s="15">
        <v>10721</v>
      </c>
      <c r="G136" s="15">
        <v>7656</v>
      </c>
      <c r="H136" s="15">
        <v>2868600</v>
      </c>
      <c r="I136" s="15">
        <v>131141</v>
      </c>
      <c r="J136" s="15">
        <v>82374</v>
      </c>
      <c r="K136" s="51">
        <v>42.8</v>
      </c>
      <c r="L136" s="51">
        <v>30</v>
      </c>
      <c r="M136" s="5"/>
      <c r="N136" s="15">
        <v>238727</v>
      </c>
      <c r="O136" s="15">
        <v>176495</v>
      </c>
      <c r="P136" s="15">
        <v>241386</v>
      </c>
      <c r="Q136" s="15">
        <v>154164</v>
      </c>
      <c r="R136" s="15">
        <v>255720</v>
      </c>
      <c r="S136" s="15">
        <v>207899</v>
      </c>
      <c r="T136" s="15">
        <v>250651</v>
      </c>
      <c r="U136" s="15">
        <v>155708</v>
      </c>
      <c r="V136" s="15">
        <v>138609</v>
      </c>
      <c r="W136" s="15">
        <v>169154</v>
      </c>
      <c r="X136" s="15">
        <v>207077</v>
      </c>
      <c r="Y136" s="28">
        <v>174937</v>
      </c>
      <c r="Z136" s="28">
        <v>220695</v>
      </c>
      <c r="AA136" s="30">
        <v>214435</v>
      </c>
      <c r="AB136" s="30">
        <v>178023</v>
      </c>
      <c r="AD136" s="73">
        <f>SUM(N136:AB136)</f>
        <v>2983680</v>
      </c>
      <c r="AE136" s="73">
        <f>SUM(N137:AB137)</f>
        <v>126721</v>
      </c>
      <c r="AF136" s="73">
        <f>SUM(N138:AB138)</f>
        <v>89300</v>
      </c>
      <c r="AH136" s="73">
        <f>AD136-B136</f>
        <v>-19</v>
      </c>
      <c r="AI136" s="73">
        <f>AE136-C136</f>
        <v>0</v>
      </c>
      <c r="AJ136" s="73">
        <f>AF136-D136</f>
        <v>0</v>
      </c>
      <c r="AL136" s="74">
        <f>C136/B136*1000</f>
        <v>42.471107172673918</v>
      </c>
      <c r="AM136" s="74">
        <f>D136/B136*1000</f>
        <v>29.929292465493333</v>
      </c>
      <c r="AN136" s="79"/>
      <c r="AO136" s="74">
        <f>AL136-K136</f>
        <v>-0.32889282732607938</v>
      </c>
      <c r="AP136" s="74">
        <f>AM136-L136</f>
        <v>-7.0707534506667002E-2</v>
      </c>
    </row>
    <row r="137" spans="1:42" customFormat="1">
      <c r="A137" s="9" t="s">
        <v>140</v>
      </c>
      <c r="B137" s="7"/>
      <c r="C137" s="7"/>
      <c r="D137" s="7"/>
      <c r="E137" s="7"/>
      <c r="F137" s="7"/>
      <c r="G137" s="7"/>
      <c r="H137" s="7"/>
      <c r="I137" s="7"/>
      <c r="J137" s="7"/>
      <c r="K137" s="53"/>
      <c r="L137" s="53"/>
      <c r="M137" s="7"/>
      <c r="N137" s="5">
        <v>10056</v>
      </c>
      <c r="O137" s="5">
        <v>6954</v>
      </c>
      <c r="P137" s="5">
        <v>11327</v>
      </c>
      <c r="Q137" s="5">
        <v>6163</v>
      </c>
      <c r="R137" s="5">
        <v>9626</v>
      </c>
      <c r="S137" s="5">
        <v>9245</v>
      </c>
      <c r="T137" s="5">
        <v>10966</v>
      </c>
      <c r="U137" s="5">
        <v>6845</v>
      </c>
      <c r="V137" s="5">
        <v>6928</v>
      </c>
      <c r="W137" s="5">
        <v>7082</v>
      </c>
      <c r="X137" s="5">
        <v>9171</v>
      </c>
      <c r="Y137" s="7">
        <v>7906</v>
      </c>
      <c r="Z137" s="7">
        <v>8236</v>
      </c>
      <c r="AA137" s="6">
        <v>7952</v>
      </c>
      <c r="AB137" s="6">
        <v>8264</v>
      </c>
    </row>
    <row r="138" spans="1:42" customFormat="1">
      <c r="A138" s="9" t="s">
        <v>141</v>
      </c>
      <c r="B138" s="7"/>
      <c r="C138" s="7"/>
      <c r="D138" s="7"/>
      <c r="E138" s="7"/>
      <c r="F138" s="7"/>
      <c r="G138" s="7"/>
      <c r="H138" s="7"/>
      <c r="I138" s="7"/>
      <c r="J138" s="7"/>
      <c r="K138" s="53"/>
      <c r="L138" s="53"/>
      <c r="M138" s="7"/>
      <c r="N138" s="5">
        <v>6907</v>
      </c>
      <c r="O138" s="5">
        <v>3993</v>
      </c>
      <c r="P138" s="5">
        <v>8590</v>
      </c>
      <c r="Q138" s="5">
        <v>4407</v>
      </c>
      <c r="R138" s="5">
        <v>6074</v>
      </c>
      <c r="S138" s="5">
        <v>7228</v>
      </c>
      <c r="T138" s="5">
        <v>7338</v>
      </c>
      <c r="U138" s="5">
        <v>5072</v>
      </c>
      <c r="V138" s="5">
        <v>5141</v>
      </c>
      <c r="W138" s="5">
        <v>4669</v>
      </c>
      <c r="X138" s="5">
        <v>6355</v>
      </c>
      <c r="Y138" s="7">
        <v>5194</v>
      </c>
      <c r="Z138" s="7">
        <v>6210</v>
      </c>
      <c r="AA138" s="6">
        <v>6115</v>
      </c>
      <c r="AB138" s="6">
        <v>6007</v>
      </c>
    </row>
    <row r="139" spans="1:42" customFormat="1">
      <c r="A139" s="27" t="s">
        <v>142</v>
      </c>
      <c r="B139" s="15">
        <v>1051936</v>
      </c>
      <c r="C139" s="15">
        <v>49458</v>
      </c>
      <c r="D139" s="15">
        <v>35130</v>
      </c>
      <c r="E139" s="15">
        <v>60798</v>
      </c>
      <c r="F139" s="15">
        <v>1960</v>
      </c>
      <c r="G139" s="15">
        <v>1801</v>
      </c>
      <c r="H139" s="15">
        <v>1006059</v>
      </c>
      <c r="I139" s="15">
        <v>49853</v>
      </c>
      <c r="J139" s="15">
        <v>33191</v>
      </c>
      <c r="K139" s="51">
        <v>47</v>
      </c>
      <c r="L139" s="51">
        <v>33.4</v>
      </c>
      <c r="M139" s="5"/>
      <c r="N139" s="15">
        <v>221190</v>
      </c>
      <c r="O139" s="15">
        <v>113299</v>
      </c>
      <c r="P139" s="15">
        <v>105428</v>
      </c>
      <c r="Q139" s="15">
        <v>129762</v>
      </c>
      <c r="R139" s="15">
        <v>160835</v>
      </c>
      <c r="S139" s="15">
        <v>168118</v>
      </c>
      <c r="T139" s="15">
        <v>77865</v>
      </c>
      <c r="U139" s="15">
        <v>75439</v>
      </c>
      <c r="V139" s="15"/>
      <c r="W139" s="15"/>
      <c r="X139" s="15"/>
      <c r="Y139" s="28"/>
      <c r="Z139" s="28"/>
      <c r="AA139" s="30"/>
      <c r="AB139" s="30"/>
      <c r="AD139" s="73">
        <f>SUM(N139:AB139)</f>
        <v>1051936</v>
      </c>
      <c r="AE139" s="73">
        <f>SUM(N140:AB140)</f>
        <v>49458</v>
      </c>
      <c r="AF139" s="73">
        <f>SUM(N141:AB141)</f>
        <v>35129</v>
      </c>
      <c r="AH139" s="73">
        <f>AD139-B139</f>
        <v>0</v>
      </c>
      <c r="AI139" s="73">
        <f>AE139-C139</f>
        <v>0</v>
      </c>
      <c r="AJ139" s="73">
        <f>AF139-D139</f>
        <v>-1</v>
      </c>
      <c r="AL139" s="74">
        <f>C139/B139*1000</f>
        <v>47.01616828400207</v>
      </c>
      <c r="AM139" s="74">
        <f>D139/B139*1000</f>
        <v>33.39556779119642</v>
      </c>
      <c r="AN139" s="79"/>
      <c r="AO139" s="74">
        <f>AL139-K139</f>
        <v>1.6168284002070266E-2</v>
      </c>
      <c r="AP139" s="74">
        <f>AM139-L139</f>
        <v>-4.4322088035784191E-3</v>
      </c>
    </row>
    <row r="140" spans="1:42" customFormat="1">
      <c r="A140" s="9" t="s">
        <v>143</v>
      </c>
      <c r="B140" s="7"/>
      <c r="C140" s="7"/>
      <c r="D140" s="7"/>
      <c r="E140" s="7"/>
      <c r="F140" s="7"/>
      <c r="G140" s="7"/>
      <c r="H140" s="7"/>
      <c r="I140" s="7"/>
      <c r="J140" s="7"/>
      <c r="K140" s="53"/>
      <c r="L140" s="53"/>
      <c r="M140" s="7"/>
      <c r="N140" s="5">
        <v>9388</v>
      </c>
      <c r="O140" s="5">
        <v>5893</v>
      </c>
      <c r="P140" s="5">
        <v>5043</v>
      </c>
      <c r="Q140" s="5">
        <v>6036</v>
      </c>
      <c r="R140" s="5">
        <v>7546</v>
      </c>
      <c r="S140" s="5">
        <v>7332</v>
      </c>
      <c r="T140" s="5">
        <v>4153</v>
      </c>
      <c r="U140" s="5">
        <v>4067</v>
      </c>
      <c r="V140" s="5"/>
      <c r="W140" s="5"/>
      <c r="X140" s="5"/>
      <c r="Y140" s="7"/>
      <c r="Z140" s="7"/>
      <c r="AA140" s="6"/>
      <c r="AB140" s="6"/>
    </row>
    <row r="141" spans="1:42" customFormat="1">
      <c r="A141" s="9" t="s">
        <v>144</v>
      </c>
      <c r="B141" s="7"/>
      <c r="C141" s="7"/>
      <c r="D141" s="7"/>
      <c r="E141" s="7"/>
      <c r="F141" s="7"/>
      <c r="G141" s="7"/>
      <c r="H141" s="7"/>
      <c r="I141" s="7"/>
      <c r="J141" s="7"/>
      <c r="K141" s="53"/>
      <c r="L141" s="53"/>
      <c r="M141" s="7"/>
      <c r="N141" s="5">
        <v>6801</v>
      </c>
      <c r="O141" s="5">
        <v>4201</v>
      </c>
      <c r="P141" s="5">
        <v>3357</v>
      </c>
      <c r="Q141" s="5">
        <v>4080</v>
      </c>
      <c r="R141" s="5">
        <v>5195</v>
      </c>
      <c r="S141" s="5">
        <v>5303</v>
      </c>
      <c r="T141" s="5">
        <v>3302</v>
      </c>
      <c r="U141" s="5">
        <v>2890</v>
      </c>
      <c r="V141" s="5"/>
      <c r="W141" s="5"/>
      <c r="X141" s="5"/>
      <c r="Y141" s="7"/>
      <c r="Z141" s="7"/>
      <c r="AA141" s="6"/>
      <c r="AB141" s="6"/>
    </row>
    <row r="142" spans="1:42" customFormat="1">
      <c r="A142" s="27" t="s">
        <v>145</v>
      </c>
      <c r="B142" s="15">
        <v>1950285</v>
      </c>
      <c r="C142" s="15">
        <v>84595</v>
      </c>
      <c r="D142" s="15">
        <v>79956</v>
      </c>
      <c r="E142" s="15">
        <v>96244</v>
      </c>
      <c r="F142" s="15">
        <v>5589</v>
      </c>
      <c r="G142" s="15">
        <v>5936</v>
      </c>
      <c r="H142" s="15">
        <v>1901705</v>
      </c>
      <c r="I142" s="15">
        <v>92381</v>
      </c>
      <c r="J142" s="15">
        <v>63308</v>
      </c>
      <c r="K142" s="51">
        <v>43.4</v>
      </c>
      <c r="L142" s="51">
        <v>41</v>
      </c>
      <c r="M142" s="5"/>
      <c r="N142" s="15">
        <v>221895</v>
      </c>
      <c r="O142" s="15">
        <v>121664</v>
      </c>
      <c r="P142" s="15">
        <v>152460</v>
      </c>
      <c r="Q142" s="15">
        <v>138613</v>
      </c>
      <c r="R142" s="15">
        <v>184752</v>
      </c>
      <c r="S142" s="15">
        <v>166785</v>
      </c>
      <c r="T142" s="15">
        <v>124823</v>
      </c>
      <c r="U142" s="15">
        <v>160536</v>
      </c>
      <c r="V142" s="15">
        <v>147027</v>
      </c>
      <c r="W142" s="15">
        <v>173962</v>
      </c>
      <c r="X142" s="15">
        <v>188661</v>
      </c>
      <c r="Y142" s="28">
        <v>169207</v>
      </c>
      <c r="Z142" s="28"/>
      <c r="AA142" s="30"/>
      <c r="AB142" s="30"/>
      <c r="AD142" s="73">
        <f>SUM(N142:AB142)</f>
        <v>1950385</v>
      </c>
      <c r="AE142" s="73">
        <f>SUM(N143:AB143)</f>
        <v>84595</v>
      </c>
      <c r="AF142" s="73">
        <f>SUM(N144:AB144)</f>
        <v>79956</v>
      </c>
      <c r="AH142" s="73">
        <f>AD142-B142</f>
        <v>100</v>
      </c>
      <c r="AI142" s="73">
        <f>AE142-C142</f>
        <v>0</v>
      </c>
      <c r="AJ142" s="73">
        <f>AF142-D142</f>
        <v>0</v>
      </c>
      <c r="AL142" s="74">
        <f>C142/B142*1000</f>
        <v>43.375711754948632</v>
      </c>
      <c r="AM142" s="74">
        <f>D142/B142*1000</f>
        <v>40.997085041417023</v>
      </c>
      <c r="AN142" s="79"/>
      <c r="AO142" s="74">
        <f>AL142-K142</f>
        <v>-2.4288245051366175E-2</v>
      </c>
      <c r="AP142" s="74">
        <f>AM142-L142</f>
        <v>-2.9149585829770785E-3</v>
      </c>
    </row>
    <row r="143" spans="1:42" customFormat="1">
      <c r="A143" s="9" t="s">
        <v>146</v>
      </c>
      <c r="B143" s="7"/>
      <c r="C143" s="7"/>
      <c r="D143" s="7"/>
      <c r="E143" s="7"/>
      <c r="F143" s="7"/>
      <c r="G143" s="7"/>
      <c r="H143" s="7"/>
      <c r="I143" s="7"/>
      <c r="J143" s="7"/>
      <c r="K143" s="53"/>
      <c r="L143" s="53"/>
      <c r="M143" s="7"/>
      <c r="N143" s="5">
        <v>9539</v>
      </c>
      <c r="O143" s="5">
        <v>4797</v>
      </c>
      <c r="P143" s="5">
        <v>7933</v>
      </c>
      <c r="Q143" s="5">
        <v>5506</v>
      </c>
      <c r="R143" s="5">
        <v>7529</v>
      </c>
      <c r="S143" s="5">
        <v>7472</v>
      </c>
      <c r="T143" s="5">
        <v>4808</v>
      </c>
      <c r="U143" s="5">
        <v>7500</v>
      </c>
      <c r="V143" s="5">
        <v>6618</v>
      </c>
      <c r="W143" s="5">
        <v>7221</v>
      </c>
      <c r="X143" s="5">
        <v>8580</v>
      </c>
      <c r="Y143" s="7">
        <v>7092</v>
      </c>
      <c r="Z143" s="7"/>
      <c r="AA143" s="6"/>
      <c r="AB143" s="6"/>
    </row>
    <row r="144" spans="1:42" customFormat="1">
      <c r="A144" s="9" t="s">
        <v>147</v>
      </c>
      <c r="B144" s="7"/>
      <c r="C144" s="7"/>
      <c r="D144" s="7"/>
      <c r="E144" s="7"/>
      <c r="F144" s="7"/>
      <c r="G144" s="7"/>
      <c r="H144" s="7"/>
      <c r="I144" s="7"/>
      <c r="J144" s="7"/>
      <c r="K144" s="53"/>
      <c r="L144" s="53"/>
      <c r="M144" s="7"/>
      <c r="N144" s="5">
        <v>8704</v>
      </c>
      <c r="O144" s="5">
        <v>5209</v>
      </c>
      <c r="P144" s="5">
        <v>5980</v>
      </c>
      <c r="Q144" s="5">
        <v>5153</v>
      </c>
      <c r="R144" s="5">
        <v>6055</v>
      </c>
      <c r="S144" s="5">
        <v>8574</v>
      </c>
      <c r="T144" s="5">
        <v>5238</v>
      </c>
      <c r="U144" s="5">
        <v>6847</v>
      </c>
      <c r="V144" s="5">
        <v>7529</v>
      </c>
      <c r="W144" s="5">
        <v>6762</v>
      </c>
      <c r="X144" s="5">
        <v>7044</v>
      </c>
      <c r="Y144" s="7">
        <v>6861</v>
      </c>
      <c r="Z144" s="7"/>
      <c r="AA144" s="6"/>
      <c r="AB144" s="6"/>
    </row>
    <row r="145" spans="1:42" customFormat="1">
      <c r="A145" s="27" t="s">
        <v>148</v>
      </c>
      <c r="B145" s="15">
        <v>2650580</v>
      </c>
      <c r="C145" s="15">
        <v>125755</v>
      </c>
      <c r="D145" s="15">
        <v>175453</v>
      </c>
      <c r="E145" s="15">
        <v>166734</v>
      </c>
      <c r="F145" s="15">
        <v>6321</v>
      </c>
      <c r="G145" s="15">
        <v>12266</v>
      </c>
      <c r="H145" s="15">
        <v>2612224</v>
      </c>
      <c r="I145" s="15">
        <v>150262</v>
      </c>
      <c r="J145" s="15">
        <v>103433</v>
      </c>
      <c r="K145" s="51">
        <v>47.4</v>
      </c>
      <c r="L145" s="51">
        <v>66.2</v>
      </c>
      <c r="M145" s="5"/>
      <c r="N145" s="15">
        <v>344455</v>
      </c>
      <c r="O145" s="15">
        <v>294597</v>
      </c>
      <c r="P145" s="15">
        <v>385303</v>
      </c>
      <c r="Q145" s="15">
        <v>452117</v>
      </c>
      <c r="R145" s="15">
        <v>502248</v>
      </c>
      <c r="S145" s="15">
        <v>396934</v>
      </c>
      <c r="T145" s="15">
        <v>274926</v>
      </c>
      <c r="U145" s="15"/>
      <c r="V145" s="15"/>
      <c r="W145" s="15"/>
      <c r="X145" s="15"/>
      <c r="Y145" s="28"/>
      <c r="Z145" s="28"/>
      <c r="AA145" s="30"/>
      <c r="AB145" s="30"/>
      <c r="AD145" s="73">
        <f>SUM(N145:AB145)</f>
        <v>2650580</v>
      </c>
      <c r="AE145" s="73">
        <f>SUM(N146:AB146)</f>
        <v>125755</v>
      </c>
      <c r="AF145" s="73">
        <f>SUM(N147:AB147)</f>
        <v>175453</v>
      </c>
      <c r="AH145" s="73">
        <f>AD145-B145</f>
        <v>0</v>
      </c>
      <c r="AI145" s="73">
        <f>AE145-C145</f>
        <v>0</v>
      </c>
      <c r="AJ145" s="73">
        <f>AF145-D145</f>
        <v>0</v>
      </c>
      <c r="AL145" s="74">
        <f>C145/B145*1000</f>
        <v>47.444332938451204</v>
      </c>
      <c r="AM145" s="74">
        <f>D145/B145*1000</f>
        <v>66.194191459982349</v>
      </c>
      <c r="AN145" s="79"/>
      <c r="AO145" s="74">
        <f>AL145-K145</f>
        <v>4.433293845120545E-2</v>
      </c>
      <c r="AP145" s="74">
        <f>AM145-L145</f>
        <v>-5.8085400176537405E-3</v>
      </c>
    </row>
    <row r="146" spans="1:42" customFormat="1">
      <c r="A146" s="9" t="s">
        <v>149</v>
      </c>
      <c r="B146" s="7"/>
      <c r="C146" s="7"/>
      <c r="D146" s="7"/>
      <c r="E146" s="7"/>
      <c r="F146" s="7"/>
      <c r="G146" s="7"/>
      <c r="H146" s="7"/>
      <c r="I146" s="7"/>
      <c r="J146" s="7"/>
      <c r="K146" s="53"/>
      <c r="L146" s="53"/>
      <c r="M146" s="7"/>
      <c r="N146" s="5">
        <v>16305</v>
      </c>
      <c r="O146" s="5">
        <v>12945</v>
      </c>
      <c r="P146" s="5">
        <v>18736</v>
      </c>
      <c r="Q146" s="5">
        <v>24725</v>
      </c>
      <c r="R146" s="5">
        <v>22373</v>
      </c>
      <c r="S146" s="5">
        <v>17860</v>
      </c>
      <c r="T146" s="5">
        <v>12811</v>
      </c>
      <c r="U146" s="5"/>
      <c r="V146" s="5"/>
      <c r="W146" s="5"/>
      <c r="X146" s="5"/>
      <c r="Y146" s="7"/>
      <c r="Z146" s="7"/>
      <c r="AA146" s="6"/>
      <c r="AB146" s="6"/>
    </row>
    <row r="147" spans="1:42" customFormat="1">
      <c r="A147" s="9" t="s">
        <v>150</v>
      </c>
      <c r="B147" s="7"/>
      <c r="C147" s="7"/>
      <c r="D147" s="7"/>
      <c r="E147" s="7"/>
      <c r="F147" s="7"/>
      <c r="G147" s="7"/>
      <c r="H147" s="7"/>
      <c r="I147" s="7"/>
      <c r="J147" s="7"/>
      <c r="K147" s="53"/>
      <c r="L147" s="53"/>
      <c r="M147" s="7"/>
      <c r="N147" s="5">
        <v>24061</v>
      </c>
      <c r="O147" s="5">
        <v>13850</v>
      </c>
      <c r="P147" s="5">
        <v>25629</v>
      </c>
      <c r="Q147" s="5">
        <v>29341</v>
      </c>
      <c r="R147" s="5">
        <v>36333</v>
      </c>
      <c r="S147" s="5">
        <v>27286</v>
      </c>
      <c r="T147" s="5">
        <v>18953</v>
      </c>
      <c r="U147" s="5"/>
      <c r="V147" s="5"/>
      <c r="W147" s="5"/>
      <c r="X147" s="5"/>
      <c r="Y147" s="7"/>
      <c r="Z147" s="7"/>
      <c r="AA147" s="6"/>
      <c r="AB147" s="6"/>
    </row>
    <row r="148" spans="1:42" customFormat="1">
      <c r="A148" s="14" t="s">
        <v>151</v>
      </c>
      <c r="B148" s="28">
        <v>840000</v>
      </c>
      <c r="C148" s="28">
        <v>27941</v>
      </c>
      <c r="D148" s="28">
        <v>27875</v>
      </c>
      <c r="E148" s="15"/>
      <c r="F148" s="15"/>
      <c r="G148" s="15"/>
      <c r="H148" s="28">
        <v>798671</v>
      </c>
      <c r="I148" s="28">
        <v>32729</v>
      </c>
      <c r="J148" s="28">
        <v>28304</v>
      </c>
      <c r="K148" s="54">
        <v>33.299999999999997</v>
      </c>
      <c r="L148" s="54">
        <v>33.200000000000003</v>
      </c>
      <c r="M148" s="7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30"/>
      <c r="AA148" s="30"/>
      <c r="AB148" s="30"/>
      <c r="AD148" s="73">
        <f t="shared" ref="AD148:AF149" si="1">B148</f>
        <v>840000</v>
      </c>
      <c r="AE148" s="73">
        <f t="shared" si="1"/>
        <v>27941</v>
      </c>
      <c r="AF148" s="73">
        <f t="shared" si="1"/>
        <v>27875</v>
      </c>
    </row>
    <row r="149" spans="1:42" customFormat="1">
      <c r="A149" s="14" t="s">
        <v>152</v>
      </c>
      <c r="B149" s="15">
        <v>1035529</v>
      </c>
      <c r="C149" s="15">
        <v>30276</v>
      </c>
      <c r="D149" s="15">
        <v>25191</v>
      </c>
      <c r="E149" s="15"/>
      <c r="F149" s="15"/>
      <c r="G149" s="15"/>
      <c r="H149" s="15">
        <v>960693</v>
      </c>
      <c r="I149" s="15">
        <v>29254</v>
      </c>
      <c r="J149" s="15">
        <v>26505</v>
      </c>
      <c r="K149" s="51">
        <v>31.7</v>
      </c>
      <c r="L149" s="51">
        <v>25.4</v>
      </c>
      <c r="M149" s="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30"/>
      <c r="AA149" s="30"/>
      <c r="AB149" s="30"/>
      <c r="AD149" s="73">
        <f t="shared" si="1"/>
        <v>1035529</v>
      </c>
      <c r="AE149" s="73">
        <f t="shared" si="1"/>
        <v>30276</v>
      </c>
      <c r="AF149" s="73">
        <f t="shared" si="1"/>
        <v>25191</v>
      </c>
    </row>
    <row r="150" spans="1:42" customFormat="1">
      <c r="A150" s="27" t="s">
        <v>153</v>
      </c>
      <c r="B150" s="15">
        <v>820183</v>
      </c>
      <c r="C150" s="15">
        <v>31513</v>
      </c>
      <c r="D150" s="15">
        <v>26204</v>
      </c>
      <c r="E150" s="15"/>
      <c r="F150" s="15"/>
      <c r="G150" s="15"/>
      <c r="H150" s="15">
        <v>829580</v>
      </c>
      <c r="I150" s="15">
        <v>30656</v>
      </c>
      <c r="J150" s="15">
        <v>25070</v>
      </c>
      <c r="K150" s="51">
        <v>35</v>
      </c>
      <c r="L150" s="51">
        <v>30</v>
      </c>
      <c r="M150" s="5"/>
      <c r="N150" s="15">
        <v>130875</v>
      </c>
      <c r="O150" s="15">
        <v>152823</v>
      </c>
      <c r="P150" s="15">
        <v>113194</v>
      </c>
      <c r="Q150" s="15">
        <v>90037</v>
      </c>
      <c r="R150" s="15">
        <v>68411</v>
      </c>
      <c r="S150" s="15">
        <v>123487</v>
      </c>
      <c r="T150" s="15">
        <v>46669</v>
      </c>
      <c r="U150" s="15">
        <v>94687</v>
      </c>
      <c r="V150" s="15"/>
      <c r="W150" s="15"/>
      <c r="X150" s="15"/>
      <c r="Y150" s="28"/>
      <c r="Z150" s="28"/>
      <c r="AA150" s="30"/>
      <c r="AB150" s="30"/>
      <c r="AD150" s="73">
        <f>SUM(N150:AB150)</f>
        <v>820183</v>
      </c>
      <c r="AE150" s="73">
        <f>SUM(N151:AB151)</f>
        <v>31513</v>
      </c>
      <c r="AF150" s="73">
        <f>SUM(N152:AB152)</f>
        <v>26204</v>
      </c>
      <c r="AH150" s="73">
        <f>AD150-B150</f>
        <v>0</v>
      </c>
      <c r="AI150" s="73">
        <f>AE150-C150</f>
        <v>0</v>
      </c>
      <c r="AJ150" s="73">
        <f>AF150-D150</f>
        <v>0</v>
      </c>
      <c r="AL150" s="74">
        <f>C150/B150*1000</f>
        <v>38.421913158404898</v>
      </c>
      <c r="AM150" s="74">
        <f>D150/B150*1000</f>
        <v>31.948967486524349</v>
      </c>
      <c r="AN150" s="79"/>
      <c r="AO150" s="74">
        <f>AL150-K150</f>
        <v>3.4219131584048981</v>
      </c>
      <c r="AP150" s="74">
        <f>AM150-L150</f>
        <v>1.9489674865243494</v>
      </c>
    </row>
    <row r="151" spans="1:42" customFormat="1">
      <c r="A151" s="9" t="s">
        <v>154</v>
      </c>
      <c r="B151" s="7"/>
      <c r="C151" s="7"/>
      <c r="D151" s="7"/>
      <c r="E151" s="7"/>
      <c r="F151" s="7"/>
      <c r="G151" s="7"/>
      <c r="H151" s="7"/>
      <c r="I151" s="7"/>
      <c r="J151" s="7"/>
      <c r="K151" s="53"/>
      <c r="L151" s="53"/>
      <c r="M151" s="7"/>
      <c r="N151" s="5">
        <v>5447</v>
      </c>
      <c r="O151" s="5">
        <v>5303</v>
      </c>
      <c r="P151" s="5">
        <v>4416</v>
      </c>
      <c r="Q151" s="5">
        <v>3345</v>
      </c>
      <c r="R151" s="5">
        <v>2739</v>
      </c>
      <c r="S151" s="5">
        <v>5313</v>
      </c>
      <c r="T151" s="5">
        <v>1979</v>
      </c>
      <c r="U151" s="5">
        <v>2971</v>
      </c>
      <c r="V151" s="5"/>
      <c r="W151" s="5"/>
      <c r="X151" s="5"/>
      <c r="Y151" s="7"/>
      <c r="Z151" s="7"/>
      <c r="AA151" s="6"/>
      <c r="AB151" s="6"/>
    </row>
    <row r="152" spans="1:42" customFormat="1">
      <c r="A152" s="9" t="s">
        <v>155</v>
      </c>
      <c r="B152" s="7"/>
      <c r="C152" s="7"/>
      <c r="D152" s="7"/>
      <c r="E152" s="7"/>
      <c r="F152" s="7"/>
      <c r="G152" s="7"/>
      <c r="H152" s="7"/>
      <c r="I152" s="7"/>
      <c r="J152" s="7"/>
      <c r="K152" s="53"/>
      <c r="L152" s="53"/>
      <c r="M152" s="7"/>
      <c r="N152" s="5">
        <v>4914</v>
      </c>
      <c r="O152" s="5">
        <v>3922</v>
      </c>
      <c r="P152" s="5">
        <v>4014</v>
      </c>
      <c r="Q152" s="5">
        <v>2704</v>
      </c>
      <c r="R152" s="5">
        <v>2264</v>
      </c>
      <c r="S152" s="5">
        <v>4226</v>
      </c>
      <c r="T152" s="5">
        <v>1654</v>
      </c>
      <c r="U152" s="5">
        <v>2506</v>
      </c>
      <c r="V152" s="5"/>
      <c r="W152" s="5"/>
      <c r="X152" s="5"/>
      <c r="Y152" s="7"/>
      <c r="Z152" s="7"/>
      <c r="AA152" s="6"/>
      <c r="AB152" s="6"/>
    </row>
    <row r="153" spans="1:42" customFormat="1">
      <c r="A153" s="27" t="s">
        <v>156</v>
      </c>
      <c r="B153" s="15">
        <v>2437940</v>
      </c>
      <c r="C153" s="15">
        <v>112212</v>
      </c>
      <c r="D153" s="15">
        <v>146516</v>
      </c>
      <c r="E153" s="15">
        <v>292501</v>
      </c>
      <c r="F153" s="15">
        <v>11303</v>
      </c>
      <c r="G153" s="15">
        <v>19819</v>
      </c>
      <c r="H153" s="15">
        <v>2386875</v>
      </c>
      <c r="I153" s="15">
        <v>125172</v>
      </c>
      <c r="J153" s="15">
        <v>90554</v>
      </c>
      <c r="K153" s="51">
        <v>46</v>
      </c>
      <c r="L153" s="51">
        <v>60.1</v>
      </c>
      <c r="M153" s="5"/>
      <c r="N153" s="15">
        <v>306454</v>
      </c>
      <c r="O153" s="15">
        <v>293167</v>
      </c>
      <c r="P153" s="15">
        <v>293063</v>
      </c>
      <c r="Q153" s="15">
        <v>197961</v>
      </c>
      <c r="R153" s="15">
        <v>347985</v>
      </c>
      <c r="S153" s="15">
        <v>206886</v>
      </c>
      <c r="T153" s="15">
        <v>221391</v>
      </c>
      <c r="U153" s="15">
        <v>219310</v>
      </c>
      <c r="V153" s="15">
        <v>203231</v>
      </c>
      <c r="W153" s="15">
        <v>148492</v>
      </c>
      <c r="X153" s="15"/>
      <c r="Y153" s="28"/>
      <c r="Z153" s="28"/>
      <c r="AA153" s="30"/>
      <c r="AB153" s="30"/>
      <c r="AD153" s="73">
        <f>SUM(N153:AB153)</f>
        <v>2437940</v>
      </c>
      <c r="AE153" s="73">
        <f>SUM(N154:AB154)</f>
        <v>111418</v>
      </c>
      <c r="AF153" s="73">
        <f>SUM(N155:AB155)</f>
        <v>145459</v>
      </c>
      <c r="AH153" s="73">
        <f>AD153-B153</f>
        <v>0</v>
      </c>
      <c r="AI153" s="73">
        <f>AE153-C153</f>
        <v>-794</v>
      </c>
      <c r="AJ153" s="73">
        <f>AF153-D153</f>
        <v>-1057</v>
      </c>
      <c r="AL153" s="74">
        <f>C153/B153*1000</f>
        <v>46.027383774826284</v>
      </c>
      <c r="AM153" s="74">
        <f>D153/B153*1000</f>
        <v>60.09827969515247</v>
      </c>
      <c r="AN153" s="79"/>
      <c r="AO153" s="74">
        <f>AL153-K153</f>
        <v>2.7383774826283513E-2</v>
      </c>
      <c r="AP153" s="74">
        <f>AM153-L153</f>
        <v>-1.7203048475309402E-3</v>
      </c>
    </row>
    <row r="154" spans="1:42" customFormat="1">
      <c r="A154" s="9" t="s">
        <v>157</v>
      </c>
      <c r="B154" s="7"/>
      <c r="C154" s="7"/>
      <c r="D154" s="7"/>
      <c r="E154" s="7"/>
      <c r="F154" s="7"/>
      <c r="G154" s="7"/>
      <c r="H154" s="7"/>
      <c r="I154" s="7"/>
      <c r="J154" s="7"/>
      <c r="K154" s="53"/>
      <c r="L154" s="53"/>
      <c r="M154" s="7"/>
      <c r="N154" s="5">
        <v>14055</v>
      </c>
      <c r="O154" s="5">
        <v>13767</v>
      </c>
      <c r="P154" s="5">
        <v>14208</v>
      </c>
      <c r="Q154" s="5">
        <v>8823</v>
      </c>
      <c r="R154" s="5">
        <v>13926</v>
      </c>
      <c r="S154" s="5">
        <v>8954</v>
      </c>
      <c r="T154" s="5">
        <v>11691</v>
      </c>
      <c r="U154" s="5">
        <v>10966</v>
      </c>
      <c r="V154" s="5">
        <v>8177</v>
      </c>
      <c r="W154" s="5">
        <v>6851</v>
      </c>
      <c r="X154" s="5"/>
      <c r="Y154" s="7"/>
      <c r="Z154" s="7"/>
      <c r="AA154" s="6"/>
      <c r="AB154" s="6"/>
    </row>
    <row r="155" spans="1:42" customFormat="1">
      <c r="A155" s="9" t="s">
        <v>158</v>
      </c>
      <c r="B155" s="7"/>
      <c r="C155" s="7"/>
      <c r="D155" s="7"/>
      <c r="E155" s="7"/>
      <c r="F155" s="7"/>
      <c r="G155" s="7"/>
      <c r="H155" s="7"/>
      <c r="I155" s="7"/>
      <c r="J155" s="7"/>
      <c r="K155" s="53"/>
      <c r="L155" s="53"/>
      <c r="M155" s="7"/>
      <c r="N155" s="5">
        <v>21631</v>
      </c>
      <c r="O155" s="5">
        <v>18488</v>
      </c>
      <c r="P155" s="5">
        <v>17985</v>
      </c>
      <c r="Q155" s="5">
        <v>11089</v>
      </c>
      <c r="R155" s="5">
        <v>16874</v>
      </c>
      <c r="S155" s="5">
        <v>9820</v>
      </c>
      <c r="T155" s="5">
        <v>15666</v>
      </c>
      <c r="U155" s="5">
        <v>12937</v>
      </c>
      <c r="V155" s="5">
        <v>11222</v>
      </c>
      <c r="W155" s="5">
        <v>9747</v>
      </c>
      <c r="X155" s="5"/>
      <c r="Y155" s="7"/>
      <c r="Z155" s="7"/>
      <c r="AA155" s="6"/>
      <c r="AB155" s="6"/>
    </row>
    <row r="156" spans="1:42" customFormat="1">
      <c r="A156" s="27" t="s">
        <v>159</v>
      </c>
      <c r="B156" s="28">
        <v>1523200</v>
      </c>
      <c r="C156" s="28">
        <v>65325</v>
      </c>
      <c r="D156" s="28">
        <v>79662</v>
      </c>
      <c r="E156" s="15"/>
      <c r="F156" s="15"/>
      <c r="G156" s="15"/>
      <c r="H156" s="28">
        <v>1620247</v>
      </c>
      <c r="I156" s="28">
        <v>78274</v>
      </c>
      <c r="J156" s="28">
        <v>57567</v>
      </c>
      <c r="K156" s="54">
        <v>42.9</v>
      </c>
      <c r="L156" s="54">
        <v>52.3</v>
      </c>
      <c r="M156" s="7"/>
      <c r="N156" s="28">
        <v>223254</v>
      </c>
      <c r="O156" s="28">
        <v>166168</v>
      </c>
      <c r="P156" s="28">
        <v>193388</v>
      </c>
      <c r="Q156" s="28">
        <v>183198</v>
      </c>
      <c r="R156" s="28">
        <v>216644</v>
      </c>
      <c r="S156" s="28">
        <v>159431</v>
      </c>
      <c r="T156" s="28">
        <v>150351</v>
      </c>
      <c r="U156" s="28">
        <v>230766</v>
      </c>
      <c r="V156" s="15"/>
      <c r="W156" s="15"/>
      <c r="X156" s="15"/>
      <c r="Y156" s="28"/>
      <c r="Z156" s="28"/>
      <c r="AA156" s="30"/>
      <c r="AB156" s="30"/>
      <c r="AD156" s="73">
        <f>SUM(N156:AB156)</f>
        <v>1523200</v>
      </c>
      <c r="AE156" s="73">
        <f>SUM(N157:AB157)</f>
        <v>65315</v>
      </c>
      <c r="AF156" s="73">
        <f>SUM(N158:AB158)</f>
        <v>79662</v>
      </c>
      <c r="AH156" s="73">
        <f>AD156-B156</f>
        <v>0</v>
      </c>
      <c r="AI156" s="73">
        <f>AE156-C156</f>
        <v>-10</v>
      </c>
      <c r="AJ156" s="73">
        <f>AF156-D156</f>
        <v>0</v>
      </c>
      <c r="AL156" s="74">
        <f>C156/B156*1000</f>
        <v>42.88668592436975</v>
      </c>
      <c r="AM156" s="74">
        <f>D156/B156*1000</f>
        <v>52.299107142857139</v>
      </c>
      <c r="AN156" s="79"/>
      <c r="AO156" s="74">
        <f>AL156-K156</f>
        <v>-1.3314075630248112E-2</v>
      </c>
      <c r="AP156" s="74">
        <f>AM156-L156</f>
        <v>-8.9285714285836093E-4</v>
      </c>
    </row>
    <row r="157" spans="1:42" customFormat="1">
      <c r="A157" s="9" t="s">
        <v>160</v>
      </c>
      <c r="B157" s="7"/>
      <c r="C157" s="7"/>
      <c r="D157" s="7"/>
      <c r="E157" s="7"/>
      <c r="F157" s="7"/>
      <c r="G157" s="7"/>
      <c r="H157" s="7"/>
      <c r="I157" s="7"/>
      <c r="J157" s="7"/>
      <c r="K157" s="53"/>
      <c r="L157" s="53"/>
      <c r="M157" s="7"/>
      <c r="N157" s="7">
        <v>9172</v>
      </c>
      <c r="O157" s="7">
        <v>6506</v>
      </c>
      <c r="P157" s="7">
        <v>9058</v>
      </c>
      <c r="Q157" s="7">
        <v>6658</v>
      </c>
      <c r="R157" s="7">
        <v>9425</v>
      </c>
      <c r="S157" s="7">
        <v>7202</v>
      </c>
      <c r="T157" s="7">
        <v>6894</v>
      </c>
      <c r="U157" s="7">
        <v>10400</v>
      </c>
      <c r="V157" s="5"/>
      <c r="W157" s="5"/>
      <c r="X157" s="5"/>
      <c r="Y157" s="7"/>
      <c r="Z157" s="7"/>
      <c r="AA157" s="6"/>
      <c r="AB157" s="6"/>
    </row>
    <row r="158" spans="1:42" customFormat="1">
      <c r="A158" s="9" t="s">
        <v>161</v>
      </c>
      <c r="B158" s="7"/>
      <c r="C158" s="7"/>
      <c r="D158" s="7"/>
      <c r="E158" s="7"/>
      <c r="F158" s="7"/>
      <c r="G158" s="7"/>
      <c r="H158" s="7"/>
      <c r="I158" s="7"/>
      <c r="J158" s="7"/>
      <c r="K158" s="53"/>
      <c r="L158" s="53"/>
      <c r="M158" s="7"/>
      <c r="N158" s="7">
        <v>14896</v>
      </c>
      <c r="O158" s="7">
        <v>7102</v>
      </c>
      <c r="P158" s="7">
        <v>8403</v>
      </c>
      <c r="Q158" s="7">
        <v>8740</v>
      </c>
      <c r="R158" s="7">
        <v>10702</v>
      </c>
      <c r="S158" s="7">
        <v>6691</v>
      </c>
      <c r="T158" s="7">
        <v>8797</v>
      </c>
      <c r="U158" s="7">
        <v>14331</v>
      </c>
      <c r="V158" s="5"/>
      <c r="W158" s="5"/>
      <c r="X158" s="5"/>
      <c r="Y158" s="7"/>
      <c r="Z158" s="7"/>
      <c r="AA158" s="6"/>
      <c r="AB158" s="6"/>
    </row>
    <row r="159" spans="1:42" customFormat="1">
      <c r="A159" s="27" t="s">
        <v>162</v>
      </c>
      <c r="B159" s="28">
        <v>1437831</v>
      </c>
      <c r="C159" s="28">
        <v>77633</v>
      </c>
      <c r="D159" s="28">
        <v>58703</v>
      </c>
      <c r="E159" s="28">
        <v>122000</v>
      </c>
      <c r="F159" s="28">
        <v>3468</v>
      </c>
      <c r="G159" s="28">
        <v>3184</v>
      </c>
      <c r="H159" s="28">
        <v>1396997</v>
      </c>
      <c r="I159" s="28">
        <v>76736</v>
      </c>
      <c r="J159" s="28">
        <v>51309</v>
      </c>
      <c r="K159" s="54">
        <v>54</v>
      </c>
      <c r="L159" s="54">
        <v>40.799999999999997</v>
      </c>
      <c r="M159" s="7"/>
      <c r="N159" s="28">
        <v>127509</v>
      </c>
      <c r="O159" s="28">
        <v>123265</v>
      </c>
      <c r="P159" s="28">
        <v>101699</v>
      </c>
      <c r="Q159" s="28">
        <v>141649</v>
      </c>
      <c r="R159" s="28">
        <v>102729</v>
      </c>
      <c r="S159" s="95">
        <v>99795</v>
      </c>
      <c r="T159" s="28">
        <v>123586</v>
      </c>
      <c r="U159" s="28">
        <v>98635</v>
      </c>
      <c r="V159" s="28">
        <v>113403</v>
      </c>
      <c r="W159" s="28">
        <v>167787</v>
      </c>
      <c r="X159" s="28">
        <v>120398</v>
      </c>
      <c r="Y159" s="28">
        <v>117377</v>
      </c>
      <c r="Z159" s="28"/>
      <c r="AA159" s="30"/>
      <c r="AB159" s="30"/>
      <c r="AD159" s="73">
        <f>SUM(N159:AB159)</f>
        <v>1437832</v>
      </c>
      <c r="AE159" s="73">
        <f>SUM(N160:AB160)</f>
        <v>77733</v>
      </c>
      <c r="AF159" s="73">
        <f>SUM(N161:AB161)</f>
        <v>58703</v>
      </c>
      <c r="AH159" s="73">
        <f>AD159-B159</f>
        <v>1</v>
      </c>
      <c r="AI159" s="73">
        <f>AE159-C159</f>
        <v>100</v>
      </c>
      <c r="AJ159" s="73">
        <f>AF159-D159</f>
        <v>0</v>
      </c>
      <c r="AL159" s="74">
        <f>C159/B159*1000</f>
        <v>53.993132711702557</v>
      </c>
      <c r="AM159" s="74">
        <f>D159/B159*1000</f>
        <v>40.827468596796145</v>
      </c>
      <c r="AN159" s="79"/>
      <c r="AO159" s="74">
        <f>AL159-K159</f>
        <v>-6.867288297442542E-3</v>
      </c>
      <c r="AP159" s="74">
        <f>AM159-L159</f>
        <v>2.7468596796147438E-2</v>
      </c>
    </row>
    <row r="160" spans="1:42" customFormat="1">
      <c r="A160" s="9" t="s">
        <v>163</v>
      </c>
      <c r="B160" s="7"/>
      <c r="C160" s="7"/>
      <c r="D160" s="7"/>
      <c r="E160" s="7"/>
      <c r="F160" s="7"/>
      <c r="G160" s="7"/>
      <c r="H160" s="7"/>
      <c r="I160" s="7"/>
      <c r="J160" s="7"/>
      <c r="K160" s="53"/>
      <c r="L160" s="53"/>
      <c r="M160" s="7"/>
      <c r="N160" s="7">
        <v>6328</v>
      </c>
      <c r="O160" s="7">
        <v>8497</v>
      </c>
      <c r="P160" s="7">
        <v>5476</v>
      </c>
      <c r="Q160" s="7">
        <v>5123</v>
      </c>
      <c r="R160" s="7">
        <v>5640</v>
      </c>
      <c r="S160" s="7">
        <v>6968</v>
      </c>
      <c r="T160" s="7">
        <v>7500</v>
      </c>
      <c r="U160" s="7">
        <v>5357</v>
      </c>
      <c r="V160" s="7">
        <v>6690</v>
      </c>
      <c r="W160" s="7">
        <v>8984</v>
      </c>
      <c r="X160" s="7">
        <v>4791</v>
      </c>
      <c r="Y160" s="7">
        <v>6379</v>
      </c>
      <c r="Z160" s="7"/>
      <c r="AA160" s="6"/>
      <c r="AB160" s="6"/>
    </row>
    <row r="161" spans="1:42" customFormat="1">
      <c r="A161" s="9" t="s">
        <v>164</v>
      </c>
      <c r="B161" s="7"/>
      <c r="C161" s="7"/>
      <c r="D161" s="7"/>
      <c r="E161" s="7"/>
      <c r="F161" s="7"/>
      <c r="G161" s="7"/>
      <c r="H161" s="7"/>
      <c r="I161" s="7"/>
      <c r="J161" s="7"/>
      <c r="K161" s="53"/>
      <c r="L161" s="53"/>
      <c r="M161" s="7"/>
      <c r="N161" s="7">
        <v>5078</v>
      </c>
      <c r="O161" s="7">
        <v>6103</v>
      </c>
      <c r="P161" s="7">
        <v>4044</v>
      </c>
      <c r="Q161" s="7">
        <v>5306</v>
      </c>
      <c r="R161" s="7">
        <v>4365</v>
      </c>
      <c r="S161" s="7">
        <v>4430</v>
      </c>
      <c r="T161" s="7">
        <v>5593</v>
      </c>
      <c r="U161" s="7">
        <v>3679</v>
      </c>
      <c r="V161" s="7">
        <v>4678</v>
      </c>
      <c r="W161" s="7">
        <v>5863</v>
      </c>
      <c r="X161" s="7">
        <v>4138</v>
      </c>
      <c r="Y161" s="7">
        <v>5426</v>
      </c>
      <c r="Z161" s="7"/>
      <c r="AA161" s="6"/>
      <c r="AB161" s="6"/>
    </row>
    <row r="162" spans="1:42" customFormat="1">
      <c r="A162" s="27" t="s">
        <v>165</v>
      </c>
      <c r="B162" s="95">
        <v>1211270</v>
      </c>
      <c r="C162" s="28">
        <v>56143</v>
      </c>
      <c r="D162" s="28">
        <v>37863</v>
      </c>
      <c r="E162" s="28">
        <v>214281</v>
      </c>
      <c r="F162" s="28">
        <v>9383</v>
      </c>
      <c r="G162" s="28">
        <v>6733</v>
      </c>
      <c r="H162" s="28">
        <v>1100758</v>
      </c>
      <c r="I162" s="28">
        <v>56453</v>
      </c>
      <c r="J162" s="28">
        <v>34394</v>
      </c>
      <c r="K162" s="54">
        <v>46.4</v>
      </c>
      <c r="L162" s="54">
        <v>31.3</v>
      </c>
      <c r="M162" s="7"/>
      <c r="N162" s="28">
        <v>134897</v>
      </c>
      <c r="O162" s="28">
        <v>295917</v>
      </c>
      <c r="P162" s="28">
        <v>195728</v>
      </c>
      <c r="Q162" s="28">
        <v>48775</v>
      </c>
      <c r="R162" s="28">
        <v>333837</v>
      </c>
      <c r="S162" s="28">
        <v>37023</v>
      </c>
      <c r="T162" s="28">
        <v>84262</v>
      </c>
      <c r="U162" s="28">
        <v>48664</v>
      </c>
      <c r="V162" s="28">
        <v>32167</v>
      </c>
      <c r="W162" s="15"/>
      <c r="X162" s="15"/>
      <c r="Y162" s="28"/>
      <c r="Z162" s="28"/>
      <c r="AA162" s="30"/>
      <c r="AB162" s="30"/>
      <c r="AD162" s="73">
        <f>SUM(N162:AB162)</f>
        <v>1211270</v>
      </c>
      <c r="AE162" s="73">
        <f>SUM(N163:AB163)</f>
        <v>56143</v>
      </c>
      <c r="AF162" s="73">
        <f>SUM(N164:AB164)</f>
        <v>37863</v>
      </c>
      <c r="AH162" s="73">
        <f>AD162-B162</f>
        <v>0</v>
      </c>
      <c r="AI162" s="73">
        <f>AE162-C162</f>
        <v>0</v>
      </c>
      <c r="AJ162" s="73">
        <f>AF162-D162</f>
        <v>0</v>
      </c>
      <c r="AL162" s="74">
        <f>C162/B162*1000</f>
        <v>46.35052465593963</v>
      </c>
      <c r="AM162" s="74">
        <f>D162/B162*1000</f>
        <v>31.258926581191641</v>
      </c>
      <c r="AN162" s="79"/>
      <c r="AO162" s="74">
        <f>AL162-K162</f>
        <v>-4.9475344060368798E-2</v>
      </c>
      <c r="AP162" s="74">
        <f>AM162-L162</f>
        <v>-4.1073418808359463E-2</v>
      </c>
    </row>
    <row r="163" spans="1:42" customFormat="1">
      <c r="A163" s="9" t="s">
        <v>166</v>
      </c>
      <c r="B163" s="7"/>
      <c r="C163" s="7"/>
      <c r="D163" s="7"/>
      <c r="E163" s="7"/>
      <c r="F163" s="7"/>
      <c r="G163" s="7"/>
      <c r="H163" s="7"/>
      <c r="I163" s="7"/>
      <c r="J163" s="7"/>
      <c r="K163" s="53"/>
      <c r="L163" s="53"/>
      <c r="M163" s="7"/>
      <c r="N163" s="7">
        <v>5117</v>
      </c>
      <c r="O163" s="7">
        <v>14193</v>
      </c>
      <c r="P163" s="7">
        <v>9265</v>
      </c>
      <c r="Q163" s="7">
        <v>2479</v>
      </c>
      <c r="R163" s="7">
        <v>16882</v>
      </c>
      <c r="S163" s="7">
        <v>1848</v>
      </c>
      <c r="T163" s="7">
        <v>3586</v>
      </c>
      <c r="U163" s="7">
        <v>836</v>
      </c>
      <c r="V163" s="7">
        <v>1937</v>
      </c>
      <c r="W163" s="5"/>
      <c r="X163" s="5"/>
      <c r="Y163" s="7"/>
      <c r="Z163" s="7"/>
      <c r="AA163" s="6"/>
      <c r="AB163" s="6"/>
    </row>
    <row r="164" spans="1:42" customFormat="1">
      <c r="A164" s="9" t="s">
        <v>167</v>
      </c>
      <c r="B164" s="7"/>
      <c r="C164" s="7"/>
      <c r="D164" s="7"/>
      <c r="E164" s="7"/>
      <c r="F164" s="7"/>
      <c r="G164" s="7"/>
      <c r="H164" s="7"/>
      <c r="I164" s="7"/>
      <c r="J164" s="7"/>
      <c r="K164" s="53"/>
      <c r="L164" s="53"/>
      <c r="M164" s="7"/>
      <c r="N164" s="7">
        <v>3246</v>
      </c>
      <c r="O164" s="7">
        <v>9150</v>
      </c>
      <c r="P164" s="7">
        <v>5569</v>
      </c>
      <c r="Q164" s="7">
        <v>2073</v>
      </c>
      <c r="R164" s="7">
        <v>11273</v>
      </c>
      <c r="S164" s="7">
        <v>1013</v>
      </c>
      <c r="T164" s="7">
        <v>3133</v>
      </c>
      <c r="U164" s="7">
        <v>628</v>
      </c>
      <c r="V164" s="7">
        <v>1778</v>
      </c>
      <c r="W164" s="5"/>
      <c r="X164" s="5"/>
      <c r="Y164" s="7"/>
      <c r="Z164" s="7"/>
      <c r="AA164" s="6"/>
      <c r="AB164" s="6"/>
    </row>
    <row r="165" spans="1:42" customFormat="1">
      <c r="A165" s="27" t="s">
        <v>168</v>
      </c>
      <c r="B165" s="95">
        <v>2908264</v>
      </c>
      <c r="C165" s="28">
        <v>126676</v>
      </c>
      <c r="D165" s="28">
        <v>127258</v>
      </c>
      <c r="E165" s="28">
        <v>260689</v>
      </c>
      <c r="F165" s="28">
        <v>6019</v>
      </c>
      <c r="G165" s="28">
        <v>7534</v>
      </c>
      <c r="H165" s="28">
        <v>2829610</v>
      </c>
      <c r="I165" s="28">
        <v>138700</v>
      </c>
      <c r="J165" s="28">
        <v>98407</v>
      </c>
      <c r="K165" s="54">
        <v>42.7</v>
      </c>
      <c r="L165" s="54">
        <v>42.9</v>
      </c>
      <c r="M165" s="7"/>
      <c r="N165" s="28">
        <v>406548</v>
      </c>
      <c r="O165" s="28">
        <v>321638</v>
      </c>
      <c r="P165" s="28">
        <v>190039</v>
      </c>
      <c r="Q165" s="28">
        <v>287178</v>
      </c>
      <c r="R165" s="28">
        <v>390310</v>
      </c>
      <c r="S165" s="28">
        <v>158982</v>
      </c>
      <c r="T165" s="28">
        <v>186830</v>
      </c>
      <c r="U165" s="28">
        <v>278096</v>
      </c>
      <c r="V165" s="28">
        <v>139081</v>
      </c>
      <c r="W165" s="28">
        <v>158336</v>
      </c>
      <c r="X165" s="28">
        <v>213460</v>
      </c>
      <c r="Y165" s="28">
        <v>175666</v>
      </c>
      <c r="Z165" s="28"/>
      <c r="AA165" s="30"/>
      <c r="AB165" s="30"/>
      <c r="AD165" s="73">
        <f>SUM(N165:AB165)</f>
        <v>2906164</v>
      </c>
      <c r="AE165" s="73">
        <f>SUM(N166:AB166)</f>
        <v>126676</v>
      </c>
      <c r="AF165" s="73">
        <f>SUM(N167:AB167)</f>
        <v>127258</v>
      </c>
      <c r="AH165" s="73">
        <f>AD165-B165</f>
        <v>-2100</v>
      </c>
      <c r="AI165" s="73">
        <f>AE165-C165</f>
        <v>0</v>
      </c>
      <c r="AJ165" s="73">
        <f>AF165-D165</f>
        <v>0</v>
      </c>
      <c r="AL165" s="74">
        <f>C165/B165*1000</f>
        <v>43.557256150060653</v>
      </c>
      <c r="AM165" s="74">
        <f>D165/B165*1000</f>
        <v>43.757375533995535</v>
      </c>
      <c r="AN165" s="79"/>
      <c r="AO165" s="74">
        <f>AL165-K165</f>
        <v>0.8572561500606497</v>
      </c>
      <c r="AP165" s="74">
        <f>AM165-L165</f>
        <v>0.8573755339955369</v>
      </c>
    </row>
    <row r="166" spans="1:42" customFormat="1">
      <c r="A166" s="9" t="s">
        <v>169</v>
      </c>
      <c r="B166" s="7"/>
      <c r="C166" s="7"/>
      <c r="D166" s="7"/>
      <c r="E166" s="7"/>
      <c r="F166" s="7"/>
      <c r="G166" s="7"/>
      <c r="H166" s="7"/>
      <c r="I166" s="7"/>
      <c r="J166" s="7"/>
      <c r="K166" s="53"/>
      <c r="L166" s="53"/>
      <c r="M166" s="7"/>
      <c r="N166" s="7">
        <v>19379</v>
      </c>
      <c r="O166" s="7">
        <v>14930</v>
      </c>
      <c r="P166" s="7">
        <v>6784</v>
      </c>
      <c r="Q166" s="7">
        <v>13841</v>
      </c>
      <c r="R166" s="7">
        <v>16830</v>
      </c>
      <c r="S166" s="7">
        <v>6271</v>
      </c>
      <c r="T166" s="7">
        <v>7599</v>
      </c>
      <c r="U166" s="7">
        <v>11576</v>
      </c>
      <c r="V166" s="7">
        <v>6184</v>
      </c>
      <c r="W166" s="7">
        <v>6003</v>
      </c>
      <c r="X166" s="7">
        <v>10011</v>
      </c>
      <c r="Y166" s="7">
        <v>7268</v>
      </c>
      <c r="Z166" s="7"/>
      <c r="AA166" s="6"/>
      <c r="AB166" s="6"/>
    </row>
    <row r="167" spans="1:42" customFormat="1">
      <c r="A167" s="9" t="s">
        <v>170</v>
      </c>
      <c r="B167" s="7"/>
      <c r="C167" s="7"/>
      <c r="D167" s="7"/>
      <c r="E167" s="7"/>
      <c r="F167" s="7"/>
      <c r="G167" s="7"/>
      <c r="H167" s="7"/>
      <c r="I167" s="7"/>
      <c r="J167" s="7"/>
      <c r="K167" s="53"/>
      <c r="L167" s="53"/>
      <c r="M167" s="7"/>
      <c r="N167" s="7">
        <v>18030</v>
      </c>
      <c r="O167" s="7">
        <v>14665</v>
      </c>
      <c r="P167" s="7">
        <v>4996</v>
      </c>
      <c r="Q167" s="7">
        <v>14093</v>
      </c>
      <c r="R167" s="7">
        <v>18941</v>
      </c>
      <c r="S167" s="7">
        <v>7941</v>
      </c>
      <c r="T167" s="7">
        <v>8625</v>
      </c>
      <c r="U167" s="95">
        <v>12847</v>
      </c>
      <c r="V167" s="7">
        <v>5760</v>
      </c>
      <c r="W167" s="7">
        <v>4660</v>
      </c>
      <c r="X167" s="7">
        <v>10996</v>
      </c>
      <c r="Y167" s="7">
        <v>5704</v>
      </c>
      <c r="Z167" s="7"/>
      <c r="AA167" s="6"/>
      <c r="AB167" s="6"/>
    </row>
    <row r="168" spans="1:42" customFormat="1">
      <c r="A168" s="27" t="s">
        <v>171</v>
      </c>
      <c r="B168" s="28">
        <v>1904295</v>
      </c>
      <c r="C168" s="28">
        <v>82968</v>
      </c>
      <c r="D168" s="28">
        <v>60891</v>
      </c>
      <c r="E168" s="28">
        <v>153674</v>
      </c>
      <c r="F168" s="28">
        <v>5019</v>
      </c>
      <c r="G168" s="28">
        <v>3911</v>
      </c>
      <c r="H168" s="28">
        <v>1831172</v>
      </c>
      <c r="I168" s="28">
        <v>84114</v>
      </c>
      <c r="J168" s="28">
        <v>59356</v>
      </c>
      <c r="K168" s="54">
        <v>43.5</v>
      </c>
      <c r="L168" s="54">
        <v>31.9</v>
      </c>
      <c r="M168" s="7"/>
      <c r="N168" s="28">
        <v>170800</v>
      </c>
      <c r="O168" s="28">
        <v>253655</v>
      </c>
      <c r="P168" s="28">
        <v>157466</v>
      </c>
      <c r="Q168" s="28">
        <v>180131</v>
      </c>
      <c r="R168" s="28">
        <v>119998</v>
      </c>
      <c r="S168" s="28">
        <v>139937</v>
      </c>
      <c r="T168" s="28">
        <v>142893</v>
      </c>
      <c r="U168" s="28">
        <v>133359</v>
      </c>
      <c r="V168" s="28">
        <v>127923</v>
      </c>
      <c r="W168" s="28">
        <v>144855</v>
      </c>
      <c r="X168" s="28">
        <v>162631</v>
      </c>
      <c r="Y168" s="28">
        <v>170647</v>
      </c>
      <c r="Z168" s="28"/>
      <c r="AA168" s="30"/>
      <c r="AB168" s="30"/>
      <c r="AD168" s="73">
        <f>SUM(N168:AB168)</f>
        <v>1904295</v>
      </c>
      <c r="AE168" s="73">
        <f>SUM(N169:AB169)</f>
        <v>82968</v>
      </c>
      <c r="AF168" s="73">
        <f>SUM(N170:AB170)</f>
        <v>60871</v>
      </c>
      <c r="AH168" s="73">
        <f>AD168-B168</f>
        <v>0</v>
      </c>
      <c r="AI168" s="73">
        <f>AE168-C168</f>
        <v>0</v>
      </c>
      <c r="AJ168" s="73">
        <f>AF168-D168</f>
        <v>-20</v>
      </c>
      <c r="AL168" s="74">
        <f>C168/B168*1000</f>
        <v>43.568879821666286</v>
      </c>
      <c r="AM168" s="74">
        <f>D168/B168*1000</f>
        <v>31.975613022142053</v>
      </c>
      <c r="AN168" s="79"/>
      <c r="AO168" s="74">
        <f>AL168-K168</f>
        <v>6.8879821666286034E-2</v>
      </c>
      <c r="AP168" s="74">
        <f>AM168-L168</f>
        <v>7.561302214205412E-2</v>
      </c>
    </row>
    <row r="169" spans="1:42" customFormat="1">
      <c r="A169" s="9" t="s">
        <v>172</v>
      </c>
      <c r="B169" s="7"/>
      <c r="C169" s="7"/>
      <c r="D169" s="7"/>
      <c r="E169" s="7"/>
      <c r="F169" s="7"/>
      <c r="G169" s="7"/>
      <c r="H169" s="7"/>
      <c r="I169" s="7"/>
      <c r="J169" s="7"/>
      <c r="K169" s="53"/>
      <c r="L169" s="53"/>
      <c r="M169" s="7"/>
      <c r="N169" s="7">
        <v>7603</v>
      </c>
      <c r="O169" s="7">
        <v>11611</v>
      </c>
      <c r="P169" s="7">
        <v>7266</v>
      </c>
      <c r="Q169" s="7">
        <v>7445</v>
      </c>
      <c r="R169" s="7">
        <v>5053</v>
      </c>
      <c r="S169" s="7">
        <v>5675</v>
      </c>
      <c r="T169" s="7">
        <v>5175</v>
      </c>
      <c r="U169" s="7">
        <v>6174</v>
      </c>
      <c r="V169" s="7">
        <v>6348</v>
      </c>
      <c r="W169" s="7">
        <v>6832</v>
      </c>
      <c r="X169" s="7">
        <v>7175</v>
      </c>
      <c r="Y169" s="7">
        <v>6611</v>
      </c>
      <c r="Z169" s="7"/>
      <c r="AA169" s="6"/>
      <c r="AB169" s="6"/>
    </row>
    <row r="170" spans="1:42" customFormat="1">
      <c r="A170" s="9" t="s">
        <v>173</v>
      </c>
      <c r="B170" s="7"/>
      <c r="C170" s="7"/>
      <c r="D170" s="7"/>
      <c r="E170" s="7"/>
      <c r="F170" s="7"/>
      <c r="G170" s="7"/>
      <c r="H170" s="7"/>
      <c r="I170" s="7"/>
      <c r="J170" s="7"/>
      <c r="K170" s="53"/>
      <c r="L170" s="53"/>
      <c r="M170" s="7"/>
      <c r="N170" s="7">
        <v>5946</v>
      </c>
      <c r="O170" s="7">
        <v>7526</v>
      </c>
      <c r="P170" s="7">
        <v>5452</v>
      </c>
      <c r="Q170" s="7">
        <v>5193</v>
      </c>
      <c r="R170" s="7">
        <v>3502</v>
      </c>
      <c r="S170" s="7">
        <v>4144</v>
      </c>
      <c r="T170" s="7">
        <v>4000</v>
      </c>
      <c r="U170" s="7">
        <v>4259</v>
      </c>
      <c r="V170" s="7">
        <v>5226</v>
      </c>
      <c r="W170" s="7">
        <v>5783</v>
      </c>
      <c r="X170" s="7">
        <v>5012</v>
      </c>
      <c r="Y170" s="7">
        <v>4828</v>
      </c>
      <c r="Z170" s="7"/>
      <c r="AA170" s="6"/>
      <c r="AB170" s="6"/>
    </row>
    <row r="171" spans="1:42" customFormat="1">
      <c r="A171" s="27" t="s">
        <v>174</v>
      </c>
      <c r="B171" s="28">
        <v>1531572</v>
      </c>
      <c r="C171" s="28">
        <v>74159</v>
      </c>
      <c r="D171" s="28">
        <v>70585</v>
      </c>
      <c r="E171" s="28">
        <v>149744</v>
      </c>
      <c r="F171" s="28">
        <v>5276</v>
      </c>
      <c r="G171" s="28">
        <v>4814</v>
      </c>
      <c r="H171" s="28">
        <v>1493520</v>
      </c>
      <c r="I171" s="28">
        <v>76100</v>
      </c>
      <c r="J171" s="28">
        <v>59177</v>
      </c>
      <c r="K171" s="54">
        <v>48.4</v>
      </c>
      <c r="L171" s="54">
        <v>36.1</v>
      </c>
      <c r="M171" s="7"/>
      <c r="N171" s="28">
        <v>186174</v>
      </c>
      <c r="O171" s="28">
        <v>89768</v>
      </c>
      <c r="P171" s="28">
        <v>173305</v>
      </c>
      <c r="Q171" s="28">
        <v>86979</v>
      </c>
      <c r="R171" s="28">
        <v>122165</v>
      </c>
      <c r="S171" s="28">
        <v>138642</v>
      </c>
      <c r="T171" s="28">
        <v>171079</v>
      </c>
      <c r="U171" s="28">
        <v>81299</v>
      </c>
      <c r="V171" s="28">
        <v>109039</v>
      </c>
      <c r="W171" s="28">
        <v>152424</v>
      </c>
      <c r="X171" s="28">
        <v>105293</v>
      </c>
      <c r="Y171" s="28">
        <v>115405</v>
      </c>
      <c r="Z171" s="28"/>
      <c r="AA171" s="30"/>
      <c r="AB171" s="30"/>
      <c r="AD171" s="73">
        <f>SUM(N171:AB171)</f>
        <v>1531572</v>
      </c>
      <c r="AE171" s="73">
        <f>SUM(N172:AB172)</f>
        <v>74159</v>
      </c>
      <c r="AF171" s="73">
        <f>SUM(N173:AB173)</f>
        <v>70585</v>
      </c>
      <c r="AH171" s="73">
        <f>AD171-B171</f>
        <v>0</v>
      </c>
      <c r="AI171" s="73">
        <f>AE171-C171</f>
        <v>0</v>
      </c>
      <c r="AJ171" s="73">
        <f>AF171-D171</f>
        <v>0</v>
      </c>
      <c r="AL171" s="74">
        <f>C171/B171*1000</f>
        <v>48.420185273692653</v>
      </c>
      <c r="AM171" s="74">
        <f>D171/B171*1000</f>
        <v>46.086635169616578</v>
      </c>
      <c r="AN171" s="79"/>
      <c r="AO171" s="74">
        <f>AL171-K171</f>
        <v>2.0185273692653993E-2</v>
      </c>
      <c r="AP171" s="74">
        <f>AM171-L171</f>
        <v>9.9866351696165765</v>
      </c>
    </row>
    <row r="172" spans="1:42" customFormat="1">
      <c r="A172" s="9" t="s">
        <v>175</v>
      </c>
      <c r="B172" s="7"/>
      <c r="C172" s="7"/>
      <c r="D172" s="7"/>
      <c r="E172" s="7"/>
      <c r="F172" s="7"/>
      <c r="G172" s="7"/>
      <c r="H172" s="7"/>
      <c r="I172" s="7"/>
      <c r="J172" s="7"/>
      <c r="K172" s="53"/>
      <c r="L172" s="53"/>
      <c r="M172" s="7"/>
      <c r="N172" s="7">
        <v>9905</v>
      </c>
      <c r="O172" s="7">
        <v>4094</v>
      </c>
      <c r="P172" s="7">
        <v>8877</v>
      </c>
      <c r="Q172" s="7">
        <v>3600</v>
      </c>
      <c r="R172" s="7">
        <v>5503</v>
      </c>
      <c r="S172" s="7">
        <v>6201</v>
      </c>
      <c r="T172" s="7">
        <v>8287</v>
      </c>
      <c r="U172" s="7">
        <v>3663</v>
      </c>
      <c r="V172" s="7">
        <v>5677</v>
      </c>
      <c r="W172" s="7">
        <v>7359</v>
      </c>
      <c r="X172" s="7">
        <v>5112</v>
      </c>
      <c r="Y172" s="7">
        <v>5881</v>
      </c>
      <c r="Z172" s="7"/>
      <c r="AA172" s="6"/>
      <c r="AB172" s="6"/>
    </row>
    <row r="173" spans="1:42" customFormat="1">
      <c r="A173" s="9" t="s">
        <v>176</v>
      </c>
      <c r="B173" s="7"/>
      <c r="C173" s="7"/>
      <c r="D173" s="7"/>
      <c r="E173" s="7"/>
      <c r="F173" s="7"/>
      <c r="G173" s="7"/>
      <c r="H173" s="7"/>
      <c r="I173" s="7"/>
      <c r="J173" s="7"/>
      <c r="K173" s="53"/>
      <c r="L173" s="53"/>
      <c r="M173" s="7"/>
      <c r="N173" s="7">
        <v>7744</v>
      </c>
      <c r="O173" s="7">
        <v>3039</v>
      </c>
      <c r="P173" s="7">
        <v>9795</v>
      </c>
      <c r="Q173" s="7">
        <v>2836</v>
      </c>
      <c r="R173" s="7">
        <v>4457</v>
      </c>
      <c r="S173" s="7">
        <v>6643</v>
      </c>
      <c r="T173" s="7">
        <v>10082</v>
      </c>
      <c r="U173" s="7">
        <v>3791</v>
      </c>
      <c r="V173" s="7">
        <v>4961</v>
      </c>
      <c r="W173" s="7">
        <v>7875</v>
      </c>
      <c r="X173" s="7">
        <v>3582</v>
      </c>
      <c r="Y173" s="7">
        <v>5780</v>
      </c>
      <c r="Z173" s="7"/>
      <c r="AA173" s="6"/>
      <c r="AB173" s="6"/>
    </row>
    <row r="174" spans="1:42" customFormat="1">
      <c r="A174" s="27" t="s">
        <v>177</v>
      </c>
      <c r="B174" s="28">
        <v>2087489</v>
      </c>
      <c r="C174" s="28">
        <v>88048</v>
      </c>
      <c r="D174" s="28">
        <v>99041</v>
      </c>
      <c r="E174" s="28">
        <v>86463</v>
      </c>
      <c r="F174" s="28">
        <v>3893</v>
      </c>
      <c r="G174" s="28">
        <v>5661</v>
      </c>
      <c r="H174" s="28">
        <v>2022149</v>
      </c>
      <c r="I174" s="28">
        <v>96480</v>
      </c>
      <c r="J174" s="28">
        <v>64681</v>
      </c>
      <c r="K174" s="54">
        <v>42.2</v>
      </c>
      <c r="L174" s="54">
        <v>47.5</v>
      </c>
      <c r="M174" s="7"/>
      <c r="N174" s="28">
        <v>337566</v>
      </c>
      <c r="O174" s="28">
        <v>408574</v>
      </c>
      <c r="P174" s="28">
        <v>465180</v>
      </c>
      <c r="Q174" s="28">
        <v>178657</v>
      </c>
      <c r="R174" s="28">
        <v>374364</v>
      </c>
      <c r="S174" s="28">
        <v>323148</v>
      </c>
      <c r="T174" s="15"/>
      <c r="U174" s="15"/>
      <c r="V174" s="15"/>
      <c r="W174" s="15"/>
      <c r="X174" s="15"/>
      <c r="Y174" s="28"/>
      <c r="Z174" s="28"/>
      <c r="AA174" s="30"/>
      <c r="AB174" s="30"/>
      <c r="AD174" s="73">
        <f>SUM(N174:AB174)</f>
        <v>2087489</v>
      </c>
      <c r="AE174" s="73">
        <f>SUM(N175:AB175)</f>
        <v>88048</v>
      </c>
      <c r="AF174" s="73">
        <f>SUM(N176:AB176)</f>
        <v>99041</v>
      </c>
      <c r="AH174" s="73">
        <f>AD174-B174</f>
        <v>0</v>
      </c>
      <c r="AI174" s="73">
        <f>AE174-C174</f>
        <v>0</v>
      </c>
      <c r="AJ174" s="73">
        <f>AF174-D174</f>
        <v>0</v>
      </c>
      <c r="AL174" s="74">
        <f>C174/B174*1000</f>
        <v>42.178904894828186</v>
      </c>
      <c r="AM174" s="74">
        <f>D174/B174*1000</f>
        <v>47.445040428955551</v>
      </c>
      <c r="AN174" s="79"/>
      <c r="AO174" s="74">
        <f>AL174-K174</f>
        <v>-2.1095105171816897E-2</v>
      </c>
      <c r="AP174" s="74">
        <f>AM174-L174</f>
        <v>-5.4959571044449262E-2</v>
      </c>
    </row>
    <row r="175" spans="1:42" customFormat="1">
      <c r="A175" s="9" t="s">
        <v>178</v>
      </c>
      <c r="B175" s="7"/>
      <c r="C175" s="7"/>
      <c r="D175" s="7"/>
      <c r="E175" s="7"/>
      <c r="F175" s="7"/>
      <c r="G175" s="7"/>
      <c r="H175" s="7"/>
      <c r="I175" s="7"/>
      <c r="J175" s="7"/>
      <c r="K175" s="53"/>
      <c r="L175" s="53"/>
      <c r="M175" s="7"/>
      <c r="N175" s="7">
        <v>16007</v>
      </c>
      <c r="O175" s="7">
        <v>16259</v>
      </c>
      <c r="P175" s="7">
        <v>18917</v>
      </c>
      <c r="Q175" s="7">
        <v>8027</v>
      </c>
      <c r="R175" s="7">
        <v>15404</v>
      </c>
      <c r="S175" s="7">
        <v>13434</v>
      </c>
      <c r="T175" s="5"/>
      <c r="U175" s="5"/>
      <c r="V175" s="5"/>
      <c r="W175" s="5"/>
      <c r="X175" s="5"/>
      <c r="Y175" s="7"/>
      <c r="Z175" s="7"/>
      <c r="AA175" s="6"/>
      <c r="AB175" s="6"/>
    </row>
    <row r="176" spans="1:42" customFormat="1">
      <c r="A176" s="9" t="s">
        <v>179</v>
      </c>
      <c r="B176" s="7"/>
      <c r="C176" s="7"/>
      <c r="D176" s="7"/>
      <c r="E176" s="7"/>
      <c r="F176" s="7"/>
      <c r="G176" s="7"/>
      <c r="H176" s="7"/>
      <c r="I176" s="7"/>
      <c r="J176" s="7"/>
      <c r="K176" s="53"/>
      <c r="L176" s="53"/>
      <c r="M176" s="7"/>
      <c r="N176" s="7">
        <v>17602</v>
      </c>
      <c r="O176" s="7">
        <v>16953</v>
      </c>
      <c r="P176" s="7">
        <v>24170</v>
      </c>
      <c r="Q176" s="7">
        <v>6488</v>
      </c>
      <c r="R176" s="7">
        <v>19317</v>
      </c>
      <c r="S176" s="7">
        <v>14511</v>
      </c>
      <c r="T176" s="5"/>
      <c r="U176" s="5"/>
      <c r="V176" s="5"/>
      <c r="W176" s="5"/>
      <c r="X176" s="5"/>
      <c r="Y176" s="7"/>
      <c r="Z176" s="7"/>
      <c r="AA176" s="6"/>
      <c r="AB176" s="6"/>
    </row>
    <row r="177" spans="1:42" customFormat="1">
      <c r="A177" s="27" t="s">
        <v>180</v>
      </c>
      <c r="B177" s="28">
        <v>2552609</v>
      </c>
      <c r="C177" s="28">
        <v>113676</v>
      </c>
      <c r="D177" s="28">
        <v>93623</v>
      </c>
      <c r="E177" s="28">
        <v>334845</v>
      </c>
      <c r="F177" s="28">
        <v>10330</v>
      </c>
      <c r="G177" s="28">
        <v>8207</v>
      </c>
      <c r="H177" s="28">
        <v>2420403</v>
      </c>
      <c r="I177" s="28">
        <v>117523</v>
      </c>
      <c r="J177" s="28">
        <v>87085</v>
      </c>
      <c r="K177" s="54">
        <v>44.5</v>
      </c>
      <c r="L177" s="54">
        <v>36.700000000000003</v>
      </c>
      <c r="M177" s="7"/>
      <c r="N177" s="28">
        <v>382450</v>
      </c>
      <c r="O177" s="28">
        <v>144128</v>
      </c>
      <c r="P177" s="28">
        <v>160530</v>
      </c>
      <c r="Q177" s="28">
        <v>138125</v>
      </c>
      <c r="R177" s="28">
        <v>159915</v>
      </c>
      <c r="S177" s="28">
        <v>224987</v>
      </c>
      <c r="T177" s="28">
        <v>332266</v>
      </c>
      <c r="U177" s="28">
        <v>228919</v>
      </c>
      <c r="V177" s="28">
        <v>164651</v>
      </c>
      <c r="W177" s="28">
        <v>386525</v>
      </c>
      <c r="X177" s="28">
        <v>230113</v>
      </c>
      <c r="Y177" s="28"/>
      <c r="Z177" s="28"/>
      <c r="AA177" s="30"/>
      <c r="AB177" s="30"/>
      <c r="AD177" s="73">
        <f>SUM(N177:AB177)</f>
        <v>2552609</v>
      </c>
      <c r="AE177" s="73">
        <f>SUM(N178:AB178)</f>
        <v>113676</v>
      </c>
      <c r="AF177" s="73">
        <f>SUM(N179:AB179)</f>
        <v>93623</v>
      </c>
      <c r="AH177" s="73">
        <f>AD177-B177</f>
        <v>0</v>
      </c>
      <c r="AI177" s="73">
        <f>AE177-C177</f>
        <v>0</v>
      </c>
      <c r="AJ177" s="73">
        <f>AF177-D177</f>
        <v>0</v>
      </c>
      <c r="AL177" s="74">
        <f>C177/B177*1000</f>
        <v>44.533259892133891</v>
      </c>
      <c r="AM177" s="74">
        <f>D177/B177*1000</f>
        <v>36.677375971016318</v>
      </c>
      <c r="AN177" s="79"/>
      <c r="AO177" s="74">
        <f>AL177-K177</f>
        <v>3.3259892133891356E-2</v>
      </c>
      <c r="AP177" s="74">
        <f>AM177-L177</f>
        <v>-2.2624028983685207E-2</v>
      </c>
    </row>
    <row r="178" spans="1:42" customFormat="1">
      <c r="A178" s="9" t="s">
        <v>181</v>
      </c>
      <c r="B178" s="7"/>
      <c r="C178" s="7"/>
      <c r="D178" s="7"/>
      <c r="E178" s="7"/>
      <c r="F178" s="7"/>
      <c r="G178" s="7"/>
      <c r="H178" s="7"/>
      <c r="I178" s="7"/>
      <c r="J178" s="7"/>
      <c r="K178" s="53"/>
      <c r="L178" s="53"/>
      <c r="M178" s="7"/>
      <c r="N178" s="7">
        <v>14169</v>
      </c>
      <c r="O178" s="7">
        <v>7529</v>
      </c>
      <c r="P178" s="7">
        <v>7404</v>
      </c>
      <c r="Q178" s="7">
        <v>6675</v>
      </c>
      <c r="R178" s="7">
        <v>8220</v>
      </c>
      <c r="S178" s="7">
        <v>10806</v>
      </c>
      <c r="T178" s="7">
        <v>14494</v>
      </c>
      <c r="U178" s="7">
        <v>7737</v>
      </c>
      <c r="V178" s="7">
        <v>8474</v>
      </c>
      <c r="W178" s="7">
        <v>18091</v>
      </c>
      <c r="X178" s="7">
        <v>10077</v>
      </c>
      <c r="Y178" s="7"/>
      <c r="Z178" s="7"/>
      <c r="AA178" s="6"/>
      <c r="AB178" s="6"/>
    </row>
    <row r="179" spans="1:42" customFormat="1">
      <c r="A179" s="9" t="s">
        <v>182</v>
      </c>
      <c r="B179" s="7"/>
      <c r="C179" s="7"/>
      <c r="D179" s="7"/>
      <c r="E179" s="7"/>
      <c r="F179" s="7"/>
      <c r="G179" s="7"/>
      <c r="H179" s="7"/>
      <c r="I179" s="7"/>
      <c r="J179" s="7"/>
      <c r="K179" s="53"/>
      <c r="L179" s="53"/>
      <c r="M179" s="7"/>
      <c r="N179" s="7">
        <v>10525</v>
      </c>
      <c r="O179" s="7">
        <v>5109</v>
      </c>
      <c r="P179" s="7">
        <v>6192</v>
      </c>
      <c r="Q179" s="7">
        <v>3896</v>
      </c>
      <c r="R179" s="7">
        <v>8232</v>
      </c>
      <c r="S179" s="7">
        <v>8962</v>
      </c>
      <c r="T179" s="7">
        <v>11456</v>
      </c>
      <c r="U179" s="7">
        <v>6737</v>
      </c>
      <c r="V179" s="7">
        <v>5867</v>
      </c>
      <c r="W179" s="7">
        <v>20160</v>
      </c>
      <c r="X179" s="7">
        <v>6487</v>
      </c>
      <c r="Y179" s="7"/>
      <c r="Z179" s="7"/>
      <c r="AA179" s="6"/>
      <c r="AB179" s="6"/>
    </row>
    <row r="180" spans="1:42" customFormat="1">
      <c r="A180" s="27" t="s">
        <v>183</v>
      </c>
      <c r="B180" s="28">
        <v>1896341</v>
      </c>
      <c r="C180" s="28">
        <v>101875</v>
      </c>
      <c r="D180" s="28">
        <v>64568</v>
      </c>
      <c r="E180" s="28">
        <v>171946</v>
      </c>
      <c r="F180" s="28">
        <v>14576</v>
      </c>
      <c r="G180" s="28">
        <v>11396</v>
      </c>
      <c r="H180" s="28">
        <v>1814731</v>
      </c>
      <c r="I180" s="28">
        <v>100367</v>
      </c>
      <c r="J180" s="28">
        <v>57985</v>
      </c>
      <c r="K180" s="54">
        <v>53.7</v>
      </c>
      <c r="L180" s="54">
        <v>34.1</v>
      </c>
      <c r="M180" s="7"/>
      <c r="N180" s="28">
        <v>432250</v>
      </c>
      <c r="O180" s="28">
        <v>372868</v>
      </c>
      <c r="P180" s="28">
        <v>200183</v>
      </c>
      <c r="Q180" s="28">
        <v>512134</v>
      </c>
      <c r="R180" s="28">
        <v>169008</v>
      </c>
      <c r="S180" s="28">
        <v>209893</v>
      </c>
      <c r="T180" s="15"/>
      <c r="U180" s="15"/>
      <c r="V180" s="15"/>
      <c r="W180" s="15"/>
      <c r="X180" s="15"/>
      <c r="Y180" s="28"/>
      <c r="Z180" s="28"/>
      <c r="AA180" s="30"/>
      <c r="AB180" s="30"/>
      <c r="AD180" s="73">
        <f>SUM(N180:AB180)</f>
        <v>1896336</v>
      </c>
      <c r="AE180" s="73">
        <f>SUM(N181:AB181)</f>
        <v>101875</v>
      </c>
      <c r="AF180" s="73">
        <f>SUM(N182:AB182)</f>
        <v>64568</v>
      </c>
      <c r="AH180" s="73">
        <f>AD180-B180</f>
        <v>-5</v>
      </c>
      <c r="AI180" s="73">
        <f>AE180-C180</f>
        <v>0</v>
      </c>
      <c r="AJ180" s="73">
        <f>AF180-D180</f>
        <v>0</v>
      </c>
      <c r="AL180" s="74">
        <f>C180/B180*1000</f>
        <v>53.721878079944481</v>
      </c>
      <c r="AM180" s="74">
        <f>D180/B180*1000</f>
        <v>34.048728577824342</v>
      </c>
      <c r="AN180" s="79"/>
      <c r="AO180" s="74">
        <f>AL180-K180</f>
        <v>2.1878079944478657E-2</v>
      </c>
      <c r="AP180" s="74">
        <f>AM180-L180</f>
        <v>-5.1271422175659609E-2</v>
      </c>
    </row>
    <row r="181" spans="1:42" customFormat="1">
      <c r="A181" s="9" t="s">
        <v>184</v>
      </c>
      <c r="B181" s="7"/>
      <c r="C181" s="7"/>
      <c r="D181" s="7"/>
      <c r="E181" s="7"/>
      <c r="F181" s="7"/>
      <c r="G181" s="7"/>
      <c r="H181" s="7"/>
      <c r="I181" s="7"/>
      <c r="J181" s="7"/>
      <c r="K181" s="53"/>
      <c r="L181" s="53"/>
      <c r="M181" s="7"/>
      <c r="N181" s="7">
        <v>22196</v>
      </c>
      <c r="O181" s="7">
        <v>20564</v>
      </c>
      <c r="P181" s="7">
        <v>10957</v>
      </c>
      <c r="Q181" s="7">
        <v>27766</v>
      </c>
      <c r="R181" s="7">
        <v>9719</v>
      </c>
      <c r="S181" s="7">
        <v>10673</v>
      </c>
      <c r="T181" s="5"/>
      <c r="U181" s="5"/>
      <c r="V181" s="5"/>
      <c r="W181" s="5"/>
      <c r="X181" s="5"/>
      <c r="Y181" s="7"/>
      <c r="Z181" s="7"/>
      <c r="AA181" s="6"/>
      <c r="AB181" s="6"/>
    </row>
    <row r="182" spans="1:42" customFormat="1">
      <c r="A182" s="9" t="s">
        <v>185</v>
      </c>
      <c r="B182" s="7"/>
      <c r="C182" s="7"/>
      <c r="D182" s="7"/>
      <c r="E182" s="7"/>
      <c r="F182" s="7"/>
      <c r="G182" s="7"/>
      <c r="H182" s="7"/>
      <c r="I182" s="7"/>
      <c r="J182" s="7"/>
      <c r="K182" s="53"/>
      <c r="L182" s="53"/>
      <c r="M182" s="7"/>
      <c r="N182" s="7">
        <v>15763</v>
      </c>
      <c r="O182" s="7">
        <v>10672</v>
      </c>
      <c r="P182" s="7">
        <v>6555</v>
      </c>
      <c r="Q182" s="7">
        <v>17313</v>
      </c>
      <c r="R182" s="7">
        <v>7007</v>
      </c>
      <c r="S182" s="7">
        <v>7258</v>
      </c>
      <c r="T182" s="5"/>
      <c r="U182" s="5"/>
      <c r="V182" s="5"/>
      <c r="W182" s="5"/>
      <c r="X182" s="5"/>
      <c r="Y182" s="7"/>
      <c r="Z182" s="7"/>
      <c r="AA182" s="6"/>
      <c r="AB182" s="6"/>
    </row>
    <row r="183" spans="1:42" customFormat="1">
      <c r="A183" s="14" t="s">
        <v>186</v>
      </c>
      <c r="B183" s="28">
        <v>76098</v>
      </c>
      <c r="C183" s="28">
        <v>3180</v>
      </c>
      <c r="D183" s="28">
        <v>3791</v>
      </c>
      <c r="E183" s="15"/>
      <c r="F183" s="15"/>
      <c r="G183" s="15"/>
      <c r="H183" s="28">
        <v>76664</v>
      </c>
      <c r="I183" s="28">
        <v>3213</v>
      </c>
      <c r="J183" s="28">
        <v>2501</v>
      </c>
      <c r="K183" s="54">
        <v>41.8</v>
      </c>
      <c r="L183" s="54">
        <v>50</v>
      </c>
      <c r="M183" s="7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30"/>
      <c r="AA183" s="30"/>
      <c r="AB183" s="30"/>
      <c r="AD183" s="73">
        <f t="shared" ref="AD183:AF184" si="2">B183</f>
        <v>76098</v>
      </c>
      <c r="AE183" s="73">
        <f t="shared" si="2"/>
        <v>3180</v>
      </c>
      <c r="AF183" s="73">
        <f t="shared" si="2"/>
        <v>3791</v>
      </c>
    </row>
    <row r="184" spans="1:42" customFormat="1">
      <c r="A184" s="14" t="s">
        <v>187</v>
      </c>
      <c r="B184" s="28">
        <v>328014</v>
      </c>
      <c r="C184" s="28">
        <v>10796</v>
      </c>
      <c r="D184" s="28">
        <v>8416</v>
      </c>
      <c r="E184" s="15"/>
      <c r="F184" s="15"/>
      <c r="G184" s="15"/>
      <c r="H184" s="28">
        <v>288210</v>
      </c>
      <c r="I184" s="28">
        <v>10687</v>
      </c>
      <c r="J184" s="28">
        <v>7830</v>
      </c>
      <c r="K184" s="54">
        <v>33</v>
      </c>
      <c r="L184" s="54">
        <v>25.7</v>
      </c>
      <c r="M184" s="7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30"/>
      <c r="AA184" s="30"/>
      <c r="AB184" s="30"/>
      <c r="AD184" s="73">
        <f t="shared" si="2"/>
        <v>328014</v>
      </c>
      <c r="AE184" s="73">
        <f t="shared" si="2"/>
        <v>10796</v>
      </c>
      <c r="AF184" s="73">
        <f t="shared" si="2"/>
        <v>8416</v>
      </c>
    </row>
    <row r="185" spans="1:42" customFormat="1">
      <c r="A185" s="27" t="s">
        <v>188</v>
      </c>
      <c r="B185" s="28">
        <v>2299870</v>
      </c>
      <c r="C185" s="28">
        <v>106037</v>
      </c>
      <c r="D185" s="28">
        <v>72592</v>
      </c>
      <c r="E185" s="28">
        <v>216318</v>
      </c>
      <c r="F185" s="28">
        <v>6275</v>
      </c>
      <c r="G185" s="28">
        <v>4703</v>
      </c>
      <c r="H185" s="28">
        <v>2195938</v>
      </c>
      <c r="I185" s="28">
        <v>106790</v>
      </c>
      <c r="J185" s="28">
        <v>71142</v>
      </c>
      <c r="K185" s="54">
        <v>46.1</v>
      </c>
      <c r="L185" s="54">
        <v>31.6</v>
      </c>
      <c r="M185" s="7"/>
      <c r="N185" s="28">
        <v>164551</v>
      </c>
      <c r="O185" s="28">
        <v>145118</v>
      </c>
      <c r="P185" s="28">
        <v>137026</v>
      </c>
      <c r="Q185" s="28">
        <v>136903</v>
      </c>
      <c r="R185" s="28">
        <v>131204</v>
      </c>
      <c r="S185" s="28">
        <v>157417</v>
      </c>
      <c r="T185" s="28">
        <v>135344</v>
      </c>
      <c r="U185" s="28">
        <v>138566</v>
      </c>
      <c r="V185" s="28">
        <v>140011</v>
      </c>
      <c r="W185" s="28">
        <v>176473</v>
      </c>
      <c r="X185" s="28">
        <v>173783</v>
      </c>
      <c r="Y185" s="28">
        <v>140955</v>
      </c>
      <c r="Z185" s="28">
        <v>155120</v>
      </c>
      <c r="AA185" s="28">
        <v>169943</v>
      </c>
      <c r="AB185" s="28">
        <v>197467</v>
      </c>
      <c r="AD185" s="73">
        <f>SUM(N185:AB185)</f>
        <v>2299881</v>
      </c>
      <c r="AE185" s="73">
        <f>SUM(N186:AB186)</f>
        <v>106037</v>
      </c>
      <c r="AF185" s="73">
        <f>SUM(N187:AB187)</f>
        <v>72592</v>
      </c>
      <c r="AH185" s="73">
        <f>AD185-B185</f>
        <v>11</v>
      </c>
      <c r="AI185" s="73">
        <f>AE185-C185</f>
        <v>0</v>
      </c>
      <c r="AJ185" s="73">
        <f>AF185-D185</f>
        <v>0</v>
      </c>
      <c r="AL185" s="74">
        <f>C185/B185*1000</f>
        <v>46.105649449751503</v>
      </c>
      <c r="AM185" s="74">
        <f>D185/B185*1000</f>
        <v>31.563523155656622</v>
      </c>
      <c r="AN185" s="79"/>
      <c r="AO185" s="74">
        <f>AL185-K185</f>
        <v>5.6494497515018338E-3</v>
      </c>
      <c r="AP185" s="74">
        <f>AM185-L185</f>
        <v>-3.6476844343379611E-2</v>
      </c>
    </row>
    <row r="186" spans="1:42" customFormat="1">
      <c r="A186" s="9" t="s">
        <v>189</v>
      </c>
      <c r="B186" s="7"/>
      <c r="C186" s="7"/>
      <c r="D186" s="7"/>
      <c r="E186" s="7"/>
      <c r="F186" s="7"/>
      <c r="G186" s="7"/>
      <c r="H186" s="7"/>
      <c r="I186" s="7"/>
      <c r="J186" s="7"/>
      <c r="K186" s="53"/>
      <c r="L186" s="53"/>
      <c r="M186" s="7"/>
      <c r="N186" s="7">
        <v>7072</v>
      </c>
      <c r="O186" s="7">
        <v>6997</v>
      </c>
      <c r="P186" s="7">
        <v>5705</v>
      </c>
      <c r="Q186" s="7">
        <v>7006</v>
      </c>
      <c r="R186" s="7">
        <v>6056</v>
      </c>
      <c r="S186" s="7">
        <v>7016</v>
      </c>
      <c r="T186" s="7">
        <v>5661</v>
      </c>
      <c r="U186" s="7">
        <v>6254</v>
      </c>
      <c r="V186" s="7">
        <v>7298</v>
      </c>
      <c r="W186" s="7">
        <v>8203</v>
      </c>
      <c r="X186" s="7">
        <v>7938</v>
      </c>
      <c r="Y186" s="7">
        <v>7247</v>
      </c>
      <c r="Z186" s="7">
        <v>7379</v>
      </c>
      <c r="AA186" s="7">
        <v>6987</v>
      </c>
      <c r="AB186" s="7">
        <v>9218</v>
      </c>
    </row>
    <row r="187" spans="1:42" customFormat="1">
      <c r="A187" s="9" t="s">
        <v>190</v>
      </c>
      <c r="B187" s="7"/>
      <c r="C187" s="7"/>
      <c r="D187" s="7"/>
      <c r="E187" s="7"/>
      <c r="F187" s="7"/>
      <c r="G187" s="7"/>
      <c r="H187" s="7"/>
      <c r="I187" s="7"/>
      <c r="J187" s="7"/>
      <c r="K187" s="53"/>
      <c r="L187" s="53"/>
      <c r="M187" s="7"/>
      <c r="N187" s="7">
        <v>6618</v>
      </c>
      <c r="O187" s="7">
        <v>4705</v>
      </c>
      <c r="P187" s="7">
        <v>4478</v>
      </c>
      <c r="Q187" s="7">
        <v>4989</v>
      </c>
      <c r="R187" s="7">
        <v>4288</v>
      </c>
      <c r="S187" s="95">
        <v>4655</v>
      </c>
      <c r="T187" s="7">
        <v>3487</v>
      </c>
      <c r="U187" s="7">
        <v>4007</v>
      </c>
      <c r="V187" s="95">
        <v>4765</v>
      </c>
      <c r="W187" s="7">
        <v>5053</v>
      </c>
      <c r="X187" s="7">
        <v>5492</v>
      </c>
      <c r="Y187" s="7">
        <v>5805</v>
      </c>
      <c r="Z187" s="7">
        <v>4688</v>
      </c>
      <c r="AA187" s="7">
        <v>4654</v>
      </c>
      <c r="AB187" s="7">
        <v>4908</v>
      </c>
    </row>
    <row r="188" spans="1:42" customFormat="1">
      <c r="A188" s="27" t="s">
        <v>191</v>
      </c>
      <c r="B188" s="28">
        <v>1210028</v>
      </c>
      <c r="C188" s="28">
        <v>44192</v>
      </c>
      <c r="D188" s="28">
        <v>34549</v>
      </c>
      <c r="E188" s="28">
        <v>140831</v>
      </c>
      <c r="F188" s="28">
        <v>4957</v>
      </c>
      <c r="G188" s="28">
        <v>5301</v>
      </c>
      <c r="H188" s="28">
        <v>1175978</v>
      </c>
      <c r="I188" s="28">
        <v>44843</v>
      </c>
      <c r="J188" s="28">
        <v>35668</v>
      </c>
      <c r="K188" s="54">
        <v>36.5</v>
      </c>
      <c r="L188" s="54">
        <v>39</v>
      </c>
      <c r="M188" s="7"/>
      <c r="N188" s="28">
        <v>223168</v>
      </c>
      <c r="O188" s="28">
        <v>77358</v>
      </c>
      <c r="P188" s="28">
        <v>71618</v>
      </c>
      <c r="Q188" s="28">
        <v>125786</v>
      </c>
      <c r="R188" s="28">
        <v>91274</v>
      </c>
      <c r="S188" s="28">
        <v>112885</v>
      </c>
      <c r="T188" s="28">
        <v>79656</v>
      </c>
      <c r="U188" s="28">
        <v>173833</v>
      </c>
      <c r="V188" s="28">
        <v>117515</v>
      </c>
      <c r="W188" s="28">
        <v>111292</v>
      </c>
      <c r="X188" s="15">
        <v>25643</v>
      </c>
      <c r="Y188" s="28"/>
      <c r="Z188" s="28"/>
      <c r="AA188" s="30"/>
      <c r="AB188" s="30"/>
      <c r="AD188" s="73">
        <f>SUM(N188:AB188)</f>
        <v>1210028</v>
      </c>
      <c r="AE188" s="73">
        <f>SUM(N189:AB189)</f>
        <v>44190</v>
      </c>
      <c r="AF188" s="73">
        <f>SUM(N190:AB190)</f>
        <v>34549</v>
      </c>
      <c r="AH188" s="73">
        <f>AD188-B188</f>
        <v>0</v>
      </c>
      <c r="AI188" s="73">
        <f>AE188-C188</f>
        <v>-2</v>
      </c>
      <c r="AJ188" s="73">
        <f>AF188-D188</f>
        <v>0</v>
      </c>
      <c r="AL188" s="74">
        <f>C188/B188*1000</f>
        <v>36.52146892468604</v>
      </c>
      <c r="AM188" s="74">
        <f>D188/B188*1000</f>
        <v>28.552231849180348</v>
      </c>
      <c r="AN188" s="79"/>
      <c r="AO188" s="74">
        <f>AL188-K188</f>
        <v>2.1468924686040225E-2</v>
      </c>
      <c r="AP188" s="74">
        <f>AM188-L188</f>
        <v>-10.447768150819652</v>
      </c>
    </row>
    <row r="189" spans="1:42" customFormat="1">
      <c r="A189" s="9" t="s">
        <v>192</v>
      </c>
      <c r="B189" s="7"/>
      <c r="C189" s="7"/>
      <c r="D189" s="7"/>
      <c r="E189" s="7"/>
      <c r="F189" s="7"/>
      <c r="G189" s="7"/>
      <c r="H189" s="7"/>
      <c r="I189" s="7"/>
      <c r="J189" s="7"/>
      <c r="K189" s="53"/>
      <c r="L189" s="53"/>
      <c r="M189" s="7"/>
      <c r="N189" s="7">
        <v>8544</v>
      </c>
      <c r="O189" s="7">
        <v>2622</v>
      </c>
      <c r="P189" s="7">
        <v>2571</v>
      </c>
      <c r="Q189" s="7">
        <v>5321</v>
      </c>
      <c r="R189" s="7">
        <v>3865</v>
      </c>
      <c r="S189" s="7">
        <v>4456</v>
      </c>
      <c r="T189" s="7">
        <v>3048</v>
      </c>
      <c r="U189" s="7">
        <v>6326</v>
      </c>
      <c r="V189" s="7">
        <v>3461</v>
      </c>
      <c r="W189" s="7">
        <v>3976</v>
      </c>
      <c r="X189" s="97" t="s">
        <v>14</v>
      </c>
      <c r="Y189" s="7"/>
      <c r="Z189" s="7"/>
      <c r="AA189" s="6"/>
      <c r="AB189" s="6"/>
    </row>
    <row r="190" spans="1:42" customFormat="1">
      <c r="A190" s="9" t="s">
        <v>193</v>
      </c>
      <c r="B190" s="7"/>
      <c r="C190" s="7"/>
      <c r="D190" s="7"/>
      <c r="E190" s="7"/>
      <c r="F190" s="7"/>
      <c r="G190" s="7"/>
      <c r="H190" s="7"/>
      <c r="I190" s="7"/>
      <c r="J190" s="7"/>
      <c r="K190" s="53"/>
      <c r="L190" s="53"/>
      <c r="M190" s="7"/>
      <c r="N190" s="7">
        <v>7523</v>
      </c>
      <c r="O190" s="7">
        <v>2041</v>
      </c>
      <c r="P190" s="7">
        <v>1858</v>
      </c>
      <c r="Q190" s="7">
        <v>3720</v>
      </c>
      <c r="R190" s="7">
        <v>2874</v>
      </c>
      <c r="S190" s="7">
        <v>3391</v>
      </c>
      <c r="T190" s="7">
        <v>2597</v>
      </c>
      <c r="U190" s="7">
        <v>4585</v>
      </c>
      <c r="V190" s="7">
        <v>2950</v>
      </c>
      <c r="W190" s="7">
        <v>3010</v>
      </c>
      <c r="X190" s="97" t="s">
        <v>14</v>
      </c>
      <c r="Y190" s="7"/>
      <c r="Z190" s="7"/>
      <c r="AA190" s="6"/>
      <c r="AB190" s="6"/>
    </row>
    <row r="191" spans="1:42" customFormat="1">
      <c r="A191" s="24" t="s">
        <v>194</v>
      </c>
      <c r="B191" s="31">
        <v>66024139</v>
      </c>
      <c r="C191" s="31">
        <v>2940992</v>
      </c>
      <c r="D191" s="31">
        <v>2728143</v>
      </c>
      <c r="E191" s="25"/>
      <c r="F191" s="25"/>
      <c r="G191" s="25"/>
      <c r="H191" s="31">
        <v>63556755</v>
      </c>
      <c r="I191" s="31">
        <v>3153167</v>
      </c>
      <c r="J191" s="31">
        <v>2257208</v>
      </c>
      <c r="K191" s="55">
        <v>44.6</v>
      </c>
      <c r="L191" s="55">
        <v>41.2</v>
      </c>
      <c r="M191" s="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6"/>
      <c r="AA191" s="26"/>
      <c r="AB191" s="26"/>
      <c r="AD191" s="83">
        <f>SUM(AD85:AD190)</f>
        <v>65608267</v>
      </c>
      <c r="AE191" s="83">
        <f>SUM(AE85:AE190)</f>
        <v>2939366</v>
      </c>
      <c r="AF191" s="83">
        <f>SUM(AF85:AF190)</f>
        <v>2726894</v>
      </c>
      <c r="AH191" s="83">
        <f>B191-AD191</f>
        <v>415872</v>
      </c>
      <c r="AI191" s="83">
        <f>C191-AE191</f>
        <v>1626</v>
      </c>
      <c r="AJ191" s="83">
        <f>D191-AF191</f>
        <v>1249</v>
      </c>
      <c r="AL191" s="82">
        <f>C191/B191*1000</f>
        <v>44.544193147297236</v>
      </c>
      <c r="AM191" s="82">
        <f>D191/B191*1000</f>
        <v>41.32038738134851</v>
      </c>
      <c r="AN191" s="82"/>
      <c r="AO191" s="82">
        <f>AL191-K191</f>
        <v>-5.5806852702765752E-2</v>
      </c>
      <c r="AP191" s="82">
        <f>AM191-L191</f>
        <v>0.12038738134850746</v>
      </c>
    </row>
    <row r="192" spans="1:42" customFormat="1">
      <c r="A192" s="27" t="s">
        <v>195</v>
      </c>
      <c r="B192" s="28">
        <v>2122372</v>
      </c>
      <c r="C192" s="28">
        <v>118112</v>
      </c>
      <c r="D192" s="28">
        <v>127785</v>
      </c>
      <c r="E192" s="15"/>
      <c r="F192" s="15"/>
      <c r="G192" s="15"/>
      <c r="H192" s="28">
        <v>1948197</v>
      </c>
      <c r="I192" s="28">
        <v>117042</v>
      </c>
      <c r="J192" s="28">
        <v>71469</v>
      </c>
      <c r="K192" s="54">
        <v>55.7</v>
      </c>
      <c r="L192" s="54">
        <v>60.2</v>
      </c>
      <c r="M192" s="7"/>
      <c r="N192" s="28">
        <v>161751</v>
      </c>
      <c r="O192" s="28">
        <v>222266</v>
      </c>
      <c r="P192" s="28">
        <v>196641</v>
      </c>
      <c r="Q192" s="28">
        <v>395104</v>
      </c>
      <c r="R192" s="28">
        <v>310010</v>
      </c>
      <c r="S192" s="28">
        <v>55621</v>
      </c>
      <c r="T192" s="28">
        <v>364350</v>
      </c>
      <c r="U192" s="28">
        <v>206137</v>
      </c>
      <c r="V192" s="28">
        <v>210442</v>
      </c>
      <c r="W192" s="15"/>
      <c r="X192" s="15"/>
      <c r="Y192" s="28"/>
      <c r="Z192" s="28"/>
      <c r="AA192" s="30"/>
      <c r="AB192" s="30"/>
      <c r="AD192" s="73">
        <f>SUM(N192:AB192)</f>
        <v>2122322</v>
      </c>
      <c r="AE192" s="73">
        <f>SUM(N193:AB193)</f>
        <v>118112</v>
      </c>
      <c r="AF192" s="73">
        <f>SUM(N194:AB194)</f>
        <v>127765</v>
      </c>
      <c r="AH192" s="73">
        <f>AD192-B192</f>
        <v>-50</v>
      </c>
      <c r="AI192" s="73">
        <f>AE192-C192</f>
        <v>0</v>
      </c>
      <c r="AJ192" s="73">
        <f>AF192-D192</f>
        <v>-20</v>
      </c>
      <c r="AL192" s="74">
        <f>C192/B192*1000</f>
        <v>55.650941493762637</v>
      </c>
      <c r="AM192" s="74">
        <f>D192/B192*1000</f>
        <v>60.208577949577176</v>
      </c>
      <c r="AN192" s="79"/>
      <c r="AO192" s="74">
        <f>AL192-K192</f>
        <v>-4.9058506237365407E-2</v>
      </c>
      <c r="AP192" s="74">
        <f>AM192-L192</f>
        <v>8.5779495771731717E-3</v>
      </c>
    </row>
    <row r="193" spans="1:42" customFormat="1">
      <c r="A193" s="9" t="s">
        <v>196</v>
      </c>
      <c r="B193" s="7"/>
      <c r="C193" s="7"/>
      <c r="D193" s="7"/>
      <c r="E193" s="7"/>
      <c r="F193" s="7"/>
      <c r="G193" s="7"/>
      <c r="H193" s="7"/>
      <c r="I193" s="7"/>
      <c r="J193" s="7"/>
      <c r="K193" s="53"/>
      <c r="L193" s="53"/>
      <c r="M193" s="7"/>
      <c r="N193" s="7">
        <v>11436</v>
      </c>
      <c r="O193" s="7">
        <v>13692</v>
      </c>
      <c r="P193" s="7">
        <v>9422</v>
      </c>
      <c r="Q193" s="7">
        <v>23619</v>
      </c>
      <c r="R193" s="7">
        <v>15662</v>
      </c>
      <c r="S193" s="7">
        <v>2467</v>
      </c>
      <c r="T193" s="7">
        <v>19488</v>
      </c>
      <c r="U193" s="7">
        <v>11064</v>
      </c>
      <c r="V193" s="7">
        <v>11262</v>
      </c>
      <c r="W193" s="5"/>
      <c r="X193" s="5"/>
      <c r="Y193" s="7"/>
      <c r="Z193" s="7"/>
      <c r="AA193" s="6"/>
      <c r="AB193" s="6"/>
    </row>
    <row r="194" spans="1:42" customFormat="1">
      <c r="A194" s="9" t="s">
        <v>197</v>
      </c>
      <c r="B194" s="7"/>
      <c r="C194" s="7"/>
      <c r="D194" s="7"/>
      <c r="E194" s="7"/>
      <c r="F194" s="7"/>
      <c r="G194" s="7"/>
      <c r="H194" s="7"/>
      <c r="I194" s="7"/>
      <c r="J194" s="7"/>
      <c r="K194" s="53"/>
      <c r="L194" s="53"/>
      <c r="M194" s="7"/>
      <c r="N194" s="7">
        <v>16545</v>
      </c>
      <c r="O194" s="7">
        <v>14822</v>
      </c>
      <c r="P194" s="7">
        <v>9290</v>
      </c>
      <c r="Q194" s="7">
        <v>23436</v>
      </c>
      <c r="R194" s="7">
        <v>21868</v>
      </c>
      <c r="S194" s="7">
        <v>3455</v>
      </c>
      <c r="T194" s="7">
        <v>17348</v>
      </c>
      <c r="U194" s="7">
        <v>9454</v>
      </c>
      <c r="V194" s="7">
        <v>11547</v>
      </c>
      <c r="W194" s="5"/>
      <c r="X194" s="5"/>
      <c r="Y194" s="7"/>
      <c r="Z194" s="7"/>
      <c r="AA194" s="6"/>
      <c r="AB194" s="6"/>
    </row>
    <row r="195" spans="1:42" customFormat="1">
      <c r="A195" s="24" t="s">
        <v>198</v>
      </c>
      <c r="B195" s="31">
        <v>100251510</v>
      </c>
      <c r="C195" s="31">
        <v>4365542</v>
      </c>
      <c r="D195" s="31">
        <v>3825281</v>
      </c>
      <c r="E195" s="25"/>
      <c r="F195" s="25"/>
      <c r="G195" s="25"/>
      <c r="H195" s="31">
        <v>96046329</v>
      </c>
      <c r="I195" s="31">
        <v>4565900</v>
      </c>
      <c r="J195" s="31">
        <v>3145258</v>
      </c>
      <c r="K195" s="55">
        <v>43.7</v>
      </c>
      <c r="L195" s="55">
        <v>38.299999999999997</v>
      </c>
      <c r="M195" s="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6"/>
      <c r="AA195" s="26"/>
      <c r="AB195" s="26"/>
      <c r="AD195" s="84">
        <f>SUM(AD42, AD74, AD84, AD191, AD192)</f>
        <v>99832414</v>
      </c>
      <c r="AE195" s="84">
        <f>SUM(AE42, AE74, AE84, AE191, AE192)</f>
        <v>4363934</v>
      </c>
      <c r="AF195" s="84">
        <f>SUM(AF42, AF74, AF84, AF191, AF192)</f>
        <v>3824077</v>
      </c>
      <c r="AH195" s="83">
        <f>B195-AD195</f>
        <v>419096</v>
      </c>
      <c r="AI195" s="83">
        <f>C195-AE195</f>
        <v>1608</v>
      </c>
      <c r="AJ195" s="83">
        <f>D195-AF195</f>
        <v>1204</v>
      </c>
      <c r="AL195" s="82">
        <f>C195/B195*1000</f>
        <v>43.545897712662878</v>
      </c>
      <c r="AM195" s="82">
        <f>D195/B195*1000</f>
        <v>38.156841727371486</v>
      </c>
      <c r="AN195" s="82"/>
      <c r="AO195" s="82">
        <f>AL195-K195</f>
        <v>-0.15410228733712472</v>
      </c>
      <c r="AP195" s="82">
        <f>AM195-L195</f>
        <v>-0.14315827262851144</v>
      </c>
    </row>
    <row r="196" spans="1:42">
      <c r="A196" s="32" t="s">
        <v>199</v>
      </c>
      <c r="B196" s="33">
        <v>790782</v>
      </c>
      <c r="C196" s="33">
        <v>15741</v>
      </c>
      <c r="D196" s="33">
        <v>25201</v>
      </c>
      <c r="E196" s="33">
        <v>172148</v>
      </c>
      <c r="F196" s="33">
        <v>3181</v>
      </c>
      <c r="G196" s="33">
        <v>7888</v>
      </c>
      <c r="H196" s="33">
        <v>798730</v>
      </c>
      <c r="I196" s="33">
        <v>19555</v>
      </c>
      <c r="J196" s="33">
        <v>16551</v>
      </c>
      <c r="K196" s="56">
        <v>20</v>
      </c>
      <c r="L196" s="56">
        <v>32.4</v>
      </c>
      <c r="N196" s="33">
        <v>176842</v>
      </c>
      <c r="O196" s="33">
        <v>78488</v>
      </c>
      <c r="P196" s="33">
        <v>98841</v>
      </c>
      <c r="Q196" s="33">
        <v>168887</v>
      </c>
      <c r="R196" s="33">
        <v>132231</v>
      </c>
      <c r="S196" s="33">
        <v>121115</v>
      </c>
      <c r="T196" s="33">
        <v>14378</v>
      </c>
      <c r="U196" s="33"/>
      <c r="V196" s="33"/>
      <c r="W196" s="33"/>
      <c r="X196" s="33"/>
      <c r="Y196" s="33"/>
      <c r="Z196" s="33"/>
      <c r="AA196" s="33"/>
      <c r="AB196" s="33"/>
      <c r="AD196" s="73">
        <f>SUM(N196:AB196)</f>
        <v>790782</v>
      </c>
      <c r="AE196" s="73">
        <f>SUM(N197:AB197)</f>
        <v>15741</v>
      </c>
      <c r="AF196" s="73">
        <f>SUM(N198:AB198)</f>
        <v>25201</v>
      </c>
      <c r="AG196"/>
      <c r="AH196" s="73">
        <f>AD196-B196</f>
        <v>0</v>
      </c>
      <c r="AI196" s="73">
        <f>AE196-C196</f>
        <v>0</v>
      </c>
      <c r="AJ196" s="73">
        <f>AF196-D196</f>
        <v>0</v>
      </c>
      <c r="AK196"/>
      <c r="AL196" s="74">
        <f>C196/B196*1000</f>
        <v>19.905612419099068</v>
      </c>
      <c r="AM196" s="74">
        <f>D196/B196*1000</f>
        <v>31.868454264259938</v>
      </c>
      <c r="AN196" s="79"/>
      <c r="AO196" s="74">
        <f>AL196-K196</f>
        <v>-9.4387580900932022E-2</v>
      </c>
      <c r="AP196" s="74">
        <f>AM196-L196</f>
        <v>-0.53154573574006037</v>
      </c>
    </row>
    <row r="197" spans="1:42">
      <c r="A197" s="13" t="s">
        <v>200</v>
      </c>
      <c r="C197" s="2"/>
      <c r="D197" s="2"/>
      <c r="K197" s="50"/>
      <c r="L197" s="50"/>
      <c r="N197" s="2">
        <v>2792</v>
      </c>
      <c r="O197" s="2">
        <v>2273</v>
      </c>
      <c r="P197" s="2">
        <v>1085</v>
      </c>
      <c r="Q197" s="2">
        <v>4353</v>
      </c>
      <c r="R197" s="2">
        <v>1118</v>
      </c>
      <c r="S197" s="2">
        <v>3437</v>
      </c>
      <c r="T197" s="2">
        <v>683</v>
      </c>
      <c r="W197" s="2"/>
      <c r="X197" s="2"/>
      <c r="Y197" s="2"/>
      <c r="Z197" s="2"/>
      <c r="AA197" s="2"/>
      <c r="AB197" s="2"/>
    </row>
    <row r="198" spans="1:42">
      <c r="A198" s="13" t="s">
        <v>201</v>
      </c>
      <c r="C198" s="2"/>
      <c r="D198" s="2"/>
      <c r="K198" s="50"/>
      <c r="L198" s="50"/>
      <c r="N198" s="2">
        <v>6108</v>
      </c>
      <c r="O198" s="2">
        <v>3872</v>
      </c>
      <c r="P198" s="2">
        <v>836</v>
      </c>
      <c r="Q198" s="2">
        <v>7535</v>
      </c>
      <c r="R198" s="2">
        <v>874</v>
      </c>
      <c r="S198" s="2">
        <v>5199</v>
      </c>
      <c r="T198" s="2">
        <v>777</v>
      </c>
      <c r="W198" s="2"/>
      <c r="X198" s="2"/>
      <c r="Y198" s="2"/>
      <c r="Z198" s="2"/>
      <c r="AA198" s="2"/>
      <c r="AB198" s="2"/>
    </row>
    <row r="199" spans="1:42">
      <c r="A199" s="32" t="s">
        <v>202</v>
      </c>
      <c r="B199" s="33">
        <v>649784</v>
      </c>
      <c r="C199" s="33">
        <v>13939</v>
      </c>
      <c r="D199" s="33">
        <v>26646</v>
      </c>
      <c r="E199" s="33" t="s">
        <v>14</v>
      </c>
      <c r="F199" s="33" t="s">
        <v>14</v>
      </c>
      <c r="G199" s="33" t="s">
        <v>14</v>
      </c>
      <c r="H199" s="33">
        <v>623874</v>
      </c>
      <c r="I199" s="33">
        <v>13190</v>
      </c>
      <c r="J199" s="33">
        <v>12166</v>
      </c>
      <c r="K199" s="56">
        <v>21.4</v>
      </c>
      <c r="L199" s="56">
        <v>41.1</v>
      </c>
      <c r="N199" s="33">
        <v>75901</v>
      </c>
      <c r="O199" s="33">
        <v>35246</v>
      </c>
      <c r="P199" s="33">
        <v>48859</v>
      </c>
      <c r="Q199" s="33">
        <v>61079</v>
      </c>
      <c r="R199" s="33">
        <v>82548</v>
      </c>
      <c r="S199" s="33">
        <v>51554</v>
      </c>
      <c r="T199" s="33">
        <v>77505</v>
      </c>
      <c r="U199" s="33">
        <v>80273</v>
      </c>
      <c r="V199" s="33">
        <v>66395</v>
      </c>
      <c r="W199" s="33">
        <v>70224</v>
      </c>
      <c r="X199" s="33"/>
      <c r="Y199" s="33"/>
      <c r="Z199" s="33"/>
      <c r="AA199" s="33"/>
      <c r="AB199" s="33"/>
      <c r="AD199" s="73">
        <f>SUM(N199:AB199)</f>
        <v>649584</v>
      </c>
      <c r="AE199" s="73">
        <f>SUM(N200:AB200)</f>
        <v>13939</v>
      </c>
      <c r="AF199" s="73">
        <f>SUM(N201:AB201)</f>
        <v>26646</v>
      </c>
      <c r="AG199"/>
      <c r="AH199" s="73">
        <f>AD199-B199</f>
        <v>-200</v>
      </c>
      <c r="AI199" s="73">
        <f>AE199-C199</f>
        <v>0</v>
      </c>
      <c r="AJ199" s="73">
        <f>AF199-D199</f>
        <v>0</v>
      </c>
      <c r="AK199"/>
      <c r="AL199" s="74">
        <f>C199/B199*1000</f>
        <v>21.451743964148086</v>
      </c>
      <c r="AM199" s="74">
        <f>D199/B199*1000</f>
        <v>41.007473252650115</v>
      </c>
      <c r="AN199" s="79"/>
      <c r="AO199" s="74">
        <f>AL199-K199</f>
        <v>5.1743964148087684E-2</v>
      </c>
      <c r="AP199" s="74">
        <f>AM199-L199</f>
        <v>-9.2526747349886307E-2</v>
      </c>
    </row>
    <row r="200" spans="1:42">
      <c r="A200" s="13" t="s">
        <v>203</v>
      </c>
      <c r="C200" s="2"/>
      <c r="D200" s="2"/>
      <c r="K200" s="50"/>
      <c r="L200" s="50"/>
      <c r="N200" s="2">
        <v>1926</v>
      </c>
      <c r="O200" s="2">
        <v>527</v>
      </c>
      <c r="P200" s="2">
        <v>973</v>
      </c>
      <c r="Q200" s="2">
        <v>1446</v>
      </c>
      <c r="R200" s="2">
        <v>1655</v>
      </c>
      <c r="S200" s="2">
        <v>1540</v>
      </c>
      <c r="T200" s="2">
        <v>1606</v>
      </c>
      <c r="U200" s="2">
        <v>1867</v>
      </c>
      <c r="V200" s="2">
        <v>1280</v>
      </c>
      <c r="W200" s="2">
        <v>1119</v>
      </c>
      <c r="X200" s="2"/>
      <c r="Y200" s="2"/>
      <c r="Z200" s="2"/>
      <c r="AA200" s="2"/>
      <c r="AB200" s="2"/>
    </row>
    <row r="201" spans="1:42">
      <c r="A201" s="13" t="s">
        <v>204</v>
      </c>
      <c r="C201" s="2"/>
      <c r="D201" s="2"/>
      <c r="K201" s="50"/>
      <c r="L201" s="50"/>
      <c r="N201" s="2">
        <v>3533</v>
      </c>
      <c r="O201" s="2">
        <v>1116</v>
      </c>
      <c r="P201" s="2">
        <v>1670</v>
      </c>
      <c r="Q201" s="2">
        <v>1718</v>
      </c>
      <c r="R201" s="2">
        <v>3256</v>
      </c>
      <c r="S201" s="2">
        <v>2674</v>
      </c>
      <c r="T201" s="2">
        <v>3366</v>
      </c>
      <c r="U201" s="2">
        <v>4423</v>
      </c>
      <c r="V201" s="2">
        <v>3416</v>
      </c>
      <c r="W201" s="2">
        <v>1474</v>
      </c>
      <c r="X201" s="2"/>
      <c r="Y201" s="2"/>
      <c r="Z201" s="2"/>
      <c r="AA201" s="2"/>
      <c r="AB201" s="2"/>
    </row>
    <row r="202" spans="1:42">
      <c r="A202" s="32" t="s">
        <v>205</v>
      </c>
      <c r="B202" s="33">
        <v>710998</v>
      </c>
      <c r="C202" s="33">
        <v>20423</v>
      </c>
      <c r="D202" s="33">
        <v>19423</v>
      </c>
      <c r="E202" s="33">
        <v>85631</v>
      </c>
      <c r="F202" s="33">
        <v>2226</v>
      </c>
      <c r="G202" s="33">
        <v>2875</v>
      </c>
      <c r="H202" s="33">
        <v>783450</v>
      </c>
      <c r="I202" s="33">
        <v>20767</v>
      </c>
      <c r="J202" s="33">
        <v>14323</v>
      </c>
      <c r="K202" s="56">
        <v>28.7</v>
      </c>
      <c r="L202" s="56">
        <v>27.3</v>
      </c>
      <c r="N202" s="33">
        <v>124135</v>
      </c>
      <c r="O202" s="33">
        <v>51910</v>
      </c>
      <c r="P202" s="33">
        <v>47405</v>
      </c>
      <c r="Q202" s="33">
        <v>52493</v>
      </c>
      <c r="R202" s="33">
        <v>118928</v>
      </c>
      <c r="S202" s="33">
        <v>83806</v>
      </c>
      <c r="T202" s="33">
        <v>105204</v>
      </c>
      <c r="U202" s="33">
        <v>127117</v>
      </c>
      <c r="V202" s="33"/>
      <c r="W202" s="33"/>
      <c r="X202" s="33"/>
      <c r="Y202" s="33"/>
      <c r="Z202" s="33"/>
      <c r="AA202" s="33"/>
      <c r="AB202" s="33"/>
      <c r="AD202" s="73">
        <f>SUM(N202:AB202)</f>
        <v>710998</v>
      </c>
      <c r="AE202" s="73">
        <f>SUM(N203:AB203)</f>
        <v>20423</v>
      </c>
      <c r="AF202" s="73">
        <f>SUM(N204:AB204)</f>
        <v>19493</v>
      </c>
      <c r="AG202"/>
      <c r="AH202" s="73">
        <f>AD202-B202</f>
        <v>0</v>
      </c>
      <c r="AI202" s="73">
        <f>AE202-C202</f>
        <v>0</v>
      </c>
      <c r="AJ202" s="73">
        <f>AF202-D202</f>
        <v>70</v>
      </c>
      <c r="AK202"/>
      <c r="AL202" s="74">
        <f>C202/B202*1000</f>
        <v>28.72441272689937</v>
      </c>
      <c r="AM202" s="74">
        <f>D202/B202*1000</f>
        <v>27.317939009673726</v>
      </c>
      <c r="AN202" s="79"/>
      <c r="AO202" s="74">
        <f>AL202-K202</f>
        <v>2.4412726899370796E-2</v>
      </c>
      <c r="AP202" s="74">
        <f>AM202-L202</f>
        <v>1.7939009673725081E-2</v>
      </c>
    </row>
    <row r="203" spans="1:42">
      <c r="A203" s="13" t="s">
        <v>206</v>
      </c>
      <c r="C203" s="2"/>
      <c r="D203" s="2"/>
      <c r="K203" s="50"/>
      <c r="L203" s="50"/>
      <c r="N203" s="2">
        <v>3013</v>
      </c>
      <c r="O203" s="2">
        <v>1800</v>
      </c>
      <c r="P203" s="2">
        <v>456</v>
      </c>
      <c r="Q203" s="2">
        <v>1852</v>
      </c>
      <c r="R203" s="2">
        <v>2855</v>
      </c>
      <c r="S203" s="2">
        <v>3143</v>
      </c>
      <c r="T203" s="2">
        <v>3895</v>
      </c>
      <c r="U203" s="2">
        <v>3409</v>
      </c>
      <c r="W203" s="2"/>
      <c r="X203" s="2"/>
      <c r="Y203" s="2"/>
      <c r="Z203" s="2"/>
      <c r="AA203" s="2"/>
      <c r="AB203" s="2"/>
    </row>
    <row r="204" spans="1:42">
      <c r="A204" s="13" t="s">
        <v>207</v>
      </c>
      <c r="C204" s="2"/>
      <c r="D204" s="2"/>
      <c r="K204" s="50"/>
      <c r="L204" s="50"/>
      <c r="N204" s="2">
        <v>2679</v>
      </c>
      <c r="O204" s="2">
        <v>1670</v>
      </c>
      <c r="P204" s="2">
        <v>640</v>
      </c>
      <c r="Q204" s="2">
        <v>2303</v>
      </c>
      <c r="R204" s="2">
        <v>2190</v>
      </c>
      <c r="S204" s="2">
        <v>2287</v>
      </c>
      <c r="T204" s="2">
        <v>4092</v>
      </c>
      <c r="U204" s="2">
        <v>3632</v>
      </c>
      <c r="W204" s="2"/>
      <c r="X204" s="2"/>
      <c r="Y204" s="2"/>
      <c r="Z204" s="2"/>
      <c r="AA204" s="2"/>
      <c r="AB204" s="2"/>
    </row>
    <row r="205" spans="1:42">
      <c r="A205" s="32" t="s">
        <v>208</v>
      </c>
      <c r="B205" s="33">
        <v>232585</v>
      </c>
      <c r="C205" s="33">
        <v>3493</v>
      </c>
      <c r="D205" s="33">
        <v>2367</v>
      </c>
      <c r="E205" s="33" t="s">
        <v>14</v>
      </c>
      <c r="F205" s="33" t="s">
        <v>14</v>
      </c>
      <c r="G205" s="33" t="s">
        <v>14</v>
      </c>
      <c r="H205" s="33">
        <v>232114</v>
      </c>
      <c r="I205" s="33">
        <v>3849</v>
      </c>
      <c r="J205" s="33">
        <v>1468</v>
      </c>
      <c r="K205" s="56" t="s">
        <v>14</v>
      </c>
      <c r="L205" s="56" t="s">
        <v>14</v>
      </c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D205" s="77">
        <f>B205</f>
        <v>232585</v>
      </c>
      <c r="AE205" s="77">
        <f>C205</f>
        <v>3493</v>
      </c>
      <c r="AF205" s="77">
        <f>D205</f>
        <v>2367</v>
      </c>
    </row>
    <row r="206" spans="1:42">
      <c r="A206" s="32" t="s">
        <v>209</v>
      </c>
      <c r="B206" s="33">
        <v>1585510</v>
      </c>
      <c r="C206" s="33">
        <v>95825</v>
      </c>
      <c r="D206" s="33">
        <v>97961</v>
      </c>
      <c r="E206" s="33">
        <v>191551</v>
      </c>
      <c r="F206" s="33">
        <v>8012</v>
      </c>
      <c r="G206" s="33">
        <v>9461</v>
      </c>
      <c r="H206" s="33">
        <v>1417271</v>
      </c>
      <c r="I206" s="33">
        <v>86388</v>
      </c>
      <c r="J206" s="33">
        <v>59030</v>
      </c>
      <c r="K206" s="56">
        <v>60.4</v>
      </c>
      <c r="L206" s="56">
        <v>61.8</v>
      </c>
      <c r="N206" s="94">
        <v>219258</v>
      </c>
      <c r="O206" s="33">
        <v>173665</v>
      </c>
      <c r="P206" s="33">
        <v>222370</v>
      </c>
      <c r="Q206" s="33">
        <v>189033</v>
      </c>
      <c r="R206" s="33">
        <v>257062</v>
      </c>
      <c r="S206" s="33">
        <v>226131</v>
      </c>
      <c r="T206" s="33">
        <v>250349</v>
      </c>
      <c r="U206" s="33">
        <v>47642</v>
      </c>
      <c r="V206" s="33"/>
      <c r="W206" s="33"/>
      <c r="X206" s="33"/>
      <c r="Y206" s="33"/>
      <c r="Z206" s="33"/>
      <c r="AA206" s="33"/>
      <c r="AB206" s="33"/>
      <c r="AD206" s="73">
        <f>SUM(N206:AB206)</f>
        <v>1585510</v>
      </c>
      <c r="AE206" s="73">
        <f>SUM(N207:AB207)</f>
        <v>95789</v>
      </c>
      <c r="AF206" s="73">
        <f>SUM(N208:AB208)</f>
        <v>97961</v>
      </c>
      <c r="AG206"/>
      <c r="AH206" s="73">
        <f>AD206-B206</f>
        <v>0</v>
      </c>
      <c r="AI206" s="73">
        <f>AE206-C206</f>
        <v>-36</v>
      </c>
      <c r="AJ206" s="73">
        <f>AF206-D206</f>
        <v>0</v>
      </c>
      <c r="AK206"/>
      <c r="AL206" s="74">
        <f>C206/B206*1000</f>
        <v>60.437966332599601</v>
      </c>
      <c r="AM206" s="74">
        <f>D206/B206*1000</f>
        <v>61.785166917900234</v>
      </c>
      <c r="AN206" s="79"/>
      <c r="AO206" s="74">
        <f>AL206-K206</f>
        <v>3.7966332599602026E-2</v>
      </c>
      <c r="AP206" s="74">
        <f>AM206-L206</f>
        <v>-1.4833082099762862E-2</v>
      </c>
    </row>
    <row r="207" spans="1:42">
      <c r="A207" s="13" t="s">
        <v>210</v>
      </c>
      <c r="C207" s="2"/>
      <c r="D207" s="2"/>
      <c r="K207" s="50"/>
      <c r="L207" s="50"/>
      <c r="N207" s="2">
        <v>11808</v>
      </c>
      <c r="O207" s="94">
        <v>10549</v>
      </c>
      <c r="P207" s="2">
        <v>13717</v>
      </c>
      <c r="Q207" s="2">
        <v>12800</v>
      </c>
      <c r="R207" s="2">
        <v>17090</v>
      </c>
      <c r="S207" s="2">
        <v>11636</v>
      </c>
      <c r="T207" s="2">
        <v>16676</v>
      </c>
      <c r="U207" s="94">
        <v>1513</v>
      </c>
      <c r="W207" s="2"/>
      <c r="X207" s="2"/>
      <c r="Y207" s="2"/>
      <c r="Z207" s="2"/>
      <c r="AA207" s="2"/>
      <c r="AB207" s="2"/>
    </row>
    <row r="208" spans="1:42">
      <c r="A208" s="13" t="s">
        <v>211</v>
      </c>
      <c r="C208" s="2"/>
      <c r="D208" s="2"/>
      <c r="K208" s="50"/>
      <c r="L208" s="50"/>
      <c r="N208" s="2">
        <v>11388</v>
      </c>
      <c r="O208" s="2">
        <v>11345</v>
      </c>
      <c r="P208" s="2">
        <v>12836</v>
      </c>
      <c r="Q208" s="2">
        <v>12695</v>
      </c>
      <c r="R208" s="2">
        <v>22919</v>
      </c>
      <c r="S208" s="2">
        <v>13888</v>
      </c>
      <c r="T208" s="2">
        <v>11130</v>
      </c>
      <c r="U208" s="2">
        <v>1760</v>
      </c>
      <c r="W208" s="2"/>
      <c r="X208" s="2"/>
      <c r="Y208" s="2"/>
      <c r="Z208" s="2"/>
      <c r="AA208" s="2"/>
      <c r="AB208" s="2"/>
    </row>
    <row r="209" spans="1:42">
      <c r="A209" s="32" t="s">
        <v>212</v>
      </c>
      <c r="B209" s="33">
        <v>978944</v>
      </c>
      <c r="C209" s="33">
        <v>31692</v>
      </c>
      <c r="D209" s="33">
        <v>17335</v>
      </c>
      <c r="E209" s="33" t="s">
        <v>14</v>
      </c>
      <c r="F209" s="33" t="s">
        <v>14</v>
      </c>
      <c r="G209" s="33" t="s">
        <v>14</v>
      </c>
      <c r="H209" s="33">
        <v>958528</v>
      </c>
      <c r="I209" s="33">
        <v>28157</v>
      </c>
      <c r="J209" s="33">
        <v>15112</v>
      </c>
      <c r="K209" s="56">
        <v>32.4</v>
      </c>
      <c r="L209" s="56">
        <v>17.5</v>
      </c>
      <c r="N209" s="33">
        <v>194966</v>
      </c>
      <c r="O209" s="33">
        <v>53786</v>
      </c>
      <c r="P209" s="33">
        <v>74756</v>
      </c>
      <c r="Q209" s="33">
        <v>106809</v>
      </c>
      <c r="R209" s="33">
        <v>50085</v>
      </c>
      <c r="S209" s="33">
        <v>82144</v>
      </c>
      <c r="T209" s="33">
        <v>79099</v>
      </c>
      <c r="U209" s="33">
        <v>104810</v>
      </c>
      <c r="V209" s="33">
        <v>78882</v>
      </c>
      <c r="W209" s="33">
        <v>153607</v>
      </c>
      <c r="X209" s="33"/>
      <c r="Y209" s="33"/>
      <c r="Z209" s="33"/>
      <c r="AA209" s="33"/>
      <c r="AB209" s="33"/>
      <c r="AD209" s="73">
        <f>SUM(N209:AB209)</f>
        <v>978944</v>
      </c>
      <c r="AE209" s="73">
        <f>SUM(N210:AB210)</f>
        <v>31692</v>
      </c>
      <c r="AF209" s="73">
        <f>SUM(N211:AB211)</f>
        <v>17335</v>
      </c>
      <c r="AG209"/>
      <c r="AH209" s="73">
        <f>AD209-B209</f>
        <v>0</v>
      </c>
      <c r="AI209" s="73">
        <f>AE209-C209</f>
        <v>0</v>
      </c>
      <c r="AJ209" s="73">
        <f>AF209-D209</f>
        <v>0</v>
      </c>
      <c r="AK209"/>
      <c r="AL209" s="74">
        <f>C209/B209*1000</f>
        <v>32.373659780334727</v>
      </c>
      <c r="AM209" s="74">
        <f>D209/B209*1000</f>
        <v>17.7078566291841</v>
      </c>
      <c r="AN209" s="79"/>
      <c r="AO209" s="74">
        <f>AL209-K209</f>
        <v>-2.6340219665272002E-2</v>
      </c>
      <c r="AP209" s="74">
        <f>AM209-L209</f>
        <v>0.20785662918409997</v>
      </c>
    </row>
    <row r="210" spans="1:42">
      <c r="A210" s="13" t="s">
        <v>213</v>
      </c>
      <c r="C210" s="2"/>
      <c r="D210" s="2"/>
      <c r="K210" s="50"/>
      <c r="L210" s="50"/>
      <c r="N210" s="2">
        <v>6937</v>
      </c>
      <c r="O210" s="2">
        <v>1999</v>
      </c>
      <c r="P210" s="2">
        <v>1743</v>
      </c>
      <c r="Q210" s="2">
        <v>2856</v>
      </c>
      <c r="R210" s="2">
        <v>1561</v>
      </c>
      <c r="S210" s="2">
        <v>3010</v>
      </c>
      <c r="T210" s="2">
        <v>2551</v>
      </c>
      <c r="U210" s="2">
        <v>3550</v>
      </c>
      <c r="V210" s="2">
        <v>1875</v>
      </c>
      <c r="W210" s="2">
        <v>5610</v>
      </c>
      <c r="X210" s="2"/>
      <c r="Y210" s="2"/>
      <c r="Z210" s="2"/>
      <c r="AA210" s="2"/>
      <c r="AB210" s="2"/>
    </row>
    <row r="211" spans="1:42">
      <c r="A211" s="13" t="s">
        <v>214</v>
      </c>
      <c r="C211" s="2"/>
      <c r="D211" s="2"/>
      <c r="K211" s="50"/>
      <c r="L211" s="50"/>
      <c r="N211" s="2">
        <v>4077</v>
      </c>
      <c r="O211" s="2">
        <v>1088</v>
      </c>
      <c r="P211" s="2">
        <v>975</v>
      </c>
      <c r="Q211" s="2">
        <v>1840</v>
      </c>
      <c r="R211" s="2">
        <v>800</v>
      </c>
      <c r="S211" s="2">
        <v>1197</v>
      </c>
      <c r="T211" s="2">
        <v>1289</v>
      </c>
      <c r="U211" s="2">
        <v>1740</v>
      </c>
      <c r="V211" s="2">
        <v>1679</v>
      </c>
      <c r="W211" s="2">
        <v>2650</v>
      </c>
      <c r="X211" s="2"/>
      <c r="Y211" s="2"/>
      <c r="Z211" s="2"/>
      <c r="AA211" s="2"/>
      <c r="AB211" s="2"/>
    </row>
    <row r="212" spans="1:42">
      <c r="A212" s="32" t="s">
        <v>215</v>
      </c>
      <c r="B212" s="33">
        <v>695366</v>
      </c>
      <c r="C212" s="33">
        <v>47075</v>
      </c>
      <c r="D212" s="33">
        <v>47659</v>
      </c>
      <c r="E212" s="33" t="s">
        <v>14</v>
      </c>
      <c r="F212" s="33" t="s">
        <v>14</v>
      </c>
      <c r="G212" s="33" t="s">
        <v>14</v>
      </c>
      <c r="H212" s="33">
        <v>678505</v>
      </c>
      <c r="I212" s="33">
        <v>42301</v>
      </c>
      <c r="J212" s="33">
        <v>30288</v>
      </c>
      <c r="K212" s="56">
        <v>67.7</v>
      </c>
      <c r="L212" s="56">
        <v>68.599999999999994</v>
      </c>
      <c r="N212" s="33">
        <v>136879</v>
      </c>
      <c r="O212" s="33">
        <v>142502</v>
      </c>
      <c r="P212" s="33">
        <v>170707</v>
      </c>
      <c r="Q212" s="33">
        <v>196887</v>
      </c>
      <c r="R212" s="33">
        <v>48391</v>
      </c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D212" s="73">
        <f>SUM(N212:AB212)</f>
        <v>695366</v>
      </c>
      <c r="AE212" s="73">
        <f>SUM(N213:AB213)</f>
        <v>47075</v>
      </c>
      <c r="AF212" s="73">
        <f>SUM(N214:AB214)</f>
        <v>47659</v>
      </c>
      <c r="AG212"/>
      <c r="AH212" s="73">
        <f>AD212-B212</f>
        <v>0</v>
      </c>
      <c r="AI212" s="73">
        <f>AE212-C212</f>
        <v>0</v>
      </c>
      <c r="AJ212" s="73">
        <f>AF212-D212</f>
        <v>0</v>
      </c>
      <c r="AK212"/>
      <c r="AL212" s="74">
        <f>C212/B212*1000</f>
        <v>67.698161831323361</v>
      </c>
      <c r="AM212" s="74">
        <f>D212/B212*1000</f>
        <v>68.538007322762397</v>
      </c>
      <c r="AN212" s="79"/>
      <c r="AO212" s="74">
        <f>AL212-K212</f>
        <v>-1.8381686766417715E-3</v>
      </c>
      <c r="AP212" s="74">
        <f>AM212-L212</f>
        <v>-6.1992677237597604E-2</v>
      </c>
    </row>
    <row r="213" spans="1:42">
      <c r="A213" s="13" t="s">
        <v>216</v>
      </c>
      <c r="C213" s="2"/>
      <c r="D213" s="2"/>
      <c r="K213" s="50"/>
      <c r="L213" s="50"/>
      <c r="N213" s="2">
        <v>9459</v>
      </c>
      <c r="O213" s="2">
        <v>9569</v>
      </c>
      <c r="P213" s="2">
        <v>13875</v>
      </c>
      <c r="Q213" s="2">
        <v>12765</v>
      </c>
      <c r="R213" s="2">
        <v>1407</v>
      </c>
      <c r="S213" s="2"/>
      <c r="T213" s="2"/>
      <c r="W213" s="2"/>
      <c r="X213" s="2"/>
      <c r="Y213" s="2"/>
      <c r="Z213" s="2"/>
      <c r="AA213" s="2"/>
      <c r="AB213" s="2"/>
    </row>
    <row r="214" spans="1:42">
      <c r="A214" s="13" t="s">
        <v>217</v>
      </c>
      <c r="C214" s="2"/>
      <c r="D214" s="2"/>
      <c r="K214" s="50"/>
      <c r="L214" s="50"/>
      <c r="N214" s="2">
        <v>9185</v>
      </c>
      <c r="O214" s="2">
        <v>10561</v>
      </c>
      <c r="P214" s="2">
        <v>13451</v>
      </c>
      <c r="Q214" s="2">
        <v>12999</v>
      </c>
      <c r="R214" s="2">
        <v>1463</v>
      </c>
      <c r="S214" s="2"/>
      <c r="T214" s="2"/>
      <c r="W214" s="2"/>
      <c r="X214" s="2"/>
      <c r="Y214" s="2"/>
      <c r="Z214" s="2"/>
      <c r="AA214" s="2"/>
      <c r="AB214" s="2"/>
    </row>
    <row r="215" spans="1:42">
      <c r="A215" s="32" t="s">
        <v>218</v>
      </c>
      <c r="B215" s="33">
        <v>794992</v>
      </c>
      <c r="C215" s="33">
        <v>27519</v>
      </c>
      <c r="D215" s="33">
        <v>30672</v>
      </c>
      <c r="E215" s="33">
        <v>102230</v>
      </c>
      <c r="F215" s="33">
        <v>4255</v>
      </c>
      <c r="G215" s="33">
        <v>4288</v>
      </c>
      <c r="H215" s="33">
        <v>740351</v>
      </c>
      <c r="I215" s="33">
        <v>24533</v>
      </c>
      <c r="J215" s="33">
        <v>16718</v>
      </c>
      <c r="K215" s="56">
        <v>34.6</v>
      </c>
      <c r="L215" s="56">
        <v>38.700000000000003</v>
      </c>
      <c r="N215" s="33">
        <v>134271</v>
      </c>
      <c r="O215" s="33">
        <v>181546</v>
      </c>
      <c r="P215" s="33">
        <v>85485</v>
      </c>
      <c r="Q215" s="33">
        <v>112929</v>
      </c>
      <c r="R215" s="33">
        <v>115186</v>
      </c>
      <c r="S215" s="33">
        <v>105834</v>
      </c>
      <c r="T215" s="33">
        <v>59741</v>
      </c>
      <c r="U215" s="33"/>
      <c r="V215" s="33"/>
      <c r="W215" s="33"/>
      <c r="X215" s="33"/>
      <c r="Y215" s="33"/>
      <c r="Z215" s="33"/>
      <c r="AA215" s="33"/>
      <c r="AB215" s="33"/>
      <c r="AD215" s="73">
        <f>SUM(N215:AB215)</f>
        <v>794992</v>
      </c>
      <c r="AE215" s="73">
        <f>SUM(N216:AB216)</f>
        <v>27519</v>
      </c>
      <c r="AF215" s="73">
        <f>SUM(N217:AB217)</f>
        <v>30672</v>
      </c>
      <c r="AG215"/>
      <c r="AH215" s="73">
        <f>AD215-B215</f>
        <v>0</v>
      </c>
      <c r="AI215" s="73">
        <f>AE215-C215</f>
        <v>0</v>
      </c>
      <c r="AJ215" s="73">
        <f>AF215-D215</f>
        <v>0</v>
      </c>
      <c r="AK215"/>
      <c r="AL215" s="74">
        <f>C215/B215*1000</f>
        <v>34.615442671121215</v>
      </c>
      <c r="AM215" s="74">
        <f>D215/B215*1000</f>
        <v>38.581520317185586</v>
      </c>
      <c r="AN215" s="79"/>
      <c r="AO215" s="74">
        <f>AL215-K215</f>
        <v>1.5442671121213891E-2</v>
      </c>
      <c r="AP215" s="74">
        <f>AM215-L215</f>
        <v>-0.11847968281441723</v>
      </c>
    </row>
    <row r="216" spans="1:42">
      <c r="A216" s="13" t="s">
        <v>219</v>
      </c>
      <c r="C216" s="2"/>
      <c r="D216" s="2"/>
      <c r="K216" s="50"/>
      <c r="L216" s="50"/>
      <c r="N216" s="2">
        <v>4487</v>
      </c>
      <c r="O216" s="2">
        <v>3909</v>
      </c>
      <c r="P216" s="2">
        <v>3614</v>
      </c>
      <c r="Q216" s="2">
        <v>3190</v>
      </c>
      <c r="R216" s="2">
        <v>7037</v>
      </c>
      <c r="S216" s="2">
        <v>3860</v>
      </c>
      <c r="T216" s="2">
        <v>1422</v>
      </c>
      <c r="W216" s="2"/>
      <c r="X216" s="2"/>
      <c r="Y216" s="2"/>
      <c r="Z216" s="2"/>
      <c r="AA216" s="2"/>
      <c r="AB216" s="2"/>
    </row>
    <row r="217" spans="1:42">
      <c r="A217" s="13" t="s">
        <v>220</v>
      </c>
      <c r="C217" s="2"/>
      <c r="D217" s="2"/>
      <c r="K217" s="50"/>
      <c r="L217" s="50"/>
      <c r="N217" s="2">
        <v>3523</v>
      </c>
      <c r="O217" s="2">
        <v>6062</v>
      </c>
      <c r="P217" s="2">
        <v>3549</v>
      </c>
      <c r="Q217" s="2">
        <v>2504</v>
      </c>
      <c r="R217" s="2">
        <v>7415</v>
      </c>
      <c r="S217" s="2">
        <v>4333</v>
      </c>
      <c r="T217" s="2">
        <v>3286</v>
      </c>
      <c r="W217" s="2"/>
      <c r="X217" s="2"/>
      <c r="Y217" s="2"/>
      <c r="Z217" s="2"/>
      <c r="AA217" s="2"/>
      <c r="AB217" s="2"/>
    </row>
    <row r="218" spans="1:42">
      <c r="A218" s="32" t="s">
        <v>221</v>
      </c>
      <c r="B218" s="94">
        <v>834734</v>
      </c>
      <c r="C218" s="33">
        <v>27519</v>
      </c>
      <c r="D218" s="33">
        <v>21201</v>
      </c>
      <c r="E218" s="33" t="s">
        <v>14</v>
      </c>
      <c r="F218" s="33" t="s">
        <v>14</v>
      </c>
      <c r="G218" s="33" t="s">
        <v>14</v>
      </c>
      <c r="H218" s="33">
        <v>821636</v>
      </c>
      <c r="I218" s="33">
        <v>29140</v>
      </c>
      <c r="J218" s="33">
        <v>17978</v>
      </c>
      <c r="K218" s="56">
        <v>37.5</v>
      </c>
      <c r="L218" s="56">
        <v>28.9</v>
      </c>
      <c r="N218" s="33">
        <v>172131</v>
      </c>
      <c r="O218" s="33">
        <v>64533</v>
      </c>
      <c r="P218" s="33">
        <v>54110</v>
      </c>
      <c r="Q218" s="33">
        <v>102231</v>
      </c>
      <c r="R218" s="94">
        <v>179415</v>
      </c>
      <c r="S218" s="33">
        <v>70421</v>
      </c>
      <c r="T218" s="33">
        <v>90834</v>
      </c>
      <c r="U218" s="33">
        <v>65544</v>
      </c>
      <c r="V218" s="33">
        <v>35515</v>
      </c>
      <c r="W218" s="33"/>
      <c r="X218" s="33"/>
      <c r="Y218" s="33"/>
      <c r="Z218" s="33"/>
      <c r="AA218" s="33"/>
      <c r="AB218" s="33"/>
      <c r="AD218" s="73">
        <f>SUM(N218:AB218)</f>
        <v>834734</v>
      </c>
      <c r="AE218" s="73">
        <f>SUM(N219:AB219)</f>
        <v>27519</v>
      </c>
      <c r="AF218" s="73">
        <f>SUM(N220:AB220)</f>
        <v>21201</v>
      </c>
      <c r="AG218"/>
      <c r="AH218" s="73">
        <f>AD218-B218</f>
        <v>0</v>
      </c>
      <c r="AI218" s="73">
        <f>AE218-C218</f>
        <v>0</v>
      </c>
      <c r="AJ218" s="73">
        <f>AF218-D218</f>
        <v>0</v>
      </c>
      <c r="AK218"/>
      <c r="AL218" s="74">
        <f>C218/B218*1000</f>
        <v>32.967388413554495</v>
      </c>
      <c r="AM218" s="74">
        <f>D218/B218*1000</f>
        <v>25.398510184082596</v>
      </c>
      <c r="AN218" s="79"/>
      <c r="AO218" s="74">
        <f>AL218-K218</f>
        <v>-4.5326115864455048</v>
      </c>
      <c r="AP218" s="74">
        <f>AM218-L218</f>
        <v>-3.5014898159174024</v>
      </c>
    </row>
    <row r="219" spans="1:42">
      <c r="A219" s="13" t="s">
        <v>222</v>
      </c>
      <c r="C219" s="2"/>
      <c r="D219" s="2"/>
      <c r="K219" s="50"/>
      <c r="L219" s="50"/>
      <c r="N219" s="2">
        <v>6886</v>
      </c>
      <c r="O219" s="2">
        <v>3538</v>
      </c>
      <c r="P219" s="2">
        <v>1950</v>
      </c>
      <c r="Q219" s="2">
        <v>2816</v>
      </c>
      <c r="R219" s="2">
        <v>2767</v>
      </c>
      <c r="S219" s="2">
        <v>1984</v>
      </c>
      <c r="T219" s="2">
        <v>3815</v>
      </c>
      <c r="U219" s="2">
        <v>2666</v>
      </c>
      <c r="V219" s="2">
        <v>1097</v>
      </c>
      <c r="W219" s="2"/>
      <c r="X219" s="2"/>
      <c r="Y219" s="2"/>
      <c r="Z219" s="2"/>
      <c r="AA219" s="2"/>
      <c r="AB219" s="2"/>
    </row>
    <row r="220" spans="1:42">
      <c r="A220" s="13" t="s">
        <v>223</v>
      </c>
      <c r="C220" s="2"/>
      <c r="D220" s="2"/>
      <c r="K220" s="50"/>
      <c r="L220" s="50"/>
      <c r="N220" s="2">
        <v>5054</v>
      </c>
      <c r="O220" s="2">
        <v>2799</v>
      </c>
      <c r="P220" s="2">
        <v>1631</v>
      </c>
      <c r="Q220" s="2">
        <v>2067</v>
      </c>
      <c r="R220" s="2">
        <v>2045</v>
      </c>
      <c r="S220" s="2">
        <v>1580</v>
      </c>
      <c r="T220" s="2">
        <v>2862</v>
      </c>
      <c r="U220" s="2">
        <v>2241</v>
      </c>
      <c r="V220" s="2">
        <v>922</v>
      </c>
      <c r="W220" s="2"/>
      <c r="X220" s="2"/>
      <c r="Y220" s="2"/>
      <c r="Z220" s="2"/>
      <c r="AA220" s="2"/>
      <c r="AB220" s="2"/>
    </row>
    <row r="221" spans="1:42">
      <c r="A221" s="32" t="s">
        <v>224</v>
      </c>
      <c r="B221" s="33">
        <v>690528</v>
      </c>
      <c r="C221" s="33">
        <v>23725</v>
      </c>
      <c r="D221" s="33">
        <v>21534</v>
      </c>
      <c r="E221" s="33" t="s">
        <v>14</v>
      </c>
      <c r="F221" s="33" t="s">
        <v>14</v>
      </c>
      <c r="G221" s="33" t="s">
        <v>14</v>
      </c>
      <c r="H221" s="33">
        <v>661836</v>
      </c>
      <c r="I221" s="33">
        <v>16939</v>
      </c>
      <c r="J221" s="33">
        <v>10685</v>
      </c>
      <c r="K221" s="56">
        <v>34.299999999999997</v>
      </c>
      <c r="L221" s="56">
        <v>31.2</v>
      </c>
      <c r="N221" s="97" t="s">
        <v>14</v>
      </c>
      <c r="O221" s="97" t="s">
        <v>14</v>
      </c>
      <c r="P221" s="97" t="s">
        <v>14</v>
      </c>
      <c r="Q221" s="97" t="s">
        <v>14</v>
      </c>
      <c r="R221" s="97" t="s">
        <v>14</v>
      </c>
      <c r="S221" s="97" t="s">
        <v>14</v>
      </c>
      <c r="T221" s="97" t="s">
        <v>14</v>
      </c>
      <c r="U221" s="33"/>
      <c r="V221" s="33"/>
      <c r="W221" s="33"/>
      <c r="X221" s="33"/>
      <c r="Y221" s="33"/>
      <c r="Z221" s="33"/>
      <c r="AA221" s="33"/>
      <c r="AB221" s="33"/>
      <c r="AD221" s="73">
        <f>B221</f>
        <v>690528</v>
      </c>
      <c r="AE221" s="73">
        <f>C221</f>
        <v>23725</v>
      </c>
      <c r="AF221" s="73">
        <f>D221</f>
        <v>21534</v>
      </c>
      <c r="AG221"/>
      <c r="AH221" s="73"/>
      <c r="AI221" s="73"/>
      <c r="AJ221" s="73"/>
      <c r="AK221"/>
      <c r="AL221" s="74">
        <f>C221/B221*1000</f>
        <v>34.357766810324854</v>
      </c>
      <c r="AM221" s="74">
        <f>D221/B221*1000</f>
        <v>31.184832476018354</v>
      </c>
      <c r="AN221" s="79"/>
      <c r="AO221" s="74">
        <f>AL221-K221</f>
        <v>5.7766810324856976E-2</v>
      </c>
      <c r="AP221" s="74">
        <f>AM221-L221</f>
        <v>-1.5167523981645559E-2</v>
      </c>
    </row>
    <row r="222" spans="1:42">
      <c r="A222" s="13" t="s">
        <v>225</v>
      </c>
      <c r="C222" s="2"/>
      <c r="D222" s="2"/>
      <c r="K222" s="50"/>
      <c r="L222" s="50"/>
      <c r="N222" s="11" t="s">
        <v>14</v>
      </c>
      <c r="O222" s="11" t="s">
        <v>14</v>
      </c>
      <c r="P222" s="11" t="s">
        <v>14</v>
      </c>
      <c r="Q222" s="11" t="s">
        <v>14</v>
      </c>
      <c r="R222" s="11" t="s">
        <v>14</v>
      </c>
      <c r="S222" s="11" t="s">
        <v>14</v>
      </c>
      <c r="T222" s="11" t="s">
        <v>14</v>
      </c>
      <c r="W222" s="2"/>
      <c r="X222" s="2"/>
      <c r="Y222" s="2"/>
      <c r="Z222" s="2"/>
      <c r="AA222" s="2"/>
      <c r="AB222" s="2"/>
    </row>
    <row r="223" spans="1:42">
      <c r="A223" s="13" t="s">
        <v>226</v>
      </c>
      <c r="C223" s="2"/>
      <c r="D223" s="2"/>
      <c r="K223" s="50"/>
      <c r="L223" s="50"/>
      <c r="N223" s="11" t="s">
        <v>14</v>
      </c>
      <c r="O223" s="11" t="s">
        <v>14</v>
      </c>
      <c r="P223" s="11" t="s">
        <v>14</v>
      </c>
      <c r="Q223" s="11" t="s">
        <v>14</v>
      </c>
      <c r="R223" s="11" t="s">
        <v>14</v>
      </c>
      <c r="S223" s="11" t="s">
        <v>14</v>
      </c>
      <c r="T223" s="11" t="s">
        <v>14</v>
      </c>
      <c r="W223" s="2"/>
      <c r="X223" s="2"/>
      <c r="Y223" s="2"/>
      <c r="Z223" s="2"/>
      <c r="AA223" s="2"/>
      <c r="AB223" s="2"/>
    </row>
    <row r="224" spans="1:42">
      <c r="A224" s="34" t="s">
        <v>227</v>
      </c>
      <c r="B224" s="35">
        <v>7864202</v>
      </c>
      <c r="C224" s="35">
        <v>283282</v>
      </c>
      <c r="D224" s="35">
        <v>288465</v>
      </c>
      <c r="E224" s="35"/>
      <c r="F224" s="35"/>
      <c r="G224" s="35"/>
      <c r="H224" s="35">
        <v>7744497</v>
      </c>
      <c r="I224" s="35">
        <v>343143</v>
      </c>
      <c r="J224" s="35">
        <v>193486</v>
      </c>
      <c r="K224" s="57">
        <v>36.299999999999997</v>
      </c>
      <c r="L224" s="57">
        <v>37.5</v>
      </c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D224" s="86">
        <f>SUM(AD196:AD223)</f>
        <v>7964023</v>
      </c>
      <c r="AE224" s="86">
        <f>SUM(AE196:AE223)</f>
        <v>306915</v>
      </c>
      <c r="AF224" s="86">
        <f>SUM(AF196:AF223)</f>
        <v>310069</v>
      </c>
      <c r="AH224" s="83">
        <f>B224-AD224</f>
        <v>-99821</v>
      </c>
      <c r="AI224" s="83">
        <f>C224-AE224</f>
        <v>-23633</v>
      </c>
      <c r="AJ224" s="83">
        <f>D224-AF224</f>
        <v>-21604</v>
      </c>
      <c r="AK224"/>
      <c r="AL224" s="82">
        <f>C224/B224*1000</f>
        <v>36.021709513565398</v>
      </c>
      <c r="AM224" s="82">
        <f>D224/B224*1000</f>
        <v>36.680771933376079</v>
      </c>
      <c r="AN224" s="82"/>
      <c r="AO224" s="82">
        <f>AL224-K224</f>
        <v>-0.27829048643459942</v>
      </c>
      <c r="AP224" s="82">
        <f>AM224-L224</f>
        <v>-0.81922806662392134</v>
      </c>
    </row>
    <row r="225" spans="1:42" customFormat="1">
      <c r="A225" s="36" t="s">
        <v>228</v>
      </c>
      <c r="B225" s="37">
        <v>63221</v>
      </c>
      <c r="C225" s="38" t="s">
        <v>14</v>
      </c>
      <c r="D225" s="38" t="s">
        <v>14</v>
      </c>
      <c r="E225" s="38" t="s">
        <v>14</v>
      </c>
      <c r="F225" s="38" t="s">
        <v>14</v>
      </c>
      <c r="G225" s="38" t="s">
        <v>14</v>
      </c>
      <c r="H225" s="37">
        <v>63221</v>
      </c>
      <c r="I225" s="38" t="s">
        <v>14</v>
      </c>
      <c r="J225" s="38" t="s">
        <v>14</v>
      </c>
      <c r="K225" s="58" t="s">
        <v>14</v>
      </c>
      <c r="L225" s="58" t="s">
        <v>14</v>
      </c>
      <c r="M225" s="10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9"/>
      <c r="AA225" s="40"/>
      <c r="AB225" s="40"/>
      <c r="AD225" s="73">
        <f>B225</f>
        <v>63221</v>
      </c>
      <c r="AE225" s="85" t="str">
        <f>C225</f>
        <v>—</v>
      </c>
      <c r="AF225" s="85" t="str">
        <f>D225</f>
        <v>—</v>
      </c>
    </row>
    <row r="226" spans="1:42" customFormat="1">
      <c r="A226" s="36" t="s">
        <v>229</v>
      </c>
      <c r="B226" s="37">
        <v>478786</v>
      </c>
      <c r="C226" s="37">
        <v>25524</v>
      </c>
      <c r="D226" s="37">
        <v>18922</v>
      </c>
      <c r="E226" s="37">
        <v>44325</v>
      </c>
      <c r="F226" s="37">
        <v>2041</v>
      </c>
      <c r="G226" s="37">
        <v>2323</v>
      </c>
      <c r="H226" s="37">
        <v>469269</v>
      </c>
      <c r="I226" s="37">
        <v>23799</v>
      </c>
      <c r="J226" s="37">
        <v>17736</v>
      </c>
      <c r="K226" s="59">
        <v>53.3</v>
      </c>
      <c r="L226" s="59">
        <v>39.5</v>
      </c>
      <c r="M226" s="5"/>
      <c r="N226" s="93">
        <v>86600</v>
      </c>
      <c r="O226" s="37">
        <v>88093</v>
      </c>
      <c r="P226" s="37">
        <v>66556</v>
      </c>
      <c r="Q226" s="37">
        <v>81956</v>
      </c>
      <c r="R226" s="37">
        <v>144530</v>
      </c>
      <c r="S226" s="37">
        <v>11048</v>
      </c>
      <c r="T226" s="37"/>
      <c r="U226" s="37"/>
      <c r="V226" s="37"/>
      <c r="W226" s="37"/>
      <c r="X226" s="37"/>
      <c r="Y226" s="37"/>
      <c r="Z226" s="39"/>
      <c r="AA226" s="40"/>
      <c r="AB226" s="40"/>
      <c r="AD226" s="73">
        <f>SUM(N226:AB226)</f>
        <v>478783</v>
      </c>
      <c r="AE226" s="73">
        <f>SUM(N227:AB227)</f>
        <v>25524</v>
      </c>
      <c r="AF226" s="73">
        <f>SUM(N228:AB228)</f>
        <v>18922</v>
      </c>
      <c r="AH226" s="73">
        <f>AD226-B226</f>
        <v>-3</v>
      </c>
      <c r="AI226" s="73">
        <f>AE226-C226</f>
        <v>0</v>
      </c>
      <c r="AJ226" s="73">
        <f>AF226-D226</f>
        <v>0</v>
      </c>
      <c r="AL226" s="74">
        <f>C226/B226*1000</f>
        <v>53.309829443634527</v>
      </c>
      <c r="AM226" s="74">
        <f>D226/B226*1000</f>
        <v>39.520787992965545</v>
      </c>
      <c r="AN226" s="79"/>
      <c r="AO226" s="74">
        <f>AL226-K226</f>
        <v>9.8294436345298664E-3</v>
      </c>
      <c r="AP226" s="74">
        <f>AM226-L226</f>
        <v>2.0787992965544788E-2</v>
      </c>
    </row>
    <row r="227" spans="1:42" customFormat="1">
      <c r="A227" s="9" t="s">
        <v>230</v>
      </c>
      <c r="B227" s="7"/>
      <c r="C227" s="7"/>
      <c r="D227" s="7"/>
      <c r="E227" s="7"/>
      <c r="F227" s="7"/>
      <c r="G227" s="7"/>
      <c r="H227" s="7"/>
      <c r="I227" s="7"/>
      <c r="J227" s="7"/>
      <c r="K227" s="53"/>
      <c r="L227" s="53"/>
      <c r="M227" s="7"/>
      <c r="N227" s="5">
        <v>4236</v>
      </c>
      <c r="O227" s="5">
        <v>4913</v>
      </c>
      <c r="P227" s="5">
        <v>3020</v>
      </c>
      <c r="Q227" s="5">
        <v>3962</v>
      </c>
      <c r="R227" s="5">
        <v>9033</v>
      </c>
      <c r="S227" s="5">
        <v>360</v>
      </c>
      <c r="T227" s="10"/>
      <c r="U227" s="5"/>
      <c r="V227" s="5"/>
      <c r="W227" s="5"/>
      <c r="X227" s="5"/>
      <c r="Y227" s="5"/>
      <c r="Z227" s="7"/>
      <c r="AA227" s="4"/>
      <c r="AB227" s="4"/>
    </row>
    <row r="228" spans="1:42" customFormat="1">
      <c r="A228" s="9" t="s">
        <v>231</v>
      </c>
      <c r="B228" s="7"/>
      <c r="C228" s="7"/>
      <c r="D228" s="7"/>
      <c r="E228" s="7"/>
      <c r="F228" s="7"/>
      <c r="G228" s="7"/>
      <c r="H228" s="7"/>
      <c r="I228" s="7"/>
      <c r="J228" s="7"/>
      <c r="K228" s="53"/>
      <c r="L228" s="53"/>
      <c r="M228" s="7"/>
      <c r="N228" s="5">
        <v>3643</v>
      </c>
      <c r="O228" s="5">
        <v>3851</v>
      </c>
      <c r="P228" s="5">
        <v>2268</v>
      </c>
      <c r="Q228" s="5">
        <v>3121</v>
      </c>
      <c r="R228" s="5">
        <v>5895</v>
      </c>
      <c r="S228" s="5">
        <v>144</v>
      </c>
      <c r="T228" s="10"/>
      <c r="U228" s="5"/>
      <c r="V228" s="5"/>
      <c r="W228" s="5"/>
      <c r="X228" s="5"/>
      <c r="Y228" s="5"/>
      <c r="Z228" s="7"/>
      <c r="AA228" s="4"/>
      <c r="AB228" s="4"/>
    </row>
    <row r="229" spans="1:42" customFormat="1">
      <c r="A229" s="36" t="s">
        <v>232</v>
      </c>
      <c r="B229" s="37">
        <v>600671</v>
      </c>
      <c r="C229" s="37">
        <v>22747</v>
      </c>
      <c r="D229" s="37">
        <v>13051</v>
      </c>
      <c r="E229" s="38" t="s">
        <v>14</v>
      </c>
      <c r="F229" s="38" t="s">
        <v>14</v>
      </c>
      <c r="G229" s="38" t="s">
        <v>14</v>
      </c>
      <c r="H229" s="37">
        <v>535932</v>
      </c>
      <c r="I229" s="37">
        <v>18949</v>
      </c>
      <c r="J229" s="37">
        <v>12603</v>
      </c>
      <c r="K229" s="59">
        <v>37.9</v>
      </c>
      <c r="L229" s="59">
        <v>21.7</v>
      </c>
      <c r="M229" s="5"/>
      <c r="N229" s="37">
        <v>129731</v>
      </c>
      <c r="O229" s="37">
        <v>29430</v>
      </c>
      <c r="P229" s="37">
        <v>22807</v>
      </c>
      <c r="Q229" s="37">
        <v>154503</v>
      </c>
      <c r="R229" s="37">
        <v>75384</v>
      </c>
      <c r="S229" s="37">
        <v>63632</v>
      </c>
      <c r="T229" s="37">
        <v>96527</v>
      </c>
      <c r="U229" s="37">
        <v>28657</v>
      </c>
      <c r="V229" s="37"/>
      <c r="W229" s="37"/>
      <c r="X229" s="37"/>
      <c r="Y229" s="37"/>
      <c r="Z229" s="39"/>
      <c r="AA229" s="40"/>
      <c r="AB229" s="40"/>
      <c r="AD229" s="73">
        <f>SUM(N229:AB229)</f>
        <v>600671</v>
      </c>
      <c r="AE229" s="73">
        <f>SUM(N230:AB230)</f>
        <v>22747</v>
      </c>
      <c r="AF229" s="73">
        <f>SUM(N231:AB231)</f>
        <v>13051</v>
      </c>
      <c r="AH229" s="73">
        <f>AD229-B229</f>
        <v>0</v>
      </c>
      <c r="AI229" s="73">
        <f>AE229-C229</f>
        <v>0</v>
      </c>
      <c r="AJ229" s="73">
        <f>AF229-D229</f>
        <v>0</v>
      </c>
      <c r="AL229" s="74">
        <f>C229/B229*1000</f>
        <v>37.8693161481077</v>
      </c>
      <c r="AM229" s="74">
        <f>D229/B229*1000</f>
        <v>21.727368226533326</v>
      </c>
      <c r="AN229" s="79"/>
      <c r="AO229" s="74">
        <f>AL229-K229</f>
        <v>-3.0683851892298719E-2</v>
      </c>
      <c r="AP229" s="74">
        <f>AM229-L229</f>
        <v>2.7368226533326379E-2</v>
      </c>
    </row>
    <row r="230" spans="1:42" customFormat="1">
      <c r="A230" s="9" t="s">
        <v>233</v>
      </c>
      <c r="B230" s="7"/>
      <c r="C230" s="7"/>
      <c r="D230" s="7"/>
      <c r="E230" s="7"/>
      <c r="F230" s="7"/>
      <c r="G230" s="7"/>
      <c r="H230" s="7"/>
      <c r="I230" s="7"/>
      <c r="J230" s="7"/>
      <c r="K230" s="53"/>
      <c r="L230" s="53"/>
      <c r="M230" s="7"/>
      <c r="N230" s="5">
        <v>4071</v>
      </c>
      <c r="O230" s="5">
        <v>1141</v>
      </c>
      <c r="P230" s="5">
        <v>551</v>
      </c>
      <c r="Q230" s="5">
        <v>5461</v>
      </c>
      <c r="R230" s="5">
        <v>3991</v>
      </c>
      <c r="S230" s="5">
        <v>3009</v>
      </c>
      <c r="T230" s="5">
        <v>3356</v>
      </c>
      <c r="U230" s="5">
        <v>1167</v>
      </c>
      <c r="V230" s="5"/>
      <c r="W230" s="5"/>
      <c r="X230" s="5"/>
      <c r="Y230" s="5"/>
      <c r="Z230" s="7"/>
      <c r="AA230" s="4"/>
      <c r="AB230" s="4"/>
    </row>
    <row r="231" spans="1:42" customFormat="1">
      <c r="A231" s="9" t="s">
        <v>234</v>
      </c>
      <c r="B231" s="7"/>
      <c r="C231" s="7"/>
      <c r="D231" s="7"/>
      <c r="E231" s="7"/>
      <c r="F231" s="7"/>
      <c r="G231" s="7"/>
      <c r="H231" s="7"/>
      <c r="I231" s="7"/>
      <c r="J231" s="7"/>
      <c r="K231" s="53"/>
      <c r="L231" s="53"/>
      <c r="M231" s="7"/>
      <c r="N231" s="5">
        <v>2391</v>
      </c>
      <c r="O231" s="5">
        <v>565</v>
      </c>
      <c r="P231" s="5">
        <v>305</v>
      </c>
      <c r="Q231" s="5">
        <v>3273</v>
      </c>
      <c r="R231" s="5">
        <v>2093</v>
      </c>
      <c r="S231" s="5">
        <v>1584</v>
      </c>
      <c r="T231" s="5">
        <v>1964</v>
      </c>
      <c r="U231" s="5">
        <v>876</v>
      </c>
      <c r="V231" s="5"/>
      <c r="W231" s="5"/>
      <c r="X231" s="5"/>
      <c r="Y231" s="5"/>
      <c r="Z231" s="7"/>
      <c r="AA231" s="4"/>
      <c r="AB231" s="4"/>
    </row>
    <row r="232" spans="1:42" customFormat="1">
      <c r="A232" s="36" t="s">
        <v>235</v>
      </c>
      <c r="B232" s="37">
        <v>471560</v>
      </c>
      <c r="C232" s="37">
        <v>20895</v>
      </c>
      <c r="D232" s="37">
        <v>15763</v>
      </c>
      <c r="E232" s="37">
        <v>58872</v>
      </c>
      <c r="F232" s="37">
        <v>2384</v>
      </c>
      <c r="G232" s="37">
        <v>2204</v>
      </c>
      <c r="H232" s="37">
        <v>436992</v>
      </c>
      <c r="I232" s="37">
        <v>20449</v>
      </c>
      <c r="J232" s="37">
        <v>16043</v>
      </c>
      <c r="K232" s="59">
        <v>44.3</v>
      </c>
      <c r="L232" s="59">
        <v>33.4</v>
      </c>
      <c r="M232" s="5"/>
      <c r="N232" s="37">
        <v>156251</v>
      </c>
      <c r="O232" s="37">
        <v>133892</v>
      </c>
      <c r="P232" s="37">
        <v>69149</v>
      </c>
      <c r="Q232" s="37">
        <v>53687</v>
      </c>
      <c r="R232" s="37">
        <v>58581</v>
      </c>
      <c r="S232" s="37"/>
      <c r="T232" s="37"/>
      <c r="U232" s="37"/>
      <c r="V232" s="37"/>
      <c r="W232" s="37"/>
      <c r="X232" s="37"/>
      <c r="Y232" s="37"/>
      <c r="Z232" s="39"/>
      <c r="AA232" s="40"/>
      <c r="AB232" s="40"/>
      <c r="AD232" s="73">
        <f>SUM(N232:AB232)</f>
        <v>471560</v>
      </c>
      <c r="AE232" s="73">
        <f>SUM(N233:AB233)</f>
        <v>20895</v>
      </c>
      <c r="AF232" s="73">
        <f>SUM(N234:AB234)</f>
        <v>15763</v>
      </c>
      <c r="AH232" s="73">
        <f>AD232-B232</f>
        <v>0</v>
      </c>
      <c r="AI232" s="73">
        <f>AE232-C232</f>
        <v>0</v>
      </c>
      <c r="AJ232" s="73">
        <f>AF232-D232</f>
        <v>0</v>
      </c>
      <c r="AL232" s="74">
        <f>C232/B232*1000</f>
        <v>44.3103740775299</v>
      </c>
      <c r="AM232" s="74">
        <f>D232/B232*1000</f>
        <v>33.427347527356012</v>
      </c>
      <c r="AN232" s="79"/>
      <c r="AO232" s="74">
        <f>AL232-K232</f>
        <v>1.0374077529903047E-2</v>
      </c>
      <c r="AP232" s="74">
        <f>AM232-L232</f>
        <v>2.7347527356013757E-2</v>
      </c>
    </row>
    <row r="233" spans="1:42" customFormat="1">
      <c r="A233" s="9" t="s">
        <v>236</v>
      </c>
      <c r="B233" s="7"/>
      <c r="C233" s="7"/>
      <c r="D233" s="7"/>
      <c r="E233" s="7"/>
      <c r="F233" s="7"/>
      <c r="G233" s="7"/>
      <c r="H233" s="7"/>
      <c r="I233" s="7"/>
      <c r="J233" s="7"/>
      <c r="K233" s="53"/>
      <c r="L233" s="53"/>
      <c r="M233" s="7"/>
      <c r="N233" s="5">
        <v>6437</v>
      </c>
      <c r="O233" s="5">
        <v>5757</v>
      </c>
      <c r="P233" s="5">
        <v>2974</v>
      </c>
      <c r="Q233" s="5">
        <v>2599</v>
      </c>
      <c r="R233" s="5">
        <v>3128</v>
      </c>
      <c r="S233" s="10"/>
      <c r="T233" s="10"/>
      <c r="U233" s="5"/>
      <c r="V233" s="5"/>
      <c r="W233" s="5"/>
      <c r="X233" s="5"/>
      <c r="Y233" s="5"/>
      <c r="Z233" s="7"/>
      <c r="AA233" s="4"/>
      <c r="AB233" s="4"/>
    </row>
    <row r="234" spans="1:42" customFormat="1">
      <c r="A234" s="9" t="s">
        <v>237</v>
      </c>
      <c r="B234" s="7"/>
      <c r="C234" s="7"/>
      <c r="D234" s="7"/>
      <c r="E234" s="7"/>
      <c r="F234" s="7"/>
      <c r="G234" s="7"/>
      <c r="H234" s="7"/>
      <c r="I234" s="7"/>
      <c r="J234" s="7"/>
      <c r="K234" s="53"/>
      <c r="L234" s="53"/>
      <c r="M234" s="7"/>
      <c r="N234" s="5">
        <v>5472</v>
      </c>
      <c r="O234" s="5">
        <v>4350</v>
      </c>
      <c r="P234" s="5">
        <v>2128</v>
      </c>
      <c r="Q234" s="5">
        <v>1474</v>
      </c>
      <c r="R234" s="5">
        <v>2339</v>
      </c>
      <c r="S234" s="10"/>
      <c r="T234" s="10"/>
      <c r="U234" s="5"/>
      <c r="V234" s="5"/>
      <c r="W234" s="5"/>
      <c r="X234" s="5"/>
      <c r="Y234" s="5"/>
      <c r="Z234" s="7"/>
      <c r="AA234" s="4"/>
      <c r="AB234" s="4"/>
    </row>
    <row r="235" spans="1:42" customFormat="1">
      <c r="A235" s="36" t="s">
        <v>238</v>
      </c>
      <c r="B235" s="37">
        <v>143456</v>
      </c>
      <c r="C235" s="37">
        <v>5030</v>
      </c>
      <c r="D235" s="37">
        <v>2302</v>
      </c>
      <c r="E235" s="37">
        <v>28076</v>
      </c>
      <c r="F235" s="37">
        <v>968</v>
      </c>
      <c r="G235" s="37">
        <v>584</v>
      </c>
      <c r="H235" s="37">
        <v>112232</v>
      </c>
      <c r="I235" s="37">
        <v>6633</v>
      </c>
      <c r="J235" s="37">
        <v>3776</v>
      </c>
      <c r="K235" s="59" t="s">
        <v>14</v>
      </c>
      <c r="L235" s="59" t="s">
        <v>14</v>
      </c>
      <c r="M235" s="5"/>
      <c r="N235" s="37">
        <v>16490</v>
      </c>
      <c r="O235" s="37">
        <v>10100</v>
      </c>
      <c r="P235" s="37">
        <v>5495</v>
      </c>
      <c r="Q235" s="37">
        <v>673</v>
      </c>
      <c r="R235" s="37">
        <v>11097</v>
      </c>
      <c r="S235" s="37">
        <v>4087</v>
      </c>
      <c r="T235" s="37">
        <v>7784</v>
      </c>
      <c r="U235" s="37">
        <v>7477</v>
      </c>
      <c r="V235" s="37">
        <v>80253</v>
      </c>
      <c r="W235" s="37"/>
      <c r="X235" s="37"/>
      <c r="Y235" s="37"/>
      <c r="Z235" s="39"/>
      <c r="AA235" s="40"/>
      <c r="AB235" s="40"/>
      <c r="AD235" s="73">
        <f>SUM(N235:AB235)</f>
        <v>143456</v>
      </c>
      <c r="AE235" s="73">
        <f>SUM(N236:AB236)</f>
        <v>5030</v>
      </c>
      <c r="AF235" s="73">
        <f>SUM(N237:AB237)</f>
        <v>2302</v>
      </c>
      <c r="AH235" s="73">
        <f>AD235-B235</f>
        <v>0</v>
      </c>
      <c r="AI235" s="73">
        <f>AE235-C235</f>
        <v>0</v>
      </c>
      <c r="AJ235" s="73">
        <f>AF235-D235</f>
        <v>0</v>
      </c>
      <c r="AL235" s="74">
        <f>C235/B235*1000</f>
        <v>35.063015837608745</v>
      </c>
      <c r="AM235" s="74">
        <f>D235/B235*1000</f>
        <v>16.04673209904082</v>
      </c>
      <c r="AN235" s="79"/>
      <c r="AO235" s="74"/>
      <c r="AP235" s="74"/>
    </row>
    <row r="236" spans="1:42" customFormat="1">
      <c r="A236" s="9" t="s">
        <v>239</v>
      </c>
      <c r="B236" s="7"/>
      <c r="C236" s="7"/>
      <c r="D236" s="7"/>
      <c r="E236" s="7"/>
      <c r="F236" s="7"/>
      <c r="G236" s="7"/>
      <c r="H236" s="7"/>
      <c r="I236" s="7"/>
      <c r="J236" s="7"/>
      <c r="K236" s="53"/>
      <c r="L236" s="53"/>
      <c r="M236" s="7"/>
      <c r="N236" s="5">
        <v>587</v>
      </c>
      <c r="O236" s="10" t="s">
        <v>14</v>
      </c>
      <c r="P236" s="5">
        <v>75</v>
      </c>
      <c r="Q236" s="5">
        <v>32</v>
      </c>
      <c r="R236" s="5">
        <v>326</v>
      </c>
      <c r="S236" s="5">
        <v>107</v>
      </c>
      <c r="T236" s="5">
        <v>327</v>
      </c>
      <c r="U236" s="5">
        <v>303</v>
      </c>
      <c r="V236" s="5">
        <v>3273</v>
      </c>
      <c r="W236" s="5"/>
      <c r="X236" s="5"/>
      <c r="Y236" s="5"/>
      <c r="Z236" s="7"/>
      <c r="AA236" s="4"/>
      <c r="AB236" s="4"/>
    </row>
    <row r="237" spans="1:42" customFormat="1">
      <c r="A237" s="9" t="s">
        <v>240</v>
      </c>
      <c r="B237" s="7"/>
      <c r="C237" s="7"/>
      <c r="D237" s="7"/>
      <c r="E237" s="7"/>
      <c r="F237" s="7"/>
      <c r="G237" s="7"/>
      <c r="H237" s="7"/>
      <c r="I237" s="7"/>
      <c r="J237" s="7"/>
      <c r="K237" s="53"/>
      <c r="L237" s="53"/>
      <c r="M237" s="7"/>
      <c r="N237" s="5">
        <v>254</v>
      </c>
      <c r="O237" s="10" t="s">
        <v>14</v>
      </c>
      <c r="P237" s="5">
        <v>21</v>
      </c>
      <c r="Q237" s="5">
        <v>23</v>
      </c>
      <c r="R237" s="5">
        <v>198</v>
      </c>
      <c r="S237" s="5">
        <v>63</v>
      </c>
      <c r="T237" s="5">
        <v>153</v>
      </c>
      <c r="U237" s="5">
        <v>133</v>
      </c>
      <c r="V237" s="5">
        <v>1457</v>
      </c>
      <c r="W237" s="5"/>
      <c r="X237" s="5"/>
      <c r="Y237" s="5"/>
      <c r="Z237" s="7"/>
      <c r="AA237" s="4"/>
      <c r="AB237" s="4"/>
    </row>
    <row r="238" spans="1:42" customFormat="1">
      <c r="A238" s="36" t="s">
        <v>241</v>
      </c>
      <c r="B238" s="37">
        <v>1397460</v>
      </c>
      <c r="C238" s="37">
        <v>63752</v>
      </c>
      <c r="D238" s="37">
        <v>91317</v>
      </c>
      <c r="E238" s="37">
        <v>97645</v>
      </c>
      <c r="F238" s="37">
        <v>2441</v>
      </c>
      <c r="G238" s="37">
        <v>5424</v>
      </c>
      <c r="H238" s="37">
        <v>1403308</v>
      </c>
      <c r="I238" s="37">
        <v>73195</v>
      </c>
      <c r="J238" s="37">
        <v>60540</v>
      </c>
      <c r="K238" s="59">
        <v>45.6</v>
      </c>
      <c r="L238" s="59">
        <v>65.400000000000006</v>
      </c>
      <c r="M238" s="5"/>
      <c r="N238" s="37">
        <v>128017</v>
      </c>
      <c r="O238" s="37">
        <v>30802</v>
      </c>
      <c r="P238" s="37">
        <v>270673</v>
      </c>
      <c r="Q238" s="37">
        <v>266457</v>
      </c>
      <c r="R238" s="37">
        <v>7524</v>
      </c>
      <c r="S238" s="37">
        <v>151045</v>
      </c>
      <c r="T238" s="37">
        <v>71411</v>
      </c>
      <c r="U238" s="37">
        <v>157294</v>
      </c>
      <c r="V238" s="37">
        <v>121125</v>
      </c>
      <c r="W238" s="37">
        <v>193112</v>
      </c>
      <c r="X238" s="37"/>
      <c r="Y238" s="37"/>
      <c r="Z238" s="39"/>
      <c r="AA238" s="40"/>
      <c r="AB238" s="40"/>
      <c r="AD238" s="73">
        <f>SUM(N238:AB238)</f>
        <v>1397460</v>
      </c>
      <c r="AE238" s="73">
        <f>SUM(N239:AB239)</f>
        <v>63752</v>
      </c>
      <c r="AF238" s="73">
        <f>SUM(N240:AB240)</f>
        <v>91317</v>
      </c>
      <c r="AH238" s="73">
        <f>AD238-B238</f>
        <v>0</v>
      </c>
      <c r="AI238" s="73">
        <f>AE238-C238</f>
        <v>0</v>
      </c>
      <c r="AJ238" s="73">
        <f>AF238-D238</f>
        <v>0</v>
      </c>
      <c r="AL238" s="74">
        <f>C238/B238*1000</f>
        <v>45.619910408884692</v>
      </c>
      <c r="AM238" s="74">
        <f>D238/B238*1000</f>
        <v>65.344983040659486</v>
      </c>
      <c r="AN238" s="79"/>
      <c r="AO238" s="74">
        <f>AL238-K238</f>
        <v>1.9910408884690867E-2</v>
      </c>
      <c r="AP238" s="74">
        <f>AM238-L238</f>
        <v>-5.5016959340520089E-2</v>
      </c>
    </row>
    <row r="239" spans="1:42" customFormat="1">
      <c r="A239" s="9" t="s">
        <v>242</v>
      </c>
      <c r="B239" s="7"/>
      <c r="C239" s="7"/>
      <c r="D239" s="7"/>
      <c r="E239" s="7"/>
      <c r="F239" s="7"/>
      <c r="G239" s="7"/>
      <c r="H239" s="7"/>
      <c r="I239" s="7"/>
      <c r="J239" s="7"/>
      <c r="K239" s="53"/>
      <c r="L239" s="53"/>
      <c r="M239" s="7"/>
      <c r="N239" s="5">
        <v>5644</v>
      </c>
      <c r="O239" s="5">
        <v>931</v>
      </c>
      <c r="P239" s="5">
        <v>12776</v>
      </c>
      <c r="Q239" s="5">
        <v>10173</v>
      </c>
      <c r="R239" s="5">
        <v>299</v>
      </c>
      <c r="S239" s="5">
        <v>8400</v>
      </c>
      <c r="T239" s="5">
        <v>3698</v>
      </c>
      <c r="U239" s="5">
        <v>9664</v>
      </c>
      <c r="V239" s="5">
        <v>4706</v>
      </c>
      <c r="W239" s="5">
        <v>7461</v>
      </c>
      <c r="X239" s="5"/>
      <c r="Y239" s="5"/>
      <c r="Z239" s="7"/>
      <c r="AA239" s="4"/>
      <c r="AB239" s="4"/>
    </row>
    <row r="240" spans="1:42" customFormat="1">
      <c r="A240" s="9" t="s">
        <v>243</v>
      </c>
      <c r="B240" s="7"/>
      <c r="C240" s="7"/>
      <c r="D240" s="7"/>
      <c r="E240" s="7"/>
      <c r="F240" s="7"/>
      <c r="G240" s="7"/>
      <c r="H240" s="7"/>
      <c r="I240" s="7"/>
      <c r="J240" s="7"/>
      <c r="K240" s="53"/>
      <c r="L240" s="53"/>
      <c r="M240" s="7"/>
      <c r="N240" s="5">
        <v>7601</v>
      </c>
      <c r="O240" s="5">
        <v>837</v>
      </c>
      <c r="P240" s="5">
        <v>20365</v>
      </c>
      <c r="Q240" s="5">
        <v>13661</v>
      </c>
      <c r="R240" s="5">
        <v>484</v>
      </c>
      <c r="S240" s="5">
        <v>9607</v>
      </c>
      <c r="T240" s="5">
        <v>4251</v>
      </c>
      <c r="U240" s="5">
        <v>14742</v>
      </c>
      <c r="V240" s="5">
        <v>7991</v>
      </c>
      <c r="W240" s="5">
        <v>11778</v>
      </c>
      <c r="X240" s="5"/>
      <c r="Y240" s="5"/>
      <c r="Z240" s="7"/>
      <c r="AA240" s="4"/>
      <c r="AB240" s="4"/>
    </row>
    <row r="241" spans="1:42" customFormat="1">
      <c r="A241" s="36" t="s">
        <v>244</v>
      </c>
      <c r="B241" s="37">
        <v>1414440</v>
      </c>
      <c r="C241" s="93">
        <v>77447</v>
      </c>
      <c r="D241" s="37">
        <v>62123</v>
      </c>
      <c r="E241" s="38" t="s">
        <v>14</v>
      </c>
      <c r="F241" s="38" t="s">
        <v>14</v>
      </c>
      <c r="G241" s="38" t="s">
        <v>14</v>
      </c>
      <c r="H241" s="37">
        <v>1366915</v>
      </c>
      <c r="I241" s="37">
        <v>64178</v>
      </c>
      <c r="J241" s="37">
        <v>35785</v>
      </c>
      <c r="K241" s="59">
        <v>55.1</v>
      </c>
      <c r="L241" s="59">
        <v>43.9</v>
      </c>
      <c r="M241" s="5"/>
      <c r="N241" s="37">
        <v>294324</v>
      </c>
      <c r="O241" s="37">
        <v>335853</v>
      </c>
      <c r="P241" s="37">
        <v>348403</v>
      </c>
      <c r="Q241" s="37">
        <v>133859</v>
      </c>
      <c r="R241" s="37">
        <v>176024</v>
      </c>
      <c r="S241" s="37">
        <v>125977</v>
      </c>
      <c r="T241" s="37"/>
      <c r="U241" s="37"/>
      <c r="V241" s="37"/>
      <c r="W241" s="37"/>
      <c r="X241" s="37"/>
      <c r="Y241" s="37"/>
      <c r="Z241" s="39"/>
      <c r="AA241" s="40"/>
      <c r="AB241" s="40"/>
      <c r="AD241" s="73">
        <f>SUM(N241:AB241)</f>
        <v>1414440</v>
      </c>
      <c r="AE241" s="73">
        <f>SUM(N242:AB242)</f>
        <v>77447</v>
      </c>
      <c r="AF241" s="73">
        <f>SUM(N243:AB243)</f>
        <v>62123</v>
      </c>
      <c r="AH241" s="73">
        <f>AD241-B241</f>
        <v>0</v>
      </c>
      <c r="AI241" s="73">
        <f>AE241-C241</f>
        <v>0</v>
      </c>
      <c r="AJ241" s="73">
        <f>AF241-D241</f>
        <v>0</v>
      </c>
      <c r="AL241" s="74">
        <f>C241/B241*1000</f>
        <v>54.754531828851</v>
      </c>
      <c r="AM241" s="74">
        <f>D241/B241*1000</f>
        <v>43.920562201295212</v>
      </c>
      <c r="AN241" s="79"/>
      <c r="AO241" s="74">
        <f>AL241-K241</f>
        <v>-0.34546817114900108</v>
      </c>
      <c r="AP241" s="74">
        <f>AM241-L241</f>
        <v>2.0562201295213356E-2</v>
      </c>
    </row>
    <row r="242" spans="1:42" customFormat="1">
      <c r="A242" s="9" t="s">
        <v>245</v>
      </c>
      <c r="B242" s="7"/>
      <c r="C242" s="7"/>
      <c r="D242" s="7"/>
      <c r="E242" s="7"/>
      <c r="F242" s="7"/>
      <c r="G242" s="7"/>
      <c r="H242" s="7"/>
      <c r="I242" s="7"/>
      <c r="J242" s="7"/>
      <c r="K242" s="53"/>
      <c r="L242" s="53"/>
      <c r="M242" s="7"/>
      <c r="N242" s="5">
        <v>10346</v>
      </c>
      <c r="O242" s="5">
        <v>23393</v>
      </c>
      <c r="P242" s="5">
        <v>22654</v>
      </c>
      <c r="Q242" s="5">
        <v>7625</v>
      </c>
      <c r="R242" s="5">
        <v>7541</v>
      </c>
      <c r="S242" s="5">
        <v>5888</v>
      </c>
      <c r="T242" s="10"/>
      <c r="U242" s="5"/>
      <c r="V242" s="5"/>
      <c r="W242" s="5"/>
      <c r="X242" s="5"/>
      <c r="Y242" s="5"/>
      <c r="Z242" s="7"/>
      <c r="AA242" s="4"/>
      <c r="AB242" s="4"/>
    </row>
    <row r="243" spans="1:42" customFormat="1">
      <c r="A243" s="9" t="s">
        <v>246</v>
      </c>
      <c r="B243" s="7"/>
      <c r="C243" s="7"/>
      <c r="D243" s="7"/>
      <c r="E243" s="7"/>
      <c r="F243" s="7"/>
      <c r="G243" s="7"/>
      <c r="H243" s="7"/>
      <c r="I243" s="7"/>
      <c r="J243" s="7"/>
      <c r="K243" s="53"/>
      <c r="L243" s="53"/>
      <c r="M243" s="7"/>
      <c r="N243" s="5">
        <v>11495</v>
      </c>
      <c r="O243" s="5">
        <v>19183</v>
      </c>
      <c r="P243" s="5">
        <v>16320</v>
      </c>
      <c r="Q243" s="5">
        <v>6508</v>
      </c>
      <c r="R243" s="5">
        <v>4280</v>
      </c>
      <c r="S243" s="5">
        <v>4337</v>
      </c>
      <c r="T243" s="10"/>
      <c r="U243" s="5"/>
      <c r="V243" s="5"/>
      <c r="W243" s="5"/>
      <c r="X243" s="5"/>
      <c r="Y243" s="5"/>
      <c r="Z243" s="7"/>
      <c r="AA243" s="4"/>
      <c r="AB243" s="4"/>
    </row>
    <row r="244" spans="1:42" customFormat="1">
      <c r="A244" s="36" t="s">
        <v>247</v>
      </c>
      <c r="B244" s="37">
        <v>263743</v>
      </c>
      <c r="C244" s="37">
        <v>9536</v>
      </c>
      <c r="D244" s="37">
        <v>5189</v>
      </c>
      <c r="E244" s="37">
        <v>7873</v>
      </c>
      <c r="F244" s="37">
        <v>186</v>
      </c>
      <c r="G244" s="37">
        <v>140</v>
      </c>
      <c r="H244" s="37">
        <v>257178</v>
      </c>
      <c r="I244" s="37">
        <v>7408</v>
      </c>
      <c r="J244" s="37">
        <v>5870</v>
      </c>
      <c r="K244" s="59">
        <v>36.1</v>
      </c>
      <c r="L244" s="59">
        <v>33.700000000000003</v>
      </c>
      <c r="M244" s="5"/>
      <c r="N244" s="37">
        <v>153761</v>
      </c>
      <c r="O244" s="37">
        <v>13204</v>
      </c>
      <c r="P244" s="37">
        <v>74940</v>
      </c>
      <c r="Q244" s="37">
        <v>6246</v>
      </c>
      <c r="R244" s="37">
        <v>15592</v>
      </c>
      <c r="S244" s="37"/>
      <c r="T244" s="37"/>
      <c r="U244" s="37"/>
      <c r="V244" s="37"/>
      <c r="W244" s="37"/>
      <c r="X244" s="37"/>
      <c r="Y244" s="37"/>
      <c r="Z244" s="39"/>
      <c r="AA244" s="40"/>
      <c r="AB244" s="40"/>
      <c r="AD244" s="73">
        <f>SUM(N244:AB244)</f>
        <v>263743</v>
      </c>
      <c r="AE244" s="73">
        <f>SUM(N245:AB245)</f>
        <v>9536</v>
      </c>
      <c r="AF244" s="73">
        <f>SUM(N246:AB246)</f>
        <v>5189</v>
      </c>
      <c r="AH244" s="73">
        <f>AD244-B244</f>
        <v>0</v>
      </c>
      <c r="AI244" s="73">
        <f>AE244-C244</f>
        <v>0</v>
      </c>
      <c r="AJ244" s="73">
        <f>AF244-D244</f>
        <v>0</v>
      </c>
      <c r="AL244" s="74">
        <f>C244/B244*1000</f>
        <v>36.156409838365377</v>
      </c>
      <c r="AM244" s="74">
        <f>D244/B244*1000</f>
        <v>19.674455814941059</v>
      </c>
      <c r="AN244" s="79"/>
      <c r="AO244" s="74">
        <f>AL244-K244</f>
        <v>5.640983836537572E-2</v>
      </c>
      <c r="AP244" s="74">
        <f>AM244-L244</f>
        <v>-14.025544185058944</v>
      </c>
    </row>
    <row r="245" spans="1:42" customFormat="1">
      <c r="A245" s="9" t="s">
        <v>248</v>
      </c>
      <c r="B245" s="7"/>
      <c r="C245" s="7"/>
      <c r="D245" s="7"/>
      <c r="E245" s="7"/>
      <c r="F245" s="7"/>
      <c r="G245" s="7"/>
      <c r="H245" s="7"/>
      <c r="I245" s="7"/>
      <c r="J245" s="7"/>
      <c r="K245" s="53"/>
      <c r="L245" s="53"/>
      <c r="M245" s="7"/>
      <c r="N245" s="5">
        <v>5600</v>
      </c>
      <c r="O245" s="5">
        <v>392</v>
      </c>
      <c r="P245" s="5">
        <v>2249</v>
      </c>
      <c r="Q245" s="5">
        <v>215</v>
      </c>
      <c r="R245" s="5">
        <v>1080</v>
      </c>
      <c r="S245" s="10"/>
      <c r="T245" s="10"/>
      <c r="U245" s="5"/>
      <c r="V245" s="5"/>
      <c r="W245" s="5"/>
      <c r="X245" s="5"/>
      <c r="Y245" s="5"/>
      <c r="Z245" s="7"/>
      <c r="AA245" s="4"/>
      <c r="AB245" s="4"/>
    </row>
    <row r="246" spans="1:42" customFormat="1">
      <c r="A246" s="9" t="s">
        <v>249</v>
      </c>
      <c r="B246" s="7"/>
      <c r="C246" s="7"/>
      <c r="D246" s="7"/>
      <c r="E246" s="7"/>
      <c r="F246" s="7"/>
      <c r="G246" s="7"/>
      <c r="H246" s="7"/>
      <c r="I246" s="7"/>
      <c r="J246" s="7"/>
      <c r="K246" s="53"/>
      <c r="L246" s="53"/>
      <c r="M246" s="7"/>
      <c r="N246" s="5">
        <v>3162</v>
      </c>
      <c r="O246" s="5">
        <v>235</v>
      </c>
      <c r="P246" s="5">
        <v>1079</v>
      </c>
      <c r="Q246" s="5">
        <v>116</v>
      </c>
      <c r="R246" s="5">
        <v>597</v>
      </c>
      <c r="S246" s="10"/>
      <c r="T246" s="10"/>
      <c r="U246" s="5"/>
      <c r="V246" s="5"/>
      <c r="W246" s="5"/>
      <c r="X246" s="5"/>
      <c r="Y246" s="5"/>
      <c r="Z246" s="7"/>
      <c r="AA246" s="4"/>
      <c r="AB246" s="4"/>
    </row>
    <row r="247" spans="1:42" customFormat="1">
      <c r="A247" s="36" t="s">
        <v>250</v>
      </c>
      <c r="B247" s="37">
        <v>23565</v>
      </c>
      <c r="C247" s="37">
        <v>421</v>
      </c>
      <c r="D247" s="37">
        <v>461</v>
      </c>
      <c r="E247" s="38" t="s">
        <v>14</v>
      </c>
      <c r="F247" s="38" t="s">
        <v>14</v>
      </c>
      <c r="G247" s="38" t="s">
        <v>14</v>
      </c>
      <c r="H247" s="37">
        <v>16617</v>
      </c>
      <c r="I247" s="37">
        <v>361</v>
      </c>
      <c r="J247" s="37">
        <v>291</v>
      </c>
      <c r="K247" s="59">
        <v>17.5</v>
      </c>
      <c r="L247" s="59">
        <v>19.2</v>
      </c>
      <c r="M247" s="5"/>
      <c r="N247" s="37">
        <v>10183</v>
      </c>
      <c r="O247" s="37">
        <v>5834</v>
      </c>
      <c r="P247" s="37">
        <v>7548</v>
      </c>
      <c r="Q247" s="37"/>
      <c r="R247" s="37"/>
      <c r="S247" s="37"/>
      <c r="T247" s="37"/>
      <c r="U247" s="37"/>
      <c r="V247" s="37"/>
      <c r="W247" s="37"/>
      <c r="X247" s="37"/>
      <c r="Y247" s="37"/>
      <c r="Z247" s="39"/>
      <c r="AA247" s="40"/>
      <c r="AB247" s="40"/>
      <c r="AD247" s="73">
        <f>SUM(N247:AB247)</f>
        <v>23565</v>
      </c>
      <c r="AE247" s="73">
        <f>SUM(N248:AB248)</f>
        <v>421</v>
      </c>
      <c r="AF247" s="73">
        <f>SUM(N249:AB249)</f>
        <v>461</v>
      </c>
      <c r="AH247" s="73">
        <f>AD247-B247</f>
        <v>0</v>
      </c>
      <c r="AI247" s="73">
        <f>AE247-C247</f>
        <v>0</v>
      </c>
      <c r="AJ247" s="73">
        <f>AF247-D247</f>
        <v>0</v>
      </c>
      <c r="AL247" s="74">
        <f>C247/B247*1000</f>
        <v>17.865478463823468</v>
      </c>
      <c r="AM247" s="74">
        <f>D247/B247*1000</f>
        <v>19.562911096965841</v>
      </c>
      <c r="AN247" s="79"/>
      <c r="AO247" s="74">
        <f>AL247-K247</f>
        <v>0.36547846382346805</v>
      </c>
      <c r="AP247" s="74">
        <f>AM247-L247</f>
        <v>0.36291109696584201</v>
      </c>
    </row>
    <row r="248" spans="1:42" customFormat="1">
      <c r="A248" s="9" t="s">
        <v>251</v>
      </c>
      <c r="B248" s="7"/>
      <c r="C248" s="7"/>
      <c r="D248" s="7"/>
      <c r="E248" s="7"/>
      <c r="F248" s="7"/>
      <c r="G248" s="7"/>
      <c r="H248" s="7"/>
      <c r="I248" s="7"/>
      <c r="J248" s="7"/>
      <c r="K248" s="53"/>
      <c r="L248" s="53"/>
      <c r="M248" s="7"/>
      <c r="N248" s="5">
        <v>179</v>
      </c>
      <c r="O248" s="5">
        <v>78</v>
      </c>
      <c r="P248" s="5">
        <v>164</v>
      </c>
      <c r="Q248" s="10"/>
      <c r="R248" s="10"/>
      <c r="S248" s="10"/>
      <c r="T248" s="10"/>
      <c r="U248" s="5"/>
      <c r="V248" s="5"/>
      <c r="W248" s="5"/>
      <c r="X248" s="5"/>
      <c r="Y248" s="5"/>
      <c r="Z248" s="7"/>
      <c r="AA248" s="4"/>
      <c r="AB248" s="4"/>
    </row>
    <row r="249" spans="1:42" customFormat="1">
      <c r="A249" s="9" t="s">
        <v>252</v>
      </c>
      <c r="B249" s="7"/>
      <c r="C249" s="7"/>
      <c r="D249" s="7"/>
      <c r="E249" s="7"/>
      <c r="F249" s="7"/>
      <c r="G249" s="7"/>
      <c r="H249" s="7"/>
      <c r="I249" s="7"/>
      <c r="J249" s="7"/>
      <c r="K249" s="53"/>
      <c r="L249" s="53"/>
      <c r="M249" s="7"/>
      <c r="N249" s="5">
        <v>177</v>
      </c>
      <c r="O249" s="5">
        <v>100</v>
      </c>
      <c r="P249" s="5">
        <v>184</v>
      </c>
      <c r="Q249" s="10"/>
      <c r="R249" s="10"/>
      <c r="S249" s="10"/>
      <c r="T249" s="10"/>
      <c r="U249" s="5"/>
      <c r="V249" s="5"/>
      <c r="W249" s="5"/>
      <c r="X249" s="5"/>
      <c r="Y249" s="5"/>
      <c r="Z249" s="7"/>
      <c r="AA249" s="4"/>
      <c r="AB249" s="4"/>
    </row>
    <row r="250" spans="1:42" customFormat="1">
      <c r="A250" s="65" t="s">
        <v>253</v>
      </c>
      <c r="B250" s="41">
        <v>4856902</v>
      </c>
      <c r="C250" s="41">
        <v>225852</v>
      </c>
      <c r="D250" s="41">
        <v>209128</v>
      </c>
      <c r="E250" s="41"/>
      <c r="F250" s="41"/>
      <c r="G250" s="41"/>
      <c r="H250" s="41">
        <v>4632633</v>
      </c>
      <c r="I250" s="41">
        <v>206005</v>
      </c>
      <c r="J250" s="41">
        <v>147424</v>
      </c>
      <c r="K250" s="60">
        <v>47.5</v>
      </c>
      <c r="L250" s="60">
        <v>44.5</v>
      </c>
      <c r="M250" s="5"/>
      <c r="N250" s="41"/>
      <c r="O250" s="41"/>
      <c r="P250" s="41"/>
      <c r="Q250" s="41"/>
      <c r="R250" s="41"/>
      <c r="S250" s="41"/>
      <c r="T250" s="41"/>
      <c r="U250" s="42"/>
      <c r="V250" s="42"/>
      <c r="W250" s="42"/>
      <c r="X250" s="42"/>
      <c r="Y250" s="42"/>
      <c r="Z250" s="42"/>
      <c r="AA250" s="42"/>
      <c r="AB250" s="42"/>
      <c r="AD250" s="83">
        <f>SUM(AD225:AD249)</f>
        <v>4856899</v>
      </c>
      <c r="AE250" s="83">
        <f>SUM(AE225:AE249)</f>
        <v>225352</v>
      </c>
      <c r="AF250" s="83">
        <f>SUM(AF225:AF249)</f>
        <v>209128</v>
      </c>
      <c r="AH250" s="83">
        <f>B250-AD250</f>
        <v>3</v>
      </c>
      <c r="AI250" s="83">
        <f>C250-AE250</f>
        <v>500</v>
      </c>
      <c r="AJ250" s="83">
        <f>D250-AF250</f>
        <v>0</v>
      </c>
      <c r="AL250" s="82">
        <f>C250/B250*1000</f>
        <v>46.501247091252822</v>
      </c>
      <c r="AM250" s="82">
        <f>D250/B250*1000</f>
        <v>43.057899871152429</v>
      </c>
      <c r="AN250" s="82"/>
      <c r="AO250" s="82">
        <f>AL250-K250</f>
        <v>-0.99875290874717848</v>
      </c>
      <c r="AP250" s="82">
        <f>AM250-L250</f>
        <v>-1.4421001288475708</v>
      </c>
    </row>
    <row r="251" spans="1:42">
      <c r="A251" s="43" t="s">
        <v>254</v>
      </c>
      <c r="B251" s="44">
        <v>523484</v>
      </c>
      <c r="C251" s="44">
        <v>14752</v>
      </c>
      <c r="D251" s="44">
        <v>14311</v>
      </c>
      <c r="E251" s="45" t="s">
        <v>14</v>
      </c>
      <c r="F251" s="45" t="s">
        <v>14</v>
      </c>
      <c r="G251" s="45" t="s">
        <v>14</v>
      </c>
      <c r="H251" s="44">
        <v>517863</v>
      </c>
      <c r="I251" s="44">
        <v>15575</v>
      </c>
      <c r="J251" s="44">
        <v>11426</v>
      </c>
      <c r="K251" s="61">
        <v>28.2</v>
      </c>
      <c r="L251" s="61">
        <v>27.3</v>
      </c>
      <c r="M251" s="6"/>
      <c r="N251" s="45" t="s">
        <v>14</v>
      </c>
      <c r="O251" s="45" t="s">
        <v>14</v>
      </c>
      <c r="P251" s="45" t="s">
        <v>14</v>
      </c>
      <c r="Q251" s="45" t="s">
        <v>14</v>
      </c>
      <c r="R251" s="45" t="s">
        <v>14</v>
      </c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D251" s="77">
        <f>B251</f>
        <v>523484</v>
      </c>
      <c r="AE251" s="77">
        <f>C251</f>
        <v>14752</v>
      </c>
      <c r="AF251" s="77">
        <f>D251</f>
        <v>14311</v>
      </c>
      <c r="AH251" s="73">
        <f>AD251-B251</f>
        <v>0</v>
      </c>
      <c r="AI251" s="73">
        <f>AE251-C251</f>
        <v>0</v>
      </c>
      <c r="AJ251" s="73">
        <f>AF251-D251</f>
        <v>0</v>
      </c>
      <c r="AL251" s="75"/>
      <c r="AM251" s="75"/>
      <c r="AO251" s="75"/>
      <c r="AP251" s="75"/>
    </row>
    <row r="252" spans="1:42">
      <c r="A252" s="8" t="s">
        <v>255</v>
      </c>
      <c r="B252" s="3"/>
      <c r="C252" s="3"/>
      <c r="D252" s="3"/>
      <c r="E252" s="3"/>
      <c r="F252" s="3"/>
      <c r="G252" s="3"/>
      <c r="H252" s="3"/>
      <c r="I252" s="3"/>
      <c r="J252" s="3"/>
      <c r="K252" s="49"/>
      <c r="L252" s="49"/>
      <c r="M252" s="6"/>
      <c r="N252" s="11" t="s">
        <v>14</v>
      </c>
      <c r="O252" s="11" t="s">
        <v>14</v>
      </c>
      <c r="P252" s="11" t="s">
        <v>14</v>
      </c>
      <c r="Q252" s="11" t="s">
        <v>14</v>
      </c>
      <c r="R252" s="11" t="s">
        <v>14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>
      <c r="A253" s="8" t="s">
        <v>256</v>
      </c>
      <c r="B253" s="3"/>
      <c r="C253" s="3"/>
      <c r="D253" s="3"/>
      <c r="E253" s="3"/>
      <c r="F253" s="3"/>
      <c r="G253" s="3"/>
      <c r="H253" s="3"/>
      <c r="I253" s="3"/>
      <c r="J253" s="3"/>
      <c r="K253" s="49"/>
      <c r="L253" s="49"/>
      <c r="M253" s="6"/>
      <c r="N253" s="11" t="s">
        <v>14</v>
      </c>
      <c r="O253" s="11" t="s">
        <v>14</v>
      </c>
      <c r="P253" s="11" t="s">
        <v>14</v>
      </c>
      <c r="Q253" s="11" t="s">
        <v>14</v>
      </c>
      <c r="R253" s="11" t="s">
        <v>14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42">
      <c r="A254" s="43" t="s">
        <v>257</v>
      </c>
      <c r="B254" s="44">
        <v>700000</v>
      </c>
      <c r="C254" s="44">
        <v>1954</v>
      </c>
      <c r="D254" s="44">
        <v>1213</v>
      </c>
      <c r="E254" s="45" t="s">
        <v>14</v>
      </c>
      <c r="F254" s="45" t="s">
        <v>14</v>
      </c>
      <c r="G254" s="45" t="s">
        <v>14</v>
      </c>
      <c r="H254" s="45" t="s">
        <v>14</v>
      </c>
      <c r="I254" s="45" t="s">
        <v>14</v>
      </c>
      <c r="J254" s="45" t="s">
        <v>14</v>
      </c>
      <c r="K254" s="62" t="s">
        <v>14</v>
      </c>
      <c r="L254" s="62" t="s">
        <v>14</v>
      </c>
      <c r="M254" s="10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D254" s="77">
        <f>B254</f>
        <v>700000</v>
      </c>
      <c r="AE254" s="77">
        <f>C254</f>
        <v>1954</v>
      </c>
      <c r="AF254" s="77">
        <f>D254</f>
        <v>1213</v>
      </c>
      <c r="AH254" s="73">
        <f t="shared" ref="AH254:AH255" si="3">AD254-B254</f>
        <v>0</v>
      </c>
      <c r="AI254" s="73">
        <f t="shared" ref="AI254" si="4">AE254-C254</f>
        <v>0</v>
      </c>
      <c r="AJ254" s="73">
        <f t="shared" ref="AJ254" si="5">AF254-D254</f>
        <v>0</v>
      </c>
      <c r="AL254" s="75"/>
      <c r="AM254" s="75"/>
      <c r="AO254" s="75"/>
      <c r="AP254" s="75"/>
    </row>
    <row r="255" spans="1:42">
      <c r="A255" s="43" t="s">
        <v>258</v>
      </c>
      <c r="B255" s="44">
        <v>749859</v>
      </c>
      <c r="C255" s="45" t="s">
        <v>14</v>
      </c>
      <c r="D255" s="45" t="s">
        <v>14</v>
      </c>
      <c r="E255" s="44">
        <v>106665</v>
      </c>
      <c r="F255" s="45" t="s">
        <v>14</v>
      </c>
      <c r="G255" s="45" t="s">
        <v>14</v>
      </c>
      <c r="H255" s="44">
        <v>726243</v>
      </c>
      <c r="I255" s="45" t="s">
        <v>14</v>
      </c>
      <c r="J255" s="45" t="s">
        <v>14</v>
      </c>
      <c r="K255" s="62" t="s">
        <v>14</v>
      </c>
      <c r="L255" s="62" t="s">
        <v>14</v>
      </c>
      <c r="M255" s="10"/>
      <c r="N255" s="44">
        <v>298715</v>
      </c>
      <c r="O255" s="44">
        <v>157283</v>
      </c>
      <c r="P255" s="44">
        <v>170414</v>
      </c>
      <c r="Q255" s="44">
        <v>123437</v>
      </c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D255" s="77">
        <f>B255</f>
        <v>749859</v>
      </c>
      <c r="AE255" s="77"/>
      <c r="AF255" s="77"/>
      <c r="AH255" s="73">
        <f t="shared" si="3"/>
        <v>0</v>
      </c>
      <c r="AI255" s="73"/>
      <c r="AJ255" s="73"/>
      <c r="AL255" s="75"/>
      <c r="AM255" s="75"/>
      <c r="AO255" s="75"/>
      <c r="AP255" s="75"/>
    </row>
    <row r="256" spans="1:42">
      <c r="A256" s="8" t="s">
        <v>259</v>
      </c>
      <c r="B256" s="3"/>
      <c r="C256" s="3"/>
      <c r="D256" s="3"/>
      <c r="E256" s="3"/>
      <c r="F256" s="3"/>
      <c r="G256" s="3"/>
      <c r="H256" s="3"/>
      <c r="I256" s="3"/>
      <c r="J256" s="3"/>
      <c r="K256" s="49"/>
      <c r="L256" s="49"/>
      <c r="M256" s="6"/>
      <c r="N256" s="11" t="s">
        <v>14</v>
      </c>
      <c r="O256" s="11" t="s">
        <v>14</v>
      </c>
      <c r="P256" s="11" t="s">
        <v>14</v>
      </c>
      <c r="Q256" s="11" t="s">
        <v>14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>
      <c r="A257" s="8" t="s">
        <v>260</v>
      </c>
      <c r="B257" s="3"/>
      <c r="C257" s="3"/>
      <c r="D257" s="3"/>
      <c r="E257" s="3"/>
      <c r="F257" s="3"/>
      <c r="G257" s="3"/>
      <c r="H257" s="3"/>
      <c r="I257" s="3"/>
      <c r="J257" s="3"/>
      <c r="K257" s="49"/>
      <c r="L257" s="49"/>
      <c r="M257" s="6"/>
      <c r="N257" s="11" t="s">
        <v>14</v>
      </c>
      <c r="O257" s="11" t="s">
        <v>14</v>
      </c>
      <c r="P257" s="11" t="s">
        <v>14</v>
      </c>
      <c r="Q257" s="11" t="s">
        <v>14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42">
      <c r="A258" s="43" t="s">
        <v>261</v>
      </c>
      <c r="B258" s="44">
        <v>611305</v>
      </c>
      <c r="C258" s="44">
        <v>10232</v>
      </c>
      <c r="D258" s="44">
        <v>8576</v>
      </c>
      <c r="E258" s="45" t="s">
        <v>14</v>
      </c>
      <c r="F258" s="45" t="s">
        <v>14</v>
      </c>
      <c r="G258" s="45" t="s">
        <v>14</v>
      </c>
      <c r="H258" s="44">
        <v>582263</v>
      </c>
      <c r="I258" s="44">
        <v>10055</v>
      </c>
      <c r="J258" s="44">
        <v>8496</v>
      </c>
      <c r="K258" s="67" t="s">
        <v>14</v>
      </c>
      <c r="L258" s="67" t="s">
        <v>14</v>
      </c>
      <c r="M258" s="6"/>
      <c r="N258" s="45" t="s">
        <v>14</v>
      </c>
      <c r="O258" s="45" t="s">
        <v>14</v>
      </c>
      <c r="P258" s="45" t="s">
        <v>14</v>
      </c>
      <c r="Q258" s="45" t="s">
        <v>14</v>
      </c>
      <c r="R258" s="45" t="s">
        <v>14</v>
      </c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D258" s="77">
        <f>B258</f>
        <v>611305</v>
      </c>
      <c r="AE258" s="77">
        <f>C258</f>
        <v>10232</v>
      </c>
      <c r="AF258" s="77">
        <f>D258</f>
        <v>8576</v>
      </c>
      <c r="AH258" s="73">
        <f>AD258-B258</f>
        <v>0</v>
      </c>
      <c r="AI258" s="73">
        <f>AE258-C258</f>
        <v>0</v>
      </c>
      <c r="AJ258" s="73">
        <f>AF258-D258</f>
        <v>0</v>
      </c>
      <c r="AL258" s="75"/>
      <c r="AM258" s="75"/>
      <c r="AO258" s="75"/>
      <c r="AP258" s="75"/>
    </row>
    <row r="259" spans="1:42">
      <c r="A259" s="8" t="s">
        <v>262</v>
      </c>
      <c r="B259" s="3"/>
      <c r="C259" s="3"/>
      <c r="D259" s="3"/>
      <c r="E259" s="3"/>
      <c r="F259" s="3"/>
      <c r="G259" s="3"/>
      <c r="H259" s="3"/>
      <c r="I259" s="3"/>
      <c r="J259" s="3"/>
      <c r="K259" s="49"/>
      <c r="L259" s="49"/>
      <c r="M259" s="6"/>
      <c r="N259" s="11" t="s">
        <v>14</v>
      </c>
      <c r="O259" s="11" t="s">
        <v>14</v>
      </c>
      <c r="P259" s="11" t="s">
        <v>14</v>
      </c>
      <c r="Q259" s="11" t="s">
        <v>14</v>
      </c>
      <c r="R259" s="11" t="s">
        <v>14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42">
      <c r="A260" s="8" t="s">
        <v>263</v>
      </c>
      <c r="B260" s="3"/>
      <c r="C260" s="3"/>
      <c r="D260" s="3"/>
      <c r="E260" s="3"/>
      <c r="F260" s="3"/>
      <c r="G260" s="3"/>
      <c r="H260" s="3"/>
      <c r="I260" s="3"/>
      <c r="J260" s="3"/>
      <c r="K260" s="49"/>
      <c r="L260" s="49"/>
      <c r="M260" s="6"/>
      <c r="N260" s="11" t="s">
        <v>14</v>
      </c>
      <c r="O260" s="11" t="s">
        <v>14</v>
      </c>
      <c r="P260" s="11" t="s">
        <v>14</v>
      </c>
      <c r="Q260" s="11" t="s">
        <v>14</v>
      </c>
      <c r="R260" s="11" t="s">
        <v>14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42">
      <c r="A261" s="43" t="s">
        <v>264</v>
      </c>
      <c r="B261" s="44">
        <v>681434</v>
      </c>
      <c r="C261" s="44">
        <v>22860</v>
      </c>
      <c r="D261" s="44">
        <v>13735</v>
      </c>
      <c r="E261" s="45" t="s">
        <v>14</v>
      </c>
      <c r="F261" s="45" t="s">
        <v>14</v>
      </c>
      <c r="G261" s="45" t="s">
        <v>14</v>
      </c>
      <c r="H261" s="44">
        <v>651672</v>
      </c>
      <c r="I261" s="44">
        <v>13502</v>
      </c>
      <c r="J261" s="44">
        <v>9468</v>
      </c>
      <c r="K261" s="61">
        <v>33.5</v>
      </c>
      <c r="L261" s="61">
        <v>20.2</v>
      </c>
      <c r="M261" s="6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D261" s="77">
        <f>B261</f>
        <v>681434</v>
      </c>
      <c r="AE261" s="77">
        <f>C261</f>
        <v>22860</v>
      </c>
      <c r="AF261" s="77">
        <f>D261</f>
        <v>13735</v>
      </c>
      <c r="AG261" s="81"/>
      <c r="AH261" s="73">
        <f>AD261-B261</f>
        <v>0</v>
      </c>
      <c r="AI261" s="73">
        <f>AE261-C261</f>
        <v>0</v>
      </c>
      <c r="AJ261" s="73">
        <f>AF261-D261</f>
        <v>0</v>
      </c>
      <c r="AK261" s="81"/>
      <c r="AL261" s="74">
        <f>C261/B261*1000</f>
        <v>33.546902561363247</v>
      </c>
      <c r="AM261" s="74">
        <f>D261/B261*1000</f>
        <v>20.156023914274897</v>
      </c>
      <c r="AN261" s="79"/>
      <c r="AO261" s="74">
        <f>AL261-K261</f>
        <v>4.6902561363246775E-2</v>
      </c>
      <c r="AP261" s="74">
        <f>AM261-L261</f>
        <v>-4.3976085725102365E-2</v>
      </c>
    </row>
    <row r="262" spans="1:42">
      <c r="A262" s="43" t="s">
        <v>265</v>
      </c>
      <c r="B262" s="44">
        <v>1286129</v>
      </c>
      <c r="C262" s="45" t="s">
        <v>14</v>
      </c>
      <c r="D262" s="45" t="s">
        <v>14</v>
      </c>
      <c r="E262" s="44">
        <v>123186</v>
      </c>
      <c r="F262" s="45" t="s">
        <v>14</v>
      </c>
      <c r="G262" s="45" t="s">
        <v>14</v>
      </c>
      <c r="H262" s="44">
        <v>1130204</v>
      </c>
      <c r="I262" s="45" t="s">
        <v>14</v>
      </c>
      <c r="J262" s="45" t="s">
        <v>14</v>
      </c>
      <c r="K262" s="62" t="s">
        <v>14</v>
      </c>
      <c r="L262" s="62" t="s">
        <v>14</v>
      </c>
      <c r="M262" s="10"/>
      <c r="N262" s="44">
        <v>415422</v>
      </c>
      <c r="O262" s="44">
        <v>198500</v>
      </c>
      <c r="P262" s="44">
        <v>133756</v>
      </c>
      <c r="Q262" s="44">
        <v>110429</v>
      </c>
      <c r="R262" s="44">
        <v>255598</v>
      </c>
      <c r="S262" s="44">
        <v>172424</v>
      </c>
      <c r="T262" s="44"/>
      <c r="U262" s="44"/>
      <c r="V262" s="44"/>
      <c r="W262" s="44"/>
      <c r="X262" s="44"/>
      <c r="Y262" s="44"/>
      <c r="Z262" s="44"/>
      <c r="AA262" s="44"/>
      <c r="AB262" s="44"/>
      <c r="AD262" s="77">
        <f>B262</f>
        <v>1286129</v>
      </c>
      <c r="AE262" s="77"/>
      <c r="AF262" s="77"/>
      <c r="AG262" s="80"/>
      <c r="AH262" s="73">
        <f>AD262-B262</f>
        <v>0</v>
      </c>
      <c r="AI262" s="73"/>
      <c r="AJ262" s="73"/>
      <c r="AK262" s="81"/>
      <c r="AL262" s="76"/>
      <c r="AM262" s="76"/>
      <c r="AN262" s="81"/>
      <c r="AO262" s="76"/>
      <c r="AP262" s="76"/>
    </row>
    <row r="263" spans="1:42">
      <c r="A263" s="8" t="s">
        <v>266</v>
      </c>
      <c r="B263" s="3"/>
      <c r="C263" s="3"/>
      <c r="D263" s="3"/>
      <c r="E263" s="3"/>
      <c r="F263" s="3"/>
      <c r="G263" s="3"/>
      <c r="H263" s="3"/>
      <c r="I263" s="3"/>
      <c r="J263" s="3"/>
      <c r="K263" s="49"/>
      <c r="L263" s="49"/>
      <c r="M263" s="6"/>
      <c r="N263" s="11" t="s">
        <v>14</v>
      </c>
      <c r="O263" s="11" t="s">
        <v>14</v>
      </c>
      <c r="P263" s="11" t="s">
        <v>14</v>
      </c>
      <c r="Q263" s="11" t="s">
        <v>14</v>
      </c>
      <c r="R263" s="11" t="s">
        <v>14</v>
      </c>
      <c r="S263" s="11" t="s">
        <v>14</v>
      </c>
      <c r="T263" s="3"/>
      <c r="U263" s="3"/>
      <c r="V263" s="3"/>
      <c r="W263" s="3"/>
      <c r="X263" s="3"/>
      <c r="Y263" s="3"/>
      <c r="Z263" s="3"/>
      <c r="AA263" s="3"/>
      <c r="AB263" s="3"/>
    </row>
    <row r="264" spans="1:42">
      <c r="A264" s="8" t="s">
        <v>267</v>
      </c>
      <c r="B264" s="3"/>
      <c r="C264" s="3"/>
      <c r="D264" s="3"/>
      <c r="E264" s="3"/>
      <c r="F264" s="3"/>
      <c r="G264" s="3"/>
      <c r="H264" s="3"/>
      <c r="I264" s="3"/>
      <c r="J264" s="3"/>
      <c r="K264" s="49"/>
      <c r="L264" s="49"/>
      <c r="M264" s="6"/>
      <c r="N264" s="11" t="s">
        <v>14</v>
      </c>
      <c r="O264" s="11" t="s">
        <v>14</v>
      </c>
      <c r="P264" s="11" t="s">
        <v>14</v>
      </c>
      <c r="Q264" s="11" t="s">
        <v>14</v>
      </c>
      <c r="R264" s="11" t="s">
        <v>14</v>
      </c>
      <c r="S264" s="11" t="s">
        <v>14</v>
      </c>
      <c r="T264" s="3"/>
      <c r="U264" s="3"/>
      <c r="V264" s="3"/>
      <c r="W264" s="3"/>
      <c r="X264" s="3"/>
      <c r="Y264" s="3"/>
      <c r="Z264" s="3"/>
      <c r="AA264" s="3"/>
      <c r="AB264" s="3"/>
    </row>
    <row r="265" spans="1:42">
      <c r="A265" s="43" t="s">
        <v>268</v>
      </c>
      <c r="B265" s="44">
        <v>378979</v>
      </c>
      <c r="C265" s="44">
        <v>10398</v>
      </c>
      <c r="D265" s="44">
        <v>6426</v>
      </c>
      <c r="E265" s="45" t="s">
        <v>14</v>
      </c>
      <c r="F265" s="45" t="s">
        <v>14</v>
      </c>
      <c r="G265" s="45" t="s">
        <v>14</v>
      </c>
      <c r="H265" s="44">
        <v>386163</v>
      </c>
      <c r="I265" s="45" t="s">
        <v>14</v>
      </c>
      <c r="J265" s="45" t="s">
        <v>14</v>
      </c>
      <c r="K265" s="62" t="s">
        <v>14</v>
      </c>
      <c r="L265" s="62" t="s">
        <v>14</v>
      </c>
      <c r="M265" s="10"/>
      <c r="N265" s="44">
        <v>73376</v>
      </c>
      <c r="O265" s="44">
        <v>87886</v>
      </c>
      <c r="P265" s="44">
        <v>86366</v>
      </c>
      <c r="Q265" s="44">
        <v>131351</v>
      </c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D265" s="73">
        <f>SUM(N265:AB265)</f>
        <v>378979</v>
      </c>
      <c r="AE265" s="73">
        <f>SUM(N266:AB266)</f>
        <v>10398</v>
      </c>
      <c r="AF265" s="73">
        <f>SUM(N267:AB267)</f>
        <v>6426</v>
      </c>
      <c r="AG265"/>
      <c r="AH265" s="73">
        <f>AD265-B265</f>
        <v>0</v>
      </c>
      <c r="AI265" s="73">
        <f>AE265-C265</f>
        <v>0</v>
      </c>
      <c r="AJ265" s="73">
        <f>AF265-D265</f>
        <v>0</v>
      </c>
      <c r="AK265"/>
      <c r="AL265" s="74">
        <f>C265/B265*1000</f>
        <v>27.43687644961858</v>
      </c>
      <c r="AM265" s="74">
        <f>D265/B265*1000</f>
        <v>16.956084637935081</v>
      </c>
      <c r="AN265" s="79"/>
      <c r="AO265" s="74"/>
      <c r="AP265" s="74"/>
    </row>
    <row r="266" spans="1:42">
      <c r="A266" s="8" t="s">
        <v>269</v>
      </c>
      <c r="B266" s="3"/>
      <c r="C266" s="3"/>
      <c r="D266" s="3"/>
      <c r="E266" s="3"/>
      <c r="F266" s="3"/>
      <c r="G266" s="3"/>
      <c r="H266" s="3"/>
      <c r="I266" s="3"/>
      <c r="J266" s="3"/>
      <c r="K266" s="49"/>
      <c r="L266" s="49"/>
      <c r="M266" s="6"/>
      <c r="N266" s="3">
        <v>1356</v>
      </c>
      <c r="O266" s="11" t="s">
        <v>14</v>
      </c>
      <c r="P266" s="3">
        <v>2168</v>
      </c>
      <c r="Q266" s="3">
        <v>6874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42">
      <c r="A267" s="8" t="s">
        <v>270</v>
      </c>
      <c r="B267" s="3"/>
      <c r="C267" s="3"/>
      <c r="D267" s="3"/>
      <c r="E267" s="3"/>
      <c r="F267" s="3"/>
      <c r="G267" s="3"/>
      <c r="H267" s="3"/>
      <c r="I267" s="3"/>
      <c r="J267" s="3"/>
      <c r="K267" s="49"/>
      <c r="L267" s="49"/>
      <c r="M267" s="6"/>
      <c r="N267" s="3">
        <v>907</v>
      </c>
      <c r="O267" s="11" t="s">
        <v>14</v>
      </c>
      <c r="P267" s="3">
        <v>1648</v>
      </c>
      <c r="Q267" s="3">
        <v>3871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42">
      <c r="A268" s="43" t="s">
        <v>271</v>
      </c>
      <c r="B268" s="44">
        <v>538960</v>
      </c>
      <c r="C268" s="44">
        <v>8473</v>
      </c>
      <c r="D268" s="44">
        <v>8844</v>
      </c>
      <c r="E268" s="45" t="s">
        <v>14</v>
      </c>
      <c r="F268" s="45" t="s">
        <v>14</v>
      </c>
      <c r="G268" s="45" t="s">
        <v>14</v>
      </c>
      <c r="H268" s="44">
        <v>560211</v>
      </c>
      <c r="I268" s="45" t="s">
        <v>14</v>
      </c>
      <c r="J268" s="45" t="s">
        <v>14</v>
      </c>
      <c r="K268" s="62" t="s">
        <v>14</v>
      </c>
      <c r="L268" s="62" t="s">
        <v>14</v>
      </c>
      <c r="M268" s="10"/>
      <c r="N268" s="44">
        <v>217760</v>
      </c>
      <c r="O268" s="44">
        <v>98276</v>
      </c>
      <c r="P268" s="44">
        <v>135000</v>
      </c>
      <c r="Q268" s="44">
        <v>87924</v>
      </c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D268" s="73">
        <f>SUM(N268:AB268)</f>
        <v>538960</v>
      </c>
      <c r="AE268" s="73">
        <f>SUM(N269:AB269)</f>
        <v>8473</v>
      </c>
      <c r="AF268" s="73">
        <f>SUM(N270:AB270)</f>
        <v>8844</v>
      </c>
      <c r="AG268"/>
      <c r="AH268" s="73">
        <f>AD268-B268</f>
        <v>0</v>
      </c>
      <c r="AI268" s="73">
        <f>AE268-C268</f>
        <v>0</v>
      </c>
      <c r="AJ268" s="73">
        <f>AF268-D268</f>
        <v>0</v>
      </c>
      <c r="AK268"/>
      <c r="AL268" s="74">
        <f>C268/B268*1000</f>
        <v>15.721018257384593</v>
      </c>
      <c r="AM268" s="74">
        <f>D268/B268*1000</f>
        <v>16.409381030132106</v>
      </c>
      <c r="AN268" s="79"/>
      <c r="AO268" s="74"/>
      <c r="AP268" s="74"/>
    </row>
    <row r="269" spans="1:42">
      <c r="A269" s="8" t="s">
        <v>272</v>
      </c>
      <c r="B269" s="3"/>
      <c r="C269" s="3"/>
      <c r="D269" s="3"/>
      <c r="E269" s="3"/>
      <c r="F269" s="3"/>
      <c r="G269" s="3"/>
      <c r="H269" s="3"/>
      <c r="I269" s="3"/>
      <c r="J269" s="3"/>
      <c r="K269" s="49"/>
      <c r="L269" s="49"/>
      <c r="M269" s="6"/>
      <c r="N269" s="3">
        <v>5775</v>
      </c>
      <c r="O269" s="3">
        <v>761</v>
      </c>
      <c r="P269" s="3">
        <v>1902</v>
      </c>
      <c r="Q269" s="3">
        <v>35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42">
      <c r="A270" s="8" t="s">
        <v>273</v>
      </c>
      <c r="B270" s="3"/>
      <c r="C270" s="3"/>
      <c r="D270" s="3"/>
      <c r="E270" s="3"/>
      <c r="F270" s="3"/>
      <c r="G270" s="3"/>
      <c r="H270" s="3"/>
      <c r="I270" s="3"/>
      <c r="J270" s="3"/>
      <c r="K270" s="49"/>
      <c r="L270" s="49"/>
      <c r="M270" s="6"/>
      <c r="N270" s="3">
        <v>5687</v>
      </c>
      <c r="O270" s="3">
        <v>1438</v>
      </c>
      <c r="P270" s="3">
        <v>1695</v>
      </c>
      <c r="Q270" s="3">
        <v>24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42">
      <c r="A271" s="43" t="s">
        <v>274</v>
      </c>
      <c r="B271" s="44">
        <v>846040</v>
      </c>
      <c r="C271" s="44">
        <v>9316</v>
      </c>
      <c r="D271" s="44">
        <v>6388</v>
      </c>
      <c r="E271" s="44">
        <v>137142</v>
      </c>
      <c r="F271" s="44">
        <v>2096</v>
      </c>
      <c r="G271" s="44">
        <v>1753</v>
      </c>
      <c r="H271" s="44">
        <v>799557</v>
      </c>
      <c r="I271" s="45" t="s">
        <v>14</v>
      </c>
      <c r="J271" s="45" t="s">
        <v>14</v>
      </c>
      <c r="K271" s="62" t="s">
        <v>14</v>
      </c>
      <c r="L271" s="62" t="s">
        <v>14</v>
      </c>
      <c r="M271" s="10"/>
      <c r="N271" s="44">
        <v>203192</v>
      </c>
      <c r="O271" s="44">
        <v>145168</v>
      </c>
      <c r="P271" s="44">
        <v>254000</v>
      </c>
      <c r="Q271" s="44">
        <v>197209</v>
      </c>
      <c r="R271" s="44">
        <v>46471</v>
      </c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D271" s="73">
        <f>SUM(N271:AB271)</f>
        <v>846040</v>
      </c>
      <c r="AE271" s="73">
        <f>C271</f>
        <v>9316</v>
      </c>
      <c r="AF271" s="73">
        <f>D271</f>
        <v>6388</v>
      </c>
      <c r="AH271" s="73">
        <f>AD271-B271</f>
        <v>0</v>
      </c>
      <c r="AI271" s="73"/>
      <c r="AJ271" s="73"/>
      <c r="AL271" s="75"/>
      <c r="AM271" s="75"/>
      <c r="AO271" s="75"/>
      <c r="AP271" s="75"/>
    </row>
    <row r="272" spans="1:42">
      <c r="A272" s="8" t="s">
        <v>275</v>
      </c>
      <c r="B272" s="3"/>
      <c r="C272" s="3"/>
      <c r="D272" s="3"/>
      <c r="E272" s="3"/>
      <c r="F272" s="3"/>
      <c r="G272" s="3"/>
      <c r="H272" s="3"/>
      <c r="I272" s="3"/>
      <c r="J272" s="3"/>
      <c r="K272" s="49"/>
      <c r="L272" s="49"/>
      <c r="M272" s="6"/>
      <c r="N272" s="11" t="s">
        <v>14</v>
      </c>
      <c r="O272" s="11" t="s">
        <v>14</v>
      </c>
      <c r="P272" s="11" t="s">
        <v>14</v>
      </c>
      <c r="Q272" s="11" t="s">
        <v>14</v>
      </c>
      <c r="R272" s="11" t="s">
        <v>14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42">
      <c r="A273" s="8" t="s">
        <v>276</v>
      </c>
      <c r="B273" s="3"/>
      <c r="C273" s="3"/>
      <c r="D273" s="3"/>
      <c r="E273" s="3"/>
      <c r="F273" s="3"/>
      <c r="G273" s="3"/>
      <c r="H273" s="3"/>
      <c r="I273" s="3"/>
      <c r="J273" s="3"/>
      <c r="K273" s="49"/>
      <c r="L273" s="49"/>
      <c r="M273" s="6"/>
      <c r="N273" s="11" t="s">
        <v>14</v>
      </c>
      <c r="O273" s="11" t="s">
        <v>14</v>
      </c>
      <c r="P273" s="11" t="s">
        <v>14</v>
      </c>
      <c r="Q273" s="11" t="s">
        <v>14</v>
      </c>
      <c r="R273" s="11" t="s">
        <v>14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42">
      <c r="A274" s="46" t="s">
        <v>277</v>
      </c>
      <c r="B274" s="47">
        <v>6316190</v>
      </c>
      <c r="C274" s="47">
        <v>77985</v>
      </c>
      <c r="D274" s="47">
        <v>59493</v>
      </c>
      <c r="E274" s="47"/>
      <c r="F274" s="47"/>
      <c r="G274" s="47"/>
      <c r="H274" s="47">
        <v>6036554</v>
      </c>
      <c r="I274" s="48" t="s">
        <v>14</v>
      </c>
      <c r="J274" s="48" t="s">
        <v>14</v>
      </c>
      <c r="K274" s="64">
        <v>31.2</v>
      </c>
      <c r="L274" s="64">
        <v>23.3</v>
      </c>
      <c r="M274" s="10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D274" s="86">
        <f>SUM(AD251:AD273)</f>
        <v>6316190</v>
      </c>
      <c r="AE274" s="86">
        <f>SUM(AE251:AE273)</f>
        <v>77985</v>
      </c>
      <c r="AF274" s="86">
        <f>SUM(AF251:AF273)</f>
        <v>59493</v>
      </c>
      <c r="AH274" s="83">
        <f t="shared" ref="AH274:AJ275" si="6">B274-AD274</f>
        <v>0</v>
      </c>
      <c r="AI274" s="83">
        <f t="shared" si="6"/>
        <v>0</v>
      </c>
      <c r="AJ274" s="83">
        <f t="shared" si="6"/>
        <v>0</v>
      </c>
      <c r="AK274"/>
      <c r="AL274" s="82">
        <f>C274/B274*1000</f>
        <v>12.346842004436219</v>
      </c>
      <c r="AM274" s="82">
        <f>D274/B274*1000</f>
        <v>9.4191276703202416</v>
      </c>
      <c r="AN274" s="82"/>
      <c r="AO274" s="82">
        <f>AL274-K274</f>
        <v>-18.85315799556378</v>
      </c>
      <c r="AP274" s="82">
        <f>AM274-L274</f>
        <v>-13.880872329679759</v>
      </c>
    </row>
    <row r="275" spans="1:42">
      <c r="A275" s="66" t="s">
        <v>278</v>
      </c>
      <c r="B275" s="47">
        <v>119288804</v>
      </c>
      <c r="C275" s="47">
        <v>4976386</v>
      </c>
      <c r="D275" s="47">
        <v>4403901</v>
      </c>
      <c r="E275" s="47"/>
      <c r="F275" s="47"/>
      <c r="G275" s="47"/>
      <c r="H275" s="47">
        <v>114446932</v>
      </c>
      <c r="I275" s="47">
        <v>5144683</v>
      </c>
      <c r="J275" s="47">
        <v>3553400</v>
      </c>
      <c r="K275" s="63">
        <v>43.2</v>
      </c>
      <c r="L275" s="63">
        <v>38.200000000000003</v>
      </c>
      <c r="M275" s="6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D275" s="84">
        <f>SUM(AD195, AD224, AD250, AD274)</f>
        <v>118969526</v>
      </c>
      <c r="AE275" s="84">
        <f>SUM(AE195, AE224, AE250, AE274)</f>
        <v>4974186</v>
      </c>
      <c r="AF275" s="84">
        <f>SUM(AF195, AF224, AF250, AF274)</f>
        <v>4402767</v>
      </c>
      <c r="AH275" s="83">
        <f t="shared" si="6"/>
        <v>319278</v>
      </c>
      <c r="AI275" s="83">
        <f t="shared" si="6"/>
        <v>2200</v>
      </c>
      <c r="AJ275" s="83">
        <f t="shared" si="6"/>
        <v>1134</v>
      </c>
      <c r="AK275"/>
      <c r="AL275" s="82">
        <f>C275/B275*1000</f>
        <v>41.717125439534122</v>
      </c>
      <c r="AM275" s="82">
        <f>D275/B275*1000</f>
        <v>36.917974297068149</v>
      </c>
      <c r="AN275" s="82"/>
      <c r="AO275" s="82">
        <f>AL275-K275</f>
        <v>-1.4828745604658806</v>
      </c>
      <c r="AP275" s="82">
        <f>AM275-L275</f>
        <v>-1.282025702931854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2026-07-18T04:03:00Z</dcterms:modified>
</cp:coreProperties>
</file>