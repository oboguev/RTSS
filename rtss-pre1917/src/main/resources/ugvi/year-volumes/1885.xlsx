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F:\WINAPPS\SLOVO\UKR\github\RTSS\rtss-pre1917\src\main\resources\ugvi\year-volumes\"/>
    </mc:Choice>
  </mc:AlternateContent>
  <xr:revisionPtr revIDLastSave="0" documentId="13_ncr:1_{C8CE521E-255A-43F4-A687-6F913C038E70}" xr6:coauthVersionLast="45" xr6:coauthVersionMax="47" xr10:uidLastSave="{00000000-0000-0000-0000-000000000000}"/>
  <bookViews>
    <workbookView xWindow="17085" yWindow="3705" windowWidth="19785" windowHeight="18390" activeTab="1" xr2:uid="{51AF7A87-2DFB-4345-A704-45D3AE345F30}"/>
  </bookViews>
  <sheets>
    <sheet name="Notes" sheetId="2" r:id="rId1"/>
    <sheet name="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83" i="1" l="1"/>
  <c r="R83" i="1"/>
  <c r="M90" i="1"/>
  <c r="S90" i="1" s="1"/>
  <c r="L90" i="1"/>
  <c r="R90" i="1" s="1"/>
  <c r="M88" i="1"/>
  <c r="S88" i="1" s="1"/>
  <c r="L88" i="1"/>
  <c r="R88" i="1" s="1"/>
  <c r="M87" i="1"/>
  <c r="S87" i="1" s="1"/>
  <c r="L87" i="1"/>
  <c r="R87" i="1" s="1"/>
  <c r="M86" i="1"/>
  <c r="S86" i="1" s="1"/>
  <c r="L86" i="1"/>
  <c r="R86" i="1" s="1"/>
  <c r="M82" i="1"/>
  <c r="S82" i="1" s="1"/>
  <c r="L82" i="1"/>
  <c r="R82" i="1" s="1"/>
  <c r="M80" i="1"/>
  <c r="S80" i="1" s="1"/>
  <c r="L80" i="1"/>
  <c r="R80" i="1" s="1"/>
  <c r="M79" i="1"/>
  <c r="S79" i="1" s="1"/>
  <c r="L79" i="1"/>
  <c r="R79" i="1" s="1"/>
  <c r="M77" i="1"/>
  <c r="S77" i="1" s="1"/>
  <c r="L77" i="1"/>
  <c r="R77" i="1" s="1"/>
  <c r="M75" i="1"/>
  <c r="L75" i="1"/>
  <c r="M73" i="1"/>
  <c r="S73" i="1" s="1"/>
  <c r="L73" i="1"/>
  <c r="R73" i="1" s="1"/>
  <c r="M72" i="1"/>
  <c r="S72" i="1" s="1"/>
  <c r="L72" i="1"/>
  <c r="R72" i="1" s="1"/>
  <c r="M70" i="1"/>
  <c r="S70" i="1" s="1"/>
  <c r="L70" i="1"/>
  <c r="R70" i="1" s="1"/>
  <c r="M69" i="1"/>
  <c r="S69" i="1" s="1"/>
  <c r="L69" i="1"/>
  <c r="R69" i="1" s="1"/>
  <c r="M68" i="1"/>
  <c r="S68" i="1" s="1"/>
  <c r="L68" i="1"/>
  <c r="R68" i="1" s="1"/>
  <c r="M67" i="1"/>
  <c r="S67" i="1" s="1"/>
  <c r="L67" i="1"/>
  <c r="R67" i="1" s="1"/>
  <c r="M66" i="1"/>
  <c r="S66" i="1" s="1"/>
  <c r="L66" i="1"/>
  <c r="R66" i="1" s="1"/>
  <c r="M65" i="1"/>
  <c r="S65" i="1" s="1"/>
  <c r="L65" i="1"/>
  <c r="R65" i="1" s="1"/>
  <c r="M64" i="1"/>
  <c r="S64" i="1" s="1"/>
  <c r="L64" i="1"/>
  <c r="R64" i="1" s="1"/>
  <c r="M63" i="1"/>
  <c r="S63" i="1" s="1"/>
  <c r="L63" i="1"/>
  <c r="R63" i="1" s="1"/>
  <c r="M62" i="1"/>
  <c r="S62" i="1" s="1"/>
  <c r="L62" i="1"/>
  <c r="R62" i="1" s="1"/>
  <c r="M61" i="1"/>
  <c r="S61" i="1" s="1"/>
  <c r="L61" i="1"/>
  <c r="R61" i="1" s="1"/>
  <c r="M60" i="1"/>
  <c r="S60" i="1" s="1"/>
  <c r="L60" i="1"/>
  <c r="R60" i="1" s="1"/>
  <c r="M59" i="1"/>
  <c r="S59" i="1" s="1"/>
  <c r="L59" i="1"/>
  <c r="R59" i="1" s="1"/>
  <c r="M58" i="1"/>
  <c r="S58" i="1" s="1"/>
  <c r="L58" i="1"/>
  <c r="R58" i="1" s="1"/>
  <c r="M57" i="1"/>
  <c r="S57" i="1" s="1"/>
  <c r="L57" i="1"/>
  <c r="R57" i="1" s="1"/>
  <c r="M56" i="1"/>
  <c r="S56" i="1" s="1"/>
  <c r="L56" i="1"/>
  <c r="R56" i="1" s="1"/>
  <c r="M55" i="1"/>
  <c r="S55" i="1" s="1"/>
  <c r="L55" i="1"/>
  <c r="R55" i="1" s="1"/>
  <c r="M54" i="1"/>
  <c r="S54" i="1" s="1"/>
  <c r="L54" i="1"/>
  <c r="R54" i="1" s="1"/>
  <c r="M53" i="1"/>
  <c r="S53" i="1" s="1"/>
  <c r="L53" i="1"/>
  <c r="R53" i="1" s="1"/>
  <c r="M52" i="1"/>
  <c r="S52" i="1" s="1"/>
  <c r="L52" i="1"/>
  <c r="R52" i="1" s="1"/>
  <c r="M51" i="1"/>
  <c r="S51" i="1" s="1"/>
  <c r="L51" i="1"/>
  <c r="R51" i="1" s="1"/>
  <c r="M50" i="1"/>
  <c r="S50" i="1" s="1"/>
  <c r="L50" i="1"/>
  <c r="R50" i="1" s="1"/>
  <c r="M49" i="1"/>
  <c r="S49" i="1" s="1"/>
  <c r="L49" i="1"/>
  <c r="R49" i="1" s="1"/>
  <c r="M48" i="1"/>
  <c r="S48" i="1" s="1"/>
  <c r="L48" i="1"/>
  <c r="R48" i="1" s="1"/>
  <c r="M47" i="1"/>
  <c r="S47" i="1" s="1"/>
  <c r="L47" i="1"/>
  <c r="R47" i="1" s="1"/>
  <c r="M46" i="1"/>
  <c r="S46" i="1" s="1"/>
  <c r="L46" i="1"/>
  <c r="R46" i="1" s="1"/>
  <c r="M45" i="1"/>
  <c r="S45" i="1" s="1"/>
  <c r="L45" i="1"/>
  <c r="R45" i="1" s="1"/>
  <c r="M44" i="1"/>
  <c r="S44" i="1" s="1"/>
  <c r="L44" i="1"/>
  <c r="R44" i="1" s="1"/>
  <c r="M43" i="1"/>
  <c r="S43" i="1" s="1"/>
  <c r="L43" i="1"/>
  <c r="R43" i="1" s="1"/>
  <c r="M42" i="1"/>
  <c r="S42" i="1" s="1"/>
  <c r="L42" i="1"/>
  <c r="R42" i="1" s="1"/>
  <c r="M41" i="1"/>
  <c r="S41" i="1" s="1"/>
  <c r="L41" i="1"/>
  <c r="R41" i="1" s="1"/>
  <c r="M40" i="1"/>
  <c r="S40" i="1" s="1"/>
  <c r="L40" i="1"/>
  <c r="R40" i="1" s="1"/>
  <c r="M39" i="1"/>
  <c r="S39" i="1" s="1"/>
  <c r="L39" i="1"/>
  <c r="R39" i="1" s="1"/>
  <c r="M38" i="1"/>
  <c r="S38" i="1" s="1"/>
  <c r="L38" i="1"/>
  <c r="R38" i="1" s="1"/>
  <c r="M37" i="1"/>
  <c r="S37" i="1" s="1"/>
  <c r="L37" i="1"/>
  <c r="R37" i="1" s="1"/>
  <c r="M36" i="1"/>
  <c r="S36" i="1" s="1"/>
  <c r="L36" i="1"/>
  <c r="R36" i="1" s="1"/>
  <c r="M35" i="1"/>
  <c r="S35" i="1" s="1"/>
  <c r="L35" i="1"/>
  <c r="R35" i="1" s="1"/>
  <c r="M34" i="1"/>
  <c r="S34" i="1" s="1"/>
  <c r="L34" i="1"/>
  <c r="R34" i="1" s="1"/>
  <c r="M33" i="1"/>
  <c r="S33" i="1" s="1"/>
  <c r="L33" i="1"/>
  <c r="R33" i="1" s="1"/>
  <c r="M32" i="1"/>
  <c r="S32" i="1" s="1"/>
  <c r="L32" i="1"/>
  <c r="R32" i="1" s="1"/>
  <c r="M31" i="1"/>
  <c r="S31" i="1" s="1"/>
  <c r="L31" i="1"/>
  <c r="R31" i="1" s="1"/>
  <c r="M30" i="1"/>
  <c r="S30" i="1" s="1"/>
  <c r="L30" i="1"/>
  <c r="R30" i="1" s="1"/>
  <c r="M29" i="1"/>
  <c r="S29" i="1" s="1"/>
  <c r="L29" i="1"/>
  <c r="R29" i="1" s="1"/>
  <c r="M28" i="1"/>
  <c r="S28" i="1" s="1"/>
  <c r="L28" i="1"/>
  <c r="R28" i="1" s="1"/>
  <c r="M27" i="1"/>
  <c r="S27" i="1" s="1"/>
  <c r="L27" i="1"/>
  <c r="R27" i="1" s="1"/>
  <c r="M26" i="1"/>
  <c r="S26" i="1" s="1"/>
  <c r="L26" i="1"/>
  <c r="R26" i="1" s="1"/>
  <c r="M25" i="1"/>
  <c r="S25" i="1" s="1"/>
  <c r="L25" i="1"/>
  <c r="R25" i="1" s="1"/>
  <c r="M24" i="1"/>
  <c r="S24" i="1" s="1"/>
  <c r="L24" i="1"/>
  <c r="R24" i="1" s="1"/>
  <c r="M23" i="1"/>
  <c r="S23" i="1" s="1"/>
  <c r="L23" i="1"/>
  <c r="R23" i="1" s="1"/>
  <c r="M22" i="1"/>
  <c r="S22" i="1" s="1"/>
  <c r="L22" i="1"/>
  <c r="R22" i="1" s="1"/>
  <c r="M21" i="1"/>
  <c r="S21" i="1" s="1"/>
  <c r="L21" i="1"/>
  <c r="R21" i="1" s="1"/>
  <c r="M20" i="1"/>
  <c r="S20" i="1" s="1"/>
  <c r="L20" i="1"/>
  <c r="R20" i="1" s="1"/>
  <c r="M19" i="1"/>
  <c r="S19" i="1" s="1"/>
  <c r="L19" i="1"/>
  <c r="R19" i="1" s="1"/>
  <c r="M18" i="1"/>
  <c r="S18" i="1" s="1"/>
  <c r="L18" i="1"/>
  <c r="R18" i="1" s="1"/>
  <c r="M17" i="1"/>
  <c r="S17" i="1" s="1"/>
  <c r="L17" i="1"/>
  <c r="R17" i="1" s="1"/>
  <c r="M16" i="1"/>
  <c r="S16" i="1" s="1"/>
  <c r="L16" i="1"/>
  <c r="R16" i="1" s="1"/>
  <c r="M15" i="1"/>
  <c r="S15" i="1" s="1"/>
  <c r="L15" i="1"/>
  <c r="R15" i="1" s="1"/>
  <c r="M14" i="1"/>
  <c r="S14" i="1" s="1"/>
  <c r="L14" i="1"/>
  <c r="R14" i="1" s="1"/>
  <c r="M13" i="1"/>
  <c r="S13" i="1" s="1"/>
  <c r="L13" i="1"/>
  <c r="R13" i="1" s="1"/>
  <c r="M12" i="1"/>
  <c r="S12" i="1" s="1"/>
  <c r="L12" i="1"/>
  <c r="R12" i="1" s="1"/>
  <c r="M11" i="1"/>
  <c r="S11" i="1" s="1"/>
  <c r="L11" i="1"/>
  <c r="R11" i="1" s="1"/>
  <c r="M10" i="1"/>
  <c r="S10" i="1" s="1"/>
  <c r="L10" i="1"/>
  <c r="R10" i="1" s="1"/>
  <c r="M9" i="1"/>
  <c r="S9" i="1" s="1"/>
  <c r="L9" i="1"/>
  <c r="R9" i="1" s="1"/>
  <c r="M8" i="1"/>
  <c r="S8" i="1" s="1"/>
  <c r="L8" i="1"/>
  <c r="R8" i="1" s="1"/>
  <c r="M7" i="1"/>
  <c r="S7" i="1" s="1"/>
  <c r="L7" i="1"/>
  <c r="R7" i="1" s="1"/>
  <c r="M6" i="1"/>
  <c r="S6" i="1" s="1"/>
  <c r="L6" i="1"/>
  <c r="R6" i="1" s="1"/>
  <c r="M4" i="1"/>
  <c r="S4" i="1" s="1"/>
  <c r="L4" i="1"/>
  <c r="R4" i="1" s="1"/>
  <c r="M3" i="1"/>
  <c r="S3" i="1" s="1"/>
  <c r="L3" i="1"/>
  <c r="R3" i="1" s="1"/>
  <c r="K70" i="1"/>
  <c r="Q70" i="1" s="1"/>
  <c r="J70" i="1"/>
  <c r="P70" i="1" s="1"/>
  <c r="I70" i="1"/>
  <c r="I92" i="1" s="1"/>
  <c r="O92" i="1" s="1"/>
  <c r="Y92" i="1" s="1"/>
  <c r="O70" i="1" l="1"/>
  <c r="Y70" i="1" s="1"/>
</calcChain>
</file>

<file path=xl/sharedStrings.xml><?xml version="1.0" encoding="utf-8"?>
<sst xmlns="http://schemas.openxmlformats.org/spreadsheetml/2006/main" count="158" uniqueCount="123">
  <si>
    <t>Архангельская</t>
  </si>
  <si>
    <t>Бессарабская</t>
  </si>
  <si>
    <t>Варшавская</t>
  </si>
  <si>
    <t>в т.ч. Варшава</t>
  </si>
  <si>
    <t>Виленская</t>
  </si>
  <si>
    <t>Витебская</t>
  </si>
  <si>
    <t>Владимірская</t>
  </si>
  <si>
    <t>Вологодская</t>
  </si>
  <si>
    <t>Волынская</t>
  </si>
  <si>
    <t>Воронежская</t>
  </si>
  <si>
    <t>Вятская</t>
  </si>
  <si>
    <t>Гродненская</t>
  </si>
  <si>
    <t>Екатеринославская</t>
  </si>
  <si>
    <t>Енисейская</t>
  </si>
  <si>
    <t>Иркутская</t>
  </si>
  <si>
    <t>Казанская</t>
  </si>
  <si>
    <t>Калишская</t>
  </si>
  <si>
    <t>Калужская</t>
  </si>
  <si>
    <t xml:space="preserve">Кіевская </t>
  </si>
  <si>
    <t>Ковенская</t>
  </si>
  <si>
    <t>Костромская</t>
  </si>
  <si>
    <t>Курляндская</t>
  </si>
  <si>
    <t>Курская</t>
  </si>
  <si>
    <t xml:space="preserve">Кѣлецкая </t>
  </si>
  <si>
    <t>Лифляндская</t>
  </si>
  <si>
    <t>Ломжинская</t>
  </si>
  <si>
    <t>Люблинская</t>
  </si>
  <si>
    <t>Минская</t>
  </si>
  <si>
    <t>Могилевская</t>
  </si>
  <si>
    <t>Московская</t>
  </si>
  <si>
    <t>в т.ч. Москва</t>
  </si>
  <si>
    <t>Нижегородская</t>
  </si>
  <si>
    <t>Новгородская</t>
  </si>
  <si>
    <t>Олонецкая</t>
  </si>
  <si>
    <t>Оренбургская</t>
  </si>
  <si>
    <t xml:space="preserve">Орловская </t>
  </si>
  <si>
    <t>Пензенская</t>
  </si>
  <si>
    <t xml:space="preserve">Пермская </t>
  </si>
  <si>
    <t xml:space="preserve">Петроковская </t>
  </si>
  <si>
    <t>Плоцкая</t>
  </si>
  <si>
    <t>Подольская</t>
  </si>
  <si>
    <t xml:space="preserve">Полтавская </t>
  </si>
  <si>
    <t>Псковская</t>
  </si>
  <si>
    <t xml:space="preserve">Радомская </t>
  </si>
  <si>
    <t xml:space="preserve">Рязанская  </t>
  </si>
  <si>
    <t xml:space="preserve">Самарская </t>
  </si>
  <si>
    <t>С-Петербургская</t>
  </si>
  <si>
    <t>в т.ч. Санкт-Петербург</t>
  </si>
  <si>
    <t xml:space="preserve">Саратовская </t>
  </si>
  <si>
    <t xml:space="preserve">Симбирская </t>
  </si>
  <si>
    <t xml:space="preserve">Смоленская </t>
  </si>
  <si>
    <t xml:space="preserve">Сувалкская </t>
  </si>
  <si>
    <t xml:space="preserve">Сѣдлецкая </t>
  </si>
  <si>
    <t xml:space="preserve">Таврическая </t>
  </si>
  <si>
    <t xml:space="preserve">Тамбовская </t>
  </si>
  <si>
    <t xml:space="preserve">Тверская </t>
  </si>
  <si>
    <t xml:space="preserve">Тобольская </t>
  </si>
  <si>
    <t xml:space="preserve">Томская </t>
  </si>
  <si>
    <t>Тульская</t>
  </si>
  <si>
    <t xml:space="preserve">Уфимская </t>
  </si>
  <si>
    <t xml:space="preserve">Харьковская </t>
  </si>
  <si>
    <t>Херсонская</t>
  </si>
  <si>
    <t xml:space="preserve">Черниговская </t>
  </si>
  <si>
    <t xml:space="preserve">Эстляндская </t>
  </si>
  <si>
    <t>Ярославская</t>
  </si>
  <si>
    <t>Итого губернии</t>
  </si>
  <si>
    <t>Акмолинская</t>
  </si>
  <si>
    <t xml:space="preserve">Амурская </t>
  </si>
  <si>
    <t xml:space="preserve">Забайкальская </t>
  </si>
  <si>
    <t>Семипалатинская</t>
  </si>
  <si>
    <t xml:space="preserve">Семирѣченская </t>
  </si>
  <si>
    <t>Сыръ-Дарьинская</t>
  </si>
  <si>
    <t>Тургайская</t>
  </si>
  <si>
    <t>Уральская</t>
  </si>
  <si>
    <t>Ферганская</t>
  </si>
  <si>
    <t>Якутская</t>
  </si>
  <si>
    <t>Севастопольское</t>
  </si>
  <si>
    <t>Керчь-Еникольское</t>
  </si>
  <si>
    <t xml:space="preserve">Одесское </t>
  </si>
  <si>
    <t>Таганрогское</t>
  </si>
  <si>
    <t>губ</t>
  </si>
  <si>
    <t>чж NYY</t>
  </si>
  <si>
    <t>чр YY</t>
  </si>
  <si>
    <t>р YY</t>
  </si>
  <si>
    <t>чу YY</t>
  </si>
  <si>
    <t>—</t>
  </si>
  <si>
    <t>v-чж NYY</t>
  </si>
  <si>
    <t>v-чр YY</t>
  </si>
  <si>
    <t>v-чу YY</t>
  </si>
  <si>
    <t>v-р YY</t>
  </si>
  <si>
    <t>v-c YY</t>
  </si>
  <si>
    <t>v-diff-чж NYY</t>
  </si>
  <si>
    <t>v-diff-чр YY</t>
  </si>
  <si>
    <t>v-diff-чу YY</t>
  </si>
  <si>
    <t>v-diff-р YY</t>
  </si>
  <si>
    <t>v-diff-c YY</t>
  </si>
  <si>
    <t>Астраханская область указана без кочевого населения числом 347,512</t>
  </si>
  <si>
    <t>Для Петроковской губ. Число жителей увеличилось на 4603 из-за присоединения гмигы Крамолы от Келецкой губ. и от избытка переселенцев на 2163 чел.</t>
  </si>
  <si>
    <t>Тургайская в т.ч. Кочевников 322,430</t>
  </si>
  <si>
    <t>Числа рождений и умерших в Тургайской обл. относится только к оседлому населению</t>
  </si>
  <si>
    <t>Числа рождений и умерших в Прим Вост Сиб относятся только к русскому населению области</t>
  </si>
  <si>
    <t>Севастополь -- в т.ч. кваритрующих войск 9,044</t>
  </si>
  <si>
    <t>Астраханская (оседлое)</t>
  </si>
  <si>
    <t>Астраханская (кочевники)</t>
  </si>
  <si>
    <t>расхождение без кочевников</t>
  </si>
  <si>
    <t>[градоначальства:]</t>
  </si>
  <si>
    <t>добавить к</t>
  </si>
  <si>
    <t>Прим. Вост. Сиб.</t>
  </si>
  <si>
    <t>[правка+] Севастопольское</t>
  </si>
  <si>
    <t>[Кронштадтское]</t>
  </si>
  <si>
    <t>[правка+] Николаев</t>
  </si>
  <si>
    <t>[правка=] Енисейская по ЦСК</t>
  </si>
  <si>
    <t>[правка=] Забайкальская по ЦСК</t>
  </si>
  <si>
    <t>Забайкальская</t>
  </si>
  <si>
    <t>с YY</t>
  </si>
  <si>
    <t>Всего Империя</t>
  </si>
  <si>
    <t>Область войска Донского</t>
  </si>
  <si>
    <t>Область войска Донского по</t>
  </si>
  <si>
    <t>"Движение населения в Европейской России за 1885 год" стр. 4</t>
  </si>
  <si>
    <t>note</t>
  </si>
  <si>
    <t>"Сборник сведений по России 1884-1885", стр. 28-33</t>
  </si>
  <si>
    <t>1-й источник</t>
  </si>
  <si>
    <t>2-й источник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</si>
</sst>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3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164" fontId="0" fillId="3" borderId="0" xfId="0" applyNumberFormat="1" applyFill="1"/>
    <xf numFmtId="2" fontId="0" fillId="3" borderId="0" xfId="0" applyNumberForma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B130-2733-42E7-A7E1-BFED63FFB798}">
  <dimension ref="A3:A12"/>
  <sheetViews>
    <sheetView workbookViewId="0">
      <selection activeCell="A3" sqref="A3"/>
    </sheetView>
  </sheetViews>
  <sheetFormatPr defaultRowHeight="14.25"/>
  <sheetData>
    <row r="3" spans="1:1">
      <c r="A3" t="s">
        <v>96</v>
      </c>
    </row>
    <row r="5" spans="1:1">
      <c r="A5" t="s">
        <v>97</v>
      </c>
    </row>
    <row r="7" spans="1:1">
      <c r="A7" t="s">
        <v>100</v>
      </c>
    </row>
    <row r="9" spans="1:1">
      <c r="A9" t="s">
        <v>98</v>
      </c>
    </row>
    <row r="10" spans="1:1">
      <c r="A10" t="s">
        <v>99</v>
      </c>
    </row>
    <row r="12" spans="1:1">
      <c r="A1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C87A-2E95-471F-B425-C083DF5337A3}">
  <dimension ref="A1:Y111"/>
  <sheetViews>
    <sheetView tabSelected="1" zoomScaleNormal="100" workbookViewId="0">
      <pane ySplit="1" topLeftCell="A80" activePane="bottomLeft" state="frozen"/>
      <selection pane="bottomLeft" activeCell="C104" sqref="C104"/>
    </sheetView>
  </sheetViews>
  <sheetFormatPr defaultRowHeight="14.25"/>
  <cols>
    <col min="1" max="1" width="29" customWidth="1"/>
    <col min="2" max="2" width="10" style="1" bestFit="1" customWidth="1"/>
    <col min="3" max="4" width="9" style="1" bestFit="1" customWidth="1"/>
    <col min="5" max="6" width="4.375" style="6" bestFit="1" customWidth="1"/>
    <col min="7" max="7" width="17.25" style="6" customWidth="1"/>
    <col min="9" max="9" width="10" bestFit="1" customWidth="1"/>
    <col min="10" max="10" width="9.125" customWidth="1"/>
    <col min="11" max="11" width="9" customWidth="1"/>
    <col min="12" max="12" width="5.875" style="6" bestFit="1" customWidth="1"/>
    <col min="13" max="13" width="5.75" style="6" bestFit="1" customWidth="1"/>
    <col min="15" max="15" width="11.875" style="1" bestFit="1" customWidth="1"/>
    <col min="16" max="16" width="10.375" style="1" bestFit="1" customWidth="1"/>
    <col min="17" max="17" width="10" style="1" bestFit="1" customWidth="1"/>
    <col min="18" max="18" width="9.25" style="6" bestFit="1" customWidth="1"/>
    <col min="19" max="19" width="9.125" style="6" bestFit="1" customWidth="1"/>
  </cols>
  <sheetData>
    <row r="1" spans="1:19" ht="15">
      <c r="A1" s="3" t="s">
        <v>80</v>
      </c>
      <c r="B1" s="4" t="s">
        <v>81</v>
      </c>
      <c r="C1" s="4" t="s">
        <v>82</v>
      </c>
      <c r="D1" s="4" t="s">
        <v>84</v>
      </c>
      <c r="E1" s="5" t="s">
        <v>83</v>
      </c>
      <c r="F1" s="5" t="s">
        <v>114</v>
      </c>
      <c r="G1" s="5" t="s">
        <v>106</v>
      </c>
      <c r="I1" s="8" t="s">
        <v>86</v>
      </c>
      <c r="J1" s="8" t="s">
        <v>87</v>
      </c>
      <c r="K1" s="8" t="s">
        <v>88</v>
      </c>
      <c r="L1" s="9" t="s">
        <v>89</v>
      </c>
      <c r="M1" s="9" t="s">
        <v>90</v>
      </c>
      <c r="O1" s="8" t="s">
        <v>91</v>
      </c>
      <c r="P1" s="8" t="s">
        <v>92</v>
      </c>
      <c r="Q1" s="8" t="s">
        <v>93</v>
      </c>
      <c r="R1" s="9" t="s">
        <v>94</v>
      </c>
      <c r="S1" s="9" t="s">
        <v>95</v>
      </c>
    </row>
    <row r="3" spans="1:19">
      <c r="A3" t="s">
        <v>0</v>
      </c>
      <c r="B3" s="1">
        <v>329660</v>
      </c>
      <c r="C3" s="1">
        <v>13149</v>
      </c>
      <c r="D3" s="1">
        <v>10931</v>
      </c>
      <c r="E3" s="6">
        <v>3.9</v>
      </c>
      <c r="F3" s="6">
        <v>3.3</v>
      </c>
      <c r="L3" s="6">
        <f>C3/B3*100</f>
        <v>3.988654977855973</v>
      </c>
      <c r="M3" s="6">
        <f>D3/B3*100</f>
        <v>3.3158405630043077</v>
      </c>
      <c r="R3" s="6">
        <f>E3-L3</f>
        <v>-8.8654977855973094E-2</v>
      </c>
      <c r="S3" s="6">
        <f>F3-M3</f>
        <v>-1.5840563004307917E-2</v>
      </c>
    </row>
    <row r="4" spans="1:19">
      <c r="A4" t="s">
        <v>102</v>
      </c>
      <c r="B4" s="1">
        <v>448100</v>
      </c>
      <c r="C4" s="1">
        <v>27977</v>
      </c>
      <c r="D4" s="1">
        <v>17889</v>
      </c>
      <c r="E4" s="6">
        <v>6.2</v>
      </c>
      <c r="F4" s="6">
        <v>3.9</v>
      </c>
      <c r="L4" s="6">
        <f t="shared" ref="L4:L68" si="0">C4/B4*100</f>
        <v>6.2434724391876815</v>
      </c>
      <c r="M4" s="6">
        <f t="shared" ref="M4:M68" si="1">D4/B4*100</f>
        <v>3.9921892434724389</v>
      </c>
      <c r="R4" s="6">
        <f t="shared" ref="R4:R68" si="2">E4-L4</f>
        <v>-4.3472439187681289E-2</v>
      </c>
      <c r="S4" s="6">
        <f t="shared" ref="S4:S68" si="3">F4-M4</f>
        <v>-9.2189243472438953E-2</v>
      </c>
    </row>
    <row r="5" spans="1:19">
      <c r="A5" t="s">
        <v>103</v>
      </c>
      <c r="B5" s="1">
        <v>347512</v>
      </c>
    </row>
    <row r="6" spans="1:19">
      <c r="A6" t="s">
        <v>1</v>
      </c>
      <c r="B6" s="1">
        <v>1452457</v>
      </c>
      <c r="C6" s="1">
        <v>73005</v>
      </c>
      <c r="D6" s="1">
        <v>44873</v>
      </c>
      <c r="E6" s="6">
        <v>5</v>
      </c>
      <c r="F6" s="6">
        <v>3</v>
      </c>
      <c r="L6" s="6">
        <f t="shared" si="0"/>
        <v>5.0263105895733924</v>
      </c>
      <c r="M6" s="6">
        <f t="shared" si="1"/>
        <v>3.0894546275724513</v>
      </c>
      <c r="R6" s="6">
        <f t="shared" si="2"/>
        <v>-2.6310589573392384E-2</v>
      </c>
      <c r="S6" s="6">
        <f t="shared" si="3"/>
        <v>-8.9454627572451262E-2</v>
      </c>
    </row>
    <row r="7" spans="1:19">
      <c r="A7" t="s">
        <v>2</v>
      </c>
      <c r="B7" s="1">
        <v>1403591</v>
      </c>
      <c r="C7" s="1">
        <v>55390</v>
      </c>
      <c r="D7" s="1">
        <v>37037</v>
      </c>
      <c r="E7" s="6">
        <v>3.9</v>
      </c>
      <c r="F7" s="6">
        <v>2.6</v>
      </c>
      <c r="L7" s="6">
        <f t="shared" si="0"/>
        <v>3.946306295779896</v>
      </c>
      <c r="M7" s="6">
        <f t="shared" si="1"/>
        <v>2.6387316533092617</v>
      </c>
      <c r="R7" s="6">
        <f t="shared" si="2"/>
        <v>-4.6306295779896089E-2</v>
      </c>
      <c r="S7" s="6">
        <f t="shared" si="3"/>
        <v>-3.8731653309261649E-2</v>
      </c>
    </row>
    <row r="8" spans="1:19">
      <c r="A8" t="s">
        <v>3</v>
      </c>
      <c r="B8" s="1">
        <v>431864</v>
      </c>
      <c r="C8" s="1">
        <v>14570</v>
      </c>
      <c r="D8" s="1">
        <v>11807</v>
      </c>
      <c r="E8" s="6">
        <v>3.3</v>
      </c>
      <c r="F8" s="6">
        <v>2.7</v>
      </c>
      <c r="L8" s="6">
        <f t="shared" si="0"/>
        <v>3.3737472908137751</v>
      </c>
      <c r="M8" s="6">
        <f t="shared" si="1"/>
        <v>2.7339625437637776</v>
      </c>
      <c r="R8" s="6">
        <f t="shared" si="2"/>
        <v>-7.374729081377529E-2</v>
      </c>
      <c r="S8" s="6">
        <f t="shared" si="3"/>
        <v>-3.3962543763777386E-2</v>
      </c>
    </row>
    <row r="9" spans="1:19">
      <c r="A9" t="s">
        <v>4</v>
      </c>
      <c r="B9" s="1">
        <v>1249208</v>
      </c>
      <c r="C9" s="1">
        <v>50865</v>
      </c>
      <c r="D9" s="1">
        <v>35978</v>
      </c>
      <c r="E9" s="6">
        <v>4</v>
      </c>
      <c r="F9" s="6">
        <v>2.8</v>
      </c>
      <c r="L9" s="6">
        <f t="shared" si="0"/>
        <v>4.0717798797317979</v>
      </c>
      <c r="M9" s="6">
        <f t="shared" si="1"/>
        <v>2.8800648090630223</v>
      </c>
      <c r="R9" s="6">
        <f t="shared" si="2"/>
        <v>-7.1779879731797891E-2</v>
      </c>
      <c r="S9" s="6">
        <f t="shared" si="3"/>
        <v>-8.0064809063022491E-2</v>
      </c>
    </row>
    <row r="10" spans="1:19">
      <c r="A10" t="s">
        <v>5</v>
      </c>
      <c r="B10" s="1">
        <v>1235916</v>
      </c>
      <c r="C10" s="1">
        <v>50779</v>
      </c>
      <c r="D10" s="1">
        <v>32245</v>
      </c>
      <c r="E10" s="6">
        <v>4.0999999999999996</v>
      </c>
      <c r="F10" s="6">
        <v>2.6</v>
      </c>
      <c r="L10" s="6">
        <f t="shared" si="0"/>
        <v>4.1086125594296048</v>
      </c>
      <c r="M10" s="6">
        <f t="shared" si="1"/>
        <v>2.6089960806397845</v>
      </c>
      <c r="R10" s="6">
        <f t="shared" si="2"/>
        <v>-8.6125594296051489E-3</v>
      </c>
      <c r="S10" s="6">
        <f t="shared" si="3"/>
        <v>-8.9960806397844095E-3</v>
      </c>
    </row>
    <row r="11" spans="1:19">
      <c r="A11" t="s">
        <v>6</v>
      </c>
      <c r="B11" s="1">
        <v>1365693</v>
      </c>
      <c r="C11" s="1">
        <v>70504</v>
      </c>
      <c r="D11" s="1">
        <v>63798</v>
      </c>
      <c r="E11" s="6">
        <v>5.0999999999999996</v>
      </c>
      <c r="F11" s="6">
        <v>4.5999999999999996</v>
      </c>
      <c r="L11" s="6">
        <f t="shared" si="0"/>
        <v>5.1625072399140954</v>
      </c>
      <c r="M11" s="6">
        <f t="shared" si="1"/>
        <v>4.6714744821859675</v>
      </c>
      <c r="R11" s="6">
        <f t="shared" si="2"/>
        <v>-6.2507239914095791E-2</v>
      </c>
      <c r="S11" s="6">
        <f t="shared" si="3"/>
        <v>-7.1474482185967858E-2</v>
      </c>
    </row>
    <row r="12" spans="1:19">
      <c r="A12" t="s">
        <v>7</v>
      </c>
      <c r="B12" s="1">
        <v>1204055</v>
      </c>
      <c r="C12" s="1">
        <v>52073</v>
      </c>
      <c r="D12" s="1">
        <v>47595</v>
      </c>
      <c r="E12" s="6">
        <v>4.3</v>
      </c>
      <c r="F12" s="6">
        <v>3.9</v>
      </c>
      <c r="L12" s="6">
        <f t="shared" si="0"/>
        <v>4.3248024384268158</v>
      </c>
      <c r="M12" s="6">
        <f t="shared" si="1"/>
        <v>3.9528925173683929</v>
      </c>
      <c r="R12" s="6">
        <f t="shared" si="2"/>
        <v>-2.4802438426815954E-2</v>
      </c>
      <c r="S12" s="6">
        <f t="shared" si="3"/>
        <v>-5.2892517368392955E-2</v>
      </c>
    </row>
    <row r="13" spans="1:19">
      <c r="A13" t="s">
        <v>8</v>
      </c>
      <c r="B13" s="1">
        <v>2176790</v>
      </c>
      <c r="C13" s="1">
        <v>109641</v>
      </c>
      <c r="D13" s="1">
        <v>72860</v>
      </c>
      <c r="E13" s="6">
        <v>5</v>
      </c>
      <c r="F13" s="6">
        <v>3.3</v>
      </c>
      <c r="L13" s="6">
        <f t="shared" si="0"/>
        <v>5.0368202720519664</v>
      </c>
      <c r="M13" s="6">
        <f t="shared" si="1"/>
        <v>3.347130407618558</v>
      </c>
      <c r="R13" s="6">
        <f t="shared" si="2"/>
        <v>-3.6820272051966363E-2</v>
      </c>
      <c r="S13" s="6">
        <f t="shared" si="3"/>
        <v>-4.7130407618558134E-2</v>
      </c>
    </row>
    <row r="14" spans="1:19">
      <c r="A14" t="s">
        <v>9</v>
      </c>
      <c r="B14" s="1">
        <v>2528353</v>
      </c>
      <c r="C14" s="1">
        <v>126328</v>
      </c>
      <c r="D14" s="1">
        <v>84170</v>
      </c>
      <c r="E14" s="6">
        <v>5</v>
      </c>
      <c r="F14" s="6">
        <v>3.3</v>
      </c>
      <c r="L14" s="6">
        <f t="shared" si="0"/>
        <v>4.9964542134741468</v>
      </c>
      <c r="M14" s="6">
        <f t="shared" si="1"/>
        <v>3.3290446389408443</v>
      </c>
      <c r="R14" s="6">
        <f t="shared" si="2"/>
        <v>3.5457865258532451E-3</v>
      </c>
      <c r="S14" s="6">
        <f t="shared" si="3"/>
        <v>-2.9044638940844525E-2</v>
      </c>
    </row>
    <row r="15" spans="1:19">
      <c r="A15" t="s">
        <v>10</v>
      </c>
      <c r="B15" s="1">
        <v>2854551</v>
      </c>
      <c r="C15" s="1">
        <v>130455</v>
      </c>
      <c r="D15" s="1">
        <v>115110</v>
      </c>
      <c r="E15" s="6">
        <v>4.5</v>
      </c>
      <c r="F15" s="6">
        <v>4</v>
      </c>
      <c r="L15" s="6">
        <f t="shared" si="0"/>
        <v>4.5700707396714932</v>
      </c>
      <c r="M15" s="6">
        <f t="shared" si="1"/>
        <v>4.0325080897135841</v>
      </c>
      <c r="R15" s="6">
        <f t="shared" si="2"/>
        <v>-7.0070739671493243E-2</v>
      </c>
      <c r="S15" s="6">
        <f t="shared" si="3"/>
        <v>-3.2508089713584098E-2</v>
      </c>
    </row>
    <row r="16" spans="1:19">
      <c r="A16" t="s">
        <v>11</v>
      </c>
      <c r="B16" s="1">
        <v>1270567</v>
      </c>
      <c r="C16" s="1">
        <v>55112</v>
      </c>
      <c r="D16" s="1">
        <v>42978</v>
      </c>
      <c r="E16" s="6">
        <v>4.3</v>
      </c>
      <c r="F16" s="6">
        <v>3.3</v>
      </c>
      <c r="L16" s="6">
        <f t="shared" si="0"/>
        <v>4.3375910125164587</v>
      </c>
      <c r="M16" s="6">
        <f t="shared" si="1"/>
        <v>3.3825843107840829</v>
      </c>
      <c r="R16" s="6">
        <f t="shared" si="2"/>
        <v>-3.759101251645891E-2</v>
      </c>
      <c r="S16" s="6">
        <f t="shared" si="3"/>
        <v>-8.2584310784083126E-2</v>
      </c>
    </row>
    <row r="17" spans="1:19">
      <c r="A17" t="s">
        <v>12</v>
      </c>
      <c r="B17" s="1">
        <v>1707578</v>
      </c>
      <c r="C17" s="1">
        <v>101109</v>
      </c>
      <c r="D17" s="1">
        <v>58246</v>
      </c>
      <c r="E17" s="6">
        <v>5.9</v>
      </c>
      <c r="F17" s="6">
        <v>3.4</v>
      </c>
      <c r="L17" s="6">
        <f t="shared" si="0"/>
        <v>5.9211936438628276</v>
      </c>
      <c r="M17" s="6">
        <f t="shared" si="1"/>
        <v>3.4110301257102162</v>
      </c>
      <c r="R17" s="6">
        <f t="shared" si="2"/>
        <v>-2.1193643862827294E-2</v>
      </c>
      <c r="S17" s="6">
        <f t="shared" si="3"/>
        <v>-1.1030125710216332E-2</v>
      </c>
    </row>
    <row r="18" spans="1:19">
      <c r="A18" t="s">
        <v>13</v>
      </c>
      <c r="B18" s="1">
        <v>447076</v>
      </c>
      <c r="C18" s="1">
        <v>23086</v>
      </c>
      <c r="D18" s="1">
        <v>16474</v>
      </c>
      <c r="E18" s="6">
        <v>5.0999999999999996</v>
      </c>
      <c r="F18" s="6">
        <v>3.6</v>
      </c>
      <c r="L18" s="6">
        <f t="shared" si="0"/>
        <v>5.1637752865284652</v>
      </c>
      <c r="M18" s="6">
        <f t="shared" si="1"/>
        <v>3.6848321090821248</v>
      </c>
      <c r="R18" s="6">
        <f t="shared" si="2"/>
        <v>-6.3775286528465536E-2</v>
      </c>
      <c r="S18" s="6">
        <f t="shared" si="3"/>
        <v>-8.4832109082124685E-2</v>
      </c>
    </row>
    <row r="19" spans="1:19">
      <c r="A19" t="s">
        <v>14</v>
      </c>
      <c r="B19" s="1">
        <v>408038</v>
      </c>
      <c r="C19" s="1">
        <v>19966</v>
      </c>
      <c r="D19" s="1">
        <v>16694</v>
      </c>
      <c r="E19" s="6">
        <v>4.8</v>
      </c>
      <c r="F19" s="6">
        <v>4</v>
      </c>
      <c r="L19" s="6">
        <f t="shared" si="0"/>
        <v>4.8931717143991493</v>
      </c>
      <c r="M19" s="6">
        <f t="shared" si="1"/>
        <v>4.0912856155554138</v>
      </c>
      <c r="R19" s="6">
        <f t="shared" si="2"/>
        <v>-9.3171714399149508E-2</v>
      </c>
      <c r="S19" s="6">
        <f t="shared" si="3"/>
        <v>-9.1285615555413813E-2</v>
      </c>
    </row>
    <row r="20" spans="1:19">
      <c r="A20" t="s">
        <v>15</v>
      </c>
      <c r="B20" s="1">
        <v>2076297</v>
      </c>
      <c r="C20" s="1">
        <v>94809</v>
      </c>
      <c r="D20" s="1">
        <v>65997</v>
      </c>
      <c r="E20" s="6">
        <v>4.5</v>
      </c>
      <c r="F20" s="6">
        <v>3.1</v>
      </c>
      <c r="L20" s="6">
        <f t="shared" si="0"/>
        <v>4.5662542497532872</v>
      </c>
      <c r="M20" s="6">
        <f t="shared" si="1"/>
        <v>3.1785915020827948</v>
      </c>
      <c r="R20" s="6">
        <f t="shared" si="2"/>
        <v>-6.6254249753287198E-2</v>
      </c>
      <c r="S20" s="6">
        <f t="shared" si="3"/>
        <v>-7.8591502082794751E-2</v>
      </c>
    </row>
    <row r="21" spans="1:19">
      <c r="A21" t="s">
        <v>16</v>
      </c>
      <c r="B21" s="1">
        <v>807444</v>
      </c>
      <c r="C21" s="1">
        <v>29178</v>
      </c>
      <c r="D21" s="1">
        <v>18359</v>
      </c>
      <c r="E21" s="6">
        <v>3.6</v>
      </c>
      <c r="F21" s="6">
        <v>2.2000000000000002</v>
      </c>
      <c r="L21" s="6">
        <f t="shared" si="0"/>
        <v>3.6136252173525349</v>
      </c>
      <c r="M21" s="6">
        <f t="shared" si="1"/>
        <v>2.27371805351207</v>
      </c>
      <c r="R21" s="6">
        <f t="shared" si="2"/>
        <v>-1.3625217352534857E-2</v>
      </c>
      <c r="S21" s="6">
        <f t="shared" si="3"/>
        <v>-7.3718053512069837E-2</v>
      </c>
    </row>
    <row r="22" spans="1:19">
      <c r="A22" t="s">
        <v>17</v>
      </c>
      <c r="B22" s="1">
        <v>1172867</v>
      </c>
      <c r="C22" s="1">
        <v>57208</v>
      </c>
      <c r="D22" s="1">
        <v>48865</v>
      </c>
      <c r="E22" s="6">
        <v>4.8</v>
      </c>
      <c r="F22" s="6">
        <v>4.0999999999999996</v>
      </c>
      <c r="L22" s="6">
        <f t="shared" si="0"/>
        <v>4.8776203951513688</v>
      </c>
      <c r="M22" s="6">
        <f t="shared" si="1"/>
        <v>4.166286543998595</v>
      </c>
      <c r="R22" s="6">
        <f t="shared" si="2"/>
        <v>-7.7620395151368982E-2</v>
      </c>
      <c r="S22" s="6">
        <f t="shared" si="3"/>
        <v>-6.6286543998595349E-2</v>
      </c>
    </row>
    <row r="23" spans="1:19">
      <c r="A23" t="s">
        <v>18</v>
      </c>
      <c r="B23" s="1">
        <v>2613282</v>
      </c>
      <c r="C23" s="1">
        <v>152083</v>
      </c>
      <c r="D23" s="1">
        <v>93627</v>
      </c>
      <c r="E23" s="6">
        <v>5.8</v>
      </c>
      <c r="F23" s="6">
        <v>3.5</v>
      </c>
      <c r="L23" s="6">
        <f t="shared" si="0"/>
        <v>5.8196168649231117</v>
      </c>
      <c r="M23" s="6">
        <f t="shared" si="1"/>
        <v>3.5827361915017208</v>
      </c>
      <c r="R23" s="6">
        <f t="shared" si="2"/>
        <v>-1.9616864923111876E-2</v>
      </c>
      <c r="S23" s="6">
        <f t="shared" si="3"/>
        <v>-8.2736191501720846E-2</v>
      </c>
    </row>
    <row r="24" spans="1:19">
      <c r="A24" t="s">
        <v>19</v>
      </c>
      <c r="B24" s="1">
        <v>1496608</v>
      </c>
      <c r="C24" s="1">
        <v>50974</v>
      </c>
      <c r="D24" s="1">
        <v>37224</v>
      </c>
      <c r="E24" s="6">
        <v>3.4</v>
      </c>
      <c r="F24" s="6">
        <v>2.4</v>
      </c>
      <c r="L24" s="6">
        <f t="shared" si="0"/>
        <v>3.4059686972139667</v>
      </c>
      <c r="M24" s="6">
        <f t="shared" si="1"/>
        <v>2.4872244435416619</v>
      </c>
      <c r="R24" s="6">
        <f t="shared" si="2"/>
        <v>-5.968697213966756E-3</v>
      </c>
      <c r="S24" s="6">
        <f t="shared" si="3"/>
        <v>-8.7224443541662033E-2</v>
      </c>
    </row>
    <row r="25" spans="1:19">
      <c r="A25" t="s">
        <v>20</v>
      </c>
      <c r="B25" s="1">
        <v>1315860</v>
      </c>
      <c r="C25" s="1">
        <v>57925</v>
      </c>
      <c r="D25" s="1">
        <v>50482</v>
      </c>
      <c r="E25" s="6">
        <v>4.4000000000000004</v>
      </c>
      <c r="F25" s="6">
        <v>3.8</v>
      </c>
      <c r="L25" s="6">
        <f t="shared" si="0"/>
        <v>4.4020640493669543</v>
      </c>
      <c r="M25" s="6">
        <f t="shared" si="1"/>
        <v>3.8364263675466996</v>
      </c>
      <c r="R25" s="6">
        <f t="shared" si="2"/>
        <v>-2.0640493669539239E-3</v>
      </c>
      <c r="S25" s="6">
        <f t="shared" si="3"/>
        <v>-3.6426367546699812E-2</v>
      </c>
    </row>
    <row r="26" spans="1:19">
      <c r="A26" t="s">
        <v>21</v>
      </c>
      <c r="B26" s="1">
        <v>662843</v>
      </c>
      <c r="C26" s="1">
        <v>19705</v>
      </c>
      <c r="D26" s="1">
        <v>13358</v>
      </c>
      <c r="E26" s="6">
        <v>2.9</v>
      </c>
      <c r="F26" s="6">
        <v>2</v>
      </c>
      <c r="L26" s="6">
        <f t="shared" si="0"/>
        <v>2.9728004972519888</v>
      </c>
      <c r="M26" s="6">
        <f t="shared" si="1"/>
        <v>2.0152585152140099</v>
      </c>
      <c r="R26" s="6">
        <f t="shared" si="2"/>
        <v>-7.2800497251988894E-2</v>
      </c>
      <c r="S26" s="6">
        <f t="shared" si="3"/>
        <v>-1.5258515214009893E-2</v>
      </c>
    </row>
    <row r="27" spans="1:19">
      <c r="A27" t="s">
        <v>22</v>
      </c>
      <c r="B27" s="1">
        <v>2401827</v>
      </c>
      <c r="C27" s="1">
        <v>120578</v>
      </c>
      <c r="D27" s="1">
        <v>81739</v>
      </c>
      <c r="E27" s="6">
        <v>5</v>
      </c>
      <c r="F27" s="6">
        <v>3.4</v>
      </c>
      <c r="L27" s="6">
        <f t="shared" si="0"/>
        <v>5.0202616591453086</v>
      </c>
      <c r="M27" s="6">
        <f t="shared" si="1"/>
        <v>3.4032009799207024</v>
      </c>
      <c r="R27" s="6">
        <f t="shared" si="2"/>
        <v>-2.0261659145308641E-2</v>
      </c>
      <c r="S27" s="6">
        <f t="shared" si="3"/>
        <v>-3.2009799207024514E-3</v>
      </c>
    </row>
    <row r="28" spans="1:19">
      <c r="A28" t="s">
        <v>23</v>
      </c>
      <c r="B28" s="1">
        <v>661267</v>
      </c>
      <c r="C28" s="1">
        <v>26807</v>
      </c>
      <c r="D28" s="1">
        <v>19917</v>
      </c>
      <c r="E28" s="6">
        <v>4</v>
      </c>
      <c r="F28" s="6">
        <v>3</v>
      </c>
      <c r="L28" s="6">
        <f t="shared" si="0"/>
        <v>4.0538844369974614</v>
      </c>
      <c r="M28" s="6">
        <f t="shared" si="1"/>
        <v>3.0119452505568853</v>
      </c>
      <c r="R28" s="6">
        <f t="shared" si="2"/>
        <v>-5.3884436997461371E-2</v>
      </c>
      <c r="S28" s="6">
        <f t="shared" si="3"/>
        <v>-1.1945250556885334E-2</v>
      </c>
    </row>
    <row r="29" spans="1:19">
      <c r="A29" t="s">
        <v>24</v>
      </c>
      <c r="B29" s="1">
        <v>1207823</v>
      </c>
      <c r="C29" s="1">
        <v>36758</v>
      </c>
      <c r="D29" s="1">
        <v>26993</v>
      </c>
      <c r="E29" s="6">
        <v>3</v>
      </c>
      <c r="F29" s="6">
        <v>2.2000000000000002</v>
      </c>
      <c r="L29" s="6">
        <f t="shared" si="0"/>
        <v>3.0433267126060688</v>
      </c>
      <c r="M29" s="6">
        <f t="shared" si="1"/>
        <v>2.2348473244838027</v>
      </c>
      <c r="R29" s="6">
        <f t="shared" si="2"/>
        <v>-4.3326712606068796E-2</v>
      </c>
      <c r="S29" s="6">
        <f t="shared" si="3"/>
        <v>-3.4847324483802566E-2</v>
      </c>
    </row>
    <row r="30" spans="1:19">
      <c r="A30" t="s">
        <v>25</v>
      </c>
      <c r="B30" s="1">
        <v>594129</v>
      </c>
      <c r="C30" s="1">
        <v>22508</v>
      </c>
      <c r="D30" s="1">
        <v>16887</v>
      </c>
      <c r="E30" s="6">
        <v>3.7</v>
      </c>
      <c r="F30" s="6">
        <v>2.8</v>
      </c>
      <c r="L30" s="6">
        <f t="shared" si="0"/>
        <v>3.7884028552721718</v>
      </c>
      <c r="M30" s="6">
        <f t="shared" si="1"/>
        <v>2.8423120231464885</v>
      </c>
      <c r="R30" s="6">
        <f t="shared" si="2"/>
        <v>-8.8402855272171621E-2</v>
      </c>
      <c r="S30" s="6">
        <f t="shared" si="3"/>
        <v>-4.2312023146488631E-2</v>
      </c>
    </row>
    <row r="31" spans="1:19">
      <c r="A31" t="s">
        <v>26</v>
      </c>
      <c r="B31" s="1">
        <v>925497</v>
      </c>
      <c r="C31" s="1">
        <v>40539</v>
      </c>
      <c r="D31" s="1">
        <v>23050</v>
      </c>
      <c r="E31" s="6">
        <v>4.3</v>
      </c>
      <c r="F31" s="6">
        <v>2.4</v>
      </c>
      <c r="L31" s="6">
        <f t="shared" si="0"/>
        <v>4.380241102888502</v>
      </c>
      <c r="M31" s="6">
        <f t="shared" si="1"/>
        <v>2.4905537241071554</v>
      </c>
      <c r="R31" s="6">
        <f t="shared" si="2"/>
        <v>-8.0241102888502169E-2</v>
      </c>
      <c r="S31" s="6">
        <f t="shared" si="3"/>
        <v>-9.0553724107155453E-2</v>
      </c>
    </row>
    <row r="32" spans="1:19">
      <c r="A32" t="s">
        <v>27</v>
      </c>
      <c r="B32" s="1">
        <v>1646135</v>
      </c>
      <c r="C32" s="1">
        <v>73424</v>
      </c>
      <c r="D32" s="1">
        <v>43170</v>
      </c>
      <c r="E32" s="6">
        <v>4.4000000000000004</v>
      </c>
      <c r="F32" s="6">
        <v>2.6</v>
      </c>
      <c r="L32" s="6">
        <f t="shared" si="0"/>
        <v>4.4603875137822842</v>
      </c>
      <c r="M32" s="6">
        <f t="shared" si="1"/>
        <v>2.6225066595388591</v>
      </c>
      <c r="R32" s="6">
        <f t="shared" si="2"/>
        <v>-6.0387513782283797E-2</v>
      </c>
      <c r="S32" s="6">
        <f t="shared" si="3"/>
        <v>-2.2506659538858997E-2</v>
      </c>
    </row>
    <row r="33" spans="1:19">
      <c r="A33" t="s">
        <v>28</v>
      </c>
      <c r="B33" s="1">
        <v>1234211</v>
      </c>
      <c r="C33" s="1">
        <v>63812</v>
      </c>
      <c r="D33" s="1">
        <v>36205</v>
      </c>
      <c r="E33" s="6">
        <v>5.0999999999999996</v>
      </c>
      <c r="F33" s="6">
        <v>2.9</v>
      </c>
      <c r="L33" s="6">
        <f t="shared" si="0"/>
        <v>5.1702666723923221</v>
      </c>
      <c r="M33" s="6">
        <f t="shared" si="1"/>
        <v>2.9334530319370029</v>
      </c>
      <c r="R33" s="6">
        <f t="shared" si="2"/>
        <v>-7.0266672392322427E-2</v>
      </c>
      <c r="S33" s="6">
        <f t="shared" si="3"/>
        <v>-3.3453031937002997E-2</v>
      </c>
    </row>
    <row r="34" spans="1:19">
      <c r="A34" t="s">
        <v>29</v>
      </c>
      <c r="B34" s="1">
        <v>2183586</v>
      </c>
      <c r="C34" s="1">
        <v>94784</v>
      </c>
      <c r="D34" s="1">
        <v>95890</v>
      </c>
      <c r="E34" s="7">
        <v>4.34</v>
      </c>
      <c r="F34" s="7">
        <v>4.3899999999999997</v>
      </c>
      <c r="G34" s="7"/>
      <c r="L34" s="6">
        <f t="shared" si="0"/>
        <v>4.3407495743240698</v>
      </c>
      <c r="M34" s="6">
        <f t="shared" si="1"/>
        <v>4.3914002013202138</v>
      </c>
      <c r="R34" s="6">
        <f t="shared" si="2"/>
        <v>-7.4957432406996816E-4</v>
      </c>
      <c r="S34" s="6">
        <f t="shared" si="3"/>
        <v>-1.4002013202141228E-3</v>
      </c>
    </row>
    <row r="35" spans="1:19">
      <c r="A35" t="s">
        <v>30</v>
      </c>
      <c r="B35" s="1">
        <v>753469</v>
      </c>
      <c r="C35" s="1">
        <v>30612</v>
      </c>
      <c r="D35" s="1">
        <v>27115</v>
      </c>
      <c r="E35" s="6">
        <v>4</v>
      </c>
      <c r="F35" s="6">
        <v>3.5</v>
      </c>
      <c r="L35" s="6">
        <f t="shared" si="0"/>
        <v>4.0628081579998652</v>
      </c>
      <c r="M35" s="6">
        <f t="shared" si="1"/>
        <v>3.5986882008417069</v>
      </c>
      <c r="R35" s="6">
        <f t="shared" si="2"/>
        <v>-6.2808157999865166E-2</v>
      </c>
      <c r="S35" s="6">
        <f t="shared" si="3"/>
        <v>-9.868820084170693E-2</v>
      </c>
    </row>
    <row r="36" spans="1:19">
      <c r="A36" t="s">
        <v>31</v>
      </c>
      <c r="B36" s="1">
        <v>1469451</v>
      </c>
      <c r="C36" s="1">
        <v>78981</v>
      </c>
      <c r="D36" s="1">
        <v>60301</v>
      </c>
      <c r="E36" s="6">
        <v>5.3</v>
      </c>
      <c r="F36" s="6">
        <v>4.0999999999999996</v>
      </c>
      <c r="L36" s="6">
        <f t="shared" si="0"/>
        <v>5.3748644902075675</v>
      </c>
      <c r="M36" s="6">
        <f t="shared" si="1"/>
        <v>4.1036414279890927</v>
      </c>
      <c r="R36" s="6">
        <f t="shared" si="2"/>
        <v>-7.4864490207567691E-2</v>
      </c>
      <c r="S36" s="6">
        <f t="shared" si="3"/>
        <v>-3.6414279890930601E-3</v>
      </c>
    </row>
    <row r="37" spans="1:19">
      <c r="A37" t="s">
        <v>32</v>
      </c>
      <c r="B37" s="1">
        <v>1162999</v>
      </c>
      <c r="C37" s="1">
        <v>50424</v>
      </c>
      <c r="D37" s="1">
        <v>44808</v>
      </c>
      <c r="E37" s="6">
        <v>4.3</v>
      </c>
      <c r="F37" s="6">
        <v>3.8</v>
      </c>
      <c r="L37" s="6">
        <f t="shared" si="0"/>
        <v>4.3356873049761866</v>
      </c>
      <c r="M37" s="6">
        <f t="shared" si="1"/>
        <v>3.8527978098003528</v>
      </c>
      <c r="R37" s="6">
        <f t="shared" si="2"/>
        <v>-3.5687304976186773E-2</v>
      </c>
      <c r="S37" s="6">
        <f t="shared" si="3"/>
        <v>-5.2797809800352979E-2</v>
      </c>
    </row>
    <row r="38" spans="1:19">
      <c r="A38" t="s">
        <v>33</v>
      </c>
      <c r="B38" s="1">
        <v>334658</v>
      </c>
      <c r="C38" s="1">
        <v>15847</v>
      </c>
      <c r="D38" s="1">
        <v>15563</v>
      </c>
      <c r="E38" s="6">
        <v>4.7</v>
      </c>
      <c r="F38" s="6">
        <v>4.5999999999999996</v>
      </c>
      <c r="L38" s="6">
        <f t="shared" si="0"/>
        <v>4.7352819893742266</v>
      </c>
      <c r="M38" s="6">
        <f t="shared" si="1"/>
        <v>4.6504192339642261</v>
      </c>
      <c r="R38" s="6">
        <f t="shared" si="2"/>
        <v>-3.5281989374226441E-2</v>
      </c>
      <c r="S38" s="6">
        <f t="shared" si="3"/>
        <v>-5.0419233964226429E-2</v>
      </c>
    </row>
    <row r="39" spans="1:19">
      <c r="A39" t="s">
        <v>34</v>
      </c>
      <c r="B39" s="1">
        <v>1198360</v>
      </c>
      <c r="C39" s="1">
        <v>78766</v>
      </c>
      <c r="D39" s="1">
        <v>50780</v>
      </c>
      <c r="E39" s="6">
        <v>6.5</v>
      </c>
      <c r="F39" s="6">
        <v>4.2</v>
      </c>
      <c r="L39" s="6">
        <f t="shared" si="0"/>
        <v>6.5728161821155577</v>
      </c>
      <c r="M39" s="6">
        <f t="shared" si="1"/>
        <v>4.2374578590740679</v>
      </c>
      <c r="R39" s="6">
        <f t="shared" si="2"/>
        <v>-7.2816182115557737E-2</v>
      </c>
      <c r="S39" s="6">
        <f t="shared" si="3"/>
        <v>-3.7457859074067734E-2</v>
      </c>
    </row>
    <row r="40" spans="1:19">
      <c r="A40" t="s">
        <v>35</v>
      </c>
      <c r="B40" s="1">
        <v>1955114</v>
      </c>
      <c r="C40" s="1">
        <v>102759</v>
      </c>
      <c r="D40" s="1">
        <v>82521</v>
      </c>
      <c r="E40" s="6">
        <v>5.2</v>
      </c>
      <c r="F40" s="6">
        <v>4.2</v>
      </c>
      <c r="L40" s="6">
        <f t="shared" si="0"/>
        <v>5.2559083511242823</v>
      </c>
      <c r="M40" s="6">
        <f t="shared" si="1"/>
        <v>4.2207768958741028</v>
      </c>
      <c r="R40" s="6">
        <f t="shared" si="2"/>
        <v>-5.5908351124282163E-2</v>
      </c>
      <c r="S40" s="6">
        <f t="shared" si="3"/>
        <v>-2.0776895874102586E-2</v>
      </c>
    </row>
    <row r="41" spans="1:19">
      <c r="A41" t="s">
        <v>36</v>
      </c>
      <c r="B41" s="1">
        <v>1480773</v>
      </c>
      <c r="C41" s="1">
        <v>77735</v>
      </c>
      <c r="D41" s="1">
        <v>51897</v>
      </c>
      <c r="E41" s="6">
        <v>5.2</v>
      </c>
      <c r="F41" s="6">
        <v>3.5</v>
      </c>
      <c r="L41" s="6">
        <f t="shared" si="0"/>
        <v>5.2496230009596339</v>
      </c>
      <c r="M41" s="6">
        <f t="shared" si="1"/>
        <v>3.5047235464179858</v>
      </c>
      <c r="R41" s="6">
        <f t="shared" si="2"/>
        <v>-4.9623000959633679E-2</v>
      </c>
      <c r="S41" s="6">
        <f t="shared" si="3"/>
        <v>-4.72354641798578E-3</v>
      </c>
    </row>
    <row r="42" spans="1:19">
      <c r="A42" t="s">
        <v>37</v>
      </c>
      <c r="B42" s="1">
        <v>2635575</v>
      </c>
      <c r="C42" s="1">
        <v>141326</v>
      </c>
      <c r="D42" s="1">
        <v>118281</v>
      </c>
      <c r="E42" s="6">
        <v>5.3</v>
      </c>
      <c r="F42" s="6">
        <v>4.4000000000000004</v>
      </c>
      <c r="L42" s="6">
        <f t="shared" si="0"/>
        <v>5.3622454303140676</v>
      </c>
      <c r="M42" s="6">
        <f t="shared" si="1"/>
        <v>4.4878631797615327</v>
      </c>
      <c r="R42" s="6">
        <f t="shared" si="2"/>
        <v>-6.2245430314067818E-2</v>
      </c>
      <c r="S42" s="6">
        <f t="shared" si="3"/>
        <v>-8.7863179761532351E-2</v>
      </c>
    </row>
    <row r="43" spans="1:19">
      <c r="A43" t="s">
        <v>38</v>
      </c>
      <c r="B43" s="1">
        <v>926761</v>
      </c>
      <c r="C43" s="1">
        <v>33365</v>
      </c>
      <c r="D43" s="1">
        <v>21807</v>
      </c>
      <c r="E43" s="6">
        <v>3.5</v>
      </c>
      <c r="F43" s="6">
        <v>2.2999999999999998</v>
      </c>
      <c r="L43" s="6">
        <f t="shared" si="0"/>
        <v>3.6001730759063015</v>
      </c>
      <c r="M43" s="6">
        <f t="shared" si="1"/>
        <v>2.3530338458351183</v>
      </c>
      <c r="R43" s="6">
        <f t="shared" si="2"/>
        <v>-0.10017307590630153</v>
      </c>
      <c r="S43" s="6">
        <f t="shared" si="3"/>
        <v>-5.3033845835118498E-2</v>
      </c>
    </row>
    <row r="44" spans="1:19">
      <c r="A44" t="s">
        <v>39</v>
      </c>
      <c r="B44" s="1">
        <v>574132</v>
      </c>
      <c r="C44" s="1">
        <v>24393</v>
      </c>
      <c r="D44" s="1">
        <v>17171</v>
      </c>
      <c r="E44" s="6">
        <v>4.2</v>
      </c>
      <c r="F44" s="6">
        <v>2.9</v>
      </c>
      <c r="L44" s="6">
        <f t="shared" si="0"/>
        <v>4.248674520841897</v>
      </c>
      <c r="M44" s="6">
        <f t="shared" si="1"/>
        <v>2.9907756404450545</v>
      </c>
      <c r="R44" s="6">
        <f t="shared" si="2"/>
        <v>-4.8674520841896829E-2</v>
      </c>
      <c r="S44" s="6">
        <f t="shared" si="3"/>
        <v>-9.0775640445054595E-2</v>
      </c>
    </row>
    <row r="45" spans="1:19">
      <c r="A45" t="s">
        <v>40</v>
      </c>
      <c r="B45" s="1">
        <v>2358895</v>
      </c>
      <c r="C45" s="1">
        <v>119851</v>
      </c>
      <c r="D45" s="1">
        <v>70749</v>
      </c>
      <c r="E45" s="7">
        <v>5.08</v>
      </c>
      <c r="F45" s="6">
        <v>2.9</v>
      </c>
      <c r="L45" s="6">
        <f t="shared" si="0"/>
        <v>5.0808111425052829</v>
      </c>
      <c r="M45" s="6">
        <f t="shared" si="1"/>
        <v>2.9992432897606718</v>
      </c>
      <c r="R45" s="6">
        <f t="shared" si="2"/>
        <v>-8.1114250528280252E-4</v>
      </c>
      <c r="S45" s="6">
        <f t="shared" si="3"/>
        <v>-9.9243289760671871E-2</v>
      </c>
    </row>
    <row r="46" spans="1:19">
      <c r="A46" t="s">
        <v>41</v>
      </c>
      <c r="B46" s="1">
        <v>2662144</v>
      </c>
      <c r="C46" s="1">
        <v>120082</v>
      </c>
      <c r="D46" s="1">
        <v>75696</v>
      </c>
      <c r="E46" s="6">
        <v>4.5</v>
      </c>
      <c r="F46" s="6">
        <v>2.8</v>
      </c>
      <c r="L46" s="6">
        <f t="shared" si="0"/>
        <v>4.5107251899221081</v>
      </c>
      <c r="M46" s="6">
        <f t="shared" si="1"/>
        <v>2.8434224444658143</v>
      </c>
      <c r="R46" s="6">
        <f t="shared" si="2"/>
        <v>-1.0725189922108136E-2</v>
      </c>
      <c r="S46" s="6">
        <f t="shared" si="3"/>
        <v>-4.3422444465814447E-2</v>
      </c>
    </row>
    <row r="47" spans="1:19">
      <c r="A47" t="s">
        <v>42</v>
      </c>
      <c r="B47" s="1">
        <v>940873</v>
      </c>
      <c r="C47" s="1">
        <v>45962</v>
      </c>
      <c r="D47" s="1">
        <v>35020</v>
      </c>
      <c r="E47" s="6">
        <v>4.8</v>
      </c>
      <c r="F47" s="6">
        <v>3.7</v>
      </c>
      <c r="L47" s="6">
        <f t="shared" si="0"/>
        <v>4.8850376193173783</v>
      </c>
      <c r="M47" s="6">
        <f t="shared" si="1"/>
        <v>3.7220751366018581</v>
      </c>
      <c r="R47" s="6">
        <f t="shared" si="2"/>
        <v>-8.5037619317378521E-2</v>
      </c>
      <c r="S47" s="6">
        <f t="shared" si="3"/>
        <v>-2.2075136601857892E-2</v>
      </c>
    </row>
    <row r="48" spans="1:19">
      <c r="A48" t="s">
        <v>43</v>
      </c>
      <c r="B48" s="1">
        <v>680313</v>
      </c>
      <c r="C48" s="1">
        <v>27712</v>
      </c>
      <c r="D48" s="1">
        <v>19708</v>
      </c>
      <c r="E48" s="6">
        <v>4.07</v>
      </c>
      <c r="F48" s="6">
        <v>2.8</v>
      </c>
      <c r="L48" s="6">
        <f t="shared" si="0"/>
        <v>4.0734191467750875</v>
      </c>
      <c r="M48" s="6">
        <f t="shared" si="1"/>
        <v>2.896901867228761</v>
      </c>
      <c r="R48" s="6">
        <f t="shared" si="2"/>
        <v>-3.4191467750872562E-3</v>
      </c>
      <c r="S48" s="6">
        <f t="shared" si="3"/>
        <v>-9.6901867228761152E-2</v>
      </c>
    </row>
    <row r="49" spans="1:19">
      <c r="A49" t="s">
        <v>44</v>
      </c>
      <c r="B49" s="1">
        <v>1783950</v>
      </c>
      <c r="C49" s="1">
        <v>86425</v>
      </c>
      <c r="D49" s="1">
        <v>62828</v>
      </c>
      <c r="E49" s="6">
        <v>4.8</v>
      </c>
      <c r="F49" s="6">
        <v>3.5</v>
      </c>
      <c r="L49" s="6">
        <f t="shared" si="0"/>
        <v>4.8445864514139974</v>
      </c>
      <c r="M49" s="6">
        <f t="shared" si="1"/>
        <v>3.5218475854143891</v>
      </c>
      <c r="R49" s="6">
        <f t="shared" si="2"/>
        <v>-4.458645141399753E-2</v>
      </c>
      <c r="S49" s="6">
        <f t="shared" si="3"/>
        <v>-2.1847585414389137E-2</v>
      </c>
    </row>
    <row r="50" spans="1:19">
      <c r="A50" t="s">
        <v>45</v>
      </c>
      <c r="B50" s="1">
        <v>2412887</v>
      </c>
      <c r="C50" s="1">
        <v>148248</v>
      </c>
      <c r="D50" s="1">
        <v>95277</v>
      </c>
      <c r="E50" s="6">
        <v>6.1</v>
      </c>
      <c r="F50" s="6">
        <v>3.9</v>
      </c>
      <c r="L50" s="6">
        <f t="shared" si="0"/>
        <v>6.1440092304364029</v>
      </c>
      <c r="M50" s="6">
        <f t="shared" si="1"/>
        <v>3.9486722751624925</v>
      </c>
      <c r="R50" s="6">
        <f t="shared" si="2"/>
        <v>-4.4009230436403257E-2</v>
      </c>
      <c r="S50" s="6">
        <f t="shared" si="3"/>
        <v>-4.8672275162492618E-2</v>
      </c>
    </row>
    <row r="51" spans="1:19">
      <c r="A51" t="s">
        <v>46</v>
      </c>
      <c r="B51" s="1">
        <v>1621639</v>
      </c>
      <c r="C51" s="1">
        <v>57842</v>
      </c>
      <c r="D51" s="1">
        <v>55892</v>
      </c>
      <c r="E51" s="6">
        <v>3.5</v>
      </c>
      <c r="F51" s="6">
        <v>3.4</v>
      </c>
      <c r="L51" s="6">
        <f t="shared" si="0"/>
        <v>3.5668851082145903</v>
      </c>
      <c r="M51" s="6">
        <f t="shared" si="1"/>
        <v>3.4466363968799469</v>
      </c>
      <c r="R51" s="6">
        <f t="shared" si="2"/>
        <v>-6.6885108214590261E-2</v>
      </c>
      <c r="S51" s="6">
        <f t="shared" si="3"/>
        <v>-4.6636396879947029E-2</v>
      </c>
    </row>
    <row r="52" spans="1:19">
      <c r="A52" t="s">
        <v>47</v>
      </c>
      <c r="B52" s="1">
        <v>861303</v>
      </c>
      <c r="C52" s="1">
        <v>27724</v>
      </c>
      <c r="D52" s="1">
        <v>27401</v>
      </c>
      <c r="E52" s="7">
        <v>3.21</v>
      </c>
      <c r="F52" s="7">
        <v>3.17</v>
      </c>
      <c r="G52" s="7"/>
      <c r="L52" s="6">
        <f t="shared" si="0"/>
        <v>3.2188440072773461</v>
      </c>
      <c r="M52" s="6">
        <f t="shared" si="1"/>
        <v>3.1813426866039012</v>
      </c>
      <c r="R52" s="6">
        <f t="shared" si="2"/>
        <v>-8.8440072773461331E-3</v>
      </c>
      <c r="S52" s="6">
        <f t="shared" si="3"/>
        <v>-1.1342686603901253E-2</v>
      </c>
    </row>
    <row r="53" spans="1:19">
      <c r="A53" t="s">
        <v>48</v>
      </c>
      <c r="B53" s="1">
        <v>2159483</v>
      </c>
      <c r="C53" s="1">
        <v>119355</v>
      </c>
      <c r="D53" s="1">
        <v>81562</v>
      </c>
      <c r="E53" s="6">
        <v>5.5</v>
      </c>
      <c r="F53" s="6">
        <v>3.8</v>
      </c>
      <c r="L53" s="6">
        <f t="shared" si="0"/>
        <v>5.5270173462814949</v>
      </c>
      <c r="M53" s="6">
        <f t="shared" si="1"/>
        <v>3.7769225319208353</v>
      </c>
      <c r="R53" s="6">
        <f t="shared" si="2"/>
        <v>-2.7017346281494881E-2</v>
      </c>
      <c r="S53" s="6">
        <f t="shared" si="3"/>
        <v>2.3077468079164554E-2</v>
      </c>
    </row>
    <row r="54" spans="1:19">
      <c r="A54" t="s">
        <v>49</v>
      </c>
      <c r="B54" s="1">
        <v>1527762</v>
      </c>
      <c r="C54" s="1">
        <v>73259</v>
      </c>
      <c r="D54" s="1">
        <v>48958</v>
      </c>
      <c r="E54" s="6">
        <v>4.7</v>
      </c>
      <c r="F54" s="6">
        <v>3.5</v>
      </c>
      <c r="L54" s="6">
        <f t="shared" si="0"/>
        <v>4.7951840666281793</v>
      </c>
      <c r="M54" s="6">
        <f t="shared" si="1"/>
        <v>3.2045567306949643</v>
      </c>
      <c r="R54" s="6">
        <f t="shared" si="2"/>
        <v>-9.5184066628179131E-2</v>
      </c>
      <c r="S54" s="6">
        <f t="shared" si="3"/>
        <v>0.29544326930503573</v>
      </c>
    </row>
    <row r="55" spans="1:19">
      <c r="A55" t="s">
        <v>50</v>
      </c>
      <c r="B55" s="1">
        <v>1282558</v>
      </c>
      <c r="C55" s="1">
        <v>70291</v>
      </c>
      <c r="D55" s="1">
        <v>61917</v>
      </c>
      <c r="E55" s="6">
        <v>5.4</v>
      </c>
      <c r="F55" s="6">
        <v>4.8</v>
      </c>
      <c r="L55" s="6">
        <f t="shared" si="0"/>
        <v>5.4805318745818905</v>
      </c>
      <c r="M55" s="6">
        <f t="shared" si="1"/>
        <v>4.827617932288442</v>
      </c>
      <c r="R55" s="6">
        <f t="shared" si="2"/>
        <v>-8.053187458189015E-2</v>
      </c>
      <c r="S55" s="6">
        <f t="shared" si="3"/>
        <v>-2.7617932288442226E-2</v>
      </c>
    </row>
    <row r="56" spans="1:19">
      <c r="A56" t="s">
        <v>51</v>
      </c>
      <c r="B56" s="1">
        <v>624579</v>
      </c>
      <c r="C56" s="1">
        <v>20094</v>
      </c>
      <c r="D56" s="1">
        <v>15558</v>
      </c>
      <c r="E56" s="6">
        <v>3.2</v>
      </c>
      <c r="F56" s="6">
        <v>2.4</v>
      </c>
      <c r="L56" s="6">
        <f t="shared" si="0"/>
        <v>3.2172071107097744</v>
      </c>
      <c r="M56" s="6">
        <f t="shared" si="1"/>
        <v>2.490957909247669</v>
      </c>
      <c r="R56" s="6">
        <f t="shared" si="2"/>
        <v>-1.7207110709774209E-2</v>
      </c>
      <c r="S56" s="6">
        <f t="shared" si="3"/>
        <v>-9.0957909247669111E-2</v>
      </c>
    </row>
    <row r="57" spans="1:19">
      <c r="A57" t="s">
        <v>52</v>
      </c>
      <c r="B57" s="1">
        <v>652986</v>
      </c>
      <c r="C57" s="1">
        <v>27191</v>
      </c>
      <c r="D57" s="1">
        <v>15809</v>
      </c>
      <c r="E57" s="6">
        <v>4.0999999999999996</v>
      </c>
      <c r="F57" s="6">
        <v>2.4</v>
      </c>
      <c r="L57" s="6">
        <f t="shared" si="0"/>
        <v>4.1641015274446929</v>
      </c>
      <c r="M57" s="6">
        <f t="shared" si="1"/>
        <v>2.4210319976232264</v>
      </c>
      <c r="R57" s="6">
        <f t="shared" si="2"/>
        <v>-6.4101527444693218E-2</v>
      </c>
      <c r="S57" s="6">
        <f t="shared" si="3"/>
        <v>-2.1031997623226495E-2</v>
      </c>
    </row>
    <row r="58" spans="1:19">
      <c r="A58" t="s">
        <v>53</v>
      </c>
      <c r="B58" s="1">
        <v>992125</v>
      </c>
      <c r="C58" s="1">
        <v>48728</v>
      </c>
      <c r="D58" s="1">
        <v>28883</v>
      </c>
      <c r="E58" s="6">
        <v>4.9000000000000004</v>
      </c>
      <c r="F58" s="6">
        <v>2.9</v>
      </c>
      <c r="L58" s="6">
        <f t="shared" si="0"/>
        <v>4.9114778883709205</v>
      </c>
      <c r="M58" s="6">
        <f t="shared" si="1"/>
        <v>2.9112259039939525</v>
      </c>
      <c r="R58" s="6">
        <f t="shared" si="2"/>
        <v>-1.147788837092012E-2</v>
      </c>
      <c r="S58" s="6">
        <f t="shared" si="3"/>
        <v>-1.1225903993952624E-2</v>
      </c>
    </row>
    <row r="59" spans="1:19">
      <c r="A59" t="s">
        <v>54</v>
      </c>
      <c r="B59" s="1">
        <v>2607871</v>
      </c>
      <c r="C59" s="1">
        <v>126222</v>
      </c>
      <c r="D59" s="1">
        <v>83184</v>
      </c>
      <c r="E59" s="6">
        <v>4.8</v>
      </c>
      <c r="F59" s="6">
        <v>3.1</v>
      </c>
      <c r="L59" s="6">
        <f t="shared" si="0"/>
        <v>4.8400400173168077</v>
      </c>
      <c r="M59" s="6">
        <f t="shared" si="1"/>
        <v>3.1897283262860778</v>
      </c>
      <c r="R59" s="6">
        <f t="shared" si="2"/>
        <v>-4.0040017316807841E-2</v>
      </c>
      <c r="S59" s="6">
        <f t="shared" si="3"/>
        <v>-8.9728326286077742E-2</v>
      </c>
    </row>
    <row r="60" spans="1:19">
      <c r="A60" t="s">
        <v>55</v>
      </c>
      <c r="B60" s="1">
        <v>1734042</v>
      </c>
      <c r="C60" s="1">
        <v>76142</v>
      </c>
      <c r="D60" s="1">
        <v>67200</v>
      </c>
      <c r="E60" s="6">
        <v>4.3</v>
      </c>
      <c r="F60" s="6">
        <v>3.8</v>
      </c>
      <c r="L60" s="6">
        <f t="shared" si="0"/>
        <v>4.3910124437585711</v>
      </c>
      <c r="M60" s="6">
        <f t="shared" si="1"/>
        <v>3.875338659617241</v>
      </c>
      <c r="R60" s="6">
        <f t="shared" si="2"/>
        <v>-9.1012443758571315E-2</v>
      </c>
      <c r="S60" s="6">
        <f t="shared" si="3"/>
        <v>-7.5338659617241177E-2</v>
      </c>
    </row>
    <row r="61" spans="1:19">
      <c r="A61" t="s">
        <v>56</v>
      </c>
      <c r="B61" s="1">
        <v>1346287</v>
      </c>
      <c r="C61" s="1">
        <v>71049</v>
      </c>
      <c r="D61" s="1">
        <v>51053</v>
      </c>
      <c r="E61" s="6">
        <v>5.2</v>
      </c>
      <c r="F61" s="6">
        <v>3.7</v>
      </c>
      <c r="L61" s="6">
        <f t="shared" si="0"/>
        <v>5.2774037036679395</v>
      </c>
      <c r="M61" s="6">
        <f t="shared" si="1"/>
        <v>3.7921334752545333</v>
      </c>
      <c r="R61" s="6">
        <f t="shared" si="2"/>
        <v>-7.7403703667939361E-2</v>
      </c>
      <c r="S61" s="6">
        <f t="shared" si="3"/>
        <v>-9.2133475254533082E-2</v>
      </c>
    </row>
    <row r="62" spans="1:19">
      <c r="A62" t="s">
        <v>57</v>
      </c>
      <c r="B62" s="1">
        <v>1196065</v>
      </c>
      <c r="C62" s="1">
        <v>60706</v>
      </c>
      <c r="D62" s="1">
        <v>34982</v>
      </c>
      <c r="E62" s="6">
        <v>5.07</v>
      </c>
      <c r="F62" s="6">
        <v>2.9</v>
      </c>
      <c r="L62" s="6">
        <f t="shared" si="0"/>
        <v>5.075476667237985</v>
      </c>
      <c r="M62" s="6">
        <f t="shared" si="1"/>
        <v>2.9247574337515103</v>
      </c>
      <c r="R62" s="6">
        <f t="shared" si="2"/>
        <v>-5.4766672379846781E-3</v>
      </c>
      <c r="S62" s="6">
        <f t="shared" si="3"/>
        <v>-2.4757433751510405E-2</v>
      </c>
    </row>
    <row r="63" spans="1:19">
      <c r="A63" t="s">
        <v>58</v>
      </c>
      <c r="B63" s="1">
        <v>1409932</v>
      </c>
      <c r="C63" s="1">
        <v>73017</v>
      </c>
      <c r="D63" s="1">
        <v>56589</v>
      </c>
      <c r="E63" s="6">
        <v>5.0999999999999996</v>
      </c>
      <c r="F63" s="7">
        <v>4.01</v>
      </c>
      <c r="G63" s="7"/>
      <c r="L63" s="6">
        <f t="shared" si="0"/>
        <v>5.1787603941182976</v>
      </c>
      <c r="M63" s="6">
        <f t="shared" si="1"/>
        <v>4.0135978189019044</v>
      </c>
      <c r="R63" s="6">
        <f t="shared" si="2"/>
        <v>-7.8760394118297938E-2</v>
      </c>
      <c r="S63" s="6">
        <f t="shared" si="3"/>
        <v>-3.5978189019045814E-3</v>
      </c>
    </row>
    <row r="64" spans="1:19">
      <c r="A64" t="s">
        <v>59</v>
      </c>
      <c r="B64" s="1">
        <v>1874154</v>
      </c>
      <c r="C64" s="1">
        <v>87264</v>
      </c>
      <c r="D64" s="1">
        <v>53545</v>
      </c>
      <c r="E64" s="6">
        <v>4.5999999999999996</v>
      </c>
      <c r="F64" s="6">
        <v>2.8</v>
      </c>
      <c r="L64" s="6">
        <f t="shared" si="0"/>
        <v>4.656180868808006</v>
      </c>
      <c r="M64" s="6">
        <f t="shared" si="1"/>
        <v>2.8570224218500719</v>
      </c>
      <c r="R64" s="6">
        <f t="shared" si="2"/>
        <v>-5.6180868808006323E-2</v>
      </c>
      <c r="S64" s="6">
        <f t="shared" si="3"/>
        <v>-5.7022421850072114E-2</v>
      </c>
    </row>
    <row r="65" spans="1:25">
      <c r="A65" t="s">
        <v>60</v>
      </c>
      <c r="B65" s="1">
        <v>2230111</v>
      </c>
      <c r="C65" s="1">
        <v>112773</v>
      </c>
      <c r="D65" s="1">
        <v>72531</v>
      </c>
      <c r="E65" s="6">
        <v>5.05</v>
      </c>
      <c r="F65" s="6">
        <v>3.2</v>
      </c>
      <c r="L65" s="6">
        <f t="shared" si="0"/>
        <v>5.0568334939381936</v>
      </c>
      <c r="M65" s="6">
        <f t="shared" si="1"/>
        <v>3.2523493225225111</v>
      </c>
      <c r="R65" s="6">
        <f t="shared" si="2"/>
        <v>-6.8334939381937687E-3</v>
      </c>
      <c r="S65" s="6">
        <f t="shared" si="3"/>
        <v>-5.2349322522510899E-2</v>
      </c>
    </row>
    <row r="66" spans="1:25">
      <c r="A66" t="s">
        <v>61</v>
      </c>
      <c r="B66" s="1">
        <v>1697584</v>
      </c>
      <c r="C66" s="1">
        <v>93614</v>
      </c>
      <c r="D66" s="1">
        <v>58137</v>
      </c>
      <c r="E66" s="6">
        <v>5.5</v>
      </c>
      <c r="F66" s="6">
        <v>3.4</v>
      </c>
      <c r="L66" s="6">
        <f t="shared" si="0"/>
        <v>5.5145430211406321</v>
      </c>
      <c r="M66" s="6">
        <f t="shared" si="1"/>
        <v>3.4246906191387287</v>
      </c>
      <c r="R66" s="6">
        <f t="shared" si="2"/>
        <v>-1.4543021140632106E-2</v>
      </c>
      <c r="S66" s="6">
        <f t="shared" si="3"/>
        <v>-2.4690619138728831E-2</v>
      </c>
    </row>
    <row r="67" spans="1:25">
      <c r="A67" t="s">
        <v>62</v>
      </c>
      <c r="B67" s="1">
        <v>2064543</v>
      </c>
      <c r="C67" s="1">
        <v>100917</v>
      </c>
      <c r="D67" s="1">
        <v>66500</v>
      </c>
      <c r="E67" s="6">
        <v>4.8</v>
      </c>
      <c r="F67" s="6">
        <v>3.2</v>
      </c>
      <c r="L67" s="6">
        <f t="shared" si="0"/>
        <v>4.8881035657770262</v>
      </c>
      <c r="M67" s="6">
        <f t="shared" si="1"/>
        <v>3.2210518259973271</v>
      </c>
      <c r="R67" s="6">
        <f t="shared" si="2"/>
        <v>-8.8103565777026382E-2</v>
      </c>
      <c r="S67" s="6">
        <f t="shared" si="3"/>
        <v>-2.1051825997326912E-2</v>
      </c>
    </row>
    <row r="68" spans="1:25">
      <c r="A68" t="s">
        <v>63</v>
      </c>
      <c r="B68" s="1">
        <v>383834</v>
      </c>
      <c r="C68" s="1">
        <v>11489</v>
      </c>
      <c r="D68" s="1">
        <v>9513</v>
      </c>
      <c r="E68" s="6">
        <v>2.9</v>
      </c>
      <c r="F68" s="6">
        <v>2.4</v>
      </c>
      <c r="L68" s="6">
        <f t="shared" si="0"/>
        <v>2.9932210278401601</v>
      </c>
      <c r="M68" s="6">
        <f t="shared" si="1"/>
        <v>2.478415148215114</v>
      </c>
      <c r="R68" s="6">
        <f t="shared" si="2"/>
        <v>-9.3221027840160176E-2</v>
      </c>
      <c r="S68" s="6">
        <f t="shared" si="3"/>
        <v>-7.8415148215114083E-2</v>
      </c>
    </row>
    <row r="69" spans="1:25">
      <c r="A69" t="s">
        <v>64</v>
      </c>
      <c r="B69" s="1">
        <v>1118129</v>
      </c>
      <c r="C69" s="1">
        <v>41809</v>
      </c>
      <c r="D69" s="1">
        <v>43554</v>
      </c>
      <c r="E69" s="6">
        <v>3.7</v>
      </c>
      <c r="F69" s="6">
        <v>3.8</v>
      </c>
      <c r="L69" s="6">
        <f t="shared" ref="L69:L90" si="4">C69/B69*100</f>
        <v>3.7391928838264636</v>
      </c>
      <c r="M69" s="6">
        <f t="shared" ref="M69:M90" si="5">D69/B69*100</f>
        <v>3.8952571662124855</v>
      </c>
      <c r="R69" s="6">
        <f>E69-L69</f>
        <v>-3.9192883826463465E-2</v>
      </c>
      <c r="S69" s="6">
        <f>F69-M69</f>
        <v>-9.52571662124857E-2</v>
      </c>
    </row>
    <row r="70" spans="1:25">
      <c r="A70" s="12" t="s">
        <v>65</v>
      </c>
      <c r="B70" s="13">
        <v>90182878</v>
      </c>
      <c r="C70" s="13">
        <v>4324169</v>
      </c>
      <c r="D70" s="13">
        <v>3096415</v>
      </c>
      <c r="E70" s="15">
        <v>4.79</v>
      </c>
      <c r="F70" s="15">
        <v>3.43</v>
      </c>
      <c r="G70" s="7"/>
      <c r="I70" s="10">
        <f>SUM(B3:B69)-B8-B35-B52</f>
        <v>90529390</v>
      </c>
      <c r="J70" s="10">
        <f>SUM(C3:C69)-C8-C35-C52</f>
        <v>4324169</v>
      </c>
      <c r="K70" s="10">
        <f>SUM(D3:D69)-D8-D35-D52</f>
        <v>3096415</v>
      </c>
      <c r="L70" s="11">
        <f t="shared" si="4"/>
        <v>4.7948891140954712</v>
      </c>
      <c r="M70" s="11">
        <f t="shared" si="5"/>
        <v>3.4334843472172181</v>
      </c>
      <c r="O70" s="10">
        <f>B70-I70</f>
        <v>-346512</v>
      </c>
      <c r="P70" s="10">
        <f>C70-J70</f>
        <v>0</v>
      </c>
      <c r="Q70" s="10">
        <f>D70-K70</f>
        <v>0</v>
      </c>
      <c r="R70" s="11">
        <f>E70-L70</f>
        <v>-4.8891140954712142E-3</v>
      </c>
      <c r="S70" s="11">
        <f>F70-M70</f>
        <v>-3.4843472172179091E-3</v>
      </c>
      <c r="U70" s="16" t="s">
        <v>104</v>
      </c>
      <c r="V70" s="16"/>
      <c r="W70" s="16"/>
      <c r="Y70" s="1">
        <f>O70+B5</f>
        <v>1000</v>
      </c>
    </row>
    <row r="72" spans="1:25">
      <c r="A72" t="s">
        <v>66</v>
      </c>
      <c r="B72" s="1">
        <v>467173</v>
      </c>
      <c r="C72" s="1">
        <v>12609</v>
      </c>
      <c r="D72" s="1">
        <v>8390</v>
      </c>
      <c r="E72" s="6">
        <v>2.6</v>
      </c>
      <c r="F72" s="6">
        <v>1.7</v>
      </c>
      <c r="L72" s="6">
        <f t="shared" si="4"/>
        <v>2.6990001562590304</v>
      </c>
      <c r="M72" s="6">
        <f t="shared" si="5"/>
        <v>1.7959085820456233</v>
      </c>
      <c r="R72" s="6">
        <f>E72-L72</f>
        <v>-9.9000156259030359E-2</v>
      </c>
      <c r="S72" s="6">
        <f>F72-M72</f>
        <v>-9.5908582045623358E-2</v>
      </c>
    </row>
    <row r="73" spans="1:25">
      <c r="A73" t="s">
        <v>67</v>
      </c>
      <c r="B73" s="1">
        <v>48140</v>
      </c>
      <c r="C73" s="1">
        <v>1903</v>
      </c>
      <c r="D73" s="1">
        <v>1322</v>
      </c>
      <c r="E73" s="6">
        <v>3.9</v>
      </c>
      <c r="F73" s="6">
        <v>2.7</v>
      </c>
      <c r="L73" s="6">
        <f t="shared" si="4"/>
        <v>3.9530535936850852</v>
      </c>
      <c r="M73" s="6">
        <f t="shared" si="5"/>
        <v>2.7461570419609473</v>
      </c>
      <c r="R73" s="6">
        <f>E73-L73</f>
        <v>-5.3053593685085332E-2</v>
      </c>
      <c r="S73" s="6">
        <f>F73-M73</f>
        <v>-4.6157041960947165E-2</v>
      </c>
    </row>
    <row r="74" spans="1:25">
      <c r="A74" t="s">
        <v>68</v>
      </c>
      <c r="B74" s="2" t="s">
        <v>85</v>
      </c>
      <c r="C74" s="2" t="s">
        <v>85</v>
      </c>
      <c r="D74" s="2" t="s">
        <v>85</v>
      </c>
      <c r="E74" s="2" t="s">
        <v>85</v>
      </c>
      <c r="F74" s="2" t="s">
        <v>85</v>
      </c>
      <c r="G74" s="2"/>
    </row>
    <row r="75" spans="1:25">
      <c r="A75" t="s">
        <v>107</v>
      </c>
      <c r="B75" s="1">
        <v>80000</v>
      </c>
      <c r="C75" s="1">
        <v>298</v>
      </c>
      <c r="D75" s="2">
        <v>189</v>
      </c>
      <c r="E75" s="2" t="s">
        <v>85</v>
      </c>
      <c r="F75" s="2" t="s">
        <v>85</v>
      </c>
      <c r="G75" s="2"/>
      <c r="L75" s="6">
        <f t="shared" si="4"/>
        <v>0.3725</v>
      </c>
      <c r="M75" s="6">
        <f t="shared" si="5"/>
        <v>0.23625000000000002</v>
      </c>
    </row>
    <row r="76" spans="1:25">
      <c r="A76" t="s">
        <v>69</v>
      </c>
      <c r="B76" s="2" t="s">
        <v>85</v>
      </c>
      <c r="C76" s="2" t="s">
        <v>85</v>
      </c>
      <c r="D76" s="2" t="s">
        <v>85</v>
      </c>
      <c r="E76" s="2" t="s">
        <v>85</v>
      </c>
      <c r="F76" s="2" t="s">
        <v>85</v>
      </c>
      <c r="G76" s="2"/>
    </row>
    <row r="77" spans="1:25">
      <c r="A77" t="s">
        <v>70</v>
      </c>
      <c r="B77" s="1">
        <v>666339</v>
      </c>
      <c r="C77" s="1">
        <v>22178</v>
      </c>
      <c r="D77" s="1">
        <v>15639</v>
      </c>
      <c r="E77" s="6">
        <v>3.3</v>
      </c>
      <c r="F77" s="6">
        <v>2.2999999999999998</v>
      </c>
      <c r="L77" s="6">
        <f t="shared" si="4"/>
        <v>3.3283358770835867</v>
      </c>
      <c r="M77" s="6">
        <f t="shared" si="5"/>
        <v>2.3470035522459289</v>
      </c>
      <c r="R77" s="6">
        <f>E77-L77</f>
        <v>-2.8335877083586869E-2</v>
      </c>
      <c r="S77" s="6">
        <f>F77-M77</f>
        <v>-4.7003552245929114E-2</v>
      </c>
    </row>
    <row r="78" spans="1:25">
      <c r="A78" t="s">
        <v>71</v>
      </c>
      <c r="B78" s="1">
        <v>1212600</v>
      </c>
      <c r="C78" s="2" t="s">
        <v>85</v>
      </c>
      <c r="D78" s="2" t="s">
        <v>85</v>
      </c>
      <c r="E78" s="2" t="s">
        <v>85</v>
      </c>
      <c r="F78" s="2" t="s">
        <v>85</v>
      </c>
      <c r="G78" s="2"/>
    </row>
    <row r="79" spans="1:25">
      <c r="A79" t="s">
        <v>72</v>
      </c>
      <c r="B79" s="1">
        <v>332000</v>
      </c>
      <c r="C79" s="1">
        <v>592</v>
      </c>
      <c r="D79" s="1">
        <v>555</v>
      </c>
      <c r="E79" s="6">
        <v>6.18</v>
      </c>
      <c r="F79" s="6">
        <v>5.79</v>
      </c>
      <c r="L79" s="6">
        <f t="shared" si="4"/>
        <v>0.1783132530120482</v>
      </c>
      <c r="M79" s="6">
        <f t="shared" si="5"/>
        <v>0.16716867469879518</v>
      </c>
      <c r="R79" s="6">
        <f>E79-L79</f>
        <v>6.0016867469879518</v>
      </c>
      <c r="S79" s="6">
        <f>F79-M79</f>
        <v>5.6228313253012052</v>
      </c>
    </row>
    <row r="80" spans="1:25">
      <c r="A80" t="s">
        <v>73</v>
      </c>
      <c r="B80" s="1">
        <v>527601</v>
      </c>
      <c r="C80" s="1">
        <v>4295</v>
      </c>
      <c r="D80" s="1">
        <v>3598</v>
      </c>
      <c r="E80" s="6">
        <v>0.81</v>
      </c>
      <c r="F80" s="6">
        <v>0.68</v>
      </c>
      <c r="L80" s="6">
        <f t="shared" si="4"/>
        <v>0.81406214165628943</v>
      </c>
      <c r="M80" s="6">
        <f t="shared" si="5"/>
        <v>0.68195473473325485</v>
      </c>
      <c r="R80" s="6">
        <f>E80-L80</f>
        <v>-4.0621416562893753E-3</v>
      </c>
      <c r="S80" s="6">
        <f>F80-M80</f>
        <v>-1.9547347332548037E-3</v>
      </c>
    </row>
    <row r="81" spans="1:25">
      <c r="A81" t="s">
        <v>74</v>
      </c>
      <c r="B81" s="2" t="s">
        <v>85</v>
      </c>
      <c r="C81" s="2" t="s">
        <v>85</v>
      </c>
      <c r="D81" s="2" t="s">
        <v>85</v>
      </c>
      <c r="E81" s="2" t="s">
        <v>85</v>
      </c>
      <c r="F81" s="2" t="s">
        <v>85</v>
      </c>
      <c r="G81" s="2"/>
    </row>
    <row r="82" spans="1:25">
      <c r="A82" t="s">
        <v>75</v>
      </c>
      <c r="B82" s="1">
        <v>251896</v>
      </c>
      <c r="C82" s="1">
        <v>6952</v>
      </c>
      <c r="D82" s="1">
        <v>5531</v>
      </c>
      <c r="E82" s="6">
        <v>2.7</v>
      </c>
      <c r="F82" s="6">
        <v>2.1</v>
      </c>
      <c r="L82" s="6">
        <f t="shared" si="4"/>
        <v>2.7598691523485885</v>
      </c>
      <c r="M82" s="6">
        <f t="shared" si="5"/>
        <v>2.1957474513291197</v>
      </c>
      <c r="R82" s="6">
        <f>E82-L82</f>
        <v>-5.9869152348588361E-2</v>
      </c>
      <c r="S82" s="6">
        <f>F82-M82</f>
        <v>-9.5747451329119659E-2</v>
      </c>
    </row>
    <row r="83" spans="1:25">
      <c r="R83" s="6">
        <f>E83-L83</f>
        <v>0</v>
      </c>
      <c r="S83" s="6">
        <f>F83-M83</f>
        <v>0</v>
      </c>
    </row>
    <row r="84" spans="1:25">
      <c r="A84" s="16" t="s">
        <v>105</v>
      </c>
    </row>
    <row r="85" spans="1:25">
      <c r="A85" t="s">
        <v>76</v>
      </c>
      <c r="B85" s="1">
        <v>36492</v>
      </c>
      <c r="C85" s="2" t="s">
        <v>85</v>
      </c>
      <c r="D85" s="2" t="s">
        <v>85</v>
      </c>
      <c r="E85" s="2" t="s">
        <v>85</v>
      </c>
      <c r="F85" s="2" t="s">
        <v>85</v>
      </c>
      <c r="G85" s="2"/>
    </row>
    <row r="86" spans="1:25">
      <c r="A86" t="s">
        <v>77</v>
      </c>
      <c r="B86" s="1">
        <v>29084</v>
      </c>
      <c r="C86" s="1">
        <v>1382</v>
      </c>
      <c r="D86" s="1">
        <v>978</v>
      </c>
      <c r="E86" s="6">
        <v>4.7</v>
      </c>
      <c r="F86" s="6">
        <v>3.3</v>
      </c>
      <c r="G86" t="s">
        <v>53</v>
      </c>
      <c r="L86" s="6">
        <f t="shared" si="4"/>
        <v>4.7517535414660976</v>
      </c>
      <c r="M86" s="6">
        <f t="shared" si="5"/>
        <v>3.36267363498831</v>
      </c>
      <c r="R86" s="6">
        <f t="shared" ref="R86:S88" si="6">E86-L86</f>
        <v>-5.1753541466097452E-2</v>
      </c>
      <c r="S86" s="6">
        <f t="shared" si="6"/>
        <v>-6.2673634988310134E-2</v>
      </c>
    </row>
    <row r="87" spans="1:25">
      <c r="A87" t="s">
        <v>78</v>
      </c>
      <c r="B87" s="1">
        <v>258488</v>
      </c>
      <c r="C87" s="1">
        <v>9204</v>
      </c>
      <c r="D87" s="1">
        <v>7471</v>
      </c>
      <c r="E87" s="6">
        <v>3.5</v>
      </c>
      <c r="F87" s="6">
        <v>2.8</v>
      </c>
      <c r="G87" t="s">
        <v>61</v>
      </c>
      <c r="L87" s="6">
        <f t="shared" si="4"/>
        <v>3.5607068800099033</v>
      </c>
      <c r="M87" s="6">
        <f t="shared" si="5"/>
        <v>2.8902695676395038</v>
      </c>
      <c r="R87" s="6">
        <f t="shared" si="6"/>
        <v>-6.0706880009903319E-2</v>
      </c>
      <c r="S87" s="6">
        <f t="shared" si="6"/>
        <v>-9.0269567639504E-2</v>
      </c>
    </row>
    <row r="88" spans="1:25">
      <c r="A88" t="s">
        <v>79</v>
      </c>
      <c r="B88" s="1">
        <v>78613</v>
      </c>
      <c r="C88" s="1">
        <v>3714</v>
      </c>
      <c r="D88" s="1">
        <v>2004</v>
      </c>
      <c r="E88" s="6">
        <v>4.7</v>
      </c>
      <c r="F88" s="6">
        <v>2.5</v>
      </c>
      <c r="G88" t="s">
        <v>12</v>
      </c>
      <c r="L88" s="6">
        <f t="shared" si="4"/>
        <v>4.7244094488188972</v>
      </c>
      <c r="M88" s="6">
        <f t="shared" si="5"/>
        <v>2.5491966977471923</v>
      </c>
      <c r="R88" s="6">
        <f t="shared" si="6"/>
        <v>-2.4409448818897062E-2</v>
      </c>
      <c r="S88" s="6">
        <f t="shared" si="6"/>
        <v>-4.9196697747192264E-2</v>
      </c>
    </row>
    <row r="90" spans="1:25">
      <c r="A90" t="s">
        <v>109</v>
      </c>
      <c r="B90" s="1">
        <v>72000</v>
      </c>
      <c r="C90" s="1">
        <v>1341</v>
      </c>
      <c r="D90" s="1">
        <v>1232</v>
      </c>
      <c r="E90" s="6">
        <v>1.8</v>
      </c>
      <c r="F90" s="6">
        <v>1.7</v>
      </c>
      <c r="L90" s="6">
        <f t="shared" si="4"/>
        <v>1.8624999999999998</v>
      </c>
      <c r="M90" s="6">
        <f t="shared" si="5"/>
        <v>1.7111111111111112</v>
      </c>
      <c r="R90" s="6">
        <f>E90-L90</f>
        <v>-6.2499999999999778E-2</v>
      </c>
      <c r="S90" s="6">
        <f>F90-M90</f>
        <v>-1.1111111111111294E-2</v>
      </c>
    </row>
    <row r="92" spans="1:25">
      <c r="A92" s="12" t="s">
        <v>115</v>
      </c>
      <c r="B92" s="13">
        <v>94243304</v>
      </c>
      <c r="C92" s="13"/>
      <c r="D92" s="13"/>
      <c r="E92" s="14"/>
      <c r="F92" s="14"/>
      <c r="I92" s="10">
        <f>SUM(B72:B90) +I70</f>
        <v>94589816</v>
      </c>
      <c r="O92" s="10">
        <f>B92-I92</f>
        <v>-346512</v>
      </c>
      <c r="U92" s="16" t="s">
        <v>104</v>
      </c>
      <c r="V92" s="16"/>
      <c r="W92" s="16"/>
      <c r="Y92" s="1">
        <f>O92+B5</f>
        <v>1000</v>
      </c>
    </row>
    <row r="94" spans="1:25">
      <c r="A94" t="s">
        <v>108</v>
      </c>
      <c r="B94" s="2" t="s">
        <v>85</v>
      </c>
      <c r="C94" s="1">
        <v>949</v>
      </c>
      <c r="D94" s="1">
        <v>432</v>
      </c>
      <c r="G94" t="s">
        <v>53</v>
      </c>
    </row>
    <row r="95" spans="1:25">
      <c r="A95" t="s">
        <v>110</v>
      </c>
      <c r="B95" s="2" t="s">
        <v>85</v>
      </c>
      <c r="C95" s="1">
        <v>3176</v>
      </c>
      <c r="D95" s="1">
        <v>2642</v>
      </c>
      <c r="G95" t="s">
        <v>61</v>
      </c>
    </row>
    <row r="97" spans="1:7">
      <c r="A97" t="s">
        <v>111</v>
      </c>
      <c r="B97" s="2" t="s">
        <v>85</v>
      </c>
      <c r="C97" s="1">
        <v>21019</v>
      </c>
      <c r="D97" s="1">
        <v>13439</v>
      </c>
      <c r="G97" s="6" t="s">
        <v>13</v>
      </c>
    </row>
    <row r="98" spans="1:7">
      <c r="A98" t="s">
        <v>112</v>
      </c>
      <c r="B98" s="2">
        <v>530896</v>
      </c>
      <c r="C98" s="1">
        <v>23086</v>
      </c>
      <c r="D98" s="1">
        <v>16474</v>
      </c>
      <c r="G98" s="6" t="s">
        <v>113</v>
      </c>
    </row>
    <row r="101" spans="1:7">
      <c r="A101" t="s">
        <v>116</v>
      </c>
      <c r="B101" s="2" t="s">
        <v>85</v>
      </c>
      <c r="C101" s="1">
        <v>95692</v>
      </c>
      <c r="D101" s="1">
        <v>50935</v>
      </c>
    </row>
    <row r="102" spans="1:7">
      <c r="B102" s="2"/>
    </row>
    <row r="103" spans="1:7">
      <c r="B103" s="2"/>
    </row>
    <row r="104" spans="1:7">
      <c r="A104" s="16" t="s">
        <v>119</v>
      </c>
    </row>
    <row r="105" spans="1:7">
      <c r="A105" s="17"/>
    </row>
    <row r="106" spans="1:7">
      <c r="A106" t="s">
        <v>117</v>
      </c>
    </row>
    <row r="107" spans="1:7">
      <c r="A107" t="s">
        <v>118</v>
      </c>
    </row>
    <row r="108" spans="1:7">
      <c r="A108" t="s">
        <v>120</v>
      </c>
    </row>
    <row r="110" spans="1:7">
      <c r="A110" t="s">
        <v>121</v>
      </c>
      <c r="C110" s="1">
        <v>95592</v>
      </c>
      <c r="D110" s="1">
        <v>51035</v>
      </c>
    </row>
    <row r="111" spans="1:7">
      <c r="A111" t="s">
        <v>122</v>
      </c>
      <c r="C111" s="1">
        <v>95692</v>
      </c>
      <c r="D111" s="1">
        <v>50935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sergey</cp:lastModifiedBy>
  <dcterms:created xsi:type="dcterms:W3CDTF">2026-05-08T23:45:46Z</dcterms:created>
  <dcterms:modified xsi:type="dcterms:W3CDTF">2026-07-26T01:07:40Z</dcterms:modified>
</cp:coreProperties>
</file>