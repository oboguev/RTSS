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@downloads\ugvi\"/>
    </mc:Choice>
  </mc:AlternateContent>
  <xr:revisionPtr revIDLastSave="0" documentId="13_ncr:1_{049B21BA-85BA-4392-9C6E-82E27A185EB1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  <sheet name="check" sheetId="2" r:id="rId2"/>
    <sheet name="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9" i="1" l="1"/>
  <c r="K99" i="1"/>
  <c r="J99" i="1"/>
  <c r="L98" i="1"/>
  <c r="K98" i="1"/>
  <c r="J98" i="1"/>
  <c r="L88" i="1"/>
  <c r="K88" i="1"/>
  <c r="J88" i="1"/>
  <c r="L79" i="1"/>
  <c r="K79" i="1"/>
  <c r="J79" i="1"/>
  <c r="L68" i="1"/>
  <c r="K68" i="1"/>
  <c r="J68" i="1"/>
  <c r="L66" i="1"/>
  <c r="K66" i="1"/>
  <c r="J66" i="1"/>
  <c r="L29" i="1"/>
  <c r="K29" i="1"/>
  <c r="J29" i="1"/>
  <c r="L14" i="1"/>
  <c r="K14" i="1"/>
  <c r="J14" i="1"/>
  <c r="H99" i="1"/>
  <c r="G99" i="1"/>
  <c r="F99" i="1"/>
  <c r="H98" i="1"/>
  <c r="G98" i="1"/>
  <c r="F98" i="1"/>
  <c r="H88" i="1"/>
  <c r="G88" i="1"/>
  <c r="F88" i="1"/>
  <c r="H79" i="1"/>
  <c r="G79" i="1"/>
  <c r="F79" i="1"/>
  <c r="H68" i="1"/>
  <c r="G68" i="1"/>
  <c r="F68" i="1"/>
  <c r="H66" i="1"/>
  <c r="G66" i="1"/>
  <c r="F66" i="1"/>
  <c r="H29" i="1"/>
  <c r="G29" i="1"/>
  <c r="F29" i="1"/>
  <c r="H14" i="1"/>
  <c r="G14" i="1"/>
  <c r="F14" i="1"/>
</calcChain>
</file>

<file path=xl/sharedStrings.xml><?xml version="1.0" encoding="utf-8"?>
<sst xmlns="http://schemas.openxmlformats.org/spreadsheetml/2006/main" count="449" uniqueCount="143">
  <si>
    <t>губ</t>
  </si>
  <si>
    <t>чж NYY</t>
  </si>
  <si>
    <t>чр YY</t>
  </si>
  <si>
    <t>чу YY</t>
  </si>
  <si>
    <t>Архангельская</t>
  </si>
  <si>
    <t>Астраханская</t>
  </si>
  <si>
    <t>Виленская</t>
  </si>
  <si>
    <t>Витебская</t>
  </si>
  <si>
    <t>Волынская</t>
  </si>
  <si>
    <t>Гродненская</t>
  </si>
  <si>
    <t>Киевская</t>
  </si>
  <si>
    <t>Ковенская</t>
  </si>
  <si>
    <t>Минская</t>
  </si>
  <si>
    <t>Могилевская</t>
  </si>
  <si>
    <t>Оренбургская</t>
  </si>
  <si>
    <t>Подольская</t>
  </si>
  <si>
    <t>Итого в неземских губерниях</t>
  </si>
  <si>
    <t>Варшавская</t>
  </si>
  <si>
    <t>Г. Варшава</t>
  </si>
  <si>
    <t>Калишская</t>
  </si>
  <si>
    <t>Келецкая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</si>
  <si>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</si>
  <si>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</si>
  <si>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</si>
  <si>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</si>
  <si>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</si>
  <si>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</si>
  <si>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Седлецкая</t>
  </si>
  <si>
    <t>Курляндская</t>
  </si>
  <si>
    <t>Лифляндская</t>
  </si>
  <si>
    <t>Эстляндская</t>
  </si>
  <si>
    <t>Итого в привислинских и остзейских губерниях</t>
  </si>
  <si>
    <t>Бессарабская</t>
  </si>
  <si>
    <t>Владимирская</t>
  </si>
  <si>
    <t>Вологодская</t>
  </si>
  <si>
    <t>Воронежская</t>
  </si>
  <si>
    <t>Вятская</t>
  </si>
  <si>
    <t>Екатеринославская</t>
  </si>
  <si>
    <t>Казанская</t>
  </si>
  <si>
    <t>Калужская</t>
  </si>
  <si>
    <t>Костромская</t>
  </si>
  <si>
    <t>Курская</t>
  </si>
  <si>
    <t>Гор. Москва</t>
  </si>
  <si>
    <t>Московская</t>
  </si>
  <si>
    <t>Нижегородская</t>
  </si>
  <si>
    <t>Новгородская</t>
  </si>
  <si>
    <t>Олонецкая</t>
  </si>
  <si>
    <t>Орловская</t>
  </si>
  <si>
    <t>Пензенская</t>
  </si>
  <si>
    <t>Пермская</t>
  </si>
  <si>
    <t>Полтавская</t>
  </si>
  <si>
    <t>Псковская</t>
  </si>
  <si>
    <t>Рязанская</t>
  </si>
  <si>
    <t>Самарская</t>
  </si>
  <si>
    <t>Г. С.-Петербург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</si>
  <si>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</si>
  <si>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</si>
  <si>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</si>
  <si>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</si>
  <si>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</si>
  <si>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</si>
  <si>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</si>
  <si>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</si>
  <si>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</si>
  <si>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</si>
  <si>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</si>
  <si>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</si>
  <si>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Ярославская</t>
  </si>
  <si>
    <t>Итого в земских губерниях</t>
  </si>
  <si>
    <t>Обл. Войска Донского</t>
  </si>
  <si>
    <t>Итого в Европейской России</t>
  </si>
  <si>
    <t>Бакинская</t>
  </si>
  <si>
    <t>Дагестанская обл.</t>
  </si>
  <si>
    <t>Елисаветпольская</t>
  </si>
  <si>
    <t>Карсская обл.</t>
  </si>
  <si>
    <t>—</t>
  </si>
  <si>
    <t>Кубанская обл.</t>
  </si>
  <si>
    <t>Кутаисская</t>
  </si>
  <si>
    <t>Ставропольская</t>
  </si>
  <si>
    <t>Терская обл.</t>
  </si>
  <si>
    <t>Тифлисская</t>
  </si>
  <si>
    <t>Эриванская</t>
  </si>
  <si>
    <t>Итого на Кавказ</t>
  </si>
  <si>
    <t>Амурская обл.</t>
  </si>
  <si>
    <t>Енисейская</t>
  </si>
  <si>
    <t>Забайкальская обл.</t>
  </si>
  <si>
    <t>Иркутская</t>
  </si>
  <si>
    <t>Приморская обл.</t>
  </si>
  <si>
    <t>Тобольская</t>
  </si>
  <si>
    <t>Томская</t>
  </si>
  <si>
    <t>Якутская обл.</t>
  </si>
  <si>
    <t>Итого в Сибири</t>
  </si>
  <si>
    <t>Акмолинская обл.</t>
  </si>
  <si>
    <t>Закаспийская обл.</t>
  </si>
  <si>
    <t>Самаркандская обл.</t>
  </si>
  <si>
    <t>Семипалатинская обл.</t>
  </si>
  <si>
    <t>Семиреченская обл.</t>
  </si>
  <si>
    <t>Сыр-Дарьинская обл.</t>
  </si>
  <si>
    <t>Тургайская обл.</t>
  </si>
  <si>
    <t>Уральская обл.</t>
  </si>
  <si>
    <t>Ферганская обл.</t>
  </si>
  <si>
    <t>Итого в Средне-Азиатских обл.</t>
  </si>
  <si>
    <t>Итого во всей Империи</t>
  </si>
  <si>
    <t>чж строка</t>
  </si>
  <si>
    <t>Σ уездов чж</t>
  </si>
  <si>
    <t>Δ чж</t>
  </si>
  <si>
    <t>чр строка</t>
  </si>
  <si>
    <t>Σ уездов чр</t>
  </si>
  <si>
    <t>Δ чр</t>
  </si>
  <si>
    <t>чу строка</t>
  </si>
  <si>
    <t>Σ уездов чу</t>
  </si>
  <si>
    <t>Δ чу</t>
  </si>
  <si>
    <t>статус</t>
  </si>
  <si>
    <t>примечание</t>
  </si>
  <si>
    <t>OK</t>
  </si>
  <si>
    <t>Для некоторых строк печатно указано «неизвестно»; сумма рожденных/умерших проверена по строкам с числами.</t>
  </si>
  <si>
    <t>несовпадение / проверить</t>
  </si>
  <si>
    <t>Население Ровенского уезда читается как 201718; при этом губернская строка выглядит как 2303602.</t>
  </si>
  <si>
    <t>В уездных строках население заменено вертикальным «сведений не имеется»; суммы рожд./умерш. по видимым строкам расходятся с губернской строкой.</t>
  </si>
  <si>
    <t>итоговая строка</t>
  </si>
  <si>
    <t>Перенесена как печатный итог; сверка с суммой вышестоящего блока требует отдельной проверки.</t>
  </si>
  <si>
    <t>не проверено</t>
  </si>
  <si>
    <t>Перенесено с печатной строки; детальная уездная сверка не выполнялась в этом первом проходе.</t>
  </si>
  <si>
    <t>нет данных в печати</t>
  </si>
  <si>
    <t>В одной или нескольких ячейках источника указано «сведений не имеется» / «неизвестно» / «св. нет».</t>
  </si>
  <si>
    <t>Параметр</t>
  </si>
  <si>
    <t>Значение</t>
  </si>
  <si>
    <t>Источник</t>
  </si>
  <si>
    <t>Отчет медицинского департамента Министерства внутренних дел за 1888 год, PDF, печатные стр. 42–110, PDF-листы 62–96 через 2.</t>
  </si>
  <si>
    <t>Извлечение</t>
  </si>
  <si>
    <t>Первый проход: значения перенесены визуально из левой половины разворотов. OCR-слой PDF использовался только вспомогательно, так как он сильно ошибается.</t>
  </si>
  <si>
    <t>Основной лист</t>
  </si>
  <si>
    <t>Лист data содержит только агрегированные строки: губернии/области/отдельные города и строки «Итого». Уездные строки не вынесены в основной лист.</t>
  </si>
  <si>
    <t>Em-dash</t>
  </si>
  <si>
    <t>Ячейки источника «нет данных», «сведений не имеется», «св. нет», «неизвестно» представлены как —.</t>
  </si>
  <si>
    <t>Проверка</t>
  </si>
  <si>
    <t>Лист check содержит сверку по уездам там, где она была выполнена в первом проходе. Не все строки полностью сверены; строки с расхождением помечены статусом «несовпадение / проверить».</t>
  </si>
  <si>
    <t>Оранжевый фон</t>
  </si>
  <si>
    <t>На листе data оранжевым отмечены клетки, где сверка по уездам в первом проходе дала расхождение или неуверенное чтение.</t>
  </si>
  <si>
    <t>Дата создания</t>
  </si>
  <si>
    <t>2026-05-04 23:18 UTC</t>
  </si>
  <si>
    <t>v-sum</t>
  </si>
  <si>
    <t>v-diff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</si>
</sst>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F8FAFC"/>
      </patternFill>
    </fill>
    <fill>
      <patternFill patternType="solid">
        <fgColor rgb="FFFDBA74"/>
      </patternFill>
    </fill>
    <fill>
      <patternFill patternType="solid">
        <fgColor rgb="FFFED7AA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0" fontId="2" fillId="3" borderId="0" xfId="0" applyFont="1" applyFill="1"/>
    <xf numFmtId="3" fontId="2" fillId="3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3" fontId="0" fillId="5" borderId="0" xfId="0" applyNumberFormat="1" applyFill="1"/>
    <xf numFmtId="0" fontId="0" fillId="6" borderId="0" xfId="0" applyFill="1"/>
    <xf numFmtId="3" fontId="0" fillId="6" borderId="0" xfId="0" applyNumberFormat="1" applyFill="1"/>
    <xf numFmtId="3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tractedData" displayName="ExtractedData" ref="A1:D99">
  <tableColumns count="4">
    <tableColumn id="1" xr3:uid="{00000000-0010-0000-0000-000001000000}" name="губ"/>
    <tableColumn id="2" xr3:uid="{00000000-0010-0000-0000-000002000000}" name="чж NYY"/>
    <tableColumn id="3" xr3:uid="{00000000-0010-0000-0000-000003000000}" name="чр YY"/>
    <tableColumn id="4" xr3:uid="{00000000-0010-0000-0000-000004000000}" name="чу Y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ckTable" displayName="CheckTable" ref="A1:L99">
  <tableColumns count="12">
    <tableColumn id="1" xr3:uid="{00000000-0010-0000-0100-000001000000}" name="губ"/>
    <tableColumn id="2" xr3:uid="{00000000-0010-0000-0100-000002000000}" name="чж строка"/>
    <tableColumn id="3" xr3:uid="{00000000-0010-0000-0100-000003000000}" name="Σ уездов чж"/>
    <tableColumn id="4" xr3:uid="{00000000-0010-0000-0100-000004000000}" name="Δ чж"/>
    <tableColumn id="5" xr3:uid="{00000000-0010-0000-0100-000005000000}" name="чр строка"/>
    <tableColumn id="6" xr3:uid="{00000000-0010-0000-0100-000006000000}" name="Σ уездов чр"/>
    <tableColumn id="7" xr3:uid="{00000000-0010-0000-0100-000007000000}" name="Δ чр"/>
    <tableColumn id="8" xr3:uid="{00000000-0010-0000-0100-000008000000}" name="чу строка"/>
    <tableColumn id="9" xr3:uid="{00000000-0010-0000-0100-000009000000}" name="Σ уездов чу"/>
    <tableColumn id="10" xr3:uid="{00000000-0010-0000-0100-00000A000000}" name="Δ чу"/>
    <tableColumn id="11" xr3:uid="{00000000-0010-0000-0100-00000B000000}" name="статус"/>
    <tableColumn id="12" xr3:uid="{00000000-0010-0000-0100-00000C000000}" name="примеч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9"/>
  <sheetViews>
    <sheetView tabSelected="1" topLeftCell="A59" workbookViewId="0">
      <selection activeCell="F99" sqref="F99"/>
    </sheetView>
  </sheetViews>
  <sheetFormatPr defaultRowHeight="14.4" x14ac:dyDescent="0.55000000000000004"/>
  <cols>
    <col min="1" max="1" width="38" customWidth="1"/>
    <col min="2" max="4" width="14" customWidth="1"/>
    <col min="6" max="6" width="12.578125" customWidth="1"/>
    <col min="7" max="7" width="11.1015625" customWidth="1"/>
    <col min="8" max="8" width="11.89453125" customWidth="1"/>
    <col min="10" max="10" width="10.9453125" customWidth="1"/>
    <col min="11" max="11" width="11.3671875" customWidth="1"/>
    <col min="12" max="12" width="10.3125" customWidth="1"/>
  </cols>
  <sheetData>
    <row r="1" spans="1:12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F1" s="11" t="s">
        <v>141</v>
      </c>
      <c r="G1" s="11"/>
      <c r="H1" s="11"/>
      <c r="I1" s="3"/>
      <c r="J1" s="11" t="s">
        <v>142</v>
      </c>
      <c r="K1" s="11"/>
      <c r="L1" s="11"/>
    </row>
    <row r="2" spans="1:12" x14ac:dyDescent="0.55000000000000004">
      <c r="A2" t="s">
        <v>4</v>
      </c>
      <c r="B2" s="3">
        <v>346371</v>
      </c>
      <c r="C2" s="3">
        <v>12733</v>
      </c>
      <c r="D2" s="3">
        <v>8018</v>
      </c>
      <c r="F2" s="3"/>
      <c r="G2" s="3"/>
      <c r="H2" s="3"/>
      <c r="I2" s="3"/>
      <c r="J2" s="3"/>
      <c r="K2" s="3"/>
      <c r="L2" s="3"/>
    </row>
    <row r="3" spans="1:12" x14ac:dyDescent="0.55000000000000004">
      <c r="A3" t="s">
        <v>5</v>
      </c>
      <c r="B3" s="3">
        <v>833276</v>
      </c>
      <c r="C3" s="3">
        <v>26860</v>
      </c>
      <c r="D3" s="3">
        <v>19429</v>
      </c>
      <c r="F3" s="3"/>
      <c r="G3" s="3"/>
      <c r="H3" s="3"/>
      <c r="I3" s="3"/>
      <c r="J3" s="3"/>
      <c r="K3" s="3"/>
      <c r="L3" s="3"/>
    </row>
    <row r="4" spans="1:12" x14ac:dyDescent="0.55000000000000004">
      <c r="A4" t="s">
        <v>6</v>
      </c>
      <c r="B4" s="3">
        <v>1309304</v>
      </c>
      <c r="C4" s="3">
        <v>54761</v>
      </c>
      <c r="D4" s="3">
        <v>33408</v>
      </c>
      <c r="F4" s="3"/>
      <c r="G4" s="3"/>
      <c r="H4" s="3"/>
      <c r="I4" s="3"/>
      <c r="J4" s="3"/>
      <c r="K4" s="3"/>
      <c r="L4" s="3"/>
    </row>
    <row r="5" spans="1:12" x14ac:dyDescent="0.55000000000000004">
      <c r="A5" t="s">
        <v>7</v>
      </c>
      <c r="B5" s="3">
        <v>1319304</v>
      </c>
      <c r="C5" s="3">
        <v>55587</v>
      </c>
      <c r="D5" s="3">
        <v>32912</v>
      </c>
      <c r="F5" s="3"/>
      <c r="G5" s="3"/>
      <c r="H5" s="3"/>
      <c r="I5" s="3"/>
      <c r="J5" s="3"/>
      <c r="K5" s="3"/>
      <c r="L5" s="3"/>
    </row>
    <row r="6" spans="1:12" x14ac:dyDescent="0.55000000000000004">
      <c r="A6" t="s">
        <v>8</v>
      </c>
      <c r="B6" s="8">
        <v>2303602</v>
      </c>
      <c r="C6" s="3">
        <v>119051</v>
      </c>
      <c r="D6" s="3">
        <v>80316</v>
      </c>
      <c r="F6" s="3"/>
      <c r="G6" s="3"/>
      <c r="H6" s="3"/>
      <c r="I6" s="3"/>
      <c r="J6" s="3"/>
      <c r="K6" s="3"/>
      <c r="L6" s="3"/>
    </row>
    <row r="7" spans="1:12" x14ac:dyDescent="0.55000000000000004">
      <c r="A7" t="s">
        <v>9</v>
      </c>
      <c r="B7" s="3">
        <v>1329494</v>
      </c>
      <c r="C7" s="3">
        <v>56147</v>
      </c>
      <c r="D7" s="3">
        <v>37791</v>
      </c>
      <c r="F7" s="3"/>
      <c r="G7" s="3"/>
      <c r="H7" s="3"/>
      <c r="I7" s="3"/>
      <c r="J7" s="3"/>
      <c r="K7" s="3"/>
      <c r="L7" s="3"/>
    </row>
    <row r="8" spans="1:12" x14ac:dyDescent="0.55000000000000004">
      <c r="A8" t="s">
        <v>10</v>
      </c>
      <c r="B8" s="3">
        <v>2995133</v>
      </c>
      <c r="C8" s="3">
        <v>157321</v>
      </c>
      <c r="D8" s="3">
        <v>95868</v>
      </c>
      <c r="F8" s="3"/>
      <c r="G8" s="3"/>
      <c r="H8" s="3"/>
      <c r="I8" s="3"/>
      <c r="J8" s="3"/>
      <c r="K8" s="3"/>
      <c r="L8" s="3"/>
    </row>
    <row r="9" spans="1:12" x14ac:dyDescent="0.55000000000000004">
      <c r="A9" t="s">
        <v>11</v>
      </c>
      <c r="B9" s="3">
        <v>1554752</v>
      </c>
      <c r="C9" s="3">
        <v>54319</v>
      </c>
      <c r="D9" s="3">
        <v>35604</v>
      </c>
      <c r="F9" s="3"/>
      <c r="G9" s="3"/>
      <c r="H9" s="3"/>
      <c r="I9" s="3"/>
      <c r="J9" s="3"/>
      <c r="K9" s="3"/>
      <c r="L9" s="3"/>
    </row>
    <row r="10" spans="1:12" x14ac:dyDescent="0.55000000000000004">
      <c r="A10" t="s">
        <v>12</v>
      </c>
      <c r="B10" s="3">
        <v>1712274</v>
      </c>
      <c r="C10" s="3">
        <v>75862</v>
      </c>
      <c r="D10" s="3">
        <v>45253</v>
      </c>
      <c r="F10" s="3"/>
      <c r="G10" s="3"/>
      <c r="H10" s="3"/>
      <c r="I10" s="3"/>
      <c r="J10" s="3"/>
      <c r="K10" s="3"/>
      <c r="L10" s="3"/>
    </row>
    <row r="11" spans="1:12" x14ac:dyDescent="0.55000000000000004">
      <c r="A11" t="s">
        <v>13</v>
      </c>
      <c r="B11" s="3">
        <v>1326468</v>
      </c>
      <c r="C11" s="3">
        <v>69060</v>
      </c>
      <c r="D11" s="3">
        <v>33339</v>
      </c>
      <c r="F11" s="3"/>
      <c r="G11" s="3"/>
      <c r="H11" s="3"/>
      <c r="I11" s="3"/>
      <c r="J11" s="3"/>
      <c r="K11" s="3"/>
      <c r="L11" s="3"/>
    </row>
    <row r="12" spans="1:12" x14ac:dyDescent="0.55000000000000004">
      <c r="A12" t="s">
        <v>14</v>
      </c>
      <c r="B12" s="3">
        <v>1337913</v>
      </c>
      <c r="C12" s="3">
        <v>81236</v>
      </c>
      <c r="D12" s="3">
        <v>49862</v>
      </c>
      <c r="F12" s="3"/>
      <c r="G12" s="3"/>
      <c r="H12" s="3"/>
      <c r="I12" s="3"/>
      <c r="J12" s="3"/>
      <c r="K12" s="3"/>
      <c r="L12" s="3"/>
    </row>
    <row r="13" spans="1:12" x14ac:dyDescent="0.55000000000000004">
      <c r="A13" t="s">
        <v>15</v>
      </c>
      <c r="B13" s="3">
        <v>2500435</v>
      </c>
      <c r="C13" s="8">
        <v>124380</v>
      </c>
      <c r="D13" s="8">
        <v>81485</v>
      </c>
      <c r="F13" s="3"/>
      <c r="G13" s="3"/>
      <c r="H13" s="3"/>
      <c r="I13" s="3"/>
      <c r="J13" s="3"/>
      <c r="K13" s="3"/>
      <c r="L13" s="3"/>
    </row>
    <row r="14" spans="1:12" x14ac:dyDescent="0.55000000000000004">
      <c r="A14" s="4" t="s">
        <v>16</v>
      </c>
      <c r="B14" s="5">
        <v>18868326</v>
      </c>
      <c r="C14" s="5">
        <v>887317</v>
      </c>
      <c r="D14" s="5">
        <v>553285</v>
      </c>
      <c r="F14" s="11">
        <f>SUM(B2:B13)</f>
        <v>18868326</v>
      </c>
      <c r="G14" s="11">
        <f>SUM(C2:C13)</f>
        <v>887317</v>
      </c>
      <c r="H14" s="11">
        <f>SUM(D2:D13)</f>
        <v>553285</v>
      </c>
      <c r="I14" s="3"/>
      <c r="J14" s="11">
        <f>ExtractedData[[#This Row],[чж NYY]]-F14</f>
        <v>0</v>
      </c>
      <c r="K14" s="11">
        <f>ExtractedData[[#This Row],[чр YY]]-G14</f>
        <v>0</v>
      </c>
      <c r="L14" s="11">
        <f>ExtractedData[[#This Row],[чу YY]]-H14</f>
        <v>0</v>
      </c>
    </row>
    <row r="15" spans="1:12" x14ac:dyDescent="0.55000000000000004">
      <c r="A15" t="s">
        <v>17</v>
      </c>
      <c r="B15" s="3">
        <v>1030571</v>
      </c>
      <c r="C15" s="3">
        <v>43631</v>
      </c>
      <c r="D15" s="3">
        <v>25802</v>
      </c>
      <c r="F15" s="3"/>
      <c r="G15" s="3"/>
      <c r="H15" s="3"/>
      <c r="I15" s="3"/>
      <c r="J15" s="3"/>
      <c r="K15" s="3"/>
      <c r="L15" s="3"/>
    </row>
    <row r="16" spans="1:12" x14ac:dyDescent="0.55000000000000004">
      <c r="A16" s="6" t="s">
        <v>18</v>
      </c>
      <c r="B16" s="7">
        <v>444514</v>
      </c>
      <c r="C16" s="7">
        <v>17569</v>
      </c>
      <c r="D16" s="7">
        <v>11042</v>
      </c>
      <c r="F16" s="3"/>
      <c r="G16" s="3"/>
      <c r="H16" s="3"/>
      <c r="I16" s="3"/>
      <c r="J16" s="3"/>
      <c r="K16" s="3"/>
      <c r="L16" s="3"/>
    </row>
    <row r="17" spans="1:12" x14ac:dyDescent="0.55000000000000004">
      <c r="A17" t="s">
        <v>19</v>
      </c>
      <c r="B17" s="3">
        <v>844446</v>
      </c>
      <c r="C17" s="3">
        <v>32320</v>
      </c>
      <c r="D17" s="3">
        <v>22301</v>
      </c>
      <c r="F17" s="3"/>
      <c r="G17" s="3"/>
      <c r="H17" s="3"/>
      <c r="I17" s="3"/>
      <c r="J17" s="3"/>
      <c r="K17" s="3"/>
      <c r="L17" s="3"/>
    </row>
    <row r="18" spans="1:12" x14ac:dyDescent="0.55000000000000004">
      <c r="A18" t="s">
        <v>20</v>
      </c>
      <c r="B18" s="3">
        <v>706860</v>
      </c>
      <c r="C18" s="3">
        <v>29051</v>
      </c>
      <c r="D18" s="3">
        <v>15256</v>
      </c>
      <c r="F18" s="3"/>
      <c r="G18" s="3"/>
      <c r="H18" s="3"/>
      <c r="I18" s="3"/>
      <c r="J18" s="3"/>
      <c r="K18" s="3"/>
      <c r="L18" s="3"/>
    </row>
    <row r="19" spans="1:12" x14ac:dyDescent="0.55000000000000004">
      <c r="A19" t="s">
        <v>21</v>
      </c>
      <c r="B19" s="3">
        <v>611795</v>
      </c>
      <c r="C19" s="3">
        <v>24364</v>
      </c>
      <c r="D19" s="3">
        <v>17620</v>
      </c>
      <c r="F19" s="3"/>
      <c r="G19" s="3"/>
      <c r="H19" s="3"/>
      <c r="I19" s="3"/>
      <c r="J19" s="3"/>
      <c r="K19" s="3"/>
      <c r="L19" s="3"/>
    </row>
    <row r="20" spans="1:12" x14ac:dyDescent="0.55000000000000004">
      <c r="A20" t="s">
        <v>22</v>
      </c>
      <c r="B20" s="3">
        <v>1064900</v>
      </c>
      <c r="C20" s="3">
        <v>40623</v>
      </c>
      <c r="D20" s="3">
        <v>25914</v>
      </c>
      <c r="F20" s="3"/>
      <c r="G20" s="3"/>
      <c r="H20" s="3"/>
      <c r="I20" s="3"/>
      <c r="J20" s="3"/>
      <c r="K20" s="3"/>
      <c r="L20" s="3"/>
    </row>
    <row r="21" spans="1:12" x14ac:dyDescent="0.55000000000000004">
      <c r="A21" t="s">
        <v>23</v>
      </c>
      <c r="B21" s="3">
        <v>1146665</v>
      </c>
      <c r="C21" s="3">
        <v>44246</v>
      </c>
      <c r="D21" s="3">
        <v>25356</v>
      </c>
      <c r="F21" s="3"/>
      <c r="G21" s="3"/>
      <c r="H21" s="3"/>
      <c r="I21" s="3"/>
      <c r="J21" s="3"/>
      <c r="K21" s="3"/>
      <c r="L21" s="3"/>
    </row>
    <row r="22" spans="1:12" x14ac:dyDescent="0.55000000000000004">
      <c r="A22" t="s">
        <v>24</v>
      </c>
      <c r="B22" s="3">
        <v>612323</v>
      </c>
      <c r="C22" s="3">
        <v>24445</v>
      </c>
      <c r="D22" s="3">
        <v>14339</v>
      </c>
      <c r="F22" s="3"/>
      <c r="G22" s="3"/>
      <c r="H22" s="3"/>
      <c r="I22" s="3"/>
      <c r="J22" s="3"/>
      <c r="K22" s="3"/>
      <c r="L22" s="3"/>
    </row>
    <row r="23" spans="1:12" x14ac:dyDescent="0.55000000000000004">
      <c r="A23" t="s">
        <v>25</v>
      </c>
      <c r="B23" s="3">
        <v>742032</v>
      </c>
      <c r="C23" s="3">
        <v>30815</v>
      </c>
      <c r="D23" s="3">
        <v>16922</v>
      </c>
      <c r="F23" s="3"/>
      <c r="G23" s="3"/>
      <c r="H23" s="3"/>
      <c r="I23" s="3"/>
      <c r="J23" s="3"/>
      <c r="K23" s="3"/>
      <c r="L23" s="3"/>
    </row>
    <row r="24" spans="1:12" x14ac:dyDescent="0.55000000000000004">
      <c r="A24" t="s">
        <v>26</v>
      </c>
      <c r="B24" s="3">
        <v>638317</v>
      </c>
      <c r="C24" s="3">
        <v>21370</v>
      </c>
      <c r="D24" s="3">
        <v>16295</v>
      </c>
      <c r="F24" s="3"/>
      <c r="G24" s="3"/>
      <c r="H24" s="3"/>
      <c r="I24" s="3"/>
      <c r="J24" s="3"/>
      <c r="K24" s="3"/>
      <c r="L24" s="3"/>
    </row>
    <row r="25" spans="1:12" x14ac:dyDescent="0.55000000000000004">
      <c r="A25" t="s">
        <v>27</v>
      </c>
      <c r="B25" s="3">
        <v>630659</v>
      </c>
      <c r="C25" s="3">
        <v>25198</v>
      </c>
      <c r="D25" s="3">
        <v>16813</v>
      </c>
      <c r="F25" s="3"/>
      <c r="G25" s="3"/>
      <c r="H25" s="3"/>
      <c r="I25" s="3"/>
      <c r="J25" s="3"/>
      <c r="K25" s="3"/>
      <c r="L25" s="3"/>
    </row>
    <row r="26" spans="1:12" x14ac:dyDescent="0.55000000000000004">
      <c r="A26" t="s">
        <v>28</v>
      </c>
      <c r="B26" s="3">
        <v>688953</v>
      </c>
      <c r="C26" s="3">
        <v>17877</v>
      </c>
      <c r="D26" s="3">
        <v>12570</v>
      </c>
      <c r="F26" s="3"/>
      <c r="G26" s="3"/>
      <c r="H26" s="3"/>
      <c r="I26" s="3"/>
      <c r="J26" s="3"/>
      <c r="K26" s="3"/>
      <c r="L26" s="3"/>
    </row>
    <row r="27" spans="1:12" x14ac:dyDescent="0.55000000000000004">
      <c r="A27" t="s">
        <v>29</v>
      </c>
      <c r="B27" s="3">
        <v>1239750</v>
      </c>
      <c r="C27" s="3">
        <v>36395</v>
      </c>
      <c r="D27" s="3">
        <v>26105</v>
      </c>
      <c r="F27" s="3"/>
      <c r="G27" s="3"/>
      <c r="H27" s="3"/>
      <c r="I27" s="3"/>
      <c r="J27" s="3"/>
      <c r="K27" s="3"/>
      <c r="L27" s="3"/>
    </row>
    <row r="28" spans="1:12" x14ac:dyDescent="0.55000000000000004">
      <c r="A28" t="s">
        <v>30</v>
      </c>
      <c r="B28" s="3">
        <v>396785</v>
      </c>
      <c r="C28" s="3">
        <v>11809</v>
      </c>
      <c r="D28" s="3">
        <v>9200</v>
      </c>
      <c r="F28" s="3"/>
      <c r="G28" s="3"/>
      <c r="H28" s="3"/>
      <c r="I28" s="3"/>
      <c r="J28" s="3"/>
      <c r="K28" s="3"/>
      <c r="L28" s="3"/>
    </row>
    <row r="29" spans="1:12" x14ac:dyDescent="0.55000000000000004">
      <c r="A29" s="4" t="s">
        <v>31</v>
      </c>
      <c r="B29" s="5">
        <v>10838913</v>
      </c>
      <c r="C29" s="5">
        <v>399713</v>
      </c>
      <c r="D29" s="5">
        <v>255575</v>
      </c>
      <c r="F29" s="11">
        <f>SUM(B15:B28)</f>
        <v>10798570</v>
      </c>
      <c r="G29" s="11">
        <f>SUM(C15:C28)</f>
        <v>399713</v>
      </c>
      <c r="H29" s="11">
        <f>SUM(D15:D28)</f>
        <v>255535</v>
      </c>
      <c r="I29" s="3"/>
      <c r="J29" s="11">
        <f>ExtractedData[[#This Row],[чж NYY]]-F29</f>
        <v>40343</v>
      </c>
      <c r="K29" s="11">
        <f>ExtractedData[[#This Row],[чр YY]]-G29</f>
        <v>0</v>
      </c>
      <c r="L29" s="11">
        <f>ExtractedData[[#This Row],[чу YY]]-H29</f>
        <v>40</v>
      </c>
    </row>
    <row r="30" spans="1:12" x14ac:dyDescent="0.55000000000000004">
      <c r="A30" t="s">
        <v>32</v>
      </c>
      <c r="B30" s="3">
        <v>1525804</v>
      </c>
      <c r="C30" s="3">
        <v>73064</v>
      </c>
      <c r="D30" s="3">
        <v>43634</v>
      </c>
      <c r="F30" s="3"/>
      <c r="G30" s="3"/>
      <c r="H30" s="3"/>
      <c r="I30" s="3"/>
      <c r="J30" s="3"/>
      <c r="K30" s="3"/>
      <c r="L30" s="3"/>
    </row>
    <row r="31" spans="1:12" x14ac:dyDescent="0.55000000000000004">
      <c r="A31" t="s">
        <v>33</v>
      </c>
      <c r="B31" s="3">
        <v>1434942</v>
      </c>
      <c r="C31" s="3">
        <v>79540</v>
      </c>
      <c r="D31" s="3">
        <v>54191</v>
      </c>
      <c r="F31" s="3"/>
      <c r="G31" s="3"/>
      <c r="H31" s="3"/>
      <c r="I31" s="3"/>
      <c r="J31" s="3"/>
      <c r="K31" s="3"/>
      <c r="L31" s="3"/>
    </row>
    <row r="32" spans="1:12" x14ac:dyDescent="0.55000000000000004">
      <c r="A32" t="s">
        <v>34</v>
      </c>
      <c r="B32" s="3">
        <v>1255715</v>
      </c>
      <c r="C32" s="3">
        <v>54974</v>
      </c>
      <c r="D32" s="3">
        <v>36533</v>
      </c>
      <c r="F32" s="3"/>
      <c r="G32" s="3"/>
      <c r="H32" s="3"/>
      <c r="I32" s="3"/>
      <c r="J32" s="3"/>
      <c r="K32" s="3"/>
      <c r="L32" s="3"/>
    </row>
    <row r="33" spans="1:12" x14ac:dyDescent="0.55000000000000004">
      <c r="A33" t="s">
        <v>35</v>
      </c>
      <c r="B33" s="3">
        <v>2650756</v>
      </c>
      <c r="C33" s="3">
        <v>139267</v>
      </c>
      <c r="D33" s="3">
        <v>89062</v>
      </c>
      <c r="F33" s="3"/>
      <c r="G33" s="3"/>
      <c r="H33" s="3"/>
      <c r="I33" s="3"/>
      <c r="J33" s="3"/>
      <c r="K33" s="3"/>
      <c r="L33" s="3"/>
    </row>
    <row r="34" spans="1:12" x14ac:dyDescent="0.55000000000000004">
      <c r="A34" t="s">
        <v>36</v>
      </c>
      <c r="B34" s="3">
        <v>2924015</v>
      </c>
      <c r="C34" s="3">
        <v>153745</v>
      </c>
      <c r="D34" s="3">
        <v>101070</v>
      </c>
      <c r="F34" s="3"/>
      <c r="G34" s="3"/>
      <c r="H34" s="3"/>
      <c r="I34" s="3"/>
      <c r="J34" s="3"/>
      <c r="K34" s="3"/>
      <c r="L34" s="3"/>
    </row>
    <row r="35" spans="1:12" x14ac:dyDescent="0.55000000000000004">
      <c r="A35" t="s">
        <v>37</v>
      </c>
      <c r="B35" s="3">
        <v>1587275</v>
      </c>
      <c r="C35" s="3">
        <v>92193</v>
      </c>
      <c r="D35" s="3">
        <v>49502</v>
      </c>
      <c r="F35" s="3"/>
      <c r="G35" s="3"/>
      <c r="H35" s="3"/>
      <c r="I35" s="3"/>
      <c r="J35" s="3"/>
      <c r="K35" s="3"/>
      <c r="L35" s="3"/>
    </row>
    <row r="36" spans="1:12" x14ac:dyDescent="0.55000000000000004">
      <c r="A36" t="s">
        <v>38</v>
      </c>
      <c r="B36" s="3">
        <v>2149445</v>
      </c>
      <c r="C36" s="3">
        <v>104595</v>
      </c>
      <c r="D36" s="3">
        <v>69104</v>
      </c>
      <c r="F36" s="3"/>
      <c r="G36" s="3"/>
      <c r="H36" s="3"/>
      <c r="I36" s="3"/>
      <c r="J36" s="3"/>
      <c r="K36" s="3"/>
      <c r="L36" s="3"/>
    </row>
    <row r="37" spans="1:12" x14ac:dyDescent="0.55000000000000004">
      <c r="A37" t="s">
        <v>39</v>
      </c>
      <c r="B37" s="3">
        <v>1221377</v>
      </c>
      <c r="C37" s="3">
        <v>59313</v>
      </c>
      <c r="D37" s="3">
        <v>38318</v>
      </c>
      <c r="F37" s="3"/>
      <c r="G37" s="3"/>
      <c r="H37" s="3"/>
      <c r="I37" s="3"/>
      <c r="J37" s="3"/>
      <c r="K37" s="3"/>
      <c r="L37" s="3"/>
    </row>
    <row r="38" spans="1:12" x14ac:dyDescent="0.55000000000000004">
      <c r="A38" t="s">
        <v>40</v>
      </c>
      <c r="B38" s="3">
        <v>1367905</v>
      </c>
      <c r="C38" s="3">
        <v>64132</v>
      </c>
      <c r="D38" s="3">
        <v>50244</v>
      </c>
      <c r="F38" s="3"/>
      <c r="G38" s="3"/>
      <c r="H38" s="3"/>
      <c r="I38" s="3"/>
      <c r="J38" s="3"/>
      <c r="K38" s="3"/>
      <c r="L38" s="3"/>
    </row>
    <row r="39" spans="1:12" x14ac:dyDescent="0.55000000000000004">
      <c r="A39" t="s">
        <v>41</v>
      </c>
      <c r="B39" s="3">
        <v>2513700</v>
      </c>
      <c r="C39" s="3">
        <v>121577</v>
      </c>
      <c r="D39" s="3">
        <v>73397</v>
      </c>
      <c r="F39" s="3"/>
      <c r="G39" s="3"/>
      <c r="H39" s="3"/>
      <c r="I39" s="3"/>
      <c r="J39" s="3"/>
      <c r="K39" s="3"/>
      <c r="L39" s="3"/>
    </row>
    <row r="40" spans="1:12" x14ac:dyDescent="0.55000000000000004">
      <c r="A40" s="6" t="s">
        <v>42</v>
      </c>
      <c r="B40" s="7">
        <v>779410</v>
      </c>
      <c r="C40" s="7">
        <v>33557</v>
      </c>
      <c r="D40" s="7">
        <v>27696</v>
      </c>
      <c r="F40" s="3"/>
      <c r="G40" s="3"/>
      <c r="H40" s="3"/>
      <c r="I40" s="3"/>
      <c r="J40" s="3"/>
      <c r="K40" s="3"/>
      <c r="L40" s="3"/>
    </row>
    <row r="41" spans="1:12" x14ac:dyDescent="0.55000000000000004">
      <c r="A41" t="s">
        <v>43</v>
      </c>
      <c r="B41" s="3">
        <v>1479259</v>
      </c>
      <c r="C41" s="3">
        <v>69416</v>
      </c>
      <c r="D41" s="3">
        <v>52131</v>
      </c>
      <c r="F41" s="3"/>
      <c r="G41" s="3"/>
      <c r="H41" s="3"/>
      <c r="I41" s="3"/>
      <c r="J41" s="3"/>
      <c r="K41" s="3"/>
      <c r="L41" s="3"/>
    </row>
    <row r="42" spans="1:12" x14ac:dyDescent="0.55000000000000004">
      <c r="A42" t="s">
        <v>44</v>
      </c>
      <c r="B42" s="3">
        <v>1523529</v>
      </c>
      <c r="C42" s="3">
        <v>85519</v>
      </c>
      <c r="D42" s="3">
        <v>69216</v>
      </c>
      <c r="F42" s="3"/>
      <c r="G42" s="3"/>
      <c r="H42" s="3"/>
      <c r="I42" s="3"/>
      <c r="J42" s="3"/>
      <c r="K42" s="3"/>
      <c r="L42" s="3"/>
    </row>
    <row r="43" spans="1:12" x14ac:dyDescent="0.55000000000000004">
      <c r="A43" t="s">
        <v>45</v>
      </c>
      <c r="B43" s="3">
        <v>1240665</v>
      </c>
      <c r="C43" s="3">
        <v>58415</v>
      </c>
      <c r="D43" s="3">
        <v>36752</v>
      </c>
      <c r="F43" s="3"/>
      <c r="G43" s="3"/>
      <c r="H43" s="3"/>
      <c r="I43" s="3"/>
      <c r="J43" s="3"/>
      <c r="K43" s="3"/>
      <c r="L43" s="3"/>
    </row>
    <row r="44" spans="1:12" x14ac:dyDescent="0.55000000000000004">
      <c r="A44" t="s">
        <v>46</v>
      </c>
      <c r="B44" s="3">
        <v>345283</v>
      </c>
      <c r="C44" s="3">
        <v>16797</v>
      </c>
      <c r="D44" s="3">
        <v>12080</v>
      </c>
      <c r="F44" s="3"/>
      <c r="G44" s="3"/>
      <c r="H44" s="3"/>
      <c r="I44" s="3"/>
      <c r="J44" s="3"/>
      <c r="K44" s="3"/>
      <c r="L44" s="3"/>
    </row>
    <row r="45" spans="1:12" x14ac:dyDescent="0.55000000000000004">
      <c r="A45" t="s">
        <v>47</v>
      </c>
      <c r="B45" s="3">
        <v>2071964</v>
      </c>
      <c r="C45" s="3">
        <v>105526</v>
      </c>
      <c r="D45" s="3">
        <v>67264</v>
      </c>
      <c r="F45" s="3"/>
      <c r="G45" s="3"/>
      <c r="H45" s="3"/>
      <c r="I45" s="3"/>
      <c r="J45" s="3"/>
      <c r="K45" s="3"/>
      <c r="L45" s="3"/>
    </row>
    <row r="46" spans="1:12" x14ac:dyDescent="0.55000000000000004">
      <c r="A46" t="s">
        <v>48</v>
      </c>
      <c r="B46" s="3">
        <v>1543427</v>
      </c>
      <c r="C46" s="3">
        <v>83960</v>
      </c>
      <c r="D46" s="3">
        <v>59613</v>
      </c>
      <c r="F46" s="3"/>
      <c r="G46" s="3"/>
      <c r="H46" s="3"/>
      <c r="I46" s="3"/>
      <c r="J46" s="3"/>
      <c r="K46" s="3"/>
      <c r="L46" s="3"/>
    </row>
    <row r="47" spans="1:12" x14ac:dyDescent="0.55000000000000004">
      <c r="A47" t="s">
        <v>49</v>
      </c>
      <c r="B47" s="3">
        <v>2742514</v>
      </c>
      <c r="C47" s="3">
        <v>155758</v>
      </c>
      <c r="D47" s="3">
        <v>110142</v>
      </c>
      <c r="F47" s="3"/>
      <c r="G47" s="3"/>
      <c r="H47" s="3"/>
      <c r="I47" s="3"/>
      <c r="J47" s="3"/>
      <c r="K47" s="3"/>
      <c r="L47" s="3"/>
    </row>
    <row r="48" spans="1:12" x14ac:dyDescent="0.55000000000000004">
      <c r="A48" t="s">
        <v>50</v>
      </c>
      <c r="B48" s="3">
        <v>2848307</v>
      </c>
      <c r="C48" s="3">
        <v>133410</v>
      </c>
      <c r="D48" s="3">
        <v>75641</v>
      </c>
      <c r="F48" s="3"/>
      <c r="G48" s="3"/>
      <c r="H48" s="3"/>
      <c r="I48" s="3"/>
      <c r="J48" s="3"/>
      <c r="K48" s="3"/>
      <c r="L48" s="3"/>
    </row>
    <row r="49" spans="1:12" x14ac:dyDescent="0.55000000000000004">
      <c r="A49" t="s">
        <v>51</v>
      </c>
      <c r="B49" s="3">
        <v>980152</v>
      </c>
      <c r="C49" s="3">
        <v>50752</v>
      </c>
      <c r="D49" s="3">
        <v>32852</v>
      </c>
      <c r="F49" s="3"/>
      <c r="G49" s="3"/>
      <c r="H49" s="3"/>
      <c r="I49" s="3"/>
      <c r="J49" s="3"/>
      <c r="K49" s="3"/>
      <c r="L49" s="3"/>
    </row>
    <row r="50" spans="1:12" x14ac:dyDescent="0.55000000000000004">
      <c r="A50" t="s">
        <v>52</v>
      </c>
      <c r="B50" s="3">
        <v>1876581</v>
      </c>
      <c r="C50" s="3">
        <v>94003</v>
      </c>
      <c r="D50" s="3">
        <v>60567</v>
      </c>
      <c r="F50" s="3"/>
      <c r="G50" s="3"/>
      <c r="H50" s="3"/>
      <c r="I50" s="3"/>
      <c r="J50" s="3"/>
      <c r="K50" s="3"/>
      <c r="L50" s="3"/>
    </row>
    <row r="51" spans="1:12" x14ac:dyDescent="0.55000000000000004">
      <c r="A51" t="s">
        <v>53</v>
      </c>
      <c r="B51" s="3">
        <v>2570800</v>
      </c>
      <c r="C51" s="3">
        <v>154751</v>
      </c>
      <c r="D51" s="3">
        <v>101773</v>
      </c>
      <c r="F51" s="3"/>
      <c r="G51" s="3"/>
      <c r="H51" s="3"/>
      <c r="I51" s="3"/>
      <c r="J51" s="3"/>
      <c r="K51" s="3"/>
      <c r="L51" s="3"/>
    </row>
    <row r="52" spans="1:12" x14ac:dyDescent="0.55000000000000004">
      <c r="A52" s="6" t="s">
        <v>54</v>
      </c>
      <c r="B52" s="7">
        <v>867607</v>
      </c>
      <c r="C52" s="7">
        <v>27199</v>
      </c>
      <c r="D52" s="7">
        <v>26033</v>
      </c>
      <c r="F52" s="3"/>
      <c r="G52" s="3"/>
      <c r="H52" s="3"/>
      <c r="I52" s="3"/>
      <c r="J52" s="3"/>
      <c r="K52" s="3"/>
      <c r="L52" s="3"/>
    </row>
    <row r="53" spans="1:12" x14ac:dyDescent="0.55000000000000004">
      <c r="A53" t="s">
        <v>55</v>
      </c>
      <c r="B53" s="3">
        <v>824129</v>
      </c>
      <c r="C53" s="3">
        <v>39246</v>
      </c>
      <c r="D53" s="3">
        <v>25048</v>
      </c>
      <c r="F53" s="3"/>
      <c r="G53" s="3"/>
      <c r="H53" s="3"/>
      <c r="I53" s="3"/>
      <c r="J53" s="3"/>
      <c r="K53" s="3"/>
      <c r="L53" s="3"/>
    </row>
    <row r="54" spans="1:12" x14ac:dyDescent="0.55000000000000004">
      <c r="A54" t="s">
        <v>56</v>
      </c>
      <c r="B54" s="3">
        <v>2351077</v>
      </c>
      <c r="C54" s="3">
        <v>126534</v>
      </c>
      <c r="D54" s="3">
        <v>86678</v>
      </c>
      <c r="F54" s="3"/>
      <c r="G54" s="3"/>
      <c r="H54" s="3"/>
      <c r="I54" s="3"/>
      <c r="J54" s="3"/>
      <c r="K54" s="3"/>
      <c r="L54" s="3"/>
    </row>
    <row r="55" spans="1:12" x14ac:dyDescent="0.55000000000000004">
      <c r="A55" t="s">
        <v>57</v>
      </c>
      <c r="B55" s="3">
        <v>1605335</v>
      </c>
      <c r="C55" s="3">
        <v>80877</v>
      </c>
      <c r="D55" s="3">
        <v>54493</v>
      </c>
      <c r="F55" s="3"/>
      <c r="G55" s="3"/>
      <c r="H55" s="3"/>
      <c r="I55" s="3"/>
      <c r="J55" s="3"/>
      <c r="K55" s="3"/>
      <c r="L55" s="3"/>
    </row>
    <row r="56" spans="1:12" x14ac:dyDescent="0.55000000000000004">
      <c r="A56" t="s">
        <v>58</v>
      </c>
      <c r="B56" s="3">
        <v>1358756</v>
      </c>
      <c r="C56" s="3">
        <v>78652</v>
      </c>
      <c r="D56" s="3">
        <v>49496</v>
      </c>
      <c r="F56" s="3"/>
      <c r="G56" s="3"/>
      <c r="H56" s="3"/>
      <c r="I56" s="3"/>
      <c r="J56" s="3"/>
      <c r="K56" s="3"/>
      <c r="L56" s="3"/>
    </row>
    <row r="57" spans="1:12" x14ac:dyDescent="0.55000000000000004">
      <c r="A57" t="s">
        <v>59</v>
      </c>
      <c r="B57" s="3">
        <v>1104314</v>
      </c>
      <c r="C57" s="3">
        <v>54265</v>
      </c>
      <c r="D57" s="3">
        <v>35313</v>
      </c>
      <c r="F57" s="3"/>
      <c r="G57" s="3"/>
      <c r="H57" s="3"/>
      <c r="I57" s="3"/>
      <c r="J57" s="3"/>
      <c r="K57" s="3"/>
      <c r="L57" s="3"/>
    </row>
    <row r="58" spans="1:12" x14ac:dyDescent="0.55000000000000004">
      <c r="A58" t="s">
        <v>60</v>
      </c>
      <c r="B58" s="3">
        <v>2782155</v>
      </c>
      <c r="C58" s="3">
        <v>141051</v>
      </c>
      <c r="D58" s="3">
        <v>89139</v>
      </c>
      <c r="F58" s="3"/>
      <c r="G58" s="3"/>
      <c r="H58" s="3"/>
      <c r="I58" s="3"/>
      <c r="J58" s="3"/>
      <c r="K58" s="3"/>
      <c r="L58" s="3"/>
    </row>
    <row r="59" spans="1:12" x14ac:dyDescent="0.55000000000000004">
      <c r="A59" t="s">
        <v>61</v>
      </c>
      <c r="B59" s="3">
        <v>1313681</v>
      </c>
      <c r="C59" s="3">
        <v>86639</v>
      </c>
      <c r="D59" s="3">
        <v>54869</v>
      </c>
      <c r="F59" s="3"/>
      <c r="G59" s="3"/>
      <c r="H59" s="3"/>
      <c r="I59" s="3"/>
      <c r="J59" s="3"/>
      <c r="K59" s="3"/>
      <c r="L59" s="3"/>
    </row>
    <row r="60" spans="1:12" x14ac:dyDescent="0.55000000000000004">
      <c r="A60" t="s">
        <v>62</v>
      </c>
      <c r="B60" s="3">
        <v>1475183</v>
      </c>
      <c r="C60" s="3">
        <v>76217</v>
      </c>
      <c r="D60" s="3">
        <v>51590</v>
      </c>
      <c r="F60" s="3"/>
      <c r="G60" s="3"/>
      <c r="H60" s="3"/>
      <c r="I60" s="3"/>
      <c r="J60" s="3"/>
      <c r="K60" s="3"/>
      <c r="L60" s="3"/>
    </row>
    <row r="61" spans="1:12" x14ac:dyDescent="0.55000000000000004">
      <c r="A61" t="s">
        <v>63</v>
      </c>
      <c r="B61" s="3">
        <v>1980301</v>
      </c>
      <c r="C61" s="3">
        <v>96158</v>
      </c>
      <c r="D61" s="3">
        <v>63512</v>
      </c>
      <c r="F61" s="3"/>
      <c r="G61" s="3"/>
      <c r="H61" s="3"/>
      <c r="I61" s="3"/>
      <c r="J61" s="3"/>
      <c r="K61" s="3"/>
      <c r="L61" s="3"/>
    </row>
    <row r="62" spans="1:12" x14ac:dyDescent="0.55000000000000004">
      <c r="A62" t="s">
        <v>64</v>
      </c>
      <c r="B62" s="3">
        <v>2366557</v>
      </c>
      <c r="C62" s="3">
        <v>123618</v>
      </c>
      <c r="D62" s="3">
        <v>76772</v>
      </c>
      <c r="F62" s="3"/>
      <c r="G62" s="3"/>
      <c r="H62" s="3"/>
      <c r="I62" s="3"/>
      <c r="J62" s="3"/>
      <c r="K62" s="3"/>
      <c r="L62" s="3"/>
    </row>
    <row r="63" spans="1:12" x14ac:dyDescent="0.55000000000000004">
      <c r="A63" t="s">
        <v>65</v>
      </c>
      <c r="B63" s="3">
        <v>1792163</v>
      </c>
      <c r="C63" s="3">
        <v>101170</v>
      </c>
      <c r="D63" s="3">
        <v>57900</v>
      </c>
      <c r="F63" s="3"/>
      <c r="G63" s="3"/>
      <c r="H63" s="3"/>
      <c r="I63" s="3"/>
      <c r="J63" s="3"/>
      <c r="K63" s="3"/>
      <c r="L63" s="3"/>
    </row>
    <row r="64" spans="1:12" x14ac:dyDescent="0.55000000000000004">
      <c r="A64" t="s">
        <v>66</v>
      </c>
      <c r="B64" s="3">
        <v>2174352</v>
      </c>
      <c r="C64" s="3">
        <v>109530</v>
      </c>
      <c r="D64" s="3">
        <v>64974</v>
      </c>
      <c r="F64" s="3"/>
      <c r="G64" s="3"/>
      <c r="H64" s="3"/>
      <c r="I64" s="3"/>
      <c r="J64" s="3"/>
      <c r="K64" s="3"/>
      <c r="L64" s="3"/>
    </row>
    <row r="65" spans="1:12" x14ac:dyDescent="0.55000000000000004">
      <c r="A65" t="s">
        <v>67</v>
      </c>
      <c r="B65" s="3">
        <v>1149452</v>
      </c>
      <c r="C65" s="3">
        <v>46434</v>
      </c>
      <c r="D65" s="3">
        <v>31671</v>
      </c>
      <c r="F65" s="3"/>
      <c r="G65" s="3"/>
      <c r="H65" s="3"/>
      <c r="I65" s="3"/>
      <c r="J65" s="3"/>
      <c r="K65" s="3"/>
      <c r="L65" s="3"/>
    </row>
    <row r="66" spans="1:12" x14ac:dyDescent="0.55000000000000004">
      <c r="A66" s="4" t="s">
        <v>68</v>
      </c>
      <c r="B66" s="5">
        <v>62629449</v>
      </c>
      <c r="C66" s="5">
        <v>3176386</v>
      </c>
      <c r="D66" s="5">
        <v>2084554</v>
      </c>
      <c r="F66" s="11">
        <f>SUM(B30:B65)</f>
        <v>61777887</v>
      </c>
      <c r="G66" s="11">
        <f>SUM(C30:C65)</f>
        <v>3171854</v>
      </c>
      <c r="H66" s="11">
        <f>SUM(D30:D65)</f>
        <v>2078270</v>
      </c>
      <c r="I66" s="3"/>
      <c r="J66" s="11">
        <f>ExtractedData[[#This Row],[чж NYY]]-F66</f>
        <v>851562</v>
      </c>
      <c r="K66" s="11">
        <f>ExtractedData[[#This Row],[чр YY]]-G66</f>
        <v>4532</v>
      </c>
      <c r="L66" s="11">
        <f>ExtractedData[[#This Row],[чу YY]]-H66</f>
        <v>6284</v>
      </c>
    </row>
    <row r="67" spans="1:12" x14ac:dyDescent="0.55000000000000004">
      <c r="A67" s="6" t="s">
        <v>69</v>
      </c>
      <c r="B67" s="7">
        <v>1962369</v>
      </c>
      <c r="C67" s="7">
        <v>147277</v>
      </c>
      <c r="D67" s="7">
        <v>67072</v>
      </c>
      <c r="F67" s="3"/>
      <c r="G67" s="3"/>
      <c r="H67" s="3"/>
      <c r="I67" s="3"/>
      <c r="J67" s="3"/>
      <c r="K67" s="3"/>
      <c r="L67" s="3"/>
    </row>
    <row r="68" spans="1:12" x14ac:dyDescent="0.55000000000000004">
      <c r="A68" s="4" t="s">
        <v>70</v>
      </c>
      <c r="B68" s="5">
        <v>94289057</v>
      </c>
      <c r="C68" s="5">
        <v>4579693</v>
      </c>
      <c r="D68" s="5">
        <v>2960486</v>
      </c>
      <c r="F68" s="11">
        <f>SUM(F3:F67)</f>
        <v>91444783</v>
      </c>
      <c r="G68" s="11">
        <f>SUM(G3:G67)</f>
        <v>4458884</v>
      </c>
      <c r="H68" s="11">
        <f>SUM(H3:H67)</f>
        <v>2887090</v>
      </c>
      <c r="I68" s="3"/>
      <c r="J68" s="11">
        <f>ExtractedData[[#This Row],[чж NYY]]-F68</f>
        <v>2844274</v>
      </c>
      <c r="K68" s="11">
        <f>ExtractedData[[#This Row],[чр YY]]-G68</f>
        <v>120809</v>
      </c>
      <c r="L68" s="11">
        <f>ExtractedData[[#This Row],[чу YY]]-H68</f>
        <v>73396</v>
      </c>
    </row>
    <row r="69" spans="1:12" x14ac:dyDescent="0.55000000000000004">
      <c r="A69" t="s">
        <v>71</v>
      </c>
      <c r="B69" s="3">
        <v>749089</v>
      </c>
      <c r="C69" s="3">
        <v>19110</v>
      </c>
      <c r="D69" s="3">
        <v>16636</v>
      </c>
      <c r="F69" s="3"/>
      <c r="G69" s="3"/>
      <c r="H69" s="3"/>
      <c r="I69" s="3"/>
      <c r="J69" s="3"/>
      <c r="K69" s="3"/>
      <c r="L69" s="3"/>
    </row>
    <row r="70" spans="1:12" x14ac:dyDescent="0.55000000000000004">
      <c r="A70" t="s">
        <v>72</v>
      </c>
      <c r="B70" s="3">
        <v>601987</v>
      </c>
      <c r="C70" s="3">
        <v>13574</v>
      </c>
      <c r="D70" s="3">
        <v>13378</v>
      </c>
      <c r="F70" s="3"/>
      <c r="G70" s="3"/>
      <c r="H70" s="3"/>
      <c r="I70" s="3"/>
      <c r="J70" s="3"/>
      <c r="K70" s="3"/>
      <c r="L70" s="3"/>
    </row>
    <row r="71" spans="1:12" x14ac:dyDescent="0.55000000000000004">
      <c r="A71" t="s">
        <v>73</v>
      </c>
      <c r="B71" s="3">
        <v>755226</v>
      </c>
      <c r="C71" s="3">
        <v>19719</v>
      </c>
      <c r="D71" s="3">
        <v>14961</v>
      </c>
      <c r="F71" s="3"/>
      <c r="G71" s="3"/>
      <c r="H71" s="3"/>
      <c r="I71" s="3"/>
      <c r="J71" s="3"/>
      <c r="K71" s="3"/>
      <c r="L71" s="3"/>
    </row>
    <row r="72" spans="1:12" x14ac:dyDescent="0.55000000000000004">
      <c r="A72" t="s">
        <v>74</v>
      </c>
      <c r="B72" s="3">
        <v>237114</v>
      </c>
      <c r="C72" s="3" t="s">
        <v>75</v>
      </c>
      <c r="D72" s="3" t="s">
        <v>75</v>
      </c>
      <c r="F72" s="3"/>
      <c r="G72" s="3"/>
      <c r="H72" s="3"/>
      <c r="I72" s="3"/>
      <c r="J72" s="3"/>
      <c r="K72" s="3"/>
      <c r="L72" s="3"/>
    </row>
    <row r="73" spans="1:12" x14ac:dyDescent="0.55000000000000004">
      <c r="A73" t="s">
        <v>76</v>
      </c>
      <c r="B73" s="3">
        <v>1350054</v>
      </c>
      <c r="C73" s="3">
        <v>83293</v>
      </c>
      <c r="D73" s="3">
        <v>52845</v>
      </c>
      <c r="F73" s="3"/>
      <c r="G73" s="3"/>
      <c r="H73" s="3"/>
      <c r="I73" s="3"/>
      <c r="J73" s="3"/>
      <c r="K73" s="3"/>
      <c r="L73" s="3"/>
    </row>
    <row r="74" spans="1:12" x14ac:dyDescent="0.55000000000000004">
      <c r="A74" t="s">
        <v>77</v>
      </c>
      <c r="B74" s="3">
        <v>959715</v>
      </c>
      <c r="C74" s="3">
        <v>26825</v>
      </c>
      <c r="D74" s="3">
        <v>13075</v>
      </c>
      <c r="F74" s="3"/>
      <c r="G74" s="3"/>
      <c r="H74" s="3"/>
      <c r="I74" s="3"/>
      <c r="J74" s="3"/>
      <c r="K74" s="3"/>
      <c r="L74" s="3"/>
    </row>
    <row r="75" spans="1:12" x14ac:dyDescent="0.55000000000000004">
      <c r="A75" t="s">
        <v>78</v>
      </c>
      <c r="B75" s="3">
        <v>670648</v>
      </c>
      <c r="C75" s="3">
        <v>43139</v>
      </c>
      <c r="D75" s="3">
        <v>24945</v>
      </c>
      <c r="F75" s="3"/>
      <c r="G75" s="3"/>
      <c r="H75" s="3"/>
      <c r="I75" s="3"/>
      <c r="J75" s="3"/>
      <c r="K75" s="3"/>
      <c r="L75" s="3"/>
    </row>
    <row r="76" spans="1:12" x14ac:dyDescent="0.55000000000000004">
      <c r="A76" t="s">
        <v>79</v>
      </c>
      <c r="B76" s="3">
        <v>705616</v>
      </c>
      <c r="C76" s="3">
        <v>22719</v>
      </c>
      <c r="D76" s="3">
        <v>16794</v>
      </c>
      <c r="F76" s="3"/>
      <c r="G76" s="3"/>
      <c r="H76" s="3"/>
      <c r="I76" s="3"/>
      <c r="J76" s="3"/>
      <c r="K76" s="3"/>
      <c r="L76" s="3"/>
    </row>
    <row r="77" spans="1:12" x14ac:dyDescent="0.55000000000000004">
      <c r="A77" t="s">
        <v>80</v>
      </c>
      <c r="B77" s="3">
        <v>823537</v>
      </c>
      <c r="C77" s="3">
        <v>28629</v>
      </c>
      <c r="D77" s="3">
        <v>15520</v>
      </c>
      <c r="F77" s="3"/>
      <c r="G77" s="3"/>
      <c r="H77" s="3"/>
      <c r="I77" s="3"/>
      <c r="J77" s="3"/>
      <c r="K77" s="3"/>
      <c r="L77" s="3"/>
    </row>
    <row r="78" spans="1:12" x14ac:dyDescent="0.55000000000000004">
      <c r="A78" t="s">
        <v>81</v>
      </c>
      <c r="B78" s="3">
        <v>677491</v>
      </c>
      <c r="C78" s="3" t="s">
        <v>75</v>
      </c>
      <c r="D78" s="3" t="s">
        <v>75</v>
      </c>
      <c r="F78" s="3"/>
      <c r="G78" s="3"/>
      <c r="H78" s="3"/>
      <c r="I78" s="3"/>
      <c r="J78" s="3"/>
      <c r="K78" s="3"/>
      <c r="L78" s="3"/>
    </row>
    <row r="79" spans="1:12" x14ac:dyDescent="0.55000000000000004">
      <c r="A79" s="4" t="s">
        <v>82</v>
      </c>
      <c r="B79" s="5">
        <v>7839177</v>
      </c>
      <c r="C79" s="5">
        <v>257306</v>
      </c>
      <c r="D79" s="5">
        <v>168154</v>
      </c>
      <c r="F79" s="11">
        <f>SUM(B69:B78)</f>
        <v>7530477</v>
      </c>
      <c r="G79" s="11">
        <f>SUM(C69:C78)</f>
        <v>257008</v>
      </c>
      <c r="H79" s="11">
        <f>SUM(D69:D78)</f>
        <v>168154</v>
      </c>
      <c r="I79" s="3"/>
      <c r="J79" s="11">
        <f>ExtractedData[[#This Row],[чж NYY]]-F79</f>
        <v>308700</v>
      </c>
      <c r="K79" s="11">
        <f>ExtractedData[[#This Row],[чр YY]]-G79</f>
        <v>298</v>
      </c>
      <c r="L79" s="11">
        <f>ExtractedData[[#This Row],[чу YY]]-H79</f>
        <v>0</v>
      </c>
    </row>
    <row r="80" spans="1:12" x14ac:dyDescent="0.55000000000000004">
      <c r="A80" t="s">
        <v>83</v>
      </c>
      <c r="B80" s="3">
        <v>63221</v>
      </c>
      <c r="C80" s="3" t="s">
        <v>75</v>
      </c>
      <c r="D80" s="3" t="s">
        <v>75</v>
      </c>
      <c r="F80" s="3"/>
      <c r="G80" s="3"/>
      <c r="H80" s="3"/>
      <c r="I80" s="3"/>
      <c r="J80" s="3"/>
      <c r="K80" s="3"/>
      <c r="L80" s="3"/>
    </row>
    <row r="81" spans="1:12" x14ac:dyDescent="0.55000000000000004">
      <c r="A81" t="s">
        <v>84</v>
      </c>
      <c r="B81" s="3">
        <v>472811</v>
      </c>
      <c r="C81" s="3">
        <v>23617</v>
      </c>
      <c r="D81" s="3">
        <v>16764</v>
      </c>
      <c r="F81" s="3"/>
      <c r="G81" s="3"/>
      <c r="H81" s="3"/>
      <c r="I81" s="3"/>
      <c r="J81" s="3"/>
      <c r="K81" s="3"/>
      <c r="L81" s="3"/>
    </row>
    <row r="82" spans="1:12" x14ac:dyDescent="0.55000000000000004">
      <c r="A82" t="s">
        <v>85</v>
      </c>
      <c r="B82" s="3">
        <v>545338</v>
      </c>
      <c r="C82" s="3" t="s">
        <v>75</v>
      </c>
      <c r="D82" s="3" t="s">
        <v>75</v>
      </c>
      <c r="F82" s="3"/>
      <c r="G82" s="3"/>
      <c r="H82" s="3"/>
      <c r="I82" s="3"/>
      <c r="J82" s="3"/>
      <c r="K82" s="3"/>
      <c r="L82" s="3"/>
    </row>
    <row r="83" spans="1:12" x14ac:dyDescent="0.55000000000000004">
      <c r="A83" t="s">
        <v>86</v>
      </c>
      <c r="B83" s="3">
        <v>428962</v>
      </c>
      <c r="C83" s="3">
        <v>20048</v>
      </c>
      <c r="D83" s="3">
        <v>17313</v>
      </c>
      <c r="F83" s="3"/>
      <c r="G83" s="3"/>
      <c r="H83" s="3"/>
      <c r="I83" s="3"/>
      <c r="J83" s="3"/>
      <c r="K83" s="3"/>
      <c r="L83" s="3"/>
    </row>
    <row r="84" spans="1:12" x14ac:dyDescent="0.55000000000000004">
      <c r="A84" t="s">
        <v>87</v>
      </c>
      <c r="B84" s="3">
        <v>102786</v>
      </c>
      <c r="C84" s="3" t="s">
        <v>75</v>
      </c>
      <c r="D84" s="3" t="s">
        <v>75</v>
      </c>
      <c r="F84" s="3"/>
      <c r="G84" s="3"/>
      <c r="H84" s="3"/>
      <c r="I84" s="3"/>
      <c r="J84" s="3"/>
      <c r="K84" s="3"/>
      <c r="L84" s="3"/>
    </row>
    <row r="85" spans="1:12" x14ac:dyDescent="0.55000000000000004">
      <c r="A85" t="s">
        <v>88</v>
      </c>
      <c r="B85" s="3">
        <v>1396310</v>
      </c>
      <c r="C85" s="3">
        <v>72606</v>
      </c>
      <c r="D85" s="3">
        <v>63817</v>
      </c>
      <c r="F85" s="3"/>
      <c r="G85" s="3"/>
      <c r="H85" s="3"/>
      <c r="I85" s="3"/>
      <c r="J85" s="3"/>
      <c r="K85" s="3"/>
      <c r="L85" s="3"/>
    </row>
    <row r="86" spans="1:12" x14ac:dyDescent="0.55000000000000004">
      <c r="A86" t="s">
        <v>89</v>
      </c>
      <c r="B86" s="3">
        <v>1328225</v>
      </c>
      <c r="C86" s="3">
        <v>61076</v>
      </c>
      <c r="D86" s="3">
        <v>33149</v>
      </c>
      <c r="F86" s="3"/>
      <c r="G86" s="3"/>
      <c r="H86" s="3"/>
      <c r="I86" s="3"/>
      <c r="J86" s="3"/>
      <c r="K86" s="3"/>
      <c r="L86" s="3"/>
    </row>
    <row r="87" spans="1:12" x14ac:dyDescent="0.55000000000000004">
      <c r="A87" t="s">
        <v>90</v>
      </c>
      <c r="B87" s="3">
        <v>256488</v>
      </c>
      <c r="C87" s="3">
        <v>6239</v>
      </c>
      <c r="D87" s="3">
        <v>5678</v>
      </c>
      <c r="F87" s="3"/>
      <c r="G87" s="3"/>
      <c r="H87" s="3"/>
      <c r="I87" s="3"/>
      <c r="J87" s="3"/>
      <c r="K87" s="3"/>
      <c r="L87" s="3"/>
    </row>
    <row r="88" spans="1:12" x14ac:dyDescent="0.55000000000000004">
      <c r="A88" s="4" t="s">
        <v>91</v>
      </c>
      <c r="B88" s="5">
        <v>4609499</v>
      </c>
      <c r="C88" s="5">
        <v>187046</v>
      </c>
      <c r="D88" s="5">
        <v>141915</v>
      </c>
      <c r="F88" s="11">
        <f>SUM(B80:B87)</f>
        <v>4594141</v>
      </c>
      <c r="G88" s="11">
        <f>SUM(C80:C87)</f>
        <v>183586</v>
      </c>
      <c r="H88" s="11">
        <f>SUM(D80:D87)</f>
        <v>136721</v>
      </c>
      <c r="I88" s="3"/>
      <c r="J88" s="11">
        <f>ExtractedData[[#This Row],[чж NYY]]-F88</f>
        <v>15358</v>
      </c>
      <c r="K88" s="11">
        <f>ExtractedData[[#This Row],[чр YY]]-G88</f>
        <v>3460</v>
      </c>
      <c r="L88" s="11">
        <f>ExtractedData[[#This Row],[чу YY]]-H88</f>
        <v>5194</v>
      </c>
    </row>
    <row r="89" spans="1:12" x14ac:dyDescent="0.55000000000000004">
      <c r="A89" t="s">
        <v>92</v>
      </c>
      <c r="B89" s="3">
        <v>485700</v>
      </c>
      <c r="C89" s="3">
        <v>14594</v>
      </c>
      <c r="D89" s="3">
        <v>10324</v>
      </c>
      <c r="F89" s="3"/>
      <c r="G89" s="3"/>
      <c r="H89" s="3"/>
      <c r="I89" s="3"/>
      <c r="J89" s="3"/>
      <c r="K89" s="3"/>
      <c r="L89" s="3"/>
    </row>
    <row r="90" spans="1:12" x14ac:dyDescent="0.55000000000000004">
      <c r="A90" t="s">
        <v>93</v>
      </c>
      <c r="B90" s="3">
        <v>695922</v>
      </c>
      <c r="C90" s="3" t="s">
        <v>75</v>
      </c>
      <c r="D90" s="3" t="s">
        <v>75</v>
      </c>
      <c r="F90" s="3"/>
      <c r="G90" s="3"/>
      <c r="H90" s="3"/>
      <c r="I90" s="3"/>
      <c r="J90" s="3"/>
      <c r="K90" s="3"/>
      <c r="L90" s="3"/>
    </row>
    <row r="91" spans="1:12" x14ac:dyDescent="0.55000000000000004">
      <c r="A91" t="s">
        <v>94</v>
      </c>
      <c r="B91" s="3">
        <v>703637</v>
      </c>
      <c r="C91" s="3" t="s">
        <v>75</v>
      </c>
      <c r="D91" s="3" t="s">
        <v>75</v>
      </c>
      <c r="F91" s="3"/>
      <c r="G91" s="3"/>
      <c r="H91" s="3"/>
      <c r="I91" s="3"/>
      <c r="J91" s="3"/>
      <c r="K91" s="3"/>
      <c r="L91" s="3"/>
    </row>
    <row r="92" spans="1:12" x14ac:dyDescent="0.55000000000000004">
      <c r="A92" t="s">
        <v>95</v>
      </c>
      <c r="B92" s="3">
        <v>576578</v>
      </c>
      <c r="C92" s="3">
        <v>10000</v>
      </c>
      <c r="D92" s="3">
        <v>9753</v>
      </c>
      <c r="F92" s="3"/>
      <c r="G92" s="3"/>
      <c r="H92" s="3"/>
      <c r="I92" s="3"/>
      <c r="J92" s="3"/>
      <c r="K92" s="3"/>
      <c r="L92" s="3"/>
    </row>
    <row r="93" spans="1:12" x14ac:dyDescent="0.55000000000000004">
      <c r="A93" t="s">
        <v>96</v>
      </c>
      <c r="B93" s="3">
        <v>554205</v>
      </c>
      <c r="C93" s="3">
        <v>16831</v>
      </c>
      <c r="D93" s="3">
        <v>11969</v>
      </c>
      <c r="F93" s="3"/>
      <c r="G93" s="3"/>
      <c r="H93" s="3"/>
      <c r="I93" s="3"/>
      <c r="J93" s="3"/>
      <c r="K93" s="3"/>
      <c r="L93" s="3"/>
    </row>
    <row r="94" spans="1:12" x14ac:dyDescent="0.55000000000000004">
      <c r="A94" t="s">
        <v>97</v>
      </c>
      <c r="B94" s="3">
        <v>1188344</v>
      </c>
      <c r="C94" s="3" t="s">
        <v>75</v>
      </c>
      <c r="D94" s="3" t="s">
        <v>75</v>
      </c>
      <c r="F94" s="3"/>
      <c r="G94" s="3"/>
      <c r="H94" s="3"/>
      <c r="I94" s="3"/>
      <c r="J94" s="3"/>
      <c r="K94" s="3"/>
      <c r="L94" s="3"/>
    </row>
    <row r="95" spans="1:12" x14ac:dyDescent="0.55000000000000004">
      <c r="A95" t="s">
        <v>98</v>
      </c>
      <c r="B95" s="3">
        <v>351243</v>
      </c>
      <c r="C95" s="3">
        <v>1523</v>
      </c>
      <c r="D95" s="3">
        <v>842</v>
      </c>
      <c r="F95" s="3"/>
      <c r="G95" s="3"/>
      <c r="H95" s="3"/>
      <c r="I95" s="3"/>
      <c r="J95" s="3"/>
      <c r="K95" s="3"/>
      <c r="L95" s="3"/>
    </row>
    <row r="96" spans="1:12" x14ac:dyDescent="0.55000000000000004">
      <c r="A96" t="s">
        <v>99</v>
      </c>
      <c r="B96" s="3">
        <v>547162</v>
      </c>
      <c r="C96" s="3">
        <v>6921</v>
      </c>
      <c r="D96" s="3">
        <v>4511</v>
      </c>
      <c r="F96" s="3"/>
      <c r="G96" s="3"/>
      <c r="H96" s="3"/>
      <c r="I96" s="3"/>
      <c r="J96" s="3"/>
      <c r="K96" s="3"/>
      <c r="L96" s="3"/>
    </row>
    <row r="97" spans="1:12" x14ac:dyDescent="0.55000000000000004">
      <c r="A97" t="s">
        <v>100</v>
      </c>
      <c r="B97" s="3">
        <v>815934</v>
      </c>
      <c r="C97" s="3">
        <v>42533</v>
      </c>
      <c r="D97" s="3">
        <v>27557</v>
      </c>
      <c r="F97" s="3"/>
      <c r="G97" s="3"/>
      <c r="H97" s="3"/>
      <c r="I97" s="3"/>
      <c r="J97" s="3"/>
      <c r="K97" s="3"/>
      <c r="L97" s="3"/>
    </row>
    <row r="98" spans="1:12" x14ac:dyDescent="0.55000000000000004">
      <c r="A98" s="4" t="s">
        <v>101</v>
      </c>
      <c r="B98" s="5">
        <v>5943725</v>
      </c>
      <c r="C98" s="5">
        <v>92949</v>
      </c>
      <c r="D98" s="5">
        <v>64963</v>
      </c>
      <c r="F98" s="11">
        <f>SUM(B89:B97)</f>
        <v>5918725</v>
      </c>
      <c r="G98" s="11">
        <f>SUM(C89:C97)</f>
        <v>92402</v>
      </c>
      <c r="H98" s="11">
        <f>SUM(D89:D97)</f>
        <v>64956</v>
      </c>
      <c r="I98" s="3"/>
      <c r="J98" s="11">
        <f>ExtractedData[[#This Row],[чж NYY]]-F98</f>
        <v>25000</v>
      </c>
      <c r="K98" s="11">
        <f>ExtractedData[[#This Row],[чр YY]]-G98</f>
        <v>547</v>
      </c>
      <c r="L98" s="11">
        <f>ExtractedData[[#This Row],[чу YY]]-H98</f>
        <v>7</v>
      </c>
    </row>
    <row r="99" spans="1:12" x14ac:dyDescent="0.55000000000000004">
      <c r="A99" s="4" t="s">
        <v>102</v>
      </c>
      <c r="B99" s="5">
        <v>112342758</v>
      </c>
      <c r="C99" s="5">
        <v>5116996</v>
      </c>
      <c r="D99" s="5">
        <v>3385518</v>
      </c>
      <c r="F99" s="11">
        <f>SUM(F68:F98)</f>
        <v>109488126</v>
      </c>
      <c r="G99" s="11">
        <f>SUM(G68:G98)</f>
        <v>4991880</v>
      </c>
      <c r="H99" s="11">
        <f>SUM(H68:H98)</f>
        <v>3256921</v>
      </c>
      <c r="I99" s="3"/>
      <c r="J99" s="11">
        <f>ExtractedData[[#This Row],[чж NYY]]-F99</f>
        <v>2854632</v>
      </c>
      <c r="K99" s="11">
        <f>ExtractedData[[#This Row],[чр YY]]-G99</f>
        <v>125116</v>
      </c>
      <c r="L99" s="11">
        <f>ExtractedData[[#This Row],[чу YY]]-H99</f>
        <v>128597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"/>
  <sheetViews>
    <sheetView workbookViewId="0"/>
  </sheetViews>
  <sheetFormatPr defaultRowHeight="14.4" x14ac:dyDescent="0.55000000000000004"/>
  <cols>
    <col min="1" max="1" width="34" customWidth="1"/>
    <col min="2" max="10" width="13" customWidth="1"/>
    <col min="11" max="11" width="22" customWidth="1"/>
    <col min="12" max="12" width="70" customWidth="1"/>
  </cols>
  <sheetData>
    <row r="1" spans="1:12" x14ac:dyDescent="0.55000000000000004">
      <c r="A1" s="1" t="s">
        <v>0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2" t="s">
        <v>113</v>
      </c>
    </row>
    <row r="2" spans="1:12" x14ac:dyDescent="0.55000000000000004">
      <c r="A2" t="s">
        <v>4</v>
      </c>
      <c r="B2" s="3">
        <v>346371</v>
      </c>
      <c r="C2" s="3">
        <v>346371</v>
      </c>
      <c r="D2" s="3">
        <v>0</v>
      </c>
      <c r="E2" s="3">
        <v>12733</v>
      </c>
      <c r="F2" s="3">
        <v>12733</v>
      </c>
      <c r="G2" s="3">
        <v>0</v>
      </c>
      <c r="H2" s="3">
        <v>8018</v>
      </c>
      <c r="I2" s="3">
        <v>8018</v>
      </c>
      <c r="J2" s="3">
        <v>0</v>
      </c>
      <c r="K2" t="s">
        <v>114</v>
      </c>
    </row>
    <row r="3" spans="1:12" x14ac:dyDescent="0.55000000000000004">
      <c r="A3" t="s">
        <v>5</v>
      </c>
      <c r="B3" s="3">
        <v>833276</v>
      </c>
      <c r="C3" s="3">
        <v>833276</v>
      </c>
      <c r="D3" s="3">
        <v>0</v>
      </c>
      <c r="E3" s="3">
        <v>26860</v>
      </c>
      <c r="F3" s="3">
        <v>26860</v>
      </c>
      <c r="G3" s="3">
        <v>0</v>
      </c>
      <c r="H3" s="3">
        <v>19429</v>
      </c>
      <c r="I3" s="3">
        <v>19429</v>
      </c>
      <c r="J3" s="3">
        <v>0</v>
      </c>
      <c r="K3" t="s">
        <v>114</v>
      </c>
      <c r="L3" t="s">
        <v>115</v>
      </c>
    </row>
    <row r="4" spans="1:12" x14ac:dyDescent="0.55000000000000004">
      <c r="A4" t="s">
        <v>6</v>
      </c>
      <c r="B4" s="3">
        <v>1309304</v>
      </c>
      <c r="C4" s="3">
        <v>1309304</v>
      </c>
      <c r="D4" s="3">
        <v>0</v>
      </c>
      <c r="E4" s="3">
        <v>54761</v>
      </c>
      <c r="F4" s="3">
        <v>54761</v>
      </c>
      <c r="G4" s="3">
        <v>0</v>
      </c>
      <c r="H4" s="3">
        <v>33408</v>
      </c>
      <c r="I4" s="3">
        <v>33408</v>
      </c>
      <c r="J4" s="3">
        <v>0</v>
      </c>
      <c r="K4" t="s">
        <v>114</v>
      </c>
    </row>
    <row r="5" spans="1:12" x14ac:dyDescent="0.55000000000000004">
      <c r="A5" t="s">
        <v>7</v>
      </c>
      <c r="B5" s="3">
        <v>1319304</v>
      </c>
      <c r="C5" s="3">
        <v>1319304</v>
      </c>
      <c r="D5" s="3">
        <v>0</v>
      </c>
      <c r="E5" s="3">
        <v>55587</v>
      </c>
      <c r="F5" s="3">
        <v>55587</v>
      </c>
      <c r="G5" s="3">
        <v>0</v>
      </c>
      <c r="H5" s="3">
        <v>32912</v>
      </c>
      <c r="I5" s="3">
        <v>32912</v>
      </c>
      <c r="J5" s="3">
        <v>0</v>
      </c>
      <c r="K5" t="s">
        <v>114</v>
      </c>
    </row>
    <row r="6" spans="1:12" x14ac:dyDescent="0.55000000000000004">
      <c r="A6" s="9" t="s">
        <v>8</v>
      </c>
      <c r="B6" s="10">
        <v>2303602</v>
      </c>
      <c r="C6" s="10">
        <v>2303592</v>
      </c>
      <c r="D6" s="10">
        <v>10</v>
      </c>
      <c r="E6" s="10">
        <v>119051</v>
      </c>
      <c r="F6" s="10">
        <v>119051</v>
      </c>
      <c r="G6" s="10">
        <v>0</v>
      </c>
      <c r="H6" s="10">
        <v>80316</v>
      </c>
      <c r="I6" s="10">
        <v>80316</v>
      </c>
      <c r="J6" s="10">
        <v>0</v>
      </c>
      <c r="K6" s="9" t="s">
        <v>116</v>
      </c>
      <c r="L6" s="9" t="s">
        <v>117</v>
      </c>
    </row>
    <row r="7" spans="1:12" x14ac:dyDescent="0.55000000000000004">
      <c r="A7" t="s">
        <v>9</v>
      </c>
      <c r="B7" s="3">
        <v>1329494</v>
      </c>
      <c r="C7" s="3">
        <v>1329494</v>
      </c>
      <c r="D7" s="3">
        <v>0</v>
      </c>
      <c r="E7" s="3">
        <v>56147</v>
      </c>
      <c r="F7" s="3">
        <v>56147</v>
      </c>
      <c r="G7" s="3">
        <v>0</v>
      </c>
      <c r="H7" s="3">
        <v>37791</v>
      </c>
      <c r="I7" s="3">
        <v>37791</v>
      </c>
      <c r="J7" s="3">
        <v>0</v>
      </c>
      <c r="K7" t="s">
        <v>114</v>
      </c>
    </row>
    <row r="8" spans="1:12" x14ac:dyDescent="0.55000000000000004">
      <c r="A8" t="s">
        <v>10</v>
      </c>
      <c r="B8" s="3">
        <v>2995133</v>
      </c>
      <c r="C8" s="3">
        <v>2995133</v>
      </c>
      <c r="D8" s="3">
        <v>0</v>
      </c>
      <c r="E8" s="3">
        <v>157321</v>
      </c>
      <c r="F8" s="3">
        <v>157321</v>
      </c>
      <c r="G8" s="3">
        <v>0</v>
      </c>
      <c r="H8" s="3">
        <v>95868</v>
      </c>
      <c r="I8" s="3">
        <v>95868</v>
      </c>
      <c r="J8" s="3">
        <v>0</v>
      </c>
      <c r="K8" t="s">
        <v>114</v>
      </c>
    </row>
    <row r="9" spans="1:12" x14ac:dyDescent="0.55000000000000004">
      <c r="A9" t="s">
        <v>11</v>
      </c>
      <c r="B9" s="3">
        <v>1554752</v>
      </c>
      <c r="C9" s="3">
        <v>1554752</v>
      </c>
      <c r="D9" s="3">
        <v>0</v>
      </c>
      <c r="E9" s="3">
        <v>54319</v>
      </c>
      <c r="F9" s="3">
        <v>54319</v>
      </c>
      <c r="G9" s="3">
        <v>0</v>
      </c>
      <c r="H9" s="3">
        <v>35604</v>
      </c>
      <c r="I9" s="3">
        <v>35604</v>
      </c>
      <c r="J9" s="3">
        <v>0</v>
      </c>
      <c r="K9" t="s">
        <v>114</v>
      </c>
    </row>
    <row r="10" spans="1:12" x14ac:dyDescent="0.55000000000000004">
      <c r="A10" t="s">
        <v>12</v>
      </c>
      <c r="B10" s="3">
        <v>1712274</v>
      </c>
      <c r="C10" s="3">
        <v>1712274</v>
      </c>
      <c r="D10" s="3">
        <v>0</v>
      </c>
      <c r="E10" s="3">
        <v>75862</v>
      </c>
      <c r="F10" s="3">
        <v>75862</v>
      </c>
      <c r="G10" s="3">
        <v>0</v>
      </c>
      <c r="H10" s="3">
        <v>45253</v>
      </c>
      <c r="I10" s="3">
        <v>45253</v>
      </c>
      <c r="J10" s="3">
        <v>0</v>
      </c>
      <c r="K10" t="s">
        <v>114</v>
      </c>
    </row>
    <row r="11" spans="1:12" x14ac:dyDescent="0.55000000000000004">
      <c r="A11" t="s">
        <v>13</v>
      </c>
      <c r="B11" s="3">
        <v>1326468</v>
      </c>
      <c r="C11" s="3">
        <v>1326468</v>
      </c>
      <c r="D11" s="3">
        <v>0</v>
      </c>
      <c r="E11" s="3">
        <v>69060</v>
      </c>
      <c r="F11" s="3">
        <v>69060</v>
      </c>
      <c r="G11" s="3">
        <v>0</v>
      </c>
      <c r="H11" s="3">
        <v>33339</v>
      </c>
      <c r="I11" s="3">
        <v>33339</v>
      </c>
      <c r="J11" s="3">
        <v>0</v>
      </c>
      <c r="K11" t="s">
        <v>114</v>
      </c>
    </row>
    <row r="12" spans="1:12" x14ac:dyDescent="0.55000000000000004">
      <c r="A12" t="s">
        <v>14</v>
      </c>
      <c r="B12" s="3">
        <v>1337913</v>
      </c>
      <c r="C12" s="3">
        <v>1337913</v>
      </c>
      <c r="D12" s="3">
        <v>0</v>
      </c>
      <c r="E12" s="3">
        <v>81236</v>
      </c>
      <c r="F12" s="3">
        <v>81236</v>
      </c>
      <c r="G12" s="3">
        <v>0</v>
      </c>
      <c r="H12" s="3">
        <v>49862</v>
      </c>
      <c r="I12" s="3">
        <v>49862</v>
      </c>
      <c r="J12" s="3">
        <v>0</v>
      </c>
      <c r="K12" t="s">
        <v>114</v>
      </c>
    </row>
    <row r="13" spans="1:12" x14ac:dyDescent="0.55000000000000004">
      <c r="A13" s="9" t="s">
        <v>15</v>
      </c>
      <c r="B13" s="10">
        <v>2500435</v>
      </c>
      <c r="C13" s="10"/>
      <c r="D13" s="10"/>
      <c r="E13" s="10">
        <v>124380</v>
      </c>
      <c r="F13" s="10">
        <v>124400</v>
      </c>
      <c r="G13" s="10">
        <v>-20</v>
      </c>
      <c r="H13" s="10">
        <v>81485</v>
      </c>
      <c r="I13" s="10">
        <v>81583</v>
      </c>
      <c r="J13" s="10">
        <v>-98</v>
      </c>
      <c r="K13" s="9" t="s">
        <v>116</v>
      </c>
      <c r="L13" s="9" t="s">
        <v>118</v>
      </c>
    </row>
    <row r="14" spans="1:12" x14ac:dyDescent="0.55000000000000004">
      <c r="A14" t="s">
        <v>16</v>
      </c>
      <c r="B14" s="3">
        <v>18868326</v>
      </c>
      <c r="C14" s="3"/>
      <c r="D14" s="3"/>
      <c r="E14" s="3">
        <v>887317</v>
      </c>
      <c r="F14" s="3"/>
      <c r="G14" s="3"/>
      <c r="H14" s="3">
        <v>553285</v>
      </c>
      <c r="I14" s="3"/>
      <c r="J14" s="3"/>
      <c r="K14" t="s">
        <v>119</v>
      </c>
      <c r="L14" t="s">
        <v>120</v>
      </c>
    </row>
    <row r="15" spans="1:12" x14ac:dyDescent="0.55000000000000004">
      <c r="A15" t="s">
        <v>17</v>
      </c>
      <c r="B15" s="3">
        <v>1030571</v>
      </c>
      <c r="C15" s="3"/>
      <c r="D15" s="3"/>
      <c r="E15" s="3">
        <v>43631</v>
      </c>
      <c r="F15" s="3"/>
      <c r="G15" s="3"/>
      <c r="H15" s="3">
        <v>25802</v>
      </c>
      <c r="I15" s="3"/>
      <c r="J15" s="3"/>
      <c r="K15" t="s">
        <v>121</v>
      </c>
      <c r="L15" t="s">
        <v>122</v>
      </c>
    </row>
    <row r="16" spans="1:12" x14ac:dyDescent="0.55000000000000004">
      <c r="A16" t="s">
        <v>18</v>
      </c>
      <c r="B16" s="3">
        <v>444514</v>
      </c>
      <c r="C16" s="3"/>
      <c r="D16" s="3"/>
      <c r="E16" s="3">
        <v>17569</v>
      </c>
      <c r="F16" s="3"/>
      <c r="G16" s="3"/>
      <c r="H16" s="3">
        <v>11042</v>
      </c>
      <c r="I16" s="3"/>
      <c r="J16" s="3"/>
      <c r="K16" t="s">
        <v>121</v>
      </c>
      <c r="L16" t="s">
        <v>122</v>
      </c>
    </row>
    <row r="17" spans="1:12" x14ac:dyDescent="0.55000000000000004">
      <c r="A17" t="s">
        <v>19</v>
      </c>
      <c r="B17" s="3">
        <v>844446</v>
      </c>
      <c r="C17" s="3"/>
      <c r="D17" s="3"/>
      <c r="E17" s="3">
        <v>32320</v>
      </c>
      <c r="F17" s="3"/>
      <c r="G17" s="3"/>
      <c r="H17" s="3">
        <v>22301</v>
      </c>
      <c r="I17" s="3"/>
      <c r="J17" s="3"/>
      <c r="K17" t="s">
        <v>121</v>
      </c>
      <c r="L17" t="s">
        <v>122</v>
      </c>
    </row>
    <row r="18" spans="1:12" x14ac:dyDescent="0.55000000000000004">
      <c r="A18" t="s">
        <v>20</v>
      </c>
      <c r="B18" s="3">
        <v>706860</v>
      </c>
      <c r="C18" s="3"/>
      <c r="D18" s="3"/>
      <c r="E18" s="3">
        <v>29051</v>
      </c>
      <c r="F18" s="3"/>
      <c r="G18" s="3"/>
      <c r="H18" s="3">
        <v>15256</v>
      </c>
      <c r="I18" s="3"/>
      <c r="J18" s="3"/>
      <c r="K18" t="s">
        <v>121</v>
      </c>
      <c r="L18" t="s">
        <v>122</v>
      </c>
    </row>
    <row r="19" spans="1:12" x14ac:dyDescent="0.55000000000000004">
      <c r="A19" t="s">
        <v>21</v>
      </c>
      <c r="B19" s="3">
        <v>611795</v>
      </c>
      <c r="C19" s="3"/>
      <c r="D19" s="3"/>
      <c r="E19" s="3">
        <v>24364</v>
      </c>
      <c r="F19" s="3"/>
      <c r="G19" s="3"/>
      <c r="H19" s="3">
        <v>17620</v>
      </c>
      <c r="I19" s="3"/>
      <c r="J19" s="3"/>
      <c r="K19" t="s">
        <v>121</v>
      </c>
      <c r="L19" t="s">
        <v>122</v>
      </c>
    </row>
    <row r="20" spans="1:12" x14ac:dyDescent="0.55000000000000004">
      <c r="A20" t="s">
        <v>22</v>
      </c>
      <c r="B20" s="3">
        <v>1064900</v>
      </c>
      <c r="C20" s="3"/>
      <c r="D20" s="3"/>
      <c r="E20" s="3">
        <v>40623</v>
      </c>
      <c r="F20" s="3"/>
      <c r="G20" s="3"/>
      <c r="H20" s="3">
        <v>25914</v>
      </c>
      <c r="I20" s="3"/>
      <c r="J20" s="3"/>
      <c r="K20" t="s">
        <v>121</v>
      </c>
      <c r="L20" t="s">
        <v>122</v>
      </c>
    </row>
    <row r="21" spans="1:12" x14ac:dyDescent="0.55000000000000004">
      <c r="A21" t="s">
        <v>23</v>
      </c>
      <c r="B21" s="3">
        <v>1146665</v>
      </c>
      <c r="C21" s="3"/>
      <c r="D21" s="3"/>
      <c r="E21" s="3">
        <v>44246</v>
      </c>
      <c r="F21" s="3"/>
      <c r="G21" s="3"/>
      <c r="H21" s="3">
        <v>25356</v>
      </c>
      <c r="I21" s="3"/>
      <c r="J21" s="3"/>
      <c r="K21" t="s">
        <v>121</v>
      </c>
      <c r="L21" t="s">
        <v>122</v>
      </c>
    </row>
    <row r="22" spans="1:12" x14ac:dyDescent="0.55000000000000004">
      <c r="A22" t="s">
        <v>24</v>
      </c>
      <c r="B22" s="3">
        <v>612323</v>
      </c>
      <c r="C22" s="3"/>
      <c r="D22" s="3"/>
      <c r="E22" s="3">
        <v>24445</v>
      </c>
      <c r="F22" s="3"/>
      <c r="G22" s="3"/>
      <c r="H22" s="3">
        <v>14339</v>
      </c>
      <c r="I22" s="3"/>
      <c r="J22" s="3"/>
      <c r="K22" t="s">
        <v>121</v>
      </c>
      <c r="L22" t="s">
        <v>122</v>
      </c>
    </row>
    <row r="23" spans="1:12" x14ac:dyDescent="0.55000000000000004">
      <c r="A23" t="s">
        <v>25</v>
      </c>
      <c r="B23" s="3">
        <v>742032</v>
      </c>
      <c r="C23" s="3"/>
      <c r="D23" s="3"/>
      <c r="E23" s="3">
        <v>30815</v>
      </c>
      <c r="F23" s="3"/>
      <c r="G23" s="3"/>
      <c r="H23" s="3">
        <v>16922</v>
      </c>
      <c r="I23" s="3"/>
      <c r="J23" s="3"/>
      <c r="K23" t="s">
        <v>121</v>
      </c>
      <c r="L23" t="s">
        <v>122</v>
      </c>
    </row>
    <row r="24" spans="1:12" x14ac:dyDescent="0.55000000000000004">
      <c r="A24" t="s">
        <v>26</v>
      </c>
      <c r="B24" s="3">
        <v>638317</v>
      </c>
      <c r="C24" s="3"/>
      <c r="D24" s="3"/>
      <c r="E24" s="3">
        <v>21370</v>
      </c>
      <c r="F24" s="3"/>
      <c r="G24" s="3"/>
      <c r="H24" s="3">
        <v>16295</v>
      </c>
      <c r="I24" s="3"/>
      <c r="J24" s="3"/>
      <c r="K24" t="s">
        <v>121</v>
      </c>
      <c r="L24" t="s">
        <v>122</v>
      </c>
    </row>
    <row r="25" spans="1:12" x14ac:dyDescent="0.55000000000000004">
      <c r="A25" t="s">
        <v>27</v>
      </c>
      <c r="B25" s="3">
        <v>630659</v>
      </c>
      <c r="C25" s="3"/>
      <c r="D25" s="3"/>
      <c r="E25" s="3">
        <v>25198</v>
      </c>
      <c r="F25" s="3"/>
      <c r="G25" s="3"/>
      <c r="H25" s="3">
        <v>16813</v>
      </c>
      <c r="I25" s="3"/>
      <c r="J25" s="3"/>
      <c r="K25" t="s">
        <v>121</v>
      </c>
      <c r="L25" t="s">
        <v>122</v>
      </c>
    </row>
    <row r="26" spans="1:12" x14ac:dyDescent="0.55000000000000004">
      <c r="A26" t="s">
        <v>28</v>
      </c>
      <c r="B26" s="3">
        <v>688953</v>
      </c>
      <c r="C26" s="3"/>
      <c r="D26" s="3"/>
      <c r="E26" s="3">
        <v>17877</v>
      </c>
      <c r="F26" s="3"/>
      <c r="G26" s="3"/>
      <c r="H26" s="3">
        <v>12570</v>
      </c>
      <c r="I26" s="3"/>
      <c r="J26" s="3"/>
      <c r="K26" t="s">
        <v>121</v>
      </c>
      <c r="L26" t="s">
        <v>122</v>
      </c>
    </row>
    <row r="27" spans="1:12" x14ac:dyDescent="0.55000000000000004">
      <c r="A27" t="s">
        <v>29</v>
      </c>
      <c r="B27" s="3">
        <v>1239750</v>
      </c>
      <c r="C27" s="3"/>
      <c r="D27" s="3"/>
      <c r="E27" s="3">
        <v>36395</v>
      </c>
      <c r="F27" s="3"/>
      <c r="G27" s="3"/>
      <c r="H27" s="3">
        <v>26105</v>
      </c>
      <c r="I27" s="3"/>
      <c r="J27" s="3"/>
      <c r="K27" t="s">
        <v>121</v>
      </c>
      <c r="L27" t="s">
        <v>122</v>
      </c>
    </row>
    <row r="28" spans="1:12" x14ac:dyDescent="0.55000000000000004">
      <c r="A28" t="s">
        <v>30</v>
      </c>
      <c r="B28" s="3">
        <v>396785</v>
      </c>
      <c r="C28" s="3"/>
      <c r="D28" s="3"/>
      <c r="E28" s="3">
        <v>11809</v>
      </c>
      <c r="F28" s="3"/>
      <c r="G28" s="3"/>
      <c r="H28" s="3">
        <v>9200</v>
      </c>
      <c r="I28" s="3"/>
      <c r="J28" s="3"/>
      <c r="K28" t="s">
        <v>121</v>
      </c>
      <c r="L28" t="s">
        <v>122</v>
      </c>
    </row>
    <row r="29" spans="1:12" x14ac:dyDescent="0.55000000000000004">
      <c r="A29" t="s">
        <v>31</v>
      </c>
      <c r="B29" s="3">
        <v>10838913</v>
      </c>
      <c r="C29" s="3"/>
      <c r="D29" s="3"/>
      <c r="E29" s="3">
        <v>399713</v>
      </c>
      <c r="F29" s="3"/>
      <c r="G29" s="3"/>
      <c r="H29" s="3">
        <v>255575</v>
      </c>
      <c r="I29" s="3"/>
      <c r="J29" s="3"/>
      <c r="K29" t="s">
        <v>119</v>
      </c>
      <c r="L29" t="s">
        <v>120</v>
      </c>
    </row>
    <row r="30" spans="1:12" x14ac:dyDescent="0.55000000000000004">
      <c r="A30" t="s">
        <v>32</v>
      </c>
      <c r="B30" s="3">
        <v>1525804</v>
      </c>
      <c r="C30" s="3"/>
      <c r="D30" s="3"/>
      <c r="E30" s="3">
        <v>73064</v>
      </c>
      <c r="F30" s="3"/>
      <c r="G30" s="3"/>
      <c r="H30" s="3">
        <v>43634</v>
      </c>
      <c r="I30" s="3"/>
      <c r="J30" s="3"/>
      <c r="K30" t="s">
        <v>121</v>
      </c>
      <c r="L30" t="s">
        <v>122</v>
      </c>
    </row>
    <row r="31" spans="1:12" x14ac:dyDescent="0.55000000000000004">
      <c r="A31" t="s">
        <v>33</v>
      </c>
      <c r="B31" s="3">
        <v>1434942</v>
      </c>
      <c r="C31" s="3"/>
      <c r="D31" s="3"/>
      <c r="E31" s="3">
        <v>79540</v>
      </c>
      <c r="F31" s="3"/>
      <c r="G31" s="3"/>
      <c r="H31" s="3">
        <v>54191</v>
      </c>
      <c r="I31" s="3"/>
      <c r="J31" s="3"/>
      <c r="K31" t="s">
        <v>121</v>
      </c>
      <c r="L31" t="s">
        <v>122</v>
      </c>
    </row>
    <row r="32" spans="1:12" x14ac:dyDescent="0.55000000000000004">
      <c r="A32" t="s">
        <v>34</v>
      </c>
      <c r="B32" s="3">
        <v>1255715</v>
      </c>
      <c r="C32" s="3"/>
      <c r="D32" s="3"/>
      <c r="E32" s="3">
        <v>54974</v>
      </c>
      <c r="F32" s="3"/>
      <c r="G32" s="3"/>
      <c r="H32" s="3">
        <v>36533</v>
      </c>
      <c r="I32" s="3"/>
      <c r="J32" s="3"/>
      <c r="K32" t="s">
        <v>121</v>
      </c>
      <c r="L32" t="s">
        <v>122</v>
      </c>
    </row>
    <row r="33" spans="1:12" x14ac:dyDescent="0.55000000000000004">
      <c r="A33" t="s">
        <v>35</v>
      </c>
      <c r="B33" s="3">
        <v>2650756</v>
      </c>
      <c r="C33" s="3"/>
      <c r="D33" s="3"/>
      <c r="E33" s="3">
        <v>139267</v>
      </c>
      <c r="F33" s="3"/>
      <c r="G33" s="3"/>
      <c r="H33" s="3">
        <v>89062</v>
      </c>
      <c r="I33" s="3"/>
      <c r="J33" s="3"/>
      <c r="K33" t="s">
        <v>121</v>
      </c>
      <c r="L33" t="s">
        <v>122</v>
      </c>
    </row>
    <row r="34" spans="1:12" x14ac:dyDescent="0.55000000000000004">
      <c r="A34" t="s">
        <v>36</v>
      </c>
      <c r="B34" s="3">
        <v>2924015</v>
      </c>
      <c r="C34" s="3"/>
      <c r="D34" s="3"/>
      <c r="E34" s="3">
        <v>153745</v>
      </c>
      <c r="F34" s="3"/>
      <c r="G34" s="3"/>
      <c r="H34" s="3">
        <v>101070</v>
      </c>
      <c r="I34" s="3"/>
      <c r="J34" s="3"/>
      <c r="K34" t="s">
        <v>121</v>
      </c>
      <c r="L34" t="s">
        <v>122</v>
      </c>
    </row>
    <row r="35" spans="1:12" x14ac:dyDescent="0.55000000000000004">
      <c r="A35" t="s">
        <v>37</v>
      </c>
      <c r="B35" s="3">
        <v>1587275</v>
      </c>
      <c r="C35" s="3"/>
      <c r="D35" s="3"/>
      <c r="E35" s="3">
        <v>92193</v>
      </c>
      <c r="F35" s="3"/>
      <c r="G35" s="3"/>
      <c r="H35" s="3">
        <v>49502</v>
      </c>
      <c r="I35" s="3"/>
      <c r="J35" s="3"/>
      <c r="K35" t="s">
        <v>121</v>
      </c>
      <c r="L35" t="s">
        <v>122</v>
      </c>
    </row>
    <row r="36" spans="1:12" x14ac:dyDescent="0.55000000000000004">
      <c r="A36" t="s">
        <v>38</v>
      </c>
      <c r="B36" s="3">
        <v>2149445</v>
      </c>
      <c r="C36" s="3"/>
      <c r="D36" s="3"/>
      <c r="E36" s="3">
        <v>104595</v>
      </c>
      <c r="F36" s="3"/>
      <c r="G36" s="3"/>
      <c r="H36" s="3">
        <v>69104</v>
      </c>
      <c r="I36" s="3"/>
      <c r="J36" s="3"/>
      <c r="K36" t="s">
        <v>121</v>
      </c>
      <c r="L36" t="s">
        <v>122</v>
      </c>
    </row>
    <row r="37" spans="1:12" x14ac:dyDescent="0.55000000000000004">
      <c r="A37" t="s">
        <v>39</v>
      </c>
      <c r="B37" s="3">
        <v>1221377</v>
      </c>
      <c r="C37" s="3"/>
      <c r="D37" s="3"/>
      <c r="E37" s="3">
        <v>59313</v>
      </c>
      <c r="F37" s="3"/>
      <c r="G37" s="3"/>
      <c r="H37" s="3">
        <v>38318</v>
      </c>
      <c r="I37" s="3"/>
      <c r="J37" s="3"/>
      <c r="K37" t="s">
        <v>121</v>
      </c>
      <c r="L37" t="s">
        <v>122</v>
      </c>
    </row>
    <row r="38" spans="1:12" x14ac:dyDescent="0.55000000000000004">
      <c r="A38" t="s">
        <v>40</v>
      </c>
      <c r="B38" s="3">
        <v>1367905</v>
      </c>
      <c r="C38" s="3"/>
      <c r="D38" s="3"/>
      <c r="E38" s="3">
        <v>64132</v>
      </c>
      <c r="F38" s="3"/>
      <c r="G38" s="3"/>
      <c r="H38" s="3">
        <v>50244</v>
      </c>
      <c r="I38" s="3"/>
      <c r="J38" s="3"/>
      <c r="K38" t="s">
        <v>121</v>
      </c>
      <c r="L38" t="s">
        <v>122</v>
      </c>
    </row>
    <row r="39" spans="1:12" x14ac:dyDescent="0.55000000000000004">
      <c r="A39" t="s">
        <v>41</v>
      </c>
      <c r="B39" s="3">
        <v>2513700</v>
      </c>
      <c r="C39" s="3"/>
      <c r="D39" s="3"/>
      <c r="E39" s="3">
        <v>121577</v>
      </c>
      <c r="F39" s="3"/>
      <c r="G39" s="3"/>
      <c r="H39" s="3">
        <v>73397</v>
      </c>
      <c r="I39" s="3"/>
      <c r="J39" s="3"/>
      <c r="K39" t="s">
        <v>121</v>
      </c>
      <c r="L39" t="s">
        <v>122</v>
      </c>
    </row>
    <row r="40" spans="1:12" x14ac:dyDescent="0.55000000000000004">
      <c r="A40" t="s">
        <v>42</v>
      </c>
      <c r="B40" s="3">
        <v>779410</v>
      </c>
      <c r="C40" s="3"/>
      <c r="D40" s="3"/>
      <c r="E40" s="3">
        <v>33557</v>
      </c>
      <c r="F40" s="3"/>
      <c r="G40" s="3"/>
      <c r="H40" s="3">
        <v>27696</v>
      </c>
      <c r="I40" s="3"/>
      <c r="J40" s="3"/>
      <c r="K40" t="s">
        <v>121</v>
      </c>
      <c r="L40" t="s">
        <v>122</v>
      </c>
    </row>
    <row r="41" spans="1:12" x14ac:dyDescent="0.55000000000000004">
      <c r="A41" t="s">
        <v>43</v>
      </c>
      <c r="B41" s="3">
        <v>1479259</v>
      </c>
      <c r="C41" s="3"/>
      <c r="D41" s="3"/>
      <c r="E41" s="3">
        <v>69416</v>
      </c>
      <c r="F41" s="3"/>
      <c r="G41" s="3"/>
      <c r="H41" s="3">
        <v>52131</v>
      </c>
      <c r="I41" s="3"/>
      <c r="J41" s="3"/>
      <c r="K41" t="s">
        <v>121</v>
      </c>
      <c r="L41" t="s">
        <v>122</v>
      </c>
    </row>
    <row r="42" spans="1:12" x14ac:dyDescent="0.55000000000000004">
      <c r="A42" t="s">
        <v>44</v>
      </c>
      <c r="B42" s="3">
        <v>1523529</v>
      </c>
      <c r="C42" s="3"/>
      <c r="D42" s="3"/>
      <c r="E42" s="3">
        <v>85519</v>
      </c>
      <c r="F42" s="3"/>
      <c r="G42" s="3"/>
      <c r="H42" s="3">
        <v>69216</v>
      </c>
      <c r="I42" s="3"/>
      <c r="J42" s="3"/>
      <c r="K42" t="s">
        <v>121</v>
      </c>
      <c r="L42" t="s">
        <v>122</v>
      </c>
    </row>
    <row r="43" spans="1:12" x14ac:dyDescent="0.55000000000000004">
      <c r="A43" t="s">
        <v>45</v>
      </c>
      <c r="B43" s="3">
        <v>1240665</v>
      </c>
      <c r="C43" s="3"/>
      <c r="D43" s="3"/>
      <c r="E43" s="3">
        <v>58415</v>
      </c>
      <c r="F43" s="3"/>
      <c r="G43" s="3"/>
      <c r="H43" s="3">
        <v>36752</v>
      </c>
      <c r="I43" s="3"/>
      <c r="J43" s="3"/>
      <c r="K43" t="s">
        <v>121</v>
      </c>
      <c r="L43" t="s">
        <v>122</v>
      </c>
    </row>
    <row r="44" spans="1:12" x14ac:dyDescent="0.55000000000000004">
      <c r="A44" t="s">
        <v>46</v>
      </c>
      <c r="B44" s="3">
        <v>345283</v>
      </c>
      <c r="C44" s="3"/>
      <c r="D44" s="3"/>
      <c r="E44" s="3">
        <v>16797</v>
      </c>
      <c r="F44" s="3"/>
      <c r="G44" s="3"/>
      <c r="H44" s="3">
        <v>12080</v>
      </c>
      <c r="I44" s="3"/>
      <c r="J44" s="3"/>
      <c r="K44" t="s">
        <v>121</v>
      </c>
      <c r="L44" t="s">
        <v>122</v>
      </c>
    </row>
    <row r="45" spans="1:12" x14ac:dyDescent="0.55000000000000004">
      <c r="A45" t="s">
        <v>47</v>
      </c>
      <c r="B45" s="3">
        <v>2071964</v>
      </c>
      <c r="C45" s="3"/>
      <c r="D45" s="3"/>
      <c r="E45" s="3">
        <v>105526</v>
      </c>
      <c r="F45" s="3"/>
      <c r="G45" s="3"/>
      <c r="H45" s="3">
        <v>67264</v>
      </c>
      <c r="I45" s="3"/>
      <c r="J45" s="3"/>
      <c r="K45" t="s">
        <v>121</v>
      </c>
      <c r="L45" t="s">
        <v>122</v>
      </c>
    </row>
    <row r="46" spans="1:12" x14ac:dyDescent="0.55000000000000004">
      <c r="A46" t="s">
        <v>48</v>
      </c>
      <c r="B46" s="3">
        <v>1543427</v>
      </c>
      <c r="C46" s="3"/>
      <c r="D46" s="3"/>
      <c r="E46" s="3">
        <v>83960</v>
      </c>
      <c r="F46" s="3"/>
      <c r="G46" s="3"/>
      <c r="H46" s="3">
        <v>59613</v>
      </c>
      <c r="I46" s="3"/>
      <c r="J46" s="3"/>
      <c r="K46" t="s">
        <v>121</v>
      </c>
      <c r="L46" t="s">
        <v>122</v>
      </c>
    </row>
    <row r="47" spans="1:12" x14ac:dyDescent="0.55000000000000004">
      <c r="A47" t="s">
        <v>49</v>
      </c>
      <c r="B47" s="3">
        <v>2742514</v>
      </c>
      <c r="C47" s="3"/>
      <c r="D47" s="3"/>
      <c r="E47" s="3">
        <v>155758</v>
      </c>
      <c r="F47" s="3"/>
      <c r="G47" s="3"/>
      <c r="H47" s="3">
        <v>110142</v>
      </c>
      <c r="I47" s="3"/>
      <c r="J47" s="3"/>
      <c r="K47" t="s">
        <v>121</v>
      </c>
      <c r="L47" t="s">
        <v>122</v>
      </c>
    </row>
    <row r="48" spans="1:12" x14ac:dyDescent="0.55000000000000004">
      <c r="A48" t="s">
        <v>50</v>
      </c>
      <c r="B48" s="3">
        <v>2848307</v>
      </c>
      <c r="C48" s="3"/>
      <c r="D48" s="3"/>
      <c r="E48" s="3">
        <v>133410</v>
      </c>
      <c r="F48" s="3"/>
      <c r="G48" s="3"/>
      <c r="H48" s="3">
        <v>75641</v>
      </c>
      <c r="I48" s="3"/>
      <c r="J48" s="3"/>
      <c r="K48" t="s">
        <v>121</v>
      </c>
      <c r="L48" t="s">
        <v>122</v>
      </c>
    </row>
    <row r="49" spans="1:12" x14ac:dyDescent="0.55000000000000004">
      <c r="A49" t="s">
        <v>51</v>
      </c>
      <c r="B49" s="3">
        <v>980152</v>
      </c>
      <c r="C49" s="3"/>
      <c r="D49" s="3"/>
      <c r="E49" s="3">
        <v>50752</v>
      </c>
      <c r="F49" s="3"/>
      <c r="G49" s="3"/>
      <c r="H49" s="3">
        <v>32852</v>
      </c>
      <c r="I49" s="3"/>
      <c r="J49" s="3"/>
      <c r="K49" t="s">
        <v>121</v>
      </c>
      <c r="L49" t="s">
        <v>122</v>
      </c>
    </row>
    <row r="50" spans="1:12" x14ac:dyDescent="0.55000000000000004">
      <c r="A50" t="s">
        <v>52</v>
      </c>
      <c r="B50" s="3">
        <v>1876581</v>
      </c>
      <c r="C50" s="3"/>
      <c r="D50" s="3"/>
      <c r="E50" s="3">
        <v>94003</v>
      </c>
      <c r="F50" s="3"/>
      <c r="G50" s="3"/>
      <c r="H50" s="3">
        <v>60567</v>
      </c>
      <c r="I50" s="3"/>
      <c r="J50" s="3"/>
      <c r="K50" t="s">
        <v>121</v>
      </c>
      <c r="L50" t="s">
        <v>122</v>
      </c>
    </row>
    <row r="51" spans="1:12" x14ac:dyDescent="0.55000000000000004">
      <c r="A51" t="s">
        <v>53</v>
      </c>
      <c r="B51" s="3">
        <v>2570800</v>
      </c>
      <c r="C51" s="3"/>
      <c r="D51" s="3"/>
      <c r="E51" s="3">
        <v>154751</v>
      </c>
      <c r="F51" s="3"/>
      <c r="G51" s="3"/>
      <c r="H51" s="3">
        <v>101773</v>
      </c>
      <c r="I51" s="3"/>
      <c r="J51" s="3"/>
      <c r="K51" t="s">
        <v>121</v>
      </c>
      <c r="L51" t="s">
        <v>122</v>
      </c>
    </row>
    <row r="52" spans="1:12" x14ac:dyDescent="0.55000000000000004">
      <c r="A52" t="s">
        <v>54</v>
      </c>
      <c r="B52" s="3">
        <v>867607</v>
      </c>
      <c r="C52" s="3"/>
      <c r="D52" s="3"/>
      <c r="E52" s="3">
        <v>27199</v>
      </c>
      <c r="F52" s="3"/>
      <c r="G52" s="3"/>
      <c r="H52" s="3">
        <v>26033</v>
      </c>
      <c r="I52" s="3"/>
      <c r="J52" s="3"/>
      <c r="K52" t="s">
        <v>121</v>
      </c>
      <c r="L52" t="s">
        <v>122</v>
      </c>
    </row>
    <row r="53" spans="1:12" x14ac:dyDescent="0.55000000000000004">
      <c r="A53" t="s">
        <v>55</v>
      </c>
      <c r="B53" s="3">
        <v>824129</v>
      </c>
      <c r="C53" s="3"/>
      <c r="D53" s="3"/>
      <c r="E53" s="3">
        <v>39246</v>
      </c>
      <c r="F53" s="3"/>
      <c r="G53" s="3"/>
      <c r="H53" s="3">
        <v>25048</v>
      </c>
      <c r="I53" s="3"/>
      <c r="J53" s="3"/>
      <c r="K53" t="s">
        <v>121</v>
      </c>
      <c r="L53" t="s">
        <v>122</v>
      </c>
    </row>
    <row r="54" spans="1:12" x14ac:dyDescent="0.55000000000000004">
      <c r="A54" t="s">
        <v>56</v>
      </c>
      <c r="B54" s="3">
        <v>2351077</v>
      </c>
      <c r="C54" s="3"/>
      <c r="D54" s="3"/>
      <c r="E54" s="3">
        <v>126534</v>
      </c>
      <c r="F54" s="3"/>
      <c r="G54" s="3"/>
      <c r="H54" s="3">
        <v>86678</v>
      </c>
      <c r="I54" s="3"/>
      <c r="J54" s="3"/>
      <c r="K54" t="s">
        <v>121</v>
      </c>
      <c r="L54" t="s">
        <v>122</v>
      </c>
    </row>
    <row r="55" spans="1:12" x14ac:dyDescent="0.55000000000000004">
      <c r="A55" t="s">
        <v>57</v>
      </c>
      <c r="B55" s="3">
        <v>1605335</v>
      </c>
      <c r="C55" s="3"/>
      <c r="D55" s="3"/>
      <c r="E55" s="3">
        <v>80877</v>
      </c>
      <c r="F55" s="3"/>
      <c r="G55" s="3"/>
      <c r="H55" s="3">
        <v>54493</v>
      </c>
      <c r="I55" s="3"/>
      <c r="J55" s="3"/>
      <c r="K55" t="s">
        <v>121</v>
      </c>
      <c r="L55" t="s">
        <v>122</v>
      </c>
    </row>
    <row r="56" spans="1:12" x14ac:dyDescent="0.55000000000000004">
      <c r="A56" t="s">
        <v>58</v>
      </c>
      <c r="B56" s="3">
        <v>1358756</v>
      </c>
      <c r="C56" s="3"/>
      <c r="D56" s="3"/>
      <c r="E56" s="3">
        <v>78652</v>
      </c>
      <c r="F56" s="3"/>
      <c r="G56" s="3"/>
      <c r="H56" s="3">
        <v>49496</v>
      </c>
      <c r="I56" s="3"/>
      <c r="J56" s="3"/>
      <c r="K56" t="s">
        <v>121</v>
      </c>
      <c r="L56" t="s">
        <v>122</v>
      </c>
    </row>
    <row r="57" spans="1:12" x14ac:dyDescent="0.55000000000000004">
      <c r="A57" t="s">
        <v>59</v>
      </c>
      <c r="B57" s="3">
        <v>1104314</v>
      </c>
      <c r="C57" s="3"/>
      <c r="D57" s="3"/>
      <c r="E57" s="3">
        <v>54265</v>
      </c>
      <c r="F57" s="3"/>
      <c r="G57" s="3"/>
      <c r="H57" s="3">
        <v>35313</v>
      </c>
      <c r="I57" s="3"/>
      <c r="J57" s="3"/>
      <c r="K57" t="s">
        <v>121</v>
      </c>
      <c r="L57" t="s">
        <v>122</v>
      </c>
    </row>
    <row r="58" spans="1:12" x14ac:dyDescent="0.55000000000000004">
      <c r="A58" t="s">
        <v>60</v>
      </c>
      <c r="B58" s="3">
        <v>2782155</v>
      </c>
      <c r="C58" s="3"/>
      <c r="D58" s="3"/>
      <c r="E58" s="3">
        <v>141051</v>
      </c>
      <c r="F58" s="3"/>
      <c r="G58" s="3"/>
      <c r="H58" s="3">
        <v>89139</v>
      </c>
      <c r="I58" s="3"/>
      <c r="J58" s="3"/>
      <c r="K58" t="s">
        <v>121</v>
      </c>
      <c r="L58" t="s">
        <v>122</v>
      </c>
    </row>
    <row r="59" spans="1:12" x14ac:dyDescent="0.55000000000000004">
      <c r="A59" t="s">
        <v>61</v>
      </c>
      <c r="B59" s="3">
        <v>1313681</v>
      </c>
      <c r="C59" s="3"/>
      <c r="D59" s="3"/>
      <c r="E59" s="3">
        <v>86639</v>
      </c>
      <c r="F59" s="3"/>
      <c r="G59" s="3"/>
      <c r="H59" s="3">
        <v>54869</v>
      </c>
      <c r="I59" s="3"/>
      <c r="J59" s="3"/>
      <c r="K59" t="s">
        <v>121</v>
      </c>
      <c r="L59" t="s">
        <v>122</v>
      </c>
    </row>
    <row r="60" spans="1:12" x14ac:dyDescent="0.55000000000000004">
      <c r="A60" t="s">
        <v>62</v>
      </c>
      <c r="B60" s="3">
        <v>1475183</v>
      </c>
      <c r="C60" s="3"/>
      <c r="D60" s="3"/>
      <c r="E60" s="3">
        <v>76217</v>
      </c>
      <c r="F60" s="3"/>
      <c r="G60" s="3"/>
      <c r="H60" s="3">
        <v>51590</v>
      </c>
      <c r="I60" s="3"/>
      <c r="J60" s="3"/>
      <c r="K60" t="s">
        <v>121</v>
      </c>
      <c r="L60" t="s">
        <v>122</v>
      </c>
    </row>
    <row r="61" spans="1:12" x14ac:dyDescent="0.55000000000000004">
      <c r="A61" t="s">
        <v>63</v>
      </c>
      <c r="B61" s="3">
        <v>1980301</v>
      </c>
      <c r="C61" s="3"/>
      <c r="D61" s="3"/>
      <c r="E61" s="3">
        <v>96158</v>
      </c>
      <c r="F61" s="3"/>
      <c r="G61" s="3"/>
      <c r="H61" s="3">
        <v>63512</v>
      </c>
      <c r="I61" s="3"/>
      <c r="J61" s="3"/>
      <c r="K61" t="s">
        <v>121</v>
      </c>
      <c r="L61" t="s">
        <v>122</v>
      </c>
    </row>
    <row r="62" spans="1:12" x14ac:dyDescent="0.55000000000000004">
      <c r="A62" t="s">
        <v>64</v>
      </c>
      <c r="B62" s="3">
        <v>2366557</v>
      </c>
      <c r="C62" s="3"/>
      <c r="D62" s="3"/>
      <c r="E62" s="3">
        <v>123618</v>
      </c>
      <c r="F62" s="3"/>
      <c r="G62" s="3"/>
      <c r="H62" s="3">
        <v>76772</v>
      </c>
      <c r="I62" s="3"/>
      <c r="J62" s="3"/>
      <c r="K62" t="s">
        <v>121</v>
      </c>
      <c r="L62" t="s">
        <v>122</v>
      </c>
    </row>
    <row r="63" spans="1:12" x14ac:dyDescent="0.55000000000000004">
      <c r="A63" t="s">
        <v>65</v>
      </c>
      <c r="B63" s="3">
        <v>1792163</v>
      </c>
      <c r="C63" s="3"/>
      <c r="D63" s="3"/>
      <c r="E63" s="3">
        <v>101170</v>
      </c>
      <c r="F63" s="3"/>
      <c r="G63" s="3"/>
      <c r="H63" s="3">
        <v>57900</v>
      </c>
      <c r="I63" s="3"/>
      <c r="J63" s="3"/>
      <c r="K63" t="s">
        <v>121</v>
      </c>
      <c r="L63" t="s">
        <v>122</v>
      </c>
    </row>
    <row r="64" spans="1:12" x14ac:dyDescent="0.55000000000000004">
      <c r="A64" t="s">
        <v>66</v>
      </c>
      <c r="B64" s="3">
        <v>2174352</v>
      </c>
      <c r="C64" s="3"/>
      <c r="D64" s="3"/>
      <c r="E64" s="3">
        <v>109530</v>
      </c>
      <c r="F64" s="3"/>
      <c r="G64" s="3"/>
      <c r="H64" s="3">
        <v>64974</v>
      </c>
      <c r="I64" s="3"/>
      <c r="J64" s="3"/>
      <c r="K64" t="s">
        <v>121</v>
      </c>
      <c r="L64" t="s">
        <v>122</v>
      </c>
    </row>
    <row r="65" spans="1:12" x14ac:dyDescent="0.55000000000000004">
      <c r="A65" t="s">
        <v>67</v>
      </c>
      <c r="B65" s="3">
        <v>1149452</v>
      </c>
      <c r="C65" s="3"/>
      <c r="D65" s="3"/>
      <c r="E65" s="3">
        <v>46434</v>
      </c>
      <c r="F65" s="3"/>
      <c r="G65" s="3"/>
      <c r="H65" s="3">
        <v>31671</v>
      </c>
      <c r="I65" s="3"/>
      <c r="J65" s="3"/>
      <c r="K65" t="s">
        <v>121</v>
      </c>
      <c r="L65" t="s">
        <v>122</v>
      </c>
    </row>
    <row r="66" spans="1:12" x14ac:dyDescent="0.55000000000000004">
      <c r="A66" t="s">
        <v>68</v>
      </c>
      <c r="B66" s="3">
        <v>62629449</v>
      </c>
      <c r="C66" s="3"/>
      <c r="D66" s="3"/>
      <c r="E66" s="3">
        <v>3176386</v>
      </c>
      <c r="F66" s="3"/>
      <c r="G66" s="3"/>
      <c r="H66" s="3">
        <v>2084554</v>
      </c>
      <c r="I66" s="3"/>
      <c r="J66" s="3"/>
      <c r="K66" t="s">
        <v>119</v>
      </c>
      <c r="L66" t="s">
        <v>120</v>
      </c>
    </row>
    <row r="67" spans="1:12" x14ac:dyDescent="0.55000000000000004">
      <c r="A67" t="s">
        <v>69</v>
      </c>
      <c r="B67" s="3">
        <v>1962369</v>
      </c>
      <c r="C67" s="3"/>
      <c r="D67" s="3"/>
      <c r="E67" s="3">
        <v>147277</v>
      </c>
      <c r="F67" s="3"/>
      <c r="G67" s="3"/>
      <c r="H67" s="3">
        <v>67072</v>
      </c>
      <c r="I67" s="3"/>
      <c r="J67" s="3"/>
      <c r="K67" t="s">
        <v>121</v>
      </c>
      <c r="L67" t="s">
        <v>122</v>
      </c>
    </row>
    <row r="68" spans="1:12" x14ac:dyDescent="0.55000000000000004">
      <c r="A68" t="s">
        <v>70</v>
      </c>
      <c r="B68" s="3">
        <v>94289057</v>
      </c>
      <c r="C68" s="3"/>
      <c r="D68" s="3"/>
      <c r="E68" s="3">
        <v>4579693</v>
      </c>
      <c r="F68" s="3"/>
      <c r="G68" s="3"/>
      <c r="H68" s="3">
        <v>2960486</v>
      </c>
      <c r="I68" s="3"/>
      <c r="J68" s="3"/>
      <c r="K68" t="s">
        <v>119</v>
      </c>
      <c r="L68" t="s">
        <v>120</v>
      </c>
    </row>
    <row r="69" spans="1:12" x14ac:dyDescent="0.55000000000000004">
      <c r="A69" t="s">
        <v>71</v>
      </c>
      <c r="B69" s="3">
        <v>749089</v>
      </c>
      <c r="C69" s="3"/>
      <c r="D69" s="3"/>
      <c r="E69" s="3">
        <v>19110</v>
      </c>
      <c r="F69" s="3"/>
      <c r="G69" s="3"/>
      <c r="H69" s="3">
        <v>16636</v>
      </c>
      <c r="I69" s="3"/>
      <c r="J69" s="3"/>
      <c r="K69" t="s">
        <v>121</v>
      </c>
      <c r="L69" t="s">
        <v>122</v>
      </c>
    </row>
    <row r="70" spans="1:12" x14ac:dyDescent="0.55000000000000004">
      <c r="A70" t="s">
        <v>72</v>
      </c>
      <c r="B70" s="3">
        <v>601987</v>
      </c>
      <c r="C70" s="3"/>
      <c r="D70" s="3"/>
      <c r="E70" s="3">
        <v>13574</v>
      </c>
      <c r="F70" s="3"/>
      <c r="G70" s="3"/>
      <c r="H70" s="3">
        <v>13378</v>
      </c>
      <c r="I70" s="3"/>
      <c r="J70" s="3"/>
      <c r="K70" t="s">
        <v>121</v>
      </c>
      <c r="L70" t="s">
        <v>122</v>
      </c>
    </row>
    <row r="71" spans="1:12" x14ac:dyDescent="0.55000000000000004">
      <c r="A71" t="s">
        <v>73</v>
      </c>
      <c r="B71" s="3">
        <v>755226</v>
      </c>
      <c r="C71" s="3"/>
      <c r="D71" s="3"/>
      <c r="E71" s="3">
        <v>19719</v>
      </c>
      <c r="F71" s="3"/>
      <c r="G71" s="3"/>
      <c r="H71" s="3">
        <v>14961</v>
      </c>
      <c r="I71" s="3"/>
      <c r="J71" s="3"/>
      <c r="K71" t="s">
        <v>121</v>
      </c>
      <c r="L71" t="s">
        <v>122</v>
      </c>
    </row>
    <row r="72" spans="1:12" x14ac:dyDescent="0.55000000000000004">
      <c r="A72" t="s">
        <v>74</v>
      </c>
      <c r="B72" s="3">
        <v>237114</v>
      </c>
      <c r="C72" s="3"/>
      <c r="D72" s="3"/>
      <c r="E72" s="3" t="s">
        <v>75</v>
      </c>
      <c r="F72" s="3"/>
      <c r="G72" s="3"/>
      <c r="H72" s="3" t="s">
        <v>75</v>
      </c>
      <c r="I72" s="3"/>
      <c r="J72" s="3"/>
      <c r="K72" t="s">
        <v>123</v>
      </c>
      <c r="L72" t="s">
        <v>124</v>
      </c>
    </row>
    <row r="73" spans="1:12" x14ac:dyDescent="0.55000000000000004">
      <c r="A73" t="s">
        <v>76</v>
      </c>
      <c r="B73" s="3">
        <v>1350054</v>
      </c>
      <c r="C73" s="3"/>
      <c r="D73" s="3"/>
      <c r="E73" s="3">
        <v>83293</v>
      </c>
      <c r="F73" s="3"/>
      <c r="G73" s="3"/>
      <c r="H73" s="3">
        <v>52845</v>
      </c>
      <c r="I73" s="3"/>
      <c r="J73" s="3"/>
      <c r="K73" t="s">
        <v>121</v>
      </c>
      <c r="L73" t="s">
        <v>122</v>
      </c>
    </row>
    <row r="74" spans="1:12" x14ac:dyDescent="0.55000000000000004">
      <c r="A74" t="s">
        <v>77</v>
      </c>
      <c r="B74" s="3">
        <v>959715</v>
      </c>
      <c r="C74" s="3"/>
      <c r="D74" s="3"/>
      <c r="E74" s="3">
        <v>26825</v>
      </c>
      <c r="F74" s="3"/>
      <c r="G74" s="3"/>
      <c r="H74" s="3">
        <v>13075</v>
      </c>
      <c r="I74" s="3"/>
      <c r="J74" s="3"/>
      <c r="K74" t="s">
        <v>121</v>
      </c>
      <c r="L74" t="s">
        <v>122</v>
      </c>
    </row>
    <row r="75" spans="1:12" x14ac:dyDescent="0.55000000000000004">
      <c r="A75" t="s">
        <v>78</v>
      </c>
      <c r="B75" s="3">
        <v>670648</v>
      </c>
      <c r="C75" s="3"/>
      <c r="D75" s="3"/>
      <c r="E75" s="3">
        <v>43139</v>
      </c>
      <c r="F75" s="3"/>
      <c r="G75" s="3"/>
      <c r="H75" s="3">
        <v>24945</v>
      </c>
      <c r="I75" s="3"/>
      <c r="J75" s="3"/>
      <c r="K75" t="s">
        <v>121</v>
      </c>
      <c r="L75" t="s">
        <v>122</v>
      </c>
    </row>
    <row r="76" spans="1:12" x14ac:dyDescent="0.55000000000000004">
      <c r="A76" t="s">
        <v>79</v>
      </c>
      <c r="B76" s="3">
        <v>705616</v>
      </c>
      <c r="C76" s="3"/>
      <c r="D76" s="3"/>
      <c r="E76" s="3">
        <v>22719</v>
      </c>
      <c r="F76" s="3"/>
      <c r="G76" s="3"/>
      <c r="H76" s="3">
        <v>16794</v>
      </c>
      <c r="I76" s="3"/>
      <c r="J76" s="3"/>
      <c r="K76" t="s">
        <v>121</v>
      </c>
      <c r="L76" t="s">
        <v>122</v>
      </c>
    </row>
    <row r="77" spans="1:12" x14ac:dyDescent="0.55000000000000004">
      <c r="A77" t="s">
        <v>80</v>
      </c>
      <c r="B77" s="3">
        <v>823537</v>
      </c>
      <c r="C77" s="3"/>
      <c r="D77" s="3"/>
      <c r="E77" s="3">
        <v>28629</v>
      </c>
      <c r="F77" s="3"/>
      <c r="G77" s="3"/>
      <c r="H77" s="3">
        <v>15520</v>
      </c>
      <c r="I77" s="3"/>
      <c r="J77" s="3"/>
      <c r="K77" t="s">
        <v>121</v>
      </c>
      <c r="L77" t="s">
        <v>122</v>
      </c>
    </row>
    <row r="78" spans="1:12" x14ac:dyDescent="0.55000000000000004">
      <c r="A78" t="s">
        <v>81</v>
      </c>
      <c r="B78" s="3">
        <v>677491</v>
      </c>
      <c r="C78" s="3"/>
      <c r="D78" s="3"/>
      <c r="E78" s="3" t="s">
        <v>75</v>
      </c>
      <c r="F78" s="3"/>
      <c r="G78" s="3"/>
      <c r="H78" s="3" t="s">
        <v>75</v>
      </c>
      <c r="I78" s="3"/>
      <c r="J78" s="3"/>
      <c r="K78" t="s">
        <v>123</v>
      </c>
      <c r="L78" t="s">
        <v>124</v>
      </c>
    </row>
    <row r="79" spans="1:12" x14ac:dyDescent="0.55000000000000004">
      <c r="A79" t="s">
        <v>82</v>
      </c>
      <c r="B79" s="3">
        <v>7839177</v>
      </c>
      <c r="C79" s="3"/>
      <c r="D79" s="3"/>
      <c r="E79" s="3">
        <v>257306</v>
      </c>
      <c r="F79" s="3"/>
      <c r="G79" s="3"/>
      <c r="H79" s="3">
        <v>168154</v>
      </c>
      <c r="I79" s="3"/>
      <c r="J79" s="3"/>
      <c r="K79" t="s">
        <v>119</v>
      </c>
      <c r="L79" t="s">
        <v>120</v>
      </c>
    </row>
    <row r="80" spans="1:12" x14ac:dyDescent="0.55000000000000004">
      <c r="A80" t="s">
        <v>83</v>
      </c>
      <c r="B80" s="3">
        <v>63221</v>
      </c>
      <c r="C80" s="3"/>
      <c r="D80" s="3"/>
      <c r="E80" s="3" t="s">
        <v>75</v>
      </c>
      <c r="F80" s="3"/>
      <c r="G80" s="3"/>
      <c r="H80" s="3" t="s">
        <v>75</v>
      </c>
      <c r="I80" s="3"/>
      <c r="J80" s="3"/>
      <c r="K80" t="s">
        <v>123</v>
      </c>
      <c r="L80" t="s">
        <v>124</v>
      </c>
    </row>
    <row r="81" spans="1:12" x14ac:dyDescent="0.55000000000000004">
      <c r="A81" t="s">
        <v>84</v>
      </c>
      <c r="B81" s="3">
        <v>472811</v>
      </c>
      <c r="C81" s="3"/>
      <c r="D81" s="3"/>
      <c r="E81" s="3">
        <v>23617</v>
      </c>
      <c r="F81" s="3"/>
      <c r="G81" s="3"/>
      <c r="H81" s="3">
        <v>16764</v>
      </c>
      <c r="I81" s="3"/>
      <c r="J81" s="3"/>
      <c r="K81" t="s">
        <v>121</v>
      </c>
      <c r="L81" t="s">
        <v>122</v>
      </c>
    </row>
    <row r="82" spans="1:12" x14ac:dyDescent="0.55000000000000004">
      <c r="A82" t="s">
        <v>85</v>
      </c>
      <c r="B82" s="3">
        <v>545338</v>
      </c>
      <c r="C82" s="3"/>
      <c r="D82" s="3"/>
      <c r="E82" s="3" t="s">
        <v>75</v>
      </c>
      <c r="F82" s="3"/>
      <c r="G82" s="3"/>
      <c r="H82" s="3" t="s">
        <v>75</v>
      </c>
      <c r="I82" s="3"/>
      <c r="J82" s="3"/>
      <c r="K82" t="s">
        <v>123</v>
      </c>
      <c r="L82" t="s">
        <v>124</v>
      </c>
    </row>
    <row r="83" spans="1:12" x14ac:dyDescent="0.55000000000000004">
      <c r="A83" t="s">
        <v>86</v>
      </c>
      <c r="B83" s="3">
        <v>428962</v>
      </c>
      <c r="C83" s="3"/>
      <c r="D83" s="3"/>
      <c r="E83" s="3">
        <v>20048</v>
      </c>
      <c r="F83" s="3"/>
      <c r="G83" s="3"/>
      <c r="H83" s="3">
        <v>17313</v>
      </c>
      <c r="I83" s="3"/>
      <c r="J83" s="3"/>
      <c r="K83" t="s">
        <v>121</v>
      </c>
      <c r="L83" t="s">
        <v>122</v>
      </c>
    </row>
    <row r="84" spans="1:12" x14ac:dyDescent="0.55000000000000004">
      <c r="A84" t="s">
        <v>87</v>
      </c>
      <c r="B84" s="3">
        <v>102786</v>
      </c>
      <c r="C84" s="3"/>
      <c r="D84" s="3"/>
      <c r="E84" s="3" t="s">
        <v>75</v>
      </c>
      <c r="F84" s="3"/>
      <c r="G84" s="3"/>
      <c r="H84" s="3" t="s">
        <v>75</v>
      </c>
      <c r="I84" s="3"/>
      <c r="J84" s="3"/>
      <c r="K84" t="s">
        <v>123</v>
      </c>
      <c r="L84" t="s">
        <v>124</v>
      </c>
    </row>
    <row r="85" spans="1:12" x14ac:dyDescent="0.55000000000000004">
      <c r="A85" t="s">
        <v>88</v>
      </c>
      <c r="B85" s="3">
        <v>1396310</v>
      </c>
      <c r="C85" s="3"/>
      <c r="D85" s="3"/>
      <c r="E85" s="3">
        <v>72606</v>
      </c>
      <c r="F85" s="3"/>
      <c r="G85" s="3"/>
      <c r="H85" s="3">
        <v>63817</v>
      </c>
      <c r="I85" s="3"/>
      <c r="J85" s="3"/>
      <c r="K85" t="s">
        <v>121</v>
      </c>
      <c r="L85" t="s">
        <v>122</v>
      </c>
    </row>
    <row r="86" spans="1:12" x14ac:dyDescent="0.55000000000000004">
      <c r="A86" t="s">
        <v>89</v>
      </c>
      <c r="B86" s="3">
        <v>1328225</v>
      </c>
      <c r="C86" s="3"/>
      <c r="D86" s="3"/>
      <c r="E86" s="3">
        <v>61076</v>
      </c>
      <c r="F86" s="3"/>
      <c r="G86" s="3"/>
      <c r="H86" s="3">
        <v>33149</v>
      </c>
      <c r="I86" s="3"/>
      <c r="J86" s="3"/>
      <c r="K86" t="s">
        <v>121</v>
      </c>
      <c r="L86" t="s">
        <v>122</v>
      </c>
    </row>
    <row r="87" spans="1:12" x14ac:dyDescent="0.55000000000000004">
      <c r="A87" t="s">
        <v>90</v>
      </c>
      <c r="B87" s="3">
        <v>256488</v>
      </c>
      <c r="C87" s="3"/>
      <c r="D87" s="3"/>
      <c r="E87" s="3">
        <v>6239</v>
      </c>
      <c r="F87" s="3"/>
      <c r="G87" s="3"/>
      <c r="H87" s="3">
        <v>5678</v>
      </c>
      <c r="I87" s="3"/>
      <c r="J87" s="3"/>
      <c r="K87" t="s">
        <v>121</v>
      </c>
      <c r="L87" t="s">
        <v>122</v>
      </c>
    </row>
    <row r="88" spans="1:12" x14ac:dyDescent="0.55000000000000004">
      <c r="A88" t="s">
        <v>91</v>
      </c>
      <c r="B88" s="3">
        <v>4609499</v>
      </c>
      <c r="C88" s="3"/>
      <c r="D88" s="3"/>
      <c r="E88" s="3">
        <v>187046</v>
      </c>
      <c r="F88" s="3"/>
      <c r="G88" s="3"/>
      <c r="H88" s="3">
        <v>141915</v>
      </c>
      <c r="I88" s="3"/>
      <c r="J88" s="3"/>
      <c r="K88" t="s">
        <v>119</v>
      </c>
      <c r="L88" t="s">
        <v>120</v>
      </c>
    </row>
    <row r="89" spans="1:12" x14ac:dyDescent="0.55000000000000004">
      <c r="A89" t="s">
        <v>92</v>
      </c>
      <c r="B89" s="3">
        <v>485700</v>
      </c>
      <c r="C89" s="3"/>
      <c r="D89" s="3"/>
      <c r="E89" s="3">
        <v>14594</v>
      </c>
      <c r="F89" s="3"/>
      <c r="G89" s="3"/>
      <c r="H89" s="3">
        <v>10324</v>
      </c>
      <c r="I89" s="3"/>
      <c r="J89" s="3"/>
      <c r="K89" t="s">
        <v>121</v>
      </c>
      <c r="L89" t="s">
        <v>122</v>
      </c>
    </row>
    <row r="90" spans="1:12" x14ac:dyDescent="0.55000000000000004">
      <c r="A90" t="s">
        <v>93</v>
      </c>
      <c r="B90" s="3">
        <v>695922</v>
      </c>
      <c r="C90" s="3"/>
      <c r="D90" s="3"/>
      <c r="E90" s="3" t="s">
        <v>75</v>
      </c>
      <c r="F90" s="3"/>
      <c r="G90" s="3"/>
      <c r="H90" s="3" t="s">
        <v>75</v>
      </c>
      <c r="I90" s="3"/>
      <c r="J90" s="3"/>
      <c r="K90" t="s">
        <v>123</v>
      </c>
      <c r="L90" t="s">
        <v>124</v>
      </c>
    </row>
    <row r="91" spans="1:12" x14ac:dyDescent="0.55000000000000004">
      <c r="A91" t="s">
        <v>94</v>
      </c>
      <c r="B91" s="3">
        <v>703637</v>
      </c>
      <c r="C91" s="3"/>
      <c r="D91" s="3"/>
      <c r="E91" s="3" t="s">
        <v>75</v>
      </c>
      <c r="F91" s="3"/>
      <c r="G91" s="3"/>
      <c r="H91" s="3" t="s">
        <v>75</v>
      </c>
      <c r="I91" s="3"/>
      <c r="J91" s="3"/>
      <c r="K91" t="s">
        <v>123</v>
      </c>
      <c r="L91" t="s">
        <v>124</v>
      </c>
    </row>
    <row r="92" spans="1:12" x14ac:dyDescent="0.55000000000000004">
      <c r="A92" t="s">
        <v>95</v>
      </c>
      <c r="B92" s="3">
        <v>576578</v>
      </c>
      <c r="C92" s="3"/>
      <c r="D92" s="3"/>
      <c r="E92" s="3">
        <v>10000</v>
      </c>
      <c r="F92" s="3"/>
      <c r="G92" s="3"/>
      <c r="H92" s="3">
        <v>9753</v>
      </c>
      <c r="I92" s="3"/>
      <c r="J92" s="3"/>
      <c r="K92" t="s">
        <v>121</v>
      </c>
      <c r="L92" t="s">
        <v>122</v>
      </c>
    </row>
    <row r="93" spans="1:12" x14ac:dyDescent="0.55000000000000004">
      <c r="A93" t="s">
        <v>96</v>
      </c>
      <c r="B93" s="3">
        <v>554205</v>
      </c>
      <c r="C93" s="3"/>
      <c r="D93" s="3"/>
      <c r="E93" s="3">
        <v>16831</v>
      </c>
      <c r="F93" s="3"/>
      <c r="G93" s="3"/>
      <c r="H93" s="3">
        <v>11969</v>
      </c>
      <c r="I93" s="3"/>
      <c r="J93" s="3"/>
      <c r="K93" t="s">
        <v>121</v>
      </c>
      <c r="L93" t="s">
        <v>122</v>
      </c>
    </row>
    <row r="94" spans="1:12" x14ac:dyDescent="0.55000000000000004">
      <c r="A94" t="s">
        <v>97</v>
      </c>
      <c r="B94" s="3">
        <v>1188344</v>
      </c>
      <c r="C94" s="3"/>
      <c r="D94" s="3"/>
      <c r="E94" s="3" t="s">
        <v>75</v>
      </c>
      <c r="F94" s="3"/>
      <c r="G94" s="3"/>
      <c r="H94" s="3" t="s">
        <v>75</v>
      </c>
      <c r="I94" s="3"/>
      <c r="J94" s="3"/>
      <c r="K94" t="s">
        <v>123</v>
      </c>
      <c r="L94" t="s">
        <v>124</v>
      </c>
    </row>
    <row r="95" spans="1:12" x14ac:dyDescent="0.55000000000000004">
      <c r="A95" t="s">
        <v>98</v>
      </c>
      <c r="B95" s="3">
        <v>351243</v>
      </c>
      <c r="C95" s="3"/>
      <c r="D95" s="3"/>
      <c r="E95" s="3">
        <v>1523</v>
      </c>
      <c r="F95" s="3"/>
      <c r="G95" s="3"/>
      <c r="H95" s="3">
        <v>842</v>
      </c>
      <c r="I95" s="3"/>
      <c r="J95" s="3"/>
      <c r="K95" t="s">
        <v>121</v>
      </c>
      <c r="L95" t="s">
        <v>122</v>
      </c>
    </row>
    <row r="96" spans="1:12" x14ac:dyDescent="0.55000000000000004">
      <c r="A96" t="s">
        <v>99</v>
      </c>
      <c r="B96" s="3">
        <v>547162</v>
      </c>
      <c r="C96" s="3"/>
      <c r="D96" s="3"/>
      <c r="E96" s="3">
        <v>6921</v>
      </c>
      <c r="F96" s="3"/>
      <c r="G96" s="3"/>
      <c r="H96" s="3">
        <v>4511</v>
      </c>
      <c r="I96" s="3"/>
      <c r="J96" s="3"/>
      <c r="K96" t="s">
        <v>121</v>
      </c>
      <c r="L96" t="s">
        <v>122</v>
      </c>
    </row>
    <row r="97" spans="1:12" x14ac:dyDescent="0.55000000000000004">
      <c r="A97" t="s">
        <v>100</v>
      </c>
      <c r="B97" s="3">
        <v>815934</v>
      </c>
      <c r="C97" s="3"/>
      <c r="D97" s="3"/>
      <c r="E97" s="3">
        <v>42533</v>
      </c>
      <c r="F97" s="3"/>
      <c r="G97" s="3"/>
      <c r="H97" s="3">
        <v>27557</v>
      </c>
      <c r="I97" s="3"/>
      <c r="J97" s="3"/>
      <c r="K97" t="s">
        <v>121</v>
      </c>
      <c r="L97" t="s">
        <v>122</v>
      </c>
    </row>
    <row r="98" spans="1:12" x14ac:dyDescent="0.55000000000000004">
      <c r="A98" t="s">
        <v>101</v>
      </c>
      <c r="B98" s="3">
        <v>5943725</v>
      </c>
      <c r="C98" s="3"/>
      <c r="D98" s="3"/>
      <c r="E98" s="3">
        <v>92949</v>
      </c>
      <c r="F98" s="3"/>
      <c r="G98" s="3"/>
      <c r="H98" s="3">
        <v>64963</v>
      </c>
      <c r="I98" s="3"/>
      <c r="J98" s="3"/>
      <c r="K98" t="s">
        <v>119</v>
      </c>
      <c r="L98" t="s">
        <v>120</v>
      </c>
    </row>
    <row r="99" spans="1:12" x14ac:dyDescent="0.55000000000000004">
      <c r="A99" t="s">
        <v>102</v>
      </c>
      <c r="B99" s="3">
        <v>112342758</v>
      </c>
      <c r="C99" s="3"/>
      <c r="D99" s="3"/>
      <c r="E99" s="3">
        <v>5116996</v>
      </c>
      <c r="F99" s="3"/>
      <c r="G99" s="3"/>
      <c r="H99" s="3">
        <v>3385518</v>
      </c>
      <c r="I99" s="3"/>
      <c r="J99" s="3"/>
      <c r="K99" t="s">
        <v>119</v>
      </c>
      <c r="L99" t="s">
        <v>120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/>
  </sheetViews>
  <sheetFormatPr defaultRowHeight="14.4" x14ac:dyDescent="0.55000000000000004"/>
  <cols>
    <col min="1" max="1" width="22" customWidth="1"/>
    <col min="2" max="2" width="110" customWidth="1"/>
  </cols>
  <sheetData>
    <row r="1" spans="1:2" x14ac:dyDescent="0.55000000000000004">
      <c r="A1" s="1" t="s">
        <v>125</v>
      </c>
      <c r="B1" s="2" t="s">
        <v>126</v>
      </c>
    </row>
    <row r="2" spans="1:2" x14ac:dyDescent="0.55000000000000004">
      <c r="A2" t="s">
        <v>127</v>
      </c>
      <c r="B2" t="s">
        <v>128</v>
      </c>
    </row>
    <row r="3" spans="1:2" x14ac:dyDescent="0.55000000000000004">
      <c r="A3" t="s">
        <v>129</v>
      </c>
      <c r="B3" t="s">
        <v>130</v>
      </c>
    </row>
    <row r="4" spans="1:2" x14ac:dyDescent="0.55000000000000004">
      <c r="A4" t="s">
        <v>131</v>
      </c>
      <c r="B4" t="s">
        <v>132</v>
      </c>
    </row>
    <row r="5" spans="1:2" x14ac:dyDescent="0.55000000000000004">
      <c r="A5" t="s">
        <v>133</v>
      </c>
      <c r="B5" t="s">
        <v>134</v>
      </c>
    </row>
    <row r="6" spans="1:2" x14ac:dyDescent="0.55000000000000004">
      <c r="A6" t="s">
        <v>135</v>
      </c>
      <c r="B6" t="s">
        <v>136</v>
      </c>
    </row>
    <row r="7" spans="1:2" x14ac:dyDescent="0.55000000000000004">
      <c r="A7" t="s">
        <v>137</v>
      </c>
      <c r="B7" t="s">
        <v>138</v>
      </c>
    </row>
    <row r="8" spans="1:2" x14ac:dyDescent="0.55000000000000004">
      <c r="A8" t="s">
        <v>139</v>
      </c>
      <c r="B8" t="s">
        <v>140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check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2026-05-05T00:57:05Z</dcterms:modified>
</cp:coreProperties>
</file>