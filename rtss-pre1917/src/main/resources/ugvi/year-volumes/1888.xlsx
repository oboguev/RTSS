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53E2E60A-8580-4606-96DD-38F3ECE787D6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D33" i="2"/>
  <c r="E31" i="2"/>
  <c r="D31" i="2"/>
  <c r="AA202" i="1"/>
  <c r="Z202" i="1"/>
  <c r="Y202" i="1"/>
  <c r="AA201" i="1"/>
  <c r="Z201" i="1"/>
  <c r="Y201" i="1"/>
  <c r="Y200" i="1"/>
  <c r="Z142" i="1"/>
  <c r="AH201" i="1" l="1"/>
  <c r="AK201" i="1" s="1"/>
  <c r="AG201" i="1"/>
  <c r="AJ201" i="1" s="1"/>
  <c r="D11" i="1"/>
  <c r="C11" i="1"/>
  <c r="B8" i="1"/>
  <c r="B5" i="1" s="1"/>
  <c r="B11" i="1" s="1"/>
  <c r="Y8" i="1"/>
  <c r="AA243" i="1"/>
  <c r="Z243" i="1"/>
  <c r="Y243" i="1"/>
  <c r="AA242" i="1"/>
  <c r="Z242" i="1"/>
  <c r="Y242" i="1"/>
  <c r="AA241" i="1"/>
  <c r="Z241" i="1"/>
  <c r="Y241" i="1"/>
  <c r="AA240" i="1"/>
  <c r="Z240" i="1"/>
  <c r="Y240" i="1"/>
  <c r="AA239" i="1"/>
  <c r="Z239" i="1"/>
  <c r="Y239" i="1"/>
  <c r="AA238" i="1"/>
  <c r="Z238" i="1"/>
  <c r="Y238" i="1"/>
  <c r="AA237" i="1"/>
  <c r="Z237" i="1"/>
  <c r="Y237" i="1"/>
  <c r="AA236" i="1"/>
  <c r="Z236" i="1"/>
  <c r="Y236" i="1"/>
  <c r="AA235" i="1"/>
  <c r="Z235" i="1"/>
  <c r="Y235" i="1"/>
  <c r="AA233" i="1"/>
  <c r="AE233" i="1" s="1"/>
  <c r="Z233" i="1"/>
  <c r="AD233" i="1" s="1"/>
  <c r="Y233" i="1"/>
  <c r="AC233" i="1" s="1"/>
  <c r="AA232" i="1"/>
  <c r="AE232" i="1" s="1"/>
  <c r="Z232" i="1"/>
  <c r="AD232" i="1" s="1"/>
  <c r="Y232" i="1"/>
  <c r="AC232" i="1" s="1"/>
  <c r="AA225" i="1"/>
  <c r="Z225" i="1"/>
  <c r="Y225" i="1"/>
  <c r="AC225" i="1" s="1"/>
  <c r="AA221" i="1"/>
  <c r="Z221" i="1"/>
  <c r="Y221" i="1"/>
  <c r="AC221" i="1" s="1"/>
  <c r="AA217" i="1"/>
  <c r="Z217" i="1"/>
  <c r="Y217" i="1"/>
  <c r="AC217" i="1" s="1"/>
  <c r="AA213" i="1"/>
  <c r="Z213" i="1"/>
  <c r="Y213" i="1"/>
  <c r="AC213" i="1" s="1"/>
  <c r="AA196" i="1"/>
  <c r="AE196" i="1" s="1"/>
  <c r="Z196" i="1"/>
  <c r="AD196" i="1" s="1"/>
  <c r="Y196" i="1"/>
  <c r="AC196" i="1" s="1"/>
  <c r="AA191" i="1"/>
  <c r="AE191" i="1" s="1"/>
  <c r="Z191" i="1"/>
  <c r="AD191" i="1" s="1"/>
  <c r="Y191" i="1"/>
  <c r="AC191" i="1" s="1"/>
  <c r="AA183" i="1"/>
  <c r="AE183" i="1" s="1"/>
  <c r="Z183" i="1"/>
  <c r="AD183" i="1" s="1"/>
  <c r="Y183" i="1"/>
  <c r="AC183" i="1" s="1"/>
  <c r="AA182" i="1"/>
  <c r="AE182" i="1" s="1"/>
  <c r="Z182" i="1"/>
  <c r="AD182" i="1" s="1"/>
  <c r="Y182" i="1"/>
  <c r="AC182" i="1" s="1"/>
  <c r="Y127" i="1"/>
  <c r="AC127" i="1" s="1"/>
  <c r="AA161" i="1"/>
  <c r="AE161" i="1" s="1"/>
  <c r="Z161" i="1"/>
  <c r="AD161" i="1" s="1"/>
  <c r="Y161" i="1"/>
  <c r="AC161" i="1" s="1"/>
  <c r="AA46" i="1"/>
  <c r="AE46" i="1" s="1"/>
  <c r="Z46" i="1"/>
  <c r="AD46" i="1" s="1"/>
  <c r="Y46" i="1"/>
  <c r="AC46" i="1" s="1"/>
  <c r="AA114" i="1"/>
  <c r="AE114" i="1" s="1"/>
  <c r="Z114" i="1"/>
  <c r="AD114" i="1" s="1"/>
  <c r="Y114" i="1"/>
  <c r="AC114" i="1" s="1"/>
  <c r="AA148" i="1"/>
  <c r="AE148" i="1" s="1"/>
  <c r="Z148" i="1"/>
  <c r="AD148" i="1" s="1"/>
  <c r="Y148" i="1"/>
  <c r="AC148" i="1" s="1"/>
  <c r="Y149" i="1"/>
  <c r="AC149" i="1" s="1"/>
  <c r="Y39" i="1"/>
  <c r="AC39" i="1" s="1"/>
  <c r="AH42" i="1"/>
  <c r="AK42" i="1" s="1"/>
  <c r="AG42" i="1"/>
  <c r="AJ42" i="1" s="1"/>
  <c r="AH83" i="1"/>
  <c r="AK83" i="1" s="1"/>
  <c r="AG83" i="1"/>
  <c r="AJ83" i="1" s="1"/>
  <c r="AH190" i="1"/>
  <c r="AK190" i="1" s="1"/>
  <c r="AG190" i="1"/>
  <c r="AJ190" i="1" s="1"/>
  <c r="AH192" i="1"/>
  <c r="AK192" i="1" s="1"/>
  <c r="AG192" i="1"/>
  <c r="AJ192" i="1" s="1"/>
  <c r="AH216" i="1"/>
  <c r="AK216" i="1" s="1"/>
  <c r="AG216" i="1"/>
  <c r="AJ216" i="1" s="1"/>
  <c r="AH234" i="1"/>
  <c r="AK234" i="1" s="1"/>
  <c r="AG234" i="1"/>
  <c r="AJ234" i="1" s="1"/>
  <c r="AH245" i="1"/>
  <c r="AK245" i="1" s="1"/>
  <c r="AG245" i="1"/>
  <c r="AJ245" i="1" s="1"/>
  <c r="AH244" i="1"/>
  <c r="AK244" i="1" s="1"/>
  <c r="AG244" i="1"/>
  <c r="AJ244" i="1" s="1"/>
  <c r="AH243" i="1"/>
  <c r="AK243" i="1" s="1"/>
  <c r="AG243" i="1"/>
  <c r="AJ243" i="1" s="1"/>
  <c r="AH242" i="1"/>
  <c r="AG242" i="1"/>
  <c r="AJ242" i="1" s="1"/>
  <c r="AH241" i="1"/>
  <c r="AG241" i="1"/>
  <c r="AH239" i="1"/>
  <c r="AK239" i="1" s="1"/>
  <c r="AG239" i="1"/>
  <c r="AJ239" i="1" s="1"/>
  <c r="AH238" i="1"/>
  <c r="AK238" i="1" s="1"/>
  <c r="AG238" i="1"/>
  <c r="AJ238" i="1" s="1"/>
  <c r="AH235" i="1"/>
  <c r="AK235" i="1" s="1"/>
  <c r="AG235" i="1"/>
  <c r="AJ235" i="1" s="1"/>
  <c r="AH233" i="1"/>
  <c r="AK233" i="1" s="1"/>
  <c r="AG233" i="1"/>
  <c r="AJ233" i="1" s="1"/>
  <c r="AH232" i="1"/>
  <c r="AK232" i="1" s="1"/>
  <c r="AG232" i="1"/>
  <c r="AJ232" i="1" s="1"/>
  <c r="AH229" i="1"/>
  <c r="AK229" i="1" s="1"/>
  <c r="AG229" i="1"/>
  <c r="AJ229" i="1" s="1"/>
  <c r="AH226" i="1"/>
  <c r="AK226" i="1" s="1"/>
  <c r="AG226" i="1"/>
  <c r="AJ226" i="1" s="1"/>
  <c r="AH222" i="1"/>
  <c r="AK222" i="1" s="1"/>
  <c r="AG222" i="1"/>
  <c r="AJ222" i="1" s="1"/>
  <c r="AH218" i="1"/>
  <c r="AK218" i="1" s="1"/>
  <c r="AG218" i="1"/>
  <c r="AJ218" i="1" s="1"/>
  <c r="AH210" i="1"/>
  <c r="AK210" i="1" s="1"/>
  <c r="AG210" i="1"/>
  <c r="AJ210" i="1" s="1"/>
  <c r="AH206" i="1"/>
  <c r="AK206" i="1" s="1"/>
  <c r="AG206" i="1"/>
  <c r="AJ206" i="1" s="1"/>
  <c r="AH203" i="1"/>
  <c r="AK203" i="1" s="1"/>
  <c r="AG203" i="1"/>
  <c r="AJ203" i="1" s="1"/>
  <c r="AH197" i="1"/>
  <c r="AK197" i="1" s="1"/>
  <c r="AG197" i="1"/>
  <c r="AJ197" i="1" s="1"/>
  <c r="AH196" i="1"/>
  <c r="AK196" i="1" s="1"/>
  <c r="AG196" i="1"/>
  <c r="AJ196" i="1" s="1"/>
  <c r="AH193" i="1"/>
  <c r="AK193" i="1" s="1"/>
  <c r="AG193" i="1"/>
  <c r="AJ193" i="1" s="1"/>
  <c r="AH191" i="1"/>
  <c r="AK191" i="1" s="1"/>
  <c r="AG191" i="1"/>
  <c r="AJ191" i="1" s="1"/>
  <c r="AH187" i="1"/>
  <c r="AK187" i="1" s="1"/>
  <c r="AG187" i="1"/>
  <c r="AJ187" i="1" s="1"/>
  <c r="AH184" i="1"/>
  <c r="AK184" i="1" s="1"/>
  <c r="AG184" i="1"/>
  <c r="AJ184" i="1" s="1"/>
  <c r="AH183" i="1"/>
  <c r="AK183" i="1" s="1"/>
  <c r="AG183" i="1"/>
  <c r="AJ183" i="1" s="1"/>
  <c r="AH182" i="1"/>
  <c r="AK182" i="1" s="1"/>
  <c r="AG182" i="1"/>
  <c r="AJ182" i="1" s="1"/>
  <c r="AH179" i="1"/>
  <c r="AK179" i="1" s="1"/>
  <c r="AG179" i="1"/>
  <c r="AJ179" i="1" s="1"/>
  <c r="AH176" i="1"/>
  <c r="AK176" i="1" s="1"/>
  <c r="AG176" i="1"/>
  <c r="AJ176" i="1" s="1"/>
  <c r="AH173" i="1"/>
  <c r="AK173" i="1" s="1"/>
  <c r="AG173" i="1"/>
  <c r="AJ173" i="1" s="1"/>
  <c r="AH170" i="1"/>
  <c r="AK170" i="1" s="1"/>
  <c r="AG170" i="1"/>
  <c r="AJ170" i="1" s="1"/>
  <c r="AH167" i="1"/>
  <c r="AK167" i="1" s="1"/>
  <c r="AG167" i="1"/>
  <c r="AJ167" i="1" s="1"/>
  <c r="AH164" i="1"/>
  <c r="AK164" i="1" s="1"/>
  <c r="AG164" i="1"/>
  <c r="AJ164" i="1" s="1"/>
  <c r="AH161" i="1"/>
  <c r="AK161" i="1" s="1"/>
  <c r="AG161" i="1"/>
  <c r="AJ161" i="1" s="1"/>
  <c r="AH158" i="1"/>
  <c r="AK158" i="1" s="1"/>
  <c r="AG158" i="1"/>
  <c r="AJ158" i="1" s="1"/>
  <c r="AH155" i="1"/>
  <c r="AK155" i="1" s="1"/>
  <c r="AG155" i="1"/>
  <c r="AJ155" i="1" s="1"/>
  <c r="AH152" i="1"/>
  <c r="AK152" i="1" s="1"/>
  <c r="AG152" i="1"/>
  <c r="AJ152" i="1" s="1"/>
  <c r="AH149" i="1"/>
  <c r="AK149" i="1" s="1"/>
  <c r="AG149" i="1"/>
  <c r="AJ149" i="1" s="1"/>
  <c r="AH148" i="1"/>
  <c r="AK148" i="1" s="1"/>
  <c r="AG148" i="1"/>
  <c r="AJ148" i="1" s="1"/>
  <c r="AH145" i="1"/>
  <c r="AK145" i="1" s="1"/>
  <c r="AG145" i="1"/>
  <c r="AJ145" i="1" s="1"/>
  <c r="AH142" i="1"/>
  <c r="AK142" i="1" s="1"/>
  <c r="AG142" i="1"/>
  <c r="AJ142" i="1" s="1"/>
  <c r="AH139" i="1"/>
  <c r="AK139" i="1" s="1"/>
  <c r="AG139" i="1"/>
  <c r="AJ139" i="1" s="1"/>
  <c r="AH136" i="1"/>
  <c r="AK136" i="1" s="1"/>
  <c r="AG136" i="1"/>
  <c r="AJ136" i="1" s="1"/>
  <c r="AH133" i="1"/>
  <c r="AK133" i="1" s="1"/>
  <c r="AG133" i="1"/>
  <c r="AJ133" i="1" s="1"/>
  <c r="AH130" i="1"/>
  <c r="AK130" i="1" s="1"/>
  <c r="AG130" i="1"/>
  <c r="AJ130" i="1" s="1"/>
  <c r="AH127" i="1"/>
  <c r="AK127" i="1" s="1"/>
  <c r="AG127" i="1"/>
  <c r="AJ127" i="1" s="1"/>
  <c r="AH124" i="1"/>
  <c r="AK124" i="1" s="1"/>
  <c r="AG124" i="1"/>
  <c r="AJ124" i="1" s="1"/>
  <c r="AH121" i="1"/>
  <c r="AK121" i="1" s="1"/>
  <c r="AG121" i="1"/>
  <c r="AJ121" i="1" s="1"/>
  <c r="AH118" i="1"/>
  <c r="AK118" i="1" s="1"/>
  <c r="AG118" i="1"/>
  <c r="AJ118" i="1" s="1"/>
  <c r="AH115" i="1"/>
  <c r="AK115" i="1" s="1"/>
  <c r="AG115" i="1"/>
  <c r="AJ115" i="1" s="1"/>
  <c r="AH114" i="1"/>
  <c r="AK114" i="1" s="1"/>
  <c r="AG114" i="1"/>
  <c r="AJ114" i="1" s="1"/>
  <c r="AH111" i="1"/>
  <c r="AK111" i="1" s="1"/>
  <c r="AG111" i="1"/>
  <c r="AJ111" i="1" s="1"/>
  <c r="AH108" i="1"/>
  <c r="AK108" i="1" s="1"/>
  <c r="AG108" i="1"/>
  <c r="AJ108" i="1" s="1"/>
  <c r="AH105" i="1"/>
  <c r="AK105" i="1" s="1"/>
  <c r="AG105" i="1"/>
  <c r="AJ105" i="1" s="1"/>
  <c r="AH102" i="1"/>
  <c r="AK102" i="1" s="1"/>
  <c r="AG102" i="1"/>
  <c r="AJ102" i="1" s="1"/>
  <c r="AH99" i="1"/>
  <c r="AK99" i="1" s="1"/>
  <c r="AG99" i="1"/>
  <c r="AJ99" i="1" s="1"/>
  <c r="AH96" i="1"/>
  <c r="AK96" i="1" s="1"/>
  <c r="AG96" i="1"/>
  <c r="AJ96" i="1" s="1"/>
  <c r="AH93" i="1"/>
  <c r="AK93" i="1" s="1"/>
  <c r="AG93" i="1"/>
  <c r="AJ93" i="1" s="1"/>
  <c r="AH90" i="1"/>
  <c r="AK90" i="1" s="1"/>
  <c r="AG90" i="1"/>
  <c r="AJ90" i="1" s="1"/>
  <c r="AH87" i="1"/>
  <c r="AK87" i="1" s="1"/>
  <c r="AG87" i="1"/>
  <c r="AJ87" i="1" s="1"/>
  <c r="AH84" i="1"/>
  <c r="AK84" i="1" s="1"/>
  <c r="AG84" i="1"/>
  <c r="AJ84" i="1" s="1"/>
  <c r="AH80" i="1"/>
  <c r="AK80" i="1" s="1"/>
  <c r="AG80" i="1"/>
  <c r="AJ80" i="1" s="1"/>
  <c r="AH77" i="1"/>
  <c r="AK77" i="1" s="1"/>
  <c r="AG77" i="1"/>
  <c r="AJ77" i="1" s="1"/>
  <c r="AH74" i="1"/>
  <c r="AK74" i="1" s="1"/>
  <c r="AG74" i="1"/>
  <c r="AJ74" i="1" s="1"/>
  <c r="AH71" i="1"/>
  <c r="AK71" i="1" s="1"/>
  <c r="AG71" i="1"/>
  <c r="AJ71" i="1" s="1"/>
  <c r="AH68" i="1"/>
  <c r="AK68" i="1" s="1"/>
  <c r="AG68" i="1"/>
  <c r="AJ68" i="1" s="1"/>
  <c r="AH65" i="1"/>
  <c r="AK65" i="1" s="1"/>
  <c r="AG65" i="1"/>
  <c r="AJ65" i="1" s="1"/>
  <c r="AH62" i="1"/>
  <c r="AK62" i="1" s="1"/>
  <c r="AG62" i="1"/>
  <c r="AJ62" i="1" s="1"/>
  <c r="AH59" i="1"/>
  <c r="AK59" i="1" s="1"/>
  <c r="AG59" i="1"/>
  <c r="AJ59" i="1" s="1"/>
  <c r="AH56" i="1"/>
  <c r="AK56" i="1" s="1"/>
  <c r="AG56" i="1"/>
  <c r="AJ56" i="1" s="1"/>
  <c r="AH53" i="1"/>
  <c r="AK53" i="1" s="1"/>
  <c r="AG53" i="1"/>
  <c r="AJ53" i="1" s="1"/>
  <c r="AH50" i="1"/>
  <c r="AK50" i="1" s="1"/>
  <c r="AG50" i="1"/>
  <c r="AJ50" i="1" s="1"/>
  <c r="AH46" i="1"/>
  <c r="AK46" i="1" s="1"/>
  <c r="AG46" i="1"/>
  <c r="AJ46" i="1" s="1"/>
  <c r="AH47" i="1"/>
  <c r="AK47" i="1" s="1"/>
  <c r="AG47" i="1"/>
  <c r="AJ47" i="1" s="1"/>
  <c r="AH43" i="1"/>
  <c r="AK43" i="1" s="1"/>
  <c r="AG43" i="1"/>
  <c r="AJ43" i="1" s="1"/>
  <c r="AH39" i="1"/>
  <c r="AK39" i="1" s="1"/>
  <c r="AG39" i="1"/>
  <c r="AJ39" i="1" s="1"/>
  <c r="AH36" i="1"/>
  <c r="AK36" i="1" s="1"/>
  <c r="AG36" i="1"/>
  <c r="AJ36" i="1" s="1"/>
  <c r="AH33" i="1"/>
  <c r="AK33" i="1" s="1"/>
  <c r="AG33" i="1"/>
  <c r="AJ33" i="1" s="1"/>
  <c r="AH30" i="1"/>
  <c r="AK30" i="1" s="1"/>
  <c r="AG30" i="1"/>
  <c r="AJ30" i="1" s="1"/>
  <c r="AH27" i="1"/>
  <c r="AK27" i="1" s="1"/>
  <c r="AG27" i="1"/>
  <c r="AJ27" i="1" s="1"/>
  <c r="AH24" i="1"/>
  <c r="AK24" i="1" s="1"/>
  <c r="AG24" i="1"/>
  <c r="AJ24" i="1" s="1"/>
  <c r="AH21" i="1"/>
  <c r="AK21" i="1" s="1"/>
  <c r="AG21" i="1"/>
  <c r="AJ21" i="1" s="1"/>
  <c r="AH18" i="1"/>
  <c r="AK18" i="1" s="1"/>
  <c r="AG18" i="1"/>
  <c r="AJ18" i="1" s="1"/>
  <c r="AH15" i="1"/>
  <c r="AK15" i="1" s="1"/>
  <c r="AG15" i="1"/>
  <c r="AJ15" i="1" s="1"/>
  <c r="AH12" i="1"/>
  <c r="AK12" i="1" s="1"/>
  <c r="AG12" i="1"/>
  <c r="AJ12" i="1" s="1"/>
  <c r="AH2" i="1"/>
  <c r="AK2" i="1" s="1"/>
  <c r="AG2" i="1"/>
  <c r="AJ2" i="1" s="1"/>
  <c r="AA229" i="1"/>
  <c r="AE229" i="1" s="1"/>
  <c r="Z229" i="1"/>
  <c r="AD229" i="1" s="1"/>
  <c r="Y229" i="1"/>
  <c r="AC229" i="1" s="1"/>
  <c r="AA226" i="1"/>
  <c r="AE226" i="1" s="1"/>
  <c r="Z226" i="1"/>
  <c r="AD226" i="1" s="1"/>
  <c r="Y226" i="1"/>
  <c r="AC226" i="1" s="1"/>
  <c r="AA222" i="1"/>
  <c r="AE222" i="1" s="1"/>
  <c r="Z222" i="1"/>
  <c r="AD222" i="1" s="1"/>
  <c r="Y222" i="1"/>
  <c r="AC222" i="1" s="1"/>
  <c r="AA218" i="1"/>
  <c r="AE218" i="1" s="1"/>
  <c r="Z218" i="1"/>
  <c r="AD218" i="1" s="1"/>
  <c r="Y218" i="1"/>
  <c r="AC218" i="1" s="1"/>
  <c r="AA210" i="1"/>
  <c r="AE210" i="1" s="1"/>
  <c r="Z210" i="1"/>
  <c r="AD210" i="1" s="1"/>
  <c r="Y210" i="1"/>
  <c r="AC210" i="1" s="1"/>
  <c r="AA206" i="1"/>
  <c r="AE206" i="1" s="1"/>
  <c r="Z206" i="1"/>
  <c r="AD206" i="1" s="1"/>
  <c r="Y206" i="1"/>
  <c r="AC206" i="1" s="1"/>
  <c r="AA203" i="1"/>
  <c r="AE203" i="1" s="1"/>
  <c r="Z203" i="1"/>
  <c r="AD203" i="1" s="1"/>
  <c r="Y203" i="1"/>
  <c r="AC203" i="1" s="1"/>
  <c r="AA197" i="1"/>
  <c r="AE197" i="1" s="1"/>
  <c r="Z197" i="1"/>
  <c r="AD197" i="1" s="1"/>
  <c r="Y197" i="1"/>
  <c r="AC197" i="1" s="1"/>
  <c r="AA193" i="1"/>
  <c r="AE193" i="1" s="1"/>
  <c r="Z193" i="1"/>
  <c r="AD193" i="1" s="1"/>
  <c r="Y193" i="1"/>
  <c r="AC193" i="1" s="1"/>
  <c r="AA187" i="1"/>
  <c r="AE187" i="1" s="1"/>
  <c r="Z187" i="1"/>
  <c r="AD187" i="1" s="1"/>
  <c r="Y187" i="1"/>
  <c r="AC187" i="1" s="1"/>
  <c r="AA184" i="1"/>
  <c r="AE184" i="1" s="1"/>
  <c r="Z184" i="1"/>
  <c r="AD184" i="1" s="1"/>
  <c r="Y184" i="1"/>
  <c r="AC184" i="1" s="1"/>
  <c r="AA179" i="1"/>
  <c r="AE179" i="1" s="1"/>
  <c r="Z179" i="1"/>
  <c r="AD179" i="1" s="1"/>
  <c r="Y179" i="1"/>
  <c r="AC179" i="1" s="1"/>
  <c r="AA176" i="1"/>
  <c r="AE176" i="1" s="1"/>
  <c r="Z176" i="1"/>
  <c r="AD176" i="1" s="1"/>
  <c r="Y176" i="1"/>
  <c r="AC176" i="1" s="1"/>
  <c r="AA173" i="1"/>
  <c r="AE173" i="1" s="1"/>
  <c r="Z173" i="1"/>
  <c r="AD173" i="1" s="1"/>
  <c r="Y173" i="1"/>
  <c r="AC173" i="1" s="1"/>
  <c r="AA170" i="1"/>
  <c r="AE170" i="1" s="1"/>
  <c r="Z170" i="1"/>
  <c r="AD170" i="1" s="1"/>
  <c r="Y170" i="1"/>
  <c r="AC170" i="1" s="1"/>
  <c r="AA167" i="1"/>
  <c r="AE167" i="1" s="1"/>
  <c r="Z167" i="1"/>
  <c r="AD167" i="1" s="1"/>
  <c r="Y167" i="1"/>
  <c r="AC167" i="1" s="1"/>
  <c r="AA164" i="1"/>
  <c r="AE164" i="1" s="1"/>
  <c r="Z164" i="1"/>
  <c r="AD164" i="1" s="1"/>
  <c r="Y164" i="1"/>
  <c r="AC164" i="1" s="1"/>
  <c r="AA158" i="1"/>
  <c r="AE158" i="1" s="1"/>
  <c r="Z158" i="1"/>
  <c r="AD158" i="1" s="1"/>
  <c r="Y158" i="1"/>
  <c r="AC158" i="1" s="1"/>
  <c r="AA155" i="1"/>
  <c r="AE155" i="1" s="1"/>
  <c r="Z155" i="1"/>
  <c r="AD155" i="1" s="1"/>
  <c r="Y155" i="1"/>
  <c r="AC155" i="1" s="1"/>
  <c r="AA152" i="1"/>
  <c r="AE152" i="1" s="1"/>
  <c r="Z152" i="1"/>
  <c r="AD152" i="1" s="1"/>
  <c r="Y152" i="1"/>
  <c r="AC152" i="1" s="1"/>
  <c r="AA149" i="1"/>
  <c r="AE149" i="1" s="1"/>
  <c r="Z149" i="1"/>
  <c r="AD149" i="1" s="1"/>
  <c r="AA145" i="1"/>
  <c r="AE145" i="1" s="1"/>
  <c r="Z145" i="1"/>
  <c r="AD145" i="1" s="1"/>
  <c r="Y145" i="1"/>
  <c r="AC145" i="1" s="1"/>
  <c r="AA142" i="1"/>
  <c r="AE142" i="1" s="1"/>
  <c r="AD142" i="1"/>
  <c r="Y142" i="1"/>
  <c r="AC142" i="1" s="1"/>
  <c r="AA139" i="1"/>
  <c r="AE139" i="1" s="1"/>
  <c r="Z139" i="1"/>
  <c r="AD139" i="1" s="1"/>
  <c r="Y139" i="1"/>
  <c r="AC139" i="1" s="1"/>
  <c r="AA136" i="1"/>
  <c r="AE136" i="1" s="1"/>
  <c r="Z136" i="1"/>
  <c r="AD136" i="1" s="1"/>
  <c r="Y136" i="1"/>
  <c r="AC136" i="1" s="1"/>
  <c r="AA133" i="1"/>
  <c r="AE133" i="1" s="1"/>
  <c r="Z133" i="1"/>
  <c r="AD133" i="1" s="1"/>
  <c r="Y133" i="1"/>
  <c r="AC133" i="1" s="1"/>
  <c r="AA130" i="1"/>
  <c r="AE130" i="1" s="1"/>
  <c r="Z130" i="1"/>
  <c r="AD130" i="1" s="1"/>
  <c r="Y130" i="1"/>
  <c r="AC130" i="1" s="1"/>
  <c r="AA127" i="1"/>
  <c r="AE127" i="1" s="1"/>
  <c r="Z127" i="1"/>
  <c r="AD127" i="1" s="1"/>
  <c r="AA124" i="1"/>
  <c r="AE124" i="1" s="1"/>
  <c r="Z124" i="1"/>
  <c r="AD124" i="1" s="1"/>
  <c r="Y124" i="1"/>
  <c r="AC124" i="1" s="1"/>
  <c r="AA121" i="1"/>
  <c r="AE121" i="1" s="1"/>
  <c r="Z121" i="1"/>
  <c r="AD121" i="1" s="1"/>
  <c r="Y121" i="1"/>
  <c r="AC121" i="1" s="1"/>
  <c r="AA118" i="1"/>
  <c r="AE118" i="1" s="1"/>
  <c r="Z118" i="1"/>
  <c r="AD118" i="1" s="1"/>
  <c r="Y118" i="1"/>
  <c r="AC118" i="1" s="1"/>
  <c r="AA115" i="1"/>
  <c r="AE115" i="1" s="1"/>
  <c r="Z115" i="1"/>
  <c r="AD115" i="1" s="1"/>
  <c r="Y115" i="1"/>
  <c r="AC115" i="1" s="1"/>
  <c r="AA111" i="1"/>
  <c r="AE111" i="1" s="1"/>
  <c r="Z111" i="1"/>
  <c r="AD111" i="1" s="1"/>
  <c r="Y111" i="1"/>
  <c r="AC111" i="1" s="1"/>
  <c r="AA108" i="1"/>
  <c r="AE108" i="1" s="1"/>
  <c r="Z108" i="1"/>
  <c r="AD108" i="1" s="1"/>
  <c r="Y108" i="1"/>
  <c r="AC108" i="1" s="1"/>
  <c r="AA105" i="1"/>
  <c r="AE105" i="1" s="1"/>
  <c r="Z105" i="1"/>
  <c r="AD105" i="1" s="1"/>
  <c r="Y105" i="1"/>
  <c r="AC105" i="1" s="1"/>
  <c r="AA102" i="1"/>
  <c r="AE102" i="1" s="1"/>
  <c r="Z102" i="1"/>
  <c r="AD102" i="1" s="1"/>
  <c r="Y102" i="1"/>
  <c r="AC102" i="1" s="1"/>
  <c r="AA99" i="1"/>
  <c r="AE99" i="1" s="1"/>
  <c r="Z99" i="1"/>
  <c r="AD99" i="1" s="1"/>
  <c r="Y99" i="1"/>
  <c r="AC99" i="1" s="1"/>
  <c r="AA96" i="1"/>
  <c r="AE96" i="1" s="1"/>
  <c r="Z96" i="1"/>
  <c r="AD96" i="1" s="1"/>
  <c r="Y96" i="1"/>
  <c r="AC96" i="1" s="1"/>
  <c r="AA93" i="1"/>
  <c r="AE93" i="1" s="1"/>
  <c r="Z93" i="1"/>
  <c r="AD93" i="1" s="1"/>
  <c r="Y93" i="1"/>
  <c r="AC93" i="1" s="1"/>
  <c r="AA90" i="1"/>
  <c r="AE90" i="1" s="1"/>
  <c r="Z90" i="1"/>
  <c r="AD90" i="1" s="1"/>
  <c r="Y90" i="1"/>
  <c r="AC90" i="1" s="1"/>
  <c r="AA87" i="1"/>
  <c r="AE87" i="1" s="1"/>
  <c r="Z87" i="1"/>
  <c r="AD87" i="1" s="1"/>
  <c r="Y87" i="1"/>
  <c r="AC87" i="1" s="1"/>
  <c r="AA84" i="1"/>
  <c r="AE84" i="1" s="1"/>
  <c r="Z84" i="1"/>
  <c r="AD84" i="1" s="1"/>
  <c r="Y84" i="1"/>
  <c r="AC84" i="1" s="1"/>
  <c r="AA80" i="1"/>
  <c r="AE80" i="1" s="1"/>
  <c r="Z80" i="1"/>
  <c r="AD80" i="1" s="1"/>
  <c r="Y80" i="1"/>
  <c r="AC80" i="1" s="1"/>
  <c r="AA77" i="1"/>
  <c r="AE77" i="1" s="1"/>
  <c r="Z77" i="1"/>
  <c r="AD77" i="1" s="1"/>
  <c r="Y77" i="1"/>
  <c r="AC77" i="1" s="1"/>
  <c r="AA74" i="1"/>
  <c r="AE74" i="1" s="1"/>
  <c r="Z74" i="1"/>
  <c r="AD74" i="1" s="1"/>
  <c r="Y74" i="1"/>
  <c r="AC74" i="1" s="1"/>
  <c r="AA71" i="1"/>
  <c r="AE71" i="1" s="1"/>
  <c r="Z71" i="1"/>
  <c r="AD71" i="1" s="1"/>
  <c r="Y71" i="1"/>
  <c r="AC71" i="1" s="1"/>
  <c r="AA68" i="1"/>
  <c r="AE68" i="1" s="1"/>
  <c r="Z68" i="1"/>
  <c r="AD68" i="1" s="1"/>
  <c r="Y68" i="1"/>
  <c r="AC68" i="1" s="1"/>
  <c r="AA65" i="1"/>
  <c r="AE65" i="1" s="1"/>
  <c r="Z65" i="1"/>
  <c r="AD65" i="1" s="1"/>
  <c r="Y65" i="1"/>
  <c r="AC65" i="1" s="1"/>
  <c r="AA62" i="1"/>
  <c r="AE62" i="1" s="1"/>
  <c r="Z62" i="1"/>
  <c r="AD62" i="1" s="1"/>
  <c r="Y62" i="1"/>
  <c r="AC62" i="1" s="1"/>
  <c r="AA59" i="1"/>
  <c r="AE59" i="1" s="1"/>
  <c r="Z59" i="1"/>
  <c r="AD59" i="1" s="1"/>
  <c r="Y59" i="1"/>
  <c r="AC59" i="1" s="1"/>
  <c r="AA56" i="1"/>
  <c r="AE56" i="1" s="1"/>
  <c r="Z56" i="1"/>
  <c r="AD56" i="1" s="1"/>
  <c r="Y56" i="1"/>
  <c r="AC56" i="1" s="1"/>
  <c r="AA53" i="1"/>
  <c r="AE53" i="1" s="1"/>
  <c r="Z53" i="1"/>
  <c r="AD53" i="1" s="1"/>
  <c r="Y53" i="1"/>
  <c r="AC53" i="1" s="1"/>
  <c r="AA50" i="1"/>
  <c r="AE50" i="1" s="1"/>
  <c r="Z50" i="1"/>
  <c r="AD50" i="1" s="1"/>
  <c r="Y50" i="1"/>
  <c r="AC50" i="1" s="1"/>
  <c r="AA47" i="1"/>
  <c r="AE47" i="1" s="1"/>
  <c r="Z47" i="1"/>
  <c r="AD47" i="1" s="1"/>
  <c r="Y47" i="1"/>
  <c r="AC47" i="1" s="1"/>
  <c r="AA43" i="1"/>
  <c r="AE43" i="1" s="1"/>
  <c r="Z43" i="1"/>
  <c r="AD43" i="1" s="1"/>
  <c r="Y43" i="1"/>
  <c r="AC43" i="1" s="1"/>
  <c r="AA39" i="1"/>
  <c r="AE39" i="1" s="1"/>
  <c r="Z39" i="1"/>
  <c r="AD39" i="1" s="1"/>
  <c r="AA36" i="1"/>
  <c r="AE36" i="1" s="1"/>
  <c r="Z36" i="1"/>
  <c r="AD36" i="1" s="1"/>
  <c r="Y36" i="1"/>
  <c r="AC36" i="1" s="1"/>
  <c r="AA33" i="1"/>
  <c r="AE33" i="1" s="1"/>
  <c r="Z33" i="1"/>
  <c r="AD33" i="1" s="1"/>
  <c r="Y33" i="1"/>
  <c r="AC33" i="1" s="1"/>
  <c r="AA30" i="1"/>
  <c r="AE30" i="1" s="1"/>
  <c r="Z30" i="1"/>
  <c r="AD30" i="1" s="1"/>
  <c r="Y30" i="1"/>
  <c r="AC30" i="1" s="1"/>
  <c r="AA27" i="1"/>
  <c r="AE27" i="1" s="1"/>
  <c r="Z27" i="1"/>
  <c r="AD27" i="1" s="1"/>
  <c r="Y27" i="1"/>
  <c r="AC27" i="1" s="1"/>
  <c r="AA24" i="1"/>
  <c r="AE24" i="1" s="1"/>
  <c r="Z24" i="1"/>
  <c r="AD24" i="1" s="1"/>
  <c r="Y24" i="1"/>
  <c r="AC24" i="1" s="1"/>
  <c r="AA21" i="1"/>
  <c r="AE21" i="1" s="1"/>
  <c r="Z21" i="1"/>
  <c r="AD21" i="1" s="1"/>
  <c r="Y21" i="1"/>
  <c r="AC21" i="1" s="1"/>
  <c r="AA18" i="1"/>
  <c r="AE18" i="1" s="1"/>
  <c r="Z18" i="1"/>
  <c r="AD18" i="1" s="1"/>
  <c r="Y18" i="1"/>
  <c r="AC18" i="1" s="1"/>
  <c r="AA15" i="1"/>
  <c r="AE15" i="1" s="1"/>
  <c r="Z15" i="1"/>
  <c r="AD15" i="1" s="1"/>
  <c r="Y15" i="1"/>
  <c r="AC15" i="1" s="1"/>
  <c r="AA12" i="1"/>
  <c r="AE12" i="1" s="1"/>
  <c r="Z12" i="1"/>
  <c r="AD12" i="1" s="1"/>
  <c r="Y12" i="1"/>
  <c r="AC12" i="1" s="1"/>
  <c r="AA5" i="1"/>
  <c r="AE5" i="1" s="1"/>
  <c r="Z5" i="1"/>
  <c r="AD5" i="1" s="1"/>
  <c r="Y5" i="1"/>
  <c r="AA2" i="1"/>
  <c r="AE2" i="1" s="1"/>
  <c r="Z2" i="1"/>
  <c r="AD2" i="1" s="1"/>
  <c r="Y2" i="1"/>
  <c r="AC2" i="1" s="1"/>
  <c r="AH5" i="1" l="1"/>
  <c r="AK5" i="1" s="1"/>
  <c r="AG5" i="1"/>
  <c r="AJ5" i="1" s="1"/>
  <c r="AC5" i="1"/>
  <c r="Z42" i="1"/>
  <c r="AD42" i="1" s="1"/>
  <c r="AA42" i="1"/>
  <c r="AE42" i="1" s="1"/>
  <c r="Y42" i="1"/>
  <c r="AC42" i="1" s="1"/>
  <c r="Y244" i="1"/>
  <c r="AC244" i="1" s="1"/>
  <c r="Z244" i="1"/>
  <c r="AA244" i="1"/>
  <c r="Y234" i="1"/>
  <c r="AC234" i="1" s="1"/>
  <c r="AD244" i="1"/>
  <c r="AE244" i="1"/>
  <c r="Y190" i="1"/>
  <c r="Z190" i="1"/>
  <c r="Y216" i="1"/>
  <c r="AC216" i="1" s="1"/>
  <c r="AA190" i="1"/>
  <c r="Z216" i="1"/>
  <c r="AD216" i="1" s="1"/>
  <c r="AA216" i="1"/>
  <c r="AE216" i="1" s="1"/>
  <c r="Y83" i="1"/>
  <c r="AC83" i="1" s="1"/>
  <c r="AA234" i="1"/>
  <c r="AE234" i="1" s="1"/>
  <c r="Z234" i="1"/>
  <c r="AD234" i="1" s="1"/>
  <c r="Z83" i="1"/>
  <c r="AD83" i="1" s="1"/>
  <c r="AA83" i="1"/>
  <c r="AE83" i="1" s="1"/>
  <c r="Z192" i="1" l="1"/>
  <c r="AD192" i="1" s="1"/>
  <c r="AD190" i="1"/>
  <c r="AA192" i="1"/>
  <c r="AE192" i="1" s="1"/>
  <c r="AE190" i="1"/>
  <c r="Y192" i="1"/>
  <c r="AC192" i="1" s="1"/>
  <c r="AC190" i="1"/>
  <c r="AA245" i="1"/>
  <c r="AE245" i="1" s="1"/>
  <c r="Y245" i="1" l="1"/>
  <c r="AC245" i="1" s="1"/>
  <c r="Z245" i="1"/>
  <c r="AD245" i="1" s="1"/>
</calcChain>
</file>

<file path=xl/sharedStrings.xml><?xml version="1.0" encoding="utf-8"?>
<sst xmlns="http://schemas.openxmlformats.org/spreadsheetml/2006/main" count="394" uniqueCount="284">
  <si>
    <t>губ</t>
  </si>
  <si>
    <t>Архангельская</t>
  </si>
  <si>
    <t>[Архангельская род.]</t>
  </si>
  <si>
    <t>[Архангельская ум.]</t>
  </si>
  <si>
    <t>—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</si>
  <si>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</si>
  <si>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</si>
  <si>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</si>
  <si>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</si>
  <si>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</si>
  <si>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</si>
  <si>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</si>
  <si>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</si>
  <si>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</si>
  <si>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</si>
  <si>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</si>
  <si>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</si>
  <si>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Кіевская</t>
  </si>
  <si>
    <t>[Кіевская род.]</t>
  </si>
  <si>
    <t>[Кіевская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</si>
  <si>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</si>
  <si>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</si>
  <si>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</si>
  <si>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</si>
  <si>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</si>
  <si>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</si>
  <si>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</si>
  <si>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</si>
  <si>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</si>
  <si>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Оренбургская</t>
  </si>
  <si>
    <t>[Оренбургская род.]</t>
  </si>
  <si>
    <t>[Оренбургская ум.]</t>
  </si>
  <si>
    <t>Подольская</t>
  </si>
  <si>
    <t>[Подольская род.]</t>
  </si>
  <si>
    <t>[Подольская ум.]</t>
  </si>
  <si>
    <t>Итого въ неземскихъ губерніяхъ</t>
  </si>
  <si>
    <t>Варшавская</t>
  </si>
  <si>
    <t>[Варшавская род.]</t>
  </si>
  <si>
    <t>[Варшавская ум.]</t>
  </si>
  <si>
    <t>Г. Варшава</t>
  </si>
  <si>
    <t>Калишская</t>
  </si>
  <si>
    <t>[Калишская род.]</t>
  </si>
  <si>
    <t>[Калишская ум.]</t>
  </si>
  <si>
    <t>Кѣлецкая</t>
  </si>
  <si>
    <t>[Кѣлецкая род.]</t>
  </si>
  <si>
    <t>[Кѣлецкая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</si>
  <si>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</si>
  <si>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</si>
  <si>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</si>
  <si>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</si>
  <si>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</si>
  <si>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</si>
  <si>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</si>
  <si>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</si>
  <si>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</si>
  <si>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</si>
  <si>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</si>
  <si>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</si>
  <si>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</si>
  <si>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</si>
  <si>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</si>
  <si>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</si>
  <si>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</si>
  <si>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</si>
  <si>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Сѣдлецкая</t>
  </si>
  <si>
    <t>[Сѣдлецкая род.]</t>
  </si>
  <si>
    <t>[Сѣдлецкая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</si>
  <si>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</si>
  <si>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</si>
  <si>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</si>
  <si>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</si>
  <si>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</si>
  <si>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</si>
  <si>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</si>
  <si>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</si>
  <si>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</si>
  <si>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</si>
  <si>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</si>
  <si>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</si>
  <si>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</si>
  <si>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Владимірская</t>
  </si>
  <si>
    <t>[Владимірская род.]</t>
  </si>
  <si>
    <t>[Владимірская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</si>
  <si>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</si>
  <si>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</si>
  <si>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</si>
  <si>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</si>
  <si>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</si>
  <si>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</si>
  <si>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</si>
  <si>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</si>
  <si>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</si>
  <si>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</si>
  <si>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</si>
  <si>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</si>
  <si>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</si>
  <si>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</si>
  <si>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</si>
  <si>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</si>
  <si>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</si>
  <si>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</si>
  <si>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</si>
  <si>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</si>
  <si>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</si>
  <si>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</si>
  <si>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</si>
  <si>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</si>
  <si>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</si>
  <si>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</si>
  <si>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</si>
  <si>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</si>
  <si>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</si>
  <si>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</si>
  <si>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</si>
  <si>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</si>
  <si>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</si>
  <si>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</si>
  <si>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</si>
  <si>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</si>
  <si>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</si>
  <si>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</si>
  <si>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</si>
  <si>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</si>
  <si>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</si>
  <si>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</si>
  <si>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</si>
  <si>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</si>
  <si>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</si>
  <si>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</si>
  <si>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</si>
  <si>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</si>
  <si>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</si>
  <si>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</si>
  <si>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</si>
  <si>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</si>
  <si>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</si>
  <si>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</si>
  <si>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</si>
  <si>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</si>
  <si>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</si>
  <si>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</si>
  <si>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С.-Петербургъ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</si>
  <si>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</si>
  <si>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</si>
  <si>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</si>
  <si>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</si>
  <si>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</si>
  <si>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</si>
  <si>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</si>
  <si>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</si>
  <si>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</si>
  <si>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</si>
  <si>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</si>
  <si>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</si>
  <si>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</si>
  <si>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</si>
  <si>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</si>
  <si>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</si>
  <si>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</si>
  <si>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</si>
  <si>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</si>
  <si>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</si>
  <si>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</si>
  <si>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</si>
  <si>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</si>
  <si>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</si>
  <si>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</si>
  <si>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</si>
  <si>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</si>
  <si>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</si>
  <si>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</si>
  <si>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</si>
  <si>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</si>
  <si>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</si>
  <si>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</si>
  <si>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Николаевъ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</si>
  <si>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</si>
  <si>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</si>
  <si>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</si>
  <si>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</si>
  <si>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</si>
  <si>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</si>
  <si>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</si>
  <si>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</si>
  <si>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Донскаго.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</si>
  <si>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</si>
  <si>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</si>
  <si>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</si>
  <si>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</si>
  <si>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</si>
  <si>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</si>
  <si>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</si>
  <si>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</si>
  <si>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</si>
  <si>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Кубанская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</si>
  <si>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</si>
  <si>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</si>
  <si>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</si>
  <si>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</si>
  <si>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</si>
  <si>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</si>
  <si>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</si>
  <si>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</si>
  <si>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</si>
  <si>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</si>
  <si>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</si>
  <si>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</si>
  <si>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</si>
  <si>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</si>
  <si>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</si>
  <si>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</si>
  <si>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</si>
  <si>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</si>
  <si>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</si>
  <si>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</si>
  <si>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</si>
  <si>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</si>
  <si>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</si>
  <si>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</si>
  <si>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</si>
  <si>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</si>
  <si>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[Томская род.]</t>
  </si>
  <si>
    <t>[Томская ум.]</t>
  </si>
  <si>
    <t>Якутская обл.</t>
  </si>
  <si>
    <t>Остр. Сахалинъ</t>
  </si>
  <si>
    <t>Итого въ Сибири</t>
  </si>
  <si>
    <t>Акмолинская обл.</t>
  </si>
  <si>
    <t>Закаспійская обл.</t>
  </si>
  <si>
    <t>Самаркандская обл.</t>
  </si>
  <si>
    <t>Семипалатинская обл.</t>
  </si>
  <si>
    <t>Семирѣченская обл.</t>
  </si>
  <si>
    <t>Сыръ-Дарьинская обл.</t>
  </si>
  <si>
    <t>Тургайская обл.</t>
  </si>
  <si>
    <t>Уральская обл.</t>
  </si>
  <si>
    <t>Ферганская обл.</t>
  </si>
  <si>
    <t>Итого въ Средне-Азіатскихъ обл.</t>
  </si>
  <si>
    <t>Итого во всей Имперіи</t>
  </si>
  <si>
    <t>уезды</t>
  </si>
  <si>
    <t>чж NYY</t>
  </si>
  <si>
    <t>чр YY</t>
  </si>
  <si>
    <t>чу YY</t>
  </si>
  <si>
    <t>v-чж</t>
  </si>
  <si>
    <t>v-чр</t>
  </si>
  <si>
    <t>v-чу</t>
  </si>
  <si>
    <t>Toмская</t>
  </si>
  <si>
    <t>р YY</t>
  </si>
  <si>
    <t>с YY</t>
  </si>
  <si>
    <t>v-р</t>
  </si>
  <si>
    <t>v-c</t>
  </si>
  <si>
    <t>vd-чж</t>
  </si>
  <si>
    <t>vd-чр</t>
  </si>
  <si>
    <t>vd-чу</t>
  </si>
  <si>
    <t>vd-р</t>
  </si>
  <si>
    <t>vd-с</t>
  </si>
  <si>
    <t>Астраханская (оседлое)</t>
  </si>
  <si>
    <t>[Астраханская (оседлое) род.]</t>
  </si>
  <si>
    <t>[Астраханская (оседлое) ум.]</t>
  </si>
  <si>
    <t>Астраханская (кочевники)</t>
  </si>
  <si>
    <t>[Астраханская (кочевники) род.]</t>
  </si>
  <si>
    <t>[Астраханская (кочевники) ум.]</t>
  </si>
  <si>
    <t>[Астраханская (сумма)]</t>
  </si>
  <si>
    <t>Черноморский округ</t>
  </si>
  <si>
    <t>Владимирская губерния Александровский уезд: 87 762 → 97 721.</t>
  </si>
  <si>
    <t>Пермская губерния Пермский уезд: 254 605 → 225 605.</t>
  </si>
  <si>
    <t>Харьковская губерния Харьковский уезд: 251 501 → 351 501.</t>
  </si>
  <si>
    <t>Некоторые уезлы исправлены.</t>
  </si>
  <si>
    <t>Ошибки в числе жителей выявлены по тому, что сумма узедов по жителям не сходится с губернской, и также</t>
  </si>
  <si>
    <t>рождаемость и смертность в уезде выбивается из губернской, т.е. число жителей уезда напечатно неверно.</t>
  </si>
  <si>
    <t>По ЦСК</t>
  </si>
  <si>
    <t>род</t>
  </si>
  <si>
    <t>ум</t>
  </si>
  <si>
    <t>Келецкая</t>
  </si>
  <si>
    <t>Бессарбская</t>
  </si>
  <si>
    <t>?</t>
  </si>
  <si>
    <t>С-Петербургская с Петербургом</t>
  </si>
  <si>
    <t>ЦСК С-Петербургская с Петербургом</t>
  </si>
  <si>
    <t>С-Петербургская</t>
  </si>
  <si>
    <t>У УГВИ нет сведений о  Царском Селе, Павловском, Гатчино, Петергофе и Кронштадте</t>
  </si>
  <si>
    <t>Обл. Войска Донского</t>
  </si>
  <si>
    <t>УГВИ</t>
  </si>
  <si>
    <t>ЦСК</t>
  </si>
  <si>
    <t>разница</t>
  </si>
  <si>
    <t>добавить к</t>
  </si>
  <si>
    <t>[правка+] пригороды Петербурга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</si>
</sst>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3" fontId="0" fillId="0" borderId="0" xfId="0" applyNumberFormat="1"/>
    <xf numFmtId="3" fontId="0" fillId="2" borderId="0" xfId="0" applyNumberFormat="1" applyFill="1"/>
    <xf numFmtId="3" fontId="4" fillId="2" borderId="0" xfId="0" applyNumberFormat="1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3" fontId="5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3" fontId="4" fillId="3" borderId="0" xfId="0" applyNumberFormat="1" applyFont="1" applyFill="1" applyAlignment="1">
      <alignment vertical="center"/>
    </xf>
    <xf numFmtId="3" fontId="0" fillId="3" borderId="0" xfId="0" applyNumberFormat="1" applyFill="1" applyAlignment="1">
      <alignment vertical="center"/>
    </xf>
    <xf numFmtId="3" fontId="0" fillId="3" borderId="0" xfId="0" applyNumberFormat="1" applyFill="1"/>
    <xf numFmtId="164" fontId="0" fillId="2" borderId="0" xfId="0" applyNumberFormat="1" applyFill="1"/>
    <xf numFmtId="164" fontId="0" fillId="2" borderId="0" xfId="0" applyNumberFormat="1" applyFill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0" xfId="0" applyNumberFormat="1" applyFill="1"/>
    <xf numFmtId="3" fontId="0" fillId="2" borderId="0" xfId="0" applyNumberForma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164" fontId="0" fillId="5" borderId="0" xfId="0" applyNumberFormat="1" applyFill="1" applyAlignment="1">
      <alignment vertical="center"/>
    </xf>
    <xf numFmtId="3" fontId="5" fillId="2" borderId="0" xfId="0" applyNumberFormat="1" applyFont="1" applyFill="1" applyAlignment="1">
      <alignment vertical="center"/>
    </xf>
    <xf numFmtId="3" fontId="4" fillId="5" borderId="0" xfId="0" applyNumberFormat="1" applyFont="1" applyFill="1" applyAlignment="1">
      <alignment vertical="center"/>
    </xf>
    <xf numFmtId="3" fontId="1" fillId="5" borderId="0" xfId="0" applyNumberFormat="1" applyFont="1" applyFill="1" applyAlignment="1">
      <alignment vertical="center"/>
    </xf>
    <xf numFmtId="0" fontId="8" fillId="0" borderId="0" xfId="0" applyFont="1"/>
    <xf numFmtId="3" fontId="8" fillId="0" borderId="0" xfId="0" applyNumberFormat="1" applyFont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10" fillId="0" borderId="0" xfId="0" applyFont="1"/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F4B6-5821-457B-887D-0B94592C07F0}">
  <dimension ref="A2:F33"/>
  <sheetViews>
    <sheetView topLeftCell="A4" workbookViewId="0">
      <selection activeCell="J26" sqref="J26"/>
    </sheetView>
  </sheetViews>
  <sheetFormatPr defaultRowHeight="12.3" x14ac:dyDescent="0.4"/>
  <cols>
    <col min="2" max="2" width="26.0546875" customWidth="1"/>
  </cols>
  <sheetData>
    <row r="2" spans="1:6" x14ac:dyDescent="0.4">
      <c r="A2" s="34" t="s">
        <v>265</v>
      </c>
    </row>
    <row r="3" spans="1:6" x14ac:dyDescent="0.4">
      <c r="A3" s="34" t="s">
        <v>266</v>
      </c>
    </row>
    <row r="4" spans="1:6" x14ac:dyDescent="0.4">
      <c r="A4" s="34" t="s">
        <v>267</v>
      </c>
    </row>
    <row r="6" spans="1:6" x14ac:dyDescent="0.4">
      <c r="B6" t="s">
        <v>262</v>
      </c>
    </row>
    <row r="7" spans="1:6" x14ac:dyDescent="0.4">
      <c r="B7" t="s">
        <v>263</v>
      </c>
    </row>
    <row r="8" spans="1:6" x14ac:dyDescent="0.4">
      <c r="B8" t="s">
        <v>264</v>
      </c>
    </row>
    <row r="11" spans="1:6" x14ac:dyDescent="0.4">
      <c r="A11" t="s">
        <v>268</v>
      </c>
    </row>
    <row r="12" spans="1:6" x14ac:dyDescent="0.4">
      <c r="D12" t="s">
        <v>269</v>
      </c>
      <c r="F12" t="s">
        <v>270</v>
      </c>
    </row>
    <row r="13" spans="1:6" x14ac:dyDescent="0.4">
      <c r="B13" t="s">
        <v>14</v>
      </c>
      <c r="D13" s="3">
        <v>58776</v>
      </c>
      <c r="E13" s="3"/>
      <c r="F13" s="3">
        <v>28895</v>
      </c>
    </row>
    <row r="14" spans="1:6" x14ac:dyDescent="0.4">
      <c r="B14" t="s">
        <v>23</v>
      </c>
      <c r="D14" s="3">
        <v>80824</v>
      </c>
      <c r="E14" s="3"/>
      <c r="F14" s="3">
        <v>44094</v>
      </c>
    </row>
    <row r="15" spans="1:6" x14ac:dyDescent="0.4">
      <c r="B15" s="34" t="s">
        <v>26</v>
      </c>
      <c r="D15" s="3">
        <v>68104</v>
      </c>
      <c r="E15" s="3"/>
      <c r="F15" s="3">
        <v>33339</v>
      </c>
    </row>
    <row r="16" spans="1:6" x14ac:dyDescent="0.4">
      <c r="B16" s="34" t="s">
        <v>32</v>
      </c>
      <c r="D16" s="3">
        <v>124507</v>
      </c>
      <c r="E16" s="3"/>
      <c r="F16" s="3"/>
    </row>
    <row r="17" spans="2:6" x14ac:dyDescent="0.4">
      <c r="B17" s="34" t="s">
        <v>271</v>
      </c>
      <c r="D17" s="3"/>
      <c r="E17" s="3"/>
      <c r="F17" s="3">
        <v>14556</v>
      </c>
    </row>
    <row r="18" spans="2:6" x14ac:dyDescent="0.4">
      <c r="B18" s="34" t="s">
        <v>58</v>
      </c>
      <c r="D18" s="3">
        <v>32014</v>
      </c>
      <c r="E18" s="3"/>
      <c r="F18" s="3">
        <v>15357</v>
      </c>
    </row>
    <row r="19" spans="2:6" x14ac:dyDescent="0.4">
      <c r="B19" s="34" t="s">
        <v>61</v>
      </c>
      <c r="D19" s="3">
        <v>21943</v>
      </c>
      <c r="E19" s="3"/>
      <c r="F19" s="3">
        <v>14937</v>
      </c>
    </row>
    <row r="20" spans="2:6" x14ac:dyDescent="0.4">
      <c r="B20" s="34" t="s">
        <v>70</v>
      </c>
      <c r="D20" s="3">
        <v>36839</v>
      </c>
      <c r="E20" s="3"/>
      <c r="F20" s="3">
        <v>26769</v>
      </c>
    </row>
    <row r="21" spans="2:6" x14ac:dyDescent="0.4">
      <c r="B21" s="34" t="s">
        <v>272</v>
      </c>
      <c r="D21" s="35" t="s">
        <v>273</v>
      </c>
      <c r="E21" s="3"/>
      <c r="F21" s="3"/>
    </row>
    <row r="22" spans="2:6" x14ac:dyDescent="0.4">
      <c r="B22" s="34" t="s">
        <v>276</v>
      </c>
    </row>
    <row r="23" spans="2:6" x14ac:dyDescent="0.4">
      <c r="B23" s="34" t="s">
        <v>277</v>
      </c>
    </row>
    <row r="24" spans="2:6" x14ac:dyDescent="0.4">
      <c r="B24" s="34" t="s">
        <v>275</v>
      </c>
      <c r="D24" s="3">
        <v>59869</v>
      </c>
      <c r="E24" s="3"/>
      <c r="F24" s="3">
        <v>55614</v>
      </c>
    </row>
    <row r="25" spans="2:6" x14ac:dyDescent="0.4">
      <c r="B25" s="34" t="s">
        <v>154</v>
      </c>
      <c r="D25">
        <v>62967</v>
      </c>
      <c r="F25">
        <v>34410</v>
      </c>
    </row>
    <row r="26" spans="2:6" x14ac:dyDescent="0.4">
      <c r="B26" s="34" t="s">
        <v>278</v>
      </c>
      <c r="D26" s="3">
        <v>108792</v>
      </c>
      <c r="E26" s="3"/>
      <c r="F26" s="3">
        <v>62122</v>
      </c>
    </row>
    <row r="28" spans="2:6" x14ac:dyDescent="0.4">
      <c r="B28" s="37" t="s">
        <v>274</v>
      </c>
    </row>
    <row r="29" spans="2:6" ht="14.4" x14ac:dyDescent="0.4">
      <c r="D29" s="5">
        <v>27199</v>
      </c>
      <c r="E29" s="5">
        <v>26033</v>
      </c>
    </row>
    <row r="30" spans="2:6" ht="14.4" x14ac:dyDescent="0.4">
      <c r="D30" s="5">
        <v>30246</v>
      </c>
      <c r="E30" s="5">
        <v>25048</v>
      </c>
    </row>
    <row r="31" spans="2:6" ht="14.4" x14ac:dyDescent="0.4">
      <c r="B31" s="34" t="s">
        <v>279</v>
      </c>
      <c r="D31" s="5">
        <f>SUM(D29:D30)</f>
        <v>57445</v>
      </c>
      <c r="E31" s="5">
        <f>SUM(E29:E30)</f>
        <v>51081</v>
      </c>
    </row>
    <row r="32" spans="2:6" x14ac:dyDescent="0.4">
      <c r="B32" s="34" t="s">
        <v>280</v>
      </c>
      <c r="D32" s="3">
        <v>59869</v>
      </c>
      <c r="E32" s="3">
        <v>55614</v>
      </c>
    </row>
    <row r="33" spans="2:5" x14ac:dyDescent="0.4">
      <c r="B33" s="34" t="s">
        <v>281</v>
      </c>
      <c r="D33" s="3">
        <f>D32-D31</f>
        <v>2424</v>
      </c>
      <c r="E33" s="3">
        <f>E32-E31</f>
        <v>4533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248"/>
  <sheetViews>
    <sheetView tabSelected="1" workbookViewId="0">
      <pane xSplit="1" ySplit="1" topLeftCell="B189" activePane="bottomRight" state="frozen"/>
      <selection pane="topRight" activeCell="B1" sqref="B1"/>
      <selection pane="bottomLeft" activeCell="A2" sqref="A2"/>
      <selection pane="bottomRight" activeCell="G202" sqref="G202"/>
    </sheetView>
  </sheetViews>
  <sheetFormatPr defaultColWidth="12.609375" defaultRowHeight="15.75" customHeight="1" x14ac:dyDescent="0.4"/>
  <cols>
    <col min="1" max="1" width="47.5546875" bestFit="1" customWidth="1"/>
    <col min="2" max="2" width="11.21875" bestFit="1" customWidth="1"/>
    <col min="3" max="4" width="9.109375" bestFit="1" customWidth="1"/>
    <col min="5" max="6" width="4.38671875" style="21" bestFit="1" customWidth="1"/>
    <col min="7" max="7" width="13.27734375" style="21" customWidth="1"/>
    <col min="8" max="8" width="5.609375" customWidth="1"/>
    <col min="9" max="23" width="7.27734375" bestFit="1" customWidth="1"/>
    <col min="24" max="24" width="5.109375" customWidth="1"/>
    <col min="25" max="25" width="10.77734375" bestFit="1" customWidth="1"/>
    <col min="26" max="27" width="8.83203125" bestFit="1" customWidth="1"/>
    <col min="28" max="28" width="3.44140625" customWidth="1"/>
    <col min="29" max="29" width="9.38671875" bestFit="1" customWidth="1"/>
    <col min="30" max="31" width="7.83203125" bestFit="1" customWidth="1"/>
    <col min="32" max="32" width="5.38671875" customWidth="1"/>
    <col min="33" max="34" width="4.38671875" customWidth="1"/>
    <col min="35" max="35" width="2.27734375" customWidth="1"/>
    <col min="36" max="37" width="4.94140625" customWidth="1"/>
  </cols>
  <sheetData>
    <row r="1" spans="1:37" ht="15.75" customHeight="1" x14ac:dyDescent="0.4">
      <c r="A1" s="26" t="s">
        <v>0</v>
      </c>
      <c r="B1" s="26" t="s">
        <v>238</v>
      </c>
      <c r="C1" s="26" t="s">
        <v>239</v>
      </c>
      <c r="D1" s="26" t="s">
        <v>240</v>
      </c>
      <c r="E1" s="27" t="s">
        <v>245</v>
      </c>
      <c r="F1" s="27" t="s">
        <v>246</v>
      </c>
      <c r="G1" s="36" t="s">
        <v>282</v>
      </c>
      <c r="H1" s="28"/>
      <c r="I1" s="38" t="s">
        <v>237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Y1" s="29" t="s">
        <v>241</v>
      </c>
      <c r="Z1" s="29" t="s">
        <v>242</v>
      </c>
      <c r="AA1" s="29" t="s">
        <v>243</v>
      </c>
      <c r="AC1" s="29" t="s">
        <v>249</v>
      </c>
      <c r="AD1" s="29" t="s">
        <v>250</v>
      </c>
      <c r="AE1" s="29" t="s">
        <v>251</v>
      </c>
      <c r="AG1" s="29" t="s">
        <v>247</v>
      </c>
      <c r="AH1" s="29" t="s">
        <v>248</v>
      </c>
      <c r="AJ1" s="29" t="s">
        <v>252</v>
      </c>
      <c r="AK1" s="29" t="s">
        <v>253</v>
      </c>
    </row>
    <row r="2" spans="1:37" ht="15.75" customHeight="1" x14ac:dyDescent="0.4">
      <c r="A2" s="1" t="s">
        <v>1</v>
      </c>
      <c r="B2" s="5">
        <v>346371</v>
      </c>
      <c r="C2" s="5">
        <v>12733</v>
      </c>
      <c r="D2" s="5">
        <v>8018</v>
      </c>
      <c r="E2" s="19">
        <v>36.799999999999997</v>
      </c>
      <c r="F2" s="19">
        <v>23.2</v>
      </c>
      <c r="G2" s="19"/>
      <c r="H2" s="10"/>
      <c r="I2" s="6">
        <v>56402</v>
      </c>
      <c r="J2" s="6">
        <v>38585</v>
      </c>
      <c r="K2" s="6">
        <v>9140</v>
      </c>
      <c r="L2" s="6">
        <v>51532</v>
      </c>
      <c r="M2" s="6">
        <v>39793</v>
      </c>
      <c r="N2" s="6">
        <v>29477</v>
      </c>
      <c r="O2" s="6">
        <v>40224</v>
      </c>
      <c r="P2" s="6">
        <v>81218</v>
      </c>
      <c r="Q2" s="7"/>
      <c r="R2" s="7"/>
      <c r="S2" s="7"/>
      <c r="T2" s="7"/>
      <c r="U2" s="7"/>
      <c r="V2" s="7"/>
      <c r="W2" s="7"/>
      <c r="X2" s="3"/>
      <c r="Y2" s="4">
        <f>SUM(I2:W2)</f>
        <v>346371</v>
      </c>
      <c r="Z2" s="4">
        <f>SUM(I3:W3)</f>
        <v>12733</v>
      </c>
      <c r="AA2" s="4">
        <f>SUM(I4:W4)</f>
        <v>8018</v>
      </c>
      <c r="AB2" s="4"/>
      <c r="AC2" s="4">
        <f>Y2-B2</f>
        <v>0</v>
      </c>
      <c r="AD2" s="4">
        <f>Z2-C2</f>
        <v>0</v>
      </c>
      <c r="AE2" s="4">
        <f>AA2-D2</f>
        <v>0</v>
      </c>
      <c r="AG2" s="18">
        <f>C2/B2*1000</f>
        <v>36.761160720730082</v>
      </c>
      <c r="AH2" s="18">
        <f>D2/B2*1000</f>
        <v>23.148589229467824</v>
      </c>
      <c r="AJ2" s="18">
        <f>AG2-E2</f>
        <v>-3.8839279269915039E-2</v>
      </c>
      <c r="AK2" s="18">
        <f>AH2-F2</f>
        <v>-5.1410770532175576E-2</v>
      </c>
    </row>
    <row r="3" spans="1:37" ht="15.75" customHeight="1" x14ac:dyDescent="0.4">
      <c r="A3" s="2" t="s">
        <v>2</v>
      </c>
      <c r="B3" s="8"/>
      <c r="C3" s="8"/>
      <c r="D3" s="8"/>
      <c r="E3" s="20"/>
      <c r="F3" s="20"/>
      <c r="G3" s="20"/>
      <c r="H3" s="9"/>
      <c r="I3" s="10">
        <v>1896</v>
      </c>
      <c r="J3" s="10">
        <v>1281</v>
      </c>
      <c r="K3" s="10">
        <v>283</v>
      </c>
      <c r="L3" s="10">
        <v>2165</v>
      </c>
      <c r="M3" s="10">
        <v>1466</v>
      </c>
      <c r="N3" s="10">
        <v>1125</v>
      </c>
      <c r="O3" s="10">
        <v>1321</v>
      </c>
      <c r="P3" s="10">
        <v>3196</v>
      </c>
      <c r="Q3" s="9"/>
      <c r="R3" s="9"/>
      <c r="S3" s="9"/>
      <c r="T3" s="9"/>
      <c r="U3" s="9"/>
      <c r="V3" s="9"/>
      <c r="W3" s="9"/>
      <c r="X3" s="3"/>
      <c r="Y3" s="3"/>
      <c r="Z3" s="3"/>
      <c r="AA3" s="3"/>
      <c r="AB3" s="3"/>
      <c r="AC3" s="3"/>
      <c r="AD3" s="3"/>
      <c r="AE3" s="3"/>
    </row>
    <row r="4" spans="1:37" ht="15.75" customHeight="1" x14ac:dyDescent="0.4">
      <c r="A4" s="2" t="s">
        <v>3</v>
      </c>
      <c r="B4" s="8"/>
      <c r="C4" s="8"/>
      <c r="D4" s="8"/>
      <c r="E4" s="20"/>
      <c r="F4" s="20"/>
      <c r="G4" s="20"/>
      <c r="H4" s="9"/>
      <c r="I4" s="10">
        <v>1256</v>
      </c>
      <c r="J4" s="10">
        <v>567</v>
      </c>
      <c r="K4" s="10">
        <v>191</v>
      </c>
      <c r="L4" s="10">
        <v>1650</v>
      </c>
      <c r="M4" s="10">
        <v>869</v>
      </c>
      <c r="N4" s="10">
        <v>657</v>
      </c>
      <c r="O4" s="10">
        <v>730</v>
      </c>
      <c r="P4" s="10">
        <v>2098</v>
      </c>
      <c r="Q4" s="9"/>
      <c r="R4" s="9"/>
      <c r="S4" s="9"/>
      <c r="T4" s="9"/>
      <c r="U4" s="9"/>
      <c r="V4" s="9"/>
      <c r="W4" s="9"/>
      <c r="X4" s="3"/>
      <c r="Y4" s="3"/>
      <c r="Z4" s="3"/>
      <c r="AA4" s="3"/>
      <c r="AB4" s="3"/>
      <c r="AC4" s="3"/>
      <c r="AD4" s="3"/>
      <c r="AE4" s="3"/>
    </row>
    <row r="5" spans="1:37" ht="15.75" customHeight="1" x14ac:dyDescent="0.4">
      <c r="A5" s="1" t="s">
        <v>254</v>
      </c>
      <c r="B5" s="5">
        <f>833276-B8</f>
        <v>478230</v>
      </c>
      <c r="C5" s="5">
        <v>26860</v>
      </c>
      <c r="D5" s="5">
        <v>19429</v>
      </c>
      <c r="E5" s="19">
        <v>56.2</v>
      </c>
      <c r="F5" s="19">
        <v>40.6</v>
      </c>
      <c r="G5" s="19"/>
      <c r="H5" s="10"/>
      <c r="I5" s="6">
        <v>129300</v>
      </c>
      <c r="J5" s="6">
        <v>63430</v>
      </c>
      <c r="K5" s="6">
        <v>32640</v>
      </c>
      <c r="L5" s="6">
        <v>169400</v>
      </c>
      <c r="M5" s="6">
        <v>83460</v>
      </c>
      <c r="N5" s="6"/>
      <c r="O5" s="6"/>
      <c r="P5" s="7"/>
      <c r="Q5" s="7"/>
      <c r="R5" s="7"/>
      <c r="S5" s="7"/>
      <c r="T5" s="7"/>
      <c r="U5" s="7"/>
      <c r="V5" s="7"/>
      <c r="W5" s="7"/>
      <c r="X5" s="3"/>
      <c r="Y5" s="4">
        <f>SUM(I5:W5)</f>
        <v>478230</v>
      </c>
      <c r="Z5" s="4">
        <f>SUM(I6:W6)</f>
        <v>26860</v>
      </c>
      <c r="AA5" s="4">
        <f>SUM(I7:W7)</f>
        <v>19429</v>
      </c>
      <c r="AB5" s="4"/>
      <c r="AC5" s="4">
        <f>Y5-B5</f>
        <v>0</v>
      </c>
      <c r="AD5" s="4">
        <f>Z5-C5</f>
        <v>0</v>
      </c>
      <c r="AE5" s="4">
        <f>AA5-D5</f>
        <v>0</v>
      </c>
      <c r="AG5" s="18">
        <f>C5/B5*1000</f>
        <v>56.165443405892567</v>
      </c>
      <c r="AH5" s="18">
        <f>D5/B5*1000</f>
        <v>40.626895008677835</v>
      </c>
      <c r="AJ5" s="18">
        <f>AG5-E5</f>
        <v>-3.4556594107435501E-2</v>
      </c>
      <c r="AK5" s="18">
        <f>AH5-F5</f>
        <v>2.6895008677833232E-2</v>
      </c>
    </row>
    <row r="6" spans="1:37" ht="15.75" customHeight="1" x14ac:dyDescent="0.4">
      <c r="A6" s="2" t="s">
        <v>255</v>
      </c>
      <c r="B6" s="8"/>
      <c r="C6" s="8"/>
      <c r="D6" s="8"/>
      <c r="E6" s="20"/>
      <c r="F6" s="20"/>
      <c r="G6" s="20"/>
      <c r="H6" s="9"/>
      <c r="I6" s="10">
        <v>7599</v>
      </c>
      <c r="J6" s="10">
        <v>3433</v>
      </c>
      <c r="K6" s="10">
        <v>1689</v>
      </c>
      <c r="L6" s="10">
        <v>9453</v>
      </c>
      <c r="M6" s="10">
        <v>4686</v>
      </c>
      <c r="N6" s="11"/>
      <c r="O6" s="11"/>
      <c r="P6" s="9"/>
      <c r="Q6" s="9"/>
      <c r="R6" s="9"/>
      <c r="S6" s="9"/>
      <c r="T6" s="9"/>
      <c r="U6" s="9"/>
      <c r="V6" s="9"/>
      <c r="W6" s="9"/>
      <c r="X6" s="3"/>
      <c r="Y6" s="3"/>
      <c r="Z6" s="3"/>
      <c r="AA6" s="3"/>
      <c r="AB6" s="3"/>
      <c r="AC6" s="3"/>
      <c r="AD6" s="3"/>
      <c r="AE6" s="3"/>
    </row>
    <row r="7" spans="1:37" ht="15.75" customHeight="1" x14ac:dyDescent="0.4">
      <c r="A7" s="2" t="s">
        <v>256</v>
      </c>
      <c r="B7" s="8"/>
      <c r="C7" s="8"/>
      <c r="D7" s="8"/>
      <c r="E7" s="20"/>
      <c r="F7" s="20"/>
      <c r="G7" s="20"/>
      <c r="H7" s="9"/>
      <c r="I7" s="10">
        <v>6562</v>
      </c>
      <c r="J7" s="10">
        <v>2618</v>
      </c>
      <c r="K7" s="10">
        <v>978</v>
      </c>
      <c r="L7" s="10">
        <v>6295</v>
      </c>
      <c r="M7" s="10">
        <v>2976</v>
      </c>
      <c r="N7" s="11"/>
      <c r="O7" s="11"/>
      <c r="P7" s="9"/>
      <c r="Q7" s="9"/>
      <c r="R7" s="9"/>
      <c r="S7" s="9"/>
      <c r="T7" s="9"/>
      <c r="U7" s="9"/>
      <c r="V7" s="9"/>
      <c r="W7" s="9"/>
      <c r="X7" s="3"/>
      <c r="Y7" s="3"/>
      <c r="Z7" s="3"/>
      <c r="AA7" s="3"/>
      <c r="AB7" s="3"/>
      <c r="AC7" s="3"/>
      <c r="AD7" s="3"/>
      <c r="AE7" s="3"/>
    </row>
    <row r="8" spans="1:37" ht="15.75" customHeight="1" x14ac:dyDescent="0.4">
      <c r="A8" s="1" t="s">
        <v>257</v>
      </c>
      <c r="B8" s="31">
        <f>SUM(I8:J8)</f>
        <v>355046</v>
      </c>
      <c r="C8" s="12" t="s">
        <v>4</v>
      </c>
      <c r="D8" s="12" t="s">
        <v>4</v>
      </c>
      <c r="E8" s="12" t="s">
        <v>4</v>
      </c>
      <c r="F8" s="12" t="s">
        <v>4</v>
      </c>
      <c r="G8" s="12"/>
      <c r="H8" s="9"/>
      <c r="I8" s="6">
        <v>138046</v>
      </c>
      <c r="J8" s="6">
        <v>217000</v>
      </c>
      <c r="K8" s="6"/>
      <c r="L8" s="6"/>
      <c r="M8" s="6"/>
      <c r="N8" s="12"/>
      <c r="O8" s="12"/>
      <c r="P8" s="7"/>
      <c r="Q8" s="7"/>
      <c r="R8" s="7"/>
      <c r="S8" s="7"/>
      <c r="T8" s="7"/>
      <c r="U8" s="7"/>
      <c r="V8" s="7"/>
      <c r="W8" s="7"/>
      <c r="X8" s="3"/>
      <c r="Y8" s="4">
        <f>SUM(I8:W8)</f>
        <v>355046</v>
      </c>
      <c r="Z8" s="12" t="s">
        <v>4</v>
      </c>
      <c r="AA8" s="12" t="s">
        <v>4</v>
      </c>
      <c r="AB8" s="4"/>
      <c r="AC8" s="4"/>
      <c r="AD8" s="4"/>
      <c r="AE8" s="4"/>
      <c r="AG8" s="18"/>
      <c r="AH8" s="18"/>
      <c r="AJ8" s="18"/>
      <c r="AK8" s="18"/>
    </row>
    <row r="9" spans="1:37" ht="15.75" customHeight="1" x14ac:dyDescent="0.4">
      <c r="A9" s="2" t="s">
        <v>258</v>
      </c>
      <c r="B9" s="8"/>
      <c r="C9" s="8"/>
      <c r="D9" s="8"/>
      <c r="E9" s="20"/>
      <c r="F9" s="20"/>
      <c r="G9" s="20"/>
      <c r="H9" s="9"/>
      <c r="I9" s="11" t="s">
        <v>4</v>
      </c>
      <c r="J9" s="11" t="s">
        <v>4</v>
      </c>
      <c r="K9" s="10"/>
      <c r="L9" s="10"/>
      <c r="M9" s="10"/>
      <c r="N9" s="11"/>
      <c r="O9" s="11"/>
      <c r="P9" s="9"/>
      <c r="Q9" s="9"/>
      <c r="R9" s="9"/>
      <c r="S9" s="9"/>
      <c r="T9" s="9"/>
      <c r="U9" s="9"/>
      <c r="V9" s="9"/>
      <c r="W9" s="9"/>
      <c r="X9" s="3"/>
      <c r="Y9" s="3"/>
      <c r="Z9" s="3"/>
      <c r="AA9" s="3"/>
      <c r="AB9" s="3"/>
      <c r="AC9" s="3"/>
      <c r="AD9" s="3"/>
      <c r="AE9" s="3"/>
    </row>
    <row r="10" spans="1:37" ht="15.75" customHeight="1" x14ac:dyDescent="0.4">
      <c r="A10" s="2" t="s">
        <v>259</v>
      </c>
      <c r="B10" s="8"/>
      <c r="C10" s="8"/>
      <c r="D10" s="8"/>
      <c r="E10" s="20"/>
      <c r="F10" s="20"/>
      <c r="G10" s="20"/>
      <c r="H10" s="9"/>
      <c r="I10" s="11" t="s">
        <v>4</v>
      </c>
      <c r="J10" s="11" t="s">
        <v>4</v>
      </c>
      <c r="K10" s="10"/>
      <c r="L10" s="10"/>
      <c r="M10" s="10"/>
      <c r="N10" s="11"/>
      <c r="O10" s="11"/>
      <c r="P10" s="9"/>
      <c r="Q10" s="9"/>
      <c r="R10" s="9"/>
      <c r="S10" s="9"/>
      <c r="T10" s="9"/>
      <c r="U10" s="9"/>
      <c r="V10" s="9"/>
      <c r="W10" s="9"/>
      <c r="X10" s="3"/>
      <c r="Y10" s="3"/>
      <c r="Z10" s="3"/>
      <c r="AA10" s="3"/>
      <c r="AB10" s="3"/>
      <c r="AC10" s="3"/>
      <c r="AD10" s="3"/>
      <c r="AE10" s="3"/>
    </row>
    <row r="11" spans="1:37" ht="15.75" customHeight="1" x14ac:dyDescent="0.4">
      <c r="A11" s="2" t="s">
        <v>260</v>
      </c>
      <c r="B11" s="8">
        <f>SUM(B5:B8)</f>
        <v>833276</v>
      </c>
      <c r="C11" s="8">
        <f>SUM(C5:C8)</f>
        <v>26860</v>
      </c>
      <c r="D11" s="8">
        <f>SUM(D5:D8)</f>
        <v>19429</v>
      </c>
      <c r="E11" s="20"/>
      <c r="F11" s="20"/>
      <c r="G11" s="20"/>
      <c r="H11" s="9"/>
      <c r="I11" s="11"/>
      <c r="J11" s="11"/>
      <c r="K11" s="10"/>
      <c r="L11" s="10"/>
      <c r="M11" s="10"/>
      <c r="N11" s="11"/>
      <c r="O11" s="11"/>
      <c r="P11" s="9"/>
      <c r="Q11" s="9"/>
      <c r="R11" s="9"/>
      <c r="S11" s="9"/>
      <c r="T11" s="9"/>
      <c r="U11" s="9"/>
      <c r="V11" s="9"/>
      <c r="W11" s="9"/>
      <c r="X11" s="3"/>
      <c r="Y11" s="3"/>
      <c r="Z11" s="3"/>
      <c r="AA11" s="3"/>
      <c r="AB11" s="3"/>
      <c r="AC11" s="3"/>
      <c r="AD11" s="3"/>
      <c r="AE11" s="3"/>
    </row>
    <row r="12" spans="1:37" ht="15.75" customHeight="1" x14ac:dyDescent="0.4">
      <c r="A12" s="1" t="s">
        <v>5</v>
      </c>
      <c r="B12" s="5">
        <v>1309304</v>
      </c>
      <c r="C12" s="5">
        <v>54761</v>
      </c>
      <c r="D12" s="5">
        <v>33408</v>
      </c>
      <c r="E12" s="19">
        <v>40.799999999999997</v>
      </c>
      <c r="F12" s="19">
        <v>25.5</v>
      </c>
      <c r="G12" s="19"/>
      <c r="H12" s="10"/>
      <c r="I12" s="6">
        <v>301680</v>
      </c>
      <c r="J12" s="6">
        <v>186858</v>
      </c>
      <c r="K12" s="6">
        <v>173214</v>
      </c>
      <c r="L12" s="6">
        <v>169857</v>
      </c>
      <c r="M12" s="6">
        <v>193742</v>
      </c>
      <c r="N12" s="6">
        <v>155668</v>
      </c>
      <c r="O12" s="6">
        <v>128285</v>
      </c>
      <c r="P12" s="7"/>
      <c r="Q12" s="7"/>
      <c r="R12" s="7"/>
      <c r="S12" s="7"/>
      <c r="T12" s="7"/>
      <c r="U12" s="7"/>
      <c r="V12" s="7"/>
      <c r="W12" s="7"/>
      <c r="X12" s="3"/>
      <c r="Y12" s="4">
        <f>SUM(I12:W12)</f>
        <v>1309304</v>
      </c>
      <c r="Z12" s="4">
        <f>SUM(I13:W13)</f>
        <v>54761</v>
      </c>
      <c r="AA12" s="4">
        <f>SUM(I14:W14)</f>
        <v>33408</v>
      </c>
      <c r="AB12" s="4"/>
      <c r="AC12" s="4">
        <f>Y12-B12</f>
        <v>0</v>
      </c>
      <c r="AD12" s="4">
        <f>Z12-C12</f>
        <v>0</v>
      </c>
      <c r="AE12" s="4">
        <f>AA12-D12</f>
        <v>0</v>
      </c>
      <c r="AG12" s="18">
        <f>C12/B12*1000</f>
        <v>41.824511343431318</v>
      </c>
      <c r="AH12" s="18">
        <f>D12/B12*1000</f>
        <v>25.515846587194417</v>
      </c>
      <c r="AJ12" s="18">
        <f>AG12-E12</f>
        <v>1.0245113434313211</v>
      </c>
      <c r="AK12" s="18">
        <f>AH12-F12</f>
        <v>1.5846587194417339E-2</v>
      </c>
    </row>
    <row r="13" spans="1:37" ht="15.75" customHeight="1" x14ac:dyDescent="0.4">
      <c r="A13" s="2" t="s">
        <v>6</v>
      </c>
      <c r="B13" s="8"/>
      <c r="C13" s="8"/>
      <c r="D13" s="8"/>
      <c r="E13" s="20"/>
      <c r="F13" s="20"/>
      <c r="G13" s="20"/>
      <c r="H13" s="9"/>
      <c r="I13" s="10">
        <v>10377</v>
      </c>
      <c r="J13" s="10">
        <v>7721</v>
      </c>
      <c r="K13" s="10">
        <v>7337</v>
      </c>
      <c r="L13" s="10">
        <v>7368</v>
      </c>
      <c r="M13" s="10">
        <v>7805</v>
      </c>
      <c r="N13" s="10">
        <v>6341</v>
      </c>
      <c r="O13" s="10">
        <v>7812</v>
      </c>
      <c r="P13" s="9"/>
      <c r="Q13" s="9"/>
      <c r="R13" s="9"/>
      <c r="S13" s="9"/>
      <c r="T13" s="9"/>
      <c r="U13" s="9"/>
      <c r="V13" s="9"/>
      <c r="W13" s="9"/>
      <c r="X13" s="3"/>
      <c r="Y13" s="3"/>
      <c r="Z13" s="3"/>
      <c r="AA13" s="3"/>
      <c r="AB13" s="3"/>
      <c r="AC13" s="3"/>
      <c r="AD13" s="3"/>
      <c r="AE13" s="3"/>
    </row>
    <row r="14" spans="1:37" ht="15.75" customHeight="1" x14ac:dyDescent="0.4">
      <c r="A14" s="2" t="s">
        <v>7</v>
      </c>
      <c r="B14" s="8"/>
      <c r="C14" s="8"/>
      <c r="D14" s="8"/>
      <c r="E14" s="20"/>
      <c r="F14" s="20"/>
      <c r="G14" s="20"/>
      <c r="H14" s="9"/>
      <c r="I14" s="10">
        <v>7131</v>
      </c>
      <c r="J14" s="10">
        <v>4920</v>
      </c>
      <c r="K14" s="10">
        <v>4086</v>
      </c>
      <c r="L14" s="10">
        <v>4211</v>
      </c>
      <c r="M14" s="10">
        <v>4602</v>
      </c>
      <c r="N14" s="10">
        <v>3678</v>
      </c>
      <c r="O14" s="10">
        <v>4780</v>
      </c>
      <c r="P14" s="9"/>
      <c r="Q14" s="9"/>
      <c r="R14" s="9"/>
      <c r="S14" s="9"/>
      <c r="T14" s="9"/>
      <c r="U14" s="9"/>
      <c r="V14" s="9"/>
      <c r="W14" s="9"/>
      <c r="X14" s="3"/>
      <c r="Y14" s="3"/>
      <c r="Z14" s="3"/>
      <c r="AA14" s="3"/>
      <c r="AB14" s="3"/>
      <c r="AC14" s="3"/>
      <c r="AD14" s="3"/>
      <c r="AE14" s="3"/>
    </row>
    <row r="15" spans="1:37" ht="15.75" customHeight="1" x14ac:dyDescent="0.4">
      <c r="A15" s="1" t="s">
        <v>8</v>
      </c>
      <c r="B15" s="32">
        <v>1319304</v>
      </c>
      <c r="C15" s="5">
        <v>55587</v>
      </c>
      <c r="D15" s="5">
        <v>32912</v>
      </c>
      <c r="E15" s="19">
        <v>42.5</v>
      </c>
      <c r="F15" s="19">
        <v>25.1</v>
      </c>
      <c r="G15" s="19"/>
      <c r="H15" s="10"/>
      <c r="I15" s="6">
        <v>139176</v>
      </c>
      <c r="J15" s="6">
        <v>85858</v>
      </c>
      <c r="K15" s="6">
        <v>93715</v>
      </c>
      <c r="L15" s="6">
        <v>223664</v>
      </c>
      <c r="M15" s="6">
        <v>78685</v>
      </c>
      <c r="N15" s="6">
        <v>133477</v>
      </c>
      <c r="O15" s="6">
        <v>115309</v>
      </c>
      <c r="P15" s="6">
        <v>109448</v>
      </c>
      <c r="Q15" s="6">
        <v>113374</v>
      </c>
      <c r="R15" s="6">
        <v>132694</v>
      </c>
      <c r="S15" s="6">
        <v>93904</v>
      </c>
      <c r="T15" s="7"/>
      <c r="U15" s="7"/>
      <c r="V15" s="7"/>
      <c r="W15" s="7"/>
      <c r="X15" s="3"/>
      <c r="Y15" s="4">
        <f>SUM(I15:W15)</f>
        <v>1319304</v>
      </c>
      <c r="Z15" s="4">
        <f>SUM(I16:W16)</f>
        <v>55587</v>
      </c>
      <c r="AA15" s="4">
        <f>SUM(I17:W17)</f>
        <v>32912</v>
      </c>
      <c r="AB15" s="4"/>
      <c r="AC15" s="4">
        <f>Y15-B15</f>
        <v>0</v>
      </c>
      <c r="AD15" s="4">
        <f>Z15-C15</f>
        <v>0</v>
      </c>
      <c r="AE15" s="4">
        <f>AA15-D15</f>
        <v>0</v>
      </c>
      <c r="AG15" s="18">
        <f>C15/B15*1000</f>
        <v>42.133579523748892</v>
      </c>
      <c r="AH15" s="18">
        <f>D15/B15*1000</f>
        <v>24.94648693553571</v>
      </c>
      <c r="AJ15" s="18">
        <f>AG15-E15</f>
        <v>-0.36642047625110763</v>
      </c>
      <c r="AK15" s="18">
        <f>AH15-F15</f>
        <v>-0.15351306446429192</v>
      </c>
    </row>
    <row r="16" spans="1:37" ht="15.75" customHeight="1" x14ac:dyDescent="0.4">
      <c r="A16" s="2" t="s">
        <v>9</v>
      </c>
      <c r="B16" s="8"/>
      <c r="C16" s="8"/>
      <c r="D16" s="8"/>
      <c r="E16" s="20"/>
      <c r="F16" s="20"/>
      <c r="G16" s="20"/>
      <c r="H16" s="9"/>
      <c r="I16" s="10">
        <v>6517</v>
      </c>
      <c r="J16" s="10">
        <v>4645</v>
      </c>
      <c r="K16" s="10">
        <v>4854</v>
      </c>
      <c r="L16" s="10">
        <v>6442</v>
      </c>
      <c r="M16" s="10">
        <v>4007</v>
      </c>
      <c r="N16" s="10">
        <v>6116</v>
      </c>
      <c r="O16" s="10">
        <v>4581</v>
      </c>
      <c r="P16" s="10">
        <v>4842</v>
      </c>
      <c r="Q16" s="10">
        <v>5512</v>
      </c>
      <c r="R16" s="10">
        <v>4045</v>
      </c>
      <c r="S16" s="10">
        <v>4026</v>
      </c>
      <c r="T16" s="9"/>
      <c r="U16" s="9"/>
      <c r="V16" s="9"/>
      <c r="W16" s="9"/>
      <c r="X16" s="3"/>
      <c r="Y16" s="3"/>
      <c r="Z16" s="3"/>
      <c r="AA16" s="3"/>
      <c r="AB16" s="3"/>
      <c r="AC16" s="3"/>
      <c r="AD16" s="3"/>
      <c r="AE16" s="3"/>
    </row>
    <row r="17" spans="1:37" ht="15.75" customHeight="1" x14ac:dyDescent="0.4">
      <c r="A17" s="2" t="s">
        <v>10</v>
      </c>
      <c r="B17" s="8"/>
      <c r="C17" s="8"/>
      <c r="D17" s="8"/>
      <c r="E17" s="20"/>
      <c r="F17" s="20"/>
      <c r="G17" s="20"/>
      <c r="H17" s="9"/>
      <c r="I17" s="10">
        <v>3579</v>
      </c>
      <c r="J17" s="10">
        <v>2506</v>
      </c>
      <c r="K17" s="10">
        <v>2179</v>
      </c>
      <c r="L17" s="10">
        <v>4358</v>
      </c>
      <c r="M17" s="10">
        <v>2757</v>
      </c>
      <c r="N17" s="10">
        <v>3627</v>
      </c>
      <c r="O17" s="10">
        <v>2759</v>
      </c>
      <c r="P17" s="10">
        <v>3043</v>
      </c>
      <c r="Q17" s="10">
        <v>3094</v>
      </c>
      <c r="R17" s="10">
        <v>2687</v>
      </c>
      <c r="S17" s="10">
        <v>2323</v>
      </c>
      <c r="T17" s="9"/>
      <c r="U17" s="9"/>
      <c r="V17" s="9"/>
      <c r="W17" s="9"/>
      <c r="X17" s="3"/>
      <c r="Y17" s="3"/>
      <c r="Z17" s="3"/>
      <c r="AA17" s="3"/>
      <c r="AB17" s="3"/>
      <c r="AC17" s="3"/>
      <c r="AD17" s="3"/>
      <c r="AE17" s="3"/>
    </row>
    <row r="18" spans="1:37" ht="15.75" customHeight="1" x14ac:dyDescent="0.4">
      <c r="A18" s="1" t="s">
        <v>11</v>
      </c>
      <c r="B18" s="5">
        <v>2303602</v>
      </c>
      <c r="C18" s="5">
        <v>119051</v>
      </c>
      <c r="D18" s="5">
        <v>80316</v>
      </c>
      <c r="E18" s="19">
        <v>51.7</v>
      </c>
      <c r="F18" s="19">
        <v>34.9</v>
      </c>
      <c r="G18" s="19"/>
      <c r="H18" s="10"/>
      <c r="I18" s="6">
        <v>316471</v>
      </c>
      <c r="J18" s="6">
        <v>202645</v>
      </c>
      <c r="K18" s="6">
        <v>156193</v>
      </c>
      <c r="L18" s="6">
        <v>167709</v>
      </c>
      <c r="M18" s="6">
        <v>178831</v>
      </c>
      <c r="N18" s="6">
        <v>175635</v>
      </c>
      <c r="O18" s="6">
        <v>177029</v>
      </c>
      <c r="P18" s="6">
        <v>247202</v>
      </c>
      <c r="Q18" s="6">
        <v>167085</v>
      </c>
      <c r="R18" s="6">
        <v>147720</v>
      </c>
      <c r="S18" s="6">
        <v>201718</v>
      </c>
      <c r="T18" s="6">
        <v>165354</v>
      </c>
      <c r="U18" s="7"/>
      <c r="V18" s="7"/>
      <c r="W18" s="7"/>
      <c r="X18" s="3"/>
      <c r="Y18" s="4">
        <f>SUM(I18:W18)</f>
        <v>2303592</v>
      </c>
      <c r="Z18" s="4">
        <f>SUM(I19:W19)</f>
        <v>119051</v>
      </c>
      <c r="AA18" s="4">
        <f>SUM(I20:W20)</f>
        <v>80316</v>
      </c>
      <c r="AB18" s="4"/>
      <c r="AC18" s="4">
        <f>Y18-B18</f>
        <v>-10</v>
      </c>
      <c r="AD18" s="4">
        <f>Z18-C18</f>
        <v>0</v>
      </c>
      <c r="AE18" s="4">
        <f>AA18-D18</f>
        <v>0</v>
      </c>
      <c r="AG18" s="18">
        <f>C18/B18*1000</f>
        <v>51.680368396971346</v>
      </c>
      <c r="AH18" s="18">
        <f>D18/B18*1000</f>
        <v>34.865397755341419</v>
      </c>
      <c r="AJ18" s="18">
        <f>AG18-E18</f>
        <v>-1.9631603028656741E-2</v>
      </c>
      <c r="AK18" s="18">
        <f>AH18-F18</f>
        <v>-3.4602244658579195E-2</v>
      </c>
    </row>
    <row r="19" spans="1:37" ht="15.75" customHeight="1" x14ac:dyDescent="0.4">
      <c r="A19" s="2" t="s">
        <v>12</v>
      </c>
      <c r="B19" s="8"/>
      <c r="C19" s="8"/>
      <c r="D19" s="8"/>
      <c r="E19" s="20"/>
      <c r="F19" s="20"/>
      <c r="G19" s="20"/>
      <c r="H19" s="9"/>
      <c r="I19" s="10">
        <v>16194</v>
      </c>
      <c r="J19" s="10">
        <v>11165</v>
      </c>
      <c r="K19" s="10">
        <v>7607</v>
      </c>
      <c r="L19" s="10">
        <v>9058</v>
      </c>
      <c r="M19" s="10">
        <v>8392</v>
      </c>
      <c r="N19" s="10">
        <v>8986</v>
      </c>
      <c r="O19" s="10">
        <v>9962</v>
      </c>
      <c r="P19" s="10">
        <v>12946</v>
      </c>
      <c r="Q19" s="10">
        <v>9391</v>
      </c>
      <c r="R19" s="10">
        <v>7157</v>
      </c>
      <c r="S19" s="10">
        <v>10003</v>
      </c>
      <c r="T19" s="10">
        <v>8190</v>
      </c>
      <c r="U19" s="9"/>
      <c r="V19" s="9"/>
      <c r="W19" s="9"/>
      <c r="X19" s="3"/>
      <c r="Y19" s="3"/>
      <c r="Z19" s="3"/>
      <c r="AA19" s="3"/>
      <c r="AB19" s="3"/>
      <c r="AC19" s="3"/>
      <c r="AD19" s="3"/>
      <c r="AE19" s="3"/>
    </row>
    <row r="20" spans="1:37" ht="15.75" customHeight="1" x14ac:dyDescent="0.4">
      <c r="A20" s="2" t="s">
        <v>13</v>
      </c>
      <c r="B20" s="8"/>
      <c r="C20" s="8"/>
      <c r="D20" s="8"/>
      <c r="E20" s="20"/>
      <c r="F20" s="20"/>
      <c r="G20" s="20"/>
      <c r="H20" s="9"/>
      <c r="I20" s="10">
        <v>10113</v>
      </c>
      <c r="J20" s="10">
        <v>7263</v>
      </c>
      <c r="K20" s="10">
        <v>4135</v>
      </c>
      <c r="L20" s="10">
        <v>6721</v>
      </c>
      <c r="M20" s="10">
        <v>5307</v>
      </c>
      <c r="N20" s="10">
        <v>6880</v>
      </c>
      <c r="O20" s="10">
        <v>6556</v>
      </c>
      <c r="P20" s="10">
        <v>8970</v>
      </c>
      <c r="Q20" s="10">
        <v>6169</v>
      </c>
      <c r="R20" s="10">
        <v>5167</v>
      </c>
      <c r="S20" s="10">
        <v>7114</v>
      </c>
      <c r="T20" s="10">
        <v>5921</v>
      </c>
      <c r="U20" s="9"/>
      <c r="V20" s="9"/>
      <c r="W20" s="9"/>
      <c r="X20" s="3"/>
      <c r="Y20" s="3"/>
      <c r="Z20" s="3"/>
      <c r="AA20" s="3"/>
      <c r="AB20" s="3"/>
      <c r="AC20" s="3"/>
      <c r="AD20" s="3"/>
      <c r="AE20" s="3"/>
    </row>
    <row r="21" spans="1:37" ht="15.75" customHeight="1" x14ac:dyDescent="0.4">
      <c r="A21" s="1" t="s">
        <v>14</v>
      </c>
      <c r="B21" s="5">
        <v>1329494</v>
      </c>
      <c r="C21" s="5">
        <v>56147</v>
      </c>
      <c r="D21" s="5">
        <v>37791</v>
      </c>
      <c r="E21" s="19">
        <v>42.3</v>
      </c>
      <c r="F21" s="19">
        <v>28.4</v>
      </c>
      <c r="G21" s="19"/>
      <c r="H21" s="10"/>
      <c r="I21" s="6">
        <v>175317</v>
      </c>
      <c r="J21" s="6">
        <v>190585</v>
      </c>
      <c r="K21" s="6">
        <v>155345</v>
      </c>
      <c r="L21" s="6">
        <v>136470</v>
      </c>
      <c r="M21" s="6">
        <v>132499</v>
      </c>
      <c r="N21" s="6">
        <v>146879</v>
      </c>
      <c r="O21" s="6">
        <v>118178</v>
      </c>
      <c r="P21" s="6">
        <v>188656</v>
      </c>
      <c r="Q21" s="6">
        <v>85565</v>
      </c>
      <c r="R21" s="7"/>
      <c r="S21" s="7"/>
      <c r="T21" s="7"/>
      <c r="U21" s="7"/>
      <c r="V21" s="7"/>
      <c r="W21" s="7"/>
      <c r="X21" s="3"/>
      <c r="Y21" s="4">
        <f>SUM(I21:W21)</f>
        <v>1329494</v>
      </c>
      <c r="Z21" s="4">
        <f>SUM(I22:W22)</f>
        <v>56147</v>
      </c>
      <c r="AA21" s="4">
        <f>SUM(I23:W23)</f>
        <v>37791</v>
      </c>
      <c r="AB21" s="4"/>
      <c r="AC21" s="4">
        <f>Y21-B21</f>
        <v>0</v>
      </c>
      <c r="AD21" s="4">
        <f>Z21-C21</f>
        <v>0</v>
      </c>
      <c r="AE21" s="4">
        <f>AA21-D21</f>
        <v>0</v>
      </c>
      <c r="AG21" s="18">
        <f>C21/B21*1000</f>
        <v>42.231856631169457</v>
      </c>
      <c r="AH21" s="18">
        <f>D21/B21*1000</f>
        <v>28.425100075667888</v>
      </c>
      <c r="AJ21" s="18">
        <f>AG21-E21</f>
        <v>-6.8143368830540396E-2</v>
      </c>
      <c r="AK21" s="18">
        <f>AH21-F21</f>
        <v>2.5100075667889854E-2</v>
      </c>
    </row>
    <row r="22" spans="1:37" ht="15.75" customHeight="1" x14ac:dyDescent="0.4">
      <c r="A22" s="2" t="s">
        <v>15</v>
      </c>
      <c r="B22" s="8"/>
      <c r="C22" s="8"/>
      <c r="D22" s="8"/>
      <c r="E22" s="20"/>
      <c r="F22" s="20"/>
      <c r="G22" s="20"/>
      <c r="H22" s="9"/>
      <c r="I22" s="10">
        <v>6603</v>
      </c>
      <c r="J22" s="10">
        <v>7755</v>
      </c>
      <c r="K22" s="10">
        <v>5437</v>
      </c>
      <c r="L22" s="10">
        <v>5796</v>
      </c>
      <c r="M22" s="10">
        <v>5300</v>
      </c>
      <c r="N22" s="10">
        <v>7146</v>
      </c>
      <c r="O22" s="10">
        <v>5516</v>
      </c>
      <c r="P22" s="10">
        <v>8175</v>
      </c>
      <c r="Q22" s="10">
        <v>4419</v>
      </c>
      <c r="R22" s="9"/>
      <c r="S22" s="9"/>
      <c r="T22" s="9"/>
      <c r="U22" s="9"/>
      <c r="V22" s="9"/>
      <c r="W22" s="9"/>
      <c r="X22" s="3"/>
      <c r="Y22" s="3"/>
      <c r="Z22" s="3"/>
      <c r="AA22" s="3"/>
      <c r="AB22" s="3"/>
      <c r="AC22" s="3"/>
      <c r="AD22" s="3"/>
      <c r="AE22" s="3"/>
    </row>
    <row r="23" spans="1:37" ht="15.75" customHeight="1" x14ac:dyDescent="0.4">
      <c r="A23" s="2" t="s">
        <v>16</v>
      </c>
      <c r="B23" s="8"/>
      <c r="C23" s="8"/>
      <c r="D23" s="8"/>
      <c r="E23" s="20"/>
      <c r="F23" s="20"/>
      <c r="G23" s="20"/>
      <c r="H23" s="9"/>
      <c r="I23" s="10">
        <v>4780</v>
      </c>
      <c r="J23" s="10">
        <v>5060</v>
      </c>
      <c r="K23" s="10">
        <v>4297</v>
      </c>
      <c r="L23" s="10">
        <v>3643</v>
      </c>
      <c r="M23" s="10">
        <v>3979</v>
      </c>
      <c r="N23" s="10">
        <v>4717</v>
      </c>
      <c r="O23" s="10">
        <v>3652</v>
      </c>
      <c r="P23" s="10">
        <v>4699</v>
      </c>
      <c r="Q23" s="10">
        <v>2964</v>
      </c>
      <c r="R23" s="9"/>
      <c r="S23" s="9"/>
      <c r="T23" s="9"/>
      <c r="U23" s="9"/>
      <c r="V23" s="9"/>
      <c r="W23" s="9"/>
      <c r="X23" s="3"/>
      <c r="Y23" s="3"/>
      <c r="Z23" s="3"/>
      <c r="AA23" s="3"/>
      <c r="AB23" s="3"/>
      <c r="AC23" s="3"/>
      <c r="AD23" s="3"/>
      <c r="AE23" s="3"/>
    </row>
    <row r="24" spans="1:37" ht="15.75" customHeight="1" x14ac:dyDescent="0.4">
      <c r="A24" s="1" t="s">
        <v>17</v>
      </c>
      <c r="B24" s="5">
        <v>2995133</v>
      </c>
      <c r="C24" s="5">
        <v>157321</v>
      </c>
      <c r="D24" s="5">
        <v>95868</v>
      </c>
      <c r="E24" s="19">
        <v>52.5</v>
      </c>
      <c r="F24" s="19">
        <v>32.4</v>
      </c>
      <c r="G24" s="19"/>
      <c r="H24" s="10"/>
      <c r="I24" s="6">
        <v>422562</v>
      </c>
      <c r="J24" s="6">
        <v>250313</v>
      </c>
      <c r="K24" s="6">
        <v>266861</v>
      </c>
      <c r="L24" s="6">
        <v>233731</v>
      </c>
      <c r="M24" s="6">
        <v>246842</v>
      </c>
      <c r="N24" s="6">
        <v>196626</v>
      </c>
      <c r="O24" s="6">
        <v>248629</v>
      </c>
      <c r="P24" s="6">
        <v>203650</v>
      </c>
      <c r="Q24" s="6">
        <v>204034</v>
      </c>
      <c r="R24" s="6">
        <v>268606</v>
      </c>
      <c r="S24" s="6">
        <v>255947</v>
      </c>
      <c r="T24" s="6">
        <v>197332</v>
      </c>
      <c r="U24" s="7"/>
      <c r="V24" s="7"/>
      <c r="W24" s="7"/>
      <c r="X24" s="3"/>
      <c r="Y24" s="4">
        <f>SUM(I24:W24)</f>
        <v>2995133</v>
      </c>
      <c r="Z24" s="4">
        <f>SUM(I25:W25)</f>
        <v>157321</v>
      </c>
      <c r="AA24" s="4">
        <f>SUM(I26:W26)</f>
        <v>95868</v>
      </c>
      <c r="AB24" s="4"/>
      <c r="AC24" s="4">
        <f>Y24-B24</f>
        <v>0</v>
      </c>
      <c r="AD24" s="4">
        <f>Z24-C24</f>
        <v>0</v>
      </c>
      <c r="AE24" s="4">
        <f>AA24-D24</f>
        <v>0</v>
      </c>
      <c r="AG24" s="18">
        <f>C24/B24*1000</f>
        <v>52.525547279536504</v>
      </c>
      <c r="AH24" s="18">
        <f>D24/B24*1000</f>
        <v>32.0079275277592</v>
      </c>
      <c r="AJ24" s="18">
        <f>AG24-E24</f>
        <v>2.5547279536503709E-2</v>
      </c>
      <c r="AK24" s="18">
        <f>AH24-F24</f>
        <v>-0.39207247224079822</v>
      </c>
    </row>
    <row r="25" spans="1:37" ht="15.75" customHeight="1" x14ac:dyDescent="0.4">
      <c r="A25" s="2" t="s">
        <v>18</v>
      </c>
      <c r="B25" s="8"/>
      <c r="C25" s="8"/>
      <c r="D25" s="8"/>
      <c r="E25" s="20"/>
      <c r="F25" s="20"/>
      <c r="G25" s="20"/>
      <c r="H25" s="9"/>
      <c r="I25" s="10">
        <v>19762</v>
      </c>
      <c r="J25" s="10">
        <v>11841</v>
      </c>
      <c r="K25" s="10">
        <v>14461</v>
      </c>
      <c r="L25" s="10">
        <v>12892</v>
      </c>
      <c r="M25" s="10">
        <v>12976</v>
      </c>
      <c r="N25" s="10">
        <v>9702</v>
      </c>
      <c r="O25" s="10">
        <v>13278</v>
      </c>
      <c r="P25" s="10">
        <v>11079</v>
      </c>
      <c r="Q25" s="10">
        <v>11047</v>
      </c>
      <c r="R25" s="10">
        <v>14518</v>
      </c>
      <c r="S25" s="10">
        <v>14687</v>
      </c>
      <c r="T25" s="10">
        <v>11078</v>
      </c>
      <c r="U25" s="9"/>
      <c r="V25" s="9"/>
      <c r="W25" s="9"/>
      <c r="X25" s="3"/>
      <c r="Y25" s="3"/>
      <c r="Z25" s="3"/>
      <c r="AA25" s="3"/>
      <c r="AB25" s="3"/>
      <c r="AC25" s="3"/>
      <c r="AD25" s="3"/>
      <c r="AE25" s="3"/>
    </row>
    <row r="26" spans="1:37" ht="15.75" customHeight="1" x14ac:dyDescent="0.4">
      <c r="A26" s="2" t="s">
        <v>19</v>
      </c>
      <c r="B26" s="8"/>
      <c r="C26" s="8"/>
      <c r="D26" s="8"/>
      <c r="E26" s="20"/>
      <c r="F26" s="20"/>
      <c r="G26" s="20"/>
      <c r="H26" s="9"/>
      <c r="I26" s="10">
        <v>13294</v>
      </c>
      <c r="J26" s="10">
        <v>8201</v>
      </c>
      <c r="K26" s="10">
        <v>8387</v>
      </c>
      <c r="L26" s="10">
        <v>6980</v>
      </c>
      <c r="M26" s="10">
        <v>7585</v>
      </c>
      <c r="N26" s="10">
        <v>6575</v>
      </c>
      <c r="O26" s="10">
        <v>7974</v>
      </c>
      <c r="P26" s="10">
        <v>7192</v>
      </c>
      <c r="Q26" s="10">
        <v>6399</v>
      </c>
      <c r="R26" s="10">
        <v>9380</v>
      </c>
      <c r="S26" s="10">
        <v>7141</v>
      </c>
      <c r="T26" s="10">
        <v>6760</v>
      </c>
      <c r="U26" s="9"/>
      <c r="V26" s="9"/>
      <c r="W26" s="9"/>
      <c r="X26" s="3"/>
      <c r="Y26" s="3"/>
      <c r="Z26" s="3"/>
      <c r="AA26" s="3"/>
      <c r="AB26" s="3"/>
      <c r="AC26" s="3"/>
      <c r="AD26" s="3"/>
      <c r="AE26" s="3"/>
    </row>
    <row r="27" spans="1:37" ht="15.75" customHeight="1" x14ac:dyDescent="0.4">
      <c r="A27" s="1" t="s">
        <v>20</v>
      </c>
      <c r="B27" s="5">
        <v>1554752</v>
      </c>
      <c r="C27" s="5">
        <v>54319</v>
      </c>
      <c r="D27" s="5">
        <v>35604</v>
      </c>
      <c r="E27" s="19">
        <v>34.9</v>
      </c>
      <c r="F27" s="19">
        <v>22.9</v>
      </c>
      <c r="G27" s="19"/>
      <c r="H27" s="10"/>
      <c r="I27" s="6">
        <v>216415</v>
      </c>
      <c r="J27" s="6">
        <v>236669</v>
      </c>
      <c r="K27" s="6">
        <v>206697</v>
      </c>
      <c r="L27" s="6">
        <v>216705</v>
      </c>
      <c r="M27" s="6">
        <v>242833</v>
      </c>
      <c r="N27" s="6">
        <v>190692</v>
      </c>
      <c r="O27" s="6">
        <v>244741</v>
      </c>
      <c r="P27" s="7"/>
      <c r="Q27" s="7"/>
      <c r="R27" s="7"/>
      <c r="S27" s="7"/>
      <c r="T27" s="7"/>
      <c r="U27" s="7"/>
      <c r="V27" s="7"/>
      <c r="W27" s="7"/>
      <c r="X27" s="3"/>
      <c r="Y27" s="4">
        <f>SUM(I27:W27)</f>
        <v>1554752</v>
      </c>
      <c r="Z27" s="4">
        <f>SUM(I28:W28)</f>
        <v>54319</v>
      </c>
      <c r="AA27" s="4">
        <f>SUM(I29:W29)</f>
        <v>35604</v>
      </c>
      <c r="AB27" s="4"/>
      <c r="AC27" s="4">
        <f>Y27-B27</f>
        <v>0</v>
      </c>
      <c r="AD27" s="4">
        <f>Z27-C27</f>
        <v>0</v>
      </c>
      <c r="AE27" s="4">
        <f>AA27-D27</f>
        <v>0</v>
      </c>
      <c r="AG27" s="18">
        <f>C27/B27*1000</f>
        <v>34.937404807969379</v>
      </c>
      <c r="AH27" s="18">
        <f>D27/B27*1000</f>
        <v>22.900115259539785</v>
      </c>
      <c r="AJ27" s="18">
        <f>AG27-E27</f>
        <v>3.7404807969380727E-2</v>
      </c>
      <c r="AK27" s="18">
        <f>AH27-F27</f>
        <v>1.1525953978619441E-4</v>
      </c>
    </row>
    <row r="28" spans="1:37" ht="15.75" customHeight="1" x14ac:dyDescent="0.4">
      <c r="A28" s="2" t="s">
        <v>21</v>
      </c>
      <c r="B28" s="8"/>
      <c r="C28" s="8"/>
      <c r="D28" s="8"/>
      <c r="E28" s="20"/>
      <c r="F28" s="20"/>
      <c r="G28" s="20"/>
      <c r="H28" s="9"/>
      <c r="I28" s="10">
        <v>7637</v>
      </c>
      <c r="J28" s="10">
        <v>7995</v>
      </c>
      <c r="K28" s="10">
        <v>6522</v>
      </c>
      <c r="L28" s="10">
        <v>7577</v>
      </c>
      <c r="M28" s="10">
        <v>9454</v>
      </c>
      <c r="N28" s="10">
        <v>7043</v>
      </c>
      <c r="O28" s="10">
        <v>8091</v>
      </c>
      <c r="P28" s="9"/>
      <c r="Q28" s="9"/>
      <c r="R28" s="9"/>
      <c r="S28" s="9"/>
      <c r="T28" s="9"/>
      <c r="U28" s="9"/>
      <c r="V28" s="9"/>
      <c r="W28" s="9"/>
      <c r="X28" s="3"/>
      <c r="Y28" s="3"/>
      <c r="Z28" s="3"/>
      <c r="AA28" s="3"/>
      <c r="AB28" s="3"/>
      <c r="AC28" s="3"/>
      <c r="AD28" s="3"/>
      <c r="AE28" s="3"/>
    </row>
    <row r="29" spans="1:37" ht="15.75" customHeight="1" x14ac:dyDescent="0.4">
      <c r="A29" s="2" t="s">
        <v>22</v>
      </c>
      <c r="B29" s="8"/>
      <c r="C29" s="8"/>
      <c r="D29" s="8"/>
      <c r="E29" s="20"/>
      <c r="F29" s="20"/>
      <c r="G29" s="20"/>
      <c r="H29" s="9"/>
      <c r="I29" s="10">
        <v>4892</v>
      </c>
      <c r="J29" s="10">
        <v>5018</v>
      </c>
      <c r="K29" s="10">
        <v>4677</v>
      </c>
      <c r="L29" s="10">
        <v>5444</v>
      </c>
      <c r="M29" s="10">
        <v>6208</v>
      </c>
      <c r="N29" s="10">
        <v>4211</v>
      </c>
      <c r="O29" s="10">
        <v>5154</v>
      </c>
      <c r="P29" s="9"/>
      <c r="Q29" s="9"/>
      <c r="R29" s="9"/>
      <c r="S29" s="9"/>
      <c r="T29" s="9"/>
      <c r="U29" s="9"/>
      <c r="V29" s="9"/>
      <c r="W29" s="9"/>
      <c r="X29" s="3"/>
      <c r="Y29" s="3"/>
      <c r="Z29" s="3"/>
      <c r="AA29" s="3"/>
      <c r="AB29" s="3"/>
      <c r="AC29" s="3"/>
      <c r="AD29" s="3"/>
      <c r="AE29" s="3"/>
    </row>
    <row r="30" spans="1:37" ht="15.75" customHeight="1" x14ac:dyDescent="0.4">
      <c r="A30" s="1" t="s">
        <v>23</v>
      </c>
      <c r="B30" s="5">
        <v>1712274</v>
      </c>
      <c r="C30" s="5">
        <v>75862</v>
      </c>
      <c r="D30" s="5">
        <v>45253</v>
      </c>
      <c r="E30" s="19">
        <v>44.3</v>
      </c>
      <c r="F30" s="19">
        <v>26.4</v>
      </c>
      <c r="G30" s="19"/>
      <c r="H30" s="10"/>
      <c r="I30" s="6">
        <v>211203</v>
      </c>
      <c r="J30" s="6">
        <v>212253</v>
      </c>
      <c r="K30" s="6">
        <v>181295</v>
      </c>
      <c r="L30" s="6">
        <v>179564</v>
      </c>
      <c r="M30" s="6">
        <v>128389</v>
      </c>
      <c r="N30" s="6">
        <v>227222</v>
      </c>
      <c r="O30" s="6">
        <v>188418</v>
      </c>
      <c r="P30" s="6">
        <v>148758</v>
      </c>
      <c r="Q30" s="6">
        <v>235172</v>
      </c>
      <c r="R30" s="7"/>
      <c r="S30" s="7"/>
      <c r="T30" s="7"/>
      <c r="U30" s="7"/>
      <c r="V30" s="7"/>
      <c r="W30" s="7"/>
      <c r="X30" s="3"/>
      <c r="Y30" s="4">
        <f>SUM(I30:W30)</f>
        <v>1712274</v>
      </c>
      <c r="Z30" s="4">
        <f>SUM(I31:W31)</f>
        <v>75862</v>
      </c>
      <c r="AA30" s="4">
        <f>SUM(I32:W32)</f>
        <v>45253</v>
      </c>
      <c r="AB30" s="4"/>
      <c r="AC30" s="4">
        <f>Y30-B30</f>
        <v>0</v>
      </c>
      <c r="AD30" s="4">
        <f>Z30-C30</f>
        <v>0</v>
      </c>
      <c r="AE30" s="4">
        <f>AA30-D30</f>
        <v>0</v>
      </c>
      <c r="AG30" s="18">
        <f>C30/B30*1000</f>
        <v>44.304825045524254</v>
      </c>
      <c r="AH30" s="18">
        <f>D30/B30*1000</f>
        <v>26.428597292255795</v>
      </c>
      <c r="AJ30" s="18">
        <f>AG30-E30</f>
        <v>4.8250455242566659E-3</v>
      </c>
      <c r="AK30" s="18">
        <f>AH30-F30</f>
        <v>2.8597292255795992E-2</v>
      </c>
    </row>
    <row r="31" spans="1:37" ht="15.75" customHeight="1" x14ac:dyDescent="0.4">
      <c r="A31" s="2" t="s">
        <v>24</v>
      </c>
      <c r="B31" s="8"/>
      <c r="C31" s="8"/>
      <c r="D31" s="8"/>
      <c r="E31" s="20"/>
      <c r="F31" s="20"/>
      <c r="G31" s="20"/>
      <c r="H31" s="9"/>
      <c r="I31" s="10">
        <v>8412</v>
      </c>
      <c r="J31" s="10">
        <v>9372</v>
      </c>
      <c r="K31" s="10">
        <v>8518</v>
      </c>
      <c r="L31" s="10">
        <v>8443</v>
      </c>
      <c r="M31" s="10">
        <v>6926</v>
      </c>
      <c r="N31" s="10">
        <v>8522</v>
      </c>
      <c r="O31" s="10">
        <v>8444</v>
      </c>
      <c r="P31" s="10">
        <v>8756</v>
      </c>
      <c r="Q31" s="10">
        <v>8469</v>
      </c>
      <c r="R31" s="9"/>
      <c r="S31" s="9"/>
      <c r="T31" s="9"/>
      <c r="U31" s="9"/>
      <c r="V31" s="9"/>
      <c r="W31" s="9"/>
      <c r="X31" s="3"/>
      <c r="Y31" s="3"/>
      <c r="Z31" s="3"/>
      <c r="AA31" s="3"/>
      <c r="AB31" s="3"/>
      <c r="AC31" s="3"/>
      <c r="AD31" s="3"/>
      <c r="AE31" s="3"/>
    </row>
    <row r="32" spans="1:37" ht="15.75" customHeight="1" x14ac:dyDescent="0.4">
      <c r="A32" s="2" t="s">
        <v>25</v>
      </c>
      <c r="B32" s="8"/>
      <c r="C32" s="8"/>
      <c r="D32" s="8"/>
      <c r="E32" s="20"/>
      <c r="F32" s="20"/>
      <c r="G32" s="20"/>
      <c r="H32" s="9"/>
      <c r="I32" s="10">
        <v>4989</v>
      </c>
      <c r="J32" s="10">
        <v>4733</v>
      </c>
      <c r="K32" s="10">
        <v>4748</v>
      </c>
      <c r="L32" s="10">
        <v>4568</v>
      </c>
      <c r="M32" s="10">
        <v>3716</v>
      </c>
      <c r="N32" s="10">
        <v>5646</v>
      </c>
      <c r="O32" s="10">
        <v>4708</v>
      </c>
      <c r="P32" s="10">
        <v>5739</v>
      </c>
      <c r="Q32" s="10">
        <v>6406</v>
      </c>
      <c r="R32" s="9"/>
      <c r="S32" s="9"/>
      <c r="T32" s="9"/>
      <c r="U32" s="9"/>
      <c r="V32" s="9"/>
      <c r="W32" s="9"/>
      <c r="X32" s="3"/>
      <c r="Y32" s="3"/>
      <c r="Z32" s="3"/>
      <c r="AA32" s="3"/>
      <c r="AB32" s="3"/>
      <c r="AC32" s="3"/>
      <c r="AD32" s="3"/>
      <c r="AE32" s="3"/>
    </row>
    <row r="33" spans="1:37" ht="15.75" customHeight="1" x14ac:dyDescent="0.4">
      <c r="A33" s="1" t="s">
        <v>26</v>
      </c>
      <c r="B33" s="5">
        <v>1326468</v>
      </c>
      <c r="C33" s="5">
        <v>69060</v>
      </c>
      <c r="D33" s="5">
        <v>33339</v>
      </c>
      <c r="E33" s="19">
        <v>52.1</v>
      </c>
      <c r="F33" s="30">
        <v>25.1</v>
      </c>
      <c r="G33" s="30"/>
      <c r="H33" s="10"/>
      <c r="I33" s="6">
        <v>145332</v>
      </c>
      <c r="J33" s="6">
        <v>93080</v>
      </c>
      <c r="K33" s="6">
        <v>192129</v>
      </c>
      <c r="L33" s="6">
        <v>95200</v>
      </c>
      <c r="M33" s="6">
        <v>116482</v>
      </c>
      <c r="N33" s="6">
        <v>78572</v>
      </c>
      <c r="O33" s="6">
        <v>122851</v>
      </c>
      <c r="P33" s="6">
        <v>162724</v>
      </c>
      <c r="Q33" s="6">
        <v>126588</v>
      </c>
      <c r="R33" s="6">
        <v>72677</v>
      </c>
      <c r="S33" s="6">
        <v>120833</v>
      </c>
      <c r="T33" s="7"/>
      <c r="U33" s="7"/>
      <c r="V33" s="7"/>
      <c r="W33" s="7"/>
      <c r="X33" s="3"/>
      <c r="Y33" s="4">
        <f>SUM(I33:W33)</f>
        <v>1326468</v>
      </c>
      <c r="Z33" s="4">
        <f>SUM(I34:W34)</f>
        <v>69060</v>
      </c>
      <c r="AA33" s="4">
        <f>SUM(I35:W35)</f>
        <v>33339</v>
      </c>
      <c r="AB33" s="4"/>
      <c r="AC33" s="4">
        <f>Y33-B33</f>
        <v>0</v>
      </c>
      <c r="AD33" s="4">
        <f>Z33-C33</f>
        <v>0</v>
      </c>
      <c r="AE33" s="4">
        <f>AA33-D33</f>
        <v>0</v>
      </c>
      <c r="AG33" s="18">
        <f>C33/B33*1000</f>
        <v>52.063072761649728</v>
      </c>
      <c r="AH33" s="18">
        <f>D33/B33*1000</f>
        <v>25.133663231981473</v>
      </c>
      <c r="AJ33" s="18">
        <f>AG33-E33</f>
        <v>-3.6927238350273228E-2</v>
      </c>
      <c r="AK33" s="18">
        <f>AH33-F33</f>
        <v>3.3663231981471142E-2</v>
      </c>
    </row>
    <row r="34" spans="1:37" ht="15.75" customHeight="1" x14ac:dyDescent="0.4">
      <c r="A34" s="2" t="s">
        <v>27</v>
      </c>
      <c r="B34" s="8"/>
      <c r="C34" s="8"/>
      <c r="D34" s="8"/>
      <c r="E34" s="20"/>
      <c r="F34" s="20"/>
      <c r="G34" s="20"/>
      <c r="H34" s="9"/>
      <c r="I34" s="10">
        <v>5767</v>
      </c>
      <c r="J34" s="10">
        <v>5268</v>
      </c>
      <c r="K34" s="10">
        <v>9746</v>
      </c>
      <c r="L34" s="10">
        <v>5081</v>
      </c>
      <c r="M34" s="10">
        <v>5962</v>
      </c>
      <c r="N34" s="10">
        <v>4488</v>
      </c>
      <c r="O34" s="10">
        <v>7139</v>
      </c>
      <c r="P34" s="10">
        <v>9802</v>
      </c>
      <c r="Q34" s="10">
        <v>5991</v>
      </c>
      <c r="R34" s="10">
        <v>3416</v>
      </c>
      <c r="S34" s="10">
        <v>6400</v>
      </c>
      <c r="T34" s="9"/>
      <c r="U34" s="9"/>
      <c r="V34" s="9"/>
      <c r="W34" s="9"/>
      <c r="X34" s="3"/>
      <c r="Y34" s="3"/>
      <c r="Z34" s="3"/>
      <c r="AA34" s="3"/>
      <c r="AB34" s="3"/>
      <c r="AC34" s="3"/>
      <c r="AD34" s="3"/>
      <c r="AE34" s="3"/>
    </row>
    <row r="35" spans="1:37" ht="15.75" customHeight="1" x14ac:dyDescent="0.4">
      <c r="A35" s="2" t="s">
        <v>28</v>
      </c>
      <c r="B35" s="8"/>
      <c r="C35" s="8"/>
      <c r="D35" s="8"/>
      <c r="E35" s="20"/>
      <c r="F35" s="20"/>
      <c r="G35" s="20"/>
      <c r="H35" s="9"/>
      <c r="I35" s="10">
        <v>2978</v>
      </c>
      <c r="J35" s="10">
        <v>2636</v>
      </c>
      <c r="K35" s="10">
        <v>4618</v>
      </c>
      <c r="L35" s="10">
        <v>2494</v>
      </c>
      <c r="M35" s="10">
        <v>2688</v>
      </c>
      <c r="N35" s="10">
        <v>2098</v>
      </c>
      <c r="O35" s="10">
        <v>3930</v>
      </c>
      <c r="P35" s="10">
        <v>3843</v>
      </c>
      <c r="Q35" s="10">
        <v>3117</v>
      </c>
      <c r="R35" s="10">
        <v>1988</v>
      </c>
      <c r="S35" s="10">
        <v>2949</v>
      </c>
      <c r="T35" s="9"/>
      <c r="U35" s="9"/>
      <c r="V35" s="9"/>
      <c r="W35" s="9"/>
      <c r="X35" s="3"/>
      <c r="Y35" s="3"/>
      <c r="Z35" s="3"/>
      <c r="AA35" s="3"/>
      <c r="AB35" s="3"/>
      <c r="AC35" s="3"/>
      <c r="AD35" s="3"/>
      <c r="AE35" s="3"/>
    </row>
    <row r="36" spans="1:37" ht="15.75" customHeight="1" x14ac:dyDescent="0.4">
      <c r="A36" s="1" t="s">
        <v>29</v>
      </c>
      <c r="B36" s="5">
        <v>1337913</v>
      </c>
      <c r="C36" s="5">
        <v>81236</v>
      </c>
      <c r="D36" s="5">
        <v>49862</v>
      </c>
      <c r="E36" s="19">
        <v>60.7</v>
      </c>
      <c r="F36" s="19">
        <v>37.299999999999997</v>
      </c>
      <c r="G36" s="19"/>
      <c r="H36" s="10"/>
      <c r="I36" s="6">
        <v>461718</v>
      </c>
      <c r="J36" s="6">
        <v>177500</v>
      </c>
      <c r="K36" s="6">
        <v>173489</v>
      </c>
      <c r="L36" s="6">
        <v>152299</v>
      </c>
      <c r="M36" s="6">
        <v>372907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3"/>
      <c r="Y36" s="4">
        <f>SUM(I36:W36)</f>
        <v>1337913</v>
      </c>
      <c r="Z36" s="4">
        <f>SUM(I37:W37)</f>
        <v>81236</v>
      </c>
      <c r="AA36" s="4">
        <f>SUM(I38:W38)</f>
        <v>49862</v>
      </c>
      <c r="AB36" s="4"/>
      <c r="AC36" s="4">
        <f>Y36-B36</f>
        <v>0</v>
      </c>
      <c r="AD36" s="4">
        <f>Z36-C36</f>
        <v>0</v>
      </c>
      <c r="AE36" s="4">
        <f>AA36-D36</f>
        <v>0</v>
      </c>
      <c r="AG36" s="18">
        <f>C36/B36*1000</f>
        <v>60.71844731309136</v>
      </c>
      <c r="AH36" s="18">
        <f>D36/B36*1000</f>
        <v>37.268492046941773</v>
      </c>
      <c r="AJ36" s="18">
        <f>AG36-E36</f>
        <v>1.8447313091357387E-2</v>
      </c>
      <c r="AK36" s="18">
        <f>AH36-F36</f>
        <v>-3.1507953058223848E-2</v>
      </c>
    </row>
    <row r="37" spans="1:37" ht="15.75" customHeight="1" x14ac:dyDescent="0.4">
      <c r="A37" s="2" t="s">
        <v>30</v>
      </c>
      <c r="B37" s="8"/>
      <c r="C37" s="8"/>
      <c r="D37" s="8"/>
      <c r="E37" s="20"/>
      <c r="F37" s="20"/>
      <c r="G37" s="20"/>
      <c r="H37" s="9"/>
      <c r="I37" s="10">
        <v>28426</v>
      </c>
      <c r="J37" s="10">
        <v>10683</v>
      </c>
      <c r="K37" s="10">
        <v>10052</v>
      </c>
      <c r="L37" s="10">
        <v>10408</v>
      </c>
      <c r="M37" s="10">
        <v>21667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3"/>
      <c r="Y37" s="3"/>
      <c r="Z37" s="3"/>
      <c r="AA37" s="3"/>
      <c r="AB37" s="3"/>
      <c r="AC37" s="3"/>
      <c r="AD37" s="3"/>
      <c r="AE37" s="3"/>
    </row>
    <row r="38" spans="1:37" ht="15.75" customHeight="1" x14ac:dyDescent="0.4">
      <c r="A38" s="2" t="s">
        <v>31</v>
      </c>
      <c r="B38" s="8"/>
      <c r="C38" s="8"/>
      <c r="D38" s="8"/>
      <c r="E38" s="20"/>
      <c r="F38" s="20"/>
      <c r="G38" s="20"/>
      <c r="H38" s="9"/>
      <c r="I38" s="10">
        <v>15535</v>
      </c>
      <c r="J38" s="10">
        <v>7915</v>
      </c>
      <c r="K38" s="10">
        <v>5912</v>
      </c>
      <c r="L38" s="10">
        <v>6732</v>
      </c>
      <c r="M38" s="10">
        <v>13768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3"/>
      <c r="Y38" s="3"/>
      <c r="Z38" s="3"/>
      <c r="AA38" s="3"/>
      <c r="AB38" s="3"/>
      <c r="AC38" s="3"/>
      <c r="AD38" s="3"/>
      <c r="AE38" s="3"/>
    </row>
    <row r="39" spans="1:37" ht="15.75" customHeight="1" x14ac:dyDescent="0.4">
      <c r="A39" s="1" t="s">
        <v>32</v>
      </c>
      <c r="B39" s="5">
        <v>2500435</v>
      </c>
      <c r="C39" s="5">
        <v>124380</v>
      </c>
      <c r="D39" s="5">
        <v>81485</v>
      </c>
      <c r="E39" s="19">
        <v>49.7</v>
      </c>
      <c r="F39" s="19">
        <v>32.4</v>
      </c>
      <c r="G39" s="19"/>
      <c r="H39" s="10"/>
      <c r="I39" s="12" t="s">
        <v>4</v>
      </c>
      <c r="J39" s="12" t="s">
        <v>4</v>
      </c>
      <c r="K39" s="12" t="s">
        <v>4</v>
      </c>
      <c r="L39" s="12" t="s">
        <v>4</v>
      </c>
      <c r="M39" s="12" t="s">
        <v>4</v>
      </c>
      <c r="N39" s="12" t="s">
        <v>4</v>
      </c>
      <c r="O39" s="12" t="s">
        <v>4</v>
      </c>
      <c r="P39" s="12" t="s">
        <v>4</v>
      </c>
      <c r="Q39" s="12" t="s">
        <v>4</v>
      </c>
      <c r="R39" s="12" t="s">
        <v>4</v>
      </c>
      <c r="S39" s="12" t="s">
        <v>4</v>
      </c>
      <c r="T39" s="12" t="s">
        <v>4</v>
      </c>
      <c r="U39" s="7"/>
      <c r="V39" s="7"/>
      <c r="W39" s="7"/>
      <c r="X39" s="3"/>
      <c r="Y39" s="4">
        <f>B39</f>
        <v>2500435</v>
      </c>
      <c r="Z39" s="4">
        <f>SUM(I40:W40)</f>
        <v>124400</v>
      </c>
      <c r="AA39" s="4">
        <f>SUM(I41:W41)</f>
        <v>81583</v>
      </c>
      <c r="AB39" s="4"/>
      <c r="AC39" s="4">
        <f>Y39-B39</f>
        <v>0</v>
      </c>
      <c r="AD39" s="4">
        <f>Z39-C39</f>
        <v>20</v>
      </c>
      <c r="AE39" s="4">
        <f>AA39-D39</f>
        <v>98</v>
      </c>
      <c r="AG39" s="18">
        <f>C39/B39*1000</f>
        <v>49.7433446580295</v>
      </c>
      <c r="AH39" s="18">
        <f>D39/B39*1000</f>
        <v>32.588329630644267</v>
      </c>
      <c r="AJ39" s="18">
        <f>AG39-E39</f>
        <v>4.3344658029496941E-2</v>
      </c>
      <c r="AK39" s="18">
        <f>AH39-F39</f>
        <v>0.18832963064426878</v>
      </c>
    </row>
    <row r="40" spans="1:37" ht="15.75" customHeight="1" x14ac:dyDescent="0.4">
      <c r="A40" s="2" t="s">
        <v>33</v>
      </c>
      <c r="B40" s="8"/>
      <c r="C40" s="8"/>
      <c r="D40" s="8"/>
      <c r="E40" s="20"/>
      <c r="F40" s="20"/>
      <c r="G40" s="20"/>
      <c r="H40" s="9"/>
      <c r="I40" s="10">
        <v>10194</v>
      </c>
      <c r="J40" s="10">
        <v>16469</v>
      </c>
      <c r="K40" s="10">
        <v>10583</v>
      </c>
      <c r="L40" s="10">
        <v>9801</v>
      </c>
      <c r="M40" s="10">
        <v>10703</v>
      </c>
      <c r="N40" s="10">
        <v>7116</v>
      </c>
      <c r="O40" s="10">
        <v>8642</v>
      </c>
      <c r="P40" s="10">
        <v>9256</v>
      </c>
      <c r="Q40" s="10">
        <v>9152</v>
      </c>
      <c r="R40" s="10">
        <v>12204</v>
      </c>
      <c r="S40" s="10">
        <v>9244</v>
      </c>
      <c r="T40" s="10">
        <v>11036</v>
      </c>
      <c r="U40" s="9"/>
      <c r="V40" s="9"/>
      <c r="W40" s="9"/>
      <c r="X40" s="3"/>
      <c r="Y40" s="3"/>
      <c r="Z40" s="3"/>
      <c r="AA40" s="3"/>
      <c r="AB40" s="3"/>
      <c r="AC40" s="3"/>
      <c r="AD40" s="3"/>
      <c r="AE40" s="3"/>
    </row>
    <row r="41" spans="1:37" ht="15.75" customHeight="1" x14ac:dyDescent="0.4">
      <c r="A41" s="2" t="s">
        <v>34</v>
      </c>
      <c r="B41" s="8"/>
      <c r="C41" s="8"/>
      <c r="D41" s="8"/>
      <c r="E41" s="20"/>
      <c r="F41" s="20"/>
      <c r="G41" s="20"/>
      <c r="H41" s="9"/>
      <c r="I41" s="10">
        <v>6425</v>
      </c>
      <c r="J41" s="10">
        <v>10389</v>
      </c>
      <c r="K41" s="10">
        <v>7820</v>
      </c>
      <c r="L41" s="10">
        <v>6176</v>
      </c>
      <c r="M41" s="10">
        <v>6888</v>
      </c>
      <c r="N41" s="10">
        <v>5183</v>
      </c>
      <c r="O41" s="10">
        <v>6161</v>
      </c>
      <c r="P41" s="10">
        <v>6546</v>
      </c>
      <c r="Q41" s="10">
        <v>6247</v>
      </c>
      <c r="R41" s="10">
        <v>6598</v>
      </c>
      <c r="S41" s="10">
        <v>6394</v>
      </c>
      <c r="T41" s="10">
        <v>6756</v>
      </c>
      <c r="U41" s="9"/>
      <c r="V41" s="9"/>
      <c r="W41" s="9"/>
      <c r="X41" s="3"/>
      <c r="Y41" s="3"/>
      <c r="Z41" s="3"/>
      <c r="AA41" s="3"/>
      <c r="AB41" s="3"/>
      <c r="AC41" s="3"/>
      <c r="AD41" s="3"/>
      <c r="AE41" s="3"/>
    </row>
    <row r="42" spans="1:37" ht="15.75" customHeight="1" x14ac:dyDescent="0.4">
      <c r="A42" s="14" t="s">
        <v>35</v>
      </c>
      <c r="B42" s="15">
        <v>18858326</v>
      </c>
      <c r="C42" s="15">
        <v>887317</v>
      </c>
      <c r="D42" s="15">
        <v>553285</v>
      </c>
      <c r="E42" s="23">
        <v>47.9</v>
      </c>
      <c r="F42" s="23">
        <v>29.9</v>
      </c>
      <c r="G42" s="23"/>
      <c r="H42" s="10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3"/>
      <c r="Y42" s="17">
        <f>SUM(Y2:Y41)</f>
        <v>18868316</v>
      </c>
      <c r="Z42" s="17">
        <f>SUM(Z2:Z41)</f>
        <v>887337</v>
      </c>
      <c r="AA42" s="17">
        <f>SUM(AA2:AA41)</f>
        <v>553383</v>
      </c>
      <c r="AB42" s="17"/>
      <c r="AC42" s="17">
        <f t="shared" ref="AC42:AE43" si="0">Y42-B42</f>
        <v>9990</v>
      </c>
      <c r="AD42" s="17">
        <f t="shared" si="0"/>
        <v>20</v>
      </c>
      <c r="AE42" s="17">
        <f t="shared" si="0"/>
        <v>98</v>
      </c>
      <c r="AG42" s="24">
        <f>C42/B42*1000</f>
        <v>47.051737253879267</v>
      </c>
      <c r="AH42" s="24">
        <f>D42/B42*1000</f>
        <v>29.339030410228354</v>
      </c>
      <c r="AJ42" s="24">
        <f>AG42-E42</f>
        <v>-0.84826274612073149</v>
      </c>
      <c r="AK42" s="24">
        <f>AH42-F42</f>
        <v>-0.56096958977164491</v>
      </c>
    </row>
    <row r="43" spans="1:37" ht="15.75" customHeight="1" x14ac:dyDescent="0.4">
      <c r="A43" s="1" t="s">
        <v>36</v>
      </c>
      <c r="B43" s="5">
        <v>1030571</v>
      </c>
      <c r="C43" s="5">
        <v>43631</v>
      </c>
      <c r="D43" s="5">
        <v>25802</v>
      </c>
      <c r="E43" s="19">
        <v>42.3</v>
      </c>
      <c r="F43" s="19">
        <v>25</v>
      </c>
      <c r="G43" s="19"/>
      <c r="H43" s="10"/>
      <c r="I43" s="6">
        <v>111259</v>
      </c>
      <c r="J43" s="6">
        <v>100546</v>
      </c>
      <c r="K43" s="6">
        <v>77361</v>
      </c>
      <c r="L43" s="6">
        <v>102857</v>
      </c>
      <c r="M43" s="6">
        <v>82631</v>
      </c>
      <c r="N43" s="6">
        <v>79681</v>
      </c>
      <c r="O43" s="6">
        <v>82000</v>
      </c>
      <c r="P43" s="6">
        <v>77332</v>
      </c>
      <c r="Q43" s="6">
        <v>111674</v>
      </c>
      <c r="R43" s="6">
        <v>59930</v>
      </c>
      <c r="S43" s="6">
        <v>47562</v>
      </c>
      <c r="T43" s="6">
        <v>98748</v>
      </c>
      <c r="U43" s="7"/>
      <c r="V43" s="7"/>
      <c r="W43" s="7"/>
      <c r="X43" s="3"/>
      <c r="Y43" s="4">
        <f>SUM(I43:W43)</f>
        <v>1031581</v>
      </c>
      <c r="Z43" s="4">
        <f>SUM(I44:W44)</f>
        <v>43631</v>
      </c>
      <c r="AA43" s="4">
        <f>SUM(I45:W45)</f>
        <v>25712</v>
      </c>
      <c r="AB43" s="4"/>
      <c r="AC43" s="4">
        <f t="shared" si="0"/>
        <v>1010</v>
      </c>
      <c r="AD43" s="4">
        <f t="shared" si="0"/>
        <v>0</v>
      </c>
      <c r="AE43" s="4">
        <f t="shared" si="0"/>
        <v>-90</v>
      </c>
      <c r="AG43" s="18">
        <f>C43/B43*1000</f>
        <v>42.336724010281678</v>
      </c>
      <c r="AH43" s="18">
        <f>D43/B43*1000</f>
        <v>25.036605920407229</v>
      </c>
      <c r="AJ43" s="18">
        <f>AG43-E43</f>
        <v>3.6724010281680819E-2</v>
      </c>
      <c r="AK43" s="18">
        <f>AH43-F43</f>
        <v>3.660592040722932E-2</v>
      </c>
    </row>
    <row r="44" spans="1:37" ht="15.75" customHeight="1" x14ac:dyDescent="0.4">
      <c r="A44" s="2" t="s">
        <v>37</v>
      </c>
      <c r="B44" s="8"/>
      <c r="C44" s="8"/>
      <c r="D44" s="8"/>
      <c r="E44" s="20"/>
      <c r="F44" s="20"/>
      <c r="G44" s="20"/>
      <c r="H44" s="9"/>
      <c r="I44" s="10">
        <v>6596</v>
      </c>
      <c r="J44" s="10">
        <v>4257</v>
      </c>
      <c r="K44" s="10">
        <v>4011</v>
      </c>
      <c r="L44" s="10">
        <v>3984</v>
      </c>
      <c r="M44" s="10">
        <v>3746</v>
      </c>
      <c r="N44" s="10">
        <v>3721</v>
      </c>
      <c r="O44" s="10">
        <v>3309</v>
      </c>
      <c r="P44" s="10">
        <v>3577</v>
      </c>
      <c r="Q44" s="10">
        <v>2697</v>
      </c>
      <c r="R44" s="10">
        <v>2327</v>
      </c>
      <c r="S44" s="10">
        <v>1991</v>
      </c>
      <c r="T44" s="10">
        <v>3415</v>
      </c>
      <c r="U44" s="9"/>
      <c r="V44" s="9"/>
      <c r="W44" s="9"/>
      <c r="X44" s="3"/>
      <c r="Y44" s="3"/>
      <c r="Z44" s="3"/>
      <c r="AA44" s="3"/>
      <c r="AB44" s="3"/>
      <c r="AC44" s="3"/>
      <c r="AD44" s="3"/>
      <c r="AE44" s="3"/>
    </row>
    <row r="45" spans="1:37" ht="15.75" customHeight="1" x14ac:dyDescent="0.4">
      <c r="A45" s="2" t="s">
        <v>38</v>
      </c>
      <c r="B45" s="8"/>
      <c r="C45" s="8"/>
      <c r="D45" s="8"/>
      <c r="E45" s="20"/>
      <c r="F45" s="20"/>
      <c r="G45" s="20"/>
      <c r="H45" s="9"/>
      <c r="I45" s="10">
        <v>4484</v>
      </c>
      <c r="J45" s="10">
        <v>2243</v>
      </c>
      <c r="K45" s="10">
        <v>2444</v>
      </c>
      <c r="L45" s="10">
        <v>2759</v>
      </c>
      <c r="M45" s="10">
        <v>2006</v>
      </c>
      <c r="N45" s="10">
        <v>1919</v>
      </c>
      <c r="O45" s="10">
        <v>2024</v>
      </c>
      <c r="P45" s="10">
        <v>2124</v>
      </c>
      <c r="Q45" s="10">
        <v>1428</v>
      </c>
      <c r="R45" s="10">
        <v>1228</v>
      </c>
      <c r="S45" s="10">
        <v>1287</v>
      </c>
      <c r="T45" s="10">
        <v>1766</v>
      </c>
      <c r="U45" s="9"/>
      <c r="V45" s="9"/>
      <c r="W45" s="9"/>
      <c r="X45" s="3"/>
      <c r="Y45" s="3"/>
      <c r="Z45" s="3"/>
      <c r="AA45" s="3"/>
      <c r="AB45" s="3"/>
      <c r="AC45" s="3"/>
      <c r="AD45" s="3"/>
      <c r="AE45" s="3"/>
    </row>
    <row r="46" spans="1:37" ht="15.75" customHeight="1" x14ac:dyDescent="0.4">
      <c r="A46" s="1" t="s">
        <v>39</v>
      </c>
      <c r="B46" s="5">
        <v>444814</v>
      </c>
      <c r="C46" s="5">
        <v>17569</v>
      </c>
      <c r="D46" s="5">
        <v>11042</v>
      </c>
      <c r="E46" s="19">
        <v>39.5</v>
      </c>
      <c r="F46" s="19">
        <v>24.8</v>
      </c>
      <c r="G46" s="19"/>
      <c r="H46" s="1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3"/>
      <c r="Y46" s="4">
        <f>B46</f>
        <v>444814</v>
      </c>
      <c r="Z46" s="4">
        <f>C46</f>
        <v>17569</v>
      </c>
      <c r="AA46" s="4">
        <f>D46</f>
        <v>11042</v>
      </c>
      <c r="AB46" s="4"/>
      <c r="AC46" s="4">
        <f t="shared" ref="AC46:AE47" si="1">Y46-B46</f>
        <v>0</v>
      </c>
      <c r="AD46" s="4">
        <f t="shared" si="1"/>
        <v>0</v>
      </c>
      <c r="AE46" s="4">
        <f t="shared" si="1"/>
        <v>0</v>
      </c>
      <c r="AG46" s="18">
        <f>C46/B46*1000</f>
        <v>39.497407905326725</v>
      </c>
      <c r="AH46" s="18">
        <f>D46/B46*1000</f>
        <v>24.8238589612737</v>
      </c>
      <c r="AJ46" s="18">
        <f>AG46-E46</f>
        <v>-2.5920946732753691E-3</v>
      </c>
      <c r="AK46" s="18">
        <f>AH46-F46</f>
        <v>2.3858961273699464E-2</v>
      </c>
    </row>
    <row r="47" spans="1:37" ht="15.75" customHeight="1" x14ac:dyDescent="0.4">
      <c r="A47" s="1" t="s">
        <v>40</v>
      </c>
      <c r="B47" s="5">
        <v>844446</v>
      </c>
      <c r="C47" s="5">
        <v>32320</v>
      </c>
      <c r="D47" s="5">
        <v>22301</v>
      </c>
      <c r="E47" s="19">
        <v>38.299999999999997</v>
      </c>
      <c r="F47" s="19">
        <v>26.4</v>
      </c>
      <c r="G47" s="19"/>
      <c r="H47" s="10"/>
      <c r="I47" s="6">
        <v>114288</v>
      </c>
      <c r="J47" s="6">
        <v>127030</v>
      </c>
      <c r="K47" s="6">
        <v>103558</v>
      </c>
      <c r="L47" s="6">
        <v>86407</v>
      </c>
      <c r="M47" s="6">
        <v>109633</v>
      </c>
      <c r="N47" s="6">
        <v>82946</v>
      </c>
      <c r="O47" s="6">
        <v>123714</v>
      </c>
      <c r="P47" s="6">
        <v>96870</v>
      </c>
      <c r="Q47" s="7"/>
      <c r="R47" s="7"/>
      <c r="S47" s="7"/>
      <c r="T47" s="7"/>
      <c r="U47" s="7"/>
      <c r="V47" s="7"/>
      <c r="W47" s="7"/>
      <c r="X47" s="3"/>
      <c r="Y47" s="4">
        <f>SUM(I47:W47)</f>
        <v>844446</v>
      </c>
      <c r="Z47" s="4">
        <f>SUM(I48:W48)</f>
        <v>32320</v>
      </c>
      <c r="AA47" s="4">
        <f>SUM(I49:W49)</f>
        <v>22301</v>
      </c>
      <c r="AB47" s="4"/>
      <c r="AC47" s="4">
        <f t="shared" si="1"/>
        <v>0</v>
      </c>
      <c r="AD47" s="4">
        <f t="shared" si="1"/>
        <v>0</v>
      </c>
      <c r="AE47" s="4">
        <f t="shared" si="1"/>
        <v>0</v>
      </c>
      <c r="AG47" s="18">
        <f>C47/B47*1000</f>
        <v>38.273613706501067</v>
      </c>
      <c r="AH47" s="18">
        <f>D47/B47*1000</f>
        <v>26.409030299154711</v>
      </c>
      <c r="AJ47" s="18">
        <f>AG47-E47</f>
        <v>-2.6386293498930513E-2</v>
      </c>
      <c r="AK47" s="18">
        <f>AH47-F47</f>
        <v>9.030299154712651E-3</v>
      </c>
    </row>
    <row r="48" spans="1:37" ht="15.75" customHeight="1" x14ac:dyDescent="0.4">
      <c r="A48" s="2" t="s">
        <v>41</v>
      </c>
      <c r="B48" s="8"/>
      <c r="C48" s="8"/>
      <c r="D48" s="8"/>
      <c r="E48" s="20"/>
      <c r="F48" s="20"/>
      <c r="G48" s="20"/>
      <c r="H48" s="9"/>
      <c r="I48" s="10">
        <v>4402</v>
      </c>
      <c r="J48" s="10">
        <v>3464</v>
      </c>
      <c r="K48" s="10">
        <v>4545</v>
      </c>
      <c r="L48" s="10">
        <v>3607</v>
      </c>
      <c r="M48" s="10">
        <v>4491</v>
      </c>
      <c r="N48" s="10">
        <v>3796</v>
      </c>
      <c r="O48" s="10">
        <v>3949</v>
      </c>
      <c r="P48" s="10">
        <v>4066</v>
      </c>
      <c r="Q48" s="9"/>
      <c r="R48" s="9"/>
      <c r="S48" s="9"/>
      <c r="T48" s="9"/>
      <c r="U48" s="9"/>
      <c r="V48" s="9"/>
      <c r="W48" s="9"/>
      <c r="X48" s="3"/>
      <c r="Y48" s="3"/>
      <c r="Z48" s="3"/>
      <c r="AA48" s="3"/>
      <c r="AB48" s="3"/>
      <c r="AC48" s="3"/>
      <c r="AD48" s="3"/>
      <c r="AE48" s="3"/>
    </row>
    <row r="49" spans="1:37" ht="15.75" customHeight="1" x14ac:dyDescent="0.4">
      <c r="A49" s="2" t="s">
        <v>42</v>
      </c>
      <c r="B49" s="8"/>
      <c r="C49" s="8"/>
      <c r="D49" s="8"/>
      <c r="E49" s="20"/>
      <c r="F49" s="20"/>
      <c r="G49" s="20"/>
      <c r="H49" s="9"/>
      <c r="I49" s="10">
        <v>2857</v>
      </c>
      <c r="J49" s="10">
        <v>2693</v>
      </c>
      <c r="K49" s="10">
        <v>4235</v>
      </c>
      <c r="L49" s="10">
        <v>2393</v>
      </c>
      <c r="M49" s="10">
        <v>2709</v>
      </c>
      <c r="N49" s="10">
        <v>2693</v>
      </c>
      <c r="O49" s="10">
        <v>2279</v>
      </c>
      <c r="P49" s="10">
        <v>2442</v>
      </c>
      <c r="Q49" s="9"/>
      <c r="R49" s="9"/>
      <c r="S49" s="9"/>
      <c r="T49" s="9"/>
      <c r="U49" s="9"/>
      <c r="V49" s="9"/>
      <c r="W49" s="9"/>
      <c r="X49" s="3"/>
      <c r="Y49" s="3"/>
      <c r="Z49" s="3"/>
      <c r="AA49" s="3"/>
      <c r="AB49" s="3"/>
      <c r="AC49" s="3"/>
      <c r="AD49" s="3"/>
      <c r="AE49" s="3"/>
    </row>
    <row r="50" spans="1:37" ht="15.75" customHeight="1" x14ac:dyDescent="0.4">
      <c r="A50" s="1" t="s">
        <v>43</v>
      </c>
      <c r="B50" s="5">
        <v>706860</v>
      </c>
      <c r="C50" s="5">
        <v>29051</v>
      </c>
      <c r="D50" s="5">
        <v>15256</v>
      </c>
      <c r="E50" s="19">
        <v>41.1</v>
      </c>
      <c r="F50" s="19">
        <v>21.6</v>
      </c>
      <c r="G50" s="19"/>
      <c r="H50" s="10"/>
      <c r="I50" s="6">
        <v>126248</v>
      </c>
      <c r="J50" s="6">
        <v>70432</v>
      </c>
      <c r="K50" s="6">
        <v>71427</v>
      </c>
      <c r="L50" s="6">
        <v>102059</v>
      </c>
      <c r="M50" s="6">
        <v>108312</v>
      </c>
      <c r="N50" s="6">
        <v>104258</v>
      </c>
      <c r="O50" s="6">
        <v>124124</v>
      </c>
      <c r="P50" s="7"/>
      <c r="Q50" s="7"/>
      <c r="R50" s="7"/>
      <c r="S50" s="7"/>
      <c r="T50" s="7"/>
      <c r="U50" s="7"/>
      <c r="V50" s="7"/>
      <c r="W50" s="7"/>
      <c r="X50" s="3"/>
      <c r="Y50" s="4">
        <f>SUM(I50:W50)</f>
        <v>706860</v>
      </c>
      <c r="Z50" s="4">
        <f>SUM(I51:W51)</f>
        <v>29051</v>
      </c>
      <c r="AA50" s="4">
        <f>SUM(I52:W52)</f>
        <v>15256</v>
      </c>
      <c r="AB50" s="4"/>
      <c r="AC50" s="4">
        <f>Y50-B50</f>
        <v>0</v>
      </c>
      <c r="AD50" s="4">
        <f>Z50-C50</f>
        <v>0</v>
      </c>
      <c r="AE50" s="4">
        <f>AA50-D50</f>
        <v>0</v>
      </c>
      <c r="AG50" s="18">
        <f>C50/B50*1000</f>
        <v>41.098661686896982</v>
      </c>
      <c r="AH50" s="18">
        <f>D50/B50*1000</f>
        <v>21.582774523950995</v>
      </c>
      <c r="AJ50" s="18">
        <f>AG50-E50</f>
        <v>-1.3383131030195727E-3</v>
      </c>
      <c r="AK50" s="18">
        <f>AH50-F50</f>
        <v>-1.7225476049006261E-2</v>
      </c>
    </row>
    <row r="51" spans="1:37" ht="15.75" customHeight="1" x14ac:dyDescent="0.4">
      <c r="A51" s="2" t="s">
        <v>44</v>
      </c>
      <c r="B51" s="8"/>
      <c r="C51" s="8"/>
      <c r="D51" s="8"/>
      <c r="E51" s="20"/>
      <c r="F51" s="20"/>
      <c r="G51" s="20"/>
      <c r="H51" s="9"/>
      <c r="I51" s="10">
        <v>5347</v>
      </c>
      <c r="J51" s="10">
        <v>2703</v>
      </c>
      <c r="K51" s="10">
        <v>3235</v>
      </c>
      <c r="L51" s="10">
        <v>4091</v>
      </c>
      <c r="M51" s="10">
        <v>4584</v>
      </c>
      <c r="N51" s="10">
        <v>3826</v>
      </c>
      <c r="O51" s="10">
        <v>5265</v>
      </c>
      <c r="P51" s="9"/>
      <c r="Q51" s="9"/>
      <c r="R51" s="9"/>
      <c r="S51" s="9"/>
      <c r="T51" s="9"/>
      <c r="U51" s="9"/>
      <c r="V51" s="9"/>
      <c r="W51" s="9"/>
      <c r="X51" s="3"/>
      <c r="Y51" s="3"/>
      <c r="Z51" s="3"/>
      <c r="AA51" s="3"/>
      <c r="AB51" s="3"/>
      <c r="AC51" s="3"/>
      <c r="AD51" s="3"/>
      <c r="AE51" s="3"/>
    </row>
    <row r="52" spans="1:37" ht="14.4" x14ac:dyDescent="0.4">
      <c r="A52" s="2" t="s">
        <v>45</v>
      </c>
      <c r="B52" s="8"/>
      <c r="C52" s="8"/>
      <c r="D52" s="8"/>
      <c r="E52" s="20"/>
      <c r="F52" s="20"/>
      <c r="G52" s="20"/>
      <c r="H52" s="9"/>
      <c r="I52" s="10">
        <v>3226</v>
      </c>
      <c r="J52" s="10">
        <v>1325</v>
      </c>
      <c r="K52" s="10">
        <v>1797</v>
      </c>
      <c r="L52" s="10">
        <v>1754</v>
      </c>
      <c r="M52" s="10">
        <v>2529</v>
      </c>
      <c r="N52" s="10">
        <v>2001</v>
      </c>
      <c r="O52" s="10">
        <v>2624</v>
      </c>
      <c r="P52" s="9"/>
      <c r="Q52" s="9"/>
      <c r="R52" s="9"/>
      <c r="S52" s="9"/>
      <c r="T52" s="9"/>
      <c r="U52" s="9"/>
      <c r="V52" s="9"/>
      <c r="W52" s="9"/>
      <c r="X52" s="3"/>
      <c r="Y52" s="3"/>
      <c r="Z52" s="3"/>
      <c r="AA52" s="3"/>
      <c r="AB52" s="3"/>
      <c r="AC52" s="3"/>
      <c r="AD52" s="3"/>
      <c r="AE52" s="3"/>
    </row>
    <row r="53" spans="1:37" ht="14.4" x14ac:dyDescent="0.4">
      <c r="A53" s="1" t="s">
        <v>46</v>
      </c>
      <c r="B53" s="5">
        <v>611798</v>
      </c>
      <c r="C53" s="5">
        <v>24364</v>
      </c>
      <c r="D53" s="5">
        <v>17620</v>
      </c>
      <c r="E53" s="19">
        <v>39.799999999999997</v>
      </c>
      <c r="F53" s="19">
        <v>28.8</v>
      </c>
      <c r="G53" s="19"/>
      <c r="H53" s="10"/>
      <c r="I53" s="6">
        <v>97541</v>
      </c>
      <c r="J53" s="6">
        <v>75441</v>
      </c>
      <c r="K53" s="6">
        <v>73463</v>
      </c>
      <c r="L53" s="6">
        <v>57453</v>
      </c>
      <c r="M53" s="6">
        <v>83168</v>
      </c>
      <c r="N53" s="6">
        <v>73926</v>
      </c>
      <c r="O53" s="6">
        <v>87334</v>
      </c>
      <c r="P53" s="6">
        <v>63467</v>
      </c>
      <c r="Q53" s="7"/>
      <c r="R53" s="7"/>
      <c r="S53" s="7"/>
      <c r="T53" s="7"/>
      <c r="U53" s="7"/>
      <c r="V53" s="7"/>
      <c r="W53" s="7"/>
      <c r="X53" s="3"/>
      <c r="Y53" s="4">
        <f>SUM(I53:W53)</f>
        <v>611793</v>
      </c>
      <c r="Z53" s="4">
        <f>SUM(I54:W54)</f>
        <v>24364</v>
      </c>
      <c r="AA53" s="4">
        <f>SUM(I55:W55)</f>
        <v>17660</v>
      </c>
      <c r="AB53" s="4"/>
      <c r="AC53" s="4">
        <f>Y53-B53</f>
        <v>-5</v>
      </c>
      <c r="AD53" s="4">
        <f>Z53-C53</f>
        <v>0</v>
      </c>
      <c r="AE53" s="4">
        <f>AA53-D53</f>
        <v>40</v>
      </c>
      <c r="AG53" s="18">
        <f>C53/B53*1000</f>
        <v>39.823601907819253</v>
      </c>
      <c r="AH53" s="18">
        <f>D53/B53*1000</f>
        <v>28.800355672950875</v>
      </c>
      <c r="AJ53" s="18">
        <f>AG53-E53</f>
        <v>2.360190781925553E-2</v>
      </c>
      <c r="AK53" s="18">
        <f>AH53-F53</f>
        <v>3.5567295087446382E-4</v>
      </c>
    </row>
    <row r="54" spans="1:37" ht="14.4" x14ac:dyDescent="0.4">
      <c r="A54" s="2" t="s">
        <v>47</v>
      </c>
      <c r="B54" s="8"/>
      <c r="C54" s="8"/>
      <c r="D54" s="8"/>
      <c r="E54" s="20"/>
      <c r="F54" s="20"/>
      <c r="G54" s="20"/>
      <c r="H54" s="9"/>
      <c r="I54" s="10">
        <v>3853</v>
      </c>
      <c r="J54" s="10">
        <v>3541</v>
      </c>
      <c r="K54" s="10">
        <v>2461</v>
      </c>
      <c r="L54" s="10">
        <v>2070</v>
      </c>
      <c r="M54" s="10">
        <v>2687</v>
      </c>
      <c r="N54" s="10">
        <v>3525</v>
      </c>
      <c r="O54" s="10">
        <v>3646</v>
      </c>
      <c r="P54" s="10">
        <v>2581</v>
      </c>
      <c r="Q54" s="9"/>
      <c r="R54" s="9"/>
      <c r="S54" s="9"/>
      <c r="T54" s="9"/>
      <c r="U54" s="9"/>
      <c r="V54" s="9"/>
      <c r="W54" s="9"/>
      <c r="X54" s="3"/>
      <c r="Y54" s="3"/>
      <c r="Z54" s="3"/>
      <c r="AA54" s="3"/>
      <c r="AB54" s="3"/>
      <c r="AC54" s="3"/>
      <c r="AD54" s="3"/>
      <c r="AE54" s="3"/>
    </row>
    <row r="55" spans="1:37" ht="14.4" x14ac:dyDescent="0.4">
      <c r="A55" s="2" t="s">
        <v>48</v>
      </c>
      <c r="B55" s="8"/>
      <c r="C55" s="8"/>
      <c r="D55" s="8"/>
      <c r="E55" s="20"/>
      <c r="F55" s="20"/>
      <c r="G55" s="20"/>
      <c r="H55" s="9"/>
      <c r="I55" s="10">
        <v>2971</v>
      </c>
      <c r="J55" s="10">
        <v>2748</v>
      </c>
      <c r="K55" s="10">
        <v>2148</v>
      </c>
      <c r="L55" s="10">
        <v>1233</v>
      </c>
      <c r="M55" s="10">
        <v>1975</v>
      </c>
      <c r="N55" s="10">
        <v>2164</v>
      </c>
      <c r="O55" s="10">
        <v>2779</v>
      </c>
      <c r="P55" s="10">
        <v>1642</v>
      </c>
      <c r="Q55" s="9"/>
      <c r="R55" s="9"/>
      <c r="S55" s="9"/>
      <c r="T55" s="9"/>
      <c r="U55" s="9"/>
      <c r="V55" s="9"/>
      <c r="W55" s="9"/>
      <c r="X55" s="3"/>
      <c r="Y55" s="3"/>
      <c r="Z55" s="3"/>
      <c r="AA55" s="3"/>
      <c r="AB55" s="3"/>
      <c r="AC55" s="3"/>
      <c r="AD55" s="3"/>
      <c r="AE55" s="3"/>
    </row>
    <row r="56" spans="1:37" ht="14.4" x14ac:dyDescent="0.4">
      <c r="A56" s="1" t="s">
        <v>49</v>
      </c>
      <c r="B56" s="32">
        <v>1064900</v>
      </c>
      <c r="C56" s="5">
        <v>40623</v>
      </c>
      <c r="D56" s="5">
        <v>25914</v>
      </c>
      <c r="E56" s="19">
        <v>40.4</v>
      </c>
      <c r="F56" s="19">
        <v>25.8</v>
      </c>
      <c r="G56" s="19"/>
      <c r="H56" s="10"/>
      <c r="I56" s="6">
        <v>142506</v>
      </c>
      <c r="J56" s="6">
        <v>91096</v>
      </c>
      <c r="K56" s="6">
        <v>93731</v>
      </c>
      <c r="L56" s="6">
        <v>100836</v>
      </c>
      <c r="M56" s="6">
        <v>87586</v>
      </c>
      <c r="N56" s="6">
        <v>84027</v>
      </c>
      <c r="O56" s="6">
        <v>113738</v>
      </c>
      <c r="P56" s="6">
        <v>79402</v>
      </c>
      <c r="Q56" s="6">
        <v>175659</v>
      </c>
      <c r="R56" s="6">
        <v>96319</v>
      </c>
      <c r="S56" s="7"/>
      <c r="T56" s="7"/>
      <c r="U56" s="7"/>
      <c r="V56" s="7"/>
      <c r="W56" s="7"/>
      <c r="X56" s="3"/>
      <c r="Y56" s="4">
        <f>SUM(I56:W56)</f>
        <v>1064900</v>
      </c>
      <c r="Z56" s="4">
        <f>SUM(I57:W57)</f>
        <v>40623</v>
      </c>
      <c r="AA56" s="4">
        <f>SUM(I58:W58)</f>
        <v>25914</v>
      </c>
      <c r="AB56" s="4"/>
      <c r="AC56" s="4">
        <f>Y56-B56</f>
        <v>0</v>
      </c>
      <c r="AD56" s="4">
        <f>Z56-C56</f>
        <v>0</v>
      </c>
      <c r="AE56" s="4">
        <f>AA56-D56</f>
        <v>0</v>
      </c>
      <c r="AG56" s="18">
        <f>C56/B56*1000</f>
        <v>38.147243872664099</v>
      </c>
      <c r="AH56" s="18">
        <f>D56/B56*1000</f>
        <v>24.334679312611513</v>
      </c>
      <c r="AJ56" s="18">
        <f>AG56-E56</f>
        <v>-2.2527561273358998</v>
      </c>
      <c r="AK56" s="18">
        <f>AH56-F56</f>
        <v>-1.4653206873884876</v>
      </c>
    </row>
    <row r="57" spans="1:37" ht="14.4" x14ac:dyDescent="0.4">
      <c r="A57" s="2" t="s">
        <v>50</v>
      </c>
      <c r="B57" s="8"/>
      <c r="C57" s="8"/>
      <c r="D57" s="8"/>
      <c r="E57" s="20"/>
      <c r="F57" s="20"/>
      <c r="G57" s="20"/>
      <c r="H57" s="9"/>
      <c r="I57" s="10">
        <v>4937</v>
      </c>
      <c r="J57" s="10">
        <v>3370</v>
      </c>
      <c r="K57" s="10">
        <v>3271</v>
      </c>
      <c r="L57" s="10">
        <v>4399</v>
      </c>
      <c r="M57" s="10">
        <v>3798</v>
      </c>
      <c r="N57" s="10">
        <v>3514</v>
      </c>
      <c r="O57" s="10">
        <v>4472</v>
      </c>
      <c r="P57" s="10">
        <v>3225</v>
      </c>
      <c r="Q57" s="10">
        <v>5424</v>
      </c>
      <c r="R57" s="10">
        <v>4213</v>
      </c>
      <c r="S57" s="9"/>
      <c r="T57" s="9"/>
      <c r="U57" s="9"/>
      <c r="V57" s="9"/>
      <c r="W57" s="9"/>
      <c r="X57" s="3"/>
      <c r="Y57" s="3"/>
      <c r="Z57" s="3"/>
      <c r="AA57" s="3"/>
      <c r="AB57" s="3"/>
      <c r="AC57" s="3"/>
      <c r="AD57" s="3"/>
      <c r="AE57" s="3"/>
    </row>
    <row r="58" spans="1:37" ht="14.4" x14ac:dyDescent="0.4">
      <c r="A58" s="2" t="s">
        <v>51</v>
      </c>
      <c r="B58" s="8"/>
      <c r="C58" s="8"/>
      <c r="D58" s="8"/>
      <c r="E58" s="20"/>
      <c r="F58" s="20"/>
      <c r="G58" s="20"/>
      <c r="H58" s="9"/>
      <c r="I58" s="10">
        <v>3654</v>
      </c>
      <c r="J58" s="10">
        <v>2564</v>
      </c>
      <c r="K58" s="10">
        <v>2125</v>
      </c>
      <c r="L58" s="10">
        <v>2312</v>
      </c>
      <c r="M58" s="10">
        <v>2279</v>
      </c>
      <c r="N58" s="10">
        <v>1983</v>
      </c>
      <c r="O58" s="10">
        <v>2713</v>
      </c>
      <c r="P58" s="10">
        <v>2298</v>
      </c>
      <c r="Q58" s="10">
        <v>3336</v>
      </c>
      <c r="R58" s="10">
        <v>2650</v>
      </c>
      <c r="S58" s="9"/>
      <c r="T58" s="9"/>
      <c r="U58" s="9"/>
      <c r="V58" s="9"/>
      <c r="W58" s="9"/>
      <c r="X58" s="3"/>
      <c r="Y58" s="3"/>
      <c r="Z58" s="3"/>
      <c r="AA58" s="3"/>
      <c r="AB58" s="3"/>
      <c r="AC58" s="3"/>
      <c r="AD58" s="3"/>
      <c r="AE58" s="3"/>
    </row>
    <row r="59" spans="1:37" ht="14.4" x14ac:dyDescent="0.4">
      <c r="A59" s="1" t="s">
        <v>52</v>
      </c>
      <c r="B59" s="5">
        <v>1146668</v>
      </c>
      <c r="C59" s="5">
        <v>44246</v>
      </c>
      <c r="D59" s="5">
        <v>25386</v>
      </c>
      <c r="E59" s="19">
        <v>38.6</v>
      </c>
      <c r="F59" s="19">
        <v>22.1</v>
      </c>
      <c r="G59" s="19"/>
      <c r="H59" s="10"/>
      <c r="I59" s="6">
        <v>162533</v>
      </c>
      <c r="J59" s="6">
        <v>169882</v>
      </c>
      <c r="K59" s="6">
        <v>103840</v>
      </c>
      <c r="L59" s="6">
        <v>247284</v>
      </c>
      <c r="M59" s="6">
        <v>113751</v>
      </c>
      <c r="N59" s="6">
        <v>134135</v>
      </c>
      <c r="O59" s="6">
        <v>74599</v>
      </c>
      <c r="P59" s="6">
        <v>140644</v>
      </c>
      <c r="Q59" s="7"/>
      <c r="R59" s="7"/>
      <c r="S59" s="7"/>
      <c r="T59" s="7"/>
      <c r="U59" s="7"/>
      <c r="V59" s="7"/>
      <c r="W59" s="7"/>
      <c r="X59" s="3"/>
      <c r="Y59" s="4">
        <f>SUM(I59:W59)</f>
        <v>1146668</v>
      </c>
      <c r="Z59" s="4">
        <f>SUM(I60:W60)</f>
        <v>44246</v>
      </c>
      <c r="AA59" s="4">
        <f>SUM(I61:W61)</f>
        <v>25386</v>
      </c>
      <c r="AB59" s="4"/>
      <c r="AC59" s="4">
        <f>Y59-B59</f>
        <v>0</v>
      </c>
      <c r="AD59" s="4">
        <f>Z59-C59</f>
        <v>0</v>
      </c>
      <c r="AE59" s="4">
        <f>AA59-D59</f>
        <v>0</v>
      </c>
      <c r="AG59" s="18">
        <f>C59/B59*1000</f>
        <v>38.586583038856929</v>
      </c>
      <c r="AH59" s="18">
        <f>D59/B59*1000</f>
        <v>22.138927745432852</v>
      </c>
      <c r="AJ59" s="18">
        <f>AG59-E59</f>
        <v>-1.3416961143072115E-2</v>
      </c>
      <c r="AK59" s="18">
        <f>AH59-F59</f>
        <v>3.8927745432850713E-2</v>
      </c>
    </row>
    <row r="60" spans="1:37" ht="14.4" x14ac:dyDescent="0.4">
      <c r="A60" s="2" t="s">
        <v>53</v>
      </c>
      <c r="B60" s="8"/>
      <c r="C60" s="8"/>
      <c r="D60" s="8"/>
      <c r="E60" s="20"/>
      <c r="F60" s="20"/>
      <c r="G60" s="20"/>
      <c r="H60" s="9"/>
      <c r="I60" s="10">
        <v>5863</v>
      </c>
      <c r="J60" s="10">
        <v>6067</v>
      </c>
      <c r="K60" s="10">
        <v>3781</v>
      </c>
      <c r="L60" s="10">
        <v>4783</v>
      </c>
      <c r="M60" s="10">
        <v>10171</v>
      </c>
      <c r="N60" s="10">
        <v>5123</v>
      </c>
      <c r="O60" s="10">
        <v>2614</v>
      </c>
      <c r="P60" s="10">
        <v>5844</v>
      </c>
      <c r="Q60" s="9"/>
      <c r="R60" s="9"/>
      <c r="S60" s="9"/>
      <c r="T60" s="9"/>
      <c r="U60" s="9"/>
      <c r="V60" s="9"/>
      <c r="W60" s="9"/>
      <c r="X60" s="3"/>
      <c r="Y60" s="3"/>
      <c r="Z60" s="3"/>
      <c r="AA60" s="3"/>
      <c r="AB60" s="3"/>
      <c r="AC60" s="3"/>
      <c r="AD60" s="3"/>
      <c r="AE60" s="3"/>
    </row>
    <row r="61" spans="1:37" ht="14.4" x14ac:dyDescent="0.4">
      <c r="A61" s="2" t="s">
        <v>54</v>
      </c>
      <c r="B61" s="8"/>
      <c r="C61" s="8"/>
      <c r="D61" s="8"/>
      <c r="E61" s="20"/>
      <c r="F61" s="20"/>
      <c r="G61" s="20"/>
      <c r="H61" s="9"/>
      <c r="I61" s="10">
        <v>3135</v>
      </c>
      <c r="J61" s="10">
        <v>3609</v>
      </c>
      <c r="K61" s="10">
        <v>2061</v>
      </c>
      <c r="L61" s="10">
        <v>2479</v>
      </c>
      <c r="M61" s="10">
        <v>6689</v>
      </c>
      <c r="N61" s="10">
        <v>2711</v>
      </c>
      <c r="O61" s="10">
        <v>1372</v>
      </c>
      <c r="P61" s="10">
        <v>3330</v>
      </c>
      <c r="Q61" s="9"/>
      <c r="R61" s="9"/>
      <c r="S61" s="9"/>
      <c r="T61" s="9"/>
      <c r="U61" s="9"/>
      <c r="V61" s="9"/>
      <c r="W61" s="9"/>
      <c r="X61" s="3"/>
      <c r="Y61" s="3"/>
      <c r="Z61" s="3"/>
      <c r="AA61" s="3"/>
      <c r="AB61" s="3"/>
      <c r="AC61" s="3"/>
      <c r="AD61" s="3"/>
      <c r="AE61" s="3"/>
    </row>
    <row r="62" spans="1:37" ht="14.4" x14ac:dyDescent="0.4">
      <c r="A62" s="1" t="s">
        <v>55</v>
      </c>
      <c r="B62" s="5">
        <v>612322</v>
      </c>
      <c r="C62" s="5">
        <v>24445</v>
      </c>
      <c r="D62" s="5">
        <v>14339</v>
      </c>
      <c r="E62" s="19">
        <v>40</v>
      </c>
      <c r="F62" s="19">
        <v>24.4</v>
      </c>
      <c r="G62" s="19"/>
      <c r="H62" s="10"/>
      <c r="I62" s="6">
        <v>100325</v>
      </c>
      <c r="J62" s="6">
        <v>82187</v>
      </c>
      <c r="K62" s="6">
        <v>73940</v>
      </c>
      <c r="L62" s="6">
        <v>89632</v>
      </c>
      <c r="M62" s="6">
        <v>62804</v>
      </c>
      <c r="N62" s="6">
        <v>69491</v>
      </c>
      <c r="O62" s="6">
        <v>64950</v>
      </c>
      <c r="P62" s="6">
        <v>68993</v>
      </c>
      <c r="Q62" s="7"/>
      <c r="R62" s="7"/>
      <c r="S62" s="7"/>
      <c r="T62" s="7"/>
      <c r="U62" s="7"/>
      <c r="V62" s="7"/>
      <c r="W62" s="7"/>
      <c r="X62" s="3"/>
      <c r="Y62" s="4">
        <f>SUM(I62:W62)</f>
        <v>612322</v>
      </c>
      <c r="Z62" s="4">
        <f>SUM(I63:W63)</f>
        <v>24445</v>
      </c>
      <c r="AA62" s="4">
        <f>SUM(I64:W64)</f>
        <v>14339</v>
      </c>
      <c r="AB62" s="4"/>
      <c r="AC62" s="4">
        <f>Y62-B62</f>
        <v>0</v>
      </c>
      <c r="AD62" s="4">
        <f>Z62-C62</f>
        <v>0</v>
      </c>
      <c r="AE62" s="4">
        <f>AA62-D62</f>
        <v>0</v>
      </c>
      <c r="AG62" s="18">
        <f>C62/B62*1000</f>
        <v>39.921805847250305</v>
      </c>
      <c r="AH62" s="18">
        <f>D62/B62*1000</f>
        <v>23.41741763320606</v>
      </c>
      <c r="AJ62" s="18">
        <f>AG62-E62</f>
        <v>-7.8194152749695434E-2</v>
      </c>
      <c r="AK62" s="18">
        <f>AH62-F62</f>
        <v>-0.98258236679393818</v>
      </c>
    </row>
    <row r="63" spans="1:37" ht="14.4" x14ac:dyDescent="0.4">
      <c r="A63" s="2" t="s">
        <v>56</v>
      </c>
      <c r="B63" s="8"/>
      <c r="C63" s="8"/>
      <c r="D63" s="8"/>
      <c r="E63" s="20"/>
      <c r="F63" s="20"/>
      <c r="G63" s="20"/>
      <c r="H63" s="9"/>
      <c r="I63" s="10">
        <v>3597</v>
      </c>
      <c r="J63" s="10">
        <v>2495</v>
      </c>
      <c r="K63" s="10">
        <v>3799</v>
      </c>
      <c r="L63" s="10">
        <v>3315</v>
      </c>
      <c r="M63" s="10">
        <v>2339</v>
      </c>
      <c r="N63" s="10">
        <v>2732</v>
      </c>
      <c r="O63" s="10">
        <v>3073</v>
      </c>
      <c r="P63" s="10">
        <v>3095</v>
      </c>
      <c r="Q63" s="9"/>
      <c r="R63" s="9"/>
      <c r="S63" s="9"/>
      <c r="T63" s="9"/>
      <c r="U63" s="9"/>
      <c r="V63" s="9"/>
      <c r="W63" s="9"/>
      <c r="X63" s="3"/>
      <c r="Y63" s="3"/>
      <c r="Z63" s="3"/>
      <c r="AA63" s="3"/>
      <c r="AB63" s="3"/>
      <c r="AC63" s="3"/>
      <c r="AD63" s="3"/>
      <c r="AE63" s="3"/>
    </row>
    <row r="64" spans="1:37" ht="14.4" x14ac:dyDescent="0.4">
      <c r="A64" s="2" t="s">
        <v>57</v>
      </c>
      <c r="B64" s="8"/>
      <c r="C64" s="8"/>
      <c r="D64" s="8"/>
      <c r="E64" s="20"/>
      <c r="F64" s="20"/>
      <c r="G64" s="20"/>
      <c r="H64" s="9"/>
      <c r="I64" s="10">
        <v>2144</v>
      </c>
      <c r="J64" s="10">
        <v>1823</v>
      </c>
      <c r="K64" s="10">
        <v>1921</v>
      </c>
      <c r="L64" s="10">
        <v>1932</v>
      </c>
      <c r="M64" s="10">
        <v>1873</v>
      </c>
      <c r="N64" s="10">
        <v>1659</v>
      </c>
      <c r="O64" s="10">
        <v>1578</v>
      </c>
      <c r="P64" s="10">
        <v>1409</v>
      </c>
      <c r="Q64" s="9"/>
      <c r="R64" s="9"/>
      <c r="S64" s="9"/>
      <c r="T64" s="9"/>
      <c r="U64" s="9"/>
      <c r="V64" s="9"/>
      <c r="W64" s="9"/>
      <c r="X64" s="3"/>
      <c r="Y64" s="3"/>
      <c r="Z64" s="3"/>
      <c r="AA64" s="3"/>
      <c r="AB64" s="3"/>
      <c r="AC64" s="3"/>
      <c r="AD64" s="3"/>
      <c r="AE64" s="3"/>
    </row>
    <row r="65" spans="1:37" ht="14.4" x14ac:dyDescent="0.4">
      <c r="A65" s="1" t="s">
        <v>58</v>
      </c>
      <c r="B65" s="5">
        <v>742032</v>
      </c>
      <c r="C65" s="5">
        <v>30815</v>
      </c>
      <c r="D65" s="5">
        <v>16922</v>
      </c>
      <c r="E65" s="19">
        <v>41.5</v>
      </c>
      <c r="F65" s="19">
        <v>22.8</v>
      </c>
      <c r="G65" s="19"/>
      <c r="H65" s="10"/>
      <c r="I65" s="6">
        <v>129803</v>
      </c>
      <c r="J65" s="6">
        <v>99037</v>
      </c>
      <c r="K65" s="6">
        <v>106898</v>
      </c>
      <c r="L65" s="6">
        <v>107062</v>
      </c>
      <c r="M65" s="6">
        <v>107664</v>
      </c>
      <c r="N65" s="6">
        <v>99292</v>
      </c>
      <c r="O65" s="6">
        <v>92276</v>
      </c>
      <c r="P65" s="7"/>
      <c r="Q65" s="7"/>
      <c r="R65" s="7"/>
      <c r="S65" s="7"/>
      <c r="T65" s="7"/>
      <c r="U65" s="7"/>
      <c r="V65" s="7"/>
      <c r="W65" s="7"/>
      <c r="X65" s="3"/>
      <c r="Y65" s="4">
        <f>SUM(I65:W65)</f>
        <v>742032</v>
      </c>
      <c r="Z65" s="4">
        <f>SUM(I66:W66)</f>
        <v>30815</v>
      </c>
      <c r="AA65" s="4">
        <f>SUM(I67:W67)</f>
        <v>16922</v>
      </c>
      <c r="AB65" s="4"/>
      <c r="AC65" s="4">
        <f>Y65-B65</f>
        <v>0</v>
      </c>
      <c r="AD65" s="4">
        <f>Z65-C65</f>
        <v>0</v>
      </c>
      <c r="AE65" s="4">
        <f>AA65-D65</f>
        <v>0</v>
      </c>
      <c r="AG65" s="18">
        <f>C65/B65*1000</f>
        <v>41.527858636824291</v>
      </c>
      <c r="AH65" s="18">
        <f>D65/B65*1000</f>
        <v>22.80494641740518</v>
      </c>
      <c r="AJ65" s="18">
        <f>AG65-E65</f>
        <v>2.7858636824291239E-2</v>
      </c>
      <c r="AK65" s="18">
        <f>AH65-F65</f>
        <v>4.9464174051792043E-3</v>
      </c>
    </row>
    <row r="66" spans="1:37" ht="14.4" x14ac:dyDescent="0.4">
      <c r="A66" s="2" t="s">
        <v>59</v>
      </c>
      <c r="B66" s="8"/>
      <c r="C66" s="8"/>
      <c r="D66" s="8"/>
      <c r="E66" s="20"/>
      <c r="F66" s="20"/>
      <c r="G66" s="20"/>
      <c r="H66" s="9"/>
      <c r="I66" s="10">
        <v>4252</v>
      </c>
      <c r="J66" s="10">
        <v>3703</v>
      </c>
      <c r="K66" s="10">
        <v>4867</v>
      </c>
      <c r="L66" s="10">
        <v>4875</v>
      </c>
      <c r="M66" s="10">
        <v>5172</v>
      </c>
      <c r="N66" s="10">
        <v>4105</v>
      </c>
      <c r="O66" s="10">
        <v>3841</v>
      </c>
      <c r="P66" s="9"/>
      <c r="Q66" s="9"/>
      <c r="R66" s="9"/>
      <c r="S66" s="9"/>
      <c r="T66" s="9"/>
      <c r="U66" s="9"/>
      <c r="V66" s="9"/>
      <c r="W66" s="9"/>
      <c r="X66" s="3"/>
      <c r="Y66" s="3"/>
      <c r="Z66" s="3"/>
      <c r="AA66" s="3"/>
      <c r="AB66" s="3"/>
      <c r="AC66" s="3"/>
      <c r="AD66" s="3"/>
      <c r="AE66" s="3"/>
    </row>
    <row r="67" spans="1:37" ht="14.4" x14ac:dyDescent="0.4">
      <c r="A67" s="2" t="s">
        <v>60</v>
      </c>
      <c r="B67" s="8"/>
      <c r="C67" s="8"/>
      <c r="D67" s="8"/>
      <c r="E67" s="20"/>
      <c r="F67" s="20"/>
      <c r="G67" s="20"/>
      <c r="H67" s="9"/>
      <c r="I67" s="10">
        <v>2394</v>
      </c>
      <c r="J67" s="10">
        <v>2112</v>
      </c>
      <c r="K67" s="10">
        <v>2418</v>
      </c>
      <c r="L67" s="10">
        <v>2640</v>
      </c>
      <c r="M67" s="10">
        <v>2255</v>
      </c>
      <c r="N67" s="10">
        <v>2658</v>
      </c>
      <c r="O67" s="10">
        <v>2445</v>
      </c>
      <c r="P67" s="9"/>
      <c r="Q67" s="9"/>
      <c r="R67" s="9"/>
      <c r="S67" s="9"/>
      <c r="T67" s="9"/>
      <c r="U67" s="9"/>
      <c r="V67" s="9"/>
      <c r="W67" s="9"/>
      <c r="X67" s="3"/>
      <c r="Y67" s="3"/>
      <c r="Z67" s="3"/>
      <c r="AA67" s="3"/>
      <c r="AB67" s="3"/>
      <c r="AC67" s="3"/>
      <c r="AD67" s="3"/>
      <c r="AE67" s="3"/>
    </row>
    <row r="68" spans="1:37" ht="14.4" x14ac:dyDescent="0.4">
      <c r="A68" s="1" t="s">
        <v>61</v>
      </c>
      <c r="B68" s="5">
        <v>688317</v>
      </c>
      <c r="C68" s="5">
        <v>21370</v>
      </c>
      <c r="D68" s="5">
        <v>16295</v>
      </c>
      <c r="E68" s="19">
        <v>31.1</v>
      </c>
      <c r="F68" s="19">
        <v>23.7</v>
      </c>
      <c r="G68" s="19"/>
      <c r="H68" s="10"/>
      <c r="I68" s="6">
        <v>105309</v>
      </c>
      <c r="J68" s="6">
        <v>80301</v>
      </c>
      <c r="K68" s="6">
        <v>88105</v>
      </c>
      <c r="L68" s="6">
        <v>88652</v>
      </c>
      <c r="M68" s="6">
        <v>91156</v>
      </c>
      <c r="N68" s="6">
        <v>133314</v>
      </c>
      <c r="O68" s="6">
        <v>101480</v>
      </c>
      <c r="P68" s="7"/>
      <c r="Q68" s="7"/>
      <c r="R68" s="7"/>
      <c r="S68" s="7"/>
      <c r="T68" s="7"/>
      <c r="U68" s="7"/>
      <c r="V68" s="7"/>
      <c r="W68" s="7"/>
      <c r="X68" s="3"/>
      <c r="Y68" s="4">
        <f>SUM(I68:W68)</f>
        <v>688317</v>
      </c>
      <c r="Z68" s="4">
        <f>SUM(I69:W69)</f>
        <v>21370</v>
      </c>
      <c r="AA68" s="4">
        <f>SUM(I70:W70)</f>
        <v>16295</v>
      </c>
      <c r="AB68" s="4"/>
      <c r="AC68" s="4">
        <f>Y68-B68</f>
        <v>0</v>
      </c>
      <c r="AD68" s="4">
        <f>Z68-C68</f>
        <v>0</v>
      </c>
      <c r="AE68" s="4">
        <f>AA68-D68</f>
        <v>0</v>
      </c>
      <c r="AG68" s="18">
        <f>C68/B68*1000</f>
        <v>31.046741544956756</v>
      </c>
      <c r="AH68" s="18">
        <f>D68/B68*1000</f>
        <v>23.673685235146017</v>
      </c>
      <c r="AJ68" s="18">
        <f>AG68-E68</f>
        <v>-5.3258455043245334E-2</v>
      </c>
      <c r="AK68" s="18">
        <f>AH68-F68</f>
        <v>-2.6314764853982098E-2</v>
      </c>
    </row>
    <row r="69" spans="1:37" ht="14.4" x14ac:dyDescent="0.4">
      <c r="A69" s="2" t="s">
        <v>62</v>
      </c>
      <c r="B69" s="8"/>
      <c r="C69" s="8"/>
      <c r="D69" s="8"/>
      <c r="E69" s="20"/>
      <c r="F69" s="20"/>
      <c r="G69" s="20"/>
      <c r="H69" s="9"/>
      <c r="I69" s="10">
        <v>3419</v>
      </c>
      <c r="J69" s="10">
        <v>2492</v>
      </c>
      <c r="K69" s="10">
        <v>2736</v>
      </c>
      <c r="L69" s="10">
        <v>2502</v>
      </c>
      <c r="M69" s="10">
        <v>3023</v>
      </c>
      <c r="N69" s="10">
        <v>4008</v>
      </c>
      <c r="O69" s="10">
        <v>3190</v>
      </c>
      <c r="P69" s="9"/>
      <c r="Q69" s="9"/>
      <c r="R69" s="9"/>
      <c r="S69" s="9"/>
      <c r="T69" s="9"/>
      <c r="U69" s="9"/>
      <c r="V69" s="9"/>
      <c r="W69" s="9"/>
      <c r="X69" s="3"/>
      <c r="Y69" s="3"/>
      <c r="Z69" s="3"/>
      <c r="AA69" s="3"/>
      <c r="AB69" s="3"/>
      <c r="AC69" s="3"/>
      <c r="AD69" s="3"/>
      <c r="AE69" s="3"/>
    </row>
    <row r="70" spans="1:37" ht="14.4" x14ac:dyDescent="0.4">
      <c r="A70" s="2" t="s">
        <v>63</v>
      </c>
      <c r="B70" s="8"/>
      <c r="C70" s="8"/>
      <c r="D70" s="8"/>
      <c r="E70" s="20"/>
      <c r="F70" s="20"/>
      <c r="G70" s="20"/>
      <c r="H70" s="9"/>
      <c r="I70" s="10">
        <v>2464</v>
      </c>
      <c r="J70" s="10">
        <v>1643</v>
      </c>
      <c r="K70" s="10">
        <v>1932</v>
      </c>
      <c r="L70" s="10">
        <v>1776</v>
      </c>
      <c r="M70" s="10">
        <v>2315</v>
      </c>
      <c r="N70" s="10">
        <v>3324</v>
      </c>
      <c r="O70" s="10">
        <v>2841</v>
      </c>
      <c r="P70" s="9"/>
      <c r="Q70" s="9"/>
      <c r="R70" s="9"/>
      <c r="S70" s="9"/>
      <c r="T70" s="9"/>
      <c r="U70" s="9"/>
      <c r="V70" s="9"/>
      <c r="W70" s="9"/>
      <c r="X70" s="3"/>
      <c r="Y70" s="3"/>
      <c r="Z70" s="3"/>
      <c r="AA70" s="3"/>
      <c r="AB70" s="3"/>
      <c r="AC70" s="3"/>
      <c r="AD70" s="3"/>
      <c r="AE70" s="3"/>
    </row>
    <row r="71" spans="1:37" ht="14.4" x14ac:dyDescent="0.4">
      <c r="A71" s="1" t="s">
        <v>64</v>
      </c>
      <c r="B71" s="5">
        <v>680689</v>
      </c>
      <c r="C71" s="5">
        <v>25198</v>
      </c>
      <c r="D71" s="5">
        <v>16813</v>
      </c>
      <c r="E71" s="19">
        <v>37</v>
      </c>
      <c r="F71" s="19">
        <v>24.7</v>
      </c>
      <c r="G71" s="19"/>
      <c r="H71" s="10"/>
      <c r="I71" s="6">
        <v>70673</v>
      </c>
      <c r="J71" s="6">
        <v>68355</v>
      </c>
      <c r="K71" s="6">
        <v>71826</v>
      </c>
      <c r="L71" s="6">
        <v>78587</v>
      </c>
      <c r="M71" s="6">
        <v>106780</v>
      </c>
      <c r="N71" s="6">
        <v>57344</v>
      </c>
      <c r="O71" s="6">
        <v>89339</v>
      </c>
      <c r="P71" s="6">
        <v>73303</v>
      </c>
      <c r="Q71" s="6">
        <v>64482</v>
      </c>
      <c r="R71" s="7"/>
      <c r="S71" s="7"/>
      <c r="T71" s="7"/>
      <c r="U71" s="7"/>
      <c r="V71" s="7"/>
      <c r="W71" s="7"/>
      <c r="X71" s="3"/>
      <c r="Y71" s="4">
        <f>SUM(I71:W71)</f>
        <v>680689</v>
      </c>
      <c r="Z71" s="4">
        <f>SUM(I72:W72)</f>
        <v>25198</v>
      </c>
      <c r="AA71" s="4">
        <f>SUM(I73:W73)</f>
        <v>16813</v>
      </c>
      <c r="AB71" s="4"/>
      <c r="AC71" s="4">
        <f>Y71-B71</f>
        <v>0</v>
      </c>
      <c r="AD71" s="4">
        <f>Z71-C71</f>
        <v>0</v>
      </c>
      <c r="AE71" s="4">
        <f>AA71-D71</f>
        <v>0</v>
      </c>
      <c r="AG71" s="18">
        <f>C71/B71*1000</f>
        <v>37.018374029843294</v>
      </c>
      <c r="AH71" s="18">
        <f>D71/B71*1000</f>
        <v>24.699973115475643</v>
      </c>
      <c r="AJ71" s="18">
        <f>AG71-E71</f>
        <v>1.8374029843293727E-2</v>
      </c>
      <c r="AK71" s="18">
        <f>AH71-F71</f>
        <v>-2.6884524356063366E-5</v>
      </c>
    </row>
    <row r="72" spans="1:37" ht="14.4" x14ac:dyDescent="0.4">
      <c r="A72" s="2" t="s">
        <v>65</v>
      </c>
      <c r="B72" s="8"/>
      <c r="C72" s="8"/>
      <c r="D72" s="8"/>
      <c r="E72" s="20"/>
      <c r="F72" s="20"/>
      <c r="G72" s="20"/>
      <c r="H72" s="9"/>
      <c r="I72" s="10">
        <v>2656</v>
      </c>
      <c r="J72" s="10">
        <v>2278</v>
      </c>
      <c r="K72" s="10">
        <v>2308</v>
      </c>
      <c r="L72" s="10">
        <v>2801</v>
      </c>
      <c r="M72" s="10">
        <v>3848</v>
      </c>
      <c r="N72" s="10">
        <v>2389</v>
      </c>
      <c r="O72" s="10">
        <v>3854</v>
      </c>
      <c r="P72" s="10">
        <v>2672</v>
      </c>
      <c r="Q72" s="10">
        <v>2392</v>
      </c>
      <c r="R72" s="9"/>
      <c r="S72" s="9"/>
      <c r="T72" s="9"/>
      <c r="U72" s="9"/>
      <c r="V72" s="9"/>
      <c r="W72" s="9"/>
      <c r="X72" s="3"/>
      <c r="Y72" s="3"/>
      <c r="Z72" s="3"/>
      <c r="AA72" s="3"/>
      <c r="AB72" s="3"/>
      <c r="AC72" s="3"/>
      <c r="AD72" s="3"/>
      <c r="AE72" s="3"/>
    </row>
    <row r="73" spans="1:37" ht="14.4" x14ac:dyDescent="0.4">
      <c r="A73" s="2" t="s">
        <v>66</v>
      </c>
      <c r="B73" s="8"/>
      <c r="C73" s="8"/>
      <c r="D73" s="8"/>
      <c r="E73" s="20"/>
      <c r="F73" s="20"/>
      <c r="G73" s="20"/>
      <c r="H73" s="9"/>
      <c r="I73" s="10">
        <v>1763</v>
      </c>
      <c r="J73" s="10">
        <v>1820</v>
      </c>
      <c r="K73" s="10">
        <v>1338</v>
      </c>
      <c r="L73" s="10">
        <v>2137</v>
      </c>
      <c r="M73" s="10">
        <v>2185</v>
      </c>
      <c r="N73" s="10">
        <v>1415</v>
      </c>
      <c r="O73" s="10">
        <v>2568</v>
      </c>
      <c r="P73" s="10">
        <v>1976</v>
      </c>
      <c r="Q73" s="10">
        <v>1611</v>
      </c>
      <c r="R73" s="9"/>
      <c r="S73" s="9"/>
      <c r="T73" s="9"/>
      <c r="U73" s="9"/>
      <c r="V73" s="9"/>
      <c r="W73" s="9"/>
      <c r="X73" s="3"/>
      <c r="Y73" s="3"/>
      <c r="Z73" s="3"/>
      <c r="AA73" s="3"/>
      <c r="AB73" s="3"/>
      <c r="AC73" s="3"/>
      <c r="AD73" s="3"/>
      <c r="AE73" s="3"/>
    </row>
    <row r="74" spans="1:37" ht="14.4" x14ac:dyDescent="0.4">
      <c r="A74" s="1" t="s">
        <v>67</v>
      </c>
      <c r="B74" s="5">
        <v>688953</v>
      </c>
      <c r="C74" s="5">
        <v>17877</v>
      </c>
      <c r="D74" s="5">
        <v>12570</v>
      </c>
      <c r="E74" s="19">
        <v>25.9</v>
      </c>
      <c r="F74" s="19">
        <v>18.2</v>
      </c>
      <c r="G74" s="19"/>
      <c r="H74" s="10"/>
      <c r="I74" s="6">
        <v>105411</v>
      </c>
      <c r="J74" s="6">
        <v>58077</v>
      </c>
      <c r="K74" s="6">
        <v>49723</v>
      </c>
      <c r="L74" s="6">
        <v>58221</v>
      </c>
      <c r="M74" s="6">
        <v>69875</v>
      </c>
      <c r="N74" s="6">
        <v>81869</v>
      </c>
      <c r="O74" s="6">
        <v>76103</v>
      </c>
      <c r="P74" s="6">
        <v>68500</v>
      </c>
      <c r="Q74" s="6">
        <v>52511</v>
      </c>
      <c r="R74" s="6">
        <v>68663</v>
      </c>
      <c r="S74" s="7"/>
      <c r="T74" s="7"/>
      <c r="U74" s="7"/>
      <c r="V74" s="7"/>
      <c r="W74" s="7"/>
      <c r="X74" s="3"/>
      <c r="Y74" s="4">
        <f>SUM(I74:W74)</f>
        <v>688953</v>
      </c>
      <c r="Z74" s="4">
        <f>SUM(I75:W75)</f>
        <v>17877</v>
      </c>
      <c r="AA74" s="4">
        <f>SUM(I76:W76)</f>
        <v>12570</v>
      </c>
      <c r="AB74" s="4"/>
      <c r="AC74" s="4">
        <f>Y74-B74</f>
        <v>0</v>
      </c>
      <c r="AD74" s="4">
        <f>Z74-C74</f>
        <v>0</v>
      </c>
      <c r="AE74" s="4">
        <f>AA74-D74</f>
        <v>0</v>
      </c>
      <c r="AG74" s="18">
        <f>C74/B74*1000</f>
        <v>25.94806902647931</v>
      </c>
      <c r="AH74" s="18">
        <f>D74/B74*1000</f>
        <v>18.245076224357831</v>
      </c>
      <c r="AJ74" s="18">
        <f>AG74-E74</f>
        <v>4.8069026479311106E-2</v>
      </c>
      <c r="AK74" s="18">
        <f>AH74-F74</f>
        <v>4.5076224357831762E-2</v>
      </c>
    </row>
    <row r="75" spans="1:37" ht="14.4" x14ac:dyDescent="0.4">
      <c r="A75" s="2" t="s">
        <v>68</v>
      </c>
      <c r="B75" s="8"/>
      <c r="C75" s="8"/>
      <c r="D75" s="8"/>
      <c r="E75" s="20"/>
      <c r="F75" s="20"/>
      <c r="G75" s="20"/>
      <c r="H75" s="9"/>
      <c r="I75" s="10">
        <v>2444</v>
      </c>
      <c r="J75" s="10">
        <v>1375</v>
      </c>
      <c r="K75" s="10">
        <v>1251</v>
      </c>
      <c r="L75" s="10">
        <v>1588</v>
      </c>
      <c r="M75" s="10">
        <v>1801</v>
      </c>
      <c r="N75" s="10">
        <v>2745</v>
      </c>
      <c r="O75" s="10">
        <v>2023</v>
      </c>
      <c r="P75" s="10">
        <v>1583</v>
      </c>
      <c r="Q75" s="10">
        <v>1360</v>
      </c>
      <c r="R75" s="10">
        <v>1707</v>
      </c>
      <c r="S75" s="9"/>
      <c r="T75" s="9"/>
      <c r="U75" s="9"/>
      <c r="V75" s="9"/>
      <c r="W75" s="9"/>
      <c r="X75" s="3"/>
      <c r="Y75" s="3"/>
      <c r="Z75" s="3"/>
      <c r="AA75" s="3"/>
      <c r="AB75" s="3"/>
      <c r="AC75" s="3"/>
      <c r="AD75" s="3"/>
      <c r="AE75" s="3"/>
    </row>
    <row r="76" spans="1:37" ht="14.4" x14ac:dyDescent="0.4">
      <c r="A76" s="2" t="s">
        <v>69</v>
      </c>
      <c r="B76" s="8"/>
      <c r="C76" s="8"/>
      <c r="D76" s="8"/>
      <c r="E76" s="20"/>
      <c r="F76" s="20"/>
      <c r="G76" s="20"/>
      <c r="H76" s="9"/>
      <c r="I76" s="10">
        <v>2032</v>
      </c>
      <c r="J76" s="10">
        <v>1002</v>
      </c>
      <c r="K76" s="10">
        <v>1034</v>
      </c>
      <c r="L76" s="10">
        <v>968</v>
      </c>
      <c r="M76" s="10">
        <v>1124</v>
      </c>
      <c r="N76" s="10">
        <v>1848</v>
      </c>
      <c r="O76" s="10">
        <v>1290</v>
      </c>
      <c r="P76" s="10">
        <v>957</v>
      </c>
      <c r="Q76" s="10">
        <v>1032</v>
      </c>
      <c r="R76" s="10">
        <v>1283</v>
      </c>
      <c r="S76" s="9"/>
      <c r="T76" s="9"/>
      <c r="U76" s="9"/>
      <c r="V76" s="9"/>
      <c r="W76" s="9"/>
      <c r="X76" s="3"/>
      <c r="Y76" s="3"/>
      <c r="Z76" s="3"/>
      <c r="AA76" s="3"/>
      <c r="AB76" s="3"/>
      <c r="AC76" s="3"/>
      <c r="AD76" s="3"/>
      <c r="AE76" s="3"/>
    </row>
    <row r="77" spans="1:37" ht="14.4" x14ac:dyDescent="0.4">
      <c r="A77" s="1" t="s">
        <v>70</v>
      </c>
      <c r="B77" s="5">
        <v>1239758</v>
      </c>
      <c r="C77" s="5">
        <v>36395</v>
      </c>
      <c r="D77" s="5">
        <v>26105</v>
      </c>
      <c r="E77" s="19">
        <v>29.4</v>
      </c>
      <c r="F77" s="19">
        <v>20.9</v>
      </c>
      <c r="G77" s="19"/>
      <c r="H77" s="10"/>
      <c r="I77" s="6">
        <v>318258</v>
      </c>
      <c r="J77" s="6">
        <v>119061</v>
      </c>
      <c r="K77" s="6">
        <v>133617</v>
      </c>
      <c r="L77" s="6">
        <v>98087</v>
      </c>
      <c r="M77" s="6">
        <v>120582</v>
      </c>
      <c r="N77" s="6">
        <v>188960</v>
      </c>
      <c r="O77" s="6">
        <v>100835</v>
      </c>
      <c r="P77" s="6">
        <v>100628</v>
      </c>
      <c r="Q77" s="6">
        <v>59722</v>
      </c>
      <c r="R77" s="7"/>
      <c r="S77" s="7"/>
      <c r="T77" s="7"/>
      <c r="U77" s="7"/>
      <c r="V77" s="7"/>
      <c r="W77" s="7"/>
      <c r="X77" s="3"/>
      <c r="Y77" s="4">
        <f>SUM(I77:W77)</f>
        <v>1239750</v>
      </c>
      <c r="Z77" s="4">
        <f>SUM(I78:W78)</f>
        <v>36395</v>
      </c>
      <c r="AA77" s="4">
        <f>SUM(I79:W79)</f>
        <v>26105</v>
      </c>
      <c r="AB77" s="4"/>
      <c r="AC77" s="4">
        <f>Y77-B77</f>
        <v>-8</v>
      </c>
      <c r="AD77" s="4">
        <f>Z77-C77</f>
        <v>0</v>
      </c>
      <c r="AE77" s="4">
        <f>AA77-D77</f>
        <v>0</v>
      </c>
      <c r="AG77" s="18">
        <f>C77/B77*1000</f>
        <v>29.356535711001662</v>
      </c>
      <c r="AH77" s="18">
        <f>D77/B77*1000</f>
        <v>21.05652877416399</v>
      </c>
      <c r="AJ77" s="18">
        <f>AG77-E77</f>
        <v>-4.3464288998336542E-2</v>
      </c>
      <c r="AK77" s="18">
        <f>AH77-F77</f>
        <v>0.15652877416399136</v>
      </c>
    </row>
    <row r="78" spans="1:37" ht="14.4" x14ac:dyDescent="0.4">
      <c r="A78" s="2" t="s">
        <v>71</v>
      </c>
      <c r="B78" s="8"/>
      <c r="C78" s="8"/>
      <c r="D78" s="8"/>
      <c r="E78" s="20"/>
      <c r="F78" s="20"/>
      <c r="G78" s="20"/>
      <c r="H78" s="9"/>
      <c r="I78" s="10">
        <v>9465</v>
      </c>
      <c r="J78" s="10">
        <v>3675</v>
      </c>
      <c r="K78" s="10">
        <v>3223</v>
      </c>
      <c r="L78" s="10">
        <v>3286</v>
      </c>
      <c r="M78" s="10">
        <v>3740</v>
      </c>
      <c r="N78" s="10">
        <v>5679</v>
      </c>
      <c r="O78" s="10">
        <v>2891</v>
      </c>
      <c r="P78" s="10">
        <v>2740</v>
      </c>
      <c r="Q78" s="10">
        <v>1696</v>
      </c>
      <c r="R78" s="9"/>
      <c r="S78" s="9"/>
      <c r="T78" s="9"/>
      <c r="U78" s="9"/>
      <c r="V78" s="9"/>
      <c r="W78" s="9"/>
      <c r="X78" s="3"/>
      <c r="Y78" s="3"/>
      <c r="Z78" s="3"/>
      <c r="AA78" s="3"/>
      <c r="AB78" s="3"/>
      <c r="AC78" s="3"/>
      <c r="AD78" s="3"/>
      <c r="AE78" s="3"/>
    </row>
    <row r="79" spans="1:37" ht="14.4" x14ac:dyDescent="0.4">
      <c r="A79" s="2" t="s">
        <v>72</v>
      </c>
      <c r="B79" s="8"/>
      <c r="C79" s="8"/>
      <c r="D79" s="8"/>
      <c r="E79" s="20"/>
      <c r="F79" s="20"/>
      <c r="G79" s="20"/>
      <c r="H79" s="9"/>
      <c r="I79" s="10">
        <v>6807</v>
      </c>
      <c r="J79" s="10">
        <v>2591</v>
      </c>
      <c r="K79" s="10">
        <v>2489</v>
      </c>
      <c r="L79" s="10">
        <v>2379</v>
      </c>
      <c r="M79" s="10">
        <v>2257</v>
      </c>
      <c r="N79" s="10">
        <v>4249</v>
      </c>
      <c r="O79" s="10">
        <v>1848</v>
      </c>
      <c r="P79" s="10">
        <v>2271</v>
      </c>
      <c r="Q79" s="10">
        <v>1214</v>
      </c>
      <c r="R79" s="9"/>
      <c r="S79" s="9"/>
      <c r="T79" s="9"/>
      <c r="U79" s="9"/>
      <c r="V79" s="9"/>
      <c r="W79" s="9"/>
      <c r="X79" s="3"/>
      <c r="Y79" s="3"/>
      <c r="Z79" s="3"/>
      <c r="AA79" s="3"/>
      <c r="AB79" s="3"/>
      <c r="AC79" s="3"/>
      <c r="AD79" s="3"/>
      <c r="AE79" s="3"/>
    </row>
    <row r="80" spans="1:37" ht="14.4" x14ac:dyDescent="0.4">
      <c r="A80" s="1" t="s">
        <v>73</v>
      </c>
      <c r="B80" s="5">
        <v>396785</v>
      </c>
      <c r="C80" s="5">
        <v>11809</v>
      </c>
      <c r="D80" s="5">
        <v>9200</v>
      </c>
      <c r="E80" s="19">
        <v>29.7</v>
      </c>
      <c r="F80" s="19">
        <v>23.2</v>
      </c>
      <c r="G80" s="19"/>
      <c r="H80" s="10"/>
      <c r="I80" s="6">
        <v>143439</v>
      </c>
      <c r="J80" s="6">
        <v>117276</v>
      </c>
      <c r="K80" s="6">
        <v>52704</v>
      </c>
      <c r="L80" s="6">
        <v>83366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3"/>
      <c r="Y80" s="4">
        <f>SUM(I80:W80)</f>
        <v>396785</v>
      </c>
      <c r="Z80" s="4">
        <f>SUM(I81:W81)</f>
        <v>11809</v>
      </c>
      <c r="AA80" s="4">
        <f>SUM(I82:W82)</f>
        <v>9200</v>
      </c>
      <c r="AB80" s="4"/>
      <c r="AC80" s="4">
        <f>Y80-B80</f>
        <v>0</v>
      </c>
      <c r="AD80" s="4">
        <f>Z80-C80</f>
        <v>0</v>
      </c>
      <c r="AE80" s="4">
        <f>AA80-D80</f>
        <v>0</v>
      </c>
      <c r="AG80" s="18">
        <f>C80/B80*1000</f>
        <v>29.761709742051739</v>
      </c>
      <c r="AH80" s="18">
        <f>D80/B80*1000</f>
        <v>23.186360371485819</v>
      </c>
      <c r="AJ80" s="18">
        <f>AG80-E80</f>
        <v>6.1709742051739624E-2</v>
      </c>
      <c r="AK80" s="18">
        <f>AH80-F80</f>
        <v>-1.3639628514180657E-2</v>
      </c>
    </row>
    <row r="81" spans="1:37" ht="14.4" x14ac:dyDescent="0.4">
      <c r="A81" s="2" t="s">
        <v>74</v>
      </c>
      <c r="B81" s="8"/>
      <c r="C81" s="8"/>
      <c r="D81" s="8"/>
      <c r="E81" s="20"/>
      <c r="F81" s="20"/>
      <c r="G81" s="20"/>
      <c r="H81" s="9"/>
      <c r="I81" s="10">
        <v>4149</v>
      </c>
      <c r="J81" s="10">
        <v>3772</v>
      </c>
      <c r="K81" s="10">
        <v>1585</v>
      </c>
      <c r="L81" s="10">
        <v>2303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3"/>
      <c r="Y81" s="3"/>
      <c r="Z81" s="3"/>
      <c r="AA81" s="3"/>
      <c r="AB81" s="3"/>
      <c r="AC81" s="3"/>
      <c r="AD81" s="3"/>
      <c r="AE81" s="3"/>
    </row>
    <row r="82" spans="1:37" ht="14.4" x14ac:dyDescent="0.4">
      <c r="A82" s="2" t="s">
        <v>75</v>
      </c>
      <c r="B82" s="8"/>
      <c r="C82" s="8"/>
      <c r="D82" s="8"/>
      <c r="E82" s="20"/>
      <c r="F82" s="20"/>
      <c r="G82" s="20"/>
      <c r="H82" s="9"/>
      <c r="I82" s="10">
        <v>3685</v>
      </c>
      <c r="J82" s="10">
        <v>2618</v>
      </c>
      <c r="K82" s="10">
        <v>1231</v>
      </c>
      <c r="L82" s="10">
        <v>1666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3"/>
      <c r="Y82" s="3"/>
      <c r="Z82" s="3"/>
      <c r="AA82" s="3"/>
      <c r="AB82" s="3"/>
      <c r="AC82" s="3"/>
      <c r="AD82" s="3"/>
      <c r="AE82" s="3"/>
    </row>
    <row r="83" spans="1:37" ht="14.4" x14ac:dyDescent="0.4">
      <c r="A83" s="14" t="s">
        <v>76</v>
      </c>
      <c r="B83" s="15">
        <v>10838913</v>
      </c>
      <c r="C83" s="15">
        <v>399713</v>
      </c>
      <c r="D83" s="15">
        <v>255575</v>
      </c>
      <c r="E83" s="23">
        <v>36.799999999999997</v>
      </c>
      <c r="F83" s="23">
        <v>23.6</v>
      </c>
      <c r="G83" s="23"/>
      <c r="H83" s="10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3"/>
      <c r="Y83" s="17">
        <f>SUM(Y43:Y80)</f>
        <v>10899910</v>
      </c>
      <c r="Z83" s="17">
        <f>SUM(Z43:Z80)</f>
        <v>399713</v>
      </c>
      <c r="AA83" s="17">
        <f>SUM(AA43:AA80)</f>
        <v>255515</v>
      </c>
      <c r="AB83" s="17"/>
      <c r="AC83" s="17">
        <f t="shared" ref="AC83:AE84" si="2">Y83-B83</f>
        <v>60997</v>
      </c>
      <c r="AD83" s="17">
        <f t="shared" si="2"/>
        <v>0</v>
      </c>
      <c r="AE83" s="17">
        <f t="shared" si="2"/>
        <v>-60</v>
      </c>
      <c r="AG83" s="24">
        <f>C83/B83*1000</f>
        <v>36.877590954000645</v>
      </c>
      <c r="AH83" s="24">
        <f>D83/B83*1000</f>
        <v>23.57939398535628</v>
      </c>
      <c r="AJ83" s="24">
        <f>AG83-E83</f>
        <v>7.7590954000648082E-2</v>
      </c>
      <c r="AK83" s="24">
        <f>AH83-F83</f>
        <v>-2.0606014643721693E-2</v>
      </c>
    </row>
    <row r="84" spans="1:37" ht="14.4" x14ac:dyDescent="0.4">
      <c r="A84" s="1" t="s">
        <v>77</v>
      </c>
      <c r="B84" s="5">
        <v>1525804</v>
      </c>
      <c r="C84" s="5">
        <v>73064</v>
      </c>
      <c r="D84" s="5">
        <v>43634</v>
      </c>
      <c r="E84" s="19">
        <v>47.9</v>
      </c>
      <c r="F84" s="19">
        <v>28.5</v>
      </c>
      <c r="G84" s="19"/>
      <c r="H84" s="10"/>
      <c r="I84" s="6">
        <v>250670</v>
      </c>
      <c r="J84" s="6">
        <v>267837</v>
      </c>
      <c r="K84" s="6">
        <v>157256</v>
      </c>
      <c r="L84" s="6">
        <v>178463</v>
      </c>
      <c r="M84" s="6">
        <v>160069</v>
      </c>
      <c r="N84" s="6">
        <v>170007</v>
      </c>
      <c r="O84" s="6">
        <v>193630</v>
      </c>
      <c r="P84" s="6">
        <v>147872</v>
      </c>
      <c r="Q84" s="7"/>
      <c r="R84" s="7"/>
      <c r="S84" s="7"/>
      <c r="T84" s="7"/>
      <c r="U84" s="7"/>
      <c r="V84" s="7"/>
      <c r="W84" s="7"/>
      <c r="X84" s="3"/>
      <c r="Y84" s="4">
        <f>SUM(I84:W84)</f>
        <v>1525804</v>
      </c>
      <c r="Z84" s="4">
        <f>SUM(I85:W85)</f>
        <v>73064</v>
      </c>
      <c r="AA84" s="4">
        <f>SUM(I86:W86)</f>
        <v>43634</v>
      </c>
      <c r="AB84" s="4"/>
      <c r="AC84" s="4">
        <f t="shared" si="2"/>
        <v>0</v>
      </c>
      <c r="AD84" s="4">
        <f t="shared" si="2"/>
        <v>0</v>
      </c>
      <c r="AE84" s="4">
        <f t="shared" si="2"/>
        <v>0</v>
      </c>
      <c r="AG84" s="18">
        <f>C84/B84*1000</f>
        <v>47.885573769632273</v>
      </c>
      <c r="AH84" s="18">
        <f>D84/B84*1000</f>
        <v>28.5973821015019</v>
      </c>
      <c r="AJ84" s="18">
        <f>AG84-E84</f>
        <v>-1.4426230367725168E-2</v>
      </c>
      <c r="AK84" s="18">
        <f>AH84-F84</f>
        <v>9.7382101501899854E-2</v>
      </c>
    </row>
    <row r="85" spans="1:37" ht="14.4" x14ac:dyDescent="0.4">
      <c r="A85" s="2" t="s">
        <v>78</v>
      </c>
      <c r="B85" s="8"/>
      <c r="C85" s="8"/>
      <c r="D85" s="8"/>
      <c r="E85" s="20"/>
      <c r="F85" s="20"/>
      <c r="G85" s="20"/>
      <c r="H85" s="9"/>
      <c r="I85" s="10">
        <v>10441</v>
      </c>
      <c r="J85" s="10">
        <v>10747</v>
      </c>
      <c r="K85" s="10">
        <v>8094</v>
      </c>
      <c r="L85" s="10">
        <v>11221</v>
      </c>
      <c r="M85" s="10">
        <v>7448</v>
      </c>
      <c r="N85" s="10">
        <v>5760</v>
      </c>
      <c r="O85" s="10">
        <v>11949</v>
      </c>
      <c r="P85" s="10">
        <v>7404</v>
      </c>
      <c r="Q85" s="9"/>
      <c r="R85" s="9"/>
      <c r="S85" s="9"/>
      <c r="T85" s="9"/>
      <c r="U85" s="9"/>
      <c r="V85" s="9"/>
      <c r="W85" s="9"/>
      <c r="X85" s="3"/>
      <c r="Y85" s="3"/>
      <c r="Z85" s="3"/>
      <c r="AA85" s="3"/>
      <c r="AB85" s="3"/>
      <c r="AC85" s="3"/>
      <c r="AD85" s="3"/>
      <c r="AE85" s="3"/>
    </row>
    <row r="86" spans="1:37" ht="14.4" x14ac:dyDescent="0.4">
      <c r="A86" s="2" t="s">
        <v>79</v>
      </c>
      <c r="B86" s="8"/>
      <c r="C86" s="8"/>
      <c r="D86" s="8"/>
      <c r="E86" s="20"/>
      <c r="F86" s="20"/>
      <c r="G86" s="20"/>
      <c r="H86" s="9"/>
      <c r="I86" s="10">
        <v>6769</v>
      </c>
      <c r="J86" s="10">
        <v>6997</v>
      </c>
      <c r="K86" s="10">
        <v>4724</v>
      </c>
      <c r="L86" s="10">
        <v>8142</v>
      </c>
      <c r="M86" s="10">
        <v>3721</v>
      </c>
      <c r="N86" s="10">
        <v>3252</v>
      </c>
      <c r="O86" s="10">
        <v>6260</v>
      </c>
      <c r="P86" s="10">
        <v>3769</v>
      </c>
      <c r="Q86" s="9"/>
      <c r="R86" s="9"/>
      <c r="S86" s="9"/>
      <c r="T86" s="9"/>
      <c r="U86" s="9"/>
      <c r="V86" s="9"/>
      <c r="W86" s="9"/>
      <c r="X86" s="3"/>
      <c r="Y86" s="3"/>
      <c r="Z86" s="3"/>
      <c r="AA86" s="3"/>
      <c r="AB86" s="3"/>
      <c r="AC86" s="3"/>
      <c r="AD86" s="3"/>
      <c r="AE86" s="3"/>
    </row>
    <row r="87" spans="1:37" ht="14.4" x14ac:dyDescent="0.4">
      <c r="A87" s="1" t="s">
        <v>80</v>
      </c>
      <c r="B87" s="5">
        <v>1434942</v>
      </c>
      <c r="C87" s="5">
        <v>79540</v>
      </c>
      <c r="D87" s="5">
        <v>54191</v>
      </c>
      <c r="E87" s="19">
        <v>55.4</v>
      </c>
      <c r="F87" s="19">
        <v>37.799999999999997</v>
      </c>
      <c r="G87" s="19"/>
      <c r="H87" s="10"/>
      <c r="I87" s="6">
        <v>163812</v>
      </c>
      <c r="J87" s="33">
        <v>97721</v>
      </c>
      <c r="K87" s="6">
        <v>86302</v>
      </c>
      <c r="L87" s="6">
        <v>101080</v>
      </c>
      <c r="M87" s="6">
        <v>112986</v>
      </c>
      <c r="N87" s="6">
        <v>127061</v>
      </c>
      <c r="O87" s="6">
        <v>120464</v>
      </c>
      <c r="P87" s="6">
        <v>92006</v>
      </c>
      <c r="Q87" s="6">
        <v>116558</v>
      </c>
      <c r="R87" s="6">
        <v>86795</v>
      </c>
      <c r="S87" s="6">
        <v>105374</v>
      </c>
      <c r="T87" s="6">
        <v>123683</v>
      </c>
      <c r="U87" s="6">
        <v>101100</v>
      </c>
      <c r="V87" s="7"/>
      <c r="W87" s="7"/>
      <c r="X87" s="3"/>
      <c r="Y87" s="4">
        <f>SUM(I87:W87)</f>
        <v>1434942</v>
      </c>
      <c r="Z87" s="4">
        <f>SUM(I88:W88)</f>
        <v>79540</v>
      </c>
      <c r="AA87" s="4">
        <f>SUM(I89:W89)</f>
        <v>54191</v>
      </c>
      <c r="AB87" s="4"/>
      <c r="AC87" s="4">
        <f>Y87-B87</f>
        <v>0</v>
      </c>
      <c r="AD87" s="4">
        <f>Z87-C87</f>
        <v>0</v>
      </c>
      <c r="AE87" s="4">
        <f>AA87-D87</f>
        <v>0</v>
      </c>
      <c r="AG87" s="18">
        <f>C87/B87*1000</f>
        <v>55.430811837691003</v>
      </c>
      <c r="AH87" s="18">
        <f>D87/B87*1000</f>
        <v>37.765289468145752</v>
      </c>
      <c r="AJ87" s="18">
        <f>AG87-E87</f>
        <v>3.0811837691004484E-2</v>
      </c>
      <c r="AK87" s="18">
        <f>AH87-F87</f>
        <v>-3.4710531854244664E-2</v>
      </c>
    </row>
    <row r="88" spans="1:37" ht="14.4" x14ac:dyDescent="0.4">
      <c r="A88" s="2" t="s">
        <v>81</v>
      </c>
      <c r="B88" s="8"/>
      <c r="C88" s="8"/>
      <c r="D88" s="8"/>
      <c r="E88" s="20"/>
      <c r="F88" s="20"/>
      <c r="G88" s="20"/>
      <c r="H88" s="9"/>
      <c r="I88" s="10">
        <v>7914</v>
      </c>
      <c r="J88" s="10">
        <v>5646</v>
      </c>
      <c r="K88" s="10">
        <v>4211</v>
      </c>
      <c r="L88" s="10">
        <v>4785</v>
      </c>
      <c r="M88" s="10">
        <v>5770</v>
      </c>
      <c r="N88" s="10">
        <v>7359</v>
      </c>
      <c r="O88" s="10">
        <v>6778</v>
      </c>
      <c r="P88" s="10">
        <v>4914</v>
      </c>
      <c r="Q88" s="10">
        <v>7909</v>
      </c>
      <c r="R88" s="10">
        <v>4955</v>
      </c>
      <c r="S88" s="10">
        <v>6437</v>
      </c>
      <c r="T88" s="10">
        <v>6879</v>
      </c>
      <c r="U88" s="10">
        <v>5983</v>
      </c>
      <c r="V88" s="9"/>
      <c r="W88" s="9"/>
      <c r="X88" s="3"/>
      <c r="Y88" s="3"/>
      <c r="Z88" s="3"/>
      <c r="AA88" s="3"/>
      <c r="AB88" s="3"/>
      <c r="AC88" s="3"/>
      <c r="AD88" s="3"/>
      <c r="AE88" s="3"/>
    </row>
    <row r="89" spans="1:37" ht="14.4" x14ac:dyDescent="0.4">
      <c r="A89" s="2" t="s">
        <v>82</v>
      </c>
      <c r="B89" s="8"/>
      <c r="C89" s="8"/>
      <c r="D89" s="8"/>
      <c r="E89" s="20"/>
      <c r="F89" s="20"/>
      <c r="G89" s="20"/>
      <c r="H89" s="9"/>
      <c r="I89" s="10">
        <v>5504</v>
      </c>
      <c r="J89" s="10">
        <v>4058</v>
      </c>
      <c r="K89" s="10">
        <v>2845</v>
      </c>
      <c r="L89" s="10">
        <v>3195</v>
      </c>
      <c r="M89" s="10">
        <v>3899</v>
      </c>
      <c r="N89" s="10">
        <v>5043</v>
      </c>
      <c r="O89" s="10">
        <v>4690</v>
      </c>
      <c r="P89" s="10">
        <v>3275</v>
      </c>
      <c r="Q89" s="10">
        <v>5188</v>
      </c>
      <c r="R89" s="10">
        <v>3079</v>
      </c>
      <c r="S89" s="10">
        <v>3963</v>
      </c>
      <c r="T89" s="10">
        <v>5017</v>
      </c>
      <c r="U89" s="10">
        <v>4435</v>
      </c>
      <c r="V89" s="9"/>
      <c r="W89" s="9"/>
      <c r="X89" s="3"/>
      <c r="Y89" s="3"/>
      <c r="Z89" s="3"/>
      <c r="AA89" s="3"/>
      <c r="AB89" s="3"/>
      <c r="AC89" s="3"/>
      <c r="AD89" s="3"/>
      <c r="AE89" s="3"/>
    </row>
    <row r="90" spans="1:37" ht="14.4" x14ac:dyDescent="0.4">
      <c r="A90" s="1" t="s">
        <v>83</v>
      </c>
      <c r="B90" s="5">
        <v>1258718</v>
      </c>
      <c r="C90" s="5">
        <v>54974</v>
      </c>
      <c r="D90" s="5">
        <v>36583</v>
      </c>
      <c r="E90" s="19">
        <v>43.7</v>
      </c>
      <c r="F90" s="19">
        <v>29</v>
      </c>
      <c r="G90" s="19"/>
      <c r="H90" s="10"/>
      <c r="I90" s="6">
        <v>161457</v>
      </c>
      <c r="J90" s="6">
        <v>100655</v>
      </c>
      <c r="K90" s="6">
        <v>102383</v>
      </c>
      <c r="L90" s="6">
        <v>181073</v>
      </c>
      <c r="M90" s="6">
        <v>176744</v>
      </c>
      <c r="N90" s="6">
        <v>116122</v>
      </c>
      <c r="O90" s="6">
        <v>145030</v>
      </c>
      <c r="P90" s="6">
        <v>97298</v>
      </c>
      <c r="Q90" s="6">
        <v>131349</v>
      </c>
      <c r="R90" s="6">
        <v>46607</v>
      </c>
      <c r="S90" s="7"/>
      <c r="T90" s="7"/>
      <c r="U90" s="7"/>
      <c r="V90" s="7"/>
      <c r="W90" s="7"/>
      <c r="X90" s="3"/>
      <c r="Y90" s="4">
        <f>SUM(I90:W90)</f>
        <v>1258718</v>
      </c>
      <c r="Z90" s="4">
        <f>SUM(I91:W91)</f>
        <v>54974</v>
      </c>
      <c r="AA90" s="4">
        <f>SUM(I92:W92)</f>
        <v>36583</v>
      </c>
      <c r="AB90" s="4"/>
      <c r="AC90" s="4">
        <f>Y90-B90</f>
        <v>0</v>
      </c>
      <c r="AD90" s="4">
        <f>Z90-C90</f>
        <v>0</v>
      </c>
      <c r="AE90" s="4">
        <f>AA90-D90</f>
        <v>0</v>
      </c>
      <c r="AG90" s="18">
        <f>C90/B90*1000</f>
        <v>43.674595898366434</v>
      </c>
      <c r="AH90" s="18">
        <f>D90/B90*1000</f>
        <v>29.063698143666809</v>
      </c>
      <c r="AJ90" s="18">
        <f>AG90-E90</f>
        <v>-2.5404101633569098E-2</v>
      </c>
      <c r="AK90" s="18">
        <f>AH90-F90</f>
        <v>6.3698143666808704E-2</v>
      </c>
    </row>
    <row r="91" spans="1:37" ht="14.4" x14ac:dyDescent="0.4">
      <c r="A91" s="2" t="s">
        <v>84</v>
      </c>
      <c r="B91" s="8"/>
      <c r="C91" s="8"/>
      <c r="D91" s="8"/>
      <c r="E91" s="20"/>
      <c r="F91" s="20"/>
      <c r="G91" s="20"/>
      <c r="H91" s="9"/>
      <c r="I91" s="10">
        <v>6589</v>
      </c>
      <c r="J91" s="10">
        <v>3937</v>
      </c>
      <c r="K91" s="10">
        <v>4387</v>
      </c>
      <c r="L91" s="10">
        <v>7498</v>
      </c>
      <c r="M91" s="10">
        <v>8646</v>
      </c>
      <c r="N91" s="10">
        <v>5316</v>
      </c>
      <c r="O91" s="10">
        <v>6220</v>
      </c>
      <c r="P91" s="10">
        <v>3930</v>
      </c>
      <c r="Q91" s="10">
        <v>6396</v>
      </c>
      <c r="R91" s="10">
        <v>2055</v>
      </c>
      <c r="S91" s="9"/>
      <c r="T91" s="9"/>
      <c r="U91" s="9"/>
      <c r="V91" s="9"/>
      <c r="W91" s="9"/>
      <c r="X91" s="3"/>
      <c r="Y91" s="3"/>
      <c r="Z91" s="3"/>
      <c r="AA91" s="3"/>
      <c r="AB91" s="3"/>
      <c r="AC91" s="3"/>
      <c r="AD91" s="3"/>
      <c r="AE91" s="3"/>
    </row>
    <row r="92" spans="1:37" ht="14.4" x14ac:dyDescent="0.4">
      <c r="A92" s="2" t="s">
        <v>85</v>
      </c>
      <c r="B92" s="8"/>
      <c r="C92" s="8"/>
      <c r="D92" s="8"/>
      <c r="E92" s="20"/>
      <c r="F92" s="20"/>
      <c r="G92" s="20"/>
      <c r="H92" s="9"/>
      <c r="I92" s="10">
        <v>4664</v>
      </c>
      <c r="J92" s="10">
        <v>2532</v>
      </c>
      <c r="K92" s="10">
        <v>3489</v>
      </c>
      <c r="L92" s="10">
        <v>5078</v>
      </c>
      <c r="M92" s="10">
        <v>5750</v>
      </c>
      <c r="N92" s="10">
        <v>3165</v>
      </c>
      <c r="O92" s="10">
        <v>4239</v>
      </c>
      <c r="P92" s="10">
        <v>2109</v>
      </c>
      <c r="Q92" s="10">
        <v>4385</v>
      </c>
      <c r="R92" s="10">
        <v>1172</v>
      </c>
      <c r="S92" s="9"/>
      <c r="T92" s="9"/>
      <c r="U92" s="9"/>
      <c r="V92" s="9"/>
      <c r="W92" s="9"/>
      <c r="X92" s="3"/>
      <c r="Y92" s="3"/>
      <c r="Z92" s="3"/>
      <c r="AA92" s="3"/>
      <c r="AB92" s="3"/>
      <c r="AC92" s="3"/>
      <c r="AD92" s="3"/>
      <c r="AE92" s="3"/>
    </row>
    <row r="93" spans="1:37" ht="14.4" x14ac:dyDescent="0.4">
      <c r="A93" s="1" t="s">
        <v>86</v>
      </c>
      <c r="B93" s="5">
        <v>2650756</v>
      </c>
      <c r="C93" s="5">
        <v>139267</v>
      </c>
      <c r="D93" s="5">
        <v>89062</v>
      </c>
      <c r="E93" s="19">
        <v>52.5</v>
      </c>
      <c r="F93" s="19">
        <v>33.6</v>
      </c>
      <c r="G93" s="19"/>
      <c r="H93" s="10"/>
      <c r="I93" s="6">
        <v>246899</v>
      </c>
      <c r="J93" s="6">
        <v>255859</v>
      </c>
      <c r="K93" s="6">
        <v>274926</v>
      </c>
      <c r="L93" s="6">
        <v>336312</v>
      </c>
      <c r="M93" s="6">
        <v>201058</v>
      </c>
      <c r="N93" s="6">
        <v>126593</v>
      </c>
      <c r="O93" s="6">
        <v>205842</v>
      </c>
      <c r="P93" s="6">
        <v>170375</v>
      </c>
      <c r="Q93" s="6">
        <v>183232</v>
      </c>
      <c r="R93" s="6">
        <v>182142</v>
      </c>
      <c r="S93" s="6">
        <v>288525</v>
      </c>
      <c r="T93" s="6">
        <v>178993</v>
      </c>
      <c r="U93" s="7"/>
      <c r="V93" s="7"/>
      <c r="W93" s="7"/>
      <c r="X93" s="3"/>
      <c r="Y93" s="4">
        <f>SUM(I93:W93)</f>
        <v>2650756</v>
      </c>
      <c r="Z93" s="4">
        <f>SUM(I94:W94)</f>
        <v>139267</v>
      </c>
      <c r="AA93" s="4">
        <f>SUM(I95:W95)</f>
        <v>89062</v>
      </c>
      <c r="AB93" s="4"/>
      <c r="AC93" s="4">
        <f>Y93-B93</f>
        <v>0</v>
      </c>
      <c r="AD93" s="4">
        <f>Z93-C93</f>
        <v>0</v>
      </c>
      <c r="AE93" s="4">
        <f>AA93-D93</f>
        <v>0</v>
      </c>
      <c r="AG93" s="18">
        <f>C93/B93*1000</f>
        <v>52.538596536233442</v>
      </c>
      <c r="AH93" s="18">
        <f>D93/B93*1000</f>
        <v>33.598716743449792</v>
      </c>
      <c r="AJ93" s="18">
        <f>AG93-E93</f>
        <v>3.8596536233441725E-2</v>
      </c>
      <c r="AK93" s="18">
        <f>AH93-F93</f>
        <v>-1.283256550209444E-3</v>
      </c>
    </row>
    <row r="94" spans="1:37" ht="14.4" x14ac:dyDescent="0.4">
      <c r="A94" s="2" t="s">
        <v>87</v>
      </c>
      <c r="B94" s="8"/>
      <c r="C94" s="8"/>
      <c r="D94" s="8"/>
      <c r="E94" s="20"/>
      <c r="F94" s="20"/>
      <c r="G94" s="20"/>
      <c r="H94" s="9"/>
      <c r="I94" s="10">
        <v>13218</v>
      </c>
      <c r="J94" s="10">
        <v>12184</v>
      </c>
      <c r="K94" s="10">
        <v>15226</v>
      </c>
      <c r="L94" s="10">
        <v>17838</v>
      </c>
      <c r="M94" s="10">
        <v>9821</v>
      </c>
      <c r="N94" s="10">
        <v>5302</v>
      </c>
      <c r="O94" s="10">
        <v>11937</v>
      </c>
      <c r="P94" s="10">
        <v>9013</v>
      </c>
      <c r="Q94" s="10">
        <v>9998</v>
      </c>
      <c r="R94" s="10">
        <v>10159</v>
      </c>
      <c r="S94" s="10">
        <v>15118</v>
      </c>
      <c r="T94" s="10">
        <v>9453</v>
      </c>
      <c r="U94" s="9"/>
      <c r="V94" s="9"/>
      <c r="W94" s="9"/>
      <c r="X94" s="3"/>
      <c r="Y94" s="3"/>
      <c r="Z94" s="3"/>
      <c r="AA94" s="3"/>
      <c r="AB94" s="3"/>
      <c r="AC94" s="3"/>
      <c r="AD94" s="3"/>
      <c r="AE94" s="3"/>
    </row>
    <row r="95" spans="1:37" ht="14.4" x14ac:dyDescent="0.4">
      <c r="A95" s="2" t="s">
        <v>88</v>
      </c>
      <c r="B95" s="8"/>
      <c r="C95" s="8"/>
      <c r="D95" s="8"/>
      <c r="E95" s="20"/>
      <c r="F95" s="20"/>
      <c r="G95" s="20"/>
      <c r="H95" s="9"/>
      <c r="I95" s="10">
        <v>9555</v>
      </c>
      <c r="J95" s="10">
        <v>9049</v>
      </c>
      <c r="K95" s="10">
        <v>8712</v>
      </c>
      <c r="L95" s="10">
        <v>10137</v>
      </c>
      <c r="M95" s="10">
        <v>7576</v>
      </c>
      <c r="N95" s="10">
        <v>3598</v>
      </c>
      <c r="O95" s="10">
        <v>8837</v>
      </c>
      <c r="P95" s="10">
        <v>5455</v>
      </c>
      <c r="Q95" s="10">
        <v>5846</v>
      </c>
      <c r="R95" s="10">
        <v>5246</v>
      </c>
      <c r="S95" s="10">
        <v>9768</v>
      </c>
      <c r="T95" s="10">
        <v>5283</v>
      </c>
      <c r="U95" s="9"/>
      <c r="V95" s="9"/>
      <c r="W95" s="9"/>
      <c r="X95" s="3"/>
      <c r="Y95" s="3"/>
      <c r="Z95" s="3"/>
      <c r="AA95" s="3"/>
      <c r="AB95" s="3"/>
      <c r="AC95" s="3"/>
      <c r="AD95" s="3"/>
      <c r="AE95" s="3"/>
    </row>
    <row r="96" spans="1:37" ht="14.4" x14ac:dyDescent="0.4">
      <c r="A96" s="1" t="s">
        <v>89</v>
      </c>
      <c r="B96" s="5">
        <v>2924015</v>
      </c>
      <c r="C96" s="5">
        <v>153745</v>
      </c>
      <c r="D96" s="5">
        <v>101070</v>
      </c>
      <c r="E96" s="19">
        <v>52.3</v>
      </c>
      <c r="F96" s="19">
        <v>34.6</v>
      </c>
      <c r="G96" s="19"/>
      <c r="H96" s="10"/>
      <c r="I96" s="6">
        <v>202353</v>
      </c>
      <c r="J96" s="6">
        <v>356805</v>
      </c>
      <c r="K96" s="6">
        <v>211877</v>
      </c>
      <c r="L96" s="6">
        <v>270897</v>
      </c>
      <c r="M96" s="6">
        <v>264920</v>
      </c>
      <c r="N96" s="6">
        <v>213615</v>
      </c>
      <c r="O96" s="6">
        <v>218218</v>
      </c>
      <c r="P96" s="6">
        <v>348894</v>
      </c>
      <c r="Q96" s="6">
        <v>202571</v>
      </c>
      <c r="R96" s="6">
        <v>279865</v>
      </c>
      <c r="S96" s="6">
        <v>354000</v>
      </c>
      <c r="T96" s="7"/>
      <c r="U96" s="7"/>
      <c r="V96" s="7"/>
      <c r="W96" s="7"/>
      <c r="X96" s="3"/>
      <c r="Y96" s="4">
        <f>SUM(I96:W96)</f>
        <v>2924015</v>
      </c>
      <c r="Z96" s="4">
        <f>SUM(I97:W97)</f>
        <v>153745</v>
      </c>
      <c r="AA96" s="4">
        <f>SUM(I98:W98)</f>
        <v>101070</v>
      </c>
      <c r="AB96" s="4"/>
      <c r="AC96" s="4">
        <f>Y96-B96</f>
        <v>0</v>
      </c>
      <c r="AD96" s="4">
        <f>Z96-C96</f>
        <v>0</v>
      </c>
      <c r="AE96" s="4">
        <f>AA96-D96</f>
        <v>0</v>
      </c>
      <c r="AG96" s="18">
        <f>C96/B96*1000</f>
        <v>52.580099623291943</v>
      </c>
      <c r="AH96" s="18">
        <f>D96/B96*1000</f>
        <v>34.565486155166781</v>
      </c>
      <c r="AJ96" s="18">
        <f>AG96-E96</f>
        <v>0.28009962329194593</v>
      </c>
      <c r="AK96" s="18">
        <f>AH96-F96</f>
        <v>-3.451384483322073E-2</v>
      </c>
    </row>
    <row r="97" spans="1:37" ht="14.4" x14ac:dyDescent="0.4">
      <c r="A97" s="2" t="s">
        <v>90</v>
      </c>
      <c r="B97" s="8"/>
      <c r="C97" s="8"/>
      <c r="D97" s="8"/>
      <c r="E97" s="20"/>
      <c r="F97" s="20"/>
      <c r="G97" s="20"/>
      <c r="H97" s="9"/>
      <c r="I97" s="10">
        <v>9502</v>
      </c>
      <c r="J97" s="10">
        <v>18121</v>
      </c>
      <c r="K97" s="10">
        <v>12242</v>
      </c>
      <c r="L97" s="10">
        <v>12739</v>
      </c>
      <c r="M97" s="10">
        <v>13972</v>
      </c>
      <c r="N97" s="10">
        <v>10953</v>
      </c>
      <c r="O97" s="10">
        <v>10149</v>
      </c>
      <c r="P97" s="10">
        <v>19703</v>
      </c>
      <c r="Q97" s="10">
        <v>10300</v>
      </c>
      <c r="R97" s="10">
        <v>16146</v>
      </c>
      <c r="S97" s="10">
        <v>19918</v>
      </c>
      <c r="T97" s="9"/>
      <c r="U97" s="9"/>
      <c r="V97" s="9"/>
      <c r="W97" s="9"/>
      <c r="X97" s="3"/>
      <c r="Y97" s="3"/>
      <c r="Z97" s="3"/>
      <c r="AA97" s="3"/>
      <c r="AB97" s="3"/>
      <c r="AC97" s="3"/>
      <c r="AD97" s="3"/>
      <c r="AE97" s="3"/>
    </row>
    <row r="98" spans="1:37" ht="14.4" x14ac:dyDescent="0.4">
      <c r="A98" s="2" t="s">
        <v>91</v>
      </c>
      <c r="B98" s="8"/>
      <c r="C98" s="8"/>
      <c r="D98" s="8"/>
      <c r="E98" s="20"/>
      <c r="F98" s="20"/>
      <c r="G98" s="20"/>
      <c r="H98" s="9"/>
      <c r="I98" s="10">
        <v>6951</v>
      </c>
      <c r="J98" s="10">
        <v>11260</v>
      </c>
      <c r="K98" s="10">
        <v>8511</v>
      </c>
      <c r="L98" s="10">
        <v>7897</v>
      </c>
      <c r="M98" s="10">
        <v>9238</v>
      </c>
      <c r="N98" s="10">
        <v>8465</v>
      </c>
      <c r="O98" s="10">
        <v>6319</v>
      </c>
      <c r="P98" s="10">
        <v>13301</v>
      </c>
      <c r="Q98" s="10">
        <v>6705</v>
      </c>
      <c r="R98" s="10">
        <v>10166</v>
      </c>
      <c r="S98" s="10">
        <v>12257</v>
      </c>
      <c r="T98" s="9"/>
      <c r="U98" s="9"/>
      <c r="V98" s="9"/>
      <c r="W98" s="9"/>
      <c r="X98" s="3"/>
      <c r="Y98" s="3"/>
      <c r="Z98" s="3"/>
      <c r="AA98" s="3"/>
      <c r="AB98" s="3"/>
      <c r="AC98" s="3"/>
      <c r="AD98" s="3"/>
      <c r="AE98" s="3"/>
    </row>
    <row r="99" spans="1:37" ht="14.4" x14ac:dyDescent="0.4">
      <c r="A99" s="1" t="s">
        <v>92</v>
      </c>
      <c r="B99" s="5">
        <v>1587278</v>
      </c>
      <c r="C99" s="5">
        <v>92192</v>
      </c>
      <c r="D99" s="5">
        <v>49802</v>
      </c>
      <c r="E99" s="19">
        <v>57.9</v>
      </c>
      <c r="F99" s="19">
        <v>31.4</v>
      </c>
      <c r="G99" s="19"/>
      <c r="H99" s="10"/>
      <c r="I99" s="6">
        <v>224576</v>
      </c>
      <c r="J99" s="6">
        <v>216619</v>
      </c>
      <c r="K99" s="6">
        <v>225105</v>
      </c>
      <c r="L99" s="6">
        <v>159509</v>
      </c>
      <c r="M99" s="6">
        <v>204950</v>
      </c>
      <c r="N99" s="6">
        <v>213371</v>
      </c>
      <c r="O99" s="6">
        <v>194642</v>
      </c>
      <c r="P99" s="6">
        <v>148506</v>
      </c>
      <c r="Q99" s="7"/>
      <c r="R99" s="7"/>
      <c r="S99" s="7"/>
      <c r="T99" s="7"/>
      <c r="U99" s="7"/>
      <c r="V99" s="7"/>
      <c r="W99" s="7"/>
      <c r="X99" s="3"/>
      <c r="Y99" s="4">
        <f>SUM(I99:W99)</f>
        <v>1587278</v>
      </c>
      <c r="Z99" s="4">
        <f>SUM(I100:W100)</f>
        <v>92192</v>
      </c>
      <c r="AA99" s="4">
        <f>SUM(I101:W101)</f>
        <v>49802</v>
      </c>
      <c r="AB99" s="4"/>
      <c r="AC99" s="4">
        <f>Y99-B99</f>
        <v>0</v>
      </c>
      <c r="AD99" s="4">
        <f>Z99-C99</f>
        <v>0</v>
      </c>
      <c r="AE99" s="4">
        <f>AA99-D99</f>
        <v>0</v>
      </c>
      <c r="AG99" s="18">
        <f>C99/B99*1000</f>
        <v>58.081823095891203</v>
      </c>
      <c r="AH99" s="18">
        <f>D99/B99*1000</f>
        <v>31.375726243291975</v>
      </c>
      <c r="AJ99" s="18">
        <f>AG99-E99</f>
        <v>0.18182309589120393</v>
      </c>
      <c r="AK99" s="18">
        <f>AH99-F99</f>
        <v>-2.4273756708023342E-2</v>
      </c>
    </row>
    <row r="100" spans="1:37" ht="14.4" x14ac:dyDescent="0.4">
      <c r="A100" s="2" t="s">
        <v>93</v>
      </c>
      <c r="B100" s="8"/>
      <c r="C100" s="8"/>
      <c r="D100" s="8"/>
      <c r="E100" s="20"/>
      <c r="F100" s="20"/>
      <c r="G100" s="20"/>
      <c r="H100" s="9"/>
      <c r="I100" s="10">
        <v>12093</v>
      </c>
      <c r="J100" s="10">
        <v>10086</v>
      </c>
      <c r="K100" s="10">
        <v>12849</v>
      </c>
      <c r="L100" s="10">
        <v>10128</v>
      </c>
      <c r="M100" s="10">
        <v>12427</v>
      </c>
      <c r="N100" s="10">
        <v>11008</v>
      </c>
      <c r="O100" s="10">
        <v>12089</v>
      </c>
      <c r="P100" s="10">
        <v>11512</v>
      </c>
      <c r="Q100" s="9"/>
      <c r="R100" s="9"/>
      <c r="S100" s="9"/>
      <c r="T100" s="9"/>
      <c r="U100" s="9"/>
      <c r="V100" s="9"/>
      <c r="W100" s="9"/>
      <c r="X100" s="3"/>
      <c r="Y100" s="3"/>
      <c r="Z100" s="3"/>
      <c r="AA100" s="3"/>
      <c r="AB100" s="3"/>
      <c r="AC100" s="3"/>
      <c r="AD100" s="3"/>
      <c r="AE100" s="3"/>
    </row>
    <row r="101" spans="1:37" ht="14.4" x14ac:dyDescent="0.4">
      <c r="A101" s="2" t="s">
        <v>94</v>
      </c>
      <c r="B101" s="8"/>
      <c r="C101" s="8"/>
      <c r="D101" s="8"/>
      <c r="E101" s="20"/>
      <c r="F101" s="20"/>
      <c r="G101" s="20"/>
      <c r="H101" s="9"/>
      <c r="I101" s="10">
        <v>5862</v>
      </c>
      <c r="J101" s="10">
        <v>5522</v>
      </c>
      <c r="K101" s="10">
        <v>8593</v>
      </c>
      <c r="L101" s="10">
        <v>4998</v>
      </c>
      <c r="M101" s="10">
        <v>7424</v>
      </c>
      <c r="N101" s="10">
        <v>5007</v>
      </c>
      <c r="O101" s="10">
        <v>5349</v>
      </c>
      <c r="P101" s="10">
        <v>7047</v>
      </c>
      <c r="Q101" s="9"/>
      <c r="R101" s="9"/>
      <c r="S101" s="9"/>
      <c r="T101" s="9"/>
      <c r="U101" s="9"/>
      <c r="V101" s="9"/>
      <c r="W101" s="9"/>
      <c r="X101" s="3"/>
      <c r="Y101" s="3"/>
      <c r="Z101" s="3"/>
      <c r="AA101" s="3"/>
      <c r="AB101" s="3"/>
      <c r="AC101" s="3"/>
      <c r="AD101" s="3"/>
      <c r="AE101" s="3"/>
    </row>
    <row r="102" spans="1:37" ht="14.4" x14ac:dyDescent="0.4">
      <c r="A102" s="1" t="s">
        <v>95</v>
      </c>
      <c r="B102" s="5">
        <v>2149445</v>
      </c>
      <c r="C102" s="5">
        <v>104595</v>
      </c>
      <c r="D102" s="5">
        <v>69104</v>
      </c>
      <c r="E102" s="19">
        <v>48.6</v>
      </c>
      <c r="F102" s="19">
        <v>32.1</v>
      </c>
      <c r="G102" s="19"/>
      <c r="H102" s="10"/>
      <c r="I102" s="6">
        <v>365165</v>
      </c>
      <c r="J102" s="6">
        <v>99880</v>
      </c>
      <c r="K102" s="6">
        <v>191684</v>
      </c>
      <c r="L102" s="6">
        <v>190539</v>
      </c>
      <c r="M102" s="6">
        <v>122362</v>
      </c>
      <c r="N102" s="6">
        <v>174589</v>
      </c>
      <c r="O102" s="6">
        <v>182199</v>
      </c>
      <c r="P102" s="6">
        <v>105702</v>
      </c>
      <c r="Q102" s="6">
        <v>159667</v>
      </c>
      <c r="R102" s="6">
        <v>115985</v>
      </c>
      <c r="S102" s="6">
        <v>297636</v>
      </c>
      <c r="T102" s="6">
        <v>144037</v>
      </c>
      <c r="U102" s="7"/>
      <c r="V102" s="7"/>
      <c r="W102" s="7"/>
      <c r="X102" s="3"/>
      <c r="Y102" s="4">
        <f>SUM(I102:W102)</f>
        <v>2149445</v>
      </c>
      <c r="Z102" s="4">
        <f>SUM(I103:W103)</f>
        <v>104595</v>
      </c>
      <c r="AA102" s="4">
        <f>SUM(I104:W104)</f>
        <v>69104</v>
      </c>
      <c r="AB102" s="4"/>
      <c r="AC102" s="4">
        <f>Y102-B102</f>
        <v>0</v>
      </c>
      <c r="AD102" s="4">
        <f>Z102-C102</f>
        <v>0</v>
      </c>
      <c r="AE102" s="4">
        <f>AA102-D102</f>
        <v>0</v>
      </c>
      <c r="AG102" s="18">
        <f>C102/B102*1000</f>
        <v>48.661398640114072</v>
      </c>
      <c r="AH102" s="18">
        <f>D102/B102*1000</f>
        <v>32.149694456010735</v>
      </c>
      <c r="AJ102" s="18">
        <f>AG102-E102</f>
        <v>6.1398640114070702E-2</v>
      </c>
      <c r="AK102" s="18">
        <f>AH102-F102</f>
        <v>4.9694456010733745E-2</v>
      </c>
    </row>
    <row r="103" spans="1:37" ht="14.4" x14ac:dyDescent="0.4">
      <c r="A103" s="2" t="s">
        <v>96</v>
      </c>
      <c r="B103" s="8"/>
      <c r="C103" s="8"/>
      <c r="D103" s="8"/>
      <c r="E103" s="20"/>
      <c r="F103" s="20"/>
      <c r="G103" s="20"/>
      <c r="H103" s="9"/>
      <c r="I103" s="10">
        <v>15234</v>
      </c>
      <c r="J103" s="10">
        <v>4444</v>
      </c>
      <c r="K103" s="10">
        <v>9199</v>
      </c>
      <c r="L103" s="10">
        <v>9288</v>
      </c>
      <c r="M103" s="10">
        <v>6358</v>
      </c>
      <c r="N103" s="10">
        <v>9404</v>
      </c>
      <c r="O103" s="10">
        <v>9424</v>
      </c>
      <c r="P103" s="10">
        <v>5608</v>
      </c>
      <c r="Q103" s="10">
        <v>7673</v>
      </c>
      <c r="R103" s="10">
        <v>5846</v>
      </c>
      <c r="S103" s="10">
        <v>14870</v>
      </c>
      <c r="T103" s="10">
        <v>7247</v>
      </c>
      <c r="U103" s="9"/>
      <c r="V103" s="9"/>
      <c r="W103" s="9"/>
      <c r="X103" s="3"/>
      <c r="Y103" s="3"/>
      <c r="Z103" s="3"/>
      <c r="AA103" s="3"/>
      <c r="AB103" s="3"/>
      <c r="AC103" s="3"/>
      <c r="AD103" s="3"/>
      <c r="AE103" s="3"/>
    </row>
    <row r="104" spans="1:37" ht="14.4" x14ac:dyDescent="0.4">
      <c r="A104" s="2" t="s">
        <v>97</v>
      </c>
      <c r="B104" s="8"/>
      <c r="C104" s="8"/>
      <c r="D104" s="8"/>
      <c r="E104" s="20"/>
      <c r="F104" s="20"/>
      <c r="G104" s="20"/>
      <c r="H104" s="9"/>
      <c r="I104" s="10">
        <v>11808</v>
      </c>
      <c r="J104" s="10">
        <v>3603</v>
      </c>
      <c r="K104" s="10">
        <v>6418</v>
      </c>
      <c r="L104" s="10">
        <v>5693</v>
      </c>
      <c r="M104" s="10">
        <v>4134</v>
      </c>
      <c r="N104" s="10">
        <v>5605</v>
      </c>
      <c r="O104" s="10">
        <v>5327</v>
      </c>
      <c r="P104" s="10">
        <v>3608</v>
      </c>
      <c r="Q104" s="10">
        <v>4778</v>
      </c>
      <c r="R104" s="10">
        <v>3602</v>
      </c>
      <c r="S104" s="10">
        <v>9526</v>
      </c>
      <c r="T104" s="10">
        <v>5002</v>
      </c>
      <c r="U104" s="9"/>
      <c r="V104" s="9"/>
      <c r="W104" s="9"/>
      <c r="X104" s="3"/>
      <c r="Y104" s="3"/>
      <c r="Z104" s="3"/>
      <c r="AA104" s="3"/>
      <c r="AB104" s="3"/>
      <c r="AC104" s="3"/>
      <c r="AD104" s="3"/>
      <c r="AE104" s="3"/>
    </row>
    <row r="105" spans="1:37" ht="14.4" x14ac:dyDescent="0.4">
      <c r="A105" s="1" t="s">
        <v>98</v>
      </c>
      <c r="B105" s="5">
        <v>1221377</v>
      </c>
      <c r="C105" s="5">
        <v>59813</v>
      </c>
      <c r="D105" s="5">
        <v>38318</v>
      </c>
      <c r="E105" s="19">
        <v>49.7</v>
      </c>
      <c r="F105" s="19">
        <v>31.7</v>
      </c>
      <c r="G105" s="19"/>
      <c r="H105" s="10"/>
      <c r="I105" s="6">
        <v>110174</v>
      </c>
      <c r="J105" s="6">
        <v>76844</v>
      </c>
      <c r="K105" s="6">
        <v>225763</v>
      </c>
      <c r="L105" s="6">
        <v>128761</v>
      </c>
      <c r="M105" s="6">
        <v>90306</v>
      </c>
      <c r="N105" s="6">
        <v>51170</v>
      </c>
      <c r="O105" s="6">
        <v>123828</v>
      </c>
      <c r="P105" s="6">
        <v>117510</v>
      </c>
      <c r="Q105" s="6">
        <v>157993</v>
      </c>
      <c r="R105" s="6">
        <v>69188</v>
      </c>
      <c r="S105" s="6">
        <v>69840</v>
      </c>
      <c r="T105" s="7"/>
      <c r="U105" s="7"/>
      <c r="V105" s="7"/>
      <c r="W105" s="7"/>
      <c r="X105" s="3"/>
      <c r="Y105" s="4">
        <f>SUM(I105:W105)</f>
        <v>1221377</v>
      </c>
      <c r="Z105" s="4">
        <f>SUM(I106:W106)</f>
        <v>59813</v>
      </c>
      <c r="AA105" s="4">
        <f>SUM(I107:W107)</f>
        <v>38318</v>
      </c>
      <c r="AB105" s="4"/>
      <c r="AC105" s="4">
        <f>Y105-B105</f>
        <v>0</v>
      </c>
      <c r="AD105" s="4">
        <f>Z105-C105</f>
        <v>0</v>
      </c>
      <c r="AE105" s="4">
        <f>AA105-D105</f>
        <v>0</v>
      </c>
      <c r="AG105" s="18">
        <f>C105/B105*1000</f>
        <v>48.971775299518498</v>
      </c>
      <c r="AH105" s="18">
        <f>D105/B105*1000</f>
        <v>31.372786617072371</v>
      </c>
      <c r="AJ105" s="18">
        <f>AG105-E105</f>
        <v>-0.72822470048150478</v>
      </c>
      <c r="AK105" s="18">
        <f>AH105-F105</f>
        <v>-0.3272133829276278</v>
      </c>
    </row>
    <row r="106" spans="1:37" ht="14.4" x14ac:dyDescent="0.4">
      <c r="A106" s="2" t="s">
        <v>99</v>
      </c>
      <c r="B106" s="8"/>
      <c r="C106" s="8"/>
      <c r="D106" s="8"/>
      <c r="E106" s="20"/>
      <c r="F106" s="20"/>
      <c r="G106" s="20"/>
      <c r="H106" s="9"/>
      <c r="I106" s="10">
        <v>4658</v>
      </c>
      <c r="J106" s="10">
        <v>3021</v>
      </c>
      <c r="K106" s="10">
        <v>12935</v>
      </c>
      <c r="L106" s="10">
        <v>6609</v>
      </c>
      <c r="M106" s="10">
        <v>4850</v>
      </c>
      <c r="N106" s="10">
        <v>2157</v>
      </c>
      <c r="O106" s="10">
        <v>6408</v>
      </c>
      <c r="P106" s="10">
        <v>4839</v>
      </c>
      <c r="Q106" s="10">
        <v>8143</v>
      </c>
      <c r="R106" s="10">
        <v>3326</v>
      </c>
      <c r="S106" s="10">
        <v>2867</v>
      </c>
      <c r="T106" s="9"/>
      <c r="U106" s="9"/>
      <c r="V106" s="9"/>
      <c r="W106" s="9"/>
      <c r="X106" s="3"/>
      <c r="Y106" s="3"/>
      <c r="Z106" s="3"/>
      <c r="AA106" s="3"/>
      <c r="AB106" s="3"/>
      <c r="AC106" s="3"/>
      <c r="AD106" s="3"/>
      <c r="AE106" s="3"/>
    </row>
    <row r="107" spans="1:37" ht="14.4" x14ac:dyDescent="0.4">
      <c r="A107" s="2" t="s">
        <v>100</v>
      </c>
      <c r="B107" s="8"/>
      <c r="C107" s="8"/>
      <c r="D107" s="8"/>
      <c r="E107" s="20"/>
      <c r="F107" s="20"/>
      <c r="G107" s="20"/>
      <c r="H107" s="9"/>
      <c r="I107" s="10">
        <v>3252</v>
      </c>
      <c r="J107" s="10">
        <v>2812</v>
      </c>
      <c r="K107" s="10">
        <v>6887</v>
      </c>
      <c r="L107" s="10">
        <v>3708</v>
      </c>
      <c r="M107" s="10">
        <v>2958</v>
      </c>
      <c r="N107" s="10">
        <v>2013</v>
      </c>
      <c r="O107" s="10">
        <v>4770</v>
      </c>
      <c r="P107" s="10">
        <v>2837</v>
      </c>
      <c r="Q107" s="10">
        <v>4895</v>
      </c>
      <c r="R107" s="10">
        <v>2223</v>
      </c>
      <c r="S107" s="10">
        <v>1963</v>
      </c>
      <c r="T107" s="9"/>
      <c r="U107" s="9"/>
      <c r="V107" s="9"/>
      <c r="W107" s="9"/>
      <c r="X107" s="3"/>
      <c r="Y107" s="3"/>
      <c r="Z107" s="3"/>
      <c r="AA107" s="3"/>
      <c r="AB107" s="3"/>
      <c r="AC107" s="3"/>
      <c r="AD107" s="3"/>
      <c r="AE107" s="3"/>
    </row>
    <row r="108" spans="1:37" ht="14.4" x14ac:dyDescent="0.4">
      <c r="A108" s="1" t="s">
        <v>101</v>
      </c>
      <c r="B108" s="5">
        <v>1367905</v>
      </c>
      <c r="C108" s="5">
        <v>64132</v>
      </c>
      <c r="D108" s="5">
        <v>50244</v>
      </c>
      <c r="E108" s="19">
        <v>46.1</v>
      </c>
      <c r="F108" s="19">
        <v>36.1</v>
      </c>
      <c r="G108" s="19"/>
      <c r="H108" s="10"/>
      <c r="I108" s="6">
        <v>170885</v>
      </c>
      <c r="J108" s="6">
        <v>72361</v>
      </c>
      <c r="K108" s="6">
        <v>112017</v>
      </c>
      <c r="L108" s="6">
        <v>104465</v>
      </c>
      <c r="M108" s="6">
        <v>110974</v>
      </c>
      <c r="N108" s="6">
        <v>131930</v>
      </c>
      <c r="O108" s="6">
        <v>103168</v>
      </c>
      <c r="P108" s="6">
        <v>140072</v>
      </c>
      <c r="Q108" s="6">
        <v>172426</v>
      </c>
      <c r="R108" s="6">
        <v>62302</v>
      </c>
      <c r="S108" s="6">
        <v>56010</v>
      </c>
      <c r="T108" s="6">
        <v>131295</v>
      </c>
      <c r="U108" s="7"/>
      <c r="V108" s="7"/>
      <c r="W108" s="7"/>
      <c r="X108" s="3"/>
      <c r="Y108" s="4">
        <f>SUM(I108:W108)</f>
        <v>1367905</v>
      </c>
      <c r="Z108" s="4">
        <f>SUM(I109:W109)</f>
        <v>64132</v>
      </c>
      <c r="AA108" s="4">
        <f>SUM(I110:W110)</f>
        <v>50244</v>
      </c>
      <c r="AB108" s="4"/>
      <c r="AC108" s="4">
        <f>Y108-B108</f>
        <v>0</v>
      </c>
      <c r="AD108" s="4">
        <f>Z108-C108</f>
        <v>0</v>
      </c>
      <c r="AE108" s="4">
        <f>AA108-D108</f>
        <v>0</v>
      </c>
      <c r="AG108" s="18">
        <f>C108/B108*1000</f>
        <v>46.883372748838553</v>
      </c>
      <c r="AH108" s="18">
        <f>D108/B108*1000</f>
        <v>36.730620913001999</v>
      </c>
      <c r="AJ108" s="18">
        <f>AG108-E108</f>
        <v>0.78337274883855201</v>
      </c>
      <c r="AK108" s="18">
        <f>AH108-F108</f>
        <v>0.63062091300199796</v>
      </c>
    </row>
    <row r="109" spans="1:37" ht="14.4" x14ac:dyDescent="0.4">
      <c r="A109" s="2" t="s">
        <v>102</v>
      </c>
      <c r="B109" s="8"/>
      <c r="C109" s="8"/>
      <c r="D109" s="8"/>
      <c r="E109" s="20"/>
      <c r="F109" s="20"/>
      <c r="G109" s="20"/>
      <c r="H109" s="9"/>
      <c r="I109" s="10">
        <v>7536</v>
      </c>
      <c r="J109" s="10">
        <v>3380</v>
      </c>
      <c r="K109" s="10">
        <v>4655</v>
      </c>
      <c r="L109" s="10">
        <v>6080</v>
      </c>
      <c r="M109" s="10">
        <v>4681</v>
      </c>
      <c r="N109" s="10">
        <v>6360</v>
      </c>
      <c r="O109" s="10">
        <v>4849</v>
      </c>
      <c r="P109" s="10">
        <v>7119</v>
      </c>
      <c r="Q109" s="10">
        <v>8006</v>
      </c>
      <c r="R109" s="10">
        <v>2459</v>
      </c>
      <c r="S109" s="10">
        <v>2366</v>
      </c>
      <c r="T109" s="10">
        <v>6641</v>
      </c>
      <c r="U109" s="9"/>
      <c r="V109" s="9"/>
      <c r="W109" s="9"/>
      <c r="X109" s="3"/>
      <c r="Y109" s="3"/>
      <c r="Z109" s="3"/>
      <c r="AA109" s="3"/>
      <c r="AB109" s="3"/>
      <c r="AC109" s="3"/>
      <c r="AD109" s="3"/>
      <c r="AE109" s="3"/>
    </row>
    <row r="110" spans="1:37" ht="14.4" x14ac:dyDescent="0.4">
      <c r="A110" s="2" t="s">
        <v>103</v>
      </c>
      <c r="B110" s="8"/>
      <c r="C110" s="8"/>
      <c r="D110" s="8"/>
      <c r="E110" s="20"/>
      <c r="F110" s="20"/>
      <c r="G110" s="20"/>
      <c r="H110" s="9"/>
      <c r="I110" s="10">
        <v>6246</v>
      </c>
      <c r="J110" s="10">
        <v>2903</v>
      </c>
      <c r="K110" s="10">
        <v>3528</v>
      </c>
      <c r="L110" s="10">
        <v>4080</v>
      </c>
      <c r="M110" s="10">
        <v>3613</v>
      </c>
      <c r="N110" s="10">
        <v>5759</v>
      </c>
      <c r="O110" s="10">
        <v>3081</v>
      </c>
      <c r="P110" s="10">
        <v>6518</v>
      </c>
      <c r="Q110" s="10">
        <v>6036</v>
      </c>
      <c r="R110" s="10">
        <v>1502</v>
      </c>
      <c r="S110" s="10">
        <v>1744</v>
      </c>
      <c r="T110" s="10">
        <v>5234</v>
      </c>
      <c r="U110" s="9"/>
      <c r="V110" s="9"/>
      <c r="W110" s="9"/>
      <c r="X110" s="3"/>
      <c r="Y110" s="3"/>
      <c r="Z110" s="3"/>
      <c r="AA110" s="3"/>
      <c r="AB110" s="3"/>
      <c r="AC110" s="3"/>
      <c r="AD110" s="3"/>
      <c r="AE110" s="3"/>
    </row>
    <row r="111" spans="1:37" ht="14.4" x14ac:dyDescent="0.4">
      <c r="A111" s="1" t="s">
        <v>104</v>
      </c>
      <c r="B111" s="5">
        <v>2513700</v>
      </c>
      <c r="C111" s="5">
        <v>121877</v>
      </c>
      <c r="D111" s="5">
        <v>73397</v>
      </c>
      <c r="E111" s="19">
        <v>48.1</v>
      </c>
      <c r="F111" s="19">
        <v>29.2</v>
      </c>
      <c r="G111" s="19"/>
      <c r="H111" s="10"/>
      <c r="I111" s="6">
        <v>232000</v>
      </c>
      <c r="J111" s="6">
        <v>182000</v>
      </c>
      <c r="K111" s="6">
        <v>193200</v>
      </c>
      <c r="L111" s="6">
        <v>117550</v>
      </c>
      <c r="M111" s="6">
        <v>184600</v>
      </c>
      <c r="N111" s="6">
        <v>129000</v>
      </c>
      <c r="O111" s="6">
        <v>180100</v>
      </c>
      <c r="P111" s="6">
        <v>191150</v>
      </c>
      <c r="Q111" s="6">
        <v>165200</v>
      </c>
      <c r="R111" s="6">
        <v>155800</v>
      </c>
      <c r="S111" s="6">
        <v>162700</v>
      </c>
      <c r="T111" s="6">
        <v>156300</v>
      </c>
      <c r="U111" s="6">
        <v>168600</v>
      </c>
      <c r="V111" s="6">
        <v>137900</v>
      </c>
      <c r="W111" s="33">
        <v>157600</v>
      </c>
      <c r="X111" s="3"/>
      <c r="Y111" s="4">
        <f>SUM(I111:W111)</f>
        <v>2513700</v>
      </c>
      <c r="Z111" s="4">
        <f>SUM(I112:W112)</f>
        <v>121802</v>
      </c>
      <c r="AA111" s="4">
        <f>SUM(I113:W113)</f>
        <v>73397</v>
      </c>
      <c r="AB111" s="4"/>
      <c r="AC111" s="4">
        <f>Y111-B111</f>
        <v>0</v>
      </c>
      <c r="AD111" s="4">
        <f>Z111-C111</f>
        <v>-75</v>
      </c>
      <c r="AE111" s="4">
        <f>AA111-D111</f>
        <v>0</v>
      </c>
      <c r="AG111" s="18">
        <f>C111/B111*1000</f>
        <v>48.485101642996383</v>
      </c>
      <c r="AH111" s="18">
        <f>D111/B111*1000</f>
        <v>29.198790627362058</v>
      </c>
      <c r="AJ111" s="18">
        <f>AG111-E111</f>
        <v>0.38510164299638205</v>
      </c>
      <c r="AK111" s="18">
        <f>AH111-F111</f>
        <v>-1.2093726379411862E-3</v>
      </c>
    </row>
    <row r="112" spans="1:37" ht="14.4" x14ac:dyDescent="0.4">
      <c r="A112" s="2" t="s">
        <v>105</v>
      </c>
      <c r="B112" s="8"/>
      <c r="C112" s="8"/>
      <c r="D112" s="8"/>
      <c r="E112" s="20"/>
      <c r="F112" s="20"/>
      <c r="G112" s="20"/>
      <c r="H112" s="9"/>
      <c r="I112" s="10">
        <v>10881</v>
      </c>
      <c r="J112" s="10">
        <v>9062</v>
      </c>
      <c r="K112" s="10">
        <v>8922</v>
      </c>
      <c r="L112" s="10">
        <v>6752</v>
      </c>
      <c r="M112" s="10">
        <v>8712</v>
      </c>
      <c r="N112" s="10">
        <v>6757</v>
      </c>
      <c r="O112" s="10">
        <v>8134</v>
      </c>
      <c r="P112" s="10">
        <v>10517</v>
      </c>
      <c r="Q112" s="10">
        <v>7535</v>
      </c>
      <c r="R112" s="10">
        <v>8048</v>
      </c>
      <c r="S112" s="10">
        <v>7693</v>
      </c>
      <c r="T112" s="10">
        <v>7678</v>
      </c>
      <c r="U112" s="10">
        <v>7225</v>
      </c>
      <c r="V112" s="10">
        <v>6242</v>
      </c>
      <c r="W112" s="10">
        <v>7644</v>
      </c>
      <c r="X112" s="3"/>
      <c r="Y112" s="3"/>
      <c r="Z112" s="3"/>
      <c r="AA112" s="3"/>
      <c r="AB112" s="3"/>
      <c r="AC112" s="3"/>
      <c r="AD112" s="3"/>
      <c r="AE112" s="3"/>
    </row>
    <row r="113" spans="1:37" ht="14.4" x14ac:dyDescent="0.4">
      <c r="A113" s="2" t="s">
        <v>106</v>
      </c>
      <c r="B113" s="8"/>
      <c r="C113" s="8"/>
      <c r="D113" s="8"/>
      <c r="E113" s="20"/>
      <c r="F113" s="20"/>
      <c r="G113" s="20"/>
      <c r="H113" s="9"/>
      <c r="I113" s="10">
        <v>7534</v>
      </c>
      <c r="J113" s="10">
        <v>5344</v>
      </c>
      <c r="K113" s="10">
        <v>4715</v>
      </c>
      <c r="L113" s="10">
        <v>4077</v>
      </c>
      <c r="M113" s="10">
        <v>4706</v>
      </c>
      <c r="N113" s="10">
        <v>4546</v>
      </c>
      <c r="O113" s="10">
        <v>5088</v>
      </c>
      <c r="P113" s="10">
        <v>5950</v>
      </c>
      <c r="Q113" s="10">
        <v>5500</v>
      </c>
      <c r="R113" s="10">
        <v>5108</v>
      </c>
      <c r="S113" s="10">
        <v>4311</v>
      </c>
      <c r="T113" s="10">
        <v>4937</v>
      </c>
      <c r="U113" s="10">
        <v>3822</v>
      </c>
      <c r="V113" s="10">
        <v>3269</v>
      </c>
      <c r="W113" s="10">
        <v>4490</v>
      </c>
      <c r="X113" s="3"/>
      <c r="Y113" s="3"/>
      <c r="Z113" s="3"/>
      <c r="AA113" s="3"/>
      <c r="AB113" s="3"/>
      <c r="AC113" s="3"/>
      <c r="AD113" s="3"/>
      <c r="AE113" s="3"/>
    </row>
    <row r="114" spans="1:37" ht="14.4" x14ac:dyDescent="0.4">
      <c r="A114" s="1" t="s">
        <v>107</v>
      </c>
      <c r="B114" s="5">
        <v>779410</v>
      </c>
      <c r="C114" s="5">
        <v>33557</v>
      </c>
      <c r="D114" s="5">
        <v>27696</v>
      </c>
      <c r="E114" s="19">
        <v>41</v>
      </c>
      <c r="F114" s="19">
        <v>35.5</v>
      </c>
      <c r="G114" s="19"/>
      <c r="H114" s="1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3"/>
      <c r="Y114" s="4">
        <f>B114</f>
        <v>779410</v>
      </c>
      <c r="Z114" s="4">
        <f>C114</f>
        <v>33557</v>
      </c>
      <c r="AA114" s="4">
        <f>D114</f>
        <v>27696</v>
      </c>
      <c r="AB114" s="4"/>
      <c r="AC114" s="4">
        <f t="shared" ref="AC114:AE115" si="3">Y114-B114</f>
        <v>0</v>
      </c>
      <c r="AD114" s="4">
        <f t="shared" si="3"/>
        <v>0</v>
      </c>
      <c r="AE114" s="4">
        <f t="shared" si="3"/>
        <v>0</v>
      </c>
      <c r="AG114" s="18">
        <f>C114/B114*1000</f>
        <v>43.054361632516908</v>
      </c>
      <c r="AH114" s="18">
        <f>D114/B114*1000</f>
        <v>35.534571021670239</v>
      </c>
      <c r="AJ114" s="18">
        <f>AG114-E114</f>
        <v>2.0543616325169083</v>
      </c>
      <c r="AK114" s="18">
        <f>AH114-F114</f>
        <v>3.4571021670238622E-2</v>
      </c>
    </row>
    <row r="115" spans="1:37" ht="14.4" x14ac:dyDescent="0.4">
      <c r="A115" s="1" t="s">
        <v>108</v>
      </c>
      <c r="B115" s="5">
        <v>1479259</v>
      </c>
      <c r="C115" s="5">
        <v>69416</v>
      </c>
      <c r="D115" s="5">
        <v>52131</v>
      </c>
      <c r="E115" s="19">
        <v>48.9</v>
      </c>
      <c r="F115" s="19">
        <v>35.1</v>
      </c>
      <c r="G115" s="19"/>
      <c r="H115" s="10"/>
      <c r="I115" s="6">
        <v>141102</v>
      </c>
      <c r="J115" s="6">
        <v>173239</v>
      </c>
      <c r="K115" s="6">
        <v>146596</v>
      </c>
      <c r="L115" s="6">
        <v>57490</v>
      </c>
      <c r="M115" s="6">
        <v>92005</v>
      </c>
      <c r="N115" s="6">
        <v>147673</v>
      </c>
      <c r="O115" s="6">
        <v>92769</v>
      </c>
      <c r="P115" s="6">
        <v>121329</v>
      </c>
      <c r="Q115" s="6">
        <v>132269</v>
      </c>
      <c r="R115" s="6">
        <v>70112</v>
      </c>
      <c r="S115" s="6">
        <v>104155</v>
      </c>
      <c r="T115" s="6">
        <v>70596</v>
      </c>
      <c r="U115" s="33">
        <v>129924</v>
      </c>
      <c r="V115" s="7"/>
      <c r="W115" s="7"/>
      <c r="X115" s="3"/>
      <c r="Y115" s="4">
        <f>SUM(I115:W115)</f>
        <v>1479259</v>
      </c>
      <c r="Z115" s="4">
        <f>SUM(I116:W116)</f>
        <v>69416</v>
      </c>
      <c r="AA115" s="4">
        <f>SUM(I117:W117)</f>
        <v>52131</v>
      </c>
      <c r="AB115" s="4"/>
      <c r="AC115" s="4">
        <f t="shared" si="3"/>
        <v>0</v>
      </c>
      <c r="AD115" s="4">
        <f t="shared" si="3"/>
        <v>0</v>
      </c>
      <c r="AE115" s="4">
        <f t="shared" si="3"/>
        <v>0</v>
      </c>
      <c r="AG115" s="18">
        <f>C115/B115*1000</f>
        <v>46.92619750834708</v>
      </c>
      <c r="AH115" s="18">
        <f>D115/B115*1000</f>
        <v>35.241293106886623</v>
      </c>
      <c r="AJ115" s="18">
        <f>AG115-E115</f>
        <v>-1.9738024916529184</v>
      </c>
      <c r="AK115" s="18">
        <f>AH115-F115</f>
        <v>0.14129310688662144</v>
      </c>
    </row>
    <row r="116" spans="1:37" ht="14.4" x14ac:dyDescent="0.4">
      <c r="A116" s="2" t="s">
        <v>109</v>
      </c>
      <c r="B116" s="8"/>
      <c r="C116" s="8"/>
      <c r="D116" s="8"/>
      <c r="E116" s="20"/>
      <c r="F116" s="20"/>
      <c r="G116" s="20"/>
      <c r="H116" s="9"/>
      <c r="I116" s="10">
        <v>8764</v>
      </c>
      <c r="J116" s="10">
        <v>9962</v>
      </c>
      <c r="K116" s="10">
        <v>6577</v>
      </c>
      <c r="L116" s="10">
        <v>2906</v>
      </c>
      <c r="M116" s="10">
        <v>4052</v>
      </c>
      <c r="N116" s="10">
        <v>6065</v>
      </c>
      <c r="O116" s="10">
        <v>4340</v>
      </c>
      <c r="P116" s="10">
        <v>6024</v>
      </c>
      <c r="Q116" s="10">
        <v>5126</v>
      </c>
      <c r="R116" s="10">
        <v>2928</v>
      </c>
      <c r="S116" s="10">
        <v>4231</v>
      </c>
      <c r="T116" s="10">
        <v>3252</v>
      </c>
      <c r="U116" s="33">
        <v>5189</v>
      </c>
      <c r="V116" s="9"/>
      <c r="W116" s="9"/>
      <c r="X116" s="3"/>
      <c r="Y116" s="3"/>
      <c r="Z116" s="3"/>
      <c r="AA116" s="3"/>
      <c r="AB116" s="3"/>
      <c r="AC116" s="3"/>
      <c r="AD116" s="3"/>
      <c r="AE116" s="3"/>
    </row>
    <row r="117" spans="1:37" ht="14.4" x14ac:dyDescent="0.4">
      <c r="A117" s="2" t="s">
        <v>110</v>
      </c>
      <c r="B117" s="8"/>
      <c r="C117" s="8"/>
      <c r="D117" s="8"/>
      <c r="E117" s="20"/>
      <c r="F117" s="20"/>
      <c r="G117" s="20"/>
      <c r="H117" s="9"/>
      <c r="I117" s="10">
        <v>6638</v>
      </c>
      <c r="J117" s="10">
        <v>7269</v>
      </c>
      <c r="K117" s="10">
        <v>4221</v>
      </c>
      <c r="L117" s="10">
        <v>2272</v>
      </c>
      <c r="M117" s="10">
        <v>3362</v>
      </c>
      <c r="N117" s="10">
        <v>4519</v>
      </c>
      <c r="O117" s="10">
        <v>3239</v>
      </c>
      <c r="P117" s="10">
        <v>4685</v>
      </c>
      <c r="Q117" s="10">
        <v>3103</v>
      </c>
      <c r="R117" s="10">
        <v>2769</v>
      </c>
      <c r="S117" s="10">
        <v>3051</v>
      </c>
      <c r="T117" s="10">
        <v>3339</v>
      </c>
      <c r="U117" s="33">
        <v>3664</v>
      </c>
      <c r="V117" s="9"/>
      <c r="W117" s="9"/>
      <c r="X117" s="3"/>
      <c r="Y117" s="3"/>
      <c r="Z117" s="3"/>
      <c r="AA117" s="3"/>
      <c r="AB117" s="3"/>
      <c r="AC117" s="3"/>
      <c r="AD117" s="3"/>
      <c r="AE117" s="3"/>
    </row>
    <row r="118" spans="1:37" ht="14.4" x14ac:dyDescent="0.4">
      <c r="A118" s="1" t="s">
        <v>111</v>
      </c>
      <c r="B118" s="5">
        <v>1523529</v>
      </c>
      <c r="C118" s="5">
        <v>85519</v>
      </c>
      <c r="D118" s="5">
        <v>62216</v>
      </c>
      <c r="E118" s="19">
        <v>56.1</v>
      </c>
      <c r="F118" s="19">
        <v>40.799999999999997</v>
      </c>
      <c r="G118" s="19"/>
      <c r="H118" s="10"/>
      <c r="I118" s="6">
        <v>202200</v>
      </c>
      <c r="J118" s="6">
        <v>137354</v>
      </c>
      <c r="K118" s="6">
        <v>145008</v>
      </c>
      <c r="L118" s="6">
        <v>110633</v>
      </c>
      <c r="M118" s="6">
        <v>124413</v>
      </c>
      <c r="N118" s="6">
        <v>124133</v>
      </c>
      <c r="O118" s="6">
        <v>116439</v>
      </c>
      <c r="P118" s="6">
        <v>194673</v>
      </c>
      <c r="Q118" s="6">
        <v>102146</v>
      </c>
      <c r="R118" s="6">
        <v>104613</v>
      </c>
      <c r="S118" s="6">
        <v>161917</v>
      </c>
      <c r="T118" s="7"/>
      <c r="U118" s="7"/>
      <c r="V118" s="7"/>
      <c r="W118" s="7"/>
      <c r="X118" s="3"/>
      <c r="Y118" s="4">
        <f>SUM(I118:W118)</f>
        <v>1523529</v>
      </c>
      <c r="Z118" s="4">
        <f>SUM(I119:W119)</f>
        <v>85519</v>
      </c>
      <c r="AA118" s="4">
        <f>SUM(I120:W120)</f>
        <v>62216</v>
      </c>
      <c r="AB118" s="4"/>
      <c r="AC118" s="4">
        <f>Y118-B118</f>
        <v>0</v>
      </c>
      <c r="AD118" s="4">
        <f>Z118-C118</f>
        <v>0</v>
      </c>
      <c r="AE118" s="4">
        <f>AA118-D118</f>
        <v>0</v>
      </c>
      <c r="AG118" s="18">
        <f>C118/B118*1000</f>
        <v>56.132177333020898</v>
      </c>
      <c r="AH118" s="18">
        <f>D118/B118*1000</f>
        <v>40.836767793721023</v>
      </c>
      <c r="AJ118" s="18">
        <f>AG118-E118</f>
        <v>3.2177333020896981E-2</v>
      </c>
      <c r="AK118" s="18">
        <f>AH118-F118</f>
        <v>3.676779372102601E-2</v>
      </c>
    </row>
    <row r="119" spans="1:37" ht="14.4" x14ac:dyDescent="0.4">
      <c r="A119" s="2" t="s">
        <v>112</v>
      </c>
      <c r="B119" s="8"/>
      <c r="C119" s="8"/>
      <c r="D119" s="8"/>
      <c r="E119" s="20"/>
      <c r="F119" s="20"/>
      <c r="G119" s="20"/>
      <c r="H119" s="9"/>
      <c r="I119" s="10">
        <v>10704</v>
      </c>
      <c r="J119" s="10">
        <v>8286</v>
      </c>
      <c r="K119" s="10">
        <v>8647</v>
      </c>
      <c r="L119" s="10">
        <v>6014</v>
      </c>
      <c r="M119" s="10">
        <v>6928</v>
      </c>
      <c r="N119" s="10">
        <v>6762</v>
      </c>
      <c r="O119" s="10">
        <v>6488</v>
      </c>
      <c r="P119" s="10">
        <v>11693</v>
      </c>
      <c r="Q119" s="10">
        <v>5865</v>
      </c>
      <c r="R119" s="10">
        <v>5075</v>
      </c>
      <c r="S119" s="10">
        <v>9057</v>
      </c>
      <c r="T119" s="9"/>
      <c r="U119" s="9"/>
      <c r="V119" s="9"/>
      <c r="W119" s="9"/>
      <c r="X119" s="3"/>
      <c r="Y119" s="3"/>
      <c r="Z119" s="3"/>
      <c r="AA119" s="3"/>
      <c r="AB119" s="3"/>
      <c r="AC119" s="3"/>
      <c r="AD119" s="3"/>
      <c r="AE119" s="3"/>
    </row>
    <row r="120" spans="1:37" ht="14.4" x14ac:dyDescent="0.4">
      <c r="A120" s="2" t="s">
        <v>113</v>
      </c>
      <c r="B120" s="8"/>
      <c r="C120" s="8"/>
      <c r="D120" s="8"/>
      <c r="E120" s="20"/>
      <c r="F120" s="20"/>
      <c r="G120" s="20"/>
      <c r="H120" s="9"/>
      <c r="I120" s="10">
        <v>8328</v>
      </c>
      <c r="J120" s="10">
        <v>5648</v>
      </c>
      <c r="K120" s="10">
        <v>6778</v>
      </c>
      <c r="L120" s="10">
        <v>4823</v>
      </c>
      <c r="M120" s="10">
        <v>4633</v>
      </c>
      <c r="N120" s="10">
        <v>4637</v>
      </c>
      <c r="O120" s="10">
        <v>4965</v>
      </c>
      <c r="P120" s="10">
        <v>7861</v>
      </c>
      <c r="Q120" s="10">
        <v>4373</v>
      </c>
      <c r="R120" s="10">
        <v>4418</v>
      </c>
      <c r="S120" s="10">
        <v>5752</v>
      </c>
      <c r="T120" s="9"/>
      <c r="U120" s="9"/>
      <c r="V120" s="9"/>
      <c r="W120" s="9"/>
      <c r="X120" s="3"/>
      <c r="Y120" s="3"/>
      <c r="Z120" s="3"/>
      <c r="AA120" s="3"/>
      <c r="AB120" s="3"/>
      <c r="AC120" s="3"/>
      <c r="AD120" s="3"/>
      <c r="AE120" s="3"/>
    </row>
    <row r="121" spans="1:37" ht="14.4" x14ac:dyDescent="0.4">
      <c r="A121" s="1" t="s">
        <v>114</v>
      </c>
      <c r="B121" s="5">
        <v>1240665</v>
      </c>
      <c r="C121" s="5">
        <v>53415</v>
      </c>
      <c r="D121" s="5">
        <v>36752</v>
      </c>
      <c r="E121" s="19">
        <v>43</v>
      </c>
      <c r="F121" s="19">
        <v>29.6</v>
      </c>
      <c r="G121" s="19"/>
      <c r="H121" s="10"/>
      <c r="I121" s="6">
        <v>169215</v>
      </c>
      <c r="J121" s="6">
        <v>137861</v>
      </c>
      <c r="K121" s="6">
        <v>75887</v>
      </c>
      <c r="L121" s="6">
        <v>89011</v>
      </c>
      <c r="M121" s="6">
        <v>70881</v>
      </c>
      <c r="N121" s="6">
        <v>110106</v>
      </c>
      <c r="O121" s="6">
        <v>85470</v>
      </c>
      <c r="P121" s="6">
        <v>184440</v>
      </c>
      <c r="Q121" s="6">
        <v>87932</v>
      </c>
      <c r="R121" s="6">
        <v>87263</v>
      </c>
      <c r="S121" s="6">
        <v>142599</v>
      </c>
      <c r="T121" s="7"/>
      <c r="U121" s="7"/>
      <c r="V121" s="7"/>
      <c r="W121" s="7"/>
      <c r="X121" s="3"/>
      <c r="Y121" s="4">
        <f>SUM(I121:W121)</f>
        <v>1240665</v>
      </c>
      <c r="Z121" s="4">
        <f>SUM(I122:W122)</f>
        <v>53415</v>
      </c>
      <c r="AA121" s="4">
        <f>SUM(I123:W123)</f>
        <v>36752</v>
      </c>
      <c r="AB121" s="4"/>
      <c r="AC121" s="4">
        <f>Y121-B121</f>
        <v>0</v>
      </c>
      <c r="AD121" s="4">
        <f>Z121-C121</f>
        <v>0</v>
      </c>
      <c r="AE121" s="4">
        <f>AA121-D121</f>
        <v>0</v>
      </c>
      <c r="AG121" s="18">
        <f>C121/B121*1000</f>
        <v>43.053523715104404</v>
      </c>
      <c r="AH121" s="18">
        <f>D121/B121*1000</f>
        <v>29.622823243986087</v>
      </c>
      <c r="AJ121" s="18">
        <f>AG121-E121</f>
        <v>5.3523715104404346E-2</v>
      </c>
      <c r="AK121" s="18">
        <f>AH121-F121</f>
        <v>2.2823243986085373E-2</v>
      </c>
    </row>
    <row r="122" spans="1:37" ht="14.4" x14ac:dyDescent="0.4">
      <c r="A122" s="2" t="s">
        <v>115</v>
      </c>
      <c r="B122" s="8"/>
      <c r="C122" s="8"/>
      <c r="D122" s="8"/>
      <c r="E122" s="20"/>
      <c r="F122" s="20"/>
      <c r="G122" s="20"/>
      <c r="H122" s="9"/>
      <c r="I122" s="10">
        <v>6963</v>
      </c>
      <c r="J122" s="10">
        <v>6107</v>
      </c>
      <c r="K122" s="10">
        <v>3411</v>
      </c>
      <c r="L122" s="10">
        <v>4127</v>
      </c>
      <c r="M122" s="10">
        <v>3964</v>
      </c>
      <c r="N122" s="10">
        <v>4881</v>
      </c>
      <c r="O122" s="10">
        <v>2215</v>
      </c>
      <c r="P122" s="10">
        <v>7597</v>
      </c>
      <c r="Q122" s="10">
        <v>4180</v>
      </c>
      <c r="R122" s="10">
        <v>3459</v>
      </c>
      <c r="S122" s="10">
        <v>6511</v>
      </c>
      <c r="T122" s="9"/>
      <c r="U122" s="9"/>
      <c r="V122" s="9"/>
      <c r="W122" s="9"/>
      <c r="X122" s="3"/>
      <c r="Y122" s="3"/>
      <c r="Z122" s="3"/>
      <c r="AA122" s="3"/>
      <c r="AB122" s="3"/>
      <c r="AC122" s="3"/>
      <c r="AD122" s="3"/>
      <c r="AE122" s="3"/>
    </row>
    <row r="123" spans="1:37" ht="14.4" x14ac:dyDescent="0.4">
      <c r="A123" s="2" t="s">
        <v>116</v>
      </c>
      <c r="B123" s="8"/>
      <c r="C123" s="8"/>
      <c r="D123" s="8"/>
      <c r="E123" s="20"/>
      <c r="F123" s="20"/>
      <c r="G123" s="20"/>
      <c r="H123" s="9"/>
      <c r="I123" s="10">
        <v>4878</v>
      </c>
      <c r="J123" s="10">
        <v>4713</v>
      </c>
      <c r="K123" s="10">
        <v>2206</v>
      </c>
      <c r="L123" s="10">
        <v>3343</v>
      </c>
      <c r="M123" s="10">
        <v>2503</v>
      </c>
      <c r="N123" s="10">
        <v>3713</v>
      </c>
      <c r="O123" s="10">
        <v>1665</v>
      </c>
      <c r="P123" s="10">
        <v>5045</v>
      </c>
      <c r="Q123" s="10">
        <v>2837</v>
      </c>
      <c r="R123" s="10">
        <v>2236</v>
      </c>
      <c r="S123" s="10">
        <v>3613</v>
      </c>
      <c r="T123" s="9"/>
      <c r="U123" s="9"/>
      <c r="V123" s="9"/>
      <c r="W123" s="9"/>
      <c r="X123" s="3"/>
      <c r="Y123" s="3"/>
      <c r="Z123" s="3"/>
      <c r="AA123" s="3"/>
      <c r="AB123" s="3"/>
      <c r="AC123" s="3"/>
      <c r="AD123" s="3"/>
      <c r="AE123" s="3"/>
    </row>
    <row r="124" spans="1:37" ht="14.4" x14ac:dyDescent="0.4">
      <c r="A124" s="1" t="s">
        <v>117</v>
      </c>
      <c r="B124" s="5">
        <v>345283</v>
      </c>
      <c r="C124" s="5">
        <v>16797</v>
      </c>
      <c r="D124" s="5">
        <v>12080</v>
      </c>
      <c r="E124" s="19">
        <v>48.6</v>
      </c>
      <c r="F124" s="19">
        <v>35</v>
      </c>
      <c r="G124" s="19"/>
      <c r="H124" s="10"/>
      <c r="I124" s="6">
        <v>80300</v>
      </c>
      <c r="J124" s="6">
        <v>48109</v>
      </c>
      <c r="K124" s="6">
        <v>76334</v>
      </c>
      <c r="L124" s="6">
        <v>41762</v>
      </c>
      <c r="M124" s="6">
        <v>38871</v>
      </c>
      <c r="N124" s="6">
        <v>27016</v>
      </c>
      <c r="O124" s="6">
        <v>32901</v>
      </c>
      <c r="P124" s="7"/>
      <c r="Q124" s="7"/>
      <c r="R124" s="7"/>
      <c r="S124" s="7"/>
      <c r="T124" s="7"/>
      <c r="U124" s="7"/>
      <c r="V124" s="7"/>
      <c r="W124" s="7"/>
      <c r="X124" s="3"/>
      <c r="Y124" s="4">
        <f>SUM(I124:W124)</f>
        <v>345293</v>
      </c>
      <c r="Z124" s="4">
        <f>SUM(I125:W125)</f>
        <v>16797</v>
      </c>
      <c r="AA124" s="4">
        <f>SUM(I126:W126)</f>
        <v>12080</v>
      </c>
      <c r="AB124" s="4"/>
      <c r="AC124" s="4">
        <f>Y124-B124</f>
        <v>10</v>
      </c>
      <c r="AD124" s="4">
        <f>Z124-C124</f>
        <v>0</v>
      </c>
      <c r="AE124" s="4">
        <f>AA124-D124</f>
        <v>0</v>
      </c>
      <c r="AG124" s="18">
        <f>C124/B124*1000</f>
        <v>48.647051838636713</v>
      </c>
      <c r="AH124" s="18">
        <f>D124/B124*1000</f>
        <v>34.985794261518812</v>
      </c>
      <c r="AJ124" s="18">
        <f>AG124-E124</f>
        <v>4.7051838636711807E-2</v>
      </c>
      <c r="AK124" s="18">
        <f>AH124-F124</f>
        <v>-1.420573848118778E-2</v>
      </c>
    </row>
    <row r="125" spans="1:37" ht="14.4" x14ac:dyDescent="0.4">
      <c r="A125" s="2" t="s">
        <v>118</v>
      </c>
      <c r="B125" s="8"/>
      <c r="C125" s="8"/>
      <c r="D125" s="8"/>
      <c r="E125" s="20"/>
      <c r="F125" s="20"/>
      <c r="G125" s="20"/>
      <c r="H125" s="9"/>
      <c r="I125" s="10">
        <v>3731</v>
      </c>
      <c r="J125" s="10">
        <v>2436</v>
      </c>
      <c r="K125" s="10">
        <v>3745</v>
      </c>
      <c r="L125" s="10">
        <v>2123</v>
      </c>
      <c r="M125" s="10">
        <v>1915</v>
      </c>
      <c r="N125" s="10">
        <v>1115</v>
      </c>
      <c r="O125" s="10">
        <v>1732</v>
      </c>
      <c r="P125" s="9"/>
      <c r="Q125" s="9"/>
      <c r="R125" s="9"/>
      <c r="S125" s="9"/>
      <c r="T125" s="9"/>
      <c r="U125" s="9"/>
      <c r="V125" s="9"/>
      <c r="W125" s="9"/>
      <c r="X125" s="3"/>
      <c r="Y125" s="3"/>
      <c r="Z125" s="3"/>
      <c r="AA125" s="3"/>
      <c r="AB125" s="3"/>
      <c r="AC125" s="3"/>
      <c r="AD125" s="3"/>
      <c r="AE125" s="3"/>
    </row>
    <row r="126" spans="1:37" ht="14.4" x14ac:dyDescent="0.4">
      <c r="A126" s="2" t="s">
        <v>119</v>
      </c>
      <c r="B126" s="8"/>
      <c r="C126" s="8"/>
      <c r="D126" s="8"/>
      <c r="E126" s="20"/>
      <c r="F126" s="20"/>
      <c r="G126" s="20"/>
      <c r="H126" s="9"/>
      <c r="I126" s="10">
        <v>2729</v>
      </c>
      <c r="J126" s="10">
        <v>1874</v>
      </c>
      <c r="K126" s="10">
        <v>2584</v>
      </c>
      <c r="L126" s="10">
        <v>1580</v>
      </c>
      <c r="M126" s="10">
        <v>1547</v>
      </c>
      <c r="N126" s="10">
        <v>654</v>
      </c>
      <c r="O126" s="10">
        <v>1112</v>
      </c>
      <c r="P126" s="9"/>
      <c r="Q126" s="9"/>
      <c r="R126" s="9"/>
      <c r="S126" s="9"/>
      <c r="T126" s="9"/>
      <c r="U126" s="9"/>
      <c r="V126" s="9"/>
      <c r="W126" s="9"/>
      <c r="X126" s="3"/>
      <c r="Y126" s="3"/>
      <c r="Z126" s="3"/>
      <c r="AA126" s="3"/>
      <c r="AB126" s="3"/>
      <c r="AC126" s="3"/>
      <c r="AD126" s="3"/>
      <c r="AE126" s="3"/>
    </row>
    <row r="127" spans="1:37" ht="14.4" x14ac:dyDescent="0.4">
      <c r="A127" s="1" t="s">
        <v>120</v>
      </c>
      <c r="B127" s="5">
        <v>2071964</v>
      </c>
      <c r="C127" s="5">
        <v>108526</v>
      </c>
      <c r="D127" s="5">
        <v>67264</v>
      </c>
      <c r="E127" s="19">
        <v>52.4</v>
      </c>
      <c r="F127" s="19">
        <v>32.4</v>
      </c>
      <c r="G127" s="19"/>
      <c r="H127" s="10"/>
      <c r="I127" s="12" t="s">
        <v>4</v>
      </c>
      <c r="J127" s="12" t="s">
        <v>4</v>
      </c>
      <c r="K127" s="12" t="s">
        <v>4</v>
      </c>
      <c r="L127" s="12" t="s">
        <v>4</v>
      </c>
      <c r="M127" s="12" t="s">
        <v>4</v>
      </c>
      <c r="N127" s="12" t="s">
        <v>4</v>
      </c>
      <c r="O127" s="12" t="s">
        <v>4</v>
      </c>
      <c r="P127" s="12" t="s">
        <v>4</v>
      </c>
      <c r="Q127" s="12" t="s">
        <v>4</v>
      </c>
      <c r="R127" s="12" t="s">
        <v>4</v>
      </c>
      <c r="S127" s="12" t="s">
        <v>4</v>
      </c>
      <c r="T127" s="12" t="s">
        <v>4</v>
      </c>
      <c r="U127" s="7"/>
      <c r="V127" s="7"/>
      <c r="W127" s="7"/>
      <c r="X127" s="3"/>
      <c r="Y127" s="4">
        <f>B127</f>
        <v>2071964</v>
      </c>
      <c r="Z127" s="4">
        <f>SUM(I128:W128)</f>
        <v>108426</v>
      </c>
      <c r="AA127" s="4">
        <f>SUM(I129:W129)</f>
        <v>67264</v>
      </c>
      <c r="AB127" s="4"/>
      <c r="AC127" s="4">
        <f>Y127-B127</f>
        <v>0</v>
      </c>
      <c r="AD127" s="4">
        <f>Z127-C127</f>
        <v>-100</v>
      </c>
      <c r="AE127" s="4">
        <f>AA127-D127</f>
        <v>0</v>
      </c>
      <c r="AG127" s="18">
        <f>C127/B127*1000</f>
        <v>52.37832317549919</v>
      </c>
      <c r="AH127" s="18">
        <f>D127/B127*1000</f>
        <v>32.463884507645886</v>
      </c>
      <c r="AJ127" s="18">
        <f>AG127-E127</f>
        <v>-2.1676824500808323E-2</v>
      </c>
      <c r="AK127" s="18">
        <f>AH127-F127</f>
        <v>6.3884507645887822E-2</v>
      </c>
    </row>
    <row r="128" spans="1:37" ht="14.4" x14ac:dyDescent="0.4">
      <c r="A128" s="2" t="s">
        <v>121</v>
      </c>
      <c r="B128" s="8"/>
      <c r="C128" s="8"/>
      <c r="D128" s="8"/>
      <c r="E128" s="20"/>
      <c r="F128" s="20"/>
      <c r="G128" s="20"/>
      <c r="H128" s="9"/>
      <c r="I128" s="10">
        <v>10727</v>
      </c>
      <c r="J128" s="10">
        <v>7446</v>
      </c>
      <c r="K128" s="10">
        <v>9291</v>
      </c>
      <c r="L128" s="10">
        <v>5431</v>
      </c>
      <c r="M128" s="10">
        <v>15670</v>
      </c>
      <c r="N128" s="10">
        <v>7338</v>
      </c>
      <c r="O128" s="10">
        <v>5774</v>
      </c>
      <c r="P128" s="10">
        <v>16631</v>
      </c>
      <c r="Q128" s="10">
        <v>9827</v>
      </c>
      <c r="R128" s="10">
        <v>5557</v>
      </c>
      <c r="S128" s="10">
        <v>7804</v>
      </c>
      <c r="T128" s="10">
        <v>6930</v>
      </c>
      <c r="U128" s="9"/>
      <c r="V128" s="9"/>
      <c r="W128" s="9"/>
      <c r="X128" s="3"/>
      <c r="Y128" s="3"/>
      <c r="Z128" s="3"/>
      <c r="AA128" s="3"/>
      <c r="AB128" s="3"/>
      <c r="AC128" s="3"/>
      <c r="AD128" s="3"/>
      <c r="AE128" s="3"/>
    </row>
    <row r="129" spans="1:37" ht="14.4" x14ac:dyDescent="0.4">
      <c r="A129" s="2" t="s">
        <v>122</v>
      </c>
      <c r="B129" s="8"/>
      <c r="C129" s="8"/>
      <c r="D129" s="8"/>
      <c r="E129" s="20"/>
      <c r="F129" s="20"/>
      <c r="G129" s="20"/>
      <c r="H129" s="9"/>
      <c r="I129" s="10">
        <v>7622</v>
      </c>
      <c r="J129" s="10">
        <v>3735</v>
      </c>
      <c r="K129" s="10">
        <v>4136</v>
      </c>
      <c r="L129" s="10">
        <v>2849</v>
      </c>
      <c r="M129" s="10">
        <v>10487</v>
      </c>
      <c r="N129" s="10">
        <v>4575</v>
      </c>
      <c r="O129" s="10">
        <v>3650</v>
      </c>
      <c r="P129" s="10">
        <v>10907</v>
      </c>
      <c r="Q129" s="10">
        <v>5956</v>
      </c>
      <c r="R129" s="10">
        <v>3917</v>
      </c>
      <c r="S129" s="10">
        <v>5247</v>
      </c>
      <c r="T129" s="10">
        <v>4183</v>
      </c>
      <c r="U129" s="9"/>
      <c r="V129" s="9"/>
      <c r="W129" s="9"/>
      <c r="X129" s="3"/>
      <c r="Y129" s="3"/>
      <c r="Z129" s="3"/>
      <c r="AA129" s="3"/>
      <c r="AB129" s="3"/>
      <c r="AC129" s="3"/>
      <c r="AD129" s="3"/>
      <c r="AE129" s="3"/>
    </row>
    <row r="130" spans="1:37" ht="14.4" x14ac:dyDescent="0.4">
      <c r="A130" s="1" t="s">
        <v>123</v>
      </c>
      <c r="B130" s="5">
        <v>1543427</v>
      </c>
      <c r="C130" s="5">
        <v>83960</v>
      </c>
      <c r="D130" s="5">
        <v>59613</v>
      </c>
      <c r="E130" s="19">
        <v>54.4</v>
      </c>
      <c r="F130" s="19">
        <v>38.6</v>
      </c>
      <c r="G130" s="19"/>
      <c r="H130" s="10"/>
      <c r="I130" s="6">
        <v>154997</v>
      </c>
      <c r="J130" s="6">
        <v>167638</v>
      </c>
      <c r="K130" s="6">
        <v>191253</v>
      </c>
      <c r="L130" s="6">
        <v>130737</v>
      </c>
      <c r="M130" s="6">
        <v>175275</v>
      </c>
      <c r="N130" s="6">
        <v>111300</v>
      </c>
      <c r="O130" s="6">
        <v>132005</v>
      </c>
      <c r="P130" s="6">
        <v>170791</v>
      </c>
      <c r="Q130" s="6">
        <v>152761</v>
      </c>
      <c r="R130" s="6">
        <v>156670</v>
      </c>
      <c r="S130" s="7"/>
      <c r="T130" s="7"/>
      <c r="U130" s="7"/>
      <c r="V130" s="7"/>
      <c r="W130" s="7"/>
      <c r="X130" s="3"/>
      <c r="Y130" s="4">
        <f>SUM(I130:W130)</f>
        <v>1543427</v>
      </c>
      <c r="Z130" s="4">
        <f>SUM(I131:W131)</f>
        <v>83960</v>
      </c>
      <c r="AA130" s="4">
        <f>SUM(I132:W132)</f>
        <v>59613</v>
      </c>
      <c r="AB130" s="4"/>
      <c r="AC130" s="4">
        <f>Y130-B130</f>
        <v>0</v>
      </c>
      <c r="AD130" s="4">
        <f>Z130-C130</f>
        <v>0</v>
      </c>
      <c r="AE130" s="4">
        <f>AA130-D130</f>
        <v>0</v>
      </c>
      <c r="AG130" s="18">
        <f>C130/B130*1000</f>
        <v>54.398426359004993</v>
      </c>
      <c r="AH130" s="18">
        <f>D130/B130*1000</f>
        <v>38.623789787272095</v>
      </c>
      <c r="AJ130" s="18">
        <f>AG130-E130</f>
        <v>-1.5736409950051211E-3</v>
      </c>
      <c r="AK130" s="18">
        <f>AH130-F130</f>
        <v>2.3789787272093577E-2</v>
      </c>
    </row>
    <row r="131" spans="1:37" ht="14.4" x14ac:dyDescent="0.4">
      <c r="A131" s="2" t="s">
        <v>124</v>
      </c>
      <c r="B131" s="8"/>
      <c r="C131" s="8"/>
      <c r="D131" s="8"/>
      <c r="E131" s="20"/>
      <c r="F131" s="20"/>
      <c r="G131" s="20"/>
      <c r="H131" s="9"/>
      <c r="I131" s="10">
        <v>8879</v>
      </c>
      <c r="J131" s="10">
        <v>9255</v>
      </c>
      <c r="K131" s="10">
        <v>11058</v>
      </c>
      <c r="L131" s="10">
        <v>5962</v>
      </c>
      <c r="M131" s="10">
        <v>9787</v>
      </c>
      <c r="N131" s="10">
        <v>6994</v>
      </c>
      <c r="O131" s="10">
        <v>7105</v>
      </c>
      <c r="P131" s="10">
        <v>8238</v>
      </c>
      <c r="Q131" s="10">
        <v>7662</v>
      </c>
      <c r="R131" s="10">
        <v>9020</v>
      </c>
      <c r="S131" s="9"/>
      <c r="T131" s="9"/>
      <c r="U131" s="9"/>
      <c r="V131" s="9"/>
      <c r="W131" s="9"/>
      <c r="X131" s="3"/>
      <c r="Y131" s="3"/>
      <c r="Z131" s="3"/>
      <c r="AA131" s="3"/>
      <c r="AB131" s="3"/>
      <c r="AC131" s="3"/>
      <c r="AD131" s="3"/>
      <c r="AE131" s="3"/>
    </row>
    <row r="132" spans="1:37" ht="14.4" x14ac:dyDescent="0.4">
      <c r="A132" s="2" t="s">
        <v>125</v>
      </c>
      <c r="B132" s="8"/>
      <c r="C132" s="8"/>
      <c r="D132" s="8"/>
      <c r="E132" s="20"/>
      <c r="F132" s="20"/>
      <c r="G132" s="20"/>
      <c r="H132" s="9"/>
      <c r="I132" s="10">
        <v>6440</v>
      </c>
      <c r="J132" s="10">
        <v>6811</v>
      </c>
      <c r="K132" s="10">
        <v>7832</v>
      </c>
      <c r="L132" s="10">
        <v>4205</v>
      </c>
      <c r="M132" s="10">
        <v>5911</v>
      </c>
      <c r="N132" s="10">
        <v>4735</v>
      </c>
      <c r="O132" s="10">
        <v>4574</v>
      </c>
      <c r="P132" s="10">
        <v>6488</v>
      </c>
      <c r="Q132" s="10">
        <v>5286</v>
      </c>
      <c r="R132" s="10">
        <v>7331</v>
      </c>
      <c r="S132" s="9"/>
      <c r="T132" s="9"/>
      <c r="U132" s="9"/>
      <c r="V132" s="9"/>
      <c r="W132" s="9"/>
      <c r="X132" s="3"/>
      <c r="Y132" s="3"/>
      <c r="Z132" s="3"/>
      <c r="AA132" s="3"/>
      <c r="AB132" s="3"/>
      <c r="AC132" s="3"/>
      <c r="AD132" s="3"/>
      <c r="AE132" s="3"/>
    </row>
    <row r="133" spans="1:37" ht="14.4" x14ac:dyDescent="0.4">
      <c r="A133" s="1" t="s">
        <v>126</v>
      </c>
      <c r="B133" s="5">
        <v>2742514</v>
      </c>
      <c r="C133" s="5">
        <v>155753</v>
      </c>
      <c r="D133" s="5">
        <v>110142</v>
      </c>
      <c r="E133" s="19">
        <v>56.8</v>
      </c>
      <c r="F133" s="19">
        <v>40.1</v>
      </c>
      <c r="G133" s="19"/>
      <c r="H133" s="10"/>
      <c r="I133" s="33">
        <v>225605</v>
      </c>
      <c r="J133" s="6">
        <v>214274</v>
      </c>
      <c r="K133" s="6">
        <v>373896</v>
      </c>
      <c r="L133" s="6">
        <v>140139</v>
      </c>
      <c r="M133" s="6">
        <v>251945</v>
      </c>
      <c r="N133" s="6">
        <v>235977</v>
      </c>
      <c r="O133" s="6">
        <v>123165</v>
      </c>
      <c r="P133" s="6">
        <v>256537</v>
      </c>
      <c r="Q133" s="6">
        <v>267837</v>
      </c>
      <c r="R133" s="6">
        <v>220525</v>
      </c>
      <c r="S133" s="6">
        <v>98365</v>
      </c>
      <c r="T133" s="6">
        <v>334249</v>
      </c>
      <c r="U133" s="7"/>
      <c r="V133" s="7"/>
      <c r="W133" s="7"/>
      <c r="X133" s="3"/>
      <c r="Y133" s="4">
        <f>SUM(I133:W133)</f>
        <v>2742514</v>
      </c>
      <c r="Z133" s="4">
        <f>SUM(I134:W134)</f>
        <v>155753</v>
      </c>
      <c r="AA133" s="4">
        <f>SUM(I135:W135)</f>
        <v>110142</v>
      </c>
      <c r="AB133" s="4"/>
      <c r="AC133" s="4">
        <f>Y133-B133</f>
        <v>0</v>
      </c>
      <c r="AD133" s="4">
        <f>Z133-C133</f>
        <v>0</v>
      </c>
      <c r="AE133" s="4">
        <f>AA133-D133</f>
        <v>0</v>
      </c>
      <c r="AG133" s="18">
        <f>C133/B133*1000</f>
        <v>56.792052839110397</v>
      </c>
      <c r="AH133" s="18">
        <f>D133/B133*1000</f>
        <v>40.160961803658985</v>
      </c>
      <c r="AJ133" s="18">
        <f>AG133-E133</f>
        <v>-7.9471608896000134E-3</v>
      </c>
      <c r="AK133" s="18">
        <f>AH133-F133</f>
        <v>6.0961803658983627E-2</v>
      </c>
    </row>
    <row r="134" spans="1:37" ht="14.4" x14ac:dyDescent="0.4">
      <c r="A134" s="2" t="s">
        <v>127</v>
      </c>
      <c r="B134" s="8"/>
      <c r="C134" s="8"/>
      <c r="D134" s="8"/>
      <c r="E134" s="20"/>
      <c r="F134" s="20"/>
      <c r="G134" s="20"/>
      <c r="H134" s="9"/>
      <c r="I134" s="10">
        <v>12721</v>
      </c>
      <c r="J134" s="10">
        <v>12307</v>
      </c>
      <c r="K134" s="10">
        <v>21665</v>
      </c>
      <c r="L134" s="10">
        <v>8171</v>
      </c>
      <c r="M134" s="10">
        <v>14833</v>
      </c>
      <c r="N134" s="10">
        <v>12974</v>
      </c>
      <c r="O134" s="10">
        <v>8165</v>
      </c>
      <c r="P134" s="10">
        <v>13084</v>
      </c>
      <c r="Q134" s="10">
        <v>16024</v>
      </c>
      <c r="R134" s="10">
        <v>12244</v>
      </c>
      <c r="S134" s="10">
        <v>5088</v>
      </c>
      <c r="T134" s="10">
        <v>18477</v>
      </c>
      <c r="U134" s="9"/>
      <c r="V134" s="9"/>
      <c r="W134" s="9"/>
      <c r="X134" s="3"/>
      <c r="Y134" s="3"/>
      <c r="Z134" s="3"/>
      <c r="AA134" s="3"/>
      <c r="AB134" s="3"/>
      <c r="AC134" s="3"/>
      <c r="AD134" s="3"/>
      <c r="AE134" s="3"/>
    </row>
    <row r="135" spans="1:37" ht="14.4" x14ac:dyDescent="0.4">
      <c r="A135" s="2" t="s">
        <v>128</v>
      </c>
      <c r="B135" s="8"/>
      <c r="C135" s="8"/>
      <c r="D135" s="8"/>
      <c r="E135" s="20"/>
      <c r="F135" s="20"/>
      <c r="G135" s="20"/>
      <c r="H135" s="9"/>
      <c r="I135" s="10">
        <v>9428</v>
      </c>
      <c r="J135" s="10">
        <v>8519</v>
      </c>
      <c r="K135" s="10">
        <v>15421</v>
      </c>
      <c r="L135" s="10">
        <v>6656</v>
      </c>
      <c r="M135" s="10">
        <v>11153</v>
      </c>
      <c r="N135" s="10">
        <v>8244</v>
      </c>
      <c r="O135" s="10">
        <v>6422</v>
      </c>
      <c r="P135" s="10">
        <v>9067</v>
      </c>
      <c r="Q135" s="10">
        <v>10699</v>
      </c>
      <c r="R135" s="10">
        <v>7845</v>
      </c>
      <c r="S135" s="10">
        <v>3163</v>
      </c>
      <c r="T135" s="10">
        <v>13525</v>
      </c>
      <c r="U135" s="9"/>
      <c r="V135" s="9"/>
      <c r="W135" s="9"/>
      <c r="X135" s="3"/>
      <c r="Y135" s="3"/>
      <c r="Z135" s="3"/>
      <c r="AA135" s="3"/>
      <c r="AB135" s="3"/>
      <c r="AC135" s="3"/>
      <c r="AD135" s="3"/>
      <c r="AE135" s="3"/>
    </row>
    <row r="136" spans="1:37" ht="14.4" x14ac:dyDescent="0.4">
      <c r="A136" s="1" t="s">
        <v>129</v>
      </c>
      <c r="B136" s="5">
        <v>2848307</v>
      </c>
      <c r="C136" s="5">
        <v>133410</v>
      </c>
      <c r="D136" s="5">
        <v>78641</v>
      </c>
      <c r="E136" s="19">
        <v>46.8</v>
      </c>
      <c r="F136" s="19">
        <v>27.6</v>
      </c>
      <c r="G136" s="19"/>
      <c r="H136" s="10"/>
      <c r="I136" s="6">
        <v>224302</v>
      </c>
      <c r="J136" s="6">
        <v>166554</v>
      </c>
      <c r="K136" s="6">
        <v>227830</v>
      </c>
      <c r="L136" s="6">
        <v>146475</v>
      </c>
      <c r="M136" s="6">
        <v>243565</v>
      </c>
      <c r="N136" s="6">
        <v>202986</v>
      </c>
      <c r="O136" s="6">
        <v>248619</v>
      </c>
      <c r="P136" s="6">
        <v>147430</v>
      </c>
      <c r="Q136" s="6">
        <v>129442</v>
      </c>
      <c r="R136" s="6">
        <v>159305</v>
      </c>
      <c r="S136" s="6">
        <v>196929</v>
      </c>
      <c r="T136" s="6">
        <v>166052</v>
      </c>
      <c r="U136" s="6">
        <v>212361</v>
      </c>
      <c r="V136" s="6">
        <v>205286</v>
      </c>
      <c r="W136" s="6">
        <v>171171</v>
      </c>
      <c r="X136" s="3"/>
      <c r="Y136" s="4">
        <f>SUM(I136:W136)</f>
        <v>2848307</v>
      </c>
      <c r="Z136" s="4">
        <f>SUM(I137:W137)</f>
        <v>133410</v>
      </c>
      <c r="AA136" s="4">
        <f>SUM(I138:W138)</f>
        <v>78641</v>
      </c>
      <c r="AB136" s="4"/>
      <c r="AC136" s="4">
        <f>Y136-B136</f>
        <v>0</v>
      </c>
      <c r="AD136" s="4">
        <f>Z136-C136</f>
        <v>0</v>
      </c>
      <c r="AE136" s="4">
        <f>AA136-D136</f>
        <v>0</v>
      </c>
      <c r="AG136" s="18">
        <f>C136/B136*1000</f>
        <v>46.838349939104177</v>
      </c>
      <c r="AH136" s="18">
        <f>D136/B136*1000</f>
        <v>27.609734484379668</v>
      </c>
      <c r="AJ136" s="18">
        <f>AG136-E136</f>
        <v>3.8349939104179498E-2</v>
      </c>
      <c r="AK136" s="18">
        <f>AH136-F136</f>
        <v>9.7344843796669522E-3</v>
      </c>
    </row>
    <row r="137" spans="1:37" ht="14.4" x14ac:dyDescent="0.4">
      <c r="A137" s="2" t="s">
        <v>130</v>
      </c>
      <c r="B137" s="8"/>
      <c r="C137" s="8"/>
      <c r="D137" s="8"/>
      <c r="E137" s="20"/>
      <c r="F137" s="20"/>
      <c r="G137" s="20"/>
      <c r="H137" s="9"/>
      <c r="I137" s="10">
        <v>10724</v>
      </c>
      <c r="J137" s="10">
        <v>7262</v>
      </c>
      <c r="K137" s="10">
        <v>11542</v>
      </c>
      <c r="L137" s="10">
        <v>6877</v>
      </c>
      <c r="M137" s="10">
        <v>9684</v>
      </c>
      <c r="N137" s="10">
        <v>10987</v>
      </c>
      <c r="O137" s="10">
        <v>11693</v>
      </c>
      <c r="P137" s="10">
        <v>7665</v>
      </c>
      <c r="Q137" s="10">
        <v>5315</v>
      </c>
      <c r="R137" s="10">
        <v>7642</v>
      </c>
      <c r="S137" s="10">
        <v>8782</v>
      </c>
      <c r="T137" s="10">
        <v>8359</v>
      </c>
      <c r="U137" s="10">
        <v>9551</v>
      </c>
      <c r="V137" s="10">
        <v>8858</v>
      </c>
      <c r="W137" s="10">
        <v>8469</v>
      </c>
      <c r="X137" s="3"/>
      <c r="Y137" s="3"/>
      <c r="Z137" s="3"/>
      <c r="AA137" s="3"/>
      <c r="AB137" s="3"/>
      <c r="AC137" s="3"/>
      <c r="AD137" s="3"/>
      <c r="AE137" s="3"/>
    </row>
    <row r="138" spans="1:37" ht="14.4" x14ac:dyDescent="0.4">
      <c r="A138" s="2" t="s">
        <v>131</v>
      </c>
      <c r="B138" s="8"/>
      <c r="C138" s="8"/>
      <c r="D138" s="8"/>
      <c r="E138" s="20"/>
      <c r="F138" s="20"/>
      <c r="G138" s="20"/>
      <c r="H138" s="9"/>
      <c r="I138" s="10">
        <v>7334</v>
      </c>
      <c r="J138" s="10">
        <v>4457</v>
      </c>
      <c r="K138" s="10">
        <v>7694</v>
      </c>
      <c r="L138" s="10">
        <v>4959</v>
      </c>
      <c r="M138" s="10">
        <v>4964</v>
      </c>
      <c r="N138" s="10">
        <v>5293</v>
      </c>
      <c r="O138" s="10">
        <v>5882</v>
      </c>
      <c r="P138" s="10">
        <v>4649</v>
      </c>
      <c r="Q138" s="10">
        <v>3451</v>
      </c>
      <c r="R138" s="10">
        <v>4812</v>
      </c>
      <c r="S138" s="10">
        <v>5616</v>
      </c>
      <c r="T138" s="10">
        <v>4456</v>
      </c>
      <c r="U138" s="10">
        <v>4877</v>
      </c>
      <c r="V138" s="10">
        <v>5361</v>
      </c>
      <c r="W138" s="10">
        <v>4836</v>
      </c>
      <c r="X138" s="3"/>
      <c r="Y138" s="3"/>
      <c r="Z138" s="3"/>
      <c r="AA138" s="3"/>
      <c r="AB138" s="3"/>
      <c r="AC138" s="3"/>
      <c r="AD138" s="3"/>
      <c r="AE138" s="3"/>
    </row>
    <row r="139" spans="1:37" ht="14.4" x14ac:dyDescent="0.4">
      <c r="A139" s="1" t="s">
        <v>132</v>
      </c>
      <c r="B139" s="5">
        <v>980182</v>
      </c>
      <c r="C139" s="5">
        <v>50752</v>
      </c>
      <c r="D139" s="5">
        <v>32854</v>
      </c>
      <c r="E139" s="19">
        <v>51.7</v>
      </c>
      <c r="F139" s="19">
        <v>35.5</v>
      </c>
      <c r="G139" s="19"/>
      <c r="H139" s="10"/>
      <c r="I139" s="6">
        <v>208953</v>
      </c>
      <c r="J139" s="6">
        <v>105311</v>
      </c>
      <c r="K139" s="6">
        <v>97404</v>
      </c>
      <c r="L139" s="6">
        <v>119080</v>
      </c>
      <c r="M139" s="6">
        <v>149337</v>
      </c>
      <c r="N139" s="6">
        <v>158725</v>
      </c>
      <c r="O139" s="6">
        <v>71605</v>
      </c>
      <c r="P139" s="6">
        <v>69767</v>
      </c>
      <c r="Q139" s="7"/>
      <c r="R139" s="7"/>
      <c r="S139" s="7"/>
      <c r="T139" s="7"/>
      <c r="U139" s="7"/>
      <c r="V139" s="7"/>
      <c r="W139" s="7"/>
      <c r="X139" s="3"/>
      <c r="Y139" s="4">
        <f>SUM(I139:W139)</f>
        <v>980182</v>
      </c>
      <c r="Z139" s="4">
        <f>SUM(I140:W140)</f>
        <v>50752</v>
      </c>
      <c r="AA139" s="4">
        <f>SUM(I141:W141)</f>
        <v>32848</v>
      </c>
      <c r="AB139" s="4"/>
      <c r="AC139" s="4">
        <f>Y139-B139</f>
        <v>0</v>
      </c>
      <c r="AD139" s="4">
        <f>Z139-C139</f>
        <v>0</v>
      </c>
      <c r="AE139" s="4">
        <f>AA139-D139</f>
        <v>-6</v>
      </c>
      <c r="AG139" s="18">
        <f>C139/B139*1000</f>
        <v>51.778139161910751</v>
      </c>
      <c r="AH139" s="18">
        <f>D139/B139*1000</f>
        <v>33.518264975280097</v>
      </c>
      <c r="AJ139" s="18">
        <f>AG139-E139</f>
        <v>7.8139161910748101E-2</v>
      </c>
      <c r="AK139" s="18">
        <f>AH139-F139</f>
        <v>-1.981735024719903</v>
      </c>
    </row>
    <row r="140" spans="1:37" ht="14.4" x14ac:dyDescent="0.4">
      <c r="A140" s="2" t="s">
        <v>133</v>
      </c>
      <c r="B140" s="8"/>
      <c r="C140" s="8"/>
      <c r="D140" s="8"/>
      <c r="E140" s="20"/>
      <c r="F140" s="20"/>
      <c r="G140" s="20"/>
      <c r="H140" s="9"/>
      <c r="I140" s="10">
        <v>9942</v>
      </c>
      <c r="J140" s="10">
        <v>6130</v>
      </c>
      <c r="K140" s="10">
        <v>4899</v>
      </c>
      <c r="L140" s="10">
        <v>6094</v>
      </c>
      <c r="M140" s="10">
        <v>7308</v>
      </c>
      <c r="N140" s="10">
        <v>7681</v>
      </c>
      <c r="O140" s="10">
        <v>4439</v>
      </c>
      <c r="P140" s="10">
        <v>4259</v>
      </c>
      <c r="Q140" s="9"/>
      <c r="R140" s="9"/>
      <c r="S140" s="9"/>
      <c r="T140" s="9"/>
      <c r="U140" s="9"/>
      <c r="V140" s="9"/>
      <c r="W140" s="9"/>
      <c r="X140" s="3"/>
      <c r="Y140" s="3"/>
      <c r="Z140" s="3"/>
      <c r="AA140" s="3"/>
      <c r="AB140" s="3"/>
      <c r="AC140" s="3"/>
      <c r="AD140" s="3"/>
      <c r="AE140" s="3"/>
    </row>
    <row r="141" spans="1:37" ht="14.4" x14ac:dyDescent="0.4">
      <c r="A141" s="2" t="s">
        <v>134</v>
      </c>
      <c r="B141" s="8"/>
      <c r="C141" s="8"/>
      <c r="D141" s="8"/>
      <c r="E141" s="20"/>
      <c r="F141" s="20"/>
      <c r="G141" s="20"/>
      <c r="H141" s="9"/>
      <c r="I141" s="10">
        <v>6296</v>
      </c>
      <c r="J141" s="10">
        <v>4102</v>
      </c>
      <c r="K141" s="10">
        <v>3210</v>
      </c>
      <c r="L141" s="10">
        <v>3638</v>
      </c>
      <c r="M141" s="10">
        <v>4655</v>
      </c>
      <c r="N141" s="10">
        <v>5211</v>
      </c>
      <c r="O141" s="10">
        <v>2649</v>
      </c>
      <c r="P141" s="10">
        <v>3087</v>
      </c>
      <c r="Q141" s="9"/>
      <c r="R141" s="9"/>
      <c r="S141" s="9"/>
      <c r="T141" s="9"/>
      <c r="U141" s="9"/>
      <c r="V141" s="9"/>
      <c r="W141" s="9"/>
      <c r="X141" s="3"/>
      <c r="Y141" s="3"/>
      <c r="Z141" s="3"/>
      <c r="AA141" s="3"/>
      <c r="AB141" s="3"/>
      <c r="AC141" s="3"/>
      <c r="AD141" s="3"/>
      <c r="AE141" s="3"/>
    </row>
    <row r="142" spans="1:37" ht="14.4" x14ac:dyDescent="0.4">
      <c r="A142" s="1" t="s">
        <v>135</v>
      </c>
      <c r="B142" s="5">
        <v>1876581</v>
      </c>
      <c r="C142" s="5">
        <v>94003</v>
      </c>
      <c r="D142" s="5">
        <v>60567</v>
      </c>
      <c r="E142" s="19">
        <v>50.1</v>
      </c>
      <c r="F142" s="19">
        <v>31.7</v>
      </c>
      <c r="G142" s="19"/>
      <c r="H142" s="10"/>
      <c r="I142" s="6">
        <v>212865</v>
      </c>
      <c r="J142" s="6">
        <v>119225</v>
      </c>
      <c r="K142" s="6">
        <v>144464</v>
      </c>
      <c r="L142" s="6">
        <v>133475</v>
      </c>
      <c r="M142" s="6">
        <v>176404</v>
      </c>
      <c r="N142" s="6">
        <v>160755</v>
      </c>
      <c r="O142" s="6">
        <v>120853</v>
      </c>
      <c r="P142" s="6">
        <v>154208</v>
      </c>
      <c r="Q142" s="6">
        <v>142986</v>
      </c>
      <c r="R142" s="6">
        <v>167280</v>
      </c>
      <c r="S142" s="6">
        <v>189363</v>
      </c>
      <c r="T142" s="6">
        <v>163703</v>
      </c>
      <c r="U142" s="7"/>
      <c r="V142" s="7"/>
      <c r="W142" s="7"/>
      <c r="X142" s="3"/>
      <c r="Y142" s="4">
        <f>SUM(I142:W142)</f>
        <v>1885581</v>
      </c>
      <c r="Z142" s="4">
        <f>SUM(I143:W143)</f>
        <v>93603</v>
      </c>
      <c r="AA142" s="4">
        <f>SUM(I144:W144)</f>
        <v>60567</v>
      </c>
      <c r="AB142" s="4"/>
      <c r="AC142" s="4">
        <f>Y142-B142</f>
        <v>9000</v>
      </c>
      <c r="AD142" s="4">
        <f>Z142-C142</f>
        <v>-400</v>
      </c>
      <c r="AE142" s="4">
        <f>AA142-D142</f>
        <v>0</v>
      </c>
      <c r="AG142" s="18">
        <f>C142/B142*1000</f>
        <v>50.092695172763655</v>
      </c>
      <c r="AH142" s="18">
        <f>D142/B142*1000</f>
        <v>32.27518556353283</v>
      </c>
      <c r="AJ142" s="18">
        <f>AG142-E142</f>
        <v>-7.3048272363465117E-3</v>
      </c>
      <c r="AK142" s="18">
        <f>AH142-F142</f>
        <v>0.57518556353283046</v>
      </c>
    </row>
    <row r="143" spans="1:37" ht="14.4" x14ac:dyDescent="0.4">
      <c r="A143" s="2" t="s">
        <v>136</v>
      </c>
      <c r="B143" s="8"/>
      <c r="C143" s="8"/>
      <c r="D143" s="8"/>
      <c r="E143" s="20"/>
      <c r="F143" s="20"/>
      <c r="G143" s="20"/>
      <c r="H143" s="9"/>
      <c r="I143" s="10">
        <v>9768</v>
      </c>
      <c r="J143" s="10">
        <v>5642</v>
      </c>
      <c r="K143" s="10">
        <v>7202</v>
      </c>
      <c r="L143" s="10">
        <v>5465</v>
      </c>
      <c r="M143" s="10">
        <v>8185</v>
      </c>
      <c r="N143" s="10">
        <v>7932</v>
      </c>
      <c r="O143" s="10">
        <v>5789</v>
      </c>
      <c r="P143" s="10">
        <v>8755</v>
      </c>
      <c r="Q143" s="10">
        <v>8366</v>
      </c>
      <c r="R143" s="10">
        <v>8954</v>
      </c>
      <c r="S143" s="10">
        <v>9583</v>
      </c>
      <c r="T143" s="10">
        <v>7962</v>
      </c>
      <c r="U143" s="9"/>
      <c r="V143" s="9"/>
      <c r="W143" s="9"/>
      <c r="X143" s="3"/>
      <c r="Y143" s="3"/>
      <c r="Z143" s="3"/>
      <c r="AA143" s="3"/>
      <c r="AB143" s="3"/>
      <c r="AC143" s="3"/>
      <c r="AD143" s="3"/>
      <c r="AE143" s="3"/>
    </row>
    <row r="144" spans="1:37" ht="14.4" x14ac:dyDescent="0.4">
      <c r="A144" s="2" t="s">
        <v>137</v>
      </c>
      <c r="B144" s="8"/>
      <c r="C144" s="8"/>
      <c r="D144" s="8"/>
      <c r="E144" s="20"/>
      <c r="F144" s="20"/>
      <c r="G144" s="20"/>
      <c r="H144" s="9"/>
      <c r="I144" s="10">
        <v>6675</v>
      </c>
      <c r="J144" s="10">
        <v>3475</v>
      </c>
      <c r="K144" s="10">
        <v>4438</v>
      </c>
      <c r="L144" s="10">
        <v>3410</v>
      </c>
      <c r="M144" s="10">
        <v>7394</v>
      </c>
      <c r="N144" s="10">
        <v>4849</v>
      </c>
      <c r="O144" s="10">
        <v>3083</v>
      </c>
      <c r="P144" s="10">
        <v>5956</v>
      </c>
      <c r="Q144" s="10">
        <v>5022</v>
      </c>
      <c r="R144" s="10">
        <v>5579</v>
      </c>
      <c r="S144" s="10">
        <v>5754</v>
      </c>
      <c r="T144" s="10">
        <v>4932</v>
      </c>
      <c r="U144" s="9"/>
      <c r="V144" s="9"/>
      <c r="W144" s="9"/>
      <c r="X144" s="3"/>
      <c r="Y144" s="3"/>
      <c r="Z144" s="3"/>
      <c r="AA144" s="3"/>
      <c r="AB144" s="3"/>
      <c r="AC144" s="3"/>
      <c r="AD144" s="3"/>
      <c r="AE144" s="3"/>
    </row>
    <row r="145" spans="1:37" ht="14.4" x14ac:dyDescent="0.4">
      <c r="A145" s="1" t="s">
        <v>138</v>
      </c>
      <c r="B145" s="5">
        <v>2570800</v>
      </c>
      <c r="C145" s="5">
        <v>154781</v>
      </c>
      <c r="D145" s="5">
        <v>101773</v>
      </c>
      <c r="E145" s="19">
        <v>60.2</v>
      </c>
      <c r="F145" s="19">
        <v>39.6</v>
      </c>
      <c r="G145" s="19"/>
      <c r="H145" s="10"/>
      <c r="I145" s="6">
        <v>351375</v>
      </c>
      <c r="J145" s="6">
        <v>279055</v>
      </c>
      <c r="K145" s="6">
        <v>349754</v>
      </c>
      <c r="L145" s="6">
        <v>446600</v>
      </c>
      <c r="M145" s="6">
        <v>477802</v>
      </c>
      <c r="N145" s="6">
        <v>380666</v>
      </c>
      <c r="O145" s="6">
        <v>274548</v>
      </c>
      <c r="P145" s="7"/>
      <c r="Q145" s="7"/>
      <c r="R145" s="7"/>
      <c r="S145" s="7"/>
      <c r="T145" s="7"/>
      <c r="U145" s="7"/>
      <c r="V145" s="7"/>
      <c r="W145" s="7"/>
      <c r="X145" s="3"/>
      <c r="Y145" s="4">
        <f>SUM(I145:W145)</f>
        <v>2559800</v>
      </c>
      <c r="Z145" s="4">
        <f>SUM(I146:W146)</f>
        <v>154781</v>
      </c>
      <c r="AA145" s="4">
        <f>SUM(I147:W147)</f>
        <v>101763</v>
      </c>
      <c r="AB145" s="4"/>
      <c r="AC145" s="4">
        <f>Y145-B145</f>
        <v>-11000</v>
      </c>
      <c r="AD145" s="4">
        <f>Z145-C145</f>
        <v>0</v>
      </c>
      <c r="AE145" s="4">
        <f>AA145-D145</f>
        <v>-10</v>
      </c>
      <c r="AG145" s="18">
        <f>C145/B145*1000</f>
        <v>60.207328458067529</v>
      </c>
      <c r="AH145" s="18">
        <f>D145/B145*1000</f>
        <v>39.588065971681971</v>
      </c>
      <c r="AJ145" s="18">
        <f>AG145-E145</f>
        <v>7.3284580675263555E-3</v>
      </c>
      <c r="AK145" s="18">
        <f>AH145-F145</f>
        <v>-1.1934028318030698E-2</v>
      </c>
    </row>
    <row r="146" spans="1:37" ht="14.4" x14ac:dyDescent="0.4">
      <c r="A146" s="2" t="s">
        <v>139</v>
      </c>
      <c r="B146" s="8"/>
      <c r="C146" s="8"/>
      <c r="D146" s="8"/>
      <c r="E146" s="20"/>
      <c r="F146" s="20"/>
      <c r="G146" s="20"/>
      <c r="H146" s="9"/>
      <c r="I146" s="10">
        <v>18629</v>
      </c>
      <c r="J146" s="10">
        <v>14334</v>
      </c>
      <c r="K146" s="10">
        <v>21428</v>
      </c>
      <c r="L146" s="10">
        <v>29795</v>
      </c>
      <c r="M146" s="10">
        <v>30817</v>
      </c>
      <c r="N146" s="10">
        <v>23851</v>
      </c>
      <c r="O146" s="10">
        <v>15927</v>
      </c>
      <c r="P146" s="9"/>
      <c r="Q146" s="9"/>
      <c r="R146" s="9"/>
      <c r="S146" s="9"/>
      <c r="T146" s="9"/>
      <c r="U146" s="9"/>
      <c r="V146" s="9"/>
      <c r="W146" s="9"/>
      <c r="X146" s="3"/>
      <c r="Y146" s="3"/>
      <c r="Z146" s="3"/>
      <c r="AA146" s="3"/>
      <c r="AB146" s="3"/>
      <c r="AC146" s="3"/>
      <c r="AD146" s="3"/>
      <c r="AE146" s="3"/>
    </row>
    <row r="147" spans="1:37" ht="14.4" x14ac:dyDescent="0.4">
      <c r="A147" s="2" t="s">
        <v>140</v>
      </c>
      <c r="B147" s="8"/>
      <c r="C147" s="8"/>
      <c r="D147" s="8"/>
      <c r="E147" s="20"/>
      <c r="F147" s="20"/>
      <c r="G147" s="20"/>
      <c r="H147" s="9"/>
      <c r="I147" s="10">
        <v>13873</v>
      </c>
      <c r="J147" s="10">
        <v>8687</v>
      </c>
      <c r="K147" s="10">
        <v>14764</v>
      </c>
      <c r="L147" s="10">
        <v>18767</v>
      </c>
      <c r="M147" s="10">
        <v>20327</v>
      </c>
      <c r="N147" s="10">
        <v>16109</v>
      </c>
      <c r="O147" s="10">
        <v>9236</v>
      </c>
      <c r="P147" s="9"/>
      <c r="Q147" s="9"/>
      <c r="R147" s="9"/>
      <c r="S147" s="9"/>
      <c r="T147" s="9"/>
      <c r="U147" s="9"/>
      <c r="V147" s="9"/>
      <c r="W147" s="9"/>
      <c r="X147" s="3"/>
      <c r="Y147" s="3"/>
      <c r="Z147" s="3"/>
      <c r="AA147" s="3"/>
      <c r="AB147" s="3"/>
      <c r="AC147" s="3"/>
      <c r="AD147" s="3"/>
      <c r="AE147" s="3"/>
    </row>
    <row r="148" spans="1:37" ht="14.4" x14ac:dyDescent="0.4">
      <c r="A148" s="1" t="s">
        <v>141</v>
      </c>
      <c r="B148" s="5">
        <v>867607</v>
      </c>
      <c r="C148" s="5">
        <v>27199</v>
      </c>
      <c r="D148" s="5">
        <v>26033</v>
      </c>
      <c r="E148" s="19">
        <v>31.3</v>
      </c>
      <c r="F148" s="19">
        <v>30</v>
      </c>
      <c r="G148" s="19"/>
      <c r="H148" s="10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3"/>
      <c r="Y148" s="4">
        <f>B148</f>
        <v>867607</v>
      </c>
      <c r="Z148" s="4">
        <f>C148</f>
        <v>27199</v>
      </c>
      <c r="AA148" s="4">
        <f>D148</f>
        <v>26033</v>
      </c>
      <c r="AB148" s="4"/>
      <c r="AC148" s="4">
        <f t="shared" ref="AC148:AE149" si="4">Y148-B148</f>
        <v>0</v>
      </c>
      <c r="AD148" s="4">
        <f t="shared" si="4"/>
        <v>0</v>
      </c>
      <c r="AE148" s="4">
        <f t="shared" si="4"/>
        <v>0</v>
      </c>
      <c r="AG148" s="18">
        <f>C148/B148*1000</f>
        <v>31.349447388045508</v>
      </c>
      <c r="AH148" s="18">
        <f>D148/B148*1000</f>
        <v>30.005520932864766</v>
      </c>
      <c r="AJ148" s="18">
        <f>AG148-E148</f>
        <v>4.9447388045507523E-2</v>
      </c>
      <c r="AK148" s="18">
        <f>AH148-F148</f>
        <v>5.5209328647656264E-3</v>
      </c>
    </row>
    <row r="149" spans="1:37" ht="14.4" x14ac:dyDescent="0.4">
      <c r="A149" s="1" t="s">
        <v>142</v>
      </c>
      <c r="B149" s="5">
        <v>824129</v>
      </c>
      <c r="C149" s="5">
        <v>30246</v>
      </c>
      <c r="D149" s="5">
        <v>25048</v>
      </c>
      <c r="E149" s="19">
        <v>36.4</v>
      </c>
      <c r="F149" s="19">
        <v>30</v>
      </c>
      <c r="G149" s="19"/>
      <c r="H149" s="10"/>
      <c r="I149" s="12" t="s">
        <v>4</v>
      </c>
      <c r="J149" s="12" t="s">
        <v>4</v>
      </c>
      <c r="K149" s="12" t="s">
        <v>4</v>
      </c>
      <c r="L149" s="12" t="s">
        <v>4</v>
      </c>
      <c r="M149" s="12" t="s">
        <v>4</v>
      </c>
      <c r="N149" s="12" t="s">
        <v>4</v>
      </c>
      <c r="O149" s="12" t="s">
        <v>4</v>
      </c>
      <c r="P149" s="12" t="s">
        <v>4</v>
      </c>
      <c r="Q149" s="7"/>
      <c r="R149" s="7"/>
      <c r="S149" s="7"/>
      <c r="T149" s="7"/>
      <c r="U149" s="7"/>
      <c r="V149" s="7"/>
      <c r="W149" s="7"/>
      <c r="X149" s="3"/>
      <c r="Y149" s="4">
        <f>B149</f>
        <v>824129</v>
      </c>
      <c r="Z149" s="4">
        <f>SUM(I150:W150)</f>
        <v>30246</v>
      </c>
      <c r="AA149" s="4">
        <f>SUM(I151:W151)</f>
        <v>25048</v>
      </c>
      <c r="AB149" s="4"/>
      <c r="AC149" s="4">
        <f t="shared" si="4"/>
        <v>0</v>
      </c>
      <c r="AD149" s="4">
        <f t="shared" si="4"/>
        <v>0</v>
      </c>
      <c r="AE149" s="4">
        <f t="shared" si="4"/>
        <v>0</v>
      </c>
      <c r="AG149" s="18">
        <f>C149/B149*1000</f>
        <v>36.700565081437496</v>
      </c>
      <c r="AH149" s="18">
        <f>D149/B149*1000</f>
        <v>30.393300078021767</v>
      </c>
      <c r="AJ149" s="18">
        <f>AG149-E149</f>
        <v>0.30056508143749738</v>
      </c>
      <c r="AK149" s="18">
        <f>AH149-F149</f>
        <v>0.39330007802176681</v>
      </c>
    </row>
    <row r="150" spans="1:37" ht="14.4" x14ac:dyDescent="0.4">
      <c r="A150" s="2" t="s">
        <v>143</v>
      </c>
      <c r="B150" s="8"/>
      <c r="C150" s="8"/>
      <c r="D150" s="8"/>
      <c r="E150" s="20"/>
      <c r="F150" s="20"/>
      <c r="G150" s="20"/>
      <c r="H150" s="9"/>
      <c r="I150" s="10">
        <v>4288</v>
      </c>
      <c r="J150" s="10">
        <v>4849</v>
      </c>
      <c r="K150" s="10">
        <v>5664</v>
      </c>
      <c r="L150" s="10">
        <v>3632</v>
      </c>
      <c r="M150" s="10">
        <v>2734</v>
      </c>
      <c r="N150" s="10">
        <v>3958</v>
      </c>
      <c r="O150" s="10">
        <v>2080</v>
      </c>
      <c r="P150" s="10">
        <v>3041</v>
      </c>
      <c r="Q150" s="9"/>
      <c r="R150" s="9"/>
      <c r="S150" s="9"/>
      <c r="T150" s="9"/>
      <c r="U150" s="9"/>
      <c r="V150" s="9"/>
      <c r="W150" s="9"/>
      <c r="X150" s="3"/>
      <c r="Y150" s="3"/>
      <c r="Z150" s="3"/>
      <c r="AA150" s="3"/>
      <c r="AB150" s="3"/>
      <c r="AC150" s="3"/>
      <c r="AD150" s="3"/>
      <c r="AE150" s="3"/>
    </row>
    <row r="151" spans="1:37" ht="14.4" x14ac:dyDescent="0.4">
      <c r="A151" s="2" t="s">
        <v>144</v>
      </c>
      <c r="B151" s="8"/>
      <c r="C151" s="8"/>
      <c r="D151" s="8"/>
      <c r="E151" s="20"/>
      <c r="F151" s="20"/>
      <c r="G151" s="20"/>
      <c r="H151" s="9"/>
      <c r="I151" s="10">
        <v>3386</v>
      </c>
      <c r="J151" s="10">
        <v>4471</v>
      </c>
      <c r="K151" s="10">
        <v>4301</v>
      </c>
      <c r="L151" s="10">
        <v>2724</v>
      </c>
      <c r="M151" s="10">
        <v>2296</v>
      </c>
      <c r="N151" s="10">
        <v>3337</v>
      </c>
      <c r="O151" s="10">
        <v>1943</v>
      </c>
      <c r="P151" s="10">
        <v>2590</v>
      </c>
      <c r="Q151" s="9"/>
      <c r="R151" s="9"/>
      <c r="S151" s="9"/>
      <c r="T151" s="9"/>
      <c r="U151" s="9"/>
      <c r="V151" s="9"/>
      <c r="W151" s="9"/>
      <c r="X151" s="3"/>
      <c r="Y151" s="3"/>
      <c r="Z151" s="3"/>
      <c r="AA151" s="3"/>
      <c r="AB151" s="3"/>
      <c r="AC151" s="3"/>
      <c r="AD151" s="3"/>
      <c r="AE151" s="3"/>
    </row>
    <row r="152" spans="1:37" ht="14.4" x14ac:dyDescent="0.4">
      <c r="A152" s="1" t="s">
        <v>145</v>
      </c>
      <c r="B152" s="5">
        <v>2351077</v>
      </c>
      <c r="C152" s="5">
        <v>126534</v>
      </c>
      <c r="D152" s="5">
        <v>86678</v>
      </c>
      <c r="E152" s="19">
        <v>53.8</v>
      </c>
      <c r="F152" s="19">
        <v>36.799999999999997</v>
      </c>
      <c r="G152" s="19"/>
      <c r="H152" s="10"/>
      <c r="I152" s="6">
        <v>301992</v>
      </c>
      <c r="J152" s="6">
        <v>281746</v>
      </c>
      <c r="K152" s="6">
        <v>285737</v>
      </c>
      <c r="L152" s="6">
        <v>197818</v>
      </c>
      <c r="M152" s="6">
        <v>324951</v>
      </c>
      <c r="N152" s="6">
        <v>163694</v>
      </c>
      <c r="O152" s="6">
        <v>259862</v>
      </c>
      <c r="P152" s="6">
        <v>199677</v>
      </c>
      <c r="Q152" s="6">
        <v>205316</v>
      </c>
      <c r="R152" s="6">
        <v>130284</v>
      </c>
      <c r="S152" s="7"/>
      <c r="T152" s="7"/>
      <c r="U152" s="7"/>
      <c r="V152" s="7"/>
      <c r="W152" s="7"/>
      <c r="X152" s="3"/>
      <c r="Y152" s="4">
        <f>SUM(I152:W152)</f>
        <v>2351077</v>
      </c>
      <c r="Z152" s="4">
        <f>SUM(I153:W153)</f>
        <v>126534</v>
      </c>
      <c r="AA152" s="4">
        <f>SUM(I154:W154)</f>
        <v>86678</v>
      </c>
      <c r="AB152" s="4"/>
      <c r="AC152" s="4">
        <f>Y152-B152</f>
        <v>0</v>
      </c>
      <c r="AD152" s="4">
        <f>Z152-C152</f>
        <v>0</v>
      </c>
      <c r="AE152" s="4">
        <f>AA152-D152</f>
        <v>0</v>
      </c>
      <c r="AG152" s="18">
        <f>C152/B152*1000</f>
        <v>53.819589915600382</v>
      </c>
      <c r="AH152" s="18">
        <f>D152/B152*1000</f>
        <v>36.867359086920594</v>
      </c>
      <c r="AJ152" s="18">
        <f>AG152-E152</f>
        <v>1.95899156003847E-2</v>
      </c>
      <c r="AK152" s="18">
        <f>AH152-F152</f>
        <v>6.7359086920596667E-2</v>
      </c>
    </row>
    <row r="153" spans="1:37" ht="14.4" x14ac:dyDescent="0.4">
      <c r="A153" s="2" t="s">
        <v>146</v>
      </c>
      <c r="B153" s="8"/>
      <c r="C153" s="8"/>
      <c r="D153" s="8"/>
      <c r="E153" s="20"/>
      <c r="F153" s="20"/>
      <c r="G153" s="20"/>
      <c r="H153" s="9"/>
      <c r="I153" s="10">
        <v>17061</v>
      </c>
      <c r="J153" s="10">
        <v>15877</v>
      </c>
      <c r="K153" s="10">
        <v>16483</v>
      </c>
      <c r="L153" s="10">
        <v>9501</v>
      </c>
      <c r="M153" s="10">
        <v>17771</v>
      </c>
      <c r="N153" s="10">
        <v>9199</v>
      </c>
      <c r="O153" s="10">
        <v>11887</v>
      </c>
      <c r="P153" s="10">
        <v>12064</v>
      </c>
      <c r="Q153" s="10">
        <v>9725</v>
      </c>
      <c r="R153" s="10">
        <v>6966</v>
      </c>
      <c r="S153" s="9"/>
      <c r="T153" s="9"/>
      <c r="U153" s="9"/>
      <c r="V153" s="9"/>
      <c r="W153" s="9"/>
      <c r="X153" s="3"/>
      <c r="Y153" s="3"/>
      <c r="Z153" s="3"/>
      <c r="AA153" s="3"/>
      <c r="AB153" s="3"/>
      <c r="AC153" s="3"/>
      <c r="AD153" s="3"/>
      <c r="AE153" s="3"/>
    </row>
    <row r="154" spans="1:37" ht="14.4" x14ac:dyDescent="0.4">
      <c r="A154" s="2" t="s">
        <v>147</v>
      </c>
      <c r="B154" s="8"/>
      <c r="C154" s="8"/>
      <c r="D154" s="8"/>
      <c r="E154" s="20"/>
      <c r="F154" s="20"/>
      <c r="G154" s="20"/>
      <c r="H154" s="9"/>
      <c r="I154" s="10">
        <v>13049</v>
      </c>
      <c r="J154" s="10">
        <v>9418</v>
      </c>
      <c r="K154" s="10">
        <v>11247</v>
      </c>
      <c r="L154" s="10">
        <v>7080</v>
      </c>
      <c r="M154" s="10">
        <v>9819</v>
      </c>
      <c r="N154" s="10">
        <v>6208</v>
      </c>
      <c r="O154" s="10">
        <v>9461</v>
      </c>
      <c r="P154" s="10">
        <v>8637</v>
      </c>
      <c r="Q154" s="10">
        <v>7106</v>
      </c>
      <c r="R154" s="10">
        <v>4653</v>
      </c>
      <c r="S154" s="9"/>
      <c r="T154" s="9"/>
      <c r="U154" s="9"/>
      <c r="V154" s="9"/>
      <c r="W154" s="9"/>
      <c r="X154" s="3"/>
      <c r="Y154" s="3"/>
      <c r="Z154" s="3"/>
      <c r="AA154" s="3"/>
      <c r="AB154" s="3"/>
      <c r="AC154" s="3"/>
      <c r="AD154" s="3"/>
      <c r="AE154" s="3"/>
    </row>
    <row r="155" spans="1:37" ht="14.4" x14ac:dyDescent="0.4">
      <c r="A155" s="1" t="s">
        <v>148</v>
      </c>
      <c r="B155" s="5">
        <v>1605335</v>
      </c>
      <c r="C155" s="5">
        <v>80877</v>
      </c>
      <c r="D155" s="32">
        <v>53833</v>
      </c>
      <c r="E155" s="19">
        <v>50.3</v>
      </c>
      <c r="F155" s="19">
        <v>33.9</v>
      </c>
      <c r="G155" s="19"/>
      <c r="H155" s="10"/>
      <c r="I155" s="6">
        <v>220465</v>
      </c>
      <c r="J155" s="6">
        <v>168325</v>
      </c>
      <c r="K155" s="6">
        <v>212626</v>
      </c>
      <c r="L155" s="6">
        <v>186330</v>
      </c>
      <c r="M155" s="6">
        <v>239321</v>
      </c>
      <c r="N155" s="6">
        <v>163403</v>
      </c>
      <c r="O155" s="6">
        <v>158364</v>
      </c>
      <c r="P155" s="6">
        <v>256501</v>
      </c>
      <c r="Q155" s="7"/>
      <c r="R155" s="7"/>
      <c r="S155" s="7"/>
      <c r="T155" s="7"/>
      <c r="U155" s="7"/>
      <c r="V155" s="7"/>
      <c r="W155" s="7"/>
      <c r="X155" s="3"/>
      <c r="Y155" s="4">
        <f>SUM(I155:W155)</f>
        <v>1605335</v>
      </c>
      <c r="Z155" s="4">
        <f>SUM(I156:W156)</f>
        <v>80877</v>
      </c>
      <c r="AA155" s="4">
        <f>SUM(I157:W157)</f>
        <v>53833</v>
      </c>
      <c r="AB155" s="4"/>
      <c r="AC155" s="4">
        <f>Y155-B155</f>
        <v>0</v>
      </c>
      <c r="AD155" s="4">
        <f>Z155-C155</f>
        <v>0</v>
      </c>
      <c r="AE155" s="4">
        <f>AA155-D155</f>
        <v>0</v>
      </c>
      <c r="AG155" s="18">
        <f>C155/B155*1000</f>
        <v>50.38013872493903</v>
      </c>
      <c r="AH155" s="18">
        <f>D155/B155*1000</f>
        <v>33.53381069994736</v>
      </c>
      <c r="AJ155" s="18">
        <f>AG155-E155</f>
        <v>8.0138724939033068E-2</v>
      </c>
      <c r="AK155" s="18">
        <f>AH155-F155</f>
        <v>-0.36618930005263906</v>
      </c>
    </row>
    <row r="156" spans="1:37" ht="14.4" x14ac:dyDescent="0.4">
      <c r="A156" s="2" t="s">
        <v>149</v>
      </c>
      <c r="B156" s="8"/>
      <c r="C156" s="8"/>
      <c r="D156" s="8"/>
      <c r="E156" s="20"/>
      <c r="F156" s="20"/>
      <c r="G156" s="20"/>
      <c r="H156" s="9"/>
      <c r="I156" s="10">
        <v>11642</v>
      </c>
      <c r="J156" s="10">
        <v>8074</v>
      </c>
      <c r="K156" s="10">
        <v>10797</v>
      </c>
      <c r="L156" s="10">
        <v>9018</v>
      </c>
      <c r="M156" s="10">
        <v>11738</v>
      </c>
      <c r="N156" s="10">
        <v>8174</v>
      </c>
      <c r="O156" s="10">
        <v>8363</v>
      </c>
      <c r="P156" s="10">
        <v>13071</v>
      </c>
      <c r="Q156" s="9"/>
      <c r="R156" s="9"/>
      <c r="S156" s="9"/>
      <c r="T156" s="9"/>
      <c r="U156" s="9"/>
      <c r="V156" s="9"/>
      <c r="W156" s="9"/>
      <c r="X156" s="3"/>
      <c r="Y156" s="3"/>
      <c r="Z156" s="3"/>
      <c r="AA156" s="3"/>
      <c r="AB156" s="3"/>
      <c r="AC156" s="3"/>
      <c r="AD156" s="3"/>
      <c r="AE156" s="3"/>
    </row>
    <row r="157" spans="1:37" ht="14.4" x14ac:dyDescent="0.4">
      <c r="A157" s="2" t="s">
        <v>150</v>
      </c>
      <c r="B157" s="8"/>
      <c r="C157" s="8"/>
      <c r="D157" s="8"/>
      <c r="E157" s="20"/>
      <c r="F157" s="20"/>
      <c r="G157" s="20"/>
      <c r="H157" s="9"/>
      <c r="I157" s="10">
        <v>7738</v>
      </c>
      <c r="J157" s="10">
        <v>5133</v>
      </c>
      <c r="K157" s="10">
        <v>6998</v>
      </c>
      <c r="L157" s="10">
        <v>5404</v>
      </c>
      <c r="M157" s="10">
        <v>8460</v>
      </c>
      <c r="N157" s="10">
        <v>5129</v>
      </c>
      <c r="O157" s="10">
        <v>6636</v>
      </c>
      <c r="P157" s="10">
        <v>8335</v>
      </c>
      <c r="Q157" s="9"/>
      <c r="R157" s="9"/>
      <c r="S157" s="9"/>
      <c r="T157" s="9"/>
      <c r="U157" s="9"/>
      <c r="V157" s="9"/>
      <c r="W157" s="9"/>
      <c r="X157" s="3"/>
      <c r="Y157" s="3"/>
      <c r="Z157" s="3"/>
      <c r="AA157" s="3"/>
      <c r="AB157" s="3"/>
      <c r="AC157" s="3"/>
      <c r="AD157" s="3"/>
      <c r="AE157" s="3"/>
    </row>
    <row r="158" spans="1:37" ht="14.4" x14ac:dyDescent="0.4">
      <c r="A158" s="1" t="s">
        <v>151</v>
      </c>
      <c r="B158" s="5">
        <v>1358756</v>
      </c>
      <c r="C158" s="5">
        <v>78652</v>
      </c>
      <c r="D158" s="5">
        <v>49496</v>
      </c>
      <c r="E158" s="19">
        <v>57.8</v>
      </c>
      <c r="F158" s="19">
        <v>36.4</v>
      </c>
      <c r="G158" s="19"/>
      <c r="H158" s="10"/>
      <c r="I158" s="6">
        <v>137538</v>
      </c>
      <c r="J158" s="6">
        <v>119132</v>
      </c>
      <c r="K158" s="6">
        <v>83493</v>
      </c>
      <c r="L158" s="6">
        <v>134729</v>
      </c>
      <c r="M158" s="6">
        <v>85954</v>
      </c>
      <c r="N158" s="6">
        <v>96867</v>
      </c>
      <c r="O158" s="6">
        <v>118302</v>
      </c>
      <c r="P158" s="6">
        <v>89827</v>
      </c>
      <c r="Q158" s="6">
        <v>104249</v>
      </c>
      <c r="R158" s="6">
        <v>152244</v>
      </c>
      <c r="S158" s="6">
        <v>116351</v>
      </c>
      <c r="T158" s="6">
        <v>120070</v>
      </c>
      <c r="U158" s="7"/>
      <c r="V158" s="7"/>
      <c r="W158" s="7"/>
      <c r="X158" s="3"/>
      <c r="Y158" s="4">
        <f>SUM(I158:W158)</f>
        <v>1358756</v>
      </c>
      <c r="Z158" s="4">
        <f>SUM(I159:W159)</f>
        <v>78652</v>
      </c>
      <c r="AA158" s="4">
        <f>SUM(I160:W160)</f>
        <v>49396</v>
      </c>
      <c r="AB158" s="4"/>
      <c r="AC158" s="4">
        <f>Y158-B158</f>
        <v>0</v>
      </c>
      <c r="AD158" s="4">
        <f>Z158-C158</f>
        <v>0</v>
      </c>
      <c r="AE158" s="4">
        <f>AA158-D158</f>
        <v>-100</v>
      </c>
      <c r="AG158" s="18">
        <f>C158/B158*1000</f>
        <v>57.885300966472272</v>
      </c>
      <c r="AH158" s="18">
        <f>D158/B158*1000</f>
        <v>36.427438038912058</v>
      </c>
      <c r="AJ158" s="18">
        <f>AG158-E158</f>
        <v>8.5300966472274808E-2</v>
      </c>
      <c r="AK158" s="18">
        <f>AH158-F158</f>
        <v>2.7438038912059426E-2</v>
      </c>
    </row>
    <row r="159" spans="1:37" ht="14.4" x14ac:dyDescent="0.4">
      <c r="A159" s="2" t="s">
        <v>152</v>
      </c>
      <c r="B159" s="8"/>
      <c r="C159" s="8"/>
      <c r="D159" s="8"/>
      <c r="E159" s="20"/>
      <c r="F159" s="20"/>
      <c r="G159" s="20"/>
      <c r="H159" s="9"/>
      <c r="I159" s="10">
        <v>6541</v>
      </c>
      <c r="J159" s="10">
        <v>8627</v>
      </c>
      <c r="K159" s="10">
        <v>5397</v>
      </c>
      <c r="L159" s="10">
        <v>5051</v>
      </c>
      <c r="M159" s="10">
        <v>5726</v>
      </c>
      <c r="N159" s="10">
        <v>6710</v>
      </c>
      <c r="O159" s="10">
        <v>7489</v>
      </c>
      <c r="P159" s="10">
        <v>5092</v>
      </c>
      <c r="Q159" s="10">
        <v>6799</v>
      </c>
      <c r="R159" s="10">
        <v>9181</v>
      </c>
      <c r="S159" s="10">
        <v>5321</v>
      </c>
      <c r="T159" s="10">
        <v>6718</v>
      </c>
      <c r="U159" s="9"/>
      <c r="V159" s="9"/>
      <c r="W159" s="9"/>
      <c r="X159" s="3"/>
      <c r="Y159" s="3"/>
      <c r="Z159" s="3"/>
      <c r="AA159" s="3"/>
      <c r="AB159" s="3"/>
      <c r="AC159" s="3"/>
      <c r="AD159" s="3"/>
      <c r="AE159" s="3"/>
    </row>
    <row r="160" spans="1:37" ht="14.4" x14ac:dyDescent="0.4">
      <c r="A160" s="2" t="s">
        <v>153</v>
      </c>
      <c r="B160" s="8"/>
      <c r="C160" s="8"/>
      <c r="D160" s="8"/>
      <c r="E160" s="20"/>
      <c r="F160" s="20"/>
      <c r="G160" s="20"/>
      <c r="H160" s="9"/>
      <c r="I160" s="10">
        <v>4382</v>
      </c>
      <c r="J160" s="10">
        <v>5342</v>
      </c>
      <c r="K160" s="10">
        <v>3493</v>
      </c>
      <c r="L160" s="10">
        <v>4707</v>
      </c>
      <c r="M160" s="10">
        <v>3286</v>
      </c>
      <c r="N160" s="10">
        <v>3979</v>
      </c>
      <c r="O160" s="10">
        <v>4063</v>
      </c>
      <c r="P160" s="10">
        <v>2739</v>
      </c>
      <c r="Q160" s="10">
        <v>4298</v>
      </c>
      <c r="R160" s="10">
        <v>5033</v>
      </c>
      <c r="S160" s="10">
        <v>3886</v>
      </c>
      <c r="T160" s="10">
        <v>4188</v>
      </c>
      <c r="U160" s="9"/>
      <c r="V160" s="9"/>
      <c r="W160" s="9"/>
      <c r="X160" s="3"/>
      <c r="Y160" s="3"/>
      <c r="Z160" s="3"/>
      <c r="AA160" s="3"/>
      <c r="AB160" s="3"/>
      <c r="AC160" s="3"/>
      <c r="AD160" s="3"/>
      <c r="AE160" s="3"/>
    </row>
    <row r="161" spans="1:37" ht="14.4" x14ac:dyDescent="0.4">
      <c r="A161" s="1" t="s">
        <v>154</v>
      </c>
      <c r="B161" s="5">
        <v>1104314</v>
      </c>
      <c r="C161" s="5">
        <v>54265</v>
      </c>
      <c r="D161" s="5">
        <v>35313</v>
      </c>
      <c r="E161" s="19">
        <v>49.1</v>
      </c>
      <c r="F161" s="19">
        <v>31</v>
      </c>
      <c r="G161" s="19"/>
      <c r="H161" s="10"/>
      <c r="I161" s="12" t="s">
        <v>4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3"/>
      <c r="Y161" s="4">
        <f>B161</f>
        <v>1104314</v>
      </c>
      <c r="Z161" s="4">
        <f>C161</f>
        <v>54265</v>
      </c>
      <c r="AA161" s="4">
        <f>D161</f>
        <v>35313</v>
      </c>
      <c r="AB161" s="4"/>
      <c r="AC161" s="4">
        <f>Y161-B161</f>
        <v>0</v>
      </c>
      <c r="AD161" s="4">
        <f>Z161-C161</f>
        <v>0</v>
      </c>
      <c r="AE161" s="4">
        <f>AA161-D161</f>
        <v>0</v>
      </c>
      <c r="AG161" s="18">
        <f>C161/B161*1000</f>
        <v>49.139103552069429</v>
      </c>
      <c r="AH161" s="18">
        <f>D161/B161*1000</f>
        <v>31.977318045411</v>
      </c>
      <c r="AJ161" s="18">
        <f>AG161-E161</f>
        <v>3.9103552069427394E-2</v>
      </c>
      <c r="AK161" s="18">
        <f>AH161-F161</f>
        <v>0.97731804541099976</v>
      </c>
    </row>
    <row r="162" spans="1:37" ht="14.4" x14ac:dyDescent="0.4">
      <c r="A162" s="2" t="s">
        <v>155</v>
      </c>
      <c r="B162" s="8"/>
      <c r="C162" s="8"/>
      <c r="D162" s="8"/>
      <c r="E162" s="20"/>
      <c r="F162" s="20"/>
      <c r="G162" s="20"/>
      <c r="H162" s="9"/>
      <c r="I162" s="11" t="s">
        <v>4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3"/>
      <c r="Y162" s="3"/>
      <c r="Z162" s="3"/>
      <c r="AA162" s="3"/>
      <c r="AB162" s="3"/>
      <c r="AC162" s="3"/>
      <c r="AD162" s="3"/>
      <c r="AE162" s="3"/>
    </row>
    <row r="163" spans="1:37" ht="14.4" x14ac:dyDescent="0.4">
      <c r="A163" s="2" t="s">
        <v>156</v>
      </c>
      <c r="B163" s="8"/>
      <c r="C163" s="8"/>
      <c r="D163" s="8"/>
      <c r="E163" s="20"/>
      <c r="F163" s="20"/>
      <c r="G163" s="20"/>
      <c r="H163" s="9"/>
      <c r="I163" s="11" t="s">
        <v>4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3"/>
      <c r="Y163" s="3"/>
      <c r="Z163" s="3"/>
      <c r="AA163" s="3"/>
      <c r="AB163" s="3"/>
      <c r="AC163" s="3"/>
      <c r="AD163" s="3"/>
      <c r="AE163" s="3"/>
    </row>
    <row r="164" spans="1:37" ht="14.4" x14ac:dyDescent="0.4">
      <c r="A164" s="1" t="s">
        <v>157</v>
      </c>
      <c r="B164" s="5">
        <v>2782788</v>
      </c>
      <c r="C164" s="5">
        <v>141051</v>
      </c>
      <c r="D164" s="5">
        <v>89139</v>
      </c>
      <c r="E164" s="19">
        <v>50.7</v>
      </c>
      <c r="F164" s="19">
        <v>32</v>
      </c>
      <c r="G164" s="19"/>
      <c r="H164" s="10"/>
      <c r="I164" s="6">
        <v>388195</v>
      </c>
      <c r="J164" s="6">
        <v>301130</v>
      </c>
      <c r="K164" s="6">
        <v>182749</v>
      </c>
      <c r="L164" s="6">
        <v>269842</v>
      </c>
      <c r="M164" s="6">
        <v>379357</v>
      </c>
      <c r="N164" s="6">
        <v>154001</v>
      </c>
      <c r="O164" s="6">
        <v>181379</v>
      </c>
      <c r="P164" s="6">
        <v>271871</v>
      </c>
      <c r="Q164" s="6">
        <v>133754</v>
      </c>
      <c r="R164" s="6">
        <v>144223</v>
      </c>
      <c r="S164" s="6">
        <v>206869</v>
      </c>
      <c r="T164" s="6">
        <v>162255</v>
      </c>
      <c r="U164" s="7"/>
      <c r="V164" s="7"/>
      <c r="W164" s="7"/>
      <c r="X164" s="3"/>
      <c r="Y164" s="4">
        <f>SUM(I164:W164)</f>
        <v>2775625</v>
      </c>
      <c r="Z164" s="4">
        <f>SUM(I165:W165)</f>
        <v>141051</v>
      </c>
      <c r="AA164" s="4">
        <f>SUM(I166:W166)</f>
        <v>89149</v>
      </c>
      <c r="AB164" s="4"/>
      <c r="AC164" s="4">
        <f>Y164-B164</f>
        <v>-7163</v>
      </c>
      <c r="AD164" s="4">
        <f>Z164-C164</f>
        <v>0</v>
      </c>
      <c r="AE164" s="4">
        <f>AA164-D164</f>
        <v>10</v>
      </c>
      <c r="AG164" s="18">
        <f>C164/B164*1000</f>
        <v>50.686936985498001</v>
      </c>
      <c r="AH164" s="18">
        <f>D164/B164*1000</f>
        <v>32.032264045985542</v>
      </c>
      <c r="AJ164" s="18">
        <f>AG164-E164</f>
        <v>-1.306301450200209E-2</v>
      </c>
      <c r="AK164" s="18">
        <f>AH164-F164</f>
        <v>3.2264045985542111E-2</v>
      </c>
    </row>
    <row r="165" spans="1:37" ht="14.4" x14ac:dyDescent="0.4">
      <c r="A165" s="2" t="s">
        <v>158</v>
      </c>
      <c r="B165" s="8"/>
      <c r="C165" s="8"/>
      <c r="D165" s="8"/>
      <c r="E165" s="20"/>
      <c r="F165" s="20"/>
      <c r="G165" s="20"/>
      <c r="H165" s="9"/>
      <c r="I165" s="10">
        <v>20658</v>
      </c>
      <c r="J165" s="10">
        <v>15918</v>
      </c>
      <c r="K165" s="10">
        <v>7251</v>
      </c>
      <c r="L165" s="10">
        <v>14954</v>
      </c>
      <c r="M165" s="10">
        <v>17497</v>
      </c>
      <c r="N165" s="10">
        <v>7913</v>
      </c>
      <c r="O165" s="10">
        <v>8540</v>
      </c>
      <c r="P165" s="10">
        <v>14044</v>
      </c>
      <c r="Q165" s="10">
        <v>7338</v>
      </c>
      <c r="R165" s="10">
        <v>7654</v>
      </c>
      <c r="S165" s="10">
        <v>10822</v>
      </c>
      <c r="T165" s="10">
        <v>8462</v>
      </c>
      <c r="U165" s="9"/>
      <c r="V165" s="9"/>
      <c r="W165" s="9"/>
      <c r="X165" s="3"/>
      <c r="Y165" s="3"/>
      <c r="Z165" s="3"/>
      <c r="AA165" s="3"/>
      <c r="AB165" s="3"/>
      <c r="AC165" s="3"/>
      <c r="AD165" s="3"/>
      <c r="AE165" s="3"/>
    </row>
    <row r="166" spans="1:37" ht="14.4" x14ac:dyDescent="0.4">
      <c r="A166" s="2" t="s">
        <v>159</v>
      </c>
      <c r="B166" s="8"/>
      <c r="C166" s="8"/>
      <c r="D166" s="8"/>
      <c r="E166" s="20"/>
      <c r="F166" s="20"/>
      <c r="G166" s="20"/>
      <c r="H166" s="9"/>
      <c r="I166" s="10">
        <v>12288</v>
      </c>
      <c r="J166" s="10">
        <v>9804</v>
      </c>
      <c r="K166" s="10">
        <v>5297</v>
      </c>
      <c r="L166" s="10">
        <v>8435</v>
      </c>
      <c r="M166" s="10">
        <v>12602</v>
      </c>
      <c r="N166" s="10">
        <v>4699</v>
      </c>
      <c r="O166" s="10">
        <v>4777</v>
      </c>
      <c r="P166" s="10">
        <v>8818</v>
      </c>
      <c r="Q166" s="10">
        <v>5533</v>
      </c>
      <c r="R166" s="10">
        <v>5917</v>
      </c>
      <c r="S166" s="10">
        <v>5968</v>
      </c>
      <c r="T166" s="10">
        <v>5011</v>
      </c>
      <c r="U166" s="9"/>
      <c r="V166" s="9"/>
      <c r="W166" s="9"/>
      <c r="X166" s="3"/>
      <c r="Y166" s="3"/>
      <c r="Z166" s="3"/>
      <c r="AA166" s="3"/>
      <c r="AB166" s="3"/>
      <c r="AC166" s="3"/>
      <c r="AD166" s="3"/>
      <c r="AE166" s="3"/>
    </row>
    <row r="167" spans="1:37" ht="14.4" x14ac:dyDescent="0.4">
      <c r="A167" s="1" t="s">
        <v>160</v>
      </c>
      <c r="B167" s="5">
        <v>1813631</v>
      </c>
      <c r="C167" s="5">
        <v>86639</v>
      </c>
      <c r="D167" s="5">
        <v>54869</v>
      </c>
      <c r="E167" s="19">
        <v>47.7</v>
      </c>
      <c r="F167" s="19">
        <v>30.2</v>
      </c>
      <c r="G167" s="19"/>
      <c r="H167" s="10"/>
      <c r="I167" s="6">
        <v>162251</v>
      </c>
      <c r="J167" s="6">
        <v>239370</v>
      </c>
      <c r="K167" s="6">
        <v>150767</v>
      </c>
      <c r="L167" s="6">
        <v>170764</v>
      </c>
      <c r="M167" s="6">
        <v>113734</v>
      </c>
      <c r="N167" s="6">
        <v>135511</v>
      </c>
      <c r="O167" s="6">
        <v>139121</v>
      </c>
      <c r="P167" s="6">
        <v>127366</v>
      </c>
      <c r="Q167" s="6">
        <v>120377</v>
      </c>
      <c r="R167" s="6">
        <v>137492</v>
      </c>
      <c r="S167" s="6">
        <v>153952</v>
      </c>
      <c r="T167" s="6">
        <v>162926</v>
      </c>
      <c r="U167" s="7"/>
      <c r="V167" s="7"/>
      <c r="W167" s="7"/>
      <c r="X167" s="3"/>
      <c r="Y167" s="4">
        <f>SUM(I167:W167)</f>
        <v>1813631</v>
      </c>
      <c r="Z167" s="4">
        <f>SUM(I168:W168)</f>
        <v>86639</v>
      </c>
      <c r="AA167" s="4">
        <f>SUM(I169:W169)</f>
        <v>54867</v>
      </c>
      <c r="AB167" s="4"/>
      <c r="AC167" s="4">
        <f>Y167-B167</f>
        <v>0</v>
      </c>
      <c r="AD167" s="4">
        <f>Z167-C167</f>
        <v>0</v>
      </c>
      <c r="AE167" s="4">
        <f>AA167-D167</f>
        <v>-2</v>
      </c>
      <c r="AG167" s="18">
        <f>C167/B167*1000</f>
        <v>47.771018470681192</v>
      </c>
      <c r="AH167" s="18">
        <f>D167/B167*1000</f>
        <v>30.253673431916415</v>
      </c>
      <c r="AJ167" s="18">
        <f>AG167-E167</f>
        <v>7.1018470681188717E-2</v>
      </c>
      <c r="AK167" s="18">
        <f>AH167-F167</f>
        <v>5.3673431916415382E-2</v>
      </c>
    </row>
    <row r="168" spans="1:37" ht="14.4" x14ac:dyDescent="0.4">
      <c r="A168" s="2" t="s">
        <v>161</v>
      </c>
      <c r="B168" s="8"/>
      <c r="C168" s="8"/>
      <c r="D168" s="8"/>
      <c r="E168" s="20"/>
      <c r="F168" s="20"/>
      <c r="G168" s="20"/>
      <c r="H168" s="9"/>
      <c r="I168" s="10">
        <v>7574</v>
      </c>
      <c r="J168" s="10">
        <v>12140</v>
      </c>
      <c r="K168" s="10">
        <v>7362</v>
      </c>
      <c r="L168" s="10">
        <v>7520</v>
      </c>
      <c r="M168" s="10">
        <v>5234</v>
      </c>
      <c r="N168" s="10">
        <v>6187</v>
      </c>
      <c r="O168" s="10">
        <v>6364</v>
      </c>
      <c r="P168" s="10">
        <v>5926</v>
      </c>
      <c r="Q168" s="10">
        <v>6624</v>
      </c>
      <c r="R168" s="10">
        <v>7415</v>
      </c>
      <c r="S168" s="10">
        <v>7415</v>
      </c>
      <c r="T168" s="10">
        <v>6878</v>
      </c>
      <c r="U168" s="9"/>
      <c r="V168" s="9"/>
      <c r="W168" s="9"/>
      <c r="X168" s="3"/>
      <c r="Y168" s="3"/>
      <c r="Z168" s="3"/>
      <c r="AA168" s="3"/>
      <c r="AB168" s="3"/>
      <c r="AC168" s="3"/>
      <c r="AD168" s="3"/>
      <c r="AE168" s="3"/>
    </row>
    <row r="169" spans="1:37" ht="14.4" x14ac:dyDescent="0.4">
      <c r="A169" s="2" t="s">
        <v>162</v>
      </c>
      <c r="B169" s="8"/>
      <c r="C169" s="8"/>
      <c r="D169" s="8"/>
      <c r="E169" s="20"/>
      <c r="F169" s="20"/>
      <c r="G169" s="20"/>
      <c r="H169" s="9"/>
      <c r="I169" s="10">
        <v>4827</v>
      </c>
      <c r="J169" s="10">
        <v>7053</v>
      </c>
      <c r="K169" s="10">
        <v>4342</v>
      </c>
      <c r="L169" s="10">
        <v>4784</v>
      </c>
      <c r="M169" s="10">
        <v>3216</v>
      </c>
      <c r="N169" s="10">
        <v>3655</v>
      </c>
      <c r="O169" s="10">
        <v>4168</v>
      </c>
      <c r="P169" s="10">
        <v>3473</v>
      </c>
      <c r="Q169" s="10">
        <v>4046</v>
      </c>
      <c r="R169" s="10">
        <v>4541</v>
      </c>
      <c r="S169" s="10">
        <v>5995</v>
      </c>
      <c r="T169" s="10">
        <v>4767</v>
      </c>
      <c r="U169" s="9"/>
      <c r="V169" s="9"/>
      <c r="W169" s="9"/>
      <c r="X169" s="3"/>
      <c r="Y169" s="3"/>
      <c r="Z169" s="3"/>
      <c r="AA169" s="3"/>
      <c r="AB169" s="3"/>
      <c r="AC169" s="3"/>
      <c r="AD169" s="3"/>
      <c r="AE169" s="3"/>
    </row>
    <row r="170" spans="1:37" ht="14.4" x14ac:dyDescent="0.4">
      <c r="A170" s="1" t="s">
        <v>163</v>
      </c>
      <c r="B170" s="5">
        <v>1475183</v>
      </c>
      <c r="C170" s="5">
        <v>76217</v>
      </c>
      <c r="D170" s="5">
        <v>51590</v>
      </c>
      <c r="E170" s="19">
        <v>51.5</v>
      </c>
      <c r="F170" s="19">
        <v>34.9</v>
      </c>
      <c r="G170" s="19"/>
      <c r="H170" s="10"/>
      <c r="I170" s="6">
        <v>164964</v>
      </c>
      <c r="J170" s="6">
        <v>89527</v>
      </c>
      <c r="K170" s="6">
        <v>158676</v>
      </c>
      <c r="L170" s="6">
        <v>75241</v>
      </c>
      <c r="M170" s="6">
        <v>123691</v>
      </c>
      <c r="N170" s="6">
        <v>133635</v>
      </c>
      <c r="O170" s="6">
        <v>165993</v>
      </c>
      <c r="P170" s="6">
        <v>79088</v>
      </c>
      <c r="Q170" s="6">
        <v>105376</v>
      </c>
      <c r="R170" s="6">
        <v>145430</v>
      </c>
      <c r="S170" s="6">
        <v>101373</v>
      </c>
      <c r="T170" s="6">
        <v>112099</v>
      </c>
      <c r="U170" s="7"/>
      <c r="V170" s="7"/>
      <c r="W170" s="7"/>
      <c r="X170" s="3"/>
      <c r="Y170" s="4">
        <f>SUM(I170:W170)</f>
        <v>1455093</v>
      </c>
      <c r="Z170" s="4">
        <f>SUM(I171:W171)</f>
        <v>76210</v>
      </c>
      <c r="AA170" s="4">
        <f>SUM(I172:W172)</f>
        <v>51590</v>
      </c>
      <c r="AB170" s="4"/>
      <c r="AC170" s="4">
        <f>Y170-B170</f>
        <v>-20090</v>
      </c>
      <c r="AD170" s="4">
        <f>Z170-C170</f>
        <v>-7</v>
      </c>
      <c r="AE170" s="4">
        <f>AA170-D170</f>
        <v>0</v>
      </c>
      <c r="AG170" s="18">
        <f>C170/B170*1000</f>
        <v>51.666132269691289</v>
      </c>
      <c r="AH170" s="18">
        <f>D170/B170*1000</f>
        <v>34.971932295857528</v>
      </c>
      <c r="AJ170" s="18">
        <f>AG170-E170</f>
        <v>0.16613226969128903</v>
      </c>
      <c r="AK170" s="18">
        <f>AH170-F170</f>
        <v>7.1932295857529027E-2</v>
      </c>
    </row>
    <row r="171" spans="1:37" ht="14.4" x14ac:dyDescent="0.4">
      <c r="A171" s="2" t="s">
        <v>164</v>
      </c>
      <c r="B171" s="8"/>
      <c r="C171" s="8"/>
      <c r="D171" s="8"/>
      <c r="E171" s="20"/>
      <c r="F171" s="20"/>
      <c r="G171" s="20"/>
      <c r="H171" s="9"/>
      <c r="I171" s="10">
        <v>8567</v>
      </c>
      <c r="J171" s="10">
        <v>4053</v>
      </c>
      <c r="K171" s="10">
        <v>9455</v>
      </c>
      <c r="L171" s="10">
        <v>3854</v>
      </c>
      <c r="M171" s="10">
        <v>5821</v>
      </c>
      <c r="N171" s="10">
        <v>6561</v>
      </c>
      <c r="O171" s="10">
        <v>9366</v>
      </c>
      <c r="P171" s="10">
        <v>3797</v>
      </c>
      <c r="Q171" s="10">
        <v>5692</v>
      </c>
      <c r="R171" s="10">
        <v>8248</v>
      </c>
      <c r="S171" s="10">
        <v>4934</v>
      </c>
      <c r="T171" s="10">
        <v>5862</v>
      </c>
      <c r="U171" s="9"/>
      <c r="V171" s="9"/>
      <c r="W171" s="9"/>
      <c r="X171" s="3"/>
      <c r="Y171" s="3"/>
      <c r="Z171" s="3"/>
      <c r="AA171" s="3"/>
      <c r="AB171" s="3"/>
      <c r="AC171" s="3"/>
      <c r="AD171" s="3"/>
      <c r="AE171" s="3"/>
    </row>
    <row r="172" spans="1:37" ht="14.4" x14ac:dyDescent="0.4">
      <c r="A172" s="2" t="s">
        <v>165</v>
      </c>
      <c r="B172" s="8"/>
      <c r="C172" s="8"/>
      <c r="D172" s="8"/>
      <c r="E172" s="20"/>
      <c r="F172" s="20"/>
      <c r="G172" s="20"/>
      <c r="H172" s="9"/>
      <c r="I172" s="10">
        <v>7024</v>
      </c>
      <c r="J172" s="10">
        <v>2722</v>
      </c>
      <c r="K172" s="10">
        <v>5752</v>
      </c>
      <c r="L172" s="10">
        <v>2329</v>
      </c>
      <c r="M172" s="10">
        <v>3462</v>
      </c>
      <c r="N172" s="10">
        <v>4399</v>
      </c>
      <c r="O172" s="10">
        <v>7197</v>
      </c>
      <c r="P172" s="10">
        <v>2781</v>
      </c>
      <c r="Q172" s="10">
        <v>3711</v>
      </c>
      <c r="R172" s="10">
        <v>5282</v>
      </c>
      <c r="S172" s="10">
        <v>3112</v>
      </c>
      <c r="T172" s="10">
        <v>3819</v>
      </c>
      <c r="U172" s="9"/>
      <c r="V172" s="9"/>
      <c r="W172" s="9"/>
      <c r="X172" s="3"/>
      <c r="Y172" s="3"/>
      <c r="Z172" s="3"/>
      <c r="AA172" s="3"/>
      <c r="AB172" s="3"/>
      <c r="AC172" s="3"/>
      <c r="AD172" s="3"/>
      <c r="AE172" s="3"/>
    </row>
    <row r="173" spans="1:37" ht="14.4" x14ac:dyDescent="0.4">
      <c r="A173" s="1" t="s">
        <v>166</v>
      </c>
      <c r="B173" s="5">
        <v>1980301</v>
      </c>
      <c r="C173" s="5">
        <v>96188</v>
      </c>
      <c r="D173" s="5">
        <v>63512</v>
      </c>
      <c r="E173" s="19">
        <v>48.5</v>
      </c>
      <c r="F173" s="19">
        <v>32</v>
      </c>
      <c r="G173" s="19"/>
      <c r="H173" s="10"/>
      <c r="I173" s="6">
        <v>317863</v>
      </c>
      <c r="J173" s="6">
        <v>379316</v>
      </c>
      <c r="K173" s="6">
        <v>445665</v>
      </c>
      <c r="L173" s="6">
        <v>167436</v>
      </c>
      <c r="M173" s="6">
        <v>363922</v>
      </c>
      <c r="N173" s="6">
        <v>306099</v>
      </c>
      <c r="O173" s="7"/>
      <c r="P173" s="7"/>
      <c r="Q173" s="7"/>
      <c r="R173" s="7"/>
      <c r="S173" s="7"/>
      <c r="T173" s="7"/>
      <c r="U173" s="7"/>
      <c r="V173" s="7"/>
      <c r="W173" s="7"/>
      <c r="X173" s="3"/>
      <c r="Y173" s="4">
        <f>SUM(I173:W173)</f>
        <v>1980301</v>
      </c>
      <c r="Z173" s="4">
        <f>SUM(I174:W174)</f>
        <v>96188</v>
      </c>
      <c r="AA173" s="4">
        <f>SUM(I175:W175)</f>
        <v>63512</v>
      </c>
      <c r="AB173" s="4"/>
      <c r="AC173" s="4">
        <f>Y173-B173</f>
        <v>0</v>
      </c>
      <c r="AD173" s="4">
        <f>Z173-C173</f>
        <v>0</v>
      </c>
      <c r="AE173" s="4">
        <f>AA173-D173</f>
        <v>0</v>
      </c>
      <c r="AG173" s="18">
        <f>C173/B173*1000</f>
        <v>48.572413991610368</v>
      </c>
      <c r="AH173" s="18">
        <f>D173/B173*1000</f>
        <v>32.071892101251279</v>
      </c>
      <c r="AJ173" s="18">
        <f>AG173-E173</f>
        <v>7.24139916103681E-2</v>
      </c>
      <c r="AK173" s="18">
        <f>AH173-F173</f>
        <v>7.1892101251279428E-2</v>
      </c>
    </row>
    <row r="174" spans="1:37" ht="14.4" x14ac:dyDescent="0.4">
      <c r="A174" s="2" t="s">
        <v>167</v>
      </c>
      <c r="B174" s="8"/>
      <c r="C174" s="8"/>
      <c r="D174" s="8"/>
      <c r="E174" s="20"/>
      <c r="F174" s="20"/>
      <c r="G174" s="20"/>
      <c r="H174" s="9"/>
      <c r="I174" s="10">
        <v>16189</v>
      </c>
      <c r="J174" s="10">
        <v>17055</v>
      </c>
      <c r="K174" s="10">
        <v>22472</v>
      </c>
      <c r="L174" s="10">
        <v>9125</v>
      </c>
      <c r="M174" s="10">
        <v>17483</v>
      </c>
      <c r="N174" s="10">
        <v>13864</v>
      </c>
      <c r="O174" s="9"/>
      <c r="P174" s="9"/>
      <c r="Q174" s="9"/>
      <c r="R174" s="9"/>
      <c r="S174" s="9"/>
      <c r="T174" s="9"/>
      <c r="U174" s="9"/>
      <c r="V174" s="9"/>
      <c r="W174" s="9"/>
      <c r="X174" s="3"/>
      <c r="Y174" s="3"/>
      <c r="Z174" s="3"/>
      <c r="AA174" s="3"/>
      <c r="AB174" s="3"/>
      <c r="AC174" s="3"/>
      <c r="AD174" s="3"/>
      <c r="AE174" s="3"/>
    </row>
    <row r="175" spans="1:37" ht="14.4" x14ac:dyDescent="0.4">
      <c r="A175" s="2" t="s">
        <v>168</v>
      </c>
      <c r="B175" s="8"/>
      <c r="C175" s="8"/>
      <c r="D175" s="8"/>
      <c r="E175" s="20"/>
      <c r="F175" s="20"/>
      <c r="G175" s="20"/>
      <c r="H175" s="9"/>
      <c r="I175" s="10">
        <v>12320</v>
      </c>
      <c r="J175" s="10">
        <v>10434</v>
      </c>
      <c r="K175" s="10">
        <v>15045</v>
      </c>
      <c r="L175" s="10">
        <v>6293</v>
      </c>
      <c r="M175" s="10">
        <v>11127</v>
      </c>
      <c r="N175" s="10">
        <v>8293</v>
      </c>
      <c r="O175" s="9"/>
      <c r="P175" s="9"/>
      <c r="Q175" s="9"/>
      <c r="R175" s="9"/>
      <c r="S175" s="9"/>
      <c r="T175" s="9"/>
      <c r="U175" s="9"/>
      <c r="V175" s="9"/>
      <c r="W175" s="9"/>
      <c r="X175" s="3"/>
      <c r="Y175" s="3"/>
      <c r="Z175" s="3"/>
      <c r="AA175" s="3"/>
      <c r="AB175" s="3"/>
      <c r="AC175" s="3"/>
      <c r="AD175" s="3"/>
      <c r="AE175" s="3"/>
    </row>
    <row r="176" spans="1:37" ht="14.4" x14ac:dyDescent="0.4">
      <c r="A176" s="1" t="s">
        <v>169</v>
      </c>
      <c r="B176" s="5">
        <v>2366587</v>
      </c>
      <c r="C176" s="5">
        <v>123618</v>
      </c>
      <c r="D176" s="32">
        <v>75772</v>
      </c>
      <c r="E176" s="19">
        <v>56.4</v>
      </c>
      <c r="F176" s="19">
        <v>32.4</v>
      </c>
      <c r="G176" s="19"/>
      <c r="H176" s="10"/>
      <c r="I176" s="6">
        <v>351501</v>
      </c>
      <c r="J176" s="6">
        <v>134217</v>
      </c>
      <c r="K176" s="6">
        <v>149056</v>
      </c>
      <c r="L176" s="6">
        <v>124143</v>
      </c>
      <c r="M176" s="6">
        <v>160519</v>
      </c>
      <c r="N176" s="6">
        <v>219533</v>
      </c>
      <c r="O176" s="6">
        <v>277134</v>
      </c>
      <c r="P176" s="6">
        <v>220492</v>
      </c>
      <c r="Q176" s="6">
        <v>156995</v>
      </c>
      <c r="R176" s="6">
        <v>368722</v>
      </c>
      <c r="S176" s="6">
        <v>204275</v>
      </c>
      <c r="T176" s="7"/>
      <c r="U176" s="7"/>
      <c r="V176" s="7"/>
      <c r="W176" s="7"/>
      <c r="X176" s="3"/>
      <c r="Y176" s="4">
        <f>SUM(I176:W176)</f>
        <v>2366587</v>
      </c>
      <c r="Z176" s="4">
        <f>SUM(I177:W177)</f>
        <v>123618</v>
      </c>
      <c r="AA176" s="4">
        <f>SUM(I178:W178)</f>
        <v>75772</v>
      </c>
      <c r="AB176" s="4"/>
      <c r="AC176" s="4">
        <f>Y176-B176</f>
        <v>0</v>
      </c>
      <c r="AD176" s="4">
        <f>Z176-C176</f>
        <v>0</v>
      </c>
      <c r="AE176" s="4">
        <f>AA176-D176</f>
        <v>0</v>
      </c>
      <c r="AG176" s="18">
        <f>C176/B176*1000</f>
        <v>52.234716070019822</v>
      </c>
      <c r="AH176" s="18">
        <f>D176/B176*1000</f>
        <v>32.017415797517693</v>
      </c>
      <c r="AJ176" s="18">
        <f>AG176-E176</f>
        <v>-4.1652839299801769</v>
      </c>
      <c r="AK176" s="18">
        <f>AH176-F176</f>
        <v>-0.38258420248230607</v>
      </c>
    </row>
    <row r="177" spans="1:37" ht="14.4" x14ac:dyDescent="0.4">
      <c r="A177" s="2" t="s">
        <v>170</v>
      </c>
      <c r="B177" s="8"/>
      <c r="C177" s="8"/>
      <c r="D177" s="8"/>
      <c r="E177" s="20"/>
      <c r="F177" s="20"/>
      <c r="G177" s="20"/>
      <c r="H177" s="9"/>
      <c r="I177" s="10">
        <v>14087</v>
      </c>
      <c r="J177" s="10">
        <v>7708</v>
      </c>
      <c r="K177" s="10">
        <v>8272</v>
      </c>
      <c r="L177" s="10">
        <v>6757</v>
      </c>
      <c r="M177" s="10">
        <v>8271</v>
      </c>
      <c r="N177" s="10">
        <v>11415</v>
      </c>
      <c r="O177" s="10">
        <v>15115</v>
      </c>
      <c r="P177" s="10">
        <v>11470</v>
      </c>
      <c r="Q177" s="10">
        <v>8527</v>
      </c>
      <c r="R177" s="10">
        <v>21234</v>
      </c>
      <c r="S177" s="10">
        <v>10762</v>
      </c>
      <c r="T177" s="9"/>
      <c r="U177" s="9"/>
      <c r="V177" s="9"/>
      <c r="W177" s="9"/>
      <c r="X177" s="3"/>
      <c r="Y177" s="3"/>
      <c r="Z177" s="3"/>
      <c r="AA177" s="3"/>
      <c r="AB177" s="3"/>
      <c r="AC177" s="3"/>
      <c r="AD177" s="3"/>
      <c r="AE177" s="3"/>
    </row>
    <row r="178" spans="1:37" ht="14.4" x14ac:dyDescent="0.4">
      <c r="A178" s="2" t="s">
        <v>171</v>
      </c>
      <c r="B178" s="8"/>
      <c r="C178" s="8"/>
      <c r="D178" s="8"/>
      <c r="E178" s="20"/>
      <c r="F178" s="20"/>
      <c r="G178" s="20"/>
      <c r="H178" s="9"/>
      <c r="I178" s="10">
        <v>8544</v>
      </c>
      <c r="J178" s="10">
        <v>4386</v>
      </c>
      <c r="K178" s="10">
        <v>4547</v>
      </c>
      <c r="L178" s="10">
        <v>3694</v>
      </c>
      <c r="M178" s="10">
        <v>6062</v>
      </c>
      <c r="N178" s="10">
        <v>6873</v>
      </c>
      <c r="O178" s="10">
        <v>7021</v>
      </c>
      <c r="P178" s="10">
        <v>8547</v>
      </c>
      <c r="Q178" s="10">
        <v>5177</v>
      </c>
      <c r="R178" s="10">
        <v>14852</v>
      </c>
      <c r="S178" s="10">
        <v>6069</v>
      </c>
      <c r="T178" s="9"/>
      <c r="U178" s="9"/>
      <c r="V178" s="9"/>
      <c r="W178" s="9"/>
      <c r="X178" s="3"/>
      <c r="Y178" s="3"/>
      <c r="Z178" s="3"/>
      <c r="AA178" s="3"/>
      <c r="AB178" s="3"/>
      <c r="AC178" s="3"/>
      <c r="AD178" s="3"/>
      <c r="AE178" s="3"/>
    </row>
    <row r="179" spans="1:37" ht="14.4" x14ac:dyDescent="0.4">
      <c r="A179" s="1" t="s">
        <v>172</v>
      </c>
      <c r="B179" s="5">
        <v>1792163</v>
      </c>
      <c r="C179" s="5">
        <v>101170</v>
      </c>
      <c r="D179" s="5">
        <v>57900</v>
      </c>
      <c r="E179" s="19">
        <v>56.4</v>
      </c>
      <c r="F179" s="19">
        <v>32.299999999999997</v>
      </c>
      <c r="G179" s="19"/>
      <c r="H179" s="10"/>
      <c r="I179" s="6">
        <v>370456</v>
      </c>
      <c r="J179" s="6">
        <v>334368</v>
      </c>
      <c r="K179" s="6">
        <v>196721</v>
      </c>
      <c r="L179" s="6">
        <v>482095</v>
      </c>
      <c r="M179" s="6">
        <v>175392</v>
      </c>
      <c r="N179" s="6">
        <v>204342</v>
      </c>
      <c r="O179" s="7"/>
      <c r="P179" s="7"/>
      <c r="Q179" s="7"/>
      <c r="R179" s="7"/>
      <c r="S179" s="7"/>
      <c r="T179" s="7"/>
      <c r="U179" s="7"/>
      <c r="V179" s="7"/>
      <c r="W179" s="7"/>
      <c r="X179" s="3"/>
      <c r="Y179" s="4">
        <f>SUM(I179:W179)</f>
        <v>1763374</v>
      </c>
      <c r="Z179" s="4">
        <f>SUM(I180:W180)</f>
        <v>101170</v>
      </c>
      <c r="AA179" s="4">
        <f>SUM(I181:W181)</f>
        <v>57900</v>
      </c>
      <c r="AB179" s="4"/>
      <c r="AC179" s="4">
        <f>Y179-B179</f>
        <v>-28789</v>
      </c>
      <c r="AD179" s="4">
        <f>Z179-C179</f>
        <v>0</v>
      </c>
      <c r="AE179" s="4">
        <f>AA179-D179</f>
        <v>0</v>
      </c>
      <c r="AG179" s="18">
        <f>C179/B179*1000</f>
        <v>56.45133841062448</v>
      </c>
      <c r="AH179" s="18">
        <f>D179/B179*1000</f>
        <v>32.307329188249057</v>
      </c>
      <c r="AJ179" s="18">
        <f>AG179-E179</f>
        <v>5.1338410624481412E-2</v>
      </c>
      <c r="AK179" s="18">
        <f>AH179-F179</f>
        <v>7.3291882490593707E-3</v>
      </c>
    </row>
    <row r="180" spans="1:37" ht="14.4" x14ac:dyDescent="0.4">
      <c r="A180" s="2" t="s">
        <v>173</v>
      </c>
      <c r="B180" s="8"/>
      <c r="C180" s="8"/>
      <c r="D180" s="8"/>
      <c r="E180" s="20"/>
      <c r="F180" s="20"/>
      <c r="G180" s="20"/>
      <c r="H180" s="9"/>
      <c r="I180" s="10">
        <v>21513</v>
      </c>
      <c r="J180" s="10">
        <v>19843</v>
      </c>
      <c r="K180" s="10">
        <v>11746</v>
      </c>
      <c r="L180" s="10">
        <v>26854</v>
      </c>
      <c r="M180" s="10">
        <v>11128</v>
      </c>
      <c r="N180" s="10">
        <v>10086</v>
      </c>
      <c r="O180" s="9"/>
      <c r="P180" s="9"/>
      <c r="Q180" s="9"/>
      <c r="R180" s="9"/>
      <c r="S180" s="9"/>
      <c r="T180" s="9"/>
      <c r="U180" s="9"/>
      <c r="V180" s="9"/>
      <c r="W180" s="9"/>
      <c r="X180" s="3"/>
      <c r="Y180" s="3"/>
      <c r="Z180" s="3"/>
      <c r="AA180" s="3"/>
      <c r="AB180" s="3"/>
      <c r="AC180" s="3"/>
      <c r="AD180" s="3"/>
      <c r="AE180" s="3"/>
    </row>
    <row r="181" spans="1:37" ht="14.4" x14ac:dyDescent="0.4">
      <c r="A181" s="2" t="s">
        <v>174</v>
      </c>
      <c r="B181" s="8"/>
      <c r="C181" s="8"/>
      <c r="D181" s="8"/>
      <c r="E181" s="20"/>
      <c r="F181" s="20"/>
      <c r="G181" s="20"/>
      <c r="H181" s="9"/>
      <c r="I181" s="10">
        <v>12273</v>
      </c>
      <c r="J181" s="10">
        <v>12510</v>
      </c>
      <c r="K181" s="10">
        <v>6580</v>
      </c>
      <c r="L181" s="10">
        <v>15484</v>
      </c>
      <c r="M181" s="10">
        <v>5158</v>
      </c>
      <c r="N181" s="10">
        <v>5895</v>
      </c>
      <c r="O181" s="9"/>
      <c r="P181" s="9"/>
      <c r="Q181" s="9"/>
      <c r="R181" s="9"/>
      <c r="S181" s="9"/>
      <c r="T181" s="9"/>
      <c r="U181" s="9"/>
      <c r="V181" s="9"/>
      <c r="W181" s="9"/>
      <c r="X181" s="3"/>
      <c r="Y181" s="3"/>
      <c r="Z181" s="3"/>
      <c r="AA181" s="3"/>
      <c r="AB181" s="3"/>
      <c r="AC181" s="3"/>
      <c r="AD181" s="3"/>
      <c r="AE181" s="3"/>
    </row>
    <row r="182" spans="1:37" ht="14.4" x14ac:dyDescent="0.4">
      <c r="A182" s="1" t="s">
        <v>175</v>
      </c>
      <c r="B182" s="5">
        <v>73694</v>
      </c>
      <c r="C182" s="5">
        <v>3178</v>
      </c>
      <c r="D182" s="5">
        <v>2473</v>
      </c>
      <c r="E182" s="19">
        <v>39</v>
      </c>
      <c r="F182" s="19">
        <v>33.799999999999997</v>
      </c>
      <c r="G182" s="19"/>
      <c r="H182" s="1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3"/>
      <c r="Y182" s="4">
        <f t="shared" ref="Y182:AA183" si="5">B182</f>
        <v>73694</v>
      </c>
      <c r="Z182" s="4">
        <f t="shared" si="5"/>
        <v>3178</v>
      </c>
      <c r="AA182" s="4">
        <f t="shared" si="5"/>
        <v>2473</v>
      </c>
      <c r="AB182" s="4"/>
      <c r="AC182" s="4">
        <f t="shared" ref="AC182:AE184" si="6">Y182-B182</f>
        <v>0</v>
      </c>
      <c r="AD182" s="4">
        <f t="shared" si="6"/>
        <v>0</v>
      </c>
      <c r="AE182" s="4">
        <f t="shared" si="6"/>
        <v>0</v>
      </c>
      <c r="AG182" s="18">
        <f>C182/B182*1000</f>
        <v>43.124270632615954</v>
      </c>
      <c r="AH182" s="18">
        <f>D182/B182*1000</f>
        <v>33.557684479062068</v>
      </c>
      <c r="AJ182" s="18">
        <f t="shared" ref="AJ182:AK184" si="7">AG182-E182</f>
        <v>4.1242706326159535</v>
      </c>
      <c r="AK182" s="18">
        <f t="shared" si="7"/>
        <v>-0.24231552093792885</v>
      </c>
    </row>
    <row r="183" spans="1:37" ht="14.4" x14ac:dyDescent="0.4">
      <c r="A183" s="1" t="s">
        <v>176</v>
      </c>
      <c r="B183" s="5">
        <v>274209</v>
      </c>
      <c r="C183" s="5">
        <v>10500</v>
      </c>
      <c r="D183" s="5">
        <v>7459</v>
      </c>
      <c r="E183" s="19">
        <v>43.5</v>
      </c>
      <c r="F183" s="19">
        <v>27</v>
      </c>
      <c r="G183" s="19"/>
      <c r="H183" s="10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3"/>
      <c r="Y183" s="4">
        <f t="shared" si="5"/>
        <v>274209</v>
      </c>
      <c r="Z183" s="4">
        <f t="shared" si="5"/>
        <v>10500</v>
      </c>
      <c r="AA183" s="4">
        <f t="shared" si="5"/>
        <v>7459</v>
      </c>
      <c r="AB183" s="4"/>
      <c r="AC183" s="4">
        <f t="shared" si="6"/>
        <v>0</v>
      </c>
      <c r="AD183" s="4">
        <f t="shared" si="6"/>
        <v>0</v>
      </c>
      <c r="AE183" s="4">
        <f t="shared" si="6"/>
        <v>0</v>
      </c>
      <c r="AG183" s="18">
        <f>C183/B183*1000</f>
        <v>38.291959782501671</v>
      </c>
      <c r="AH183" s="18">
        <f>D183/B183*1000</f>
        <v>27.20187885882666</v>
      </c>
      <c r="AJ183" s="18">
        <f t="shared" si="7"/>
        <v>-5.2080402174983291</v>
      </c>
      <c r="AK183" s="18">
        <f t="shared" si="7"/>
        <v>0.20187885882666023</v>
      </c>
    </row>
    <row r="184" spans="1:37" ht="14.4" x14ac:dyDescent="0.4">
      <c r="A184" s="1" t="s">
        <v>177</v>
      </c>
      <c r="B184" s="5">
        <v>2174352</v>
      </c>
      <c r="C184" s="5">
        <v>109530</v>
      </c>
      <c r="D184" s="5">
        <v>64974</v>
      </c>
      <c r="E184" s="19">
        <v>50.2</v>
      </c>
      <c r="F184" s="19">
        <v>29.8</v>
      </c>
      <c r="G184" s="19"/>
      <c r="H184" s="10"/>
      <c r="I184" s="6">
        <v>153540</v>
      </c>
      <c r="J184" s="6">
        <v>138621</v>
      </c>
      <c r="K184" s="6">
        <v>130573</v>
      </c>
      <c r="L184" s="6">
        <v>131894</v>
      </c>
      <c r="M184" s="6">
        <v>126794</v>
      </c>
      <c r="N184" s="6">
        <v>146491</v>
      </c>
      <c r="O184" s="6">
        <v>123973</v>
      </c>
      <c r="P184" s="6">
        <v>131649</v>
      </c>
      <c r="Q184" s="6">
        <v>130653</v>
      </c>
      <c r="R184" s="6">
        <v>171401</v>
      </c>
      <c r="S184" s="6">
        <v>166288</v>
      </c>
      <c r="T184" s="6">
        <v>131603</v>
      </c>
      <c r="U184" s="6">
        <v>168629</v>
      </c>
      <c r="V184" s="6">
        <v>149032</v>
      </c>
      <c r="W184" s="6">
        <v>173211</v>
      </c>
      <c r="X184" s="3"/>
      <c r="Y184" s="4">
        <f>SUM(I184:W184)</f>
        <v>2174352</v>
      </c>
      <c r="Z184" s="4">
        <f>SUM(I185:W185)</f>
        <v>109530</v>
      </c>
      <c r="AA184" s="4">
        <f>SUM(I186:W186)</f>
        <v>64974</v>
      </c>
      <c r="AB184" s="4"/>
      <c r="AC184" s="4">
        <f t="shared" si="6"/>
        <v>0</v>
      </c>
      <c r="AD184" s="4">
        <f t="shared" si="6"/>
        <v>0</v>
      </c>
      <c r="AE184" s="4">
        <f t="shared" si="6"/>
        <v>0</v>
      </c>
      <c r="AG184" s="18">
        <f>C184/B184*1000</f>
        <v>50.37362855692178</v>
      </c>
      <c r="AH184" s="18">
        <f>D184/B184*1000</f>
        <v>29.882006225302987</v>
      </c>
      <c r="AJ184" s="18">
        <f t="shared" si="7"/>
        <v>0.17362855692177703</v>
      </c>
      <c r="AK184" s="18">
        <f t="shared" si="7"/>
        <v>8.2006225302986735E-2</v>
      </c>
    </row>
    <row r="185" spans="1:37" ht="14.4" x14ac:dyDescent="0.4">
      <c r="A185" s="2" t="s">
        <v>178</v>
      </c>
      <c r="B185" s="8"/>
      <c r="C185" s="8"/>
      <c r="D185" s="8"/>
      <c r="E185" s="20"/>
      <c r="F185" s="20"/>
      <c r="G185" s="20"/>
      <c r="H185" s="9"/>
      <c r="I185" s="10">
        <v>7168</v>
      </c>
      <c r="J185" s="10">
        <v>7771</v>
      </c>
      <c r="K185" s="10">
        <v>6079</v>
      </c>
      <c r="L185" s="10">
        <v>6996</v>
      </c>
      <c r="M185" s="10">
        <v>7115</v>
      </c>
      <c r="N185" s="10">
        <v>6944</v>
      </c>
      <c r="O185" s="10">
        <v>5685</v>
      </c>
      <c r="P185" s="10">
        <v>6469</v>
      </c>
      <c r="Q185" s="10">
        <v>7075</v>
      </c>
      <c r="R185" s="10">
        <v>8584</v>
      </c>
      <c r="S185" s="10">
        <v>8221</v>
      </c>
      <c r="T185" s="10">
        <v>7618</v>
      </c>
      <c r="U185" s="10">
        <v>6862</v>
      </c>
      <c r="V185" s="10">
        <v>7309</v>
      </c>
      <c r="W185" s="10">
        <v>9634</v>
      </c>
      <c r="X185" s="3"/>
      <c r="Y185" s="3"/>
      <c r="Z185" s="3"/>
      <c r="AA185" s="3"/>
      <c r="AB185" s="3"/>
      <c r="AC185" s="3"/>
      <c r="AD185" s="3"/>
      <c r="AE185" s="3"/>
    </row>
    <row r="186" spans="1:37" ht="14.4" x14ac:dyDescent="0.4">
      <c r="A186" s="2" t="s">
        <v>179</v>
      </c>
      <c r="B186" s="8"/>
      <c r="C186" s="8"/>
      <c r="D186" s="8"/>
      <c r="E186" s="20"/>
      <c r="F186" s="20"/>
      <c r="G186" s="20"/>
      <c r="H186" s="9"/>
      <c r="I186" s="10">
        <v>5056</v>
      </c>
      <c r="J186" s="10">
        <v>5016</v>
      </c>
      <c r="K186" s="10">
        <v>4158</v>
      </c>
      <c r="L186" s="10">
        <v>4661</v>
      </c>
      <c r="M186" s="10">
        <v>3944</v>
      </c>
      <c r="N186" s="10">
        <v>4258</v>
      </c>
      <c r="O186" s="10">
        <v>3096</v>
      </c>
      <c r="P186" s="10">
        <v>3037</v>
      </c>
      <c r="Q186" s="10">
        <v>4028</v>
      </c>
      <c r="R186" s="10">
        <v>5583</v>
      </c>
      <c r="S186" s="10">
        <v>5280</v>
      </c>
      <c r="T186" s="10">
        <v>4759</v>
      </c>
      <c r="U186" s="10">
        <v>3732</v>
      </c>
      <c r="V186" s="10">
        <v>4231</v>
      </c>
      <c r="W186" s="10">
        <v>4135</v>
      </c>
      <c r="X186" s="3"/>
      <c r="Y186" s="3"/>
      <c r="Z186" s="3"/>
      <c r="AA186" s="3"/>
      <c r="AB186" s="3"/>
      <c r="AC186" s="3"/>
      <c r="AD186" s="3"/>
      <c r="AE186" s="3"/>
    </row>
    <row r="187" spans="1:37" ht="14.4" x14ac:dyDescent="0.4">
      <c r="A187" s="1" t="s">
        <v>180</v>
      </c>
      <c r="B187" s="5">
        <v>1149452</v>
      </c>
      <c r="C187" s="5">
        <v>46434</v>
      </c>
      <c r="D187" s="5">
        <v>31671</v>
      </c>
      <c r="E187" s="19">
        <v>40.5</v>
      </c>
      <c r="F187" s="19">
        <v>27.5</v>
      </c>
      <c r="G187" s="19"/>
      <c r="H187" s="10"/>
      <c r="I187" s="6">
        <v>195000</v>
      </c>
      <c r="J187" s="6">
        <v>76161</v>
      </c>
      <c r="K187" s="6">
        <v>72974</v>
      </c>
      <c r="L187" s="6">
        <v>120425</v>
      </c>
      <c r="M187" s="6">
        <v>87305</v>
      </c>
      <c r="N187" s="6">
        <v>113420</v>
      </c>
      <c r="O187" s="6">
        <v>78228</v>
      </c>
      <c r="P187" s="6">
        <v>166725</v>
      </c>
      <c r="Q187" s="6">
        <v>126335</v>
      </c>
      <c r="R187" s="6">
        <v>112889</v>
      </c>
      <c r="S187" s="7"/>
      <c r="T187" s="7"/>
      <c r="U187" s="7"/>
      <c r="V187" s="7"/>
      <c r="W187" s="7"/>
      <c r="X187" s="3"/>
      <c r="Y187" s="4">
        <f>SUM(I187:W187)</f>
        <v>1149462</v>
      </c>
      <c r="Z187" s="4">
        <f>SUM(I188:W188)</f>
        <v>46451</v>
      </c>
      <c r="AA187" s="4">
        <f>SUM(I189:W189)</f>
        <v>31671</v>
      </c>
      <c r="AB187" s="4"/>
      <c r="AC187" s="4">
        <f>Y187-B187</f>
        <v>10</v>
      </c>
      <c r="AD187" s="4">
        <f>Z187-C187</f>
        <v>17</v>
      </c>
      <c r="AE187" s="4">
        <f>AA187-D187</f>
        <v>0</v>
      </c>
      <c r="AG187" s="18">
        <f>C187/B187*1000</f>
        <v>40.396641182058929</v>
      </c>
      <c r="AH187" s="18">
        <f>D187/B187*1000</f>
        <v>27.553129665266582</v>
      </c>
      <c r="AJ187" s="18">
        <f>AG187-E187</f>
        <v>-0.10335881794107138</v>
      </c>
      <c r="AK187" s="18">
        <f>AH187-F187</f>
        <v>5.3129665266581583E-2</v>
      </c>
    </row>
    <row r="188" spans="1:37" ht="14.4" x14ac:dyDescent="0.4">
      <c r="A188" s="2" t="s">
        <v>181</v>
      </c>
      <c r="B188" s="8"/>
      <c r="C188" s="8"/>
      <c r="D188" s="8"/>
      <c r="E188" s="20"/>
      <c r="F188" s="20"/>
      <c r="G188" s="20"/>
      <c r="H188" s="9"/>
      <c r="I188" s="10">
        <v>8688</v>
      </c>
      <c r="J188" s="10">
        <v>2740</v>
      </c>
      <c r="K188" s="10">
        <v>2475</v>
      </c>
      <c r="L188" s="10">
        <v>5835</v>
      </c>
      <c r="M188" s="10">
        <v>4326</v>
      </c>
      <c r="N188" s="10">
        <v>4478</v>
      </c>
      <c r="O188" s="10">
        <v>3188</v>
      </c>
      <c r="P188" s="10">
        <v>7070</v>
      </c>
      <c r="Q188" s="10">
        <v>3643</v>
      </c>
      <c r="R188" s="10">
        <v>4008</v>
      </c>
      <c r="S188" s="9"/>
      <c r="T188" s="9"/>
      <c r="U188" s="9"/>
      <c r="V188" s="9"/>
      <c r="W188" s="9"/>
      <c r="X188" s="3"/>
      <c r="Y188" s="3"/>
      <c r="Z188" s="3"/>
      <c r="AA188" s="3"/>
      <c r="AB188" s="3"/>
      <c r="AC188" s="3"/>
      <c r="AD188" s="3"/>
      <c r="AE188" s="3"/>
    </row>
    <row r="189" spans="1:37" ht="14.4" x14ac:dyDescent="0.4">
      <c r="A189" s="2" t="s">
        <v>182</v>
      </c>
      <c r="B189" s="8"/>
      <c r="C189" s="8"/>
      <c r="D189" s="8"/>
      <c r="E189" s="20"/>
      <c r="F189" s="20"/>
      <c r="G189" s="20"/>
      <c r="H189" s="9"/>
      <c r="I189" s="10">
        <v>6206</v>
      </c>
      <c r="J189" s="10">
        <v>2047</v>
      </c>
      <c r="K189" s="10">
        <v>1878</v>
      </c>
      <c r="L189" s="10">
        <v>3420</v>
      </c>
      <c r="M189" s="10">
        <v>2595</v>
      </c>
      <c r="N189" s="10">
        <v>3067</v>
      </c>
      <c r="O189" s="10">
        <v>2435</v>
      </c>
      <c r="P189" s="10">
        <v>4732</v>
      </c>
      <c r="Q189" s="10">
        <v>2641</v>
      </c>
      <c r="R189" s="10">
        <v>2650</v>
      </c>
      <c r="S189" s="9"/>
      <c r="T189" s="9"/>
      <c r="U189" s="9"/>
      <c r="V189" s="9"/>
      <c r="W189" s="9"/>
      <c r="X189" s="3"/>
      <c r="Y189" s="3"/>
      <c r="Z189" s="3"/>
      <c r="AA189" s="3"/>
      <c r="AB189" s="3"/>
      <c r="AC189" s="3"/>
      <c r="AD189" s="3"/>
      <c r="AE189" s="3"/>
    </row>
    <row r="190" spans="1:37" ht="14.4" x14ac:dyDescent="0.4">
      <c r="A190" s="14" t="s">
        <v>183</v>
      </c>
      <c r="B190" s="15">
        <v>62629449</v>
      </c>
      <c r="C190" s="15">
        <v>3175386</v>
      </c>
      <c r="D190" s="15">
        <v>2084554</v>
      </c>
      <c r="E190" s="23">
        <v>50.7</v>
      </c>
      <c r="F190" s="23">
        <v>33.299999999999997</v>
      </c>
      <c r="G190" s="23"/>
      <c r="H190" s="10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3"/>
      <c r="Y190" s="17">
        <f>SUM(Y84:Y187)</f>
        <v>62571417</v>
      </c>
      <c r="Z190" s="17">
        <f>SUM(Z84:Z187)</f>
        <v>3174821</v>
      </c>
      <c r="AA190" s="17">
        <f>SUM(AA84:AA187)</f>
        <v>2082786</v>
      </c>
      <c r="AB190" s="17"/>
      <c r="AC190" s="17">
        <f t="shared" ref="AC190:AE193" si="8">Y190-B190</f>
        <v>-58032</v>
      </c>
      <c r="AD190" s="17">
        <f t="shared" si="8"/>
        <v>-565</v>
      </c>
      <c r="AE190" s="17">
        <f t="shared" si="8"/>
        <v>-1768</v>
      </c>
      <c r="AG190" s="24">
        <f>C190/B190*1000</f>
        <v>50.701164559183653</v>
      </c>
      <c r="AH190" s="24">
        <f>D190/B190*1000</f>
        <v>33.283926863223719</v>
      </c>
      <c r="AJ190" s="24">
        <f t="shared" ref="AJ190:AK193" si="9">AG190-E190</f>
        <v>1.1645591836497715E-3</v>
      </c>
      <c r="AK190" s="24">
        <f t="shared" si="9"/>
        <v>-1.6073136776277863E-2</v>
      </c>
    </row>
    <row r="191" spans="1:37" ht="14.4" x14ac:dyDescent="0.4">
      <c r="A191" s="2" t="s">
        <v>184</v>
      </c>
      <c r="B191" s="5">
        <v>1962369</v>
      </c>
      <c r="C191" s="5">
        <v>147277</v>
      </c>
      <c r="D191" s="5">
        <v>67072</v>
      </c>
      <c r="E191" s="19">
        <v>59.7</v>
      </c>
      <c r="F191" s="19">
        <v>34.1</v>
      </c>
      <c r="G191" s="19"/>
      <c r="H191" s="10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3"/>
      <c r="Y191" s="4">
        <f>B191</f>
        <v>1962369</v>
      </c>
      <c r="Z191" s="4">
        <f>C191</f>
        <v>147277</v>
      </c>
      <c r="AA191" s="4">
        <f>D191</f>
        <v>67072</v>
      </c>
      <c r="AB191" s="4"/>
      <c r="AC191" s="4">
        <f t="shared" si="8"/>
        <v>0</v>
      </c>
      <c r="AD191" s="4">
        <f t="shared" si="8"/>
        <v>0</v>
      </c>
      <c r="AE191" s="4">
        <f t="shared" si="8"/>
        <v>0</v>
      </c>
      <c r="AG191" s="18">
        <f>C191/B191*1000</f>
        <v>75.050614843589557</v>
      </c>
      <c r="AH191" s="18">
        <f>D191/B191*1000</f>
        <v>34.179096795760636</v>
      </c>
      <c r="AJ191" s="18">
        <f t="shared" si="9"/>
        <v>15.350614843589554</v>
      </c>
      <c r="AK191" s="18">
        <f t="shared" si="9"/>
        <v>7.9096795760634109E-2</v>
      </c>
    </row>
    <row r="192" spans="1:37" ht="14.4" x14ac:dyDescent="0.4">
      <c r="A192" s="14" t="s">
        <v>185</v>
      </c>
      <c r="B192" s="15">
        <v>94289057</v>
      </c>
      <c r="C192" s="15">
        <v>4579693</v>
      </c>
      <c r="D192" s="15">
        <v>2960486</v>
      </c>
      <c r="E192" s="23">
        <v>48.6</v>
      </c>
      <c r="F192" s="23">
        <v>31.4</v>
      </c>
      <c r="G192" s="23"/>
      <c r="H192" s="10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3"/>
      <c r="Y192" s="17">
        <f>Y190+Y83+Y42</f>
        <v>92339643</v>
      </c>
      <c r="Z192" s="17">
        <f>Z190+Z83+Z42</f>
        <v>4461871</v>
      </c>
      <c r="AA192" s="17">
        <f>AA190+AA83+AA42</f>
        <v>2891684</v>
      </c>
      <c r="AB192" s="17"/>
      <c r="AC192" s="17">
        <f t="shared" si="8"/>
        <v>-1949414</v>
      </c>
      <c r="AD192" s="17">
        <f t="shared" si="8"/>
        <v>-117822</v>
      </c>
      <c r="AE192" s="17">
        <f t="shared" si="8"/>
        <v>-68802</v>
      </c>
      <c r="AG192" s="24">
        <f>C192/B192*1000</f>
        <v>48.570779533832862</v>
      </c>
      <c r="AH192" s="24">
        <f>D192/B192*1000</f>
        <v>31.397980785829684</v>
      </c>
      <c r="AJ192" s="24">
        <f t="shared" si="9"/>
        <v>-2.9220466167139136E-2</v>
      </c>
      <c r="AK192" s="24">
        <f t="shared" si="9"/>
        <v>-2.0192141703141431E-3</v>
      </c>
    </row>
    <row r="193" spans="1:37" ht="14.4" x14ac:dyDescent="0.4">
      <c r="A193" s="1" t="s">
        <v>186</v>
      </c>
      <c r="B193" s="5">
        <v>749089</v>
      </c>
      <c r="C193" s="5">
        <v>19110</v>
      </c>
      <c r="D193" s="5">
        <v>16636</v>
      </c>
      <c r="E193" s="19">
        <v>25.5</v>
      </c>
      <c r="F193" s="19">
        <v>22.2</v>
      </c>
      <c r="G193" s="19"/>
      <c r="H193" s="10"/>
      <c r="I193" s="6">
        <v>132560</v>
      </c>
      <c r="J193" s="6">
        <v>98077</v>
      </c>
      <c r="K193" s="6">
        <v>96237</v>
      </c>
      <c r="L193" s="6">
        <v>198879</v>
      </c>
      <c r="M193" s="6">
        <v>130126</v>
      </c>
      <c r="N193" s="6">
        <v>148425</v>
      </c>
      <c r="O193" s="6">
        <v>14185</v>
      </c>
      <c r="P193" s="7"/>
      <c r="Q193" s="7"/>
      <c r="R193" s="7"/>
      <c r="S193" s="7"/>
      <c r="T193" s="7"/>
      <c r="U193" s="7"/>
      <c r="V193" s="7"/>
      <c r="W193" s="7"/>
      <c r="X193" s="3"/>
      <c r="Y193" s="4">
        <f>SUM(I193:W193)</f>
        <v>818489</v>
      </c>
      <c r="Z193" s="4">
        <f>SUM(I194:W194)</f>
        <v>19110</v>
      </c>
      <c r="AA193" s="4">
        <f>SUM(I195:W195)</f>
        <v>16636</v>
      </c>
      <c r="AB193" s="4"/>
      <c r="AC193" s="4">
        <f t="shared" si="8"/>
        <v>69400</v>
      </c>
      <c r="AD193" s="4">
        <f t="shared" si="8"/>
        <v>0</v>
      </c>
      <c r="AE193" s="4">
        <f t="shared" si="8"/>
        <v>0</v>
      </c>
      <c r="AG193" s="18">
        <f>C193/B193*1000</f>
        <v>25.510987345962896</v>
      </c>
      <c r="AH193" s="18">
        <f>D193/B193*1000</f>
        <v>22.208309026030285</v>
      </c>
      <c r="AJ193" s="18">
        <f t="shared" si="9"/>
        <v>1.0987345962895745E-2</v>
      </c>
      <c r="AK193" s="18">
        <f t="shared" si="9"/>
        <v>8.3090260302860486E-3</v>
      </c>
    </row>
    <row r="194" spans="1:37" ht="14.4" x14ac:dyDescent="0.4">
      <c r="A194" s="2" t="s">
        <v>187</v>
      </c>
      <c r="B194" s="8"/>
      <c r="C194" s="8"/>
      <c r="D194" s="8"/>
      <c r="E194" s="20"/>
      <c r="F194" s="20"/>
      <c r="G194" s="20"/>
      <c r="H194" s="9"/>
      <c r="I194" s="10">
        <v>1843</v>
      </c>
      <c r="J194" s="10">
        <v>2810</v>
      </c>
      <c r="K194" s="10">
        <v>2835</v>
      </c>
      <c r="L194" s="10">
        <v>4496</v>
      </c>
      <c r="M194" s="10">
        <v>3716</v>
      </c>
      <c r="N194" s="10">
        <v>2933</v>
      </c>
      <c r="O194" s="10">
        <v>477</v>
      </c>
      <c r="P194" s="9"/>
      <c r="Q194" s="9"/>
      <c r="R194" s="9"/>
      <c r="S194" s="9"/>
      <c r="T194" s="9"/>
      <c r="U194" s="9"/>
      <c r="V194" s="9"/>
      <c r="W194" s="9"/>
      <c r="X194" s="3"/>
      <c r="Y194" s="3"/>
      <c r="Z194" s="3"/>
      <c r="AA194" s="3"/>
      <c r="AB194" s="3"/>
      <c r="AC194" s="3"/>
      <c r="AD194" s="3"/>
      <c r="AE194" s="3"/>
    </row>
    <row r="195" spans="1:37" ht="14.4" x14ac:dyDescent="0.4">
      <c r="A195" s="2" t="s">
        <v>188</v>
      </c>
      <c r="B195" s="8"/>
      <c r="C195" s="8"/>
      <c r="D195" s="8"/>
      <c r="E195" s="20"/>
      <c r="F195" s="20"/>
      <c r="G195" s="20"/>
      <c r="H195" s="9"/>
      <c r="I195" s="10">
        <v>1551</v>
      </c>
      <c r="J195" s="10">
        <v>2439</v>
      </c>
      <c r="K195" s="10">
        <v>2158</v>
      </c>
      <c r="L195" s="10">
        <v>4158</v>
      </c>
      <c r="M195" s="10">
        <v>3448</v>
      </c>
      <c r="N195" s="10">
        <v>2442</v>
      </c>
      <c r="O195" s="10">
        <v>440</v>
      </c>
      <c r="P195" s="9"/>
      <c r="Q195" s="9"/>
      <c r="R195" s="9"/>
      <c r="S195" s="9"/>
      <c r="T195" s="9"/>
      <c r="U195" s="9"/>
      <c r="V195" s="9"/>
      <c r="W195" s="9"/>
      <c r="X195" s="3"/>
      <c r="Y195" s="3"/>
      <c r="Z195" s="3"/>
      <c r="AA195" s="3"/>
      <c r="AB195" s="3"/>
      <c r="AC195" s="3"/>
      <c r="AD195" s="3"/>
      <c r="AE195" s="3"/>
    </row>
    <row r="196" spans="1:37" ht="14.4" x14ac:dyDescent="0.4">
      <c r="A196" s="1" t="s">
        <v>189</v>
      </c>
      <c r="B196" s="5">
        <v>601987</v>
      </c>
      <c r="C196" s="5">
        <v>13874</v>
      </c>
      <c r="D196" s="5">
        <v>13378</v>
      </c>
      <c r="E196" s="19">
        <v>23</v>
      </c>
      <c r="F196" s="19">
        <v>22.2</v>
      </c>
      <c r="G196" s="19"/>
      <c r="H196" s="10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3"/>
      <c r="Y196" s="4">
        <f>B196</f>
        <v>601987</v>
      </c>
      <c r="Z196" s="4">
        <f>C196</f>
        <v>13874</v>
      </c>
      <c r="AA196" s="4">
        <f>D196</f>
        <v>13378</v>
      </c>
      <c r="AB196" s="4"/>
      <c r="AC196" s="4">
        <f t="shared" ref="AC196:AE197" si="10">Y196-B196</f>
        <v>0</v>
      </c>
      <c r="AD196" s="4">
        <f t="shared" si="10"/>
        <v>0</v>
      </c>
      <c r="AE196" s="4">
        <f t="shared" si="10"/>
        <v>0</v>
      </c>
      <c r="AG196" s="18">
        <f>C196/B196*1000</f>
        <v>23.047009320799287</v>
      </c>
      <c r="AH196" s="18">
        <f>D196/B196*1000</f>
        <v>22.22307126233623</v>
      </c>
      <c r="AJ196" s="18">
        <f>AG196-E196</f>
        <v>4.7009320799286769E-2</v>
      </c>
      <c r="AK196" s="18">
        <f>AH196-F196</f>
        <v>2.3071262336230802E-2</v>
      </c>
    </row>
    <row r="197" spans="1:37" ht="14.4" x14ac:dyDescent="0.4">
      <c r="A197" s="1" t="s">
        <v>190</v>
      </c>
      <c r="B197" s="5">
        <v>755226</v>
      </c>
      <c r="C197" s="5">
        <v>19719</v>
      </c>
      <c r="D197" s="5">
        <v>14961</v>
      </c>
      <c r="E197" s="19">
        <v>26.1</v>
      </c>
      <c r="F197" s="19">
        <v>19.3</v>
      </c>
      <c r="G197" s="19"/>
      <c r="H197" s="10"/>
      <c r="I197" s="6">
        <v>126857</v>
      </c>
      <c r="J197" s="6">
        <v>54839</v>
      </c>
      <c r="K197" s="6">
        <v>49166</v>
      </c>
      <c r="L197" s="6">
        <v>56799</v>
      </c>
      <c r="M197" s="6">
        <v>125873</v>
      </c>
      <c r="N197" s="6">
        <v>86253</v>
      </c>
      <c r="O197" s="6">
        <v>117867</v>
      </c>
      <c r="P197" s="6">
        <v>137572</v>
      </c>
      <c r="Q197" s="7"/>
      <c r="R197" s="7"/>
      <c r="S197" s="7"/>
      <c r="T197" s="7"/>
      <c r="U197" s="7"/>
      <c r="V197" s="7"/>
      <c r="W197" s="7"/>
      <c r="X197" s="3"/>
      <c r="Y197" s="4">
        <f>SUM(I197:W197)</f>
        <v>755226</v>
      </c>
      <c r="Z197" s="4">
        <f>SUM(I198:W198)</f>
        <v>19719</v>
      </c>
      <c r="AA197" s="4">
        <f>SUM(I199:W199)</f>
        <v>14961</v>
      </c>
      <c r="AB197" s="4"/>
      <c r="AC197" s="4">
        <f t="shared" si="10"/>
        <v>0</v>
      </c>
      <c r="AD197" s="4">
        <f t="shared" si="10"/>
        <v>0</v>
      </c>
      <c r="AE197" s="4">
        <f t="shared" si="10"/>
        <v>0</v>
      </c>
      <c r="AG197" s="18">
        <f>C197/B197*1000</f>
        <v>26.110065066615821</v>
      </c>
      <c r="AH197" s="18">
        <f>D197/B197*1000</f>
        <v>19.809964169665772</v>
      </c>
      <c r="AJ197" s="18">
        <f>AG197-E197</f>
        <v>1.0065066615819518E-2</v>
      </c>
      <c r="AK197" s="18">
        <f>AH197-F197</f>
        <v>0.50996416966577129</v>
      </c>
    </row>
    <row r="198" spans="1:37" ht="14.4" x14ac:dyDescent="0.4">
      <c r="A198" s="2" t="s">
        <v>191</v>
      </c>
      <c r="B198" s="8"/>
      <c r="C198" s="8"/>
      <c r="D198" s="8"/>
      <c r="E198" s="20"/>
      <c r="F198" s="20"/>
      <c r="G198" s="20"/>
      <c r="H198" s="9"/>
      <c r="I198" s="10">
        <v>3297</v>
      </c>
      <c r="J198" s="10">
        <v>1566</v>
      </c>
      <c r="K198" s="10">
        <v>952</v>
      </c>
      <c r="L198" s="10">
        <v>1360</v>
      </c>
      <c r="M198" s="10">
        <v>2885</v>
      </c>
      <c r="N198" s="10">
        <v>2953</v>
      </c>
      <c r="O198" s="10">
        <v>3720</v>
      </c>
      <c r="P198" s="10">
        <v>2986</v>
      </c>
      <c r="Q198" s="9"/>
      <c r="R198" s="9"/>
      <c r="S198" s="9"/>
      <c r="T198" s="9"/>
      <c r="U198" s="9"/>
      <c r="V198" s="9"/>
      <c r="W198" s="9"/>
      <c r="X198" s="3"/>
      <c r="Y198" s="3"/>
      <c r="Z198" s="3"/>
      <c r="AA198" s="3"/>
      <c r="AB198" s="3"/>
      <c r="AC198" s="3"/>
      <c r="AD198" s="3"/>
      <c r="AE198" s="3"/>
    </row>
    <row r="199" spans="1:37" ht="14.4" x14ac:dyDescent="0.4">
      <c r="A199" s="2" t="s">
        <v>192</v>
      </c>
      <c r="B199" s="8"/>
      <c r="C199" s="8"/>
      <c r="D199" s="8"/>
      <c r="E199" s="20"/>
      <c r="F199" s="20"/>
      <c r="G199" s="20"/>
      <c r="H199" s="9"/>
      <c r="I199" s="10">
        <v>2922</v>
      </c>
      <c r="J199" s="10">
        <v>1361</v>
      </c>
      <c r="K199" s="10">
        <v>861</v>
      </c>
      <c r="L199" s="10">
        <v>1076</v>
      </c>
      <c r="M199" s="10">
        <v>2009</v>
      </c>
      <c r="N199" s="10">
        <v>1588</v>
      </c>
      <c r="O199" s="10">
        <v>2876</v>
      </c>
      <c r="P199" s="10">
        <v>2268</v>
      </c>
      <c r="Q199" s="9"/>
      <c r="R199" s="9"/>
      <c r="S199" s="9"/>
      <c r="T199" s="9"/>
      <c r="U199" s="9"/>
      <c r="V199" s="9"/>
      <c r="W199" s="9"/>
      <c r="X199" s="3"/>
      <c r="Y199" s="3"/>
      <c r="Z199" s="3"/>
      <c r="AA199" s="3"/>
      <c r="AB199" s="3"/>
      <c r="AC199" s="3"/>
      <c r="AD199" s="3"/>
      <c r="AE199" s="3"/>
    </row>
    <row r="200" spans="1:37" ht="14.4" x14ac:dyDescent="0.4">
      <c r="A200" s="1" t="s">
        <v>193</v>
      </c>
      <c r="B200" s="5">
        <v>237114</v>
      </c>
      <c r="C200" s="13" t="s">
        <v>4</v>
      </c>
      <c r="D200" s="13" t="s">
        <v>4</v>
      </c>
      <c r="E200" s="13" t="s">
        <v>4</v>
      </c>
      <c r="F200" s="13" t="s">
        <v>4</v>
      </c>
      <c r="G200" s="13"/>
      <c r="H200" s="10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3"/>
      <c r="Y200" s="4">
        <f>B200</f>
        <v>237114</v>
      </c>
      <c r="Z200" s="4"/>
      <c r="AA200" s="4"/>
      <c r="AB200" s="4"/>
      <c r="AC200" s="4"/>
      <c r="AD200" s="4"/>
      <c r="AE200" s="4"/>
      <c r="AG200" s="18"/>
      <c r="AH200" s="18"/>
      <c r="AJ200" s="18"/>
      <c r="AK200" s="18"/>
    </row>
    <row r="201" spans="1:37" ht="14.4" x14ac:dyDescent="0.4">
      <c r="A201" s="1" t="s">
        <v>194</v>
      </c>
      <c r="B201" s="5">
        <v>1350054</v>
      </c>
      <c r="C201" s="5">
        <v>83293</v>
      </c>
      <c r="D201" s="5">
        <v>52845</v>
      </c>
      <c r="E201" s="19">
        <v>61.6</v>
      </c>
      <c r="F201" s="19">
        <v>39.1</v>
      </c>
      <c r="G201" s="19"/>
      <c r="H201" s="10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3"/>
      <c r="Y201" s="4">
        <f>B201</f>
        <v>1350054</v>
      </c>
      <c r="Z201" s="4">
        <f>C201</f>
        <v>83293</v>
      </c>
      <c r="AA201" s="4">
        <f>D201</f>
        <v>52845</v>
      </c>
      <c r="AB201" s="4"/>
      <c r="AC201" s="4"/>
      <c r="AD201" s="4"/>
      <c r="AE201" s="4"/>
      <c r="AG201" s="18">
        <f>C201/B201*1000</f>
        <v>61.696050676491453</v>
      </c>
      <c r="AH201" s="18">
        <f>D201/B201*1000</f>
        <v>39.142878729295276</v>
      </c>
      <c r="AJ201" s="18">
        <f>AG201-E201</f>
        <v>9.605067649145127E-2</v>
      </c>
      <c r="AK201" s="18">
        <f>AH201-F201</f>
        <v>4.2878729295274809E-2</v>
      </c>
    </row>
    <row r="202" spans="1:37" ht="14.4" x14ac:dyDescent="0.4">
      <c r="A202" s="1" t="s">
        <v>261</v>
      </c>
      <c r="B202" s="5">
        <v>23943</v>
      </c>
      <c r="C202" s="5">
        <v>916</v>
      </c>
      <c r="D202" s="5">
        <v>739</v>
      </c>
      <c r="E202" s="19"/>
      <c r="F202" s="19"/>
      <c r="G202" s="1" t="s">
        <v>194</v>
      </c>
      <c r="H202" s="10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3"/>
      <c r="Y202" s="4">
        <f>B202</f>
        <v>23943</v>
      </c>
      <c r="Z202" s="4">
        <f>C202</f>
        <v>916</v>
      </c>
      <c r="AA202" s="4">
        <f>D202</f>
        <v>739</v>
      </c>
      <c r="AB202" s="4"/>
      <c r="AC202" s="4"/>
      <c r="AD202" s="4"/>
      <c r="AE202" s="4"/>
      <c r="AG202" s="18"/>
      <c r="AH202" s="18"/>
      <c r="AJ202" s="18"/>
      <c r="AK202" s="18"/>
    </row>
    <row r="203" spans="1:37" ht="14.4" x14ac:dyDescent="0.4">
      <c r="A203" s="1" t="s">
        <v>195</v>
      </c>
      <c r="B203" s="5">
        <v>959715</v>
      </c>
      <c r="C203" s="5">
        <v>26825</v>
      </c>
      <c r="D203" s="5">
        <v>13075</v>
      </c>
      <c r="E203" s="19">
        <v>27.9</v>
      </c>
      <c r="F203" s="19">
        <v>13.6</v>
      </c>
      <c r="G203" s="19"/>
      <c r="H203" s="10"/>
      <c r="I203" s="6">
        <v>198432</v>
      </c>
      <c r="J203" s="6">
        <v>55081</v>
      </c>
      <c r="K203" s="6">
        <v>62512</v>
      </c>
      <c r="L203" s="6">
        <v>110517</v>
      </c>
      <c r="M203" s="6">
        <v>47785</v>
      </c>
      <c r="N203" s="6">
        <v>81624</v>
      </c>
      <c r="O203" s="6">
        <v>68492</v>
      </c>
      <c r="P203" s="6">
        <v>103273</v>
      </c>
      <c r="Q203" s="6">
        <v>80823</v>
      </c>
      <c r="R203" s="6">
        <v>149916</v>
      </c>
      <c r="S203" s="7"/>
      <c r="T203" s="7"/>
      <c r="U203" s="7"/>
      <c r="V203" s="7"/>
      <c r="W203" s="7"/>
      <c r="X203" s="3"/>
      <c r="Y203" s="4">
        <f>SUM(I203:W203)</f>
        <v>958455</v>
      </c>
      <c r="Z203" s="4">
        <f>SUM(I204:W204)</f>
        <v>26768</v>
      </c>
      <c r="AA203" s="4">
        <f>SUM(I205:W205)</f>
        <v>12973</v>
      </c>
      <c r="AB203" s="4"/>
      <c r="AC203" s="4">
        <f>Y203-B203</f>
        <v>-1260</v>
      </c>
      <c r="AD203" s="4">
        <f>Z203-C203</f>
        <v>-57</v>
      </c>
      <c r="AE203" s="4">
        <f>AA203-D203</f>
        <v>-102</v>
      </c>
      <c r="AG203" s="18">
        <f>C203/B203*1000</f>
        <v>27.951006288325178</v>
      </c>
      <c r="AH203" s="18">
        <f>D203/B203*1000</f>
        <v>13.623836243051322</v>
      </c>
      <c r="AJ203" s="18">
        <f>AG203-E203</f>
        <v>5.1006288325179838E-2</v>
      </c>
      <c r="AK203" s="18">
        <f>AH203-F203</f>
        <v>2.383624305132237E-2</v>
      </c>
    </row>
    <row r="204" spans="1:37" ht="14.4" x14ac:dyDescent="0.4">
      <c r="A204" s="2" t="s">
        <v>196</v>
      </c>
      <c r="B204" s="8"/>
      <c r="C204" s="8"/>
      <c r="D204" s="8"/>
      <c r="E204" s="20"/>
      <c r="F204" s="20"/>
      <c r="G204" s="20"/>
      <c r="H204" s="9"/>
      <c r="I204" s="10">
        <v>5774</v>
      </c>
      <c r="J204" s="10">
        <v>1412</v>
      </c>
      <c r="K204" s="10">
        <v>1474</v>
      </c>
      <c r="L204" s="10">
        <v>2818</v>
      </c>
      <c r="M204" s="10">
        <v>1393</v>
      </c>
      <c r="N204" s="10">
        <v>2486</v>
      </c>
      <c r="O204" s="10">
        <v>2316</v>
      </c>
      <c r="P204" s="10">
        <v>3065</v>
      </c>
      <c r="Q204" s="10">
        <v>2583</v>
      </c>
      <c r="R204" s="10">
        <v>3447</v>
      </c>
      <c r="S204" s="9"/>
      <c r="T204" s="9"/>
      <c r="U204" s="9"/>
      <c r="V204" s="9"/>
      <c r="W204" s="9"/>
      <c r="X204" s="3"/>
      <c r="Y204" s="3"/>
      <c r="Z204" s="3"/>
      <c r="AA204" s="3"/>
      <c r="AB204" s="3"/>
      <c r="AC204" s="3"/>
      <c r="AD204" s="3"/>
      <c r="AE204" s="3"/>
    </row>
    <row r="205" spans="1:37" ht="14.4" x14ac:dyDescent="0.4">
      <c r="A205" s="2" t="s">
        <v>197</v>
      </c>
      <c r="B205" s="8"/>
      <c r="C205" s="8"/>
      <c r="D205" s="8"/>
      <c r="E205" s="20"/>
      <c r="F205" s="20"/>
      <c r="G205" s="20"/>
      <c r="H205" s="9"/>
      <c r="I205" s="10">
        <v>2774</v>
      </c>
      <c r="J205" s="10">
        <v>831</v>
      </c>
      <c r="K205" s="10">
        <v>1089</v>
      </c>
      <c r="L205" s="10">
        <v>1442</v>
      </c>
      <c r="M205" s="10">
        <v>695</v>
      </c>
      <c r="N205" s="10">
        <v>1037</v>
      </c>
      <c r="O205" s="10">
        <v>927</v>
      </c>
      <c r="P205" s="10">
        <v>1545</v>
      </c>
      <c r="Q205" s="10">
        <v>877</v>
      </c>
      <c r="R205" s="10">
        <v>1756</v>
      </c>
      <c r="S205" s="9"/>
      <c r="T205" s="9"/>
      <c r="U205" s="9"/>
      <c r="V205" s="9"/>
      <c r="W205" s="9"/>
      <c r="X205" s="3"/>
      <c r="Y205" s="3"/>
      <c r="Z205" s="3"/>
      <c r="AA205" s="3"/>
      <c r="AB205" s="3"/>
      <c r="AC205" s="3"/>
      <c r="AD205" s="3"/>
      <c r="AE205" s="3"/>
    </row>
    <row r="206" spans="1:37" ht="14.4" x14ac:dyDescent="0.4">
      <c r="A206" s="1" t="s">
        <v>198</v>
      </c>
      <c r="B206" s="5">
        <v>670648</v>
      </c>
      <c r="C206" s="5">
        <v>43139</v>
      </c>
      <c r="D206" s="5">
        <v>24945</v>
      </c>
      <c r="E206" s="19">
        <v>64.3</v>
      </c>
      <c r="F206" s="19">
        <v>37.200000000000003</v>
      </c>
      <c r="G206" s="19"/>
      <c r="H206" s="10"/>
      <c r="I206" s="6">
        <v>129762</v>
      </c>
      <c r="J206" s="6">
        <v>135481</v>
      </c>
      <c r="K206" s="6">
        <v>161456</v>
      </c>
      <c r="L206" s="6">
        <v>185546</v>
      </c>
      <c r="M206" s="6">
        <v>58398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3"/>
      <c r="Y206" s="4">
        <f>SUM(I206:W206)</f>
        <v>670643</v>
      </c>
      <c r="Z206" s="4">
        <f>SUM(I207:W207)</f>
        <v>43139</v>
      </c>
      <c r="AA206" s="4">
        <f>SUM(I208:W208)</f>
        <v>24945</v>
      </c>
      <c r="AB206" s="4"/>
      <c r="AC206" s="4">
        <f>Y206-B206</f>
        <v>-5</v>
      </c>
      <c r="AD206" s="4">
        <f>Z206-C206</f>
        <v>0</v>
      </c>
      <c r="AE206" s="4">
        <f>AA206-D206</f>
        <v>0</v>
      </c>
      <c r="AG206" s="18">
        <f>C206/B206*1000</f>
        <v>64.324354952225306</v>
      </c>
      <c r="AH206" s="18">
        <f>D206/B206*1000</f>
        <v>37.195369254810274</v>
      </c>
      <c r="AJ206" s="18">
        <f>AG206-E206</f>
        <v>2.4354952225309034E-2</v>
      </c>
      <c r="AK206" s="18">
        <f>AH206-F206</f>
        <v>-4.6307451897291685E-3</v>
      </c>
    </row>
    <row r="207" spans="1:37" ht="14.4" x14ac:dyDescent="0.4">
      <c r="A207" s="2" t="s">
        <v>199</v>
      </c>
      <c r="B207" s="8"/>
      <c r="C207" s="8"/>
      <c r="D207" s="8"/>
      <c r="E207" s="20"/>
      <c r="F207" s="20"/>
      <c r="G207" s="20"/>
      <c r="H207" s="9"/>
      <c r="I207" s="10">
        <v>7645</v>
      </c>
      <c r="J207" s="10">
        <v>9138</v>
      </c>
      <c r="K207" s="10">
        <v>12770</v>
      </c>
      <c r="L207" s="10">
        <v>12387</v>
      </c>
      <c r="M207" s="10">
        <v>1199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3"/>
      <c r="Y207" s="3"/>
      <c r="Z207" s="3"/>
      <c r="AA207" s="3"/>
      <c r="AB207" s="3"/>
      <c r="AC207" s="3"/>
      <c r="AD207" s="3"/>
      <c r="AE207" s="3"/>
    </row>
    <row r="208" spans="1:37" ht="14.4" x14ac:dyDescent="0.4">
      <c r="A208" s="2" t="s">
        <v>200</v>
      </c>
      <c r="B208" s="8"/>
      <c r="C208" s="8"/>
      <c r="D208" s="8"/>
      <c r="E208" s="20"/>
      <c r="F208" s="20"/>
      <c r="G208" s="20"/>
      <c r="H208" s="9"/>
      <c r="I208" s="10">
        <v>4556</v>
      </c>
      <c r="J208" s="10">
        <v>5643</v>
      </c>
      <c r="K208" s="10">
        <v>6080</v>
      </c>
      <c r="L208" s="10">
        <v>7585</v>
      </c>
      <c r="M208" s="10">
        <v>1081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3"/>
      <c r="Y208" s="3"/>
      <c r="Z208" s="3"/>
      <c r="AA208" s="3"/>
      <c r="AB208" s="3"/>
      <c r="AC208" s="3"/>
      <c r="AD208" s="3"/>
      <c r="AE208" s="3"/>
    </row>
    <row r="209" spans="1:37" ht="14.4" x14ac:dyDescent="0.4">
      <c r="A209" s="1" t="s">
        <v>201</v>
      </c>
      <c r="B209" s="5">
        <v>705616</v>
      </c>
      <c r="C209" s="5">
        <v>22719</v>
      </c>
      <c r="D209" s="5">
        <v>16794</v>
      </c>
      <c r="E209" s="19">
        <v>32.200000000000003</v>
      </c>
      <c r="F209" s="19">
        <v>23.8</v>
      </c>
      <c r="G209" s="19"/>
      <c r="H209" s="10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3"/>
      <c r="Y209" s="3"/>
      <c r="Z209" s="3"/>
      <c r="AA209" s="3"/>
      <c r="AB209" s="3"/>
      <c r="AC209" s="3"/>
      <c r="AD209" s="3"/>
      <c r="AE209" s="3"/>
    </row>
    <row r="210" spans="1:37" ht="14.4" x14ac:dyDescent="0.4">
      <c r="A210" s="1" t="s">
        <v>202</v>
      </c>
      <c r="B210" s="5">
        <v>823537</v>
      </c>
      <c r="C210" s="5">
        <v>28629</v>
      </c>
      <c r="D210" s="5">
        <v>15520</v>
      </c>
      <c r="E210" s="19">
        <v>34.700000000000003</v>
      </c>
      <c r="F210" s="19">
        <v>18.8</v>
      </c>
      <c r="G210" s="19"/>
      <c r="H210" s="10"/>
      <c r="I210" s="6">
        <v>171713</v>
      </c>
      <c r="J210" s="6">
        <v>65407</v>
      </c>
      <c r="K210" s="6">
        <v>57771</v>
      </c>
      <c r="L210" s="6">
        <v>107874</v>
      </c>
      <c r="M210" s="6">
        <v>156105</v>
      </c>
      <c r="N210" s="6">
        <v>67228</v>
      </c>
      <c r="O210" s="6">
        <v>93474</v>
      </c>
      <c r="P210" s="6">
        <v>68566</v>
      </c>
      <c r="Q210" s="6">
        <v>35399</v>
      </c>
      <c r="R210" s="7"/>
      <c r="S210" s="7"/>
      <c r="T210" s="7"/>
      <c r="U210" s="7"/>
      <c r="V210" s="7"/>
      <c r="W210" s="7"/>
      <c r="X210" s="3"/>
      <c r="Y210" s="4">
        <f>SUM(I210:W210)</f>
        <v>823537</v>
      </c>
      <c r="Z210" s="4">
        <f>SUM(I211:W211)</f>
        <v>28629</v>
      </c>
      <c r="AA210" s="4">
        <f>SUM(I212:W212)</f>
        <v>15520</v>
      </c>
      <c r="AB210" s="4"/>
      <c r="AC210" s="4">
        <f>Y210-B210</f>
        <v>0</v>
      </c>
      <c r="AD210" s="4">
        <f>Z210-C210</f>
        <v>0</v>
      </c>
      <c r="AE210" s="4">
        <f>AA210-D210</f>
        <v>0</v>
      </c>
      <c r="AG210" s="18">
        <f>C210/B210*1000</f>
        <v>34.763465393783157</v>
      </c>
      <c r="AH210" s="18">
        <f>D210/B210*1000</f>
        <v>18.845540637518411</v>
      </c>
      <c r="AJ210" s="18">
        <f>AG210-E210</f>
        <v>6.3465393783154411E-2</v>
      </c>
      <c r="AK210" s="18">
        <f>AH210-F210</f>
        <v>4.5540637518410421E-2</v>
      </c>
    </row>
    <row r="211" spans="1:37" ht="14.4" x14ac:dyDescent="0.4">
      <c r="A211" s="2" t="s">
        <v>203</v>
      </c>
      <c r="B211" s="8"/>
      <c r="C211" s="8"/>
      <c r="D211" s="8"/>
      <c r="E211" s="20"/>
      <c r="F211" s="20"/>
      <c r="G211" s="20"/>
      <c r="H211" s="9"/>
      <c r="I211" s="10">
        <v>7023</v>
      </c>
      <c r="J211" s="10">
        <v>3352</v>
      </c>
      <c r="K211" s="10">
        <v>2318</v>
      </c>
      <c r="L211" s="10">
        <v>2820</v>
      </c>
      <c r="M211" s="10">
        <v>3428</v>
      </c>
      <c r="N211" s="10">
        <v>2287</v>
      </c>
      <c r="O211" s="10">
        <v>3799</v>
      </c>
      <c r="P211" s="10">
        <v>2622</v>
      </c>
      <c r="Q211" s="10">
        <v>980</v>
      </c>
      <c r="R211" s="9"/>
      <c r="S211" s="9"/>
      <c r="T211" s="9"/>
      <c r="U211" s="9"/>
      <c r="V211" s="9"/>
      <c r="W211" s="9"/>
      <c r="X211" s="3"/>
      <c r="Y211" s="3"/>
      <c r="Z211" s="3"/>
      <c r="AA211" s="3"/>
      <c r="AB211" s="3"/>
      <c r="AC211" s="3"/>
      <c r="AD211" s="3"/>
      <c r="AE211" s="3"/>
    </row>
    <row r="212" spans="1:37" ht="14.4" x14ac:dyDescent="0.4">
      <c r="A212" s="2" t="s">
        <v>204</v>
      </c>
      <c r="B212" s="8"/>
      <c r="C212" s="8"/>
      <c r="D212" s="8"/>
      <c r="E212" s="20"/>
      <c r="F212" s="20"/>
      <c r="G212" s="20"/>
      <c r="H212" s="9"/>
      <c r="I212" s="10">
        <v>4464</v>
      </c>
      <c r="J212" s="10">
        <v>1744</v>
      </c>
      <c r="K212" s="10">
        <v>998</v>
      </c>
      <c r="L212" s="10">
        <v>1480</v>
      </c>
      <c r="M212" s="10">
        <v>1290</v>
      </c>
      <c r="N212" s="10">
        <v>1057</v>
      </c>
      <c r="O212" s="10">
        <v>1908</v>
      </c>
      <c r="P212" s="10">
        <v>1994</v>
      </c>
      <c r="Q212" s="10">
        <v>585</v>
      </c>
      <c r="R212" s="9"/>
      <c r="S212" s="9"/>
      <c r="T212" s="9"/>
      <c r="U212" s="9"/>
      <c r="V212" s="9"/>
      <c r="W212" s="9"/>
      <c r="X212" s="3"/>
      <c r="Y212" s="3"/>
      <c r="Z212" s="3"/>
      <c r="AA212" s="3"/>
      <c r="AB212" s="3"/>
      <c r="AC212" s="3"/>
      <c r="AD212" s="3"/>
      <c r="AE212" s="3"/>
    </row>
    <row r="213" spans="1:37" ht="14.4" x14ac:dyDescent="0.4">
      <c r="A213" s="1" t="s">
        <v>205</v>
      </c>
      <c r="B213" s="5">
        <v>677491</v>
      </c>
      <c r="C213" s="13" t="s">
        <v>4</v>
      </c>
      <c r="D213" s="13" t="s">
        <v>4</v>
      </c>
      <c r="E213" s="13" t="s">
        <v>4</v>
      </c>
      <c r="F213" s="13" t="s">
        <v>4</v>
      </c>
      <c r="G213" s="13"/>
      <c r="H213" s="11"/>
      <c r="I213" s="12" t="s">
        <v>4</v>
      </c>
      <c r="J213" s="12" t="s">
        <v>4</v>
      </c>
      <c r="K213" s="12" t="s">
        <v>4</v>
      </c>
      <c r="L213" s="12" t="s">
        <v>4</v>
      </c>
      <c r="M213" s="12" t="s">
        <v>4</v>
      </c>
      <c r="N213" s="12" t="s">
        <v>4</v>
      </c>
      <c r="O213" s="12" t="s">
        <v>4</v>
      </c>
      <c r="P213" s="7"/>
      <c r="Q213" s="7"/>
      <c r="R213" s="7"/>
      <c r="S213" s="7"/>
      <c r="T213" s="7"/>
      <c r="U213" s="7"/>
      <c r="V213" s="7"/>
      <c r="W213" s="7"/>
      <c r="X213" s="3"/>
      <c r="Y213" s="4">
        <f>B213</f>
        <v>677491</v>
      </c>
      <c r="Z213" s="25" t="str">
        <f>C213</f>
        <v>—</v>
      </c>
      <c r="AA213" s="25" t="str">
        <f>D213</f>
        <v>—</v>
      </c>
      <c r="AB213" s="4"/>
      <c r="AC213" s="4">
        <f>Y213-B213</f>
        <v>0</v>
      </c>
      <c r="AD213" s="4"/>
      <c r="AE213" s="4"/>
      <c r="AG213" s="18"/>
      <c r="AH213" s="18"/>
      <c r="AJ213" s="18"/>
      <c r="AK213" s="18"/>
    </row>
    <row r="214" spans="1:37" ht="14.4" x14ac:dyDescent="0.4">
      <c r="A214" s="2" t="s">
        <v>206</v>
      </c>
      <c r="B214" s="8"/>
      <c r="C214" s="8"/>
      <c r="D214" s="8"/>
      <c r="E214" s="20"/>
      <c r="F214" s="20"/>
      <c r="G214" s="20"/>
      <c r="H214" s="9"/>
      <c r="I214" s="11" t="s">
        <v>4</v>
      </c>
      <c r="J214" s="11" t="s">
        <v>4</v>
      </c>
      <c r="K214" s="11" t="s">
        <v>4</v>
      </c>
      <c r="L214" s="11" t="s">
        <v>4</v>
      </c>
      <c r="M214" s="11" t="s">
        <v>4</v>
      </c>
      <c r="N214" s="11" t="s">
        <v>4</v>
      </c>
      <c r="O214" s="11" t="s">
        <v>4</v>
      </c>
      <c r="P214" s="9"/>
      <c r="Q214" s="9"/>
      <c r="R214" s="9"/>
      <c r="S214" s="9"/>
      <c r="T214" s="9"/>
      <c r="U214" s="9"/>
      <c r="V214" s="9"/>
      <c r="W214" s="9"/>
      <c r="X214" s="3"/>
      <c r="Y214" s="3"/>
      <c r="Z214" s="3"/>
      <c r="AA214" s="3"/>
      <c r="AB214" s="3"/>
      <c r="AC214" s="3"/>
      <c r="AD214" s="3"/>
      <c r="AE214" s="3"/>
    </row>
    <row r="215" spans="1:37" ht="14.4" x14ac:dyDescent="0.4">
      <c r="A215" s="2" t="s">
        <v>207</v>
      </c>
      <c r="B215" s="8"/>
      <c r="C215" s="8"/>
      <c r="D215" s="8"/>
      <c r="E215" s="20"/>
      <c r="F215" s="20"/>
      <c r="G215" s="20"/>
      <c r="H215" s="9"/>
      <c r="I215" s="11" t="s">
        <v>4</v>
      </c>
      <c r="J215" s="11" t="s">
        <v>4</v>
      </c>
      <c r="K215" s="11" t="s">
        <v>4</v>
      </c>
      <c r="L215" s="11" t="s">
        <v>4</v>
      </c>
      <c r="M215" s="11" t="s">
        <v>4</v>
      </c>
      <c r="N215" s="11" t="s">
        <v>4</v>
      </c>
      <c r="O215" s="11" t="s">
        <v>4</v>
      </c>
      <c r="P215" s="9"/>
      <c r="Q215" s="9"/>
      <c r="R215" s="9"/>
      <c r="S215" s="9"/>
      <c r="T215" s="9"/>
      <c r="U215" s="9"/>
      <c r="V215" s="9"/>
      <c r="W215" s="9"/>
      <c r="X215" s="3"/>
      <c r="Y215" s="3"/>
      <c r="Z215" s="3"/>
      <c r="AA215" s="3"/>
      <c r="AB215" s="3"/>
      <c r="AC215" s="3"/>
      <c r="AD215" s="3"/>
      <c r="AE215" s="3"/>
    </row>
    <row r="216" spans="1:37" ht="14.4" x14ac:dyDescent="0.4">
      <c r="A216" s="14" t="s">
        <v>208</v>
      </c>
      <c r="B216" s="15">
        <v>7530477</v>
      </c>
      <c r="C216" s="15">
        <v>257308</v>
      </c>
      <c r="D216" s="15">
        <v>168154</v>
      </c>
      <c r="E216" s="23">
        <v>38.9</v>
      </c>
      <c r="F216" s="23">
        <v>25.4</v>
      </c>
      <c r="G216" s="23"/>
      <c r="H216" s="10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3"/>
      <c r="Y216" s="17">
        <f>SUM(Y193:Y213)</f>
        <v>6916939</v>
      </c>
      <c r="Z216" s="17">
        <f>SUM(Z193:Z213)</f>
        <v>235448</v>
      </c>
      <c r="AA216" s="17">
        <f>SUM(AA193:AA213)</f>
        <v>151997</v>
      </c>
      <c r="AB216" s="17"/>
      <c r="AC216" s="17">
        <f>Y216-B216</f>
        <v>-613538</v>
      </c>
      <c r="AD216" s="17">
        <f>Z216-C216</f>
        <v>-21860</v>
      </c>
      <c r="AE216" s="17">
        <f>AA216-D216</f>
        <v>-16157</v>
      </c>
      <c r="AG216" s="24">
        <f>C216/B216*1000</f>
        <v>34.168884653654743</v>
      </c>
      <c r="AH216" s="24">
        <f>D216/B216*1000</f>
        <v>22.329793982506022</v>
      </c>
      <c r="AJ216" s="24">
        <f>AG216-E216</f>
        <v>-4.7311153463452555</v>
      </c>
      <c r="AK216" s="24">
        <f>AH216-F216</f>
        <v>-3.0702060174939767</v>
      </c>
    </row>
    <row r="217" spans="1:37" ht="14.4" x14ac:dyDescent="0.4">
      <c r="A217" s="1" t="s">
        <v>209</v>
      </c>
      <c r="B217" s="5">
        <v>63221</v>
      </c>
      <c r="C217" s="13" t="s">
        <v>4</v>
      </c>
      <c r="D217" s="13" t="s">
        <v>4</v>
      </c>
      <c r="E217" s="13" t="s">
        <v>4</v>
      </c>
      <c r="F217" s="13" t="s">
        <v>4</v>
      </c>
      <c r="G217" s="13"/>
      <c r="H217" s="10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3"/>
      <c r="Y217" s="4">
        <f>B217</f>
        <v>63221</v>
      </c>
      <c r="Z217" s="25" t="str">
        <f>C217</f>
        <v>—</v>
      </c>
      <c r="AA217" s="25" t="str">
        <f>D217</f>
        <v>—</v>
      </c>
      <c r="AB217" s="4"/>
      <c r="AC217" s="4">
        <f>Y217-B217</f>
        <v>0</v>
      </c>
      <c r="AD217" s="4"/>
      <c r="AE217" s="4"/>
      <c r="AG217" s="18"/>
      <c r="AH217" s="18"/>
      <c r="AJ217" s="18"/>
      <c r="AK217" s="18"/>
    </row>
    <row r="218" spans="1:37" ht="14.4" x14ac:dyDescent="0.4">
      <c r="A218" s="1" t="s">
        <v>210</v>
      </c>
      <c r="B218" s="5">
        <v>472811</v>
      </c>
      <c r="C218" s="32">
        <v>24617</v>
      </c>
      <c r="D218" s="5">
        <v>16764</v>
      </c>
      <c r="E218" s="19">
        <v>50</v>
      </c>
      <c r="F218" s="19">
        <v>35.5</v>
      </c>
      <c r="G218" s="19"/>
      <c r="H218" s="10"/>
      <c r="I218" s="6">
        <v>109530</v>
      </c>
      <c r="J218" s="6">
        <v>81245</v>
      </c>
      <c r="K218" s="6">
        <v>69231</v>
      </c>
      <c r="L218" s="6">
        <v>72206</v>
      </c>
      <c r="M218" s="6">
        <v>140599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3"/>
      <c r="Y218" s="4">
        <f>SUM(I218:W218)</f>
        <v>472811</v>
      </c>
      <c r="Z218" s="4">
        <f>SUM(I219:W219)</f>
        <v>24617</v>
      </c>
      <c r="AA218" s="4">
        <f>SUM(I220:W220)</f>
        <v>16764</v>
      </c>
      <c r="AB218" s="4"/>
      <c r="AC218" s="4">
        <f>Y218-B218</f>
        <v>0</v>
      </c>
      <c r="AD218" s="4">
        <f>Z218-C218</f>
        <v>0</v>
      </c>
      <c r="AE218" s="4">
        <f>AA218-D218</f>
        <v>0</v>
      </c>
      <c r="AG218" s="18">
        <f>C218/B218*1000</f>
        <v>52.06520152872924</v>
      </c>
      <c r="AH218" s="18">
        <f>D218/B218*1000</f>
        <v>35.456027884292027</v>
      </c>
      <c r="AJ218" s="18">
        <f>AG218-E218</f>
        <v>2.06520152872924</v>
      </c>
      <c r="AK218" s="18">
        <f>AH218-F218</f>
        <v>-4.3972115707973103E-2</v>
      </c>
    </row>
    <row r="219" spans="1:37" ht="14.4" x14ac:dyDescent="0.4">
      <c r="A219" s="2" t="s">
        <v>211</v>
      </c>
      <c r="B219" s="8"/>
      <c r="C219" s="8"/>
      <c r="D219" s="8"/>
      <c r="E219" s="20"/>
      <c r="F219" s="20"/>
      <c r="G219" s="20"/>
      <c r="H219" s="9"/>
      <c r="I219" s="10">
        <v>3973</v>
      </c>
      <c r="J219" s="10">
        <v>4684</v>
      </c>
      <c r="K219" s="10">
        <v>3398</v>
      </c>
      <c r="L219" s="10">
        <v>4729</v>
      </c>
      <c r="M219" s="10">
        <v>7833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3"/>
      <c r="Y219" s="3"/>
      <c r="Z219" s="3"/>
      <c r="AA219" s="3"/>
      <c r="AB219" s="3"/>
      <c r="AC219" s="3"/>
      <c r="AD219" s="3"/>
      <c r="AE219" s="3"/>
    </row>
    <row r="220" spans="1:37" ht="14.4" x14ac:dyDescent="0.4">
      <c r="A220" s="2" t="s">
        <v>212</v>
      </c>
      <c r="B220" s="8"/>
      <c r="C220" s="8"/>
      <c r="D220" s="8"/>
      <c r="E220" s="20"/>
      <c r="F220" s="20"/>
      <c r="G220" s="20"/>
      <c r="H220" s="9"/>
      <c r="I220" s="10">
        <v>3408</v>
      </c>
      <c r="J220" s="10">
        <v>2950</v>
      </c>
      <c r="K220" s="10">
        <v>2425</v>
      </c>
      <c r="L220" s="10">
        <v>2716</v>
      </c>
      <c r="M220" s="10">
        <v>5265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3"/>
      <c r="Y220" s="3"/>
      <c r="Z220" s="3"/>
      <c r="AA220" s="3"/>
      <c r="AB220" s="3"/>
      <c r="AC220" s="3"/>
      <c r="AD220" s="3"/>
      <c r="AE220" s="3"/>
    </row>
    <row r="221" spans="1:37" ht="14.4" x14ac:dyDescent="0.4">
      <c r="A221" s="1" t="s">
        <v>213</v>
      </c>
      <c r="B221" s="5">
        <v>545338</v>
      </c>
      <c r="C221" s="13" t="s">
        <v>4</v>
      </c>
      <c r="D221" s="13" t="s">
        <v>4</v>
      </c>
      <c r="E221" s="13" t="s">
        <v>4</v>
      </c>
      <c r="F221" s="13" t="s">
        <v>4</v>
      </c>
      <c r="G221" s="13"/>
      <c r="H221" s="10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3"/>
      <c r="Y221" s="4">
        <f>B221</f>
        <v>545338</v>
      </c>
      <c r="Z221" s="25" t="str">
        <f>C221</f>
        <v>—</v>
      </c>
      <c r="AA221" s="25" t="str">
        <f>D221</f>
        <v>—</v>
      </c>
      <c r="AB221" s="4"/>
      <c r="AC221" s="4">
        <f>Y221-B221</f>
        <v>0</v>
      </c>
      <c r="AD221" s="4"/>
      <c r="AE221" s="4"/>
      <c r="AG221" s="18"/>
      <c r="AH221" s="18"/>
      <c r="AJ221" s="18"/>
      <c r="AK221" s="18"/>
    </row>
    <row r="222" spans="1:37" ht="14.4" x14ac:dyDescent="0.4">
      <c r="A222" s="1" t="s">
        <v>214</v>
      </c>
      <c r="B222" s="5">
        <v>428962</v>
      </c>
      <c r="C222" s="5">
        <v>20048</v>
      </c>
      <c r="D222" s="5">
        <v>17313</v>
      </c>
      <c r="E222" s="22">
        <v>46.8</v>
      </c>
      <c r="F222" s="22">
        <v>40.4</v>
      </c>
      <c r="G222" s="19"/>
      <c r="H222" s="10"/>
      <c r="I222" s="6">
        <v>146461</v>
      </c>
      <c r="J222" s="6">
        <v>125611</v>
      </c>
      <c r="K222" s="6">
        <v>59382</v>
      </c>
      <c r="L222" s="6">
        <v>44845</v>
      </c>
      <c r="M222" s="6">
        <v>52663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3"/>
      <c r="Y222" s="4">
        <f>SUM(I222:W222)</f>
        <v>428962</v>
      </c>
      <c r="Z222" s="4">
        <f>SUM(I223:W223)</f>
        <v>20048</v>
      </c>
      <c r="AA222" s="4">
        <f>SUM(I224:W224)</f>
        <v>17313</v>
      </c>
      <c r="AB222" s="4"/>
      <c r="AC222" s="4">
        <f>Y222-B222</f>
        <v>0</v>
      </c>
      <c r="AD222" s="4">
        <f>Z222-C222</f>
        <v>0</v>
      </c>
      <c r="AE222" s="4">
        <f>AA222-D222</f>
        <v>0</v>
      </c>
      <c r="AG222" s="18">
        <f>C222/B222*1000</f>
        <v>46.736074524083719</v>
      </c>
      <c r="AH222" s="18">
        <f>D222/B222*1000</f>
        <v>40.360218387642725</v>
      </c>
      <c r="AJ222" s="18">
        <f>AG222-E222</f>
        <v>-6.3925475916278174E-2</v>
      </c>
      <c r="AK222" s="18">
        <f>AH222-F222</f>
        <v>-3.9781612357273843E-2</v>
      </c>
    </row>
    <row r="223" spans="1:37" ht="14.4" x14ac:dyDescent="0.4">
      <c r="A223" s="2" t="s">
        <v>215</v>
      </c>
      <c r="B223" s="8"/>
      <c r="C223" s="8"/>
      <c r="D223" s="8"/>
      <c r="E223" s="20"/>
      <c r="F223" s="20"/>
      <c r="G223" s="20"/>
      <c r="H223" s="9"/>
      <c r="I223" s="10">
        <v>5891</v>
      </c>
      <c r="J223" s="10">
        <v>5892</v>
      </c>
      <c r="K223" s="10">
        <v>3060</v>
      </c>
      <c r="L223" s="10">
        <v>1967</v>
      </c>
      <c r="M223" s="10">
        <v>3238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3"/>
      <c r="Y223" s="3"/>
      <c r="Z223" s="3"/>
      <c r="AA223" s="3"/>
      <c r="AB223" s="3"/>
      <c r="AC223" s="3"/>
      <c r="AD223" s="3"/>
      <c r="AE223" s="3"/>
    </row>
    <row r="224" spans="1:37" ht="14.4" x14ac:dyDescent="0.4">
      <c r="A224" s="2" t="s">
        <v>216</v>
      </c>
      <c r="B224" s="8"/>
      <c r="C224" s="8"/>
      <c r="D224" s="8"/>
      <c r="E224" s="20"/>
      <c r="F224" s="20"/>
      <c r="G224" s="20"/>
      <c r="H224" s="9"/>
      <c r="I224" s="10">
        <v>5312</v>
      </c>
      <c r="J224" s="10">
        <v>5293</v>
      </c>
      <c r="K224" s="10">
        <v>2358</v>
      </c>
      <c r="L224" s="10">
        <v>1560</v>
      </c>
      <c r="M224" s="10">
        <v>2790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3"/>
      <c r="Y224" s="3"/>
      <c r="Z224" s="3"/>
      <c r="AA224" s="3"/>
      <c r="AB224" s="3"/>
      <c r="AC224" s="3"/>
      <c r="AD224" s="3"/>
      <c r="AE224" s="3"/>
    </row>
    <row r="225" spans="1:37" ht="14.4" x14ac:dyDescent="0.4">
      <c r="A225" s="1" t="s">
        <v>217</v>
      </c>
      <c r="B225" s="5">
        <v>102786</v>
      </c>
      <c r="C225" s="13" t="s">
        <v>4</v>
      </c>
      <c r="D225" s="13" t="s">
        <v>4</v>
      </c>
      <c r="E225" s="13" t="s">
        <v>4</v>
      </c>
      <c r="F225" s="13" t="s">
        <v>4</v>
      </c>
      <c r="G225" s="13"/>
      <c r="H225" s="10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3"/>
      <c r="Y225" s="4">
        <f>B225</f>
        <v>102786</v>
      </c>
      <c r="Z225" s="25" t="str">
        <f>C225</f>
        <v>—</v>
      </c>
      <c r="AA225" s="25" t="str">
        <f>D225</f>
        <v>—</v>
      </c>
      <c r="AB225" s="4"/>
      <c r="AC225" s="4">
        <f>Y225-B225</f>
        <v>0</v>
      </c>
      <c r="AD225" s="4"/>
      <c r="AE225" s="4"/>
      <c r="AG225" s="18"/>
      <c r="AH225" s="18"/>
      <c r="AJ225" s="18"/>
      <c r="AK225" s="18"/>
    </row>
    <row r="226" spans="1:37" ht="14.4" x14ac:dyDescent="0.4">
      <c r="A226" s="1" t="s">
        <v>218</v>
      </c>
      <c r="B226" s="5">
        <v>1396310</v>
      </c>
      <c r="C226" s="5">
        <v>72606</v>
      </c>
      <c r="D226" s="5">
        <v>63817</v>
      </c>
      <c r="E226" s="19">
        <v>52</v>
      </c>
      <c r="F226" s="19">
        <v>45.7</v>
      </c>
      <c r="G226" s="19"/>
      <c r="H226" s="10"/>
      <c r="I226" s="6">
        <v>132724</v>
      </c>
      <c r="J226" s="6">
        <v>32254</v>
      </c>
      <c r="K226" s="6">
        <v>265765</v>
      </c>
      <c r="L226" s="6">
        <v>258883</v>
      </c>
      <c r="M226" s="6">
        <v>9159</v>
      </c>
      <c r="N226" s="6">
        <v>154143</v>
      </c>
      <c r="O226" s="6">
        <v>70285</v>
      </c>
      <c r="P226" s="6">
        <v>155355</v>
      </c>
      <c r="Q226" s="6">
        <v>119606</v>
      </c>
      <c r="R226" s="6">
        <v>198136</v>
      </c>
      <c r="S226" s="7"/>
      <c r="T226" s="7"/>
      <c r="U226" s="7"/>
      <c r="V226" s="7"/>
      <c r="W226" s="7"/>
      <c r="X226" s="3"/>
      <c r="Y226" s="4">
        <f>SUM(I226:W226)</f>
        <v>1396310</v>
      </c>
      <c r="Z226" s="4">
        <f>SUM(I227:W227)</f>
        <v>72606</v>
      </c>
      <c r="AA226" s="4">
        <f>SUM(I228:W228)</f>
        <v>63817</v>
      </c>
      <c r="AB226" s="4"/>
      <c r="AC226" s="4">
        <f>Y226-B226</f>
        <v>0</v>
      </c>
      <c r="AD226" s="4">
        <f>Z226-C226</f>
        <v>0</v>
      </c>
      <c r="AE226" s="4">
        <f>AA226-D226</f>
        <v>0</v>
      </c>
      <c r="AG226" s="18">
        <f>C226/B226*1000</f>
        <v>51.998481712513701</v>
      </c>
      <c r="AH226" s="18">
        <f>D226/B226*1000</f>
        <v>45.704034204438848</v>
      </c>
      <c r="AJ226" s="18">
        <f>AG226-E226</f>
        <v>-1.518287486298675E-3</v>
      </c>
      <c r="AK226" s="18">
        <f>AH226-F226</f>
        <v>4.0342044388452791E-3</v>
      </c>
    </row>
    <row r="227" spans="1:37" ht="14.4" x14ac:dyDescent="0.4">
      <c r="A227" s="2" t="s">
        <v>219</v>
      </c>
      <c r="B227" s="8"/>
      <c r="C227" s="8"/>
      <c r="D227" s="8"/>
      <c r="E227" s="20"/>
      <c r="F227" s="20"/>
      <c r="G227" s="20"/>
      <c r="H227" s="9"/>
      <c r="I227" s="10">
        <v>5696</v>
      </c>
      <c r="J227" s="10">
        <v>1329</v>
      </c>
      <c r="K227" s="10">
        <v>15680</v>
      </c>
      <c r="L227" s="10">
        <v>15890</v>
      </c>
      <c r="M227" s="10">
        <v>303</v>
      </c>
      <c r="N227" s="10">
        <v>7233</v>
      </c>
      <c r="O227" s="10">
        <v>3765</v>
      </c>
      <c r="P227" s="10">
        <v>8434</v>
      </c>
      <c r="Q227" s="10">
        <v>4359</v>
      </c>
      <c r="R227" s="10">
        <v>9917</v>
      </c>
      <c r="S227" s="9"/>
      <c r="T227" s="9"/>
      <c r="U227" s="9"/>
      <c r="V227" s="9"/>
      <c r="W227" s="9"/>
      <c r="X227" s="3"/>
      <c r="Y227" s="3"/>
      <c r="Z227" s="3"/>
      <c r="AA227" s="3"/>
      <c r="AB227" s="3"/>
      <c r="AC227" s="3"/>
      <c r="AD227" s="3"/>
      <c r="AE227" s="3"/>
    </row>
    <row r="228" spans="1:37" ht="14.4" x14ac:dyDescent="0.4">
      <c r="A228" s="2" t="s">
        <v>220</v>
      </c>
      <c r="B228" s="8"/>
      <c r="C228" s="8"/>
      <c r="D228" s="8"/>
      <c r="E228" s="20"/>
      <c r="F228" s="20"/>
      <c r="G228" s="20"/>
      <c r="H228" s="9"/>
      <c r="I228" s="10">
        <v>5553</v>
      </c>
      <c r="J228" s="10">
        <v>768</v>
      </c>
      <c r="K228" s="10">
        <v>13840</v>
      </c>
      <c r="L228" s="10">
        <v>12530</v>
      </c>
      <c r="M228" s="10">
        <v>205</v>
      </c>
      <c r="N228" s="10">
        <v>5757</v>
      </c>
      <c r="O228" s="10">
        <v>4001</v>
      </c>
      <c r="P228" s="10">
        <v>7148</v>
      </c>
      <c r="Q228" s="10">
        <v>5189</v>
      </c>
      <c r="R228" s="10">
        <v>8826</v>
      </c>
      <c r="S228" s="9"/>
      <c r="T228" s="9"/>
      <c r="U228" s="9"/>
      <c r="V228" s="9"/>
      <c r="W228" s="9"/>
      <c r="X228" s="3"/>
      <c r="Y228" s="3"/>
      <c r="Z228" s="3"/>
      <c r="AA228" s="3"/>
      <c r="AB228" s="3"/>
      <c r="AC228" s="3"/>
      <c r="AD228" s="3"/>
      <c r="AE228" s="3"/>
    </row>
    <row r="229" spans="1:37" ht="14.4" x14ac:dyDescent="0.4">
      <c r="A229" s="1" t="s">
        <v>244</v>
      </c>
      <c r="B229" s="5">
        <v>1328225</v>
      </c>
      <c r="C229" s="5">
        <v>64076</v>
      </c>
      <c r="D229" s="32">
        <v>37149</v>
      </c>
      <c r="E229" s="19">
        <v>48.2</v>
      </c>
      <c r="F229" s="19">
        <v>28.7</v>
      </c>
      <c r="G229" s="19"/>
      <c r="H229" s="10"/>
      <c r="I229" s="6">
        <v>221656</v>
      </c>
      <c r="J229" s="6">
        <v>309368</v>
      </c>
      <c r="K229" s="6">
        <v>357121</v>
      </c>
      <c r="L229" s="6">
        <v>151310</v>
      </c>
      <c r="M229" s="6">
        <v>170605</v>
      </c>
      <c r="N229" s="6">
        <v>118165</v>
      </c>
      <c r="O229" s="7"/>
      <c r="P229" s="7"/>
      <c r="Q229" s="7"/>
      <c r="R229" s="7"/>
      <c r="S229" s="7"/>
      <c r="T229" s="7"/>
      <c r="U229" s="7"/>
      <c r="V229" s="7"/>
      <c r="W229" s="7"/>
      <c r="X229" s="3"/>
      <c r="Y229" s="4">
        <f>SUM(I229:W229)</f>
        <v>1328225</v>
      </c>
      <c r="Z229" s="4">
        <f>SUM(I230:W230)</f>
        <v>64076</v>
      </c>
      <c r="AA229" s="4">
        <f>SUM(I231:W231)</f>
        <v>37149</v>
      </c>
      <c r="AB229" s="4"/>
      <c r="AC229" s="4">
        <f>Y229-B229</f>
        <v>0</v>
      </c>
      <c r="AD229" s="4">
        <f>Z229-C229</f>
        <v>0</v>
      </c>
      <c r="AE229" s="4">
        <f>AA229-D229</f>
        <v>0</v>
      </c>
      <c r="AG229" s="18">
        <f>C229/B229*1000</f>
        <v>48.24182649776958</v>
      </c>
      <c r="AH229" s="18">
        <f>D229/B229*1000</f>
        <v>27.968905870616801</v>
      </c>
      <c r="AJ229" s="18">
        <f>AG229-E229</f>
        <v>4.1826497769577031E-2</v>
      </c>
      <c r="AK229" s="18">
        <f>AH229-F229</f>
        <v>-0.73109412938319807</v>
      </c>
    </row>
    <row r="230" spans="1:37" ht="14.4" x14ac:dyDescent="0.4">
      <c r="A230" s="2" t="s">
        <v>221</v>
      </c>
      <c r="B230" s="8"/>
      <c r="C230" s="8"/>
      <c r="D230" s="8"/>
      <c r="E230" s="20"/>
      <c r="F230" s="20"/>
      <c r="G230" s="20"/>
      <c r="H230" s="9"/>
      <c r="I230" s="10">
        <v>10860</v>
      </c>
      <c r="J230" s="10">
        <v>14428</v>
      </c>
      <c r="K230" s="10">
        <v>20127</v>
      </c>
      <c r="L230" s="10">
        <v>6337</v>
      </c>
      <c r="M230" s="10">
        <v>6897</v>
      </c>
      <c r="N230" s="10">
        <v>5427</v>
      </c>
      <c r="O230" s="9"/>
      <c r="P230" s="9"/>
      <c r="Q230" s="9"/>
      <c r="R230" s="9"/>
      <c r="S230" s="9"/>
      <c r="T230" s="9"/>
      <c r="U230" s="9"/>
      <c r="V230" s="9"/>
      <c r="W230" s="9"/>
      <c r="X230" s="3"/>
      <c r="Y230" s="3"/>
      <c r="Z230" s="3"/>
      <c r="AA230" s="3"/>
      <c r="AB230" s="3"/>
      <c r="AC230" s="3"/>
      <c r="AD230" s="3"/>
      <c r="AE230" s="3"/>
    </row>
    <row r="231" spans="1:37" ht="14.4" x14ac:dyDescent="0.4">
      <c r="A231" s="2" t="s">
        <v>222</v>
      </c>
      <c r="B231" s="8"/>
      <c r="C231" s="8"/>
      <c r="D231" s="8"/>
      <c r="E231" s="20"/>
      <c r="F231" s="20"/>
      <c r="G231" s="20"/>
      <c r="H231" s="9"/>
      <c r="I231" s="10">
        <v>7270</v>
      </c>
      <c r="J231" s="10">
        <v>6751</v>
      </c>
      <c r="K231" s="10">
        <v>10953</v>
      </c>
      <c r="L231" s="10">
        <v>5500</v>
      </c>
      <c r="M231" s="10">
        <v>3237</v>
      </c>
      <c r="N231" s="10">
        <v>3438</v>
      </c>
      <c r="O231" s="9"/>
      <c r="P231" s="9"/>
      <c r="Q231" s="9"/>
      <c r="R231" s="9"/>
      <c r="S231" s="9"/>
      <c r="T231" s="9"/>
      <c r="U231" s="9"/>
      <c r="V231" s="9"/>
      <c r="W231" s="9"/>
      <c r="X231" s="3"/>
      <c r="Y231" s="3"/>
      <c r="Z231" s="3"/>
      <c r="AA231" s="3"/>
      <c r="AB231" s="3"/>
      <c r="AC231" s="3"/>
      <c r="AD231" s="3"/>
      <c r="AE231" s="3"/>
    </row>
    <row r="232" spans="1:37" ht="14.4" x14ac:dyDescent="0.4">
      <c r="A232" s="1" t="s">
        <v>223</v>
      </c>
      <c r="B232" s="5">
        <v>256488</v>
      </c>
      <c r="C232" s="5">
        <v>6239</v>
      </c>
      <c r="D232" s="5">
        <v>5678</v>
      </c>
      <c r="E232" s="19">
        <v>24.3</v>
      </c>
      <c r="F232" s="19">
        <v>22.1</v>
      </c>
      <c r="G232" s="19"/>
      <c r="H232" s="10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3"/>
      <c r="Y232" s="4">
        <f t="shared" ref="Y232:AA233" si="11">B232</f>
        <v>256488</v>
      </c>
      <c r="Z232" s="4">
        <f t="shared" si="11"/>
        <v>6239</v>
      </c>
      <c r="AA232" s="4">
        <f t="shared" si="11"/>
        <v>5678</v>
      </c>
      <c r="AB232" s="4"/>
      <c r="AC232" s="4">
        <f t="shared" ref="AC232:AE234" si="12">Y232-B232</f>
        <v>0</v>
      </c>
      <c r="AD232" s="4">
        <f t="shared" si="12"/>
        <v>0</v>
      </c>
      <c r="AE232" s="4">
        <f t="shared" si="12"/>
        <v>0</v>
      </c>
      <c r="AG232" s="18">
        <f>C232/B232*1000</f>
        <v>24.324724743457782</v>
      </c>
      <c r="AH232" s="18">
        <f>D232/B232*1000</f>
        <v>22.137487913664575</v>
      </c>
      <c r="AJ232" s="18">
        <f t="shared" ref="AJ232:AK235" si="13">AG232-E232</f>
        <v>2.4724743457781528E-2</v>
      </c>
      <c r="AK232" s="18">
        <f t="shared" si="13"/>
        <v>3.7487913664573824E-2</v>
      </c>
    </row>
    <row r="233" spans="1:37" ht="14.4" x14ac:dyDescent="0.4">
      <c r="A233" s="1" t="s">
        <v>224</v>
      </c>
      <c r="B233" s="5">
        <v>15358</v>
      </c>
      <c r="C233" s="5">
        <v>460</v>
      </c>
      <c r="D233" s="5">
        <v>194</v>
      </c>
      <c r="E233" s="19">
        <v>30.6</v>
      </c>
      <c r="F233" s="19">
        <v>12.9</v>
      </c>
      <c r="G233" s="19"/>
      <c r="H233" s="10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3"/>
      <c r="Y233" s="4">
        <f t="shared" si="11"/>
        <v>15358</v>
      </c>
      <c r="Z233" s="4">
        <f t="shared" si="11"/>
        <v>460</v>
      </c>
      <c r="AA233" s="4">
        <f t="shared" si="11"/>
        <v>194</v>
      </c>
      <c r="AB233" s="4"/>
      <c r="AC233" s="4">
        <f t="shared" si="12"/>
        <v>0</v>
      </c>
      <c r="AD233" s="4">
        <f t="shared" si="12"/>
        <v>0</v>
      </c>
      <c r="AE233" s="4">
        <f t="shared" si="12"/>
        <v>0</v>
      </c>
      <c r="AG233" s="18">
        <f>C233/B233*1000</f>
        <v>29.951816642792032</v>
      </c>
      <c r="AH233" s="18">
        <f>D233/B233*1000</f>
        <v>12.63185310587316</v>
      </c>
      <c r="AJ233" s="18">
        <f t="shared" si="13"/>
        <v>-0.64818335720796938</v>
      </c>
      <c r="AK233" s="18">
        <f t="shared" si="13"/>
        <v>-0.2681468941268399</v>
      </c>
    </row>
    <row r="234" spans="1:37" ht="14.4" x14ac:dyDescent="0.4">
      <c r="A234" s="14" t="s">
        <v>225</v>
      </c>
      <c r="B234" s="15">
        <v>4609499</v>
      </c>
      <c r="C234" s="15">
        <v>187046</v>
      </c>
      <c r="D234" s="15">
        <v>141915</v>
      </c>
      <c r="E234" s="23">
        <v>48</v>
      </c>
      <c r="F234" s="23">
        <v>36.4</v>
      </c>
      <c r="G234" s="23"/>
      <c r="H234" s="10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3"/>
      <c r="Y234" s="17">
        <f>SUM(Y217:Y233)</f>
        <v>4609499</v>
      </c>
      <c r="Z234" s="17">
        <f>SUM(Z217:Z233)</f>
        <v>188046</v>
      </c>
      <c r="AA234" s="17">
        <f>SUM(AA217:AA233)</f>
        <v>140915</v>
      </c>
      <c r="AB234" s="17"/>
      <c r="AC234" s="17">
        <f t="shared" si="12"/>
        <v>0</v>
      </c>
      <c r="AD234" s="17">
        <f t="shared" si="12"/>
        <v>1000</v>
      </c>
      <c r="AE234" s="17">
        <f t="shared" si="12"/>
        <v>-1000</v>
      </c>
      <c r="AG234" s="24">
        <f>C234/B234*1000</f>
        <v>40.578379559253619</v>
      </c>
      <c r="AH234" s="24">
        <f>D234/B234*1000</f>
        <v>30.787510746829536</v>
      </c>
      <c r="AJ234" s="24">
        <f t="shared" si="13"/>
        <v>-7.4216204407463806</v>
      </c>
      <c r="AK234" s="24">
        <f t="shared" si="13"/>
        <v>-5.6124892531704624</v>
      </c>
    </row>
    <row r="235" spans="1:37" ht="14.4" x14ac:dyDescent="0.4">
      <c r="A235" s="1" t="s">
        <v>226</v>
      </c>
      <c r="B235" s="5">
        <v>485700</v>
      </c>
      <c r="C235" s="5">
        <v>14591</v>
      </c>
      <c r="D235" s="5">
        <v>10324</v>
      </c>
      <c r="E235" s="19">
        <v>30</v>
      </c>
      <c r="F235" s="19">
        <v>21.2</v>
      </c>
      <c r="G235" s="19"/>
      <c r="H235" s="10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3"/>
      <c r="Y235" s="4">
        <f>B235</f>
        <v>485700</v>
      </c>
      <c r="Z235" s="4">
        <f>C235</f>
        <v>14591</v>
      </c>
      <c r="AA235" s="4">
        <f>D235</f>
        <v>10324</v>
      </c>
      <c r="AB235" s="4"/>
      <c r="AC235" s="4"/>
      <c r="AD235" s="4"/>
      <c r="AE235" s="4"/>
      <c r="AG235" s="18">
        <f>C235/B235*1000</f>
        <v>30.041177681696521</v>
      </c>
      <c r="AH235" s="18">
        <f>D235/B235*1000</f>
        <v>21.255919291743872</v>
      </c>
      <c r="AJ235" s="18">
        <f t="shared" si="13"/>
        <v>4.1177681696520807E-2</v>
      </c>
      <c r="AK235" s="18">
        <f t="shared" si="13"/>
        <v>5.591929174387289E-2</v>
      </c>
    </row>
    <row r="236" spans="1:37" ht="14.4" x14ac:dyDescent="0.4">
      <c r="A236" s="1" t="s">
        <v>227</v>
      </c>
      <c r="B236" s="5">
        <v>695922</v>
      </c>
      <c r="C236" s="13" t="s">
        <v>4</v>
      </c>
      <c r="D236" s="13" t="s">
        <v>4</v>
      </c>
      <c r="E236" s="13" t="s">
        <v>4</v>
      </c>
      <c r="F236" s="13" t="s">
        <v>4</v>
      </c>
      <c r="G236" s="13"/>
      <c r="H236" s="10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3"/>
      <c r="Y236" s="4">
        <f t="shared" ref="Y236:Y243" si="14">B236</f>
        <v>695922</v>
      </c>
      <c r="Z236" s="25" t="str">
        <f t="shared" ref="Z236:Z243" si="15">C236</f>
        <v>—</v>
      </c>
      <c r="AA236" s="25" t="str">
        <f t="shared" ref="AA236:AA243" si="16">D236</f>
        <v>—</v>
      </c>
      <c r="AB236" s="4"/>
      <c r="AC236" s="4"/>
      <c r="AD236" s="4"/>
      <c r="AE236" s="4"/>
      <c r="AG236" s="18"/>
      <c r="AH236" s="18"/>
      <c r="AJ236" s="18"/>
      <c r="AK236" s="18"/>
    </row>
    <row r="237" spans="1:37" ht="14.4" x14ac:dyDescent="0.4">
      <c r="A237" s="1" t="s">
        <v>228</v>
      </c>
      <c r="B237" s="5">
        <v>703637</v>
      </c>
      <c r="C237" s="13" t="s">
        <v>4</v>
      </c>
      <c r="D237" s="13" t="s">
        <v>4</v>
      </c>
      <c r="E237" s="13" t="s">
        <v>4</v>
      </c>
      <c r="F237" s="13" t="s">
        <v>4</v>
      </c>
      <c r="G237" s="13"/>
      <c r="H237" s="10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3"/>
      <c r="Y237" s="4">
        <f t="shared" si="14"/>
        <v>703637</v>
      </c>
      <c r="Z237" s="25" t="str">
        <f t="shared" si="15"/>
        <v>—</v>
      </c>
      <c r="AA237" s="25" t="str">
        <f t="shared" si="16"/>
        <v>—</v>
      </c>
      <c r="AB237" s="4"/>
      <c r="AC237" s="4"/>
      <c r="AD237" s="4"/>
      <c r="AE237" s="4"/>
      <c r="AG237" s="18"/>
      <c r="AH237" s="18"/>
      <c r="AJ237" s="18"/>
      <c r="AK237" s="18"/>
    </row>
    <row r="238" spans="1:37" ht="14.4" x14ac:dyDescent="0.4">
      <c r="A238" s="1" t="s">
        <v>229</v>
      </c>
      <c r="B238" s="5">
        <v>576578</v>
      </c>
      <c r="C238" s="5">
        <v>10000</v>
      </c>
      <c r="D238" s="5">
        <v>9753</v>
      </c>
      <c r="E238" s="19">
        <v>17.3</v>
      </c>
      <c r="F238" s="19">
        <v>16.899999999999999</v>
      </c>
      <c r="G238" s="19"/>
      <c r="H238" s="10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3"/>
      <c r="Y238" s="4">
        <f t="shared" si="14"/>
        <v>576578</v>
      </c>
      <c r="Z238" s="4">
        <f t="shared" si="15"/>
        <v>10000</v>
      </c>
      <c r="AA238" s="4">
        <f t="shared" si="16"/>
        <v>9753</v>
      </c>
      <c r="AB238" s="4"/>
      <c r="AC238" s="4"/>
      <c r="AD238" s="4"/>
      <c r="AE238" s="4"/>
      <c r="AG238" s="18">
        <f>C238/B238*1000</f>
        <v>17.343707182722891</v>
      </c>
      <c r="AH238" s="18">
        <f>D238/B238*1000</f>
        <v>16.915317615309636</v>
      </c>
      <c r="AJ238" s="18">
        <f>AG238-E238</f>
        <v>4.3707182722890536E-2</v>
      </c>
      <c r="AK238" s="18">
        <f>AH238-F238</f>
        <v>1.5317615309637489E-2</v>
      </c>
    </row>
    <row r="239" spans="1:37" ht="14.4" x14ac:dyDescent="0.4">
      <c r="A239" s="1" t="s">
        <v>230</v>
      </c>
      <c r="B239" s="5">
        <v>554205</v>
      </c>
      <c r="C239" s="5">
        <v>16381</v>
      </c>
      <c r="D239" s="5">
        <v>11969</v>
      </c>
      <c r="E239" s="19">
        <v>29.5</v>
      </c>
      <c r="F239" s="19">
        <v>21.6</v>
      </c>
      <c r="G239" s="19"/>
      <c r="H239" s="10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3"/>
      <c r="Y239" s="4">
        <f t="shared" si="14"/>
        <v>554205</v>
      </c>
      <c r="Z239" s="4">
        <f t="shared" si="15"/>
        <v>16381</v>
      </c>
      <c r="AA239" s="4">
        <f t="shared" si="16"/>
        <v>11969</v>
      </c>
      <c r="AB239" s="4"/>
      <c r="AC239" s="4"/>
      <c r="AD239" s="4"/>
      <c r="AE239" s="4"/>
      <c r="AG239" s="18">
        <f>C239/B239*1000</f>
        <v>29.557654658474753</v>
      </c>
      <c r="AH239" s="18">
        <f>D239/B239*1000</f>
        <v>21.596701581544735</v>
      </c>
      <c r="AJ239" s="18">
        <f>AG239-E239</f>
        <v>5.7654658474753262E-2</v>
      </c>
      <c r="AK239" s="18">
        <f>AH239-F239</f>
        <v>-3.2984184552660167E-3</v>
      </c>
    </row>
    <row r="240" spans="1:37" ht="14.4" x14ac:dyDescent="0.4">
      <c r="A240" s="1" t="s">
        <v>231</v>
      </c>
      <c r="B240" s="5">
        <v>1183344</v>
      </c>
      <c r="C240" s="13" t="s">
        <v>4</v>
      </c>
      <c r="D240" s="13" t="s">
        <v>4</v>
      </c>
      <c r="E240" s="13" t="s">
        <v>4</v>
      </c>
      <c r="F240" s="13" t="s">
        <v>4</v>
      </c>
      <c r="G240" s="13"/>
      <c r="H240" s="10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3"/>
      <c r="Y240" s="4">
        <f t="shared" si="14"/>
        <v>1183344</v>
      </c>
      <c r="Z240" s="25" t="str">
        <f t="shared" si="15"/>
        <v>—</v>
      </c>
      <c r="AA240" s="25" t="str">
        <f t="shared" si="16"/>
        <v>—</v>
      </c>
      <c r="AB240" s="4"/>
      <c r="AC240" s="4"/>
      <c r="AD240" s="4"/>
      <c r="AE240" s="4"/>
      <c r="AG240" s="18"/>
      <c r="AH240" s="18"/>
      <c r="AJ240" s="18"/>
      <c r="AK240" s="18"/>
    </row>
    <row r="241" spans="1:37" ht="14.4" x14ac:dyDescent="0.4">
      <c r="A241" s="1" t="s">
        <v>232</v>
      </c>
      <c r="B241" s="5">
        <v>351243</v>
      </c>
      <c r="C241" s="5">
        <v>1523</v>
      </c>
      <c r="D241" s="5">
        <v>842</v>
      </c>
      <c r="E241" s="13" t="s">
        <v>4</v>
      </c>
      <c r="F241" s="13" t="s">
        <v>4</v>
      </c>
      <c r="G241" s="13"/>
      <c r="H241" s="10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3"/>
      <c r="Y241" s="4">
        <f t="shared" si="14"/>
        <v>351243</v>
      </c>
      <c r="Z241" s="4">
        <f t="shared" si="15"/>
        <v>1523</v>
      </c>
      <c r="AA241" s="4">
        <f t="shared" si="16"/>
        <v>842</v>
      </c>
      <c r="AB241" s="4"/>
      <c r="AC241" s="4"/>
      <c r="AD241" s="4"/>
      <c r="AE241" s="4"/>
      <c r="AG241" s="18">
        <f>C241/B241*1000</f>
        <v>4.3360294724734727</v>
      </c>
      <c r="AH241" s="18">
        <f>D241/B241*1000</f>
        <v>2.3972007983077241</v>
      </c>
      <c r="AJ241" s="18"/>
      <c r="AK241" s="18"/>
    </row>
    <row r="242" spans="1:37" ht="14.4" x14ac:dyDescent="0.4">
      <c r="A242" s="1" t="s">
        <v>233</v>
      </c>
      <c r="B242" s="5">
        <v>547162</v>
      </c>
      <c r="C242" s="5">
        <v>6921</v>
      </c>
      <c r="D242" s="5">
        <v>4511</v>
      </c>
      <c r="E242" s="19">
        <v>12.6</v>
      </c>
      <c r="F242" s="13" t="s">
        <v>4</v>
      </c>
      <c r="G242" s="13"/>
      <c r="H242" s="10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3"/>
      <c r="Y242" s="4">
        <f t="shared" si="14"/>
        <v>547162</v>
      </c>
      <c r="Z242" s="4">
        <f t="shared" si="15"/>
        <v>6921</v>
      </c>
      <c r="AA242" s="4">
        <f t="shared" si="16"/>
        <v>4511</v>
      </c>
      <c r="AB242" s="4"/>
      <c r="AC242" s="4"/>
      <c r="AD242" s="4"/>
      <c r="AE242" s="4"/>
      <c r="AG242" s="18">
        <f>C242/B242*1000</f>
        <v>12.648904711950026</v>
      </c>
      <c r="AH242" s="18">
        <f>D242/B242*1000</f>
        <v>8.2443590746433415</v>
      </c>
      <c r="AJ242" s="18">
        <f>AG242-E242</f>
        <v>4.8904711950026325E-2</v>
      </c>
      <c r="AK242" s="18"/>
    </row>
    <row r="243" spans="1:37" ht="14.4" x14ac:dyDescent="0.4">
      <c r="A243" s="1" t="s">
        <v>234</v>
      </c>
      <c r="B243" s="5">
        <v>815934</v>
      </c>
      <c r="C243" s="5">
        <v>42533</v>
      </c>
      <c r="D243" s="5">
        <v>27557</v>
      </c>
      <c r="E243" s="19">
        <v>53</v>
      </c>
      <c r="F243" s="19">
        <v>33.799999999999997</v>
      </c>
      <c r="G243" s="19"/>
      <c r="H243" s="10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3"/>
      <c r="Y243" s="4">
        <f t="shared" si="14"/>
        <v>815934</v>
      </c>
      <c r="Z243" s="4">
        <f t="shared" si="15"/>
        <v>42533</v>
      </c>
      <c r="AA243" s="4">
        <f t="shared" si="16"/>
        <v>27557</v>
      </c>
      <c r="AB243" s="4"/>
      <c r="AC243" s="4"/>
      <c r="AD243" s="4"/>
      <c r="AE243" s="4"/>
      <c r="AG243" s="18">
        <f>C243/B243*1000</f>
        <v>52.127990744349418</v>
      </c>
      <c r="AH243" s="18">
        <f>D243/B243*1000</f>
        <v>33.773565018739255</v>
      </c>
      <c r="AJ243" s="18">
        <f>AG243-E243</f>
        <v>-0.87200925565058185</v>
      </c>
      <c r="AK243" s="18">
        <f>AH243-F243</f>
        <v>-2.6434981260742063E-2</v>
      </c>
    </row>
    <row r="244" spans="1:37" ht="14.4" x14ac:dyDescent="0.4">
      <c r="A244" s="14" t="s">
        <v>235</v>
      </c>
      <c r="B244" s="15">
        <v>5913725</v>
      </c>
      <c r="C244" s="15">
        <v>92949</v>
      </c>
      <c r="D244" s="15">
        <v>64963</v>
      </c>
      <c r="E244" s="23">
        <v>34.700000000000003</v>
      </c>
      <c r="F244" s="23">
        <v>24.5</v>
      </c>
      <c r="G244" s="23"/>
      <c r="H244" s="10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3"/>
      <c r="Y244" s="17">
        <f>SUM(Y235:Y243)</f>
        <v>5913725</v>
      </c>
      <c r="Z244" s="17">
        <f>SUM(Z235:Z243)</f>
        <v>91949</v>
      </c>
      <c r="AA244" s="17">
        <f>SUM(AA235:AA243)</f>
        <v>64956</v>
      </c>
      <c r="AB244" s="17"/>
      <c r="AC244" s="17">
        <f t="shared" ref="AC244:AE245" si="17">Y244-B244</f>
        <v>0</v>
      </c>
      <c r="AD244" s="17">
        <f t="shared" si="17"/>
        <v>-1000</v>
      </c>
      <c r="AE244" s="17">
        <f t="shared" si="17"/>
        <v>-7</v>
      </c>
      <c r="AG244" s="24">
        <f>C244/B244*1000</f>
        <v>15.71750461849342</v>
      </c>
      <c r="AH244" s="24">
        <f>D244/B244*1000</f>
        <v>10.985123589615682</v>
      </c>
      <c r="AJ244" s="24">
        <f>AG244-E244</f>
        <v>-18.982495381506581</v>
      </c>
      <c r="AK244" s="24">
        <f>AH244-F244</f>
        <v>-13.514876410384318</v>
      </c>
    </row>
    <row r="245" spans="1:37" ht="14.4" x14ac:dyDescent="0.4">
      <c r="A245" s="14" t="s">
        <v>236</v>
      </c>
      <c r="B245" s="15">
        <v>112342758</v>
      </c>
      <c r="C245" s="15">
        <v>5116996</v>
      </c>
      <c r="D245" s="15">
        <v>3335518</v>
      </c>
      <c r="E245" s="23">
        <v>47.6</v>
      </c>
      <c r="F245" s="23">
        <v>31</v>
      </c>
      <c r="G245" s="23"/>
      <c r="H245" s="10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3"/>
      <c r="Y245" s="17">
        <f>Y244+Y234+Y216+Y192</f>
        <v>109779806</v>
      </c>
      <c r="Z245" s="17">
        <f>Z244+Z234+Z216+Z192</f>
        <v>4977314</v>
      </c>
      <c r="AA245" s="17">
        <f>AA244+AA234+AA216+AA192</f>
        <v>3249552</v>
      </c>
      <c r="AB245" s="17"/>
      <c r="AC245" s="17">
        <f t="shared" si="17"/>
        <v>-2562952</v>
      </c>
      <c r="AD245" s="17">
        <f t="shared" si="17"/>
        <v>-139682</v>
      </c>
      <c r="AE245" s="17">
        <f t="shared" si="17"/>
        <v>-85966</v>
      </c>
      <c r="AG245" s="24">
        <f>C245/B245*1000</f>
        <v>45.548071732403081</v>
      </c>
      <c r="AH245" s="24">
        <f>D245/B245*1000</f>
        <v>29.690547565157694</v>
      </c>
      <c r="AJ245" s="24">
        <f>AG245-E245</f>
        <v>-2.0519282675969208</v>
      </c>
      <c r="AK245" s="24">
        <f>AH245-F245</f>
        <v>-1.3094524348423064</v>
      </c>
    </row>
    <row r="248" spans="1:37" ht="15.75" customHeight="1" x14ac:dyDescent="0.4">
      <c r="A248" s="34" t="s">
        <v>283</v>
      </c>
      <c r="C248" s="3">
        <v>2424</v>
      </c>
      <c r="D248" s="3">
        <v>4533</v>
      </c>
      <c r="G248" s="1" t="s">
        <v>142</v>
      </c>
    </row>
  </sheetData>
  <mergeCells count="1">
    <mergeCell ref="I1:W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2026-07-26T23:41:09Z</dcterms:modified>
</cp:coreProperties>
</file>