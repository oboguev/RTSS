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B2B7B3E9-0140-43A0-9EF3-638826AC954F}" xr6:coauthVersionLast="47" xr6:coauthVersionMax="47" xr10:uidLastSave="{00000000-0000-0000-0000-000000000000}"/>
  <bookViews>
    <workbookView xWindow="57480" yWindow="-120" windowWidth="51840" windowHeight="21120" activeTab="1" xr2:uid="{03F30607-691D-4B51-B95D-D1B19B24CEA7}"/>
  </bookViews>
  <sheets>
    <sheet name="Sheet1" sheetId="1" r:id="rId1"/>
    <sheet name="Sheet2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5" i="2" l="1"/>
  <c r="AE105" i="2"/>
  <c r="AF104" i="2"/>
  <c r="AE104" i="2"/>
  <c r="AF84" i="2"/>
  <c r="AE84" i="2"/>
  <c r="AF94" i="2"/>
  <c r="AE94" i="2"/>
  <c r="AA100" i="2"/>
  <c r="AA53" i="2"/>
  <c r="AC106" i="2"/>
  <c r="AB106" i="2"/>
  <c r="AA106" i="2"/>
  <c r="AC105" i="2"/>
  <c r="AB105" i="2"/>
  <c r="AA105" i="2"/>
  <c r="AC104" i="2"/>
  <c r="AB104" i="2"/>
  <c r="AA104" i="2"/>
  <c r="AC103" i="2"/>
  <c r="AB103" i="2"/>
  <c r="AA103" i="2"/>
  <c r="AC102" i="2"/>
  <c r="AB102" i="2"/>
  <c r="AA102" i="2"/>
  <c r="AC101" i="2"/>
  <c r="AB101" i="2"/>
  <c r="AA101" i="2"/>
  <c r="AC99" i="2"/>
  <c r="AB99" i="2"/>
  <c r="AA99" i="2"/>
  <c r="AC98" i="2"/>
  <c r="AB98" i="2"/>
  <c r="AA98" i="2"/>
  <c r="AA97" i="2"/>
  <c r="AC96" i="2"/>
  <c r="AB96" i="2"/>
  <c r="AA96" i="2"/>
  <c r="AC95" i="2"/>
  <c r="AB95" i="2"/>
  <c r="AA95" i="2"/>
  <c r="AC94" i="2"/>
  <c r="AB94" i="2"/>
  <c r="AA94" i="2"/>
  <c r="AC93" i="2"/>
  <c r="AB93" i="2"/>
  <c r="AA93" i="2"/>
  <c r="AC92" i="2"/>
  <c r="AB92" i="2"/>
  <c r="AA92" i="2"/>
  <c r="AC91" i="2"/>
  <c r="AB91" i="2"/>
  <c r="AA91" i="2"/>
  <c r="AC90" i="2"/>
  <c r="AB90" i="2"/>
  <c r="AA90" i="2"/>
  <c r="AC89" i="2"/>
  <c r="AB89" i="2"/>
  <c r="AA89" i="2"/>
  <c r="AC88" i="2"/>
  <c r="AB88" i="2"/>
  <c r="AA88" i="2"/>
  <c r="AC87" i="2"/>
  <c r="AB87" i="2"/>
  <c r="AA87" i="2"/>
  <c r="AC86" i="2"/>
  <c r="AB86" i="2"/>
  <c r="AA86" i="2"/>
  <c r="AC85" i="2"/>
  <c r="AB85" i="2"/>
  <c r="AA85" i="2"/>
  <c r="AC84" i="2"/>
  <c r="AB84" i="2"/>
  <c r="AA84" i="2"/>
  <c r="AC83" i="2"/>
  <c r="AB83" i="2"/>
  <c r="AA83" i="2"/>
  <c r="AC82" i="2"/>
  <c r="AB82" i="2"/>
  <c r="AA82" i="2"/>
  <c r="AC81" i="2"/>
  <c r="AB81" i="2"/>
  <c r="AA81" i="2"/>
  <c r="AC80" i="2"/>
  <c r="AB80" i="2"/>
  <c r="AA80" i="2"/>
  <c r="AC79" i="2"/>
  <c r="AB79" i="2"/>
  <c r="AA79" i="2"/>
  <c r="AC78" i="2"/>
  <c r="AB78" i="2"/>
  <c r="AA78" i="2"/>
  <c r="AC77" i="2"/>
  <c r="AB77" i="2"/>
  <c r="AA77" i="2"/>
  <c r="AC76" i="2"/>
  <c r="AB76" i="2"/>
  <c r="AA76" i="2"/>
  <c r="AC75" i="2"/>
  <c r="AB75" i="2"/>
  <c r="AA75" i="2"/>
  <c r="AC74" i="2"/>
  <c r="AB74" i="2"/>
  <c r="AA74" i="2"/>
  <c r="AC73" i="2"/>
  <c r="AB73" i="2"/>
  <c r="AA73" i="2"/>
  <c r="AC72" i="2"/>
  <c r="AB72" i="2"/>
  <c r="AA72" i="2"/>
  <c r="AC71" i="2"/>
  <c r="AB71" i="2"/>
  <c r="AA71" i="2"/>
  <c r="AC70" i="2"/>
  <c r="AB70" i="2"/>
  <c r="AA70" i="2"/>
  <c r="AC69" i="2"/>
  <c r="AB69" i="2"/>
  <c r="AA69" i="2"/>
  <c r="AC68" i="2"/>
  <c r="AB68" i="2"/>
  <c r="AA68" i="2"/>
  <c r="AC67" i="2"/>
  <c r="AB67" i="2"/>
  <c r="AA67" i="2"/>
  <c r="AC66" i="2"/>
  <c r="AB66" i="2"/>
  <c r="AA66" i="2"/>
  <c r="AC65" i="2"/>
  <c r="AB65" i="2"/>
  <c r="AA65" i="2"/>
  <c r="AC64" i="2"/>
  <c r="AB64" i="2"/>
  <c r="AA64" i="2"/>
  <c r="AC63" i="2"/>
  <c r="AB63" i="2"/>
  <c r="AA63" i="2"/>
  <c r="AC62" i="2"/>
  <c r="AB62" i="2"/>
  <c r="AA62" i="2"/>
  <c r="AC61" i="2"/>
  <c r="AB61" i="2"/>
  <c r="AA61" i="2"/>
  <c r="AC60" i="2"/>
  <c r="AB60" i="2"/>
  <c r="AA60" i="2"/>
  <c r="AC59" i="2"/>
  <c r="AB59" i="2"/>
  <c r="AA59" i="2"/>
  <c r="AC58" i="2"/>
  <c r="AB58" i="2"/>
  <c r="AA58" i="2"/>
  <c r="AC57" i="2"/>
  <c r="AB57" i="2"/>
  <c r="AA57" i="2"/>
  <c r="AC56" i="2"/>
  <c r="AB56" i="2"/>
  <c r="AA56" i="2"/>
  <c r="AC55" i="2"/>
  <c r="AB55" i="2"/>
  <c r="AA55" i="2"/>
  <c r="AC54" i="2"/>
  <c r="AB54" i="2"/>
  <c r="AA54" i="2"/>
  <c r="AC53" i="2"/>
  <c r="AB53" i="2"/>
  <c r="AC52" i="2"/>
  <c r="AB52" i="2"/>
  <c r="AA52" i="2"/>
  <c r="AC51" i="2"/>
  <c r="AB51" i="2"/>
  <c r="AA51" i="2"/>
  <c r="AC50" i="2"/>
  <c r="AB50" i="2"/>
  <c r="AA50" i="2"/>
  <c r="AC49" i="2"/>
  <c r="AB49" i="2"/>
  <c r="AA49" i="2"/>
  <c r="AC48" i="2"/>
  <c r="AB48" i="2"/>
  <c r="AA48" i="2"/>
  <c r="AC47" i="2"/>
  <c r="AB47" i="2"/>
  <c r="AA47" i="2"/>
  <c r="AC46" i="2"/>
  <c r="AB46" i="2"/>
  <c r="AA46" i="2"/>
  <c r="AC45" i="2"/>
  <c r="AB45" i="2"/>
  <c r="AA45" i="2"/>
  <c r="AC44" i="2"/>
  <c r="AB44" i="2"/>
  <c r="AA44" i="2"/>
  <c r="AC43" i="2"/>
  <c r="AB43" i="2"/>
  <c r="AA43" i="2"/>
  <c r="AC42" i="2"/>
  <c r="AB42" i="2"/>
  <c r="AA42" i="2"/>
  <c r="AC41" i="2"/>
  <c r="AB41" i="2"/>
  <c r="AA41" i="2"/>
  <c r="AC40" i="2"/>
  <c r="AB40" i="2"/>
  <c r="AA40" i="2"/>
  <c r="AC39" i="2"/>
  <c r="AB39" i="2"/>
  <c r="AA39" i="2"/>
  <c r="AC38" i="2"/>
  <c r="AB38" i="2"/>
  <c r="AA38" i="2"/>
  <c r="AC37" i="2"/>
  <c r="AB37" i="2"/>
  <c r="AA37" i="2"/>
  <c r="AC36" i="2"/>
  <c r="AB36" i="2"/>
  <c r="AA36" i="2"/>
  <c r="AC35" i="2"/>
  <c r="AB35" i="2"/>
  <c r="AA35" i="2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7" i="2"/>
  <c r="AB7" i="2"/>
  <c r="AA7" i="2"/>
  <c r="AC6" i="2"/>
  <c r="AB6" i="2"/>
  <c r="AA6" i="2"/>
  <c r="AC5" i="2"/>
  <c r="AB5" i="2"/>
  <c r="AA5" i="2"/>
  <c r="AC4" i="2"/>
  <c r="AB4" i="2"/>
  <c r="AA4" i="2"/>
  <c r="AC3" i="2"/>
  <c r="AB3" i="2"/>
  <c r="AA3" i="2"/>
  <c r="Y106" i="2" l="1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C2" i="2"/>
  <c r="AB2" i="2"/>
  <c r="AA2" i="2"/>
</calcChain>
</file>

<file path=xl/sharedStrings.xml><?xml version="1.0" encoding="utf-8"?>
<sst xmlns="http://schemas.openxmlformats.org/spreadsheetml/2006/main" count="392" uniqueCount="208">
  <si>
    <t>губ</t>
  </si>
  <si>
    <t>р 1902</t>
  </si>
  <si>
    <t>с 1902</t>
  </si>
  <si>
    <t>Архангельская</t>
  </si>
  <si>
    <t>Астраханская</t>
  </si>
  <si>
    <t>Виленская</t>
  </si>
  <si>
    <t>Витебская</t>
  </si>
  <si>
    <t>Волынская</t>
  </si>
  <si>
    <t>Гродненская</t>
  </si>
  <si>
    <t>Кіевская</t>
  </si>
  <si>
    <t>Ковенская</t>
  </si>
  <si>
    <t>Минская</t>
  </si>
  <si>
    <t>Могилевская</t>
  </si>
  <si>
    <t>Оренбургская</t>
  </si>
  <si>
    <t>Подольская</t>
  </si>
  <si>
    <t>Г Варшава</t>
  </si>
  <si>
    <t>Варшавская</t>
  </si>
  <si>
    <t>Калишская</t>
  </si>
  <si>
    <t>Кѣлецкая</t>
  </si>
  <si>
    <t>Ломжинская</t>
  </si>
  <si>
    <t>Люблинская</t>
  </si>
  <si>
    <t>Петроковская</t>
  </si>
  <si>
    <t>Плоцкая</t>
  </si>
  <si>
    <t xml:space="preserve">Радомская </t>
  </si>
  <si>
    <t xml:space="preserve">Сувалкская </t>
  </si>
  <si>
    <t>Сѣдлецкая</t>
  </si>
  <si>
    <t>Курляндская</t>
  </si>
  <si>
    <t>Лифляндская</t>
  </si>
  <si>
    <t>Эстляндская</t>
  </si>
  <si>
    <t>Бессарабская</t>
  </si>
  <si>
    <t>Владимірская</t>
  </si>
  <si>
    <t xml:space="preserve">Вологодская </t>
  </si>
  <si>
    <t>Воронежская</t>
  </si>
  <si>
    <t>Вятская</t>
  </si>
  <si>
    <t>Екатеринославская</t>
  </si>
  <si>
    <t xml:space="preserve">Казанская </t>
  </si>
  <si>
    <t xml:space="preserve">Калужская </t>
  </si>
  <si>
    <t>Костромская</t>
  </si>
  <si>
    <t xml:space="preserve">Курская </t>
  </si>
  <si>
    <t>Московская</t>
  </si>
  <si>
    <t xml:space="preserve">Г Москва  </t>
  </si>
  <si>
    <t>Нижегородская</t>
  </si>
  <si>
    <t>Новгородская</t>
  </si>
  <si>
    <t xml:space="preserve">Олонецкая </t>
  </si>
  <si>
    <t>Орловская</t>
  </si>
  <si>
    <t>Пензенская</t>
  </si>
  <si>
    <t xml:space="preserve">Пермская </t>
  </si>
  <si>
    <t xml:space="preserve">Полтавская </t>
  </si>
  <si>
    <t xml:space="preserve">Псковская </t>
  </si>
  <si>
    <t>Рязанская</t>
  </si>
  <si>
    <t xml:space="preserve">Самарская </t>
  </si>
  <si>
    <t>С-Петербургская</t>
  </si>
  <si>
    <t>Г С-Петербургъ</t>
  </si>
  <si>
    <t>Саратовская</t>
  </si>
  <si>
    <t xml:space="preserve">Симбирская </t>
  </si>
  <si>
    <t xml:space="preserve">Смоленская </t>
  </si>
  <si>
    <t xml:space="preserve">Таврическая </t>
  </si>
  <si>
    <t>Г Севастополь</t>
  </si>
  <si>
    <t xml:space="preserve">Тамбовская </t>
  </si>
  <si>
    <t xml:space="preserve">Тверская </t>
  </si>
  <si>
    <t>Тульская</t>
  </si>
  <si>
    <t>Уфимская</t>
  </si>
  <si>
    <t>Харьковская</t>
  </si>
  <si>
    <t>Херсонская</t>
  </si>
  <si>
    <t>Г Одесса</t>
  </si>
  <si>
    <t>Г Николаевъ</t>
  </si>
  <si>
    <t>Черниговская</t>
  </si>
  <si>
    <t xml:space="preserve">Ярославская </t>
  </si>
  <si>
    <t>Донскаго в обл</t>
  </si>
  <si>
    <t xml:space="preserve">Бакинская </t>
  </si>
  <si>
    <t>Дагестанская обл</t>
  </si>
  <si>
    <t>Елизаветпольская</t>
  </si>
  <si>
    <t>Карсская обл</t>
  </si>
  <si>
    <t>Кубанская обл</t>
  </si>
  <si>
    <t xml:space="preserve">Кутаисская </t>
  </si>
  <si>
    <t>Ставропольская</t>
  </si>
  <si>
    <t>Тифлисская</t>
  </si>
  <si>
    <t>Черноморская</t>
  </si>
  <si>
    <t xml:space="preserve">Эриванская </t>
  </si>
  <si>
    <t>Амурская обл</t>
  </si>
  <si>
    <t xml:space="preserve">Енисейская </t>
  </si>
  <si>
    <t>Забайкальская</t>
  </si>
  <si>
    <t xml:space="preserve">Иркутская </t>
  </si>
  <si>
    <t>Приморская обл</t>
  </si>
  <si>
    <t xml:space="preserve">Тобольская </t>
  </si>
  <si>
    <t xml:space="preserve">Томская </t>
  </si>
  <si>
    <t>Якутская обл</t>
  </si>
  <si>
    <t>Остр Сахалинъ</t>
  </si>
  <si>
    <t>Акмолинская обл</t>
  </si>
  <si>
    <t>Закаспійская</t>
  </si>
  <si>
    <t>Самаркандская</t>
  </si>
  <si>
    <t>Семипалатинская</t>
  </si>
  <si>
    <t>Сѳмирѣченская</t>
  </si>
  <si>
    <t>Сыръ-Дарьинская</t>
  </si>
  <si>
    <t>Тургайская обл</t>
  </si>
  <si>
    <t>Уральская обл</t>
  </si>
  <si>
    <t>Ферганская обл</t>
  </si>
  <si>
    <t>-</t>
  </si>
  <si>
    <t>Европейская Россія</t>
  </si>
  <si>
    <t>неземские губернии</t>
  </si>
  <si>
    <t>привислинские губернии</t>
  </si>
  <si>
    <t>остзейские губернии</t>
  </si>
  <si>
    <t>земские губернии</t>
  </si>
  <si>
    <t>Кавказ</t>
  </si>
  <si>
    <t>Сибирь</t>
  </si>
  <si>
    <t>Средняя Азия</t>
  </si>
  <si>
    <t xml:space="preserve">Архангельская </t>
  </si>
  <si>
    <t xml:space="preserve">Астраханская </t>
  </si>
  <si>
    <t xml:space="preserve">Витебская </t>
  </si>
  <si>
    <t xml:space="preserve">Ковенская </t>
  </si>
  <si>
    <t xml:space="preserve">Оренбургская </t>
  </si>
  <si>
    <t>Итого въ неземских г.</t>
  </si>
  <si>
    <t>Г. Варшава.</t>
  </si>
  <si>
    <t>Люблянская</t>
  </si>
  <si>
    <t>Радомская</t>
  </si>
  <si>
    <t>Сувалкская</t>
  </si>
  <si>
    <t>Итого въ привислинских губ</t>
  </si>
  <si>
    <t>ЛиФляндская</t>
  </si>
  <si>
    <t>Итого въ остзейскихъ губ</t>
  </si>
  <si>
    <t xml:space="preserve">Бессарабская </t>
  </si>
  <si>
    <t xml:space="preserve">Владимірская </t>
  </si>
  <si>
    <t>Вологодская</t>
  </si>
  <si>
    <t>Екатеранославская</t>
  </si>
  <si>
    <t>Казанская</t>
  </si>
  <si>
    <t>Калужская</t>
  </si>
  <si>
    <t xml:space="preserve">Костромская </t>
  </si>
  <si>
    <t>Курская</t>
  </si>
  <si>
    <t xml:space="preserve">Московская </t>
  </si>
  <si>
    <t>Г Москва</t>
  </si>
  <si>
    <t xml:space="preserve">Нижегородская </t>
  </si>
  <si>
    <t xml:space="preserve">Новгородская  </t>
  </si>
  <si>
    <t xml:space="preserve">Пензенская </t>
  </si>
  <si>
    <t xml:space="preserve">Полтавская   </t>
  </si>
  <si>
    <t xml:space="preserve">Псковская   </t>
  </si>
  <si>
    <t xml:space="preserve">Рязанская </t>
  </si>
  <si>
    <t xml:space="preserve">С-Петербургская </t>
  </si>
  <si>
    <t>Г С.-Петербургъ</t>
  </si>
  <si>
    <t xml:space="preserve">Саратовская  </t>
  </si>
  <si>
    <t>Симбирская</t>
  </si>
  <si>
    <t xml:space="preserve">Смоленская  </t>
  </si>
  <si>
    <t xml:space="preserve">Таврическая  </t>
  </si>
  <si>
    <t xml:space="preserve">Г Севастополь  </t>
  </si>
  <si>
    <t xml:space="preserve">Тамбовская  </t>
  </si>
  <si>
    <t xml:space="preserve">Тверская  </t>
  </si>
  <si>
    <t xml:space="preserve">Уфимская </t>
  </si>
  <si>
    <t xml:space="preserve">Херсонская </t>
  </si>
  <si>
    <t xml:space="preserve">Г Одесса  </t>
  </si>
  <si>
    <t xml:space="preserve">Черниговская </t>
  </si>
  <si>
    <t>Ярославская</t>
  </si>
  <si>
    <t>Итого въ земских губ</t>
  </si>
  <si>
    <t>Донскаго войска область</t>
  </si>
  <si>
    <t>Итого въ Европейской Россіи</t>
  </si>
  <si>
    <t xml:space="preserve">Бакинская    </t>
  </si>
  <si>
    <t xml:space="preserve">Дагестанская обл </t>
  </si>
  <si>
    <t xml:space="preserve">Карсская обл  </t>
  </si>
  <si>
    <t xml:space="preserve">Кубанская обл   </t>
  </si>
  <si>
    <t>Кутаисская</t>
  </si>
  <si>
    <t xml:space="preserve">Ставропольская  </t>
  </si>
  <si>
    <t>Терская обл</t>
  </si>
  <si>
    <t xml:space="preserve">Черноморская </t>
  </si>
  <si>
    <t xml:space="preserve">Итого на Кавказѣ </t>
  </si>
  <si>
    <t>Енисейская</t>
  </si>
  <si>
    <t xml:space="preserve">Забайкальская обл   </t>
  </si>
  <si>
    <t>Иркутская</t>
  </si>
  <si>
    <t>Тобольская</t>
  </si>
  <si>
    <t>Томская</t>
  </si>
  <si>
    <t xml:space="preserve">Сахалинъ </t>
  </si>
  <si>
    <t xml:space="preserve">Итого въ Сибири </t>
  </si>
  <si>
    <t xml:space="preserve">Акмолинская обл  </t>
  </si>
  <si>
    <t xml:space="preserve">Закаспійская обл </t>
  </si>
  <si>
    <t>Самаркандская обл</t>
  </si>
  <si>
    <t>Семипалатинская обл</t>
  </si>
  <si>
    <t>Семиреченская обл</t>
  </si>
  <si>
    <t>Сыр-Даринская обл</t>
  </si>
  <si>
    <t>Итога въ Средней Азіи</t>
  </si>
  <si>
    <t xml:space="preserve">Всего въ Азіатской Россіи </t>
  </si>
  <si>
    <t>Всего въ Имперіи</t>
  </si>
  <si>
    <t>Сѣдлцкая</t>
  </si>
  <si>
    <t xml:space="preserve">Елисаветпольская </t>
  </si>
  <si>
    <t>Пермская</t>
  </si>
  <si>
    <t xml:space="preserve">Гродненская </t>
  </si>
  <si>
    <t>Число рождений в земских губ. (города) напечатано: 337,177, но вычисляется: 330,181</t>
  </si>
  <si>
    <t>Число рождений Всего в Европейской России (города) напечатано: 538,517, но вычисляется: 531,521</t>
  </si>
  <si>
    <t>Число рождений Всего в Европейской России (уезды) напечатано: 4,915,807, но вычисляется: 4,906,752</t>
  </si>
  <si>
    <t>Число смертей в земских губ. (уезды) напечатано: 2,179,816, но вычисляется: 2,180,816</t>
  </si>
  <si>
    <t>Число смертей в Сибири (уезды) расходится на 20 тыс. с пообластными данными</t>
  </si>
  <si>
    <t>v</t>
  </si>
  <si>
    <t>чр-гор-м YY</t>
  </si>
  <si>
    <t>чр-гор-ж YY</t>
  </si>
  <si>
    <t>чр-гор-о YY</t>
  </si>
  <si>
    <t>чс-гор-м YY</t>
  </si>
  <si>
    <t>чс-гор-ж YY</t>
  </si>
  <si>
    <t>чс-гор-о YY</t>
  </si>
  <si>
    <t>чж-уез-м NYY</t>
  </si>
  <si>
    <t>чж-уез-ж NYY</t>
  </si>
  <si>
    <t>чж-уез-о NYY</t>
  </si>
  <si>
    <t>чр-уез-м YY</t>
  </si>
  <si>
    <t>чр-уез-ж YY</t>
  </si>
  <si>
    <t>чр-уез-о YY</t>
  </si>
  <si>
    <t>чс-уез-м YY</t>
  </si>
  <si>
    <t>чс-уез-ж YY</t>
  </si>
  <si>
    <t>чс-уез-о YY</t>
  </si>
  <si>
    <t>чж-гор-о NYY</t>
  </si>
  <si>
    <t>чж-гор-ж NYY</t>
  </si>
  <si>
    <t>чж-гор-м NYY</t>
  </si>
  <si>
    <t>чж NYY</t>
  </si>
  <si>
    <t>чр YY</t>
  </si>
  <si>
    <t>чу 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</si>
</sst>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5FFA-FA63-4BA1-ABFB-5002552DD83A}">
  <dimension ref="A1:C104"/>
  <sheetViews>
    <sheetView workbookViewId="0"/>
  </sheetViews>
  <sheetFormatPr defaultRowHeight="14.4" x14ac:dyDescent="0.55000000000000004"/>
  <cols>
    <col min="1" max="1" width="26.261718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s="2">
        <v>45.8</v>
      </c>
      <c r="C2" s="2">
        <v>28.8</v>
      </c>
    </row>
    <row r="3" spans="1:3" x14ac:dyDescent="0.55000000000000004">
      <c r="A3" t="s">
        <v>4</v>
      </c>
      <c r="B3" s="2">
        <v>53.7</v>
      </c>
      <c r="C3" s="2">
        <v>40.200000000000003</v>
      </c>
    </row>
    <row r="4" spans="1:3" x14ac:dyDescent="0.55000000000000004">
      <c r="A4" t="s">
        <v>5</v>
      </c>
      <c r="B4" s="2">
        <v>31.7</v>
      </c>
      <c r="C4" s="2">
        <v>21.3</v>
      </c>
    </row>
    <row r="5" spans="1:3" x14ac:dyDescent="0.55000000000000004">
      <c r="A5" t="s">
        <v>6</v>
      </c>
      <c r="B5" s="2">
        <v>41</v>
      </c>
      <c r="C5" s="2">
        <v>22.9</v>
      </c>
    </row>
    <row r="6" spans="1:3" x14ac:dyDescent="0.55000000000000004">
      <c r="A6" t="s">
        <v>7</v>
      </c>
      <c r="B6" s="2">
        <v>48.9</v>
      </c>
      <c r="C6" s="2">
        <v>26.6</v>
      </c>
    </row>
    <row r="7" spans="1:3" x14ac:dyDescent="0.55000000000000004">
      <c r="A7" t="s">
        <v>8</v>
      </c>
      <c r="B7" s="2">
        <v>42.8</v>
      </c>
      <c r="C7" s="2">
        <v>24</v>
      </c>
    </row>
    <row r="8" spans="1:3" x14ac:dyDescent="0.55000000000000004">
      <c r="A8" t="s">
        <v>9</v>
      </c>
      <c r="B8" s="2">
        <v>45.2</v>
      </c>
      <c r="C8" s="2">
        <v>25.7</v>
      </c>
    </row>
    <row r="9" spans="1:3" x14ac:dyDescent="0.55000000000000004">
      <c r="A9" t="s">
        <v>10</v>
      </c>
      <c r="B9" s="2">
        <v>35.299999999999997</v>
      </c>
      <c r="C9" s="2">
        <v>22.6</v>
      </c>
    </row>
    <row r="10" spans="1:3" x14ac:dyDescent="0.55000000000000004">
      <c r="A10" t="s">
        <v>11</v>
      </c>
      <c r="B10" s="2">
        <v>45.8</v>
      </c>
      <c r="C10" s="2">
        <v>24</v>
      </c>
    </row>
    <row r="11" spans="1:3" x14ac:dyDescent="0.55000000000000004">
      <c r="A11" t="s">
        <v>12</v>
      </c>
      <c r="B11" s="2">
        <v>47.5</v>
      </c>
      <c r="C11" s="2">
        <v>24.1</v>
      </c>
    </row>
    <row r="12" spans="1:3" x14ac:dyDescent="0.55000000000000004">
      <c r="A12" t="s">
        <v>13</v>
      </c>
      <c r="B12" s="2">
        <v>63.5</v>
      </c>
      <c r="C12" s="2">
        <v>42.4</v>
      </c>
    </row>
    <row r="13" spans="1:3" x14ac:dyDescent="0.55000000000000004">
      <c r="A13" t="s">
        <v>14</v>
      </c>
      <c r="B13" s="2">
        <v>46.1</v>
      </c>
      <c r="C13" s="2">
        <v>26</v>
      </c>
    </row>
    <row r="14" spans="1:3" x14ac:dyDescent="0.55000000000000004">
      <c r="A14" t="s">
        <v>15</v>
      </c>
      <c r="B14" s="2">
        <v>34.200000000000003</v>
      </c>
      <c r="C14" s="2">
        <v>18.8</v>
      </c>
    </row>
    <row r="15" spans="1:3" x14ac:dyDescent="0.55000000000000004">
      <c r="A15" t="s">
        <v>16</v>
      </c>
      <c r="B15" s="2">
        <v>42</v>
      </c>
      <c r="C15" s="2">
        <v>26.2</v>
      </c>
    </row>
    <row r="16" spans="1:3" x14ac:dyDescent="0.55000000000000004">
      <c r="A16" t="s">
        <v>17</v>
      </c>
      <c r="B16" s="2">
        <v>39.299999999999997</v>
      </c>
      <c r="C16" s="2">
        <v>20.8</v>
      </c>
    </row>
    <row r="17" spans="1:3" x14ac:dyDescent="0.55000000000000004">
      <c r="A17" t="s">
        <v>18</v>
      </c>
      <c r="B17" s="2">
        <v>37.1</v>
      </c>
      <c r="C17" s="2">
        <v>18.2</v>
      </c>
    </row>
    <row r="18" spans="1:3" x14ac:dyDescent="0.55000000000000004">
      <c r="A18" t="s">
        <v>19</v>
      </c>
      <c r="B18" s="2">
        <v>33.299999999999997</v>
      </c>
      <c r="C18" s="2">
        <v>19.5</v>
      </c>
    </row>
    <row r="19" spans="1:3" x14ac:dyDescent="0.55000000000000004">
      <c r="A19" t="s">
        <v>20</v>
      </c>
      <c r="B19" s="2">
        <v>41</v>
      </c>
      <c r="C19" s="2">
        <v>21.5</v>
      </c>
    </row>
    <row r="20" spans="1:3" x14ac:dyDescent="0.55000000000000004">
      <c r="A20" t="s">
        <v>21</v>
      </c>
      <c r="B20" s="2">
        <v>46.5</v>
      </c>
      <c r="C20" s="2">
        <v>25.5</v>
      </c>
    </row>
    <row r="21" spans="1:3" x14ac:dyDescent="0.55000000000000004">
      <c r="A21" t="s">
        <v>22</v>
      </c>
      <c r="B21" s="2">
        <v>34.700000000000003</v>
      </c>
      <c r="C21" s="2">
        <v>22.2</v>
      </c>
    </row>
    <row r="22" spans="1:3" x14ac:dyDescent="0.55000000000000004">
      <c r="A22" t="s">
        <v>23</v>
      </c>
      <c r="B22" s="2">
        <v>39.4</v>
      </c>
      <c r="C22" s="2">
        <v>20.7</v>
      </c>
    </row>
    <row r="23" spans="1:3" x14ac:dyDescent="0.55000000000000004">
      <c r="A23" t="s">
        <v>24</v>
      </c>
      <c r="B23" s="2">
        <v>31.1</v>
      </c>
      <c r="C23" s="2">
        <v>24</v>
      </c>
    </row>
    <row r="24" spans="1:3" x14ac:dyDescent="0.55000000000000004">
      <c r="A24" t="s">
        <v>25</v>
      </c>
      <c r="B24" s="2">
        <v>39.700000000000003</v>
      </c>
      <c r="C24" s="2">
        <v>22.5</v>
      </c>
    </row>
    <row r="25" spans="1:3" x14ac:dyDescent="0.55000000000000004">
      <c r="A25" t="s">
        <v>26</v>
      </c>
      <c r="B25" s="2">
        <v>27.6</v>
      </c>
      <c r="C25" s="2">
        <v>19</v>
      </c>
    </row>
    <row r="26" spans="1:3" x14ac:dyDescent="0.55000000000000004">
      <c r="A26" t="s">
        <v>27</v>
      </c>
      <c r="B26" s="2">
        <v>27</v>
      </c>
      <c r="C26" s="2">
        <v>17.600000000000001</v>
      </c>
    </row>
    <row r="27" spans="1:3" x14ac:dyDescent="0.55000000000000004">
      <c r="A27" t="s">
        <v>28</v>
      </c>
      <c r="B27" s="2">
        <v>29.7</v>
      </c>
      <c r="C27" s="2">
        <v>17.5</v>
      </c>
    </row>
    <row r="28" spans="1:3" x14ac:dyDescent="0.55000000000000004">
      <c r="A28" t="s">
        <v>29</v>
      </c>
      <c r="B28" s="2">
        <v>45.5</v>
      </c>
      <c r="C28" s="2">
        <v>26.1</v>
      </c>
    </row>
    <row r="29" spans="1:3" x14ac:dyDescent="0.55000000000000004">
      <c r="A29" t="s">
        <v>30</v>
      </c>
      <c r="B29" s="2">
        <v>46.2</v>
      </c>
      <c r="C29" s="2">
        <v>32.200000000000003</v>
      </c>
    </row>
    <row r="30" spans="1:3" x14ac:dyDescent="0.55000000000000004">
      <c r="A30" t="s">
        <v>31</v>
      </c>
      <c r="B30" s="2">
        <v>47.6</v>
      </c>
      <c r="C30" s="2">
        <v>32.799999999999997</v>
      </c>
    </row>
    <row r="31" spans="1:3" x14ac:dyDescent="0.55000000000000004">
      <c r="A31" t="s">
        <v>32</v>
      </c>
      <c r="B31" s="2">
        <v>52.7</v>
      </c>
      <c r="C31" s="2">
        <v>36.6</v>
      </c>
    </row>
    <row r="32" spans="1:3" x14ac:dyDescent="0.55000000000000004">
      <c r="A32" t="s">
        <v>33</v>
      </c>
      <c r="B32" s="2">
        <v>52</v>
      </c>
      <c r="C32" s="2">
        <v>41.4</v>
      </c>
    </row>
    <row r="33" spans="1:3" x14ac:dyDescent="0.55000000000000004">
      <c r="A33" t="s">
        <v>34</v>
      </c>
      <c r="B33" s="2">
        <v>46.4</v>
      </c>
      <c r="C33" s="2">
        <v>24.9</v>
      </c>
    </row>
    <row r="34" spans="1:3" x14ac:dyDescent="0.55000000000000004">
      <c r="A34" t="s">
        <v>35</v>
      </c>
      <c r="B34" s="2">
        <v>51.1</v>
      </c>
      <c r="C34" s="2">
        <v>34.9</v>
      </c>
    </row>
    <row r="35" spans="1:3" x14ac:dyDescent="0.55000000000000004">
      <c r="A35" t="s">
        <v>36</v>
      </c>
      <c r="B35" s="2">
        <v>58</v>
      </c>
      <c r="C35" s="2">
        <v>35.200000000000003</v>
      </c>
    </row>
    <row r="36" spans="1:3" x14ac:dyDescent="0.55000000000000004">
      <c r="A36" t="s">
        <v>37</v>
      </c>
      <c r="B36" s="2">
        <v>49.5</v>
      </c>
      <c r="C36" s="2">
        <v>32.1</v>
      </c>
    </row>
    <row r="37" spans="1:3" x14ac:dyDescent="0.55000000000000004">
      <c r="A37" t="s">
        <v>38</v>
      </c>
      <c r="B37" s="2">
        <v>51.5</v>
      </c>
      <c r="C37" s="2">
        <v>30.8</v>
      </c>
    </row>
    <row r="38" spans="1:3" x14ac:dyDescent="0.55000000000000004">
      <c r="A38" t="s">
        <v>39</v>
      </c>
      <c r="B38" s="2">
        <v>45.8</v>
      </c>
      <c r="C38" s="2">
        <v>28.6</v>
      </c>
    </row>
    <row r="39" spans="1:3" x14ac:dyDescent="0.55000000000000004">
      <c r="A39" t="s">
        <v>40</v>
      </c>
      <c r="B39" s="2">
        <v>26.3</v>
      </c>
      <c r="C39" s="2">
        <v>24.7</v>
      </c>
    </row>
    <row r="40" spans="1:3" x14ac:dyDescent="0.55000000000000004">
      <c r="A40" t="s">
        <v>41</v>
      </c>
      <c r="B40" s="2">
        <v>52.4</v>
      </c>
      <c r="C40" s="2">
        <v>37.5</v>
      </c>
    </row>
    <row r="41" spans="1:3" x14ac:dyDescent="0.55000000000000004">
      <c r="A41" t="s">
        <v>42</v>
      </c>
      <c r="B41" s="2">
        <v>44.2</v>
      </c>
      <c r="C41" s="2">
        <v>26.9</v>
      </c>
    </row>
    <row r="42" spans="1:3" x14ac:dyDescent="0.55000000000000004">
      <c r="A42" t="s">
        <v>43</v>
      </c>
      <c r="B42" s="2">
        <v>48.7</v>
      </c>
      <c r="C42" s="2">
        <v>36.6</v>
      </c>
    </row>
    <row r="43" spans="1:3" x14ac:dyDescent="0.55000000000000004">
      <c r="A43" t="s">
        <v>44</v>
      </c>
      <c r="B43" s="2">
        <v>56.2</v>
      </c>
      <c r="C43" s="2">
        <v>37</v>
      </c>
    </row>
    <row r="44" spans="1:3" x14ac:dyDescent="0.55000000000000004">
      <c r="A44" t="s">
        <v>45</v>
      </c>
      <c r="B44" s="2">
        <v>54.3</v>
      </c>
      <c r="C44" s="2">
        <v>38.1</v>
      </c>
    </row>
    <row r="45" spans="1:3" x14ac:dyDescent="0.55000000000000004">
      <c r="A45" t="s">
        <v>46</v>
      </c>
      <c r="B45" s="2">
        <v>55.1</v>
      </c>
      <c r="C45" s="2">
        <v>45.9</v>
      </c>
    </row>
    <row r="46" spans="1:3" x14ac:dyDescent="0.55000000000000004">
      <c r="A46" t="s">
        <v>47</v>
      </c>
      <c r="B46" s="2">
        <v>41</v>
      </c>
      <c r="C46" s="2">
        <v>23.8</v>
      </c>
    </row>
    <row r="47" spans="1:3" x14ac:dyDescent="0.55000000000000004">
      <c r="A47" t="s">
        <v>48</v>
      </c>
      <c r="B47" s="2">
        <v>46.1</v>
      </c>
      <c r="C47" s="2">
        <v>25.9</v>
      </c>
    </row>
    <row r="48" spans="1:3" x14ac:dyDescent="0.55000000000000004">
      <c r="A48" t="s">
        <v>49</v>
      </c>
      <c r="B48" s="2">
        <v>47.5</v>
      </c>
      <c r="C48" s="2">
        <v>30.2</v>
      </c>
    </row>
    <row r="49" spans="1:3" x14ac:dyDescent="0.55000000000000004">
      <c r="A49" t="s">
        <v>50</v>
      </c>
      <c r="B49" s="2">
        <v>56.1</v>
      </c>
      <c r="C49" s="2">
        <v>39.799999999999997</v>
      </c>
    </row>
    <row r="50" spans="1:3" x14ac:dyDescent="0.55000000000000004">
      <c r="A50" t="s">
        <v>51</v>
      </c>
      <c r="B50" s="2">
        <v>40.299999999999997</v>
      </c>
      <c r="C50" s="2">
        <v>32.799999999999997</v>
      </c>
    </row>
    <row r="51" spans="1:3" x14ac:dyDescent="0.55000000000000004">
      <c r="A51" t="s">
        <v>52</v>
      </c>
      <c r="B51" s="2">
        <v>29.5</v>
      </c>
      <c r="C51" s="2">
        <v>21.8</v>
      </c>
    </row>
    <row r="52" spans="1:3" x14ac:dyDescent="0.55000000000000004">
      <c r="A52" t="s">
        <v>53</v>
      </c>
      <c r="B52" s="2">
        <v>53.1</v>
      </c>
      <c r="C52" s="2">
        <v>37.5</v>
      </c>
    </row>
    <row r="53" spans="1:3" x14ac:dyDescent="0.55000000000000004">
      <c r="A53" t="s">
        <v>54</v>
      </c>
      <c r="B53" s="2">
        <v>50.3</v>
      </c>
      <c r="C53" s="2">
        <v>37.5</v>
      </c>
    </row>
    <row r="54" spans="1:3" x14ac:dyDescent="0.55000000000000004">
      <c r="A54" t="s">
        <v>55</v>
      </c>
      <c r="B54" s="2">
        <v>53.9</v>
      </c>
      <c r="C54" s="2">
        <v>33.700000000000003</v>
      </c>
    </row>
    <row r="55" spans="1:3" x14ac:dyDescent="0.55000000000000004">
      <c r="A55" t="s">
        <v>56</v>
      </c>
      <c r="B55" s="2">
        <v>45.6</v>
      </c>
      <c r="C55" s="2">
        <v>27.1</v>
      </c>
    </row>
    <row r="56" spans="1:3" x14ac:dyDescent="0.55000000000000004">
      <c r="A56" t="s">
        <v>57</v>
      </c>
      <c r="B56" s="2">
        <v>40</v>
      </c>
      <c r="C56" s="2">
        <v>25.2</v>
      </c>
    </row>
    <row r="57" spans="1:3" x14ac:dyDescent="0.55000000000000004">
      <c r="A57" t="s">
        <v>58</v>
      </c>
      <c r="B57" s="2">
        <v>49</v>
      </c>
      <c r="C57" s="2">
        <v>33.700000000000003</v>
      </c>
    </row>
    <row r="58" spans="1:3" x14ac:dyDescent="0.55000000000000004">
      <c r="A58" t="s">
        <v>59</v>
      </c>
      <c r="B58" s="2">
        <v>48.9</v>
      </c>
      <c r="C58" s="2">
        <v>29.1</v>
      </c>
    </row>
    <row r="59" spans="1:3" x14ac:dyDescent="0.55000000000000004">
      <c r="A59" t="s">
        <v>60</v>
      </c>
      <c r="B59" s="2">
        <v>53.7</v>
      </c>
      <c r="C59" s="2">
        <v>33.799999999999997</v>
      </c>
    </row>
    <row r="60" spans="1:3" x14ac:dyDescent="0.55000000000000004">
      <c r="A60" t="s">
        <v>61</v>
      </c>
      <c r="B60" s="2">
        <v>46.4</v>
      </c>
      <c r="C60" s="2">
        <v>30.1</v>
      </c>
    </row>
    <row r="61" spans="1:3" x14ac:dyDescent="0.55000000000000004">
      <c r="A61" t="s">
        <v>62</v>
      </c>
      <c r="B61" s="2">
        <v>45.3</v>
      </c>
      <c r="C61" s="2">
        <v>29.2</v>
      </c>
    </row>
    <row r="62" spans="1:3" x14ac:dyDescent="0.55000000000000004">
      <c r="A62" t="s">
        <v>63</v>
      </c>
      <c r="B62" s="2">
        <v>49.4</v>
      </c>
      <c r="C62" s="2">
        <v>25.1</v>
      </c>
    </row>
    <row r="63" spans="1:3" x14ac:dyDescent="0.55000000000000004">
      <c r="A63" t="s">
        <v>64</v>
      </c>
      <c r="B63" s="2">
        <v>31.5</v>
      </c>
      <c r="C63" s="2">
        <v>19.600000000000001</v>
      </c>
    </row>
    <row r="64" spans="1:3" x14ac:dyDescent="0.55000000000000004">
      <c r="A64" t="s">
        <v>65</v>
      </c>
      <c r="B64" s="2">
        <v>39.1</v>
      </c>
      <c r="C64" s="2">
        <v>23.2</v>
      </c>
    </row>
    <row r="65" spans="1:3" x14ac:dyDescent="0.55000000000000004">
      <c r="A65" t="s">
        <v>66</v>
      </c>
      <c r="B65" s="2">
        <v>45.2</v>
      </c>
      <c r="C65" s="2">
        <v>25</v>
      </c>
    </row>
    <row r="66" spans="1:3" x14ac:dyDescent="0.55000000000000004">
      <c r="A66" t="s">
        <v>67</v>
      </c>
      <c r="B66" s="2">
        <v>47.8</v>
      </c>
      <c r="C66" s="2">
        <v>32.6</v>
      </c>
    </row>
    <row r="67" spans="1:3" x14ac:dyDescent="0.55000000000000004">
      <c r="A67" t="s">
        <v>68</v>
      </c>
      <c r="B67" s="2">
        <v>56.1</v>
      </c>
      <c r="C67" s="2">
        <v>35.4</v>
      </c>
    </row>
    <row r="68" spans="1:3" x14ac:dyDescent="0.55000000000000004">
      <c r="A68" t="s">
        <v>69</v>
      </c>
      <c r="B68" s="2">
        <v>25.6</v>
      </c>
      <c r="C68" s="2">
        <v>18.899999999999999</v>
      </c>
    </row>
    <row r="69" spans="1:3" x14ac:dyDescent="0.55000000000000004">
      <c r="A69" t="s">
        <v>70</v>
      </c>
      <c r="B69" s="2">
        <v>22.8</v>
      </c>
      <c r="C69" s="2">
        <v>22</v>
      </c>
    </row>
    <row r="70" spans="1:3" x14ac:dyDescent="0.55000000000000004">
      <c r="A70" t="s">
        <v>71</v>
      </c>
      <c r="B70" s="2">
        <v>27.8</v>
      </c>
      <c r="C70" s="2">
        <v>17.100000000000001</v>
      </c>
    </row>
    <row r="71" spans="1:3" x14ac:dyDescent="0.55000000000000004">
      <c r="A71" t="s">
        <v>72</v>
      </c>
      <c r="B71" s="2">
        <v>30.8</v>
      </c>
      <c r="C71" s="2">
        <v>19.399999999999999</v>
      </c>
    </row>
    <row r="72" spans="1:3" x14ac:dyDescent="0.55000000000000004">
      <c r="A72" t="s">
        <v>73</v>
      </c>
      <c r="B72" s="2">
        <v>57.4</v>
      </c>
      <c r="C72" s="2">
        <v>32</v>
      </c>
    </row>
    <row r="73" spans="1:3" x14ac:dyDescent="0.55000000000000004">
      <c r="A73" t="s">
        <v>74</v>
      </c>
      <c r="B73" s="2">
        <v>45.4</v>
      </c>
      <c r="C73" s="2">
        <v>15.3</v>
      </c>
    </row>
    <row r="74" spans="1:3" x14ac:dyDescent="0.55000000000000004">
      <c r="A74" t="s">
        <v>75</v>
      </c>
      <c r="B74" s="2">
        <v>59.5</v>
      </c>
      <c r="C74" s="2">
        <v>37.799999999999997</v>
      </c>
    </row>
    <row r="75" spans="1:3" x14ac:dyDescent="0.55000000000000004">
      <c r="A75" t="s">
        <v>158</v>
      </c>
      <c r="B75" s="2">
        <v>39.1</v>
      </c>
      <c r="C75" s="2">
        <v>23.9</v>
      </c>
    </row>
    <row r="76" spans="1:3" x14ac:dyDescent="0.55000000000000004">
      <c r="A76" t="s">
        <v>76</v>
      </c>
      <c r="B76" s="2">
        <v>35</v>
      </c>
      <c r="C76" s="2">
        <v>20</v>
      </c>
    </row>
    <row r="77" spans="1:3" x14ac:dyDescent="0.55000000000000004">
      <c r="A77" t="s">
        <v>77</v>
      </c>
      <c r="B77" s="2">
        <v>41.3</v>
      </c>
      <c r="C77" s="2">
        <v>21.5</v>
      </c>
    </row>
    <row r="78" spans="1:3" x14ac:dyDescent="0.55000000000000004">
      <c r="A78" t="s">
        <v>78</v>
      </c>
      <c r="B78" s="2">
        <v>39.4</v>
      </c>
      <c r="C78" s="2">
        <v>22.2</v>
      </c>
    </row>
    <row r="79" spans="1:3" x14ac:dyDescent="0.55000000000000004">
      <c r="A79" t="s">
        <v>79</v>
      </c>
      <c r="B79" s="2">
        <v>56.3</v>
      </c>
      <c r="C79" s="2">
        <v>31.2</v>
      </c>
    </row>
    <row r="80" spans="1:3" x14ac:dyDescent="0.55000000000000004">
      <c r="A80" t="s">
        <v>80</v>
      </c>
      <c r="B80" s="2">
        <v>53.5</v>
      </c>
      <c r="C80" s="2">
        <v>34.4</v>
      </c>
    </row>
    <row r="81" spans="1:3" x14ac:dyDescent="0.55000000000000004">
      <c r="A81" t="s">
        <v>81</v>
      </c>
      <c r="B81" s="2">
        <v>34.6</v>
      </c>
      <c r="C81" s="2">
        <v>20.5</v>
      </c>
    </row>
    <row r="82" spans="1:3" x14ac:dyDescent="0.55000000000000004">
      <c r="A82" t="s">
        <v>82</v>
      </c>
      <c r="B82" s="2">
        <v>49.1</v>
      </c>
      <c r="C82" s="2">
        <v>35.299999999999997</v>
      </c>
    </row>
    <row r="83" spans="1:3" x14ac:dyDescent="0.55000000000000004">
      <c r="A83" t="s">
        <v>83</v>
      </c>
      <c r="B83" s="2">
        <v>28.4</v>
      </c>
      <c r="C83" s="2">
        <v>16.8</v>
      </c>
    </row>
    <row r="84" spans="1:3" x14ac:dyDescent="0.55000000000000004">
      <c r="A84" t="s">
        <v>84</v>
      </c>
      <c r="B84" s="2">
        <v>52.9</v>
      </c>
      <c r="C84" s="2">
        <v>43.7</v>
      </c>
    </row>
    <row r="85" spans="1:3" x14ac:dyDescent="0.55000000000000004">
      <c r="A85" t="s">
        <v>85</v>
      </c>
      <c r="B85" s="2">
        <v>52</v>
      </c>
      <c r="C85" s="2">
        <v>28.9</v>
      </c>
    </row>
    <row r="86" spans="1:3" x14ac:dyDescent="0.55000000000000004">
      <c r="A86" t="s">
        <v>86</v>
      </c>
      <c r="B86" s="2">
        <v>46.2</v>
      </c>
      <c r="C86" s="2">
        <v>25</v>
      </c>
    </row>
    <row r="87" spans="1:3" x14ac:dyDescent="0.55000000000000004">
      <c r="A87" t="s">
        <v>87</v>
      </c>
      <c r="B87" s="2">
        <v>17.2</v>
      </c>
      <c r="C87" s="2">
        <v>14.4</v>
      </c>
    </row>
    <row r="88" spans="1:3" x14ac:dyDescent="0.55000000000000004">
      <c r="A88" t="s">
        <v>88</v>
      </c>
      <c r="B88" s="2">
        <v>31</v>
      </c>
      <c r="C88" s="2">
        <v>17</v>
      </c>
    </row>
    <row r="89" spans="1:3" x14ac:dyDescent="0.55000000000000004">
      <c r="A89" t="s">
        <v>89</v>
      </c>
      <c r="B89" s="2">
        <v>26.9</v>
      </c>
      <c r="C89" s="2">
        <v>18.399999999999999</v>
      </c>
    </row>
    <row r="90" spans="1:3" x14ac:dyDescent="0.55000000000000004">
      <c r="A90" t="s">
        <v>90</v>
      </c>
      <c r="B90" s="2" t="s">
        <v>97</v>
      </c>
      <c r="C90" s="2" t="s">
        <v>97</v>
      </c>
    </row>
    <row r="91" spans="1:3" x14ac:dyDescent="0.55000000000000004">
      <c r="A91" t="s">
        <v>91</v>
      </c>
      <c r="B91" s="2">
        <v>19.5</v>
      </c>
      <c r="C91" s="2">
        <v>11.9</v>
      </c>
    </row>
    <row r="92" spans="1:3" x14ac:dyDescent="0.55000000000000004">
      <c r="A92" t="s">
        <v>92</v>
      </c>
      <c r="B92" s="2">
        <v>35.200000000000003</v>
      </c>
      <c r="C92" s="2">
        <v>20.6</v>
      </c>
    </row>
    <row r="93" spans="1:3" x14ac:dyDescent="0.55000000000000004">
      <c r="A93" t="s">
        <v>93</v>
      </c>
      <c r="B93" s="2" t="s">
        <v>97</v>
      </c>
      <c r="C93" s="2" t="s">
        <v>97</v>
      </c>
    </row>
    <row r="94" spans="1:3" x14ac:dyDescent="0.55000000000000004">
      <c r="A94" t="s">
        <v>94</v>
      </c>
      <c r="B94" s="2">
        <v>36.200000000000003</v>
      </c>
      <c r="C94" s="2">
        <v>24.3</v>
      </c>
    </row>
    <row r="95" spans="1:3" x14ac:dyDescent="0.55000000000000004">
      <c r="A95" t="s">
        <v>95</v>
      </c>
      <c r="B95" s="2">
        <v>28.4</v>
      </c>
      <c r="C95" s="2">
        <v>18.600000000000001</v>
      </c>
    </row>
    <row r="96" spans="1:3" x14ac:dyDescent="0.55000000000000004">
      <c r="A96" t="s">
        <v>96</v>
      </c>
      <c r="B96" s="2">
        <v>32.200000000000003</v>
      </c>
      <c r="C96" s="2">
        <v>19.3</v>
      </c>
    </row>
    <row r="97" spans="1:3" x14ac:dyDescent="0.55000000000000004">
      <c r="A97" t="s">
        <v>98</v>
      </c>
      <c r="B97" s="2">
        <v>47.1</v>
      </c>
      <c r="C97" s="2">
        <v>29.9</v>
      </c>
    </row>
    <row r="98" spans="1:3" x14ac:dyDescent="0.55000000000000004">
      <c r="A98" t="s">
        <v>99</v>
      </c>
      <c r="B98" s="2">
        <v>46</v>
      </c>
      <c r="C98" s="2">
        <v>26.4</v>
      </c>
    </row>
    <row r="99" spans="1:3" x14ac:dyDescent="0.55000000000000004">
      <c r="A99" t="s">
        <v>100</v>
      </c>
      <c r="B99">
        <v>39.200000000000003</v>
      </c>
      <c r="C99">
        <v>22.1</v>
      </c>
    </row>
    <row r="100" spans="1:3" x14ac:dyDescent="0.55000000000000004">
      <c r="A100" t="s">
        <v>101</v>
      </c>
      <c r="B100">
        <v>28.6</v>
      </c>
      <c r="C100">
        <v>18.600000000000001</v>
      </c>
    </row>
    <row r="101" spans="1:3" x14ac:dyDescent="0.55000000000000004">
      <c r="A101" t="s">
        <v>102</v>
      </c>
      <c r="B101">
        <v>48.8</v>
      </c>
      <c r="C101">
        <v>32.4</v>
      </c>
    </row>
    <row r="102" spans="1:3" x14ac:dyDescent="0.55000000000000004">
      <c r="A102" t="s">
        <v>103</v>
      </c>
      <c r="B102">
        <v>41.7</v>
      </c>
      <c r="C102">
        <v>24.1</v>
      </c>
    </row>
    <row r="103" spans="1:3" x14ac:dyDescent="0.55000000000000004">
      <c r="A103" t="s">
        <v>104</v>
      </c>
      <c r="B103">
        <v>48.7</v>
      </c>
      <c r="C103">
        <v>28.8</v>
      </c>
    </row>
    <row r="104" spans="1:3" x14ac:dyDescent="0.55000000000000004">
      <c r="A104" t="s">
        <v>105</v>
      </c>
      <c r="B104">
        <v>27.3</v>
      </c>
      <c r="C104">
        <v>16.5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31E7-F629-4E21-90DE-685571331471}">
  <dimension ref="A1:AJ234"/>
  <sheetViews>
    <sheetView tabSelected="1" workbookViewId="0">
      <pane xSplit="1" ySplit="1" topLeftCell="E50" activePane="bottomRight" state="frozen"/>
      <selection pane="topRight" activeCell="B1" sqref="B1"/>
      <selection pane="bottomLeft" activeCell="A2" sqref="A2"/>
      <selection pane="bottomRight" activeCell="A67" sqref="A67"/>
    </sheetView>
  </sheetViews>
  <sheetFormatPr defaultRowHeight="14.4" x14ac:dyDescent="0.55000000000000004"/>
  <cols>
    <col min="1" max="1" width="51.41796875" customWidth="1"/>
    <col min="2" max="3" width="13.83984375" bestFit="1" customWidth="1"/>
    <col min="4" max="4" width="13.41796875" bestFit="1" customWidth="1"/>
    <col min="5" max="5" width="9.83984375" style="6" bestFit="1" customWidth="1"/>
    <col min="6" max="7" width="11.83984375" bestFit="1" customWidth="1"/>
    <col min="8" max="8" width="11.41796875" bestFit="1" customWidth="1"/>
    <col min="9" max="9" width="8.41796875" style="6" bestFit="1" customWidth="1"/>
    <col min="10" max="11" width="11.578125" bestFit="1" customWidth="1"/>
    <col min="12" max="12" width="11.15625" bestFit="1" customWidth="1"/>
    <col min="13" max="13" width="8.41796875" style="6" bestFit="1" customWidth="1"/>
    <col min="14" max="15" width="13.83984375" bestFit="1" customWidth="1"/>
    <col min="16" max="16" width="13.41796875" bestFit="1" customWidth="1"/>
    <col min="17" max="17" width="10.83984375" style="6" bestFit="1" customWidth="1"/>
    <col min="18" max="19" width="11.83984375" bestFit="1" customWidth="1"/>
    <col min="20" max="20" width="11.41796875" bestFit="1" customWidth="1"/>
    <col min="21" max="21" width="8.41796875" style="6" bestFit="1" customWidth="1"/>
    <col min="22" max="23" width="11.578125" bestFit="1" customWidth="1"/>
    <col min="24" max="24" width="11.15625" bestFit="1" customWidth="1"/>
    <col min="25" max="25" width="8.41796875" style="6" bestFit="1" customWidth="1"/>
    <col min="27" max="27" width="11.15625" bestFit="1" customWidth="1"/>
    <col min="28" max="29" width="9.15625" bestFit="1" customWidth="1"/>
    <col min="32" max="32" width="9.62890625" bestFit="1" customWidth="1"/>
  </cols>
  <sheetData>
    <row r="1" spans="1:29" x14ac:dyDescent="0.55000000000000004">
      <c r="A1" s="1" t="s">
        <v>0</v>
      </c>
      <c r="B1" s="1" t="s">
        <v>204</v>
      </c>
      <c r="C1" s="1" t="s">
        <v>203</v>
      </c>
      <c r="D1" s="1" t="s">
        <v>202</v>
      </c>
      <c r="E1" s="8" t="s">
        <v>186</v>
      </c>
      <c r="F1" s="1" t="s">
        <v>187</v>
      </c>
      <c r="G1" s="1" t="s">
        <v>188</v>
      </c>
      <c r="H1" s="1" t="s">
        <v>189</v>
      </c>
      <c r="I1" s="8" t="s">
        <v>186</v>
      </c>
      <c r="J1" s="1" t="s">
        <v>190</v>
      </c>
      <c r="K1" s="1" t="s">
        <v>191</v>
      </c>
      <c r="L1" s="1" t="s">
        <v>192</v>
      </c>
      <c r="M1" s="8" t="s">
        <v>186</v>
      </c>
      <c r="N1" s="1" t="s">
        <v>193</v>
      </c>
      <c r="O1" s="1" t="s">
        <v>194</v>
      </c>
      <c r="P1" s="1" t="s">
        <v>195</v>
      </c>
      <c r="Q1" s="8" t="s">
        <v>186</v>
      </c>
      <c r="R1" s="1" t="s">
        <v>196</v>
      </c>
      <c r="S1" s="1" t="s">
        <v>197</v>
      </c>
      <c r="T1" s="1" t="s">
        <v>198</v>
      </c>
      <c r="U1" s="8" t="s">
        <v>186</v>
      </c>
      <c r="V1" s="1" t="s">
        <v>199</v>
      </c>
      <c r="W1" s="1" t="s">
        <v>200</v>
      </c>
      <c r="X1" s="1" t="s">
        <v>201</v>
      </c>
      <c r="Y1" s="8" t="s">
        <v>186</v>
      </c>
      <c r="Z1" s="9"/>
      <c r="AA1" s="7" t="s">
        <v>205</v>
      </c>
      <c r="AB1" s="7" t="s">
        <v>206</v>
      </c>
      <c r="AC1" s="7" t="s">
        <v>207</v>
      </c>
    </row>
    <row r="2" spans="1:29" x14ac:dyDescent="0.55000000000000004">
      <c r="A2" t="s">
        <v>106</v>
      </c>
      <c r="B2" s="3">
        <v>15817</v>
      </c>
      <c r="C2" s="3">
        <v>16469</v>
      </c>
      <c r="D2" s="3">
        <v>32286</v>
      </c>
      <c r="E2" s="5">
        <f>B2+C2-D2</f>
        <v>0</v>
      </c>
      <c r="F2" s="3">
        <v>694</v>
      </c>
      <c r="G2" s="3">
        <v>676</v>
      </c>
      <c r="H2" s="3">
        <v>1370</v>
      </c>
      <c r="I2" s="5">
        <f>F2+G2-H2</f>
        <v>0</v>
      </c>
      <c r="J2" s="3">
        <v>593</v>
      </c>
      <c r="K2" s="3">
        <v>484</v>
      </c>
      <c r="L2" s="3">
        <v>1077</v>
      </c>
      <c r="M2" s="5">
        <f>J2+K2-L2</f>
        <v>0</v>
      </c>
      <c r="N2" s="3">
        <v>159310</v>
      </c>
      <c r="O2" s="3">
        <v>178155</v>
      </c>
      <c r="P2" s="3">
        <v>337465</v>
      </c>
      <c r="Q2" s="5">
        <f>N2+O2-P2</f>
        <v>0</v>
      </c>
      <c r="R2" s="3">
        <v>7872</v>
      </c>
      <c r="S2" s="3">
        <v>7513</v>
      </c>
      <c r="T2" s="3">
        <v>15385</v>
      </c>
      <c r="U2" s="5">
        <f>R2+S2-T2</f>
        <v>0</v>
      </c>
      <c r="V2" s="3">
        <v>5044</v>
      </c>
      <c r="W2" s="3">
        <v>4526</v>
      </c>
      <c r="X2" s="3">
        <v>9570</v>
      </c>
      <c r="Y2" s="5">
        <f>V2+W2-X2</f>
        <v>0</v>
      </c>
      <c r="Z2" s="3"/>
      <c r="AA2" s="3">
        <f>D2+P2</f>
        <v>369751</v>
      </c>
      <c r="AB2" s="3">
        <f>H2+T2</f>
        <v>16755</v>
      </c>
      <c r="AC2" s="3">
        <f>L2+X2</f>
        <v>10647</v>
      </c>
    </row>
    <row r="3" spans="1:29" x14ac:dyDescent="0.55000000000000004">
      <c r="A3" t="s">
        <v>107</v>
      </c>
      <c r="B3" s="3">
        <v>84802</v>
      </c>
      <c r="C3" s="3">
        <v>80387</v>
      </c>
      <c r="D3" s="3">
        <v>165189</v>
      </c>
      <c r="E3" s="5">
        <f t="shared" ref="E3:E66" si="0">B3+C3-D3</f>
        <v>0</v>
      </c>
      <c r="F3" s="3">
        <v>3654</v>
      </c>
      <c r="G3" s="3">
        <v>3539</v>
      </c>
      <c r="H3" s="3">
        <v>7193</v>
      </c>
      <c r="I3" s="5">
        <f t="shared" ref="I3:I66" si="1">F3+G3-H3</f>
        <v>0</v>
      </c>
      <c r="J3" s="3">
        <v>3736</v>
      </c>
      <c r="K3" s="3">
        <v>2980</v>
      </c>
      <c r="L3" s="3">
        <v>6716</v>
      </c>
      <c r="M3" s="5">
        <f t="shared" ref="M3:M66" si="2">J3+K3-L3</f>
        <v>0</v>
      </c>
      <c r="N3" s="3">
        <v>462309</v>
      </c>
      <c r="O3" s="3">
        <v>435439</v>
      </c>
      <c r="P3" s="3">
        <v>897748</v>
      </c>
      <c r="Q3" s="5">
        <f t="shared" ref="Q3:Q66" si="3">N3+O3-P3</f>
        <v>0</v>
      </c>
      <c r="R3" s="3">
        <v>15904</v>
      </c>
      <c r="S3" s="3">
        <v>15132</v>
      </c>
      <c r="T3" s="3">
        <v>31036</v>
      </c>
      <c r="U3" s="5">
        <f t="shared" ref="U3:U66" si="4">R3+S3-T3</f>
        <v>0</v>
      </c>
      <c r="V3" s="3">
        <v>11456</v>
      </c>
      <c r="W3" s="3">
        <v>10467</v>
      </c>
      <c r="X3" s="3">
        <v>21923</v>
      </c>
      <c r="Y3" s="5">
        <f t="shared" ref="Y3:Y66" si="5">V3+W3-X3</f>
        <v>0</v>
      </c>
      <c r="Z3" s="3"/>
      <c r="AA3" s="3">
        <f t="shared" ref="AA3:AA66" si="6">D3+P3</f>
        <v>1062937</v>
      </c>
      <c r="AB3" s="3">
        <f t="shared" ref="AB3:AB66" si="7">H3+T3</f>
        <v>38229</v>
      </c>
      <c r="AC3" s="3">
        <f t="shared" ref="AC3:AC66" si="8">L3+X3</f>
        <v>28639</v>
      </c>
    </row>
    <row r="4" spans="1:29" x14ac:dyDescent="0.55000000000000004">
      <c r="A4" t="s">
        <v>5</v>
      </c>
      <c r="B4" s="3">
        <v>105516</v>
      </c>
      <c r="C4" s="3">
        <v>98990</v>
      </c>
      <c r="D4" s="3">
        <v>204506</v>
      </c>
      <c r="E4" s="5">
        <f t="shared" si="0"/>
        <v>0</v>
      </c>
      <c r="F4" s="3">
        <v>4064</v>
      </c>
      <c r="G4" s="3">
        <v>3303</v>
      </c>
      <c r="H4" s="3">
        <v>7367</v>
      </c>
      <c r="I4" s="5">
        <f t="shared" si="1"/>
        <v>0</v>
      </c>
      <c r="J4" s="3">
        <v>2600</v>
      </c>
      <c r="K4" s="3">
        <v>2298</v>
      </c>
      <c r="L4" s="3">
        <v>4898</v>
      </c>
      <c r="M4" s="5">
        <f t="shared" si="2"/>
        <v>0</v>
      </c>
      <c r="N4" s="3">
        <v>782275</v>
      </c>
      <c r="O4" s="3">
        <v>779946</v>
      </c>
      <c r="P4" s="3">
        <v>1562221</v>
      </c>
      <c r="Q4" s="5">
        <f t="shared" si="3"/>
        <v>0</v>
      </c>
      <c r="R4" s="3">
        <v>30328</v>
      </c>
      <c r="S4" s="3">
        <v>28265</v>
      </c>
      <c r="T4" s="3">
        <v>58593</v>
      </c>
      <c r="U4" s="5">
        <f t="shared" si="4"/>
        <v>0</v>
      </c>
      <c r="V4" s="3">
        <v>16857</v>
      </c>
      <c r="W4" s="3">
        <v>15938</v>
      </c>
      <c r="X4" s="3">
        <v>32795</v>
      </c>
      <c r="Y4" s="5">
        <f t="shared" si="5"/>
        <v>0</v>
      </c>
      <c r="Z4" s="3"/>
      <c r="AA4" s="3">
        <f t="shared" si="6"/>
        <v>1766727</v>
      </c>
      <c r="AB4" s="3">
        <f t="shared" si="7"/>
        <v>65960</v>
      </c>
      <c r="AC4" s="3">
        <f t="shared" si="8"/>
        <v>37693</v>
      </c>
    </row>
    <row r="5" spans="1:29" x14ac:dyDescent="0.55000000000000004">
      <c r="A5" t="s">
        <v>108</v>
      </c>
      <c r="B5" s="3">
        <v>118656</v>
      </c>
      <c r="C5" s="10">
        <v>113357</v>
      </c>
      <c r="D5" s="3">
        <v>232013</v>
      </c>
      <c r="E5" s="5">
        <f t="shared" si="0"/>
        <v>0</v>
      </c>
      <c r="F5" s="3">
        <v>4574</v>
      </c>
      <c r="G5" s="3">
        <v>3775</v>
      </c>
      <c r="H5" s="3">
        <v>8349</v>
      </c>
      <c r="I5" s="5">
        <f t="shared" si="1"/>
        <v>0</v>
      </c>
      <c r="J5" s="3">
        <v>2493</v>
      </c>
      <c r="K5" s="3">
        <v>2180</v>
      </c>
      <c r="L5" s="3">
        <v>4673</v>
      </c>
      <c r="M5" s="5">
        <f t="shared" si="2"/>
        <v>0</v>
      </c>
      <c r="N5" s="3">
        <v>702705</v>
      </c>
      <c r="O5" s="3">
        <v>718818</v>
      </c>
      <c r="P5" s="3">
        <v>1421523</v>
      </c>
      <c r="Q5" s="5">
        <f t="shared" si="3"/>
        <v>0</v>
      </c>
      <c r="R5" s="3">
        <v>30495</v>
      </c>
      <c r="S5" s="3">
        <v>28973</v>
      </c>
      <c r="T5" s="3">
        <v>59468</v>
      </c>
      <c r="U5" s="5">
        <f t="shared" si="4"/>
        <v>0</v>
      </c>
      <c r="V5" s="3">
        <v>17235</v>
      </c>
      <c r="W5" s="3">
        <v>15919</v>
      </c>
      <c r="X5" s="3">
        <v>33154</v>
      </c>
      <c r="Y5" s="5">
        <f t="shared" si="5"/>
        <v>0</v>
      </c>
      <c r="Z5" s="3"/>
      <c r="AA5" s="3">
        <f t="shared" si="6"/>
        <v>1653536</v>
      </c>
      <c r="AB5" s="3">
        <f t="shared" si="7"/>
        <v>67817</v>
      </c>
      <c r="AC5" s="3">
        <f t="shared" si="8"/>
        <v>37827</v>
      </c>
    </row>
    <row r="6" spans="1:29" x14ac:dyDescent="0.55000000000000004">
      <c r="A6" t="s">
        <v>7</v>
      </c>
      <c r="B6" s="3">
        <v>143403</v>
      </c>
      <c r="C6" s="3">
        <v>135286</v>
      </c>
      <c r="D6" s="3">
        <v>278689</v>
      </c>
      <c r="E6" s="5">
        <f t="shared" si="0"/>
        <v>0</v>
      </c>
      <c r="F6" s="3">
        <v>4475</v>
      </c>
      <c r="G6" s="3">
        <v>3775</v>
      </c>
      <c r="H6" s="3">
        <v>8250</v>
      </c>
      <c r="I6" s="5">
        <f t="shared" si="1"/>
        <v>0</v>
      </c>
      <c r="J6" s="3">
        <v>2690</v>
      </c>
      <c r="K6" s="3">
        <v>2397</v>
      </c>
      <c r="L6" s="3">
        <v>5087</v>
      </c>
      <c r="M6" s="5">
        <f t="shared" si="2"/>
        <v>0</v>
      </c>
      <c r="N6" s="3">
        <v>1418840</v>
      </c>
      <c r="O6" s="3">
        <v>1401060</v>
      </c>
      <c r="P6" s="3">
        <v>2819900</v>
      </c>
      <c r="Q6" s="5">
        <f t="shared" si="3"/>
        <v>0</v>
      </c>
      <c r="R6" s="3">
        <v>74173</v>
      </c>
      <c r="S6" s="3">
        <v>69017</v>
      </c>
      <c r="T6" s="3">
        <v>143190</v>
      </c>
      <c r="U6" s="5">
        <f t="shared" si="4"/>
        <v>0</v>
      </c>
      <c r="V6" s="3">
        <v>40106</v>
      </c>
      <c r="W6" s="3">
        <v>37316</v>
      </c>
      <c r="X6" s="3">
        <v>77422</v>
      </c>
      <c r="Y6" s="5">
        <f t="shared" si="5"/>
        <v>0</v>
      </c>
      <c r="Z6" s="3"/>
      <c r="AA6" s="3">
        <f t="shared" si="6"/>
        <v>3098589</v>
      </c>
      <c r="AB6" s="3">
        <f t="shared" si="7"/>
        <v>151440</v>
      </c>
      <c r="AC6" s="3">
        <f t="shared" si="8"/>
        <v>82509</v>
      </c>
    </row>
    <row r="7" spans="1:29" x14ac:dyDescent="0.55000000000000004">
      <c r="A7" t="s">
        <v>180</v>
      </c>
      <c r="B7" s="3">
        <v>128113</v>
      </c>
      <c r="C7" s="3">
        <v>131411</v>
      </c>
      <c r="D7" s="3">
        <v>259524</v>
      </c>
      <c r="E7" s="5">
        <f t="shared" si="0"/>
        <v>0</v>
      </c>
      <c r="F7" s="3">
        <v>4314</v>
      </c>
      <c r="G7" s="3">
        <v>3156</v>
      </c>
      <c r="H7" s="3">
        <v>7470</v>
      </c>
      <c r="I7" s="5">
        <f t="shared" si="1"/>
        <v>0</v>
      </c>
      <c r="J7" s="3">
        <v>2114</v>
      </c>
      <c r="K7" s="3">
        <v>1997</v>
      </c>
      <c r="L7" s="3">
        <v>4111</v>
      </c>
      <c r="M7" s="5">
        <f t="shared" si="2"/>
        <v>0</v>
      </c>
      <c r="N7" s="3">
        <v>696202</v>
      </c>
      <c r="O7" s="3">
        <v>697057</v>
      </c>
      <c r="P7" s="3">
        <v>1393259</v>
      </c>
      <c r="Q7" s="5">
        <f t="shared" si="3"/>
        <v>0</v>
      </c>
      <c r="R7" s="3">
        <v>32846</v>
      </c>
      <c r="S7" s="3">
        <v>30345</v>
      </c>
      <c r="T7" s="3">
        <v>63191</v>
      </c>
      <c r="U7" s="5">
        <f t="shared" si="4"/>
        <v>0</v>
      </c>
      <c r="V7" s="3">
        <v>18052</v>
      </c>
      <c r="W7" s="3">
        <v>17578</v>
      </c>
      <c r="X7" s="3">
        <v>35630</v>
      </c>
      <c r="Y7" s="5">
        <f t="shared" si="5"/>
        <v>0</v>
      </c>
      <c r="Z7" s="3"/>
      <c r="AA7" s="3">
        <f t="shared" si="6"/>
        <v>1652783</v>
      </c>
      <c r="AB7" s="3">
        <f t="shared" si="7"/>
        <v>70661</v>
      </c>
      <c r="AC7" s="3">
        <f t="shared" si="8"/>
        <v>39741</v>
      </c>
    </row>
    <row r="8" spans="1:29" x14ac:dyDescent="0.55000000000000004">
      <c r="A8" t="s">
        <v>9</v>
      </c>
      <c r="B8" s="3">
        <v>283902</v>
      </c>
      <c r="C8" s="3">
        <v>293412</v>
      </c>
      <c r="D8" s="3">
        <v>577314</v>
      </c>
      <c r="E8" s="5">
        <f t="shared" si="0"/>
        <v>0</v>
      </c>
      <c r="F8" s="3">
        <v>10569</v>
      </c>
      <c r="G8" s="3">
        <v>9872</v>
      </c>
      <c r="H8" s="3">
        <v>20441</v>
      </c>
      <c r="I8" s="5">
        <f t="shared" si="1"/>
        <v>0</v>
      </c>
      <c r="J8" s="3">
        <v>6496</v>
      </c>
      <c r="K8" s="3">
        <v>5517</v>
      </c>
      <c r="L8" s="3">
        <v>12013</v>
      </c>
      <c r="M8" s="5">
        <f t="shared" si="2"/>
        <v>0</v>
      </c>
      <c r="N8" s="3">
        <v>1676250</v>
      </c>
      <c r="O8" s="3">
        <v>1690318</v>
      </c>
      <c r="P8" s="3">
        <v>3366568</v>
      </c>
      <c r="Q8" s="5">
        <f t="shared" si="3"/>
        <v>0</v>
      </c>
      <c r="R8" s="3">
        <v>82158</v>
      </c>
      <c r="S8" s="3">
        <v>76168</v>
      </c>
      <c r="T8" s="3">
        <v>158326</v>
      </c>
      <c r="U8" s="5">
        <f t="shared" si="4"/>
        <v>0</v>
      </c>
      <c r="V8" s="3">
        <v>46467</v>
      </c>
      <c r="W8" s="3">
        <v>42889</v>
      </c>
      <c r="X8" s="3">
        <v>89356</v>
      </c>
      <c r="Y8" s="5">
        <f t="shared" si="5"/>
        <v>0</v>
      </c>
      <c r="Z8" s="3"/>
      <c r="AA8" s="3">
        <f t="shared" si="6"/>
        <v>3943882</v>
      </c>
      <c r="AB8" s="3">
        <f t="shared" si="7"/>
        <v>178767</v>
      </c>
      <c r="AC8" s="3">
        <f t="shared" si="8"/>
        <v>101369</v>
      </c>
    </row>
    <row r="9" spans="1:29" x14ac:dyDescent="0.55000000000000004">
      <c r="A9" t="s">
        <v>109</v>
      </c>
      <c r="B9" s="3">
        <v>74587</v>
      </c>
      <c r="C9" s="3">
        <v>63422</v>
      </c>
      <c r="D9" s="3">
        <v>138009</v>
      </c>
      <c r="E9" s="5">
        <f t="shared" si="0"/>
        <v>0</v>
      </c>
      <c r="F9" s="3">
        <v>2355</v>
      </c>
      <c r="G9" s="3">
        <v>2086</v>
      </c>
      <c r="H9" s="3">
        <v>4441</v>
      </c>
      <c r="I9" s="5">
        <f t="shared" si="1"/>
        <v>0</v>
      </c>
      <c r="J9" s="3">
        <v>1466</v>
      </c>
      <c r="K9" s="3">
        <v>1287</v>
      </c>
      <c r="L9" s="3">
        <v>2753</v>
      </c>
      <c r="M9" s="5">
        <f t="shared" si="2"/>
        <v>0</v>
      </c>
      <c r="N9" s="3">
        <v>721835</v>
      </c>
      <c r="O9" s="3">
        <v>768662</v>
      </c>
      <c r="P9" s="3">
        <v>1490497</v>
      </c>
      <c r="Q9" s="5">
        <f t="shared" si="3"/>
        <v>0</v>
      </c>
      <c r="R9" s="3">
        <v>27304</v>
      </c>
      <c r="S9" s="3">
        <v>25802</v>
      </c>
      <c r="T9" s="3">
        <v>53106</v>
      </c>
      <c r="U9" s="5">
        <f t="shared" si="4"/>
        <v>0</v>
      </c>
      <c r="V9" s="3">
        <v>17256</v>
      </c>
      <c r="W9" s="3">
        <v>16881</v>
      </c>
      <c r="X9" s="3">
        <v>34137</v>
      </c>
      <c r="Y9" s="5">
        <f t="shared" si="5"/>
        <v>0</v>
      </c>
      <c r="Z9" s="3"/>
      <c r="AA9" s="3">
        <f t="shared" si="6"/>
        <v>1628506</v>
      </c>
      <c r="AB9" s="3">
        <f t="shared" si="7"/>
        <v>57547</v>
      </c>
      <c r="AC9" s="3">
        <f t="shared" si="8"/>
        <v>36890</v>
      </c>
    </row>
    <row r="10" spans="1:29" x14ac:dyDescent="0.55000000000000004">
      <c r="A10" t="s">
        <v>11</v>
      </c>
      <c r="B10" s="3">
        <v>122116</v>
      </c>
      <c r="C10" s="10">
        <v>117133</v>
      </c>
      <c r="D10" s="3">
        <v>239249</v>
      </c>
      <c r="E10" s="5">
        <f t="shared" si="0"/>
        <v>0</v>
      </c>
      <c r="F10" s="3">
        <v>4788</v>
      </c>
      <c r="G10" s="3">
        <v>3854</v>
      </c>
      <c r="H10" s="3">
        <v>8642</v>
      </c>
      <c r="I10" s="5">
        <f t="shared" si="1"/>
        <v>0</v>
      </c>
      <c r="J10" s="3">
        <v>2828</v>
      </c>
      <c r="K10" s="3">
        <v>2315</v>
      </c>
      <c r="L10" s="3">
        <v>5143</v>
      </c>
      <c r="M10" s="5">
        <f t="shared" si="2"/>
        <v>0</v>
      </c>
      <c r="N10" s="3">
        <v>1096217</v>
      </c>
      <c r="O10" s="3">
        <v>1101419</v>
      </c>
      <c r="P10" s="3">
        <v>2197636</v>
      </c>
      <c r="Q10" s="5">
        <f t="shared" si="3"/>
        <v>0</v>
      </c>
      <c r="R10" s="3">
        <v>53382</v>
      </c>
      <c r="S10" s="3">
        <v>49573</v>
      </c>
      <c r="T10" s="3">
        <v>102955</v>
      </c>
      <c r="U10" s="5">
        <f t="shared" si="4"/>
        <v>0</v>
      </c>
      <c r="V10" s="3">
        <v>27579</v>
      </c>
      <c r="W10" s="3">
        <v>25639</v>
      </c>
      <c r="X10" s="3">
        <v>53218</v>
      </c>
      <c r="Y10" s="5">
        <f t="shared" si="5"/>
        <v>0</v>
      </c>
      <c r="Z10" s="3"/>
      <c r="AA10" s="3">
        <f t="shared" si="6"/>
        <v>2436885</v>
      </c>
      <c r="AB10" s="3">
        <f t="shared" si="7"/>
        <v>111597</v>
      </c>
      <c r="AC10" s="3">
        <f t="shared" si="8"/>
        <v>58361</v>
      </c>
    </row>
    <row r="11" spans="1:29" x14ac:dyDescent="0.55000000000000004">
      <c r="A11" t="s">
        <v>12</v>
      </c>
      <c r="B11" s="3">
        <v>85558</v>
      </c>
      <c r="C11" s="3">
        <v>82555</v>
      </c>
      <c r="D11" s="3">
        <v>168113</v>
      </c>
      <c r="E11" s="5">
        <f t="shared" si="0"/>
        <v>0</v>
      </c>
      <c r="F11" s="3">
        <v>3120</v>
      </c>
      <c r="G11" s="3">
        <v>2620</v>
      </c>
      <c r="H11" s="3">
        <v>5740</v>
      </c>
      <c r="I11" s="5">
        <f t="shared" si="1"/>
        <v>0</v>
      </c>
      <c r="J11" s="3">
        <v>1679</v>
      </c>
      <c r="K11" s="3">
        <v>1423</v>
      </c>
      <c r="L11" s="3">
        <v>3102</v>
      </c>
      <c r="M11" s="5">
        <f t="shared" si="2"/>
        <v>0</v>
      </c>
      <c r="N11" s="3">
        <v>874360</v>
      </c>
      <c r="O11" s="3">
        <v>875596</v>
      </c>
      <c r="P11" s="3">
        <v>1749956</v>
      </c>
      <c r="Q11" s="5">
        <f t="shared" si="3"/>
        <v>0</v>
      </c>
      <c r="R11" s="3">
        <v>43569</v>
      </c>
      <c r="S11" s="3">
        <v>41798</v>
      </c>
      <c r="T11" s="3">
        <v>85367</v>
      </c>
      <c r="U11" s="5">
        <f t="shared" si="4"/>
        <v>0</v>
      </c>
      <c r="V11" s="3">
        <v>22416</v>
      </c>
      <c r="W11" s="3">
        <v>20665</v>
      </c>
      <c r="X11" s="3">
        <v>43081</v>
      </c>
      <c r="Y11" s="5">
        <f t="shared" si="5"/>
        <v>0</v>
      </c>
      <c r="Z11" s="3"/>
      <c r="AA11" s="3">
        <f t="shared" si="6"/>
        <v>1918069</v>
      </c>
      <c r="AB11" s="3">
        <f t="shared" si="7"/>
        <v>91107</v>
      </c>
      <c r="AC11" s="3">
        <f t="shared" si="8"/>
        <v>46183</v>
      </c>
    </row>
    <row r="12" spans="1:29" x14ac:dyDescent="0.55000000000000004">
      <c r="A12" t="s">
        <v>110</v>
      </c>
      <c r="B12" s="3">
        <v>76848</v>
      </c>
      <c r="C12" s="10">
        <v>71550</v>
      </c>
      <c r="D12" s="3">
        <v>148398</v>
      </c>
      <c r="E12" s="5">
        <f t="shared" si="0"/>
        <v>0</v>
      </c>
      <c r="F12" s="3" t="s">
        <v>97</v>
      </c>
      <c r="G12" s="3" t="s">
        <v>97</v>
      </c>
      <c r="H12" s="3">
        <v>9055</v>
      </c>
      <c r="I12" s="5" t="e">
        <f t="shared" si="1"/>
        <v>#VALUE!</v>
      </c>
      <c r="J12" s="3" t="s">
        <v>97</v>
      </c>
      <c r="K12" s="3" t="s">
        <v>97</v>
      </c>
      <c r="L12" s="3">
        <v>7449</v>
      </c>
      <c r="M12" s="5" t="e">
        <f t="shared" si="2"/>
        <v>#VALUE!</v>
      </c>
      <c r="N12" s="3">
        <v>787326</v>
      </c>
      <c r="O12" s="3">
        <v>782043</v>
      </c>
      <c r="P12" s="3">
        <v>1569369</v>
      </c>
      <c r="Q12" s="5">
        <f t="shared" si="3"/>
        <v>0</v>
      </c>
      <c r="R12" s="3">
        <v>55098</v>
      </c>
      <c r="S12" s="3">
        <v>54019</v>
      </c>
      <c r="T12" s="10">
        <v>109117</v>
      </c>
      <c r="U12" s="5">
        <f t="shared" si="4"/>
        <v>0</v>
      </c>
      <c r="V12" s="3">
        <v>37432</v>
      </c>
      <c r="W12" s="3">
        <v>35430</v>
      </c>
      <c r="X12" s="10">
        <v>72862</v>
      </c>
      <c r="Y12" s="5">
        <f t="shared" si="5"/>
        <v>0</v>
      </c>
      <c r="Z12" s="3"/>
      <c r="AA12" s="3">
        <f t="shared" si="6"/>
        <v>1717767</v>
      </c>
      <c r="AB12" s="3">
        <f t="shared" si="7"/>
        <v>118172</v>
      </c>
      <c r="AC12" s="3">
        <f t="shared" si="8"/>
        <v>80311</v>
      </c>
    </row>
    <row r="13" spans="1:29" x14ac:dyDescent="0.55000000000000004">
      <c r="A13" t="s">
        <v>14</v>
      </c>
      <c r="B13" s="3">
        <v>105165</v>
      </c>
      <c r="C13" s="3">
        <v>106235</v>
      </c>
      <c r="D13" s="3">
        <v>211400</v>
      </c>
      <c r="E13" s="5">
        <f t="shared" si="0"/>
        <v>0</v>
      </c>
      <c r="F13" s="3">
        <v>4376</v>
      </c>
      <c r="G13" s="10">
        <v>3971</v>
      </c>
      <c r="H13" s="3">
        <v>8347</v>
      </c>
      <c r="I13" s="5">
        <f t="shared" si="1"/>
        <v>0</v>
      </c>
      <c r="J13" s="3">
        <v>2616</v>
      </c>
      <c r="K13" s="3">
        <v>2313</v>
      </c>
      <c r="L13" s="3">
        <v>4929</v>
      </c>
      <c r="M13" s="5">
        <f t="shared" si="2"/>
        <v>0</v>
      </c>
      <c r="N13" s="3">
        <v>1433985</v>
      </c>
      <c r="O13" s="3">
        <v>1441521</v>
      </c>
      <c r="P13" s="3">
        <v>2875506</v>
      </c>
      <c r="Q13" s="5">
        <f t="shared" si="3"/>
        <v>0</v>
      </c>
      <c r="R13" s="3">
        <v>69081</v>
      </c>
      <c r="S13" s="3">
        <v>66018</v>
      </c>
      <c r="T13" s="3">
        <v>135099</v>
      </c>
      <c r="U13" s="5">
        <f t="shared" si="4"/>
        <v>0</v>
      </c>
      <c r="V13" s="3">
        <v>38494</v>
      </c>
      <c r="W13" s="3">
        <v>36864</v>
      </c>
      <c r="X13" s="3">
        <v>75358</v>
      </c>
      <c r="Y13" s="5">
        <f t="shared" si="5"/>
        <v>0</v>
      </c>
      <c r="Z13" s="3"/>
      <c r="AA13" s="3">
        <f t="shared" si="6"/>
        <v>3086906</v>
      </c>
      <c r="AB13" s="3">
        <f t="shared" si="7"/>
        <v>143446</v>
      </c>
      <c r="AC13" s="3">
        <f t="shared" si="8"/>
        <v>80287</v>
      </c>
    </row>
    <row r="14" spans="1:29" x14ac:dyDescent="0.55000000000000004">
      <c r="A14" t="s">
        <v>111</v>
      </c>
      <c r="B14" s="3">
        <v>1344483</v>
      </c>
      <c r="C14" s="3">
        <v>1310207</v>
      </c>
      <c r="D14" s="3">
        <v>2654690</v>
      </c>
      <c r="E14" s="5">
        <f t="shared" si="0"/>
        <v>0</v>
      </c>
      <c r="F14" s="3">
        <v>46983</v>
      </c>
      <c r="G14" s="10">
        <v>40627</v>
      </c>
      <c r="H14" s="3">
        <v>96665</v>
      </c>
      <c r="I14" s="5">
        <f t="shared" si="1"/>
        <v>-9055</v>
      </c>
      <c r="J14" s="3">
        <v>25191</v>
      </c>
      <c r="K14" s="3">
        <v>29311</v>
      </c>
      <c r="L14" s="3">
        <v>61951</v>
      </c>
      <c r="M14" s="5">
        <f t="shared" si="2"/>
        <v>-7449</v>
      </c>
      <c r="N14" s="3">
        <v>10811614</v>
      </c>
      <c r="O14" s="3">
        <v>10870034</v>
      </c>
      <c r="P14" s="3">
        <v>21681648</v>
      </c>
      <c r="Q14" s="5">
        <f t="shared" si="3"/>
        <v>0</v>
      </c>
      <c r="R14" s="3">
        <v>522210</v>
      </c>
      <c r="S14" s="3">
        <v>492623</v>
      </c>
      <c r="T14" s="10">
        <v>1014833</v>
      </c>
      <c r="U14" s="5">
        <f t="shared" si="4"/>
        <v>0</v>
      </c>
      <c r="V14" s="3">
        <v>298394</v>
      </c>
      <c r="W14" s="3">
        <v>280112</v>
      </c>
      <c r="X14" s="10">
        <v>578506</v>
      </c>
      <c r="Y14" s="5">
        <f t="shared" si="5"/>
        <v>0</v>
      </c>
      <c r="Z14" s="3"/>
      <c r="AA14" s="3">
        <f t="shared" si="6"/>
        <v>24336338</v>
      </c>
      <c r="AB14" s="3">
        <f t="shared" si="7"/>
        <v>1111498</v>
      </c>
      <c r="AC14" s="3">
        <f t="shared" si="8"/>
        <v>640457</v>
      </c>
    </row>
    <row r="15" spans="1:29" x14ac:dyDescent="0.55000000000000004">
      <c r="A15" t="s">
        <v>112</v>
      </c>
      <c r="B15" s="3">
        <v>370981</v>
      </c>
      <c r="C15" s="3">
        <v>385445</v>
      </c>
      <c r="D15" s="3">
        <v>756426</v>
      </c>
      <c r="E15" s="5">
        <f t="shared" si="0"/>
        <v>0</v>
      </c>
      <c r="F15" s="3">
        <v>13866</v>
      </c>
      <c r="G15" s="3">
        <v>12007</v>
      </c>
      <c r="H15" s="3">
        <v>25873</v>
      </c>
      <c r="I15" s="5">
        <f t="shared" si="1"/>
        <v>0</v>
      </c>
      <c r="J15" s="3">
        <v>7522</v>
      </c>
      <c r="K15" s="3">
        <v>6668</v>
      </c>
      <c r="L15" s="3">
        <v>14190</v>
      </c>
      <c r="M15" s="5">
        <f t="shared" si="2"/>
        <v>0</v>
      </c>
      <c r="N15" s="3">
        <v>0</v>
      </c>
      <c r="O15" s="3">
        <v>0</v>
      </c>
      <c r="P15" s="3">
        <v>0</v>
      </c>
      <c r="Q15" s="5">
        <f t="shared" si="3"/>
        <v>0</v>
      </c>
      <c r="R15" s="3">
        <v>0</v>
      </c>
      <c r="S15" s="3">
        <v>0</v>
      </c>
      <c r="T15" s="3">
        <v>0</v>
      </c>
      <c r="U15" s="5">
        <f t="shared" si="4"/>
        <v>0</v>
      </c>
      <c r="V15" s="3">
        <v>0</v>
      </c>
      <c r="W15" s="3">
        <v>0</v>
      </c>
      <c r="X15" s="3">
        <v>0</v>
      </c>
      <c r="Y15" s="5">
        <f t="shared" si="5"/>
        <v>0</v>
      </c>
      <c r="Z15" s="3"/>
      <c r="AA15" s="3">
        <f t="shared" si="6"/>
        <v>756426</v>
      </c>
      <c r="AB15" s="3">
        <f t="shared" si="7"/>
        <v>25873</v>
      </c>
      <c r="AC15" s="3">
        <f t="shared" si="8"/>
        <v>14190</v>
      </c>
    </row>
    <row r="16" spans="1:29" x14ac:dyDescent="0.55000000000000004">
      <c r="A16" t="s">
        <v>16</v>
      </c>
      <c r="B16" s="3">
        <v>62774</v>
      </c>
      <c r="C16" s="3">
        <v>65960</v>
      </c>
      <c r="D16" s="3">
        <v>128734</v>
      </c>
      <c r="E16" s="5">
        <f t="shared" si="0"/>
        <v>0</v>
      </c>
      <c r="F16" s="3">
        <v>2730</v>
      </c>
      <c r="G16" s="3">
        <v>2529</v>
      </c>
      <c r="H16" s="3">
        <v>5259</v>
      </c>
      <c r="I16" s="5">
        <f t="shared" si="1"/>
        <v>0</v>
      </c>
      <c r="J16" s="3">
        <v>1583</v>
      </c>
      <c r="K16" s="3">
        <v>1559</v>
      </c>
      <c r="L16" s="3">
        <v>3142</v>
      </c>
      <c r="M16" s="5">
        <f t="shared" si="2"/>
        <v>0</v>
      </c>
      <c r="N16" s="3">
        <v>716262</v>
      </c>
      <c r="O16" s="3">
        <v>738826</v>
      </c>
      <c r="P16" s="3">
        <v>1455088</v>
      </c>
      <c r="Q16" s="5">
        <f t="shared" si="3"/>
        <v>0</v>
      </c>
      <c r="R16" s="10">
        <v>30674</v>
      </c>
      <c r="S16" s="3">
        <v>30586</v>
      </c>
      <c r="T16" s="3">
        <v>61260</v>
      </c>
      <c r="U16" s="5">
        <f t="shared" si="4"/>
        <v>0</v>
      </c>
      <c r="V16" s="3">
        <v>19212</v>
      </c>
      <c r="W16" s="3">
        <v>17557</v>
      </c>
      <c r="X16" s="3">
        <v>36769</v>
      </c>
      <c r="Y16" s="5">
        <f t="shared" si="5"/>
        <v>0</v>
      </c>
      <c r="Z16" s="3"/>
      <c r="AA16" s="3">
        <f t="shared" si="6"/>
        <v>1583822</v>
      </c>
      <c r="AB16" s="3">
        <f t="shared" si="7"/>
        <v>66519</v>
      </c>
      <c r="AC16" s="3">
        <f t="shared" si="8"/>
        <v>39911</v>
      </c>
    </row>
    <row r="17" spans="1:29" x14ac:dyDescent="0.55000000000000004">
      <c r="A17" t="s">
        <v>17</v>
      </c>
      <c r="B17" s="3">
        <v>36397</v>
      </c>
      <c r="C17" s="3">
        <v>38297</v>
      </c>
      <c r="D17" s="3">
        <v>74694</v>
      </c>
      <c r="E17" s="5">
        <f t="shared" si="0"/>
        <v>0</v>
      </c>
      <c r="F17" s="3">
        <v>1273</v>
      </c>
      <c r="G17" s="3">
        <v>1059</v>
      </c>
      <c r="H17" s="3">
        <v>2332</v>
      </c>
      <c r="I17" s="5">
        <f t="shared" si="1"/>
        <v>0</v>
      </c>
      <c r="J17" s="3">
        <v>575</v>
      </c>
      <c r="K17" s="3">
        <v>433</v>
      </c>
      <c r="L17" s="3">
        <v>1008</v>
      </c>
      <c r="M17" s="5">
        <f t="shared" si="2"/>
        <v>0</v>
      </c>
      <c r="N17" s="3">
        <v>473349</v>
      </c>
      <c r="O17" s="3">
        <v>490196</v>
      </c>
      <c r="P17" s="3">
        <v>963545</v>
      </c>
      <c r="Q17" s="5">
        <f t="shared" si="3"/>
        <v>0</v>
      </c>
      <c r="R17" s="3">
        <v>18968</v>
      </c>
      <c r="S17" s="3">
        <v>19511</v>
      </c>
      <c r="T17" s="3">
        <v>38479</v>
      </c>
      <c r="U17" s="5">
        <f t="shared" si="4"/>
        <v>0</v>
      </c>
      <c r="V17" s="3">
        <v>10329</v>
      </c>
      <c r="W17" s="3">
        <v>10211</v>
      </c>
      <c r="X17" s="3">
        <v>20540</v>
      </c>
      <c r="Y17" s="5">
        <f t="shared" si="5"/>
        <v>0</v>
      </c>
      <c r="Z17" s="3"/>
      <c r="AA17" s="3">
        <f t="shared" si="6"/>
        <v>1038239</v>
      </c>
      <c r="AB17" s="3">
        <f t="shared" si="7"/>
        <v>40811</v>
      </c>
      <c r="AC17" s="3">
        <f t="shared" si="8"/>
        <v>21548</v>
      </c>
    </row>
    <row r="18" spans="1:29" x14ac:dyDescent="0.55000000000000004">
      <c r="A18" t="s">
        <v>18</v>
      </c>
      <c r="B18" s="3">
        <v>19970</v>
      </c>
      <c r="C18" s="3">
        <v>21089</v>
      </c>
      <c r="D18" s="3">
        <v>41059</v>
      </c>
      <c r="E18" s="5">
        <f t="shared" si="0"/>
        <v>0</v>
      </c>
      <c r="F18" s="3">
        <v>1006</v>
      </c>
      <c r="G18" s="3">
        <v>1088</v>
      </c>
      <c r="H18" s="3">
        <v>2094</v>
      </c>
      <c r="I18" s="5">
        <f t="shared" si="1"/>
        <v>0</v>
      </c>
      <c r="J18" s="3">
        <v>481</v>
      </c>
      <c r="K18" s="3">
        <v>436</v>
      </c>
      <c r="L18" s="3">
        <v>917</v>
      </c>
      <c r="M18" s="5">
        <f t="shared" si="2"/>
        <v>0</v>
      </c>
      <c r="N18" s="3">
        <v>465930</v>
      </c>
      <c r="O18" s="3">
        <v>465037</v>
      </c>
      <c r="P18" s="3">
        <v>930967</v>
      </c>
      <c r="Q18" s="5">
        <f t="shared" si="3"/>
        <v>0</v>
      </c>
      <c r="R18" s="3">
        <v>17530</v>
      </c>
      <c r="S18" s="3">
        <v>16485</v>
      </c>
      <c r="T18" s="3">
        <v>34015</v>
      </c>
      <c r="U18" s="5">
        <f t="shared" si="4"/>
        <v>0</v>
      </c>
      <c r="V18" s="3">
        <v>8399</v>
      </c>
      <c r="W18" s="3">
        <v>8397</v>
      </c>
      <c r="X18" s="3">
        <v>16796</v>
      </c>
      <c r="Y18" s="5">
        <f t="shared" si="5"/>
        <v>0</v>
      </c>
      <c r="Z18" s="3"/>
      <c r="AA18" s="3">
        <f t="shared" si="6"/>
        <v>972026</v>
      </c>
      <c r="AB18" s="3">
        <f t="shared" si="7"/>
        <v>36109</v>
      </c>
      <c r="AC18" s="3">
        <f t="shared" si="8"/>
        <v>17713</v>
      </c>
    </row>
    <row r="19" spans="1:29" x14ac:dyDescent="0.55000000000000004">
      <c r="A19" t="s">
        <v>19</v>
      </c>
      <c r="B19" s="3">
        <v>36430</v>
      </c>
      <c r="C19" s="3">
        <v>37198</v>
      </c>
      <c r="D19" s="3">
        <v>73628</v>
      </c>
      <c r="E19" s="5">
        <f t="shared" si="0"/>
        <v>0</v>
      </c>
      <c r="F19" s="3">
        <v>1125</v>
      </c>
      <c r="G19" s="3">
        <v>788</v>
      </c>
      <c r="H19" s="3">
        <v>1913</v>
      </c>
      <c r="I19" s="5">
        <f t="shared" si="1"/>
        <v>0</v>
      </c>
      <c r="J19" s="3">
        <v>802</v>
      </c>
      <c r="K19" s="3">
        <v>622</v>
      </c>
      <c r="L19" s="3">
        <v>1424</v>
      </c>
      <c r="M19" s="5">
        <f t="shared" si="2"/>
        <v>0</v>
      </c>
      <c r="N19" s="3">
        <v>301295</v>
      </c>
      <c r="O19" s="3">
        <v>295128</v>
      </c>
      <c r="P19" s="3">
        <v>596423</v>
      </c>
      <c r="Q19" s="5">
        <f t="shared" si="3"/>
        <v>0</v>
      </c>
      <c r="R19" s="3">
        <v>10543</v>
      </c>
      <c r="S19" s="3">
        <v>9784</v>
      </c>
      <c r="T19" s="3">
        <v>20423</v>
      </c>
      <c r="U19" s="5">
        <f t="shared" si="4"/>
        <v>-96</v>
      </c>
      <c r="V19" s="3">
        <v>6025</v>
      </c>
      <c r="W19" s="3">
        <v>5622</v>
      </c>
      <c r="X19" s="3">
        <v>11647</v>
      </c>
      <c r="Y19" s="5">
        <f t="shared" si="5"/>
        <v>0</v>
      </c>
      <c r="Z19" s="3"/>
      <c r="AA19" s="3">
        <f t="shared" si="6"/>
        <v>670051</v>
      </c>
      <c r="AB19" s="3">
        <f t="shared" si="7"/>
        <v>22336</v>
      </c>
      <c r="AC19" s="3">
        <f t="shared" si="8"/>
        <v>13071</v>
      </c>
    </row>
    <row r="20" spans="1:29" x14ac:dyDescent="0.55000000000000004">
      <c r="A20" t="s">
        <v>113</v>
      </c>
      <c r="B20" s="3">
        <v>67145</v>
      </c>
      <c r="C20" s="3">
        <v>70479</v>
      </c>
      <c r="D20" s="3">
        <v>137624</v>
      </c>
      <c r="E20" s="5">
        <f t="shared" si="0"/>
        <v>0</v>
      </c>
      <c r="F20" s="3">
        <v>2380</v>
      </c>
      <c r="G20" s="3">
        <v>1989</v>
      </c>
      <c r="H20" s="3">
        <v>4369</v>
      </c>
      <c r="I20" s="5">
        <f t="shared" si="1"/>
        <v>0</v>
      </c>
      <c r="J20" s="3">
        <v>1548</v>
      </c>
      <c r="K20" s="3">
        <v>1523</v>
      </c>
      <c r="L20" s="3">
        <v>3071</v>
      </c>
      <c r="M20" s="5">
        <f t="shared" si="2"/>
        <v>0</v>
      </c>
      <c r="N20" s="3">
        <v>606969</v>
      </c>
      <c r="O20" s="3">
        <v>608950</v>
      </c>
      <c r="P20" s="3">
        <v>1215919</v>
      </c>
      <c r="Q20" s="5">
        <f t="shared" si="3"/>
        <v>0</v>
      </c>
      <c r="R20" s="3">
        <v>26483</v>
      </c>
      <c r="S20" s="3">
        <v>24577</v>
      </c>
      <c r="T20" s="3">
        <v>51060</v>
      </c>
      <c r="U20" s="5">
        <f t="shared" si="4"/>
        <v>0</v>
      </c>
      <c r="V20" s="3">
        <v>12706</v>
      </c>
      <c r="W20" s="3">
        <v>13331</v>
      </c>
      <c r="X20" s="3">
        <v>26037</v>
      </c>
      <c r="Y20" s="5">
        <f t="shared" si="5"/>
        <v>0</v>
      </c>
      <c r="Z20" s="3"/>
      <c r="AA20" s="3">
        <f t="shared" si="6"/>
        <v>1353543</v>
      </c>
      <c r="AB20" s="3">
        <f t="shared" si="7"/>
        <v>55429</v>
      </c>
      <c r="AC20" s="3">
        <f t="shared" si="8"/>
        <v>29108</v>
      </c>
    </row>
    <row r="21" spans="1:29" x14ac:dyDescent="0.55000000000000004">
      <c r="A21" t="s">
        <v>21</v>
      </c>
      <c r="B21" s="3">
        <v>221994</v>
      </c>
      <c r="C21" s="3">
        <v>233380</v>
      </c>
      <c r="D21" s="3">
        <v>455374</v>
      </c>
      <c r="E21" s="5">
        <f t="shared" si="0"/>
        <v>0</v>
      </c>
      <c r="F21" s="3">
        <v>10818</v>
      </c>
      <c r="G21" s="3">
        <v>10542</v>
      </c>
      <c r="H21" s="3">
        <v>21360</v>
      </c>
      <c r="I21" s="5">
        <f t="shared" si="1"/>
        <v>0</v>
      </c>
      <c r="J21" s="3">
        <v>6503</v>
      </c>
      <c r="K21" s="3">
        <v>6220</v>
      </c>
      <c r="L21" s="3">
        <v>12723</v>
      </c>
      <c r="M21" s="5">
        <f t="shared" si="2"/>
        <v>0</v>
      </c>
      <c r="N21" s="3">
        <v>571607</v>
      </c>
      <c r="O21" s="3">
        <v>577838</v>
      </c>
      <c r="P21" s="3">
        <v>1149445</v>
      </c>
      <c r="Q21" s="5">
        <f t="shared" si="3"/>
        <v>0</v>
      </c>
      <c r="R21" s="3">
        <v>26909</v>
      </c>
      <c r="S21" s="3">
        <v>26393</v>
      </c>
      <c r="T21" s="3">
        <v>53302</v>
      </c>
      <c r="U21" s="5">
        <f t="shared" si="4"/>
        <v>0</v>
      </c>
      <c r="V21" s="3">
        <v>14088</v>
      </c>
      <c r="W21" s="3">
        <v>14051</v>
      </c>
      <c r="X21" s="10">
        <v>28139</v>
      </c>
      <c r="Y21" s="5">
        <f t="shared" si="5"/>
        <v>0</v>
      </c>
      <c r="Z21" s="3"/>
      <c r="AA21" s="3">
        <f t="shared" si="6"/>
        <v>1604819</v>
      </c>
      <c r="AB21" s="3">
        <f t="shared" si="7"/>
        <v>74662</v>
      </c>
      <c r="AC21" s="3">
        <f t="shared" si="8"/>
        <v>40862</v>
      </c>
    </row>
    <row r="22" spans="1:29" x14ac:dyDescent="0.55000000000000004">
      <c r="A22" t="s">
        <v>22</v>
      </c>
      <c r="B22" s="3" t="s">
        <v>97</v>
      </c>
      <c r="C22" s="3" t="s">
        <v>97</v>
      </c>
      <c r="D22" s="3">
        <v>83477</v>
      </c>
      <c r="E22" s="5" t="e">
        <f t="shared" si="0"/>
        <v>#VALUE!</v>
      </c>
      <c r="F22" s="3" t="s">
        <v>97</v>
      </c>
      <c r="G22" s="3" t="s">
        <v>97</v>
      </c>
      <c r="H22" s="3">
        <v>2595</v>
      </c>
      <c r="I22" s="5" t="e">
        <f t="shared" si="1"/>
        <v>#VALUE!</v>
      </c>
      <c r="J22" s="3" t="s">
        <v>97</v>
      </c>
      <c r="K22" s="3" t="s">
        <v>97</v>
      </c>
      <c r="L22" s="3">
        <v>1807</v>
      </c>
      <c r="M22" s="5" t="e">
        <f t="shared" si="2"/>
        <v>#VALUE!</v>
      </c>
      <c r="N22" s="3" t="s">
        <v>97</v>
      </c>
      <c r="O22" s="3" t="s">
        <v>97</v>
      </c>
      <c r="P22" s="3">
        <v>642351</v>
      </c>
      <c r="Q22" s="5" t="e">
        <f t="shared" si="3"/>
        <v>#VALUE!</v>
      </c>
      <c r="R22" s="3" t="s">
        <v>97</v>
      </c>
      <c r="S22" s="3" t="s">
        <v>97</v>
      </c>
      <c r="T22" s="3">
        <v>22623</v>
      </c>
      <c r="U22" s="5" t="e">
        <f t="shared" si="4"/>
        <v>#VALUE!</v>
      </c>
      <c r="V22" s="3" t="s">
        <v>97</v>
      </c>
      <c r="W22" s="3" t="s">
        <v>97</v>
      </c>
      <c r="X22" s="3">
        <v>14288</v>
      </c>
      <c r="Y22" s="5" t="e">
        <f t="shared" si="5"/>
        <v>#VALUE!</v>
      </c>
      <c r="Z22" s="3"/>
      <c r="AA22" s="3">
        <f t="shared" si="6"/>
        <v>725828</v>
      </c>
      <c r="AB22" s="3">
        <f t="shared" si="7"/>
        <v>25218</v>
      </c>
      <c r="AC22" s="3">
        <f t="shared" si="8"/>
        <v>16095</v>
      </c>
    </row>
    <row r="23" spans="1:29" x14ac:dyDescent="0.55000000000000004">
      <c r="A23" t="s">
        <v>114</v>
      </c>
      <c r="B23" s="3">
        <v>36196</v>
      </c>
      <c r="C23" s="3">
        <v>36478</v>
      </c>
      <c r="D23" s="3">
        <v>72674</v>
      </c>
      <c r="E23" s="5">
        <f t="shared" si="0"/>
        <v>0</v>
      </c>
      <c r="F23" s="3">
        <v>732</v>
      </c>
      <c r="G23" s="3">
        <v>772</v>
      </c>
      <c r="H23" s="3">
        <v>1504</v>
      </c>
      <c r="I23" s="5">
        <f t="shared" si="1"/>
        <v>0</v>
      </c>
      <c r="J23" s="3">
        <v>508</v>
      </c>
      <c r="K23" s="3">
        <v>530</v>
      </c>
      <c r="L23" s="3">
        <v>1038</v>
      </c>
      <c r="M23" s="5">
        <f t="shared" si="2"/>
        <v>0</v>
      </c>
      <c r="N23" s="3">
        <v>493257</v>
      </c>
      <c r="O23" s="3">
        <v>486838</v>
      </c>
      <c r="P23" s="3">
        <v>980095</v>
      </c>
      <c r="Q23" s="5">
        <f t="shared" si="3"/>
        <v>0</v>
      </c>
      <c r="R23" s="3">
        <v>20233</v>
      </c>
      <c r="S23" s="3">
        <v>19739</v>
      </c>
      <c r="T23" s="3">
        <v>39972</v>
      </c>
      <c r="U23" s="5">
        <f t="shared" si="4"/>
        <v>0</v>
      </c>
      <c r="V23" s="3">
        <v>10291</v>
      </c>
      <c r="W23" s="3">
        <v>10503</v>
      </c>
      <c r="X23" s="3">
        <v>20794</v>
      </c>
      <c r="Y23" s="5">
        <f t="shared" si="5"/>
        <v>0</v>
      </c>
      <c r="Z23" s="3"/>
      <c r="AA23" s="3">
        <f t="shared" si="6"/>
        <v>1052769</v>
      </c>
      <c r="AB23" s="3">
        <f t="shared" si="7"/>
        <v>41476</v>
      </c>
      <c r="AC23" s="3">
        <f t="shared" si="8"/>
        <v>21832</v>
      </c>
    </row>
    <row r="24" spans="1:29" x14ac:dyDescent="0.55000000000000004">
      <c r="A24" t="s">
        <v>115</v>
      </c>
      <c r="B24" s="3">
        <v>36446</v>
      </c>
      <c r="C24" s="3">
        <v>35414</v>
      </c>
      <c r="D24" s="3">
        <v>71860</v>
      </c>
      <c r="E24" s="5">
        <f t="shared" si="0"/>
        <v>0</v>
      </c>
      <c r="F24" s="3">
        <v>830</v>
      </c>
      <c r="G24" s="3">
        <v>678</v>
      </c>
      <c r="H24" s="3">
        <v>1508</v>
      </c>
      <c r="I24" s="5">
        <f t="shared" si="1"/>
        <v>0</v>
      </c>
      <c r="J24" s="3">
        <v>523</v>
      </c>
      <c r="K24" s="3">
        <v>521</v>
      </c>
      <c r="L24" s="3">
        <v>1044</v>
      </c>
      <c r="M24" s="5">
        <f t="shared" si="2"/>
        <v>0</v>
      </c>
      <c r="N24" s="3">
        <v>321425</v>
      </c>
      <c r="O24" s="3">
        <v>326943</v>
      </c>
      <c r="P24" s="3">
        <v>648368</v>
      </c>
      <c r="Q24" s="5">
        <f t="shared" si="3"/>
        <v>0</v>
      </c>
      <c r="R24" s="3">
        <v>10408</v>
      </c>
      <c r="S24" s="3">
        <v>10496</v>
      </c>
      <c r="T24" s="3">
        <v>20904</v>
      </c>
      <c r="U24" s="5">
        <f t="shared" si="4"/>
        <v>0</v>
      </c>
      <c r="V24" s="3">
        <v>8074</v>
      </c>
      <c r="W24" s="3">
        <v>8133</v>
      </c>
      <c r="X24" s="3">
        <v>16207</v>
      </c>
      <c r="Y24" s="5">
        <f t="shared" si="5"/>
        <v>0</v>
      </c>
      <c r="Z24" s="3"/>
      <c r="AA24" s="3">
        <f t="shared" si="6"/>
        <v>720228</v>
      </c>
      <c r="AB24" s="3">
        <f t="shared" si="7"/>
        <v>22412</v>
      </c>
      <c r="AC24" s="3">
        <f t="shared" si="8"/>
        <v>17251</v>
      </c>
    </row>
    <row r="25" spans="1:29" x14ac:dyDescent="0.55000000000000004">
      <c r="A25" t="s">
        <v>177</v>
      </c>
      <c r="B25" s="3">
        <v>45278</v>
      </c>
      <c r="C25" s="3">
        <v>42105</v>
      </c>
      <c r="D25" s="3">
        <v>87383</v>
      </c>
      <c r="E25" s="5">
        <f t="shared" si="0"/>
        <v>0</v>
      </c>
      <c r="F25" s="3">
        <v>1621</v>
      </c>
      <c r="G25" s="3">
        <v>1465</v>
      </c>
      <c r="H25" s="3">
        <v>3086</v>
      </c>
      <c r="I25" s="5">
        <f t="shared" si="1"/>
        <v>0</v>
      </c>
      <c r="J25" s="3">
        <v>721</v>
      </c>
      <c r="K25" s="3">
        <v>603</v>
      </c>
      <c r="L25" s="3">
        <v>1324</v>
      </c>
      <c r="M25" s="5">
        <f t="shared" si="2"/>
        <v>0</v>
      </c>
      <c r="N25" s="3">
        <v>411103</v>
      </c>
      <c r="O25" s="3">
        <v>409871</v>
      </c>
      <c r="P25" s="3">
        <v>820974</v>
      </c>
      <c r="Q25" s="5">
        <f t="shared" si="3"/>
        <v>0</v>
      </c>
      <c r="R25" s="3">
        <v>16538</v>
      </c>
      <c r="S25" s="3">
        <v>16472</v>
      </c>
      <c r="T25" s="3">
        <v>33010</v>
      </c>
      <c r="U25" s="5">
        <f t="shared" si="4"/>
        <v>0</v>
      </c>
      <c r="V25" s="3">
        <v>9596</v>
      </c>
      <c r="W25" s="3">
        <v>9636</v>
      </c>
      <c r="X25" s="3">
        <v>19232</v>
      </c>
      <c r="Y25" s="5">
        <f t="shared" si="5"/>
        <v>0</v>
      </c>
      <c r="Z25" s="3"/>
      <c r="AA25" s="3">
        <f t="shared" si="6"/>
        <v>908357</v>
      </c>
      <c r="AB25" s="3">
        <f t="shared" si="7"/>
        <v>36096</v>
      </c>
      <c r="AC25" s="3">
        <f t="shared" si="8"/>
        <v>20556</v>
      </c>
    </row>
    <row r="26" spans="1:29" x14ac:dyDescent="0.55000000000000004">
      <c r="A26" t="s">
        <v>116</v>
      </c>
      <c r="B26" s="3">
        <v>933611</v>
      </c>
      <c r="C26" s="3">
        <v>965845</v>
      </c>
      <c r="D26" s="3">
        <v>1982933</v>
      </c>
      <c r="E26" s="5">
        <f t="shared" si="0"/>
        <v>-83477</v>
      </c>
      <c r="F26" s="3">
        <v>36381</v>
      </c>
      <c r="G26" s="3">
        <v>32917</v>
      </c>
      <c r="H26" s="3">
        <v>71893</v>
      </c>
      <c r="I26" s="5">
        <f t="shared" si="1"/>
        <v>-2595</v>
      </c>
      <c r="J26" s="3">
        <v>20766</v>
      </c>
      <c r="K26" s="3">
        <v>19115</v>
      </c>
      <c r="L26" s="3">
        <v>41688</v>
      </c>
      <c r="M26" s="5">
        <f t="shared" si="2"/>
        <v>-1807</v>
      </c>
      <c r="N26" s="10">
        <v>4361197</v>
      </c>
      <c r="O26" s="10">
        <v>4399627</v>
      </c>
      <c r="P26" s="3">
        <v>9403175</v>
      </c>
      <c r="Q26" s="5">
        <f t="shared" si="3"/>
        <v>-642351</v>
      </c>
      <c r="R26" s="3">
        <v>178286</v>
      </c>
      <c r="S26" s="3">
        <v>174043</v>
      </c>
      <c r="T26" s="3">
        <v>375048</v>
      </c>
      <c r="U26" s="5">
        <f t="shared" si="4"/>
        <v>-22719</v>
      </c>
      <c r="V26" s="3">
        <v>98720</v>
      </c>
      <c r="W26" s="3">
        <v>97441</v>
      </c>
      <c r="X26" s="3">
        <v>210449</v>
      </c>
      <c r="Y26" s="5">
        <f t="shared" si="5"/>
        <v>-14288</v>
      </c>
      <c r="Z26" s="3"/>
      <c r="AA26" s="3">
        <f t="shared" si="6"/>
        <v>11386108</v>
      </c>
      <c r="AB26" s="3">
        <f t="shared" si="7"/>
        <v>446941</v>
      </c>
      <c r="AC26" s="3">
        <f t="shared" si="8"/>
        <v>252137</v>
      </c>
    </row>
    <row r="27" spans="1:29" x14ac:dyDescent="0.55000000000000004">
      <c r="A27" t="s">
        <v>26</v>
      </c>
      <c r="B27" s="3">
        <v>78300</v>
      </c>
      <c r="C27" s="3">
        <v>83300</v>
      </c>
      <c r="D27" s="3">
        <v>161600</v>
      </c>
      <c r="E27" s="5">
        <f t="shared" si="0"/>
        <v>0</v>
      </c>
      <c r="F27" s="3">
        <v>2785</v>
      </c>
      <c r="G27" s="3">
        <v>2600</v>
      </c>
      <c r="H27" s="3">
        <v>5385</v>
      </c>
      <c r="I27" s="5">
        <f t="shared" si="1"/>
        <v>0</v>
      </c>
      <c r="J27" s="3">
        <v>1750</v>
      </c>
      <c r="K27" s="3">
        <v>1518</v>
      </c>
      <c r="L27" s="3">
        <v>3268</v>
      </c>
      <c r="M27" s="5">
        <f t="shared" si="2"/>
        <v>0</v>
      </c>
      <c r="N27" s="3">
        <v>241500</v>
      </c>
      <c r="O27" s="3">
        <v>291500</v>
      </c>
      <c r="P27" s="3">
        <v>533000</v>
      </c>
      <c r="Q27" s="5">
        <f t="shared" si="3"/>
        <v>0</v>
      </c>
      <c r="R27" s="3">
        <v>7239</v>
      </c>
      <c r="S27" s="3">
        <v>6674</v>
      </c>
      <c r="T27" s="3">
        <v>13913</v>
      </c>
      <c r="U27" s="5">
        <f t="shared" si="4"/>
        <v>0</v>
      </c>
      <c r="V27" s="3">
        <v>5027</v>
      </c>
      <c r="W27" s="3">
        <v>4925</v>
      </c>
      <c r="X27" s="3">
        <v>9952</v>
      </c>
      <c r="Y27" s="5">
        <f t="shared" si="5"/>
        <v>0</v>
      </c>
      <c r="Z27" s="3"/>
      <c r="AA27" s="3">
        <f t="shared" si="6"/>
        <v>694600</v>
      </c>
      <c r="AB27" s="3">
        <f t="shared" si="7"/>
        <v>19298</v>
      </c>
      <c r="AC27" s="3">
        <f t="shared" si="8"/>
        <v>13220</v>
      </c>
    </row>
    <row r="28" spans="1:29" x14ac:dyDescent="0.55000000000000004">
      <c r="A28" t="s">
        <v>117</v>
      </c>
      <c r="B28" s="3">
        <v>182194</v>
      </c>
      <c r="C28" s="3">
        <v>183526</v>
      </c>
      <c r="D28" s="3">
        <v>365720</v>
      </c>
      <c r="E28" s="5">
        <f t="shared" si="0"/>
        <v>0</v>
      </c>
      <c r="F28" s="3">
        <v>6588</v>
      </c>
      <c r="G28" s="3">
        <v>6206</v>
      </c>
      <c r="H28" s="3">
        <v>12794</v>
      </c>
      <c r="I28" s="5">
        <f t="shared" si="1"/>
        <v>0</v>
      </c>
      <c r="J28" s="3">
        <v>4481</v>
      </c>
      <c r="K28" s="3">
        <v>3824</v>
      </c>
      <c r="L28" s="3">
        <v>8305</v>
      </c>
      <c r="M28" s="5">
        <f t="shared" si="2"/>
        <v>0</v>
      </c>
      <c r="N28" s="3">
        <v>485955</v>
      </c>
      <c r="O28" s="3">
        <v>523219</v>
      </c>
      <c r="P28" s="3">
        <v>1009174</v>
      </c>
      <c r="Q28" s="5">
        <f t="shared" si="3"/>
        <v>0</v>
      </c>
      <c r="R28" s="3">
        <v>13697</v>
      </c>
      <c r="S28" s="3">
        <v>12857</v>
      </c>
      <c r="T28" s="3">
        <v>26554</v>
      </c>
      <c r="U28" s="5">
        <f t="shared" si="4"/>
        <v>0</v>
      </c>
      <c r="V28" s="3">
        <v>9013</v>
      </c>
      <c r="W28" s="3">
        <v>8419</v>
      </c>
      <c r="X28" s="3">
        <v>17432</v>
      </c>
      <c r="Y28" s="5">
        <f t="shared" si="5"/>
        <v>0</v>
      </c>
      <c r="Z28" s="3"/>
      <c r="AA28" s="3">
        <f t="shared" si="6"/>
        <v>1374894</v>
      </c>
      <c r="AB28" s="3">
        <f t="shared" si="7"/>
        <v>39348</v>
      </c>
      <c r="AC28" s="3">
        <f t="shared" si="8"/>
        <v>25737</v>
      </c>
    </row>
    <row r="29" spans="1:29" x14ac:dyDescent="0.55000000000000004">
      <c r="A29" t="s">
        <v>28</v>
      </c>
      <c r="B29" s="3">
        <v>40430</v>
      </c>
      <c r="C29" s="3">
        <v>39258</v>
      </c>
      <c r="D29" s="3">
        <v>79688</v>
      </c>
      <c r="E29" s="5">
        <f t="shared" si="0"/>
        <v>0</v>
      </c>
      <c r="F29" s="3">
        <v>1403</v>
      </c>
      <c r="G29" s="3">
        <v>1308</v>
      </c>
      <c r="H29" s="3">
        <v>2711</v>
      </c>
      <c r="I29" s="5">
        <f t="shared" si="1"/>
        <v>0</v>
      </c>
      <c r="J29" s="3">
        <v>885</v>
      </c>
      <c r="K29" s="3">
        <v>740</v>
      </c>
      <c r="L29" s="3">
        <v>1625</v>
      </c>
      <c r="M29" s="5">
        <f t="shared" si="2"/>
        <v>0</v>
      </c>
      <c r="N29" s="3">
        <v>176665</v>
      </c>
      <c r="O29" s="3">
        <v>184341</v>
      </c>
      <c r="P29" s="3">
        <v>361006</v>
      </c>
      <c r="Q29" s="5">
        <f t="shared" si="3"/>
        <v>0</v>
      </c>
      <c r="R29" s="3">
        <v>5390</v>
      </c>
      <c r="S29" s="3">
        <v>5000</v>
      </c>
      <c r="T29" s="3">
        <v>10390</v>
      </c>
      <c r="U29" s="5">
        <f t="shared" si="4"/>
        <v>0</v>
      </c>
      <c r="V29" s="3">
        <v>3051</v>
      </c>
      <c r="W29" s="3">
        <v>3048</v>
      </c>
      <c r="X29" s="3">
        <v>6099</v>
      </c>
      <c r="Y29" s="5">
        <f t="shared" si="5"/>
        <v>0</v>
      </c>
      <c r="Z29" s="3"/>
      <c r="AA29" s="3">
        <f t="shared" si="6"/>
        <v>440694</v>
      </c>
      <c r="AB29" s="3">
        <f t="shared" si="7"/>
        <v>13101</v>
      </c>
      <c r="AC29" s="3">
        <f t="shared" si="8"/>
        <v>7724</v>
      </c>
    </row>
    <row r="30" spans="1:29" x14ac:dyDescent="0.55000000000000004">
      <c r="A30" t="s">
        <v>118</v>
      </c>
      <c r="B30" s="3">
        <v>300924</v>
      </c>
      <c r="C30" s="3">
        <v>306084</v>
      </c>
      <c r="D30" s="3">
        <v>607008</v>
      </c>
      <c r="E30" s="5">
        <f t="shared" si="0"/>
        <v>0</v>
      </c>
      <c r="F30" s="3">
        <v>10776</v>
      </c>
      <c r="G30" s="3">
        <v>10114</v>
      </c>
      <c r="H30" s="3">
        <v>20890</v>
      </c>
      <c r="I30" s="5">
        <f t="shared" si="1"/>
        <v>0</v>
      </c>
      <c r="J30" s="3">
        <v>7116</v>
      </c>
      <c r="K30" s="3">
        <v>6082</v>
      </c>
      <c r="L30" s="3">
        <v>13198</v>
      </c>
      <c r="M30" s="5">
        <f t="shared" si="2"/>
        <v>0</v>
      </c>
      <c r="N30" s="3">
        <v>904120</v>
      </c>
      <c r="O30" s="3">
        <v>999060</v>
      </c>
      <c r="P30" s="3">
        <v>1903180</v>
      </c>
      <c r="Q30" s="5">
        <f t="shared" si="3"/>
        <v>0</v>
      </c>
      <c r="R30" s="3">
        <v>26326</v>
      </c>
      <c r="S30" s="3">
        <v>24531</v>
      </c>
      <c r="T30" s="3">
        <v>50857</v>
      </c>
      <c r="U30" s="5">
        <f t="shared" si="4"/>
        <v>0</v>
      </c>
      <c r="V30" s="3">
        <v>17091</v>
      </c>
      <c r="W30" s="10">
        <v>16392</v>
      </c>
      <c r="X30" s="3">
        <v>33483</v>
      </c>
      <c r="Y30" s="5">
        <f t="shared" si="5"/>
        <v>0</v>
      </c>
      <c r="Z30" s="3"/>
      <c r="AA30" s="3">
        <f t="shared" si="6"/>
        <v>2510188</v>
      </c>
      <c r="AB30" s="3">
        <f t="shared" si="7"/>
        <v>71747</v>
      </c>
      <c r="AC30" s="3">
        <f t="shared" si="8"/>
        <v>46681</v>
      </c>
    </row>
    <row r="31" spans="1:29" x14ac:dyDescent="0.55000000000000004">
      <c r="A31" t="s">
        <v>119</v>
      </c>
      <c r="B31" s="3">
        <v>161637</v>
      </c>
      <c r="C31" s="3">
        <v>157546</v>
      </c>
      <c r="D31" s="3">
        <v>319183</v>
      </c>
      <c r="E31" s="5">
        <f t="shared" si="0"/>
        <v>0</v>
      </c>
      <c r="F31" s="3">
        <v>5111</v>
      </c>
      <c r="G31" s="3">
        <v>4417</v>
      </c>
      <c r="H31" s="3">
        <v>9528</v>
      </c>
      <c r="I31" s="5">
        <f t="shared" si="1"/>
        <v>0</v>
      </c>
      <c r="J31" s="3">
        <v>3807</v>
      </c>
      <c r="K31" s="3">
        <v>3193</v>
      </c>
      <c r="L31" s="3">
        <v>7000</v>
      </c>
      <c r="M31" s="5">
        <f t="shared" si="2"/>
        <v>0</v>
      </c>
      <c r="N31" s="3">
        <v>913563</v>
      </c>
      <c r="O31" s="3">
        <v>891741</v>
      </c>
      <c r="P31" s="3">
        <v>1805304</v>
      </c>
      <c r="Q31" s="5">
        <f t="shared" si="3"/>
        <v>0</v>
      </c>
      <c r="R31" s="3">
        <v>44950</v>
      </c>
      <c r="S31" s="3">
        <v>42195</v>
      </c>
      <c r="T31" s="3">
        <v>87145</v>
      </c>
      <c r="U31" s="5">
        <f t="shared" si="4"/>
        <v>0</v>
      </c>
      <c r="V31" s="3">
        <v>25178</v>
      </c>
      <c r="W31" s="3">
        <v>23245</v>
      </c>
      <c r="X31" s="3">
        <v>48423</v>
      </c>
      <c r="Y31" s="5">
        <f t="shared" si="5"/>
        <v>0</v>
      </c>
      <c r="Z31" s="3"/>
      <c r="AA31" s="3">
        <f t="shared" si="6"/>
        <v>2124487</v>
      </c>
      <c r="AB31" s="3">
        <f t="shared" si="7"/>
        <v>96673</v>
      </c>
      <c r="AC31" s="3">
        <f t="shared" si="8"/>
        <v>55423</v>
      </c>
    </row>
    <row r="32" spans="1:29" x14ac:dyDescent="0.55000000000000004">
      <c r="A32" t="s">
        <v>120</v>
      </c>
      <c r="B32" s="3">
        <v>75786</v>
      </c>
      <c r="C32" s="3">
        <v>67197</v>
      </c>
      <c r="D32" s="3">
        <v>142983</v>
      </c>
      <c r="E32" s="5">
        <f t="shared" si="0"/>
        <v>0</v>
      </c>
      <c r="F32" s="3">
        <v>2700</v>
      </c>
      <c r="G32" s="3">
        <v>2684</v>
      </c>
      <c r="H32" s="3">
        <v>5384</v>
      </c>
      <c r="I32" s="5">
        <f t="shared" si="1"/>
        <v>0</v>
      </c>
      <c r="J32" s="3">
        <v>2364</v>
      </c>
      <c r="K32" s="3">
        <v>2051</v>
      </c>
      <c r="L32" s="3">
        <v>4415</v>
      </c>
      <c r="M32" s="5">
        <f t="shared" si="2"/>
        <v>0</v>
      </c>
      <c r="N32" s="3">
        <v>853147</v>
      </c>
      <c r="O32" s="3">
        <v>873416</v>
      </c>
      <c r="P32" s="3">
        <v>1726563</v>
      </c>
      <c r="Q32" s="5">
        <f t="shared" si="3"/>
        <v>0</v>
      </c>
      <c r="R32" s="3">
        <v>41536</v>
      </c>
      <c r="S32" s="3">
        <v>39546</v>
      </c>
      <c r="T32" s="3">
        <v>81082</v>
      </c>
      <c r="U32" s="5">
        <f t="shared" si="4"/>
        <v>0</v>
      </c>
      <c r="V32" s="3">
        <v>28434</v>
      </c>
      <c r="W32" s="3">
        <v>27310</v>
      </c>
      <c r="X32" s="3">
        <v>55744</v>
      </c>
      <c r="Y32" s="5">
        <f t="shared" si="5"/>
        <v>0</v>
      </c>
      <c r="Z32" s="3"/>
      <c r="AA32" s="3">
        <f t="shared" si="6"/>
        <v>1869546</v>
      </c>
      <c r="AB32" s="3">
        <f t="shared" si="7"/>
        <v>86466</v>
      </c>
      <c r="AC32" s="3">
        <f t="shared" si="8"/>
        <v>60159</v>
      </c>
    </row>
    <row r="33" spans="1:29" x14ac:dyDescent="0.55000000000000004">
      <c r="A33" t="s">
        <v>121</v>
      </c>
      <c r="B33" s="3">
        <v>32943</v>
      </c>
      <c r="C33" s="3">
        <v>32928</v>
      </c>
      <c r="D33" s="3">
        <v>65871</v>
      </c>
      <c r="E33" s="5">
        <f t="shared" si="0"/>
        <v>0</v>
      </c>
      <c r="F33" s="3">
        <v>1233</v>
      </c>
      <c r="G33" s="3">
        <v>1222</v>
      </c>
      <c r="H33" s="3">
        <v>2455</v>
      </c>
      <c r="I33" s="5">
        <f t="shared" si="1"/>
        <v>0</v>
      </c>
      <c r="J33" s="3">
        <v>942</v>
      </c>
      <c r="K33" s="3">
        <v>976</v>
      </c>
      <c r="L33" s="3">
        <v>1918</v>
      </c>
      <c r="M33" s="5">
        <f t="shared" si="2"/>
        <v>0</v>
      </c>
      <c r="N33" s="3">
        <v>656125</v>
      </c>
      <c r="O33" s="3">
        <v>724172</v>
      </c>
      <c r="P33" s="3">
        <v>1380297</v>
      </c>
      <c r="Q33" s="5">
        <f t="shared" si="3"/>
        <v>0</v>
      </c>
      <c r="R33" s="3">
        <v>34138</v>
      </c>
      <c r="S33" s="3">
        <v>32305</v>
      </c>
      <c r="T33" s="3">
        <v>66443</v>
      </c>
      <c r="U33" s="5">
        <f t="shared" si="4"/>
        <v>0</v>
      </c>
      <c r="V33" s="3">
        <v>22898</v>
      </c>
      <c r="W33" s="3">
        <v>21930</v>
      </c>
      <c r="X33" s="3">
        <v>44828</v>
      </c>
      <c r="Y33" s="5">
        <f t="shared" si="5"/>
        <v>0</v>
      </c>
      <c r="Z33" s="3"/>
      <c r="AA33" s="3">
        <f t="shared" si="6"/>
        <v>1446168</v>
      </c>
      <c r="AB33" s="3">
        <f t="shared" si="7"/>
        <v>68898</v>
      </c>
      <c r="AC33" s="3">
        <f t="shared" si="8"/>
        <v>46746</v>
      </c>
    </row>
    <row r="34" spans="1:29" x14ac:dyDescent="0.55000000000000004">
      <c r="A34" t="s">
        <v>32</v>
      </c>
      <c r="B34" s="3">
        <v>63459</v>
      </c>
      <c r="C34" s="3">
        <v>61902</v>
      </c>
      <c r="D34" s="3">
        <v>125361</v>
      </c>
      <c r="E34" s="5">
        <f t="shared" si="0"/>
        <v>0</v>
      </c>
      <c r="F34" s="3">
        <v>2492</v>
      </c>
      <c r="G34" s="3">
        <v>2396</v>
      </c>
      <c r="H34" s="3">
        <v>4888</v>
      </c>
      <c r="I34" s="5">
        <f t="shared" si="1"/>
        <v>0</v>
      </c>
      <c r="J34" s="3">
        <v>1957</v>
      </c>
      <c r="K34" s="3">
        <v>1784</v>
      </c>
      <c r="L34" s="3">
        <v>3741</v>
      </c>
      <c r="M34" s="5">
        <f t="shared" si="2"/>
        <v>0</v>
      </c>
      <c r="N34" s="3">
        <v>1458351</v>
      </c>
      <c r="O34" s="3">
        <v>1432570</v>
      </c>
      <c r="P34" s="3">
        <v>2890921</v>
      </c>
      <c r="Q34" s="5">
        <f t="shared" si="3"/>
        <v>0</v>
      </c>
      <c r="R34" s="3">
        <v>78668</v>
      </c>
      <c r="S34" s="3">
        <v>75516</v>
      </c>
      <c r="T34" s="3">
        <v>154184</v>
      </c>
      <c r="U34" s="5">
        <f t="shared" si="4"/>
        <v>0</v>
      </c>
      <c r="V34" s="3">
        <v>54285</v>
      </c>
      <c r="W34" s="3">
        <v>52304</v>
      </c>
      <c r="X34" s="3">
        <v>106589</v>
      </c>
      <c r="Y34" s="5">
        <f t="shared" si="5"/>
        <v>0</v>
      </c>
      <c r="Z34" s="3"/>
      <c r="AA34" s="3">
        <f t="shared" si="6"/>
        <v>3016282</v>
      </c>
      <c r="AB34" s="3">
        <f t="shared" si="7"/>
        <v>159072</v>
      </c>
      <c r="AC34" s="3">
        <f t="shared" si="8"/>
        <v>110330</v>
      </c>
    </row>
    <row r="35" spans="1:29" x14ac:dyDescent="0.55000000000000004">
      <c r="A35" t="s">
        <v>33</v>
      </c>
      <c r="B35" s="3">
        <v>46627</v>
      </c>
      <c r="C35" s="3">
        <v>48519</v>
      </c>
      <c r="D35" s="3">
        <v>95146</v>
      </c>
      <c r="E35" s="5">
        <f t="shared" si="0"/>
        <v>0</v>
      </c>
      <c r="F35" s="3">
        <v>1673</v>
      </c>
      <c r="G35" s="3">
        <v>1521</v>
      </c>
      <c r="H35" s="3">
        <v>3194</v>
      </c>
      <c r="I35" s="5">
        <f t="shared" si="1"/>
        <v>0</v>
      </c>
      <c r="J35" s="3">
        <v>1471</v>
      </c>
      <c r="K35" s="3">
        <v>1276</v>
      </c>
      <c r="L35" s="3">
        <v>2747</v>
      </c>
      <c r="M35" s="5">
        <f t="shared" si="2"/>
        <v>0</v>
      </c>
      <c r="N35" s="3">
        <v>1594746</v>
      </c>
      <c r="O35" s="3">
        <v>1665955</v>
      </c>
      <c r="P35" s="3">
        <v>3260701</v>
      </c>
      <c r="Q35" s="5">
        <f t="shared" si="3"/>
        <v>0</v>
      </c>
      <c r="R35" s="3">
        <v>86983</v>
      </c>
      <c r="S35" s="3">
        <v>84348</v>
      </c>
      <c r="T35" s="3">
        <v>171331</v>
      </c>
      <c r="U35" s="5">
        <f t="shared" si="4"/>
        <v>0</v>
      </c>
      <c r="V35" s="3">
        <v>68517</v>
      </c>
      <c r="W35" s="3">
        <v>67695</v>
      </c>
      <c r="X35" s="3">
        <v>136212</v>
      </c>
      <c r="Y35" s="5">
        <f t="shared" si="5"/>
        <v>0</v>
      </c>
      <c r="Z35" s="3"/>
      <c r="AA35" s="3">
        <f t="shared" si="6"/>
        <v>3355847</v>
      </c>
      <c r="AB35" s="3">
        <f t="shared" si="7"/>
        <v>174525</v>
      </c>
      <c r="AC35" s="3">
        <f t="shared" si="8"/>
        <v>138959</v>
      </c>
    </row>
    <row r="36" spans="1:29" x14ac:dyDescent="0.55000000000000004">
      <c r="A36" t="s">
        <v>122</v>
      </c>
      <c r="B36" s="3" t="s">
        <v>97</v>
      </c>
      <c r="C36" s="3" t="s">
        <v>97</v>
      </c>
      <c r="D36" s="3">
        <v>354050</v>
      </c>
      <c r="E36" s="5" t="e">
        <f t="shared" si="0"/>
        <v>#VALUE!</v>
      </c>
      <c r="F36" s="3">
        <v>7979</v>
      </c>
      <c r="G36" s="3">
        <v>7549</v>
      </c>
      <c r="H36" s="3">
        <v>15528</v>
      </c>
      <c r="I36" s="5">
        <f t="shared" si="1"/>
        <v>0</v>
      </c>
      <c r="J36" s="3">
        <v>4905</v>
      </c>
      <c r="K36" s="3">
        <v>3858</v>
      </c>
      <c r="L36" s="3">
        <v>8763</v>
      </c>
      <c r="M36" s="5">
        <f t="shared" si="2"/>
        <v>0</v>
      </c>
      <c r="N36" s="3" t="s">
        <v>97</v>
      </c>
      <c r="O36" s="3" t="s">
        <v>97</v>
      </c>
      <c r="P36" s="3">
        <v>2535816</v>
      </c>
      <c r="Q36" s="5" t="e">
        <f t="shared" si="3"/>
        <v>#VALUE!</v>
      </c>
      <c r="R36" s="3">
        <v>61138</v>
      </c>
      <c r="S36" s="3">
        <v>57531</v>
      </c>
      <c r="T36" s="3">
        <v>118669</v>
      </c>
      <c r="U36" s="5">
        <f t="shared" si="4"/>
        <v>0</v>
      </c>
      <c r="V36" s="3">
        <v>33479</v>
      </c>
      <c r="W36" s="3">
        <v>29679</v>
      </c>
      <c r="X36" s="3">
        <v>63158</v>
      </c>
      <c r="Y36" s="5">
        <f t="shared" si="5"/>
        <v>0</v>
      </c>
      <c r="Z36" s="3"/>
      <c r="AA36" s="3">
        <f t="shared" si="6"/>
        <v>2889866</v>
      </c>
      <c r="AB36" s="3">
        <f t="shared" si="7"/>
        <v>134197</v>
      </c>
      <c r="AC36" s="3">
        <f t="shared" si="8"/>
        <v>71921</v>
      </c>
    </row>
    <row r="37" spans="1:29" x14ac:dyDescent="0.55000000000000004">
      <c r="A37" t="s">
        <v>123</v>
      </c>
      <c r="B37" s="3">
        <v>106829</v>
      </c>
      <c r="C37" s="3">
        <v>107841</v>
      </c>
      <c r="D37" s="3">
        <v>214670</v>
      </c>
      <c r="E37" s="5">
        <f t="shared" si="0"/>
        <v>0</v>
      </c>
      <c r="F37" s="3">
        <v>4251</v>
      </c>
      <c r="G37" s="3">
        <v>3858</v>
      </c>
      <c r="H37" s="3">
        <v>8109</v>
      </c>
      <c r="I37" s="5">
        <f t="shared" si="1"/>
        <v>0</v>
      </c>
      <c r="J37" s="3">
        <v>3869</v>
      </c>
      <c r="K37" s="3">
        <v>3366</v>
      </c>
      <c r="L37" s="3">
        <v>7235</v>
      </c>
      <c r="M37" s="5">
        <f t="shared" si="2"/>
        <v>0</v>
      </c>
      <c r="N37" s="3">
        <v>1093059</v>
      </c>
      <c r="O37" s="3">
        <v>1099551</v>
      </c>
      <c r="P37" s="3">
        <v>2192610</v>
      </c>
      <c r="Q37" s="5">
        <f t="shared" si="3"/>
        <v>0</v>
      </c>
      <c r="R37" s="3">
        <v>59184</v>
      </c>
      <c r="S37" s="3">
        <v>55721</v>
      </c>
      <c r="T37" s="3">
        <v>114905</v>
      </c>
      <c r="U37" s="5">
        <f t="shared" si="4"/>
        <v>0</v>
      </c>
      <c r="V37" s="3">
        <v>39577</v>
      </c>
      <c r="W37" s="3">
        <v>37273</v>
      </c>
      <c r="X37" s="3">
        <v>76850</v>
      </c>
      <c r="Y37" s="5">
        <f t="shared" si="5"/>
        <v>0</v>
      </c>
      <c r="Z37" s="3"/>
      <c r="AA37" s="3">
        <f t="shared" si="6"/>
        <v>2407280</v>
      </c>
      <c r="AB37" s="3">
        <f t="shared" si="7"/>
        <v>123014</v>
      </c>
      <c r="AC37" s="3">
        <f t="shared" si="8"/>
        <v>84085</v>
      </c>
    </row>
    <row r="38" spans="1:29" x14ac:dyDescent="0.55000000000000004">
      <c r="A38" t="s">
        <v>124</v>
      </c>
      <c r="B38" s="3">
        <v>47896</v>
      </c>
      <c r="C38" s="3">
        <v>45071</v>
      </c>
      <c r="D38" s="3">
        <v>92967</v>
      </c>
      <c r="E38" s="5">
        <f t="shared" si="0"/>
        <v>0</v>
      </c>
      <c r="F38" s="3">
        <v>1676</v>
      </c>
      <c r="G38" s="3">
        <v>1699</v>
      </c>
      <c r="H38" s="3">
        <v>3375</v>
      </c>
      <c r="I38" s="5">
        <f t="shared" si="1"/>
        <v>0</v>
      </c>
      <c r="J38" s="3">
        <v>1396</v>
      </c>
      <c r="K38" s="3">
        <v>1182</v>
      </c>
      <c r="L38" s="3">
        <v>2578</v>
      </c>
      <c r="M38" s="5">
        <f t="shared" si="2"/>
        <v>0</v>
      </c>
      <c r="N38" s="3">
        <v>554066</v>
      </c>
      <c r="O38" s="3">
        <v>644268</v>
      </c>
      <c r="P38" s="3">
        <v>1198334</v>
      </c>
      <c r="Q38" s="5">
        <f t="shared" si="3"/>
        <v>0</v>
      </c>
      <c r="R38" s="3">
        <v>36474</v>
      </c>
      <c r="S38" s="3">
        <v>35063</v>
      </c>
      <c r="T38" s="3">
        <v>71537</v>
      </c>
      <c r="U38" s="5">
        <f t="shared" si="4"/>
        <v>0</v>
      </c>
      <c r="V38" s="3">
        <v>22043</v>
      </c>
      <c r="W38" s="3">
        <v>20835</v>
      </c>
      <c r="X38" s="3">
        <v>42878</v>
      </c>
      <c r="Y38" s="5">
        <f t="shared" si="5"/>
        <v>0</v>
      </c>
      <c r="Z38" s="3"/>
      <c r="AA38" s="3">
        <f t="shared" si="6"/>
        <v>1291301</v>
      </c>
      <c r="AB38" s="3">
        <f t="shared" si="7"/>
        <v>74912</v>
      </c>
      <c r="AC38" s="3">
        <f t="shared" si="8"/>
        <v>45456</v>
      </c>
    </row>
    <row r="39" spans="1:29" x14ac:dyDescent="0.55000000000000004">
      <c r="A39" t="s">
        <v>125</v>
      </c>
      <c r="B39" s="3" t="s">
        <v>97</v>
      </c>
      <c r="C39" s="3" t="s">
        <v>97</v>
      </c>
      <c r="D39" s="3">
        <v>88841</v>
      </c>
      <c r="E39" s="5" t="e">
        <f t="shared" si="0"/>
        <v>#VALUE!</v>
      </c>
      <c r="F39" s="3">
        <v>1858</v>
      </c>
      <c r="G39" s="3">
        <v>1666</v>
      </c>
      <c r="H39" s="3">
        <v>3524</v>
      </c>
      <c r="I39" s="5">
        <f t="shared" si="1"/>
        <v>0</v>
      </c>
      <c r="J39" s="3">
        <v>1355</v>
      </c>
      <c r="K39" s="3">
        <v>1191</v>
      </c>
      <c r="L39" s="3">
        <v>2546</v>
      </c>
      <c r="M39" s="5">
        <f t="shared" si="2"/>
        <v>0</v>
      </c>
      <c r="N39" s="3" t="s">
        <v>97</v>
      </c>
      <c r="O39" s="3" t="s">
        <v>97</v>
      </c>
      <c r="P39" s="3">
        <v>1432477</v>
      </c>
      <c r="Q39" s="5" t="e">
        <f t="shared" si="3"/>
        <v>#VALUE!</v>
      </c>
      <c r="R39" s="3">
        <v>36650</v>
      </c>
      <c r="S39" s="3">
        <v>35187</v>
      </c>
      <c r="T39" s="3">
        <v>71837</v>
      </c>
      <c r="U39" s="5">
        <f t="shared" si="4"/>
        <v>0</v>
      </c>
      <c r="V39" s="3">
        <v>23224</v>
      </c>
      <c r="W39" s="3">
        <v>23104</v>
      </c>
      <c r="X39" s="3">
        <v>46328</v>
      </c>
      <c r="Y39" s="5">
        <f t="shared" si="5"/>
        <v>0</v>
      </c>
      <c r="Z39" s="3"/>
      <c r="AA39" s="3">
        <f t="shared" si="6"/>
        <v>1521318</v>
      </c>
      <c r="AB39" s="3">
        <f t="shared" si="7"/>
        <v>75361</v>
      </c>
      <c r="AC39" s="3">
        <f t="shared" si="8"/>
        <v>48874</v>
      </c>
    </row>
    <row r="40" spans="1:29" x14ac:dyDescent="0.55000000000000004">
      <c r="A40" t="s">
        <v>126</v>
      </c>
      <c r="B40" s="3">
        <v>103037</v>
      </c>
      <c r="C40" s="3">
        <v>105143</v>
      </c>
      <c r="D40" s="3">
        <v>208180</v>
      </c>
      <c r="E40" s="5">
        <f t="shared" si="0"/>
        <v>0</v>
      </c>
      <c r="F40" s="3">
        <v>2744</v>
      </c>
      <c r="G40" s="3">
        <v>2526</v>
      </c>
      <c r="H40" s="3">
        <v>5270</v>
      </c>
      <c r="I40" s="5">
        <f t="shared" si="1"/>
        <v>0</v>
      </c>
      <c r="J40" s="3">
        <v>2144</v>
      </c>
      <c r="K40" s="3">
        <v>1840</v>
      </c>
      <c r="L40" s="3">
        <v>3984</v>
      </c>
      <c r="M40" s="5">
        <f t="shared" si="2"/>
        <v>0</v>
      </c>
      <c r="N40" s="3">
        <v>1202341</v>
      </c>
      <c r="O40" s="3">
        <v>1210769</v>
      </c>
      <c r="P40" s="3">
        <v>2413110</v>
      </c>
      <c r="Q40" s="5">
        <f t="shared" si="3"/>
        <v>0</v>
      </c>
      <c r="R40" s="3">
        <v>66435</v>
      </c>
      <c r="S40" s="3">
        <v>63257</v>
      </c>
      <c r="T40" s="3">
        <v>129692</v>
      </c>
      <c r="U40" s="5">
        <f t="shared" si="4"/>
        <v>0</v>
      </c>
      <c r="V40" s="3">
        <v>38961</v>
      </c>
      <c r="W40" s="3">
        <v>37809</v>
      </c>
      <c r="X40" s="3">
        <v>76770</v>
      </c>
      <c r="Y40" s="5">
        <f t="shared" si="5"/>
        <v>0</v>
      </c>
      <c r="Z40" s="3"/>
      <c r="AA40" s="3">
        <f t="shared" si="6"/>
        <v>2621290</v>
      </c>
      <c r="AB40" s="3">
        <f t="shared" si="7"/>
        <v>134962</v>
      </c>
      <c r="AC40" s="3">
        <f t="shared" si="8"/>
        <v>80754</v>
      </c>
    </row>
    <row r="41" spans="1:29" x14ac:dyDescent="0.55000000000000004">
      <c r="A41" t="s">
        <v>127</v>
      </c>
      <c r="B41" s="3">
        <v>80237</v>
      </c>
      <c r="C41" s="3">
        <v>79030</v>
      </c>
      <c r="D41" s="3">
        <v>159267</v>
      </c>
      <c r="E41" s="5">
        <f t="shared" si="0"/>
        <v>0</v>
      </c>
      <c r="F41" s="3">
        <v>2523</v>
      </c>
      <c r="G41" s="3">
        <v>2387</v>
      </c>
      <c r="H41" s="3">
        <v>4910</v>
      </c>
      <c r="I41" s="5">
        <f t="shared" si="1"/>
        <v>0</v>
      </c>
      <c r="J41" s="3">
        <v>2118</v>
      </c>
      <c r="K41" s="3">
        <v>1546</v>
      </c>
      <c r="L41" s="3">
        <v>3664</v>
      </c>
      <c r="M41" s="5">
        <f t="shared" si="2"/>
        <v>0</v>
      </c>
      <c r="N41" s="3">
        <v>800660</v>
      </c>
      <c r="O41" s="3">
        <v>837439</v>
      </c>
      <c r="P41" s="3">
        <v>1638099</v>
      </c>
      <c r="Q41" s="5">
        <f t="shared" si="3"/>
        <v>0</v>
      </c>
      <c r="R41" s="3">
        <v>39590</v>
      </c>
      <c r="S41" s="3">
        <v>37805</v>
      </c>
      <c r="T41" s="3">
        <v>77395</v>
      </c>
      <c r="U41" s="5">
        <f t="shared" si="4"/>
        <v>0</v>
      </c>
      <c r="V41" s="3">
        <v>24915</v>
      </c>
      <c r="W41" s="3">
        <v>22876</v>
      </c>
      <c r="X41" s="3">
        <v>47791</v>
      </c>
      <c r="Y41" s="5">
        <f t="shared" si="5"/>
        <v>0</v>
      </c>
      <c r="Z41" s="3"/>
      <c r="AA41" s="3">
        <f t="shared" si="6"/>
        <v>1797366</v>
      </c>
      <c r="AB41" s="3">
        <f t="shared" si="7"/>
        <v>82305</v>
      </c>
      <c r="AC41" s="3">
        <f t="shared" si="8"/>
        <v>51455</v>
      </c>
    </row>
    <row r="42" spans="1:29" x14ac:dyDescent="0.55000000000000004">
      <c r="A42" t="s">
        <v>128</v>
      </c>
      <c r="B42" s="10">
        <v>648004</v>
      </c>
      <c r="C42" s="3">
        <v>519667</v>
      </c>
      <c r="D42" s="3">
        <v>1167671</v>
      </c>
      <c r="E42" s="5">
        <f t="shared" si="0"/>
        <v>0</v>
      </c>
      <c r="F42" s="3">
        <v>19098</v>
      </c>
      <c r="G42" s="3">
        <v>18609</v>
      </c>
      <c r="H42" s="10">
        <v>37707</v>
      </c>
      <c r="I42" s="5">
        <f t="shared" si="1"/>
        <v>0</v>
      </c>
      <c r="J42" s="3">
        <v>15671</v>
      </c>
      <c r="K42" s="3">
        <v>13267</v>
      </c>
      <c r="L42" s="3">
        <v>28938</v>
      </c>
      <c r="M42" s="5">
        <f t="shared" si="2"/>
        <v>0</v>
      </c>
      <c r="N42" s="3">
        <v>0</v>
      </c>
      <c r="O42" s="3">
        <v>0</v>
      </c>
      <c r="P42" s="3">
        <v>0</v>
      </c>
      <c r="Q42" s="5">
        <f t="shared" si="3"/>
        <v>0</v>
      </c>
      <c r="R42" s="3">
        <v>0</v>
      </c>
      <c r="S42" s="3">
        <v>0</v>
      </c>
      <c r="T42" s="3">
        <v>0</v>
      </c>
      <c r="U42" s="5">
        <f t="shared" si="4"/>
        <v>0</v>
      </c>
      <c r="V42" s="3">
        <v>0</v>
      </c>
      <c r="W42" s="3">
        <v>0</v>
      </c>
      <c r="X42" s="3">
        <v>0</v>
      </c>
      <c r="Y42" s="5">
        <f t="shared" si="5"/>
        <v>0</v>
      </c>
      <c r="Z42" s="3"/>
      <c r="AA42" s="3">
        <f t="shared" si="6"/>
        <v>1167671</v>
      </c>
      <c r="AB42" s="3">
        <f t="shared" si="7"/>
        <v>37707</v>
      </c>
      <c r="AC42" s="3">
        <f t="shared" si="8"/>
        <v>28938</v>
      </c>
    </row>
    <row r="43" spans="1:29" x14ac:dyDescent="0.55000000000000004">
      <c r="A43" t="s">
        <v>129</v>
      </c>
      <c r="B43" s="3">
        <v>63031</v>
      </c>
      <c r="C43" s="3">
        <v>60451</v>
      </c>
      <c r="D43" s="3">
        <v>123482</v>
      </c>
      <c r="E43" s="5">
        <f t="shared" si="0"/>
        <v>0</v>
      </c>
      <c r="F43" s="3">
        <v>3048</v>
      </c>
      <c r="G43" s="3">
        <v>2983</v>
      </c>
      <c r="H43" s="3">
        <v>6031</v>
      </c>
      <c r="I43" s="5">
        <f t="shared" si="1"/>
        <v>0</v>
      </c>
      <c r="J43" s="3">
        <v>2186</v>
      </c>
      <c r="K43" s="3">
        <v>1957</v>
      </c>
      <c r="L43" s="3">
        <v>4143</v>
      </c>
      <c r="M43" s="5">
        <f t="shared" si="2"/>
        <v>0</v>
      </c>
      <c r="N43" s="3">
        <v>803092</v>
      </c>
      <c r="O43" s="3">
        <v>860487</v>
      </c>
      <c r="P43" s="3">
        <v>1663579</v>
      </c>
      <c r="Q43" s="5">
        <f t="shared" si="3"/>
        <v>0</v>
      </c>
      <c r="R43" s="3">
        <v>45038</v>
      </c>
      <c r="S43" s="3">
        <v>42589</v>
      </c>
      <c r="T43" s="3">
        <v>87622</v>
      </c>
      <c r="U43" s="5">
        <f t="shared" si="4"/>
        <v>5</v>
      </c>
      <c r="V43" s="3">
        <v>32271</v>
      </c>
      <c r="W43" s="3">
        <v>30645</v>
      </c>
      <c r="X43" s="3">
        <v>62916</v>
      </c>
      <c r="Y43" s="5">
        <f t="shared" si="5"/>
        <v>0</v>
      </c>
      <c r="Z43" s="3"/>
      <c r="AA43" s="3">
        <f t="shared" si="6"/>
        <v>1787061</v>
      </c>
      <c r="AB43" s="3">
        <f t="shared" si="7"/>
        <v>93653</v>
      </c>
      <c r="AC43" s="3">
        <f t="shared" si="8"/>
        <v>67059</v>
      </c>
    </row>
    <row r="44" spans="1:29" x14ac:dyDescent="0.55000000000000004">
      <c r="A44" t="s">
        <v>130</v>
      </c>
      <c r="B44" s="3">
        <v>50863</v>
      </c>
      <c r="C44" s="3">
        <v>47514</v>
      </c>
      <c r="D44" s="3">
        <v>98377</v>
      </c>
      <c r="E44" s="5">
        <f t="shared" si="0"/>
        <v>0</v>
      </c>
      <c r="F44" s="3">
        <v>1476</v>
      </c>
      <c r="G44" s="3">
        <v>1403</v>
      </c>
      <c r="H44" s="3">
        <v>2879</v>
      </c>
      <c r="I44" s="5">
        <f t="shared" si="1"/>
        <v>0</v>
      </c>
      <c r="J44" s="3">
        <v>1309</v>
      </c>
      <c r="K44" s="3">
        <v>1149</v>
      </c>
      <c r="L44" s="3">
        <v>2458</v>
      </c>
      <c r="M44" s="5">
        <f t="shared" si="2"/>
        <v>0</v>
      </c>
      <c r="N44" s="3">
        <v>698932</v>
      </c>
      <c r="O44" s="3">
        <v>719272</v>
      </c>
      <c r="P44" s="3">
        <v>1418204</v>
      </c>
      <c r="Q44" s="5">
        <f t="shared" si="3"/>
        <v>0</v>
      </c>
      <c r="R44" s="3">
        <v>32829</v>
      </c>
      <c r="S44" s="3">
        <v>31346</v>
      </c>
      <c r="T44" s="3">
        <v>64175</v>
      </c>
      <c r="U44" s="5">
        <f t="shared" si="4"/>
        <v>0</v>
      </c>
      <c r="V44" s="3">
        <v>20204</v>
      </c>
      <c r="W44" s="3">
        <v>18157</v>
      </c>
      <c r="X44" s="3">
        <v>38361</v>
      </c>
      <c r="Y44" s="5">
        <f t="shared" si="5"/>
        <v>0</v>
      </c>
      <c r="Z44" s="3"/>
      <c r="AA44" s="3">
        <f t="shared" si="6"/>
        <v>1516581</v>
      </c>
      <c r="AB44" s="3">
        <f t="shared" si="7"/>
        <v>67054</v>
      </c>
      <c r="AC44" s="3">
        <f t="shared" si="8"/>
        <v>40819</v>
      </c>
    </row>
    <row r="45" spans="1:29" x14ac:dyDescent="0.55000000000000004">
      <c r="A45" t="s">
        <v>43</v>
      </c>
      <c r="B45" s="3">
        <v>13278</v>
      </c>
      <c r="C45" s="3">
        <v>13970</v>
      </c>
      <c r="D45" s="3">
        <v>27248</v>
      </c>
      <c r="E45" s="5">
        <f t="shared" si="0"/>
        <v>0</v>
      </c>
      <c r="F45" s="3">
        <v>537</v>
      </c>
      <c r="G45" s="3">
        <v>476</v>
      </c>
      <c r="H45" s="3">
        <v>1013</v>
      </c>
      <c r="I45" s="5">
        <f t="shared" si="1"/>
        <v>0</v>
      </c>
      <c r="J45" s="3">
        <v>508</v>
      </c>
      <c r="K45" s="3">
        <v>415</v>
      </c>
      <c r="L45" s="3">
        <v>923</v>
      </c>
      <c r="M45" s="5">
        <f t="shared" si="2"/>
        <v>0</v>
      </c>
      <c r="N45" s="3">
        <v>180022</v>
      </c>
      <c r="O45" s="3">
        <v>189651</v>
      </c>
      <c r="P45" s="3">
        <v>369673</v>
      </c>
      <c r="Q45" s="5">
        <f t="shared" si="3"/>
        <v>0</v>
      </c>
      <c r="R45" s="3">
        <v>9378</v>
      </c>
      <c r="S45" s="3">
        <v>8941</v>
      </c>
      <c r="T45" s="3">
        <v>18319</v>
      </c>
      <c r="U45" s="5">
        <f t="shared" si="4"/>
        <v>0</v>
      </c>
      <c r="V45" s="3">
        <v>7027</v>
      </c>
      <c r="W45" s="3">
        <v>6602</v>
      </c>
      <c r="X45" s="3">
        <v>13629</v>
      </c>
      <c r="Y45" s="5">
        <f t="shared" si="5"/>
        <v>0</v>
      </c>
      <c r="Z45" s="3"/>
      <c r="AA45" s="3">
        <f t="shared" si="6"/>
        <v>396921</v>
      </c>
      <c r="AB45" s="3">
        <f t="shared" si="7"/>
        <v>19332</v>
      </c>
      <c r="AC45" s="3">
        <f t="shared" si="8"/>
        <v>14552</v>
      </c>
    </row>
    <row r="46" spans="1:29" x14ac:dyDescent="0.55000000000000004">
      <c r="A46" t="s">
        <v>44</v>
      </c>
      <c r="B46" s="3">
        <v>123735</v>
      </c>
      <c r="C46" s="3">
        <v>114834</v>
      </c>
      <c r="D46" s="3">
        <v>238569</v>
      </c>
      <c r="E46" s="5">
        <f t="shared" si="0"/>
        <v>0</v>
      </c>
      <c r="F46" s="3">
        <v>4333</v>
      </c>
      <c r="G46" s="3">
        <v>4010</v>
      </c>
      <c r="H46" s="3">
        <v>8343</v>
      </c>
      <c r="I46" s="5">
        <f t="shared" si="1"/>
        <v>0</v>
      </c>
      <c r="J46" s="3">
        <v>3064</v>
      </c>
      <c r="K46" s="3">
        <v>2785</v>
      </c>
      <c r="L46" s="3">
        <v>5849</v>
      </c>
      <c r="M46" s="5">
        <f t="shared" si="2"/>
        <v>0</v>
      </c>
      <c r="N46" s="3">
        <v>960925</v>
      </c>
      <c r="O46" s="3">
        <v>1016407</v>
      </c>
      <c r="P46" s="3">
        <v>1977332</v>
      </c>
      <c r="Q46" s="5">
        <f t="shared" si="3"/>
        <v>0</v>
      </c>
      <c r="R46" s="3">
        <v>59495</v>
      </c>
      <c r="S46" s="3">
        <v>56635</v>
      </c>
      <c r="T46" s="3">
        <v>116130</v>
      </c>
      <c r="U46" s="5">
        <f t="shared" si="4"/>
        <v>0</v>
      </c>
      <c r="V46" s="3">
        <v>38844</v>
      </c>
      <c r="W46" s="3">
        <v>37279</v>
      </c>
      <c r="X46" s="3">
        <v>76123</v>
      </c>
      <c r="Y46" s="5">
        <f t="shared" si="5"/>
        <v>0</v>
      </c>
      <c r="Z46" s="3"/>
      <c r="AA46" s="3">
        <f t="shared" si="6"/>
        <v>2215901</v>
      </c>
      <c r="AB46" s="3">
        <f t="shared" si="7"/>
        <v>124473</v>
      </c>
      <c r="AC46" s="3">
        <f t="shared" si="8"/>
        <v>81972</v>
      </c>
    </row>
    <row r="47" spans="1:29" x14ac:dyDescent="0.55000000000000004">
      <c r="A47" t="s">
        <v>131</v>
      </c>
      <c r="B47" s="3">
        <v>63998</v>
      </c>
      <c r="C47" s="3">
        <v>66021</v>
      </c>
      <c r="D47" s="3">
        <v>130019</v>
      </c>
      <c r="E47" s="5">
        <f t="shared" si="0"/>
        <v>0</v>
      </c>
      <c r="F47" s="3">
        <v>3379</v>
      </c>
      <c r="G47" s="3">
        <v>3259</v>
      </c>
      <c r="H47" s="3">
        <v>6638</v>
      </c>
      <c r="I47" s="5">
        <f t="shared" si="1"/>
        <v>0</v>
      </c>
      <c r="J47" s="3">
        <v>2724</v>
      </c>
      <c r="K47" s="3">
        <v>2436</v>
      </c>
      <c r="L47" s="3">
        <v>5160</v>
      </c>
      <c r="M47" s="5">
        <f t="shared" si="2"/>
        <v>0</v>
      </c>
      <c r="N47" s="3">
        <v>779345</v>
      </c>
      <c r="O47" s="3">
        <v>791565</v>
      </c>
      <c r="P47" s="3">
        <v>1570910</v>
      </c>
      <c r="Q47" s="5">
        <f t="shared" si="3"/>
        <v>0</v>
      </c>
      <c r="R47" s="3">
        <v>43915</v>
      </c>
      <c r="S47" s="3">
        <v>41818</v>
      </c>
      <c r="T47" s="3">
        <v>85733</v>
      </c>
      <c r="U47" s="5">
        <f t="shared" si="4"/>
        <v>0</v>
      </c>
      <c r="V47" s="3">
        <v>30515</v>
      </c>
      <c r="W47" s="3">
        <v>29183</v>
      </c>
      <c r="X47" s="3">
        <v>59698</v>
      </c>
      <c r="Y47" s="5">
        <f t="shared" si="5"/>
        <v>0</v>
      </c>
      <c r="Z47" s="3"/>
      <c r="AA47" s="3">
        <f t="shared" si="6"/>
        <v>1700929</v>
      </c>
      <c r="AB47" s="3">
        <f t="shared" si="7"/>
        <v>92371</v>
      </c>
      <c r="AC47" s="3">
        <f t="shared" si="8"/>
        <v>64858</v>
      </c>
    </row>
    <row r="48" spans="1:29" x14ac:dyDescent="0.55000000000000004">
      <c r="A48" t="s">
        <v>179</v>
      </c>
      <c r="B48" s="3" t="s">
        <v>97</v>
      </c>
      <c r="C48" s="3" t="s">
        <v>97</v>
      </c>
      <c r="D48" s="3">
        <v>181811</v>
      </c>
      <c r="E48" s="5" t="e">
        <f t="shared" si="0"/>
        <v>#VALUE!</v>
      </c>
      <c r="F48" s="3">
        <v>4001</v>
      </c>
      <c r="G48" s="3">
        <v>3834</v>
      </c>
      <c r="H48" s="3">
        <v>7835</v>
      </c>
      <c r="I48" s="5">
        <f t="shared" si="1"/>
        <v>0</v>
      </c>
      <c r="J48" s="3">
        <v>4056</v>
      </c>
      <c r="K48" s="3">
        <v>3763</v>
      </c>
      <c r="L48" s="3">
        <v>7819</v>
      </c>
      <c r="M48" s="5">
        <f t="shared" si="2"/>
        <v>0</v>
      </c>
      <c r="N48" s="3" t="s">
        <v>97</v>
      </c>
      <c r="O48" s="3" t="s">
        <v>97</v>
      </c>
      <c r="P48" s="3">
        <v>3087783</v>
      </c>
      <c r="Q48" s="5" t="e">
        <f t="shared" si="3"/>
        <v>#VALUE!</v>
      </c>
      <c r="R48" s="3">
        <v>88307</v>
      </c>
      <c r="S48" s="3">
        <v>84121</v>
      </c>
      <c r="T48" s="3">
        <v>172428</v>
      </c>
      <c r="U48" s="5">
        <f t="shared" si="4"/>
        <v>0</v>
      </c>
      <c r="V48" s="3">
        <v>72672</v>
      </c>
      <c r="W48" s="3">
        <v>69497</v>
      </c>
      <c r="X48" s="3">
        <v>142169</v>
      </c>
      <c r="Y48" s="5">
        <f t="shared" si="5"/>
        <v>0</v>
      </c>
      <c r="Z48" s="3"/>
      <c r="AA48" s="3">
        <f t="shared" si="6"/>
        <v>3269594</v>
      </c>
      <c r="AB48" s="3">
        <f t="shared" si="7"/>
        <v>180263</v>
      </c>
      <c r="AC48" s="3">
        <f t="shared" si="8"/>
        <v>149988</v>
      </c>
    </row>
    <row r="49" spans="1:29" x14ac:dyDescent="0.55000000000000004">
      <c r="A49" t="s">
        <v>132</v>
      </c>
      <c r="B49" s="3">
        <v>138754</v>
      </c>
      <c r="C49" s="3">
        <v>142482</v>
      </c>
      <c r="D49" s="3">
        <v>281236</v>
      </c>
      <c r="E49" s="5">
        <f t="shared" si="0"/>
        <v>0</v>
      </c>
      <c r="F49" s="3">
        <v>6134</v>
      </c>
      <c r="G49" s="3">
        <v>5809</v>
      </c>
      <c r="H49" s="3">
        <v>11943</v>
      </c>
      <c r="I49" s="5">
        <f t="shared" si="1"/>
        <v>0</v>
      </c>
      <c r="J49" s="3">
        <v>4007</v>
      </c>
      <c r="K49" s="3">
        <v>3503</v>
      </c>
      <c r="L49" s="3">
        <v>7510</v>
      </c>
      <c r="M49" s="5">
        <f t="shared" si="2"/>
        <v>0</v>
      </c>
      <c r="N49" s="3">
        <v>1445596</v>
      </c>
      <c r="O49" s="3">
        <v>1446744</v>
      </c>
      <c r="P49" s="3">
        <v>2892340</v>
      </c>
      <c r="Q49" s="5">
        <f t="shared" si="3"/>
        <v>0</v>
      </c>
      <c r="R49" s="3">
        <v>61211</v>
      </c>
      <c r="S49" s="3">
        <v>57068</v>
      </c>
      <c r="T49" s="3">
        <v>118279</v>
      </c>
      <c r="U49" s="5">
        <f t="shared" si="4"/>
        <v>0</v>
      </c>
      <c r="V49" s="3">
        <v>34343</v>
      </c>
      <c r="W49" s="3">
        <v>33772</v>
      </c>
      <c r="X49" s="3">
        <v>68115</v>
      </c>
      <c r="Y49" s="5">
        <f t="shared" si="5"/>
        <v>0</v>
      </c>
      <c r="Z49" s="3"/>
      <c r="AA49" s="3">
        <f t="shared" si="6"/>
        <v>3173576</v>
      </c>
      <c r="AB49" s="3">
        <f t="shared" si="7"/>
        <v>130222</v>
      </c>
      <c r="AC49" s="3">
        <f t="shared" si="8"/>
        <v>75625</v>
      </c>
    </row>
    <row r="50" spans="1:29" x14ac:dyDescent="0.55000000000000004">
      <c r="A50" t="s">
        <v>133</v>
      </c>
      <c r="B50" s="3">
        <v>43425</v>
      </c>
      <c r="C50" s="3">
        <v>45906</v>
      </c>
      <c r="D50" s="3">
        <v>89331</v>
      </c>
      <c r="E50" s="5">
        <f t="shared" si="0"/>
        <v>0</v>
      </c>
      <c r="F50" s="3">
        <v>2556</v>
      </c>
      <c r="G50" s="3">
        <v>2398</v>
      </c>
      <c r="H50" s="3">
        <v>4954</v>
      </c>
      <c r="I50" s="5">
        <f t="shared" si="1"/>
        <v>0</v>
      </c>
      <c r="J50" s="3">
        <v>1151</v>
      </c>
      <c r="K50" s="3">
        <v>1022</v>
      </c>
      <c r="L50" s="3">
        <v>2173</v>
      </c>
      <c r="M50" s="5">
        <f t="shared" si="2"/>
        <v>0</v>
      </c>
      <c r="N50" s="3">
        <v>547775</v>
      </c>
      <c r="O50" s="3">
        <v>583905</v>
      </c>
      <c r="P50" s="3">
        <v>1131680</v>
      </c>
      <c r="Q50" s="5">
        <f t="shared" si="3"/>
        <v>0</v>
      </c>
      <c r="R50" s="3">
        <v>26224</v>
      </c>
      <c r="S50" s="3">
        <v>25061</v>
      </c>
      <c r="T50" s="3">
        <v>51285</v>
      </c>
      <c r="U50" s="5">
        <f t="shared" si="4"/>
        <v>0</v>
      </c>
      <c r="V50" s="3">
        <v>15479</v>
      </c>
      <c r="W50" s="3">
        <v>14042</v>
      </c>
      <c r="X50" s="3">
        <v>29521</v>
      </c>
      <c r="Y50" s="5">
        <f t="shared" si="5"/>
        <v>0</v>
      </c>
      <c r="Z50" s="3"/>
      <c r="AA50" s="3">
        <f t="shared" si="6"/>
        <v>1221011</v>
      </c>
      <c r="AB50" s="3">
        <f t="shared" si="7"/>
        <v>56239</v>
      </c>
      <c r="AC50" s="3">
        <f t="shared" si="8"/>
        <v>31694</v>
      </c>
    </row>
    <row r="51" spans="1:29" x14ac:dyDescent="0.55000000000000004">
      <c r="A51" t="s">
        <v>134</v>
      </c>
      <c r="B51" s="3">
        <v>69616</v>
      </c>
      <c r="C51" s="3">
        <v>61399</v>
      </c>
      <c r="D51" s="3">
        <v>131015</v>
      </c>
      <c r="E51" s="5">
        <f t="shared" si="0"/>
        <v>0</v>
      </c>
      <c r="F51" s="3">
        <v>3345</v>
      </c>
      <c r="G51" s="3">
        <v>3158</v>
      </c>
      <c r="H51" s="3">
        <v>6503</v>
      </c>
      <c r="I51" s="5">
        <f t="shared" si="1"/>
        <v>0</v>
      </c>
      <c r="J51" s="3">
        <v>2568</v>
      </c>
      <c r="K51" s="3">
        <v>2425</v>
      </c>
      <c r="L51" s="3">
        <v>4993</v>
      </c>
      <c r="M51" s="5">
        <f t="shared" si="2"/>
        <v>0</v>
      </c>
      <c r="N51" s="3">
        <v>1031662</v>
      </c>
      <c r="O51" s="3">
        <v>1048307</v>
      </c>
      <c r="P51" s="3">
        <v>2079969</v>
      </c>
      <c r="Q51" s="5">
        <f t="shared" si="3"/>
        <v>0</v>
      </c>
      <c r="R51" s="3">
        <v>49891</v>
      </c>
      <c r="S51" s="3">
        <v>48733</v>
      </c>
      <c r="T51" s="3">
        <v>98624</v>
      </c>
      <c r="U51" s="5">
        <f t="shared" si="4"/>
        <v>0</v>
      </c>
      <c r="V51" s="3">
        <v>31602</v>
      </c>
      <c r="W51" s="3">
        <v>30156</v>
      </c>
      <c r="X51" s="3">
        <v>61758</v>
      </c>
      <c r="Y51" s="5">
        <f t="shared" si="5"/>
        <v>0</v>
      </c>
      <c r="Z51" s="3"/>
      <c r="AA51" s="3">
        <f t="shared" si="6"/>
        <v>2210984</v>
      </c>
      <c r="AB51" s="3">
        <f t="shared" si="7"/>
        <v>105127</v>
      </c>
      <c r="AC51" s="3">
        <f t="shared" si="8"/>
        <v>66751</v>
      </c>
    </row>
    <row r="52" spans="1:29" x14ac:dyDescent="0.55000000000000004">
      <c r="A52" t="s">
        <v>50</v>
      </c>
      <c r="B52" s="3">
        <v>86162</v>
      </c>
      <c r="C52" s="3">
        <v>88936</v>
      </c>
      <c r="D52" s="3">
        <v>175098</v>
      </c>
      <c r="E52" s="5">
        <f t="shared" si="0"/>
        <v>0</v>
      </c>
      <c r="F52" s="3">
        <v>5073</v>
      </c>
      <c r="G52" s="3">
        <v>4920</v>
      </c>
      <c r="H52" s="3">
        <v>9993</v>
      </c>
      <c r="I52" s="5">
        <f t="shared" si="1"/>
        <v>0</v>
      </c>
      <c r="J52" s="3">
        <v>4746</v>
      </c>
      <c r="K52" s="3">
        <v>3760</v>
      </c>
      <c r="L52" s="3">
        <v>8506</v>
      </c>
      <c r="M52" s="5">
        <f t="shared" si="2"/>
        <v>0</v>
      </c>
      <c r="N52" s="3">
        <v>1434237</v>
      </c>
      <c r="O52" s="3">
        <v>1465432</v>
      </c>
      <c r="P52" s="3">
        <v>2899669</v>
      </c>
      <c r="Q52" s="5">
        <f t="shared" si="3"/>
        <v>0</v>
      </c>
      <c r="R52" s="3">
        <v>82994</v>
      </c>
      <c r="S52" s="3">
        <v>79542</v>
      </c>
      <c r="T52" s="3">
        <v>162536</v>
      </c>
      <c r="U52" s="5">
        <f t="shared" si="4"/>
        <v>0</v>
      </c>
      <c r="V52" s="3">
        <v>58378</v>
      </c>
      <c r="W52" s="3">
        <v>55602</v>
      </c>
      <c r="X52" s="3">
        <v>113980</v>
      </c>
      <c r="Y52" s="5">
        <f t="shared" si="5"/>
        <v>0</v>
      </c>
      <c r="Z52" s="3"/>
      <c r="AA52" s="3">
        <f t="shared" si="6"/>
        <v>3074767</v>
      </c>
      <c r="AB52" s="3">
        <f t="shared" si="7"/>
        <v>172529</v>
      </c>
      <c r="AC52" s="3">
        <f t="shared" si="8"/>
        <v>122486</v>
      </c>
    </row>
    <row r="53" spans="1:29" x14ac:dyDescent="0.55000000000000004">
      <c r="A53" t="s">
        <v>135</v>
      </c>
      <c r="B53" s="3" t="s">
        <v>97</v>
      </c>
      <c r="C53" s="3" t="s">
        <v>97</v>
      </c>
      <c r="D53" s="3" t="s">
        <v>97</v>
      </c>
      <c r="E53" s="5" t="e">
        <f t="shared" si="0"/>
        <v>#VALUE!</v>
      </c>
      <c r="F53" s="3">
        <v>1341</v>
      </c>
      <c r="G53" s="3">
        <v>1264</v>
      </c>
      <c r="H53" s="3">
        <v>2605</v>
      </c>
      <c r="I53" s="5">
        <f t="shared" si="1"/>
        <v>0</v>
      </c>
      <c r="J53" s="3">
        <v>892</v>
      </c>
      <c r="K53" s="3">
        <v>872</v>
      </c>
      <c r="L53" s="3">
        <v>1764</v>
      </c>
      <c r="M53" s="5">
        <f t="shared" si="2"/>
        <v>0</v>
      </c>
      <c r="N53" s="3">
        <v>356689</v>
      </c>
      <c r="O53" s="3">
        <v>385959</v>
      </c>
      <c r="P53" s="10">
        <v>742648</v>
      </c>
      <c r="Q53" s="5">
        <f t="shared" si="3"/>
        <v>0</v>
      </c>
      <c r="R53" s="3">
        <v>14031</v>
      </c>
      <c r="S53" s="3">
        <v>13283</v>
      </c>
      <c r="T53" s="3">
        <v>27314</v>
      </c>
      <c r="U53" s="5">
        <f t="shared" si="4"/>
        <v>0</v>
      </c>
      <c r="V53" s="3">
        <v>11994</v>
      </c>
      <c r="W53" s="3">
        <v>10585</v>
      </c>
      <c r="X53" s="3">
        <v>22579</v>
      </c>
      <c r="Y53" s="5">
        <f t="shared" si="5"/>
        <v>0</v>
      </c>
      <c r="Z53" s="3"/>
      <c r="AA53" s="3">
        <f>P53</f>
        <v>742648</v>
      </c>
      <c r="AB53" s="3">
        <f t="shared" si="7"/>
        <v>29919</v>
      </c>
      <c r="AC53" s="3">
        <f t="shared" si="8"/>
        <v>24343</v>
      </c>
    </row>
    <row r="54" spans="1:29" x14ac:dyDescent="0.55000000000000004">
      <c r="A54" t="s">
        <v>136</v>
      </c>
      <c r="B54" s="3">
        <v>716445</v>
      </c>
      <c r="C54" s="3">
        <v>597466</v>
      </c>
      <c r="D54" s="3">
        <v>1313911</v>
      </c>
      <c r="E54" s="5">
        <f t="shared" si="0"/>
        <v>0</v>
      </c>
      <c r="F54" s="3">
        <v>19702</v>
      </c>
      <c r="G54" s="3">
        <v>19072</v>
      </c>
      <c r="H54" s="3">
        <v>38774</v>
      </c>
      <c r="I54" s="5">
        <f t="shared" si="1"/>
        <v>0</v>
      </c>
      <c r="J54" s="3">
        <v>15740</v>
      </c>
      <c r="K54" s="3">
        <v>12934</v>
      </c>
      <c r="L54" s="3">
        <v>28674</v>
      </c>
      <c r="M54" s="5">
        <f t="shared" si="2"/>
        <v>0</v>
      </c>
      <c r="N54" s="3">
        <v>0</v>
      </c>
      <c r="O54" s="3">
        <v>0</v>
      </c>
      <c r="P54" s="3">
        <v>0</v>
      </c>
      <c r="Q54" s="5">
        <f t="shared" si="3"/>
        <v>0</v>
      </c>
      <c r="R54" s="3">
        <v>0</v>
      </c>
      <c r="S54" s="3">
        <v>0</v>
      </c>
      <c r="T54" s="3">
        <v>0</v>
      </c>
      <c r="U54" s="5">
        <f t="shared" si="4"/>
        <v>0</v>
      </c>
      <c r="V54" s="3">
        <v>0</v>
      </c>
      <c r="W54" s="3">
        <v>0</v>
      </c>
      <c r="X54" s="3">
        <v>0</v>
      </c>
      <c r="Y54" s="5">
        <f t="shared" si="5"/>
        <v>0</v>
      </c>
      <c r="Z54" s="3"/>
      <c r="AA54" s="3">
        <f t="shared" si="6"/>
        <v>1313911</v>
      </c>
      <c r="AB54" s="3">
        <f t="shared" si="7"/>
        <v>38774</v>
      </c>
      <c r="AC54" s="3">
        <f t="shared" si="8"/>
        <v>28674</v>
      </c>
    </row>
    <row r="55" spans="1:29" x14ac:dyDescent="0.55000000000000004">
      <c r="A55" t="s">
        <v>137</v>
      </c>
      <c r="B55" s="3">
        <v>186837</v>
      </c>
      <c r="C55" s="3">
        <v>190601</v>
      </c>
      <c r="D55" s="3">
        <v>377438</v>
      </c>
      <c r="E55" s="5">
        <f t="shared" si="0"/>
        <v>0</v>
      </c>
      <c r="F55" s="10">
        <v>10063</v>
      </c>
      <c r="G55" s="3">
        <v>9729</v>
      </c>
      <c r="H55" s="3">
        <v>19792</v>
      </c>
      <c r="I55" s="5">
        <f t="shared" si="1"/>
        <v>0</v>
      </c>
      <c r="J55" s="3">
        <v>8172</v>
      </c>
      <c r="K55" s="3">
        <v>7219</v>
      </c>
      <c r="L55" s="3">
        <v>15391</v>
      </c>
      <c r="M55" s="5">
        <f t="shared" si="2"/>
        <v>0</v>
      </c>
      <c r="N55" s="3">
        <v>1139625</v>
      </c>
      <c r="O55" s="3">
        <v>1169938</v>
      </c>
      <c r="P55" s="3">
        <v>2309563</v>
      </c>
      <c r="Q55" s="5">
        <f t="shared" si="3"/>
        <v>0</v>
      </c>
      <c r="R55" s="3">
        <v>62790</v>
      </c>
      <c r="S55" s="3">
        <v>60013</v>
      </c>
      <c r="T55" s="3">
        <v>122803</v>
      </c>
      <c r="U55" s="5">
        <f t="shared" si="4"/>
        <v>0</v>
      </c>
      <c r="V55" s="3">
        <v>43342</v>
      </c>
      <c r="W55" s="3">
        <v>41952</v>
      </c>
      <c r="X55" s="3">
        <v>85294</v>
      </c>
      <c r="Y55" s="5">
        <f t="shared" si="5"/>
        <v>0</v>
      </c>
      <c r="Z55" s="3"/>
      <c r="AA55" s="3">
        <f t="shared" si="6"/>
        <v>2687001</v>
      </c>
      <c r="AB55" s="3">
        <f t="shared" si="7"/>
        <v>142595</v>
      </c>
      <c r="AC55" s="3">
        <f t="shared" si="8"/>
        <v>100685</v>
      </c>
    </row>
    <row r="56" spans="1:29" x14ac:dyDescent="0.55000000000000004">
      <c r="A56" t="s">
        <v>138</v>
      </c>
      <c r="B56" s="3">
        <v>57766</v>
      </c>
      <c r="C56" s="3">
        <v>59963</v>
      </c>
      <c r="D56" s="3">
        <v>117729</v>
      </c>
      <c r="E56" s="5">
        <f t="shared" si="0"/>
        <v>0</v>
      </c>
      <c r="F56" s="3">
        <v>2638</v>
      </c>
      <c r="G56" s="3">
        <v>2663</v>
      </c>
      <c r="H56" s="3">
        <v>5301</v>
      </c>
      <c r="I56" s="5">
        <f t="shared" si="1"/>
        <v>0</v>
      </c>
      <c r="J56" s="3">
        <v>2496</v>
      </c>
      <c r="K56" s="3">
        <v>2336</v>
      </c>
      <c r="L56" s="3">
        <v>4832</v>
      </c>
      <c r="M56" s="5">
        <f t="shared" si="2"/>
        <v>0</v>
      </c>
      <c r="N56" s="3">
        <v>770936</v>
      </c>
      <c r="O56" s="3">
        <v>797762</v>
      </c>
      <c r="P56" s="3">
        <v>1568698</v>
      </c>
      <c r="Q56" s="5">
        <f t="shared" si="3"/>
        <v>0</v>
      </c>
      <c r="R56" s="3">
        <v>40796</v>
      </c>
      <c r="S56" s="3">
        <v>38682</v>
      </c>
      <c r="T56" s="3">
        <v>79478</v>
      </c>
      <c r="U56" s="5">
        <f t="shared" si="4"/>
        <v>0</v>
      </c>
      <c r="V56" s="3">
        <v>29357</v>
      </c>
      <c r="W56" s="3">
        <v>29073</v>
      </c>
      <c r="X56" s="3">
        <v>58430</v>
      </c>
      <c r="Y56" s="5">
        <f t="shared" si="5"/>
        <v>0</v>
      </c>
      <c r="Z56" s="3"/>
      <c r="AA56" s="3">
        <f t="shared" si="6"/>
        <v>1686427</v>
      </c>
      <c r="AB56" s="3">
        <f t="shared" si="7"/>
        <v>84779</v>
      </c>
      <c r="AC56" s="3">
        <f t="shared" si="8"/>
        <v>63262</v>
      </c>
    </row>
    <row r="57" spans="1:29" x14ac:dyDescent="0.55000000000000004">
      <c r="A57" t="s">
        <v>139</v>
      </c>
      <c r="B57" s="3">
        <v>86773</v>
      </c>
      <c r="C57" s="3">
        <v>68765</v>
      </c>
      <c r="D57" s="3">
        <v>155538</v>
      </c>
      <c r="E57" s="5">
        <f t="shared" si="0"/>
        <v>0</v>
      </c>
      <c r="F57" s="3">
        <v>2223</v>
      </c>
      <c r="G57" s="3">
        <v>2079</v>
      </c>
      <c r="H57" s="3">
        <v>4302</v>
      </c>
      <c r="I57" s="5">
        <f t="shared" si="1"/>
        <v>0</v>
      </c>
      <c r="J57" s="3">
        <v>1665</v>
      </c>
      <c r="K57" s="3">
        <v>1533</v>
      </c>
      <c r="L57" s="3">
        <v>3198</v>
      </c>
      <c r="M57" s="5">
        <f t="shared" si="2"/>
        <v>0</v>
      </c>
      <c r="N57" s="3">
        <v>820938</v>
      </c>
      <c r="O57" s="3">
        <v>808923</v>
      </c>
      <c r="P57" s="3">
        <v>1629861</v>
      </c>
      <c r="Q57" s="5">
        <f t="shared" si="3"/>
        <v>0</v>
      </c>
      <c r="R57" s="3">
        <v>46981</v>
      </c>
      <c r="S57" s="3">
        <v>44909</v>
      </c>
      <c r="T57" s="3">
        <v>91890</v>
      </c>
      <c r="U57" s="5">
        <f t="shared" si="4"/>
        <v>0</v>
      </c>
      <c r="V57" s="3">
        <v>29331</v>
      </c>
      <c r="W57" s="3">
        <v>27670</v>
      </c>
      <c r="X57" s="3">
        <v>57001</v>
      </c>
      <c r="Y57" s="5">
        <f t="shared" si="5"/>
        <v>0</v>
      </c>
      <c r="Z57" s="3"/>
      <c r="AA57" s="3">
        <f t="shared" si="6"/>
        <v>1785399</v>
      </c>
      <c r="AB57" s="3">
        <f t="shared" si="7"/>
        <v>96192</v>
      </c>
      <c r="AC57" s="3">
        <f t="shared" si="8"/>
        <v>60199</v>
      </c>
    </row>
    <row r="58" spans="1:29" x14ac:dyDescent="0.55000000000000004">
      <c r="A58" t="s">
        <v>140</v>
      </c>
      <c r="B58" s="3">
        <v>153464</v>
      </c>
      <c r="C58" s="3">
        <v>88101</v>
      </c>
      <c r="D58" s="3">
        <v>241565</v>
      </c>
      <c r="E58" s="5">
        <f t="shared" si="0"/>
        <v>0</v>
      </c>
      <c r="F58" s="3">
        <v>5508</v>
      </c>
      <c r="G58" s="3">
        <v>5171</v>
      </c>
      <c r="H58" s="3">
        <v>10679</v>
      </c>
      <c r="I58" s="5">
        <f t="shared" si="1"/>
        <v>0</v>
      </c>
      <c r="J58" s="3">
        <v>3794</v>
      </c>
      <c r="K58" s="3">
        <v>3126</v>
      </c>
      <c r="L58" s="3">
        <v>6920</v>
      </c>
      <c r="M58" s="5">
        <f t="shared" si="2"/>
        <v>0</v>
      </c>
      <c r="N58" s="3">
        <v>681665</v>
      </c>
      <c r="O58" s="3">
        <v>638481</v>
      </c>
      <c r="P58" s="3">
        <v>1320146</v>
      </c>
      <c r="Q58" s="5">
        <f t="shared" si="3"/>
        <v>0</v>
      </c>
      <c r="R58" s="3">
        <v>30118</v>
      </c>
      <c r="S58" s="3">
        <v>30363</v>
      </c>
      <c r="T58" s="3">
        <v>60481</v>
      </c>
      <c r="U58" s="5">
        <f t="shared" si="4"/>
        <v>0</v>
      </c>
      <c r="V58" s="3">
        <v>18341</v>
      </c>
      <c r="W58" s="3">
        <v>17005</v>
      </c>
      <c r="X58" s="3">
        <v>35346</v>
      </c>
      <c r="Y58" s="5">
        <f t="shared" si="5"/>
        <v>0</v>
      </c>
      <c r="Z58" s="3"/>
      <c r="AA58" s="3">
        <f t="shared" si="6"/>
        <v>1561711</v>
      </c>
      <c r="AB58" s="3">
        <f t="shared" si="7"/>
        <v>71160</v>
      </c>
      <c r="AC58" s="3">
        <f t="shared" si="8"/>
        <v>42266</v>
      </c>
    </row>
    <row r="59" spans="1:29" x14ac:dyDescent="0.55000000000000004">
      <c r="A59" t="s">
        <v>141</v>
      </c>
      <c r="B59" s="3">
        <v>42698</v>
      </c>
      <c r="C59" s="3">
        <v>20798</v>
      </c>
      <c r="D59" s="3">
        <v>63496</v>
      </c>
      <c r="E59" s="5">
        <f t="shared" si="0"/>
        <v>0</v>
      </c>
      <c r="F59" s="3">
        <v>1319</v>
      </c>
      <c r="G59" s="3">
        <v>1217</v>
      </c>
      <c r="H59" s="3">
        <v>2536</v>
      </c>
      <c r="I59" s="5">
        <f t="shared" si="1"/>
        <v>0</v>
      </c>
      <c r="J59" s="3">
        <v>922</v>
      </c>
      <c r="K59" s="3">
        <v>680</v>
      </c>
      <c r="L59" s="3">
        <v>1602</v>
      </c>
      <c r="M59" s="5">
        <f t="shared" si="2"/>
        <v>0</v>
      </c>
      <c r="N59" s="3">
        <v>0</v>
      </c>
      <c r="O59" s="3">
        <v>0</v>
      </c>
      <c r="P59" s="3">
        <v>0</v>
      </c>
      <c r="Q59" s="5">
        <f t="shared" si="3"/>
        <v>0</v>
      </c>
      <c r="R59" s="3">
        <v>0</v>
      </c>
      <c r="S59" s="3">
        <v>0</v>
      </c>
      <c r="T59" s="3">
        <v>0</v>
      </c>
      <c r="U59" s="5">
        <f t="shared" si="4"/>
        <v>0</v>
      </c>
      <c r="V59" s="3">
        <v>0</v>
      </c>
      <c r="W59" s="3">
        <v>0</v>
      </c>
      <c r="X59" s="3">
        <v>0</v>
      </c>
      <c r="Y59" s="5">
        <f t="shared" si="5"/>
        <v>0</v>
      </c>
      <c r="Z59" s="3"/>
      <c r="AA59" s="3">
        <f t="shared" si="6"/>
        <v>63496</v>
      </c>
      <c r="AB59" s="3">
        <f t="shared" si="7"/>
        <v>2536</v>
      </c>
      <c r="AC59" s="3">
        <f t="shared" si="8"/>
        <v>1602</v>
      </c>
    </row>
    <row r="60" spans="1:29" x14ac:dyDescent="0.55000000000000004">
      <c r="A60" t="s">
        <v>142</v>
      </c>
      <c r="B60" s="3">
        <v>113250</v>
      </c>
      <c r="C60" s="3">
        <v>107059</v>
      </c>
      <c r="D60" s="3">
        <v>220309</v>
      </c>
      <c r="E60" s="5">
        <f t="shared" si="0"/>
        <v>0</v>
      </c>
      <c r="F60" s="3">
        <v>5031</v>
      </c>
      <c r="G60" s="3">
        <v>4774</v>
      </c>
      <c r="H60" s="3">
        <v>9805</v>
      </c>
      <c r="I60" s="5">
        <f t="shared" si="1"/>
        <v>0</v>
      </c>
      <c r="J60" s="3">
        <v>3901</v>
      </c>
      <c r="K60" s="3">
        <v>3647</v>
      </c>
      <c r="L60" s="3">
        <v>7548</v>
      </c>
      <c r="M60" s="5">
        <f t="shared" si="2"/>
        <v>0</v>
      </c>
      <c r="N60" s="3">
        <v>1482736</v>
      </c>
      <c r="O60" s="3">
        <v>1502242</v>
      </c>
      <c r="P60" s="3">
        <v>2984978</v>
      </c>
      <c r="Q60" s="5">
        <f t="shared" si="3"/>
        <v>0</v>
      </c>
      <c r="R60" s="3">
        <v>75002</v>
      </c>
      <c r="S60" s="3">
        <v>72062</v>
      </c>
      <c r="T60" s="3">
        <v>147064</v>
      </c>
      <c r="U60" s="5">
        <f t="shared" si="4"/>
        <v>0</v>
      </c>
      <c r="V60" s="3">
        <v>50837</v>
      </c>
      <c r="W60" s="3">
        <v>49473</v>
      </c>
      <c r="X60" s="3">
        <v>100310</v>
      </c>
      <c r="Y60" s="5">
        <f t="shared" si="5"/>
        <v>0</v>
      </c>
      <c r="Z60" s="3"/>
      <c r="AA60" s="3">
        <f t="shared" si="6"/>
        <v>3205287</v>
      </c>
      <c r="AB60" s="3">
        <f t="shared" si="7"/>
        <v>156869</v>
      </c>
      <c r="AC60" s="3">
        <f t="shared" si="8"/>
        <v>107858</v>
      </c>
    </row>
    <row r="61" spans="1:29" x14ac:dyDescent="0.55000000000000004">
      <c r="A61" t="s">
        <v>143</v>
      </c>
      <c r="B61" s="3">
        <v>84115</v>
      </c>
      <c r="C61" s="3">
        <v>76808</v>
      </c>
      <c r="D61" s="3">
        <v>160923</v>
      </c>
      <c r="E61" s="5">
        <f t="shared" si="0"/>
        <v>0</v>
      </c>
      <c r="F61" s="3">
        <v>2173</v>
      </c>
      <c r="G61" s="3">
        <v>2045</v>
      </c>
      <c r="H61" s="3">
        <v>4218</v>
      </c>
      <c r="I61" s="5">
        <f t="shared" si="1"/>
        <v>0</v>
      </c>
      <c r="J61" s="3">
        <v>1439</v>
      </c>
      <c r="K61" s="3">
        <v>1399</v>
      </c>
      <c r="L61" s="3">
        <v>2838</v>
      </c>
      <c r="M61" s="5">
        <f t="shared" si="2"/>
        <v>0</v>
      </c>
      <c r="N61" s="3">
        <v>938224</v>
      </c>
      <c r="O61" s="3">
        <v>1012499</v>
      </c>
      <c r="P61" s="3">
        <v>1950723</v>
      </c>
      <c r="Q61" s="5">
        <f t="shared" si="3"/>
        <v>0</v>
      </c>
      <c r="R61" s="3">
        <v>50934</v>
      </c>
      <c r="S61" s="3">
        <v>48129</v>
      </c>
      <c r="T61" s="3">
        <v>99063</v>
      </c>
      <c r="U61" s="5">
        <f t="shared" si="4"/>
        <v>0</v>
      </c>
      <c r="V61" s="3">
        <v>30504</v>
      </c>
      <c r="W61" s="3">
        <v>28058</v>
      </c>
      <c r="X61" s="3">
        <v>58562</v>
      </c>
      <c r="Y61" s="5">
        <f t="shared" si="5"/>
        <v>0</v>
      </c>
      <c r="Z61" s="3"/>
      <c r="AA61" s="3">
        <f t="shared" si="6"/>
        <v>2111646</v>
      </c>
      <c r="AB61" s="3">
        <f t="shared" si="7"/>
        <v>103281</v>
      </c>
      <c r="AC61" s="3">
        <f t="shared" si="8"/>
        <v>61400</v>
      </c>
    </row>
    <row r="62" spans="1:29" x14ac:dyDescent="0.55000000000000004">
      <c r="A62" t="s">
        <v>60</v>
      </c>
      <c r="B62" s="3">
        <v>91829</v>
      </c>
      <c r="C62" s="3">
        <v>79329</v>
      </c>
      <c r="D62" s="3">
        <v>171158</v>
      </c>
      <c r="E62" s="5">
        <f t="shared" si="0"/>
        <v>0</v>
      </c>
      <c r="F62" s="3">
        <v>3910</v>
      </c>
      <c r="G62" s="3">
        <v>3821</v>
      </c>
      <c r="H62" s="3">
        <v>7731</v>
      </c>
      <c r="I62" s="5">
        <f t="shared" si="1"/>
        <v>0</v>
      </c>
      <c r="J62" s="3">
        <v>2715</v>
      </c>
      <c r="K62" s="3">
        <v>2454</v>
      </c>
      <c r="L62" s="3">
        <v>5169</v>
      </c>
      <c r="M62" s="5">
        <f t="shared" si="2"/>
        <v>0</v>
      </c>
      <c r="N62" s="3">
        <v>749997</v>
      </c>
      <c r="O62" s="3">
        <v>765377</v>
      </c>
      <c r="P62" s="3">
        <v>1515374</v>
      </c>
      <c r="Q62" s="5">
        <f t="shared" si="3"/>
        <v>0</v>
      </c>
      <c r="R62" s="3">
        <v>42200</v>
      </c>
      <c r="S62" s="3">
        <v>40741</v>
      </c>
      <c r="T62" s="3">
        <v>82941</v>
      </c>
      <c r="U62" s="5">
        <f t="shared" si="4"/>
        <v>0</v>
      </c>
      <c r="V62" s="3">
        <v>26755</v>
      </c>
      <c r="W62" s="10">
        <v>25083</v>
      </c>
      <c r="X62" s="3">
        <v>51838</v>
      </c>
      <c r="Y62" s="5">
        <f t="shared" si="5"/>
        <v>0</v>
      </c>
      <c r="Z62" s="3"/>
      <c r="AA62" s="3">
        <f t="shared" si="6"/>
        <v>1686532</v>
      </c>
      <c r="AB62" s="3">
        <f t="shared" si="7"/>
        <v>90672</v>
      </c>
      <c r="AC62" s="3">
        <f t="shared" si="8"/>
        <v>57007</v>
      </c>
    </row>
    <row r="63" spans="1:29" x14ac:dyDescent="0.55000000000000004">
      <c r="A63" t="s">
        <v>144</v>
      </c>
      <c r="B63" s="3">
        <v>62685</v>
      </c>
      <c r="C63" s="3">
        <v>66702</v>
      </c>
      <c r="D63" s="3">
        <v>129387</v>
      </c>
      <c r="E63" s="5">
        <f t="shared" si="0"/>
        <v>0</v>
      </c>
      <c r="F63" s="3">
        <v>3420</v>
      </c>
      <c r="G63" s="3">
        <v>3262</v>
      </c>
      <c r="H63" s="3">
        <v>6682</v>
      </c>
      <c r="I63" s="5">
        <f t="shared" si="1"/>
        <v>0</v>
      </c>
      <c r="J63" s="3">
        <v>2523</v>
      </c>
      <c r="K63" s="3">
        <v>2193</v>
      </c>
      <c r="L63" s="3">
        <v>4716</v>
      </c>
      <c r="M63" s="5">
        <f t="shared" si="2"/>
        <v>0</v>
      </c>
      <c r="N63" s="3">
        <v>1192456</v>
      </c>
      <c r="O63" s="3">
        <v>1249030</v>
      </c>
      <c r="P63" s="3">
        <v>2441486</v>
      </c>
      <c r="Q63" s="5">
        <f t="shared" si="3"/>
        <v>0</v>
      </c>
      <c r="R63" s="3">
        <v>57663</v>
      </c>
      <c r="S63" s="3">
        <v>54955</v>
      </c>
      <c r="T63" s="3">
        <v>112618</v>
      </c>
      <c r="U63" s="5">
        <f t="shared" si="4"/>
        <v>0</v>
      </c>
      <c r="V63" s="3">
        <v>36433</v>
      </c>
      <c r="W63" s="3">
        <v>36248</v>
      </c>
      <c r="X63" s="3">
        <v>72681</v>
      </c>
      <c r="Y63" s="5">
        <f t="shared" si="5"/>
        <v>0</v>
      </c>
      <c r="Z63" s="3"/>
      <c r="AA63" s="3">
        <f t="shared" si="6"/>
        <v>2570873</v>
      </c>
      <c r="AB63" s="3">
        <f t="shared" si="7"/>
        <v>119300</v>
      </c>
      <c r="AC63" s="3">
        <f t="shared" si="8"/>
        <v>77397</v>
      </c>
    </row>
    <row r="64" spans="1:29" x14ac:dyDescent="0.55000000000000004">
      <c r="A64" t="s">
        <v>62</v>
      </c>
      <c r="B64" s="3">
        <v>176898</v>
      </c>
      <c r="C64" s="3">
        <v>159491</v>
      </c>
      <c r="D64" s="3">
        <v>336389</v>
      </c>
      <c r="E64" s="5">
        <f t="shared" si="0"/>
        <v>0</v>
      </c>
      <c r="F64" s="3">
        <v>6874</v>
      </c>
      <c r="G64" s="3">
        <v>6679</v>
      </c>
      <c r="H64" s="3">
        <v>13553</v>
      </c>
      <c r="I64" s="5">
        <f t="shared" si="1"/>
        <v>0</v>
      </c>
      <c r="J64" s="3">
        <v>4498</v>
      </c>
      <c r="K64" s="3">
        <v>3955</v>
      </c>
      <c r="L64" s="3">
        <v>8453</v>
      </c>
      <c r="M64" s="5">
        <f t="shared" si="2"/>
        <v>0</v>
      </c>
      <c r="N64" s="3">
        <v>1282126</v>
      </c>
      <c r="O64" s="3">
        <v>1212523</v>
      </c>
      <c r="P64" s="3">
        <v>2494649</v>
      </c>
      <c r="Q64" s="5">
        <f t="shared" si="3"/>
        <v>0</v>
      </c>
      <c r="R64" s="3">
        <v>58704</v>
      </c>
      <c r="S64" s="3">
        <v>55953</v>
      </c>
      <c r="T64" s="3">
        <v>114657</v>
      </c>
      <c r="U64" s="5">
        <f t="shared" si="4"/>
        <v>0</v>
      </c>
      <c r="V64" s="3">
        <v>37531</v>
      </c>
      <c r="W64" s="3">
        <v>36647</v>
      </c>
      <c r="X64" s="3">
        <v>74178</v>
      </c>
      <c r="Y64" s="5">
        <f t="shared" si="5"/>
        <v>0</v>
      </c>
      <c r="Z64" s="3"/>
      <c r="AA64" s="3">
        <f t="shared" si="6"/>
        <v>2831038</v>
      </c>
      <c r="AB64" s="3">
        <f t="shared" si="7"/>
        <v>128210</v>
      </c>
      <c r="AC64" s="3">
        <f t="shared" si="8"/>
        <v>82631</v>
      </c>
    </row>
    <row r="65" spans="1:29" x14ac:dyDescent="0.55000000000000004">
      <c r="A65" t="s">
        <v>145</v>
      </c>
      <c r="B65" s="3" t="s">
        <v>97</v>
      </c>
      <c r="C65" s="3" t="s">
        <v>97</v>
      </c>
      <c r="D65" s="3">
        <v>207470</v>
      </c>
      <c r="E65" s="5" t="e">
        <f t="shared" si="0"/>
        <v>#VALUE!</v>
      </c>
      <c r="F65" s="3" t="s">
        <v>97</v>
      </c>
      <c r="G65" s="3" t="s">
        <v>97</v>
      </c>
      <c r="H65" s="3">
        <v>8116</v>
      </c>
      <c r="I65" s="5" t="e">
        <f t="shared" si="1"/>
        <v>#VALUE!</v>
      </c>
      <c r="J65" s="3" t="s">
        <v>97</v>
      </c>
      <c r="K65" s="3" t="s">
        <v>97</v>
      </c>
      <c r="L65" s="3">
        <v>5309</v>
      </c>
      <c r="M65" s="5" t="e">
        <f t="shared" si="2"/>
        <v>#VALUE!</v>
      </c>
      <c r="N65" s="3" t="s">
        <v>97</v>
      </c>
      <c r="O65" s="3" t="s">
        <v>97</v>
      </c>
      <c r="P65" s="3">
        <v>2297688</v>
      </c>
      <c r="Q65" s="5" t="e">
        <f t="shared" si="3"/>
        <v>#VALUE!</v>
      </c>
      <c r="R65" s="3" t="s">
        <v>97</v>
      </c>
      <c r="S65" s="3" t="s">
        <v>97</v>
      </c>
      <c r="T65" s="3">
        <v>115721</v>
      </c>
      <c r="U65" s="5" t="e">
        <f t="shared" si="4"/>
        <v>#VALUE!</v>
      </c>
      <c r="V65" s="3" t="s">
        <v>97</v>
      </c>
      <c r="W65" s="3" t="s">
        <v>97</v>
      </c>
      <c r="X65" s="3">
        <v>57594</v>
      </c>
      <c r="Y65" s="5" t="e">
        <f t="shared" si="5"/>
        <v>#VALUE!</v>
      </c>
      <c r="Z65" s="3"/>
      <c r="AA65" s="3">
        <f t="shared" si="6"/>
        <v>2505158</v>
      </c>
      <c r="AB65" s="3">
        <f t="shared" si="7"/>
        <v>123837</v>
      </c>
      <c r="AC65" s="3">
        <f t="shared" si="8"/>
        <v>62903</v>
      </c>
    </row>
    <row r="66" spans="1:29" x14ac:dyDescent="0.55000000000000004">
      <c r="A66" t="s">
        <v>146</v>
      </c>
      <c r="B66" s="3">
        <v>258355</v>
      </c>
      <c r="C66" s="3">
        <v>215991</v>
      </c>
      <c r="D66" s="3">
        <v>474346</v>
      </c>
      <c r="E66" s="5">
        <f t="shared" si="0"/>
        <v>0</v>
      </c>
      <c r="F66" s="3">
        <v>7758</v>
      </c>
      <c r="G66" s="3">
        <v>7200</v>
      </c>
      <c r="H66" s="3">
        <v>14958</v>
      </c>
      <c r="I66" s="5">
        <f t="shared" si="1"/>
        <v>0</v>
      </c>
      <c r="J66" s="3">
        <v>5114</v>
      </c>
      <c r="K66" s="3">
        <v>4184</v>
      </c>
      <c r="L66" s="3">
        <v>9298</v>
      </c>
      <c r="M66" s="5">
        <f t="shared" si="2"/>
        <v>0</v>
      </c>
      <c r="N66" s="3">
        <v>0</v>
      </c>
      <c r="O66" s="3">
        <v>0</v>
      </c>
      <c r="P66" s="3">
        <v>0</v>
      </c>
      <c r="Q66" s="5">
        <f t="shared" si="3"/>
        <v>0</v>
      </c>
      <c r="R66" s="3">
        <v>0</v>
      </c>
      <c r="S66" s="3">
        <v>0</v>
      </c>
      <c r="T66" s="3">
        <v>0</v>
      </c>
      <c r="U66" s="5">
        <f t="shared" si="4"/>
        <v>0</v>
      </c>
      <c r="V66" s="3">
        <v>0</v>
      </c>
      <c r="W66" s="3">
        <v>0</v>
      </c>
      <c r="X66" s="3">
        <v>0</v>
      </c>
      <c r="Y66" s="5">
        <f t="shared" si="5"/>
        <v>0</v>
      </c>
      <c r="Z66" s="3"/>
      <c r="AA66" s="3">
        <f t="shared" si="6"/>
        <v>474346</v>
      </c>
      <c r="AB66" s="3">
        <f t="shared" si="7"/>
        <v>14958</v>
      </c>
      <c r="AC66" s="3">
        <f t="shared" si="8"/>
        <v>9298</v>
      </c>
    </row>
    <row r="67" spans="1:29" x14ac:dyDescent="0.55000000000000004">
      <c r="A67" t="s">
        <v>65</v>
      </c>
      <c r="B67" s="10">
        <v>50867</v>
      </c>
      <c r="C67" s="3">
        <v>46886</v>
      </c>
      <c r="D67" s="3">
        <v>97753</v>
      </c>
      <c r="E67" s="5">
        <f t="shared" ref="E67:E106" si="9">B67+C67-D67</f>
        <v>0</v>
      </c>
      <c r="F67" s="3">
        <v>1967</v>
      </c>
      <c r="G67" s="3">
        <v>1853</v>
      </c>
      <c r="H67" s="3">
        <v>3820</v>
      </c>
      <c r="I67" s="5">
        <f t="shared" ref="I67:I106" si="10">F67+G67-H67</f>
        <v>0</v>
      </c>
      <c r="J67" s="3">
        <v>1244</v>
      </c>
      <c r="K67" s="3">
        <v>1020</v>
      </c>
      <c r="L67" s="3">
        <v>2264</v>
      </c>
      <c r="M67" s="5">
        <f t="shared" ref="M67:M106" si="11">J67+K67-L67</f>
        <v>0</v>
      </c>
      <c r="N67" s="3">
        <v>0</v>
      </c>
      <c r="O67" s="3">
        <v>0</v>
      </c>
      <c r="P67" s="3">
        <v>0</v>
      </c>
      <c r="Q67" s="5">
        <f t="shared" ref="Q67:Q106" si="12">N67+O67-P67</f>
        <v>0</v>
      </c>
      <c r="R67" s="3">
        <v>0</v>
      </c>
      <c r="S67" s="3">
        <v>0</v>
      </c>
      <c r="T67" s="3">
        <v>0</v>
      </c>
      <c r="U67" s="5">
        <f t="shared" ref="U67:U106" si="13">R67+S67-T67</f>
        <v>0</v>
      </c>
      <c r="V67" s="3">
        <v>0</v>
      </c>
      <c r="W67" s="3">
        <v>0</v>
      </c>
      <c r="X67" s="3">
        <v>0</v>
      </c>
      <c r="Y67" s="5">
        <f t="shared" ref="Y67:Y106" si="14">V67+W67-X67</f>
        <v>0</v>
      </c>
      <c r="Z67" s="3"/>
      <c r="AA67" s="3">
        <f t="shared" ref="AA67:AA106" si="15">D67+P67</f>
        <v>97753</v>
      </c>
      <c r="AB67" s="3">
        <f t="shared" ref="AB67:AB106" si="16">H67+T67</f>
        <v>3820</v>
      </c>
      <c r="AC67" s="3">
        <f t="shared" ref="AC67:AC106" si="17">L67+X67</f>
        <v>2264</v>
      </c>
    </row>
    <row r="68" spans="1:29" x14ac:dyDescent="0.55000000000000004">
      <c r="A68" t="s">
        <v>147</v>
      </c>
      <c r="B68" s="3">
        <v>112419</v>
      </c>
      <c r="C68" s="3">
        <v>108002</v>
      </c>
      <c r="D68" s="3">
        <v>220421</v>
      </c>
      <c r="E68" s="5">
        <f t="shared" si="9"/>
        <v>0</v>
      </c>
      <c r="F68" s="3">
        <v>4067</v>
      </c>
      <c r="G68" s="3">
        <v>3644</v>
      </c>
      <c r="H68" s="3">
        <v>7711</v>
      </c>
      <c r="I68" s="5">
        <f t="shared" si="10"/>
        <v>0</v>
      </c>
      <c r="J68" s="3">
        <v>2465</v>
      </c>
      <c r="K68" s="3">
        <v>2183</v>
      </c>
      <c r="L68" s="3">
        <v>4648</v>
      </c>
      <c r="M68" s="5">
        <f t="shared" si="11"/>
        <v>0</v>
      </c>
      <c r="N68" s="3">
        <v>1183221</v>
      </c>
      <c r="O68" s="3">
        <v>1165031</v>
      </c>
      <c r="P68" s="3">
        <v>2348252</v>
      </c>
      <c r="Q68" s="5">
        <f t="shared" si="12"/>
        <v>0</v>
      </c>
      <c r="R68" s="3">
        <v>55780</v>
      </c>
      <c r="S68" s="3">
        <v>52684</v>
      </c>
      <c r="T68" s="3">
        <v>108464</v>
      </c>
      <c r="U68" s="5">
        <f t="shared" si="13"/>
        <v>0</v>
      </c>
      <c r="V68" s="3">
        <v>30368</v>
      </c>
      <c r="W68" s="3">
        <v>29136</v>
      </c>
      <c r="X68" s="3">
        <v>59504</v>
      </c>
      <c r="Y68" s="5">
        <f t="shared" si="14"/>
        <v>0</v>
      </c>
      <c r="Z68" s="3"/>
      <c r="AA68" s="3">
        <f t="shared" si="15"/>
        <v>2568673</v>
      </c>
      <c r="AB68" s="3">
        <f t="shared" si="16"/>
        <v>116175</v>
      </c>
      <c r="AC68" s="3">
        <f t="shared" si="17"/>
        <v>64152</v>
      </c>
    </row>
    <row r="69" spans="1:29" x14ac:dyDescent="0.55000000000000004">
      <c r="A69" t="s">
        <v>148</v>
      </c>
      <c r="B69" s="3">
        <v>78259</v>
      </c>
      <c r="C69" s="3">
        <v>74570</v>
      </c>
      <c r="D69" s="3">
        <v>152829</v>
      </c>
      <c r="E69" s="5">
        <f t="shared" si="9"/>
        <v>0</v>
      </c>
      <c r="F69" s="3">
        <v>3370</v>
      </c>
      <c r="G69" s="3">
        <v>3222</v>
      </c>
      <c r="H69" s="3">
        <v>6592</v>
      </c>
      <c r="I69" s="5">
        <f t="shared" si="10"/>
        <v>0</v>
      </c>
      <c r="J69" s="3">
        <v>2856</v>
      </c>
      <c r="K69" s="3">
        <v>2276</v>
      </c>
      <c r="L69" s="3">
        <v>5132</v>
      </c>
      <c r="M69" s="5">
        <f t="shared" si="11"/>
        <v>0</v>
      </c>
      <c r="N69" s="3">
        <v>506861</v>
      </c>
      <c r="O69" s="3">
        <v>576235</v>
      </c>
      <c r="P69" s="3">
        <v>1083096</v>
      </c>
      <c r="Q69" s="5">
        <f t="shared" si="12"/>
        <v>0</v>
      </c>
      <c r="R69" s="3">
        <v>26855</v>
      </c>
      <c r="S69" s="3">
        <v>25587</v>
      </c>
      <c r="T69" s="3">
        <v>52442</v>
      </c>
      <c r="U69" s="5">
        <f t="shared" si="13"/>
        <v>0</v>
      </c>
      <c r="V69" s="10">
        <v>17913</v>
      </c>
      <c r="W69" s="3">
        <v>17245</v>
      </c>
      <c r="X69" s="3">
        <v>35158</v>
      </c>
      <c r="Y69" s="5">
        <f t="shared" si="14"/>
        <v>0</v>
      </c>
      <c r="Z69" s="3"/>
      <c r="AA69" s="3">
        <f t="shared" si="15"/>
        <v>1235925</v>
      </c>
      <c r="AB69" s="3">
        <f t="shared" si="16"/>
        <v>59034</v>
      </c>
      <c r="AC69" s="3">
        <f t="shared" si="17"/>
        <v>40290</v>
      </c>
    </row>
    <row r="70" spans="1:29" x14ac:dyDescent="0.55000000000000004">
      <c r="A70" t="s">
        <v>149</v>
      </c>
      <c r="B70" s="10">
        <v>4291977</v>
      </c>
      <c r="C70" s="10">
        <v>3826889</v>
      </c>
      <c r="D70" s="3">
        <v>8951038</v>
      </c>
      <c r="E70" s="5">
        <f t="shared" si="9"/>
        <v>-832172</v>
      </c>
      <c r="F70" s="3">
        <v>168584</v>
      </c>
      <c r="G70" s="3">
        <v>160479</v>
      </c>
      <c r="H70" s="4">
        <v>337179</v>
      </c>
      <c r="I70" s="5">
        <f t="shared" si="10"/>
        <v>-8116</v>
      </c>
      <c r="J70" s="4">
        <v>128754</v>
      </c>
      <c r="K70" s="4">
        <v>110756</v>
      </c>
      <c r="L70" s="3">
        <v>244819</v>
      </c>
      <c r="M70" s="5">
        <f t="shared" si="11"/>
        <v>-5309</v>
      </c>
      <c r="N70" s="3">
        <v>28113118</v>
      </c>
      <c r="O70" s="3">
        <v>28785651</v>
      </c>
      <c r="P70" s="10">
        <v>66252533</v>
      </c>
      <c r="Q70" s="5">
        <f t="shared" si="12"/>
        <v>-9353764</v>
      </c>
      <c r="R70" s="3">
        <v>1646882</v>
      </c>
      <c r="S70" s="3">
        <v>1571689</v>
      </c>
      <c r="T70" s="3">
        <v>3334287</v>
      </c>
      <c r="U70" s="5">
        <f t="shared" si="13"/>
        <v>-115716</v>
      </c>
      <c r="V70" s="10">
        <v>1085552</v>
      </c>
      <c r="W70" s="3">
        <v>1037170</v>
      </c>
      <c r="X70" s="10">
        <v>2180316</v>
      </c>
      <c r="Y70" s="5">
        <f t="shared" si="14"/>
        <v>-57594</v>
      </c>
      <c r="Z70" s="3"/>
      <c r="AA70" s="3">
        <f t="shared" si="15"/>
        <v>75203571</v>
      </c>
      <c r="AB70" s="3">
        <f t="shared" si="16"/>
        <v>3671466</v>
      </c>
      <c r="AC70" s="3">
        <f t="shared" si="17"/>
        <v>2425135</v>
      </c>
    </row>
    <row r="71" spans="1:29" x14ac:dyDescent="0.55000000000000004">
      <c r="A71" t="s">
        <v>150</v>
      </c>
      <c r="B71" s="3">
        <v>114489</v>
      </c>
      <c r="C71" s="3">
        <v>103814</v>
      </c>
      <c r="D71" s="3">
        <v>218303</v>
      </c>
      <c r="E71" s="5">
        <f t="shared" si="9"/>
        <v>0</v>
      </c>
      <c r="F71" s="3">
        <v>5974</v>
      </c>
      <c r="G71" s="3">
        <v>5918</v>
      </c>
      <c r="H71" s="3">
        <v>11892</v>
      </c>
      <c r="I71" s="5">
        <f t="shared" si="10"/>
        <v>0</v>
      </c>
      <c r="J71" s="3">
        <v>4633</v>
      </c>
      <c r="K71" s="3">
        <v>3737</v>
      </c>
      <c r="L71" s="3">
        <v>8370</v>
      </c>
      <c r="M71" s="5">
        <f t="shared" si="11"/>
        <v>0</v>
      </c>
      <c r="N71" s="3">
        <v>1286419</v>
      </c>
      <c r="O71" s="3">
        <v>1217975</v>
      </c>
      <c r="P71" s="3">
        <v>2504394</v>
      </c>
      <c r="Q71" s="5">
        <f t="shared" si="12"/>
        <v>0</v>
      </c>
      <c r="R71" s="3">
        <v>72209</v>
      </c>
      <c r="S71" s="3">
        <v>68573</v>
      </c>
      <c r="T71" s="3">
        <v>140782</v>
      </c>
      <c r="U71" s="5">
        <f t="shared" si="13"/>
        <v>0</v>
      </c>
      <c r="V71" s="3">
        <v>45849</v>
      </c>
      <c r="W71" s="3">
        <v>42131</v>
      </c>
      <c r="X71" s="3">
        <v>87980</v>
      </c>
      <c r="Y71" s="5">
        <f t="shared" si="14"/>
        <v>0</v>
      </c>
      <c r="Z71" s="3"/>
      <c r="AA71" s="3">
        <f t="shared" si="15"/>
        <v>2722697</v>
      </c>
      <c r="AB71" s="3">
        <f t="shared" si="16"/>
        <v>152674</v>
      </c>
      <c r="AC71" s="3">
        <f t="shared" si="17"/>
        <v>96350</v>
      </c>
    </row>
    <row r="72" spans="1:29" x14ac:dyDescent="0.55000000000000004">
      <c r="A72" t="s">
        <v>151</v>
      </c>
      <c r="B72" s="10">
        <v>6985484</v>
      </c>
      <c r="C72" s="10">
        <v>6512839</v>
      </c>
      <c r="D72" s="3">
        <v>14413972</v>
      </c>
      <c r="E72" s="5">
        <f t="shared" si="9"/>
        <v>-915649</v>
      </c>
      <c r="F72" s="3">
        <v>268698</v>
      </c>
      <c r="G72" s="10">
        <v>250055</v>
      </c>
      <c r="H72" s="10">
        <v>538519</v>
      </c>
      <c r="I72" s="5">
        <f t="shared" si="10"/>
        <v>-19766</v>
      </c>
      <c r="J72" s="4">
        <v>186460</v>
      </c>
      <c r="K72" s="4">
        <v>169001</v>
      </c>
      <c r="L72" s="3">
        <v>370026</v>
      </c>
      <c r="M72" s="5">
        <f t="shared" si="11"/>
        <v>-14565</v>
      </c>
      <c r="N72" s="3">
        <v>45476468</v>
      </c>
      <c r="O72" s="3">
        <v>46272447</v>
      </c>
      <c r="P72" s="3">
        <v>101754930</v>
      </c>
      <c r="Q72" s="5">
        <f t="shared" si="12"/>
        <v>-10006015</v>
      </c>
      <c r="R72" s="3">
        <v>2445913</v>
      </c>
      <c r="S72" s="3">
        <v>2331454</v>
      </c>
      <c r="T72" s="4">
        <v>4906752</v>
      </c>
      <c r="U72" s="5">
        <f t="shared" si="13"/>
        <v>-129385</v>
      </c>
      <c r="V72" s="4">
        <v>1555606</v>
      </c>
      <c r="W72" s="4">
        <v>1472546</v>
      </c>
      <c r="X72" s="3">
        <v>3090234</v>
      </c>
      <c r="Y72" s="5">
        <f t="shared" si="14"/>
        <v>-62082</v>
      </c>
      <c r="Z72" s="3"/>
      <c r="AA72" s="3">
        <f t="shared" si="15"/>
        <v>116168902</v>
      </c>
      <c r="AB72" s="3">
        <f t="shared" si="16"/>
        <v>5445271</v>
      </c>
      <c r="AC72" s="3">
        <f t="shared" si="17"/>
        <v>3460260</v>
      </c>
    </row>
    <row r="73" spans="1:29" x14ac:dyDescent="0.55000000000000004">
      <c r="A73" t="s">
        <v>152</v>
      </c>
      <c r="B73" s="3">
        <v>145918</v>
      </c>
      <c r="C73" s="3">
        <v>105874</v>
      </c>
      <c r="D73" s="3">
        <v>251792</v>
      </c>
      <c r="E73" s="5">
        <f t="shared" si="9"/>
        <v>0</v>
      </c>
      <c r="F73" s="3">
        <v>2761</v>
      </c>
      <c r="G73" s="3">
        <v>2549</v>
      </c>
      <c r="H73" s="3">
        <v>5310</v>
      </c>
      <c r="I73" s="5">
        <f t="shared" si="10"/>
        <v>0</v>
      </c>
      <c r="J73" s="3">
        <v>2543</v>
      </c>
      <c r="K73" s="3">
        <v>2090</v>
      </c>
      <c r="L73" s="3">
        <v>4633</v>
      </c>
      <c r="M73" s="5">
        <f t="shared" si="11"/>
        <v>0</v>
      </c>
      <c r="N73" s="3">
        <v>424388</v>
      </c>
      <c r="O73" s="3">
        <v>326281</v>
      </c>
      <c r="P73" s="3">
        <v>750669</v>
      </c>
      <c r="Q73" s="5">
        <f t="shared" si="12"/>
        <v>0</v>
      </c>
      <c r="R73" s="3">
        <v>10967</v>
      </c>
      <c r="S73" s="3">
        <v>9379</v>
      </c>
      <c r="T73" s="3">
        <v>20346</v>
      </c>
      <c r="U73" s="5">
        <f t="shared" si="13"/>
        <v>0</v>
      </c>
      <c r="V73" s="3">
        <v>8150</v>
      </c>
      <c r="W73" s="3">
        <v>6177</v>
      </c>
      <c r="X73" s="3">
        <v>14327</v>
      </c>
      <c r="Y73" s="5">
        <f t="shared" si="14"/>
        <v>0</v>
      </c>
      <c r="Z73" s="3"/>
      <c r="AA73" s="3">
        <f t="shared" si="15"/>
        <v>1002461</v>
      </c>
      <c r="AB73" s="3">
        <f t="shared" si="16"/>
        <v>25656</v>
      </c>
      <c r="AC73" s="3">
        <f t="shared" si="17"/>
        <v>18960</v>
      </c>
    </row>
    <row r="74" spans="1:29" x14ac:dyDescent="0.55000000000000004">
      <c r="A74" t="s">
        <v>153</v>
      </c>
      <c r="B74" s="3">
        <v>5924</v>
      </c>
      <c r="C74" s="3">
        <v>3241</v>
      </c>
      <c r="D74" s="3">
        <v>9165</v>
      </c>
      <c r="E74" s="5">
        <f t="shared" si="9"/>
        <v>0</v>
      </c>
      <c r="F74" s="3">
        <v>114</v>
      </c>
      <c r="G74" s="3">
        <v>118</v>
      </c>
      <c r="H74" s="3">
        <v>232</v>
      </c>
      <c r="I74" s="5">
        <f t="shared" si="10"/>
        <v>0</v>
      </c>
      <c r="J74" s="3">
        <v>128</v>
      </c>
      <c r="K74" s="3">
        <v>97</v>
      </c>
      <c r="L74" s="3">
        <v>225</v>
      </c>
      <c r="M74" s="5">
        <f t="shared" si="11"/>
        <v>0</v>
      </c>
      <c r="N74" s="3">
        <v>323228</v>
      </c>
      <c r="O74" s="3">
        <v>305657</v>
      </c>
      <c r="P74" s="3">
        <v>628885</v>
      </c>
      <c r="Q74" s="5">
        <f t="shared" si="12"/>
        <v>0</v>
      </c>
      <c r="R74" s="3">
        <v>7817</v>
      </c>
      <c r="S74" s="3">
        <v>6519</v>
      </c>
      <c r="T74" s="3">
        <v>14336</v>
      </c>
      <c r="U74" s="5">
        <f t="shared" si="13"/>
        <v>0</v>
      </c>
      <c r="V74" s="3">
        <v>7451</v>
      </c>
      <c r="W74" s="3">
        <v>6387</v>
      </c>
      <c r="X74" s="3">
        <v>13838</v>
      </c>
      <c r="Y74" s="5">
        <f t="shared" si="14"/>
        <v>0</v>
      </c>
      <c r="Z74" s="3"/>
      <c r="AA74" s="3">
        <f t="shared" si="15"/>
        <v>638050</v>
      </c>
      <c r="AB74" s="3">
        <f t="shared" si="16"/>
        <v>14568</v>
      </c>
      <c r="AC74" s="3">
        <f t="shared" si="17"/>
        <v>14063</v>
      </c>
    </row>
    <row r="75" spans="1:29" x14ac:dyDescent="0.55000000000000004">
      <c r="A75" t="s">
        <v>178</v>
      </c>
      <c r="B75" s="3" t="s">
        <v>97</v>
      </c>
      <c r="C75" s="3" t="s">
        <v>97</v>
      </c>
      <c r="D75" s="3">
        <v>86560</v>
      </c>
      <c r="E75" s="5" t="e">
        <f t="shared" si="9"/>
        <v>#VALUE!</v>
      </c>
      <c r="F75" s="3" t="s">
        <v>97</v>
      </c>
      <c r="G75" s="3" t="s">
        <v>97</v>
      </c>
      <c r="H75" s="3">
        <v>2438</v>
      </c>
      <c r="I75" s="5" t="e">
        <f t="shared" si="10"/>
        <v>#VALUE!</v>
      </c>
      <c r="J75" s="3" t="s">
        <v>97</v>
      </c>
      <c r="K75" s="3" t="s">
        <v>97</v>
      </c>
      <c r="L75" s="3">
        <v>1629</v>
      </c>
      <c r="M75" s="5" t="e">
        <f t="shared" si="11"/>
        <v>#VALUE!</v>
      </c>
      <c r="N75" s="3" t="s">
        <v>97</v>
      </c>
      <c r="O75" s="3" t="s">
        <v>97</v>
      </c>
      <c r="P75" s="3">
        <v>825198</v>
      </c>
      <c r="Q75" s="5" t="e">
        <f t="shared" si="12"/>
        <v>#VALUE!</v>
      </c>
      <c r="R75" s="3" t="s">
        <v>97</v>
      </c>
      <c r="S75" s="3" t="s">
        <v>97</v>
      </c>
      <c r="T75" s="3">
        <v>22933</v>
      </c>
      <c r="U75" s="5" t="e">
        <f t="shared" si="13"/>
        <v>#VALUE!</v>
      </c>
      <c r="V75" s="3" t="s">
        <v>97</v>
      </c>
      <c r="W75" s="3" t="s">
        <v>97</v>
      </c>
      <c r="X75" s="3">
        <v>13968</v>
      </c>
      <c r="Y75" s="5" t="e">
        <f t="shared" si="14"/>
        <v>#VALUE!</v>
      </c>
      <c r="Z75" s="3"/>
      <c r="AA75" s="3">
        <f t="shared" si="15"/>
        <v>911758</v>
      </c>
      <c r="AB75" s="3">
        <f t="shared" si="16"/>
        <v>25371</v>
      </c>
      <c r="AC75" s="3">
        <f t="shared" si="17"/>
        <v>15597</v>
      </c>
    </row>
    <row r="76" spans="1:29" x14ac:dyDescent="0.55000000000000004">
      <c r="A76" t="s">
        <v>154</v>
      </c>
      <c r="B76" s="3">
        <v>12115</v>
      </c>
      <c r="C76" s="3">
        <v>9811</v>
      </c>
      <c r="D76" s="3">
        <v>21926</v>
      </c>
      <c r="E76" s="5">
        <f t="shared" si="9"/>
        <v>0</v>
      </c>
      <c r="F76" s="3">
        <v>416</v>
      </c>
      <c r="G76" s="3">
        <v>395</v>
      </c>
      <c r="H76" s="3">
        <v>811</v>
      </c>
      <c r="I76" s="5">
        <f t="shared" si="10"/>
        <v>0</v>
      </c>
      <c r="J76" s="3">
        <v>332</v>
      </c>
      <c r="K76" s="3">
        <v>274</v>
      </c>
      <c r="L76" s="3">
        <v>606</v>
      </c>
      <c r="M76" s="5">
        <f t="shared" si="11"/>
        <v>0</v>
      </c>
      <c r="N76" s="3">
        <v>142832</v>
      </c>
      <c r="O76" s="3">
        <v>132365</v>
      </c>
      <c r="P76" s="3">
        <v>275197</v>
      </c>
      <c r="Q76" s="5">
        <f t="shared" si="12"/>
        <v>0</v>
      </c>
      <c r="R76" s="3">
        <v>4356</v>
      </c>
      <c r="S76" s="3">
        <v>3966</v>
      </c>
      <c r="T76" s="3">
        <v>8322</v>
      </c>
      <c r="U76" s="5">
        <f t="shared" si="13"/>
        <v>0</v>
      </c>
      <c r="V76" s="3">
        <v>2849</v>
      </c>
      <c r="W76" s="3">
        <v>2302</v>
      </c>
      <c r="X76" s="3">
        <v>5151</v>
      </c>
      <c r="Y76" s="5">
        <f t="shared" si="14"/>
        <v>0</v>
      </c>
      <c r="Z76" s="3"/>
      <c r="AA76" s="3">
        <f t="shared" si="15"/>
        <v>297123</v>
      </c>
      <c r="AB76" s="3">
        <f t="shared" si="16"/>
        <v>9133</v>
      </c>
      <c r="AC76" s="3">
        <f t="shared" si="17"/>
        <v>5757</v>
      </c>
    </row>
    <row r="77" spans="1:29" x14ac:dyDescent="0.55000000000000004">
      <c r="A77" t="s">
        <v>155</v>
      </c>
      <c r="B77" s="3">
        <v>86041</v>
      </c>
      <c r="C77" s="3">
        <v>79764</v>
      </c>
      <c r="D77" s="3">
        <v>165805</v>
      </c>
      <c r="E77" s="5">
        <f t="shared" si="9"/>
        <v>0</v>
      </c>
      <c r="F77" s="3">
        <v>4384</v>
      </c>
      <c r="G77" s="3">
        <v>4228</v>
      </c>
      <c r="H77" s="3">
        <v>8612</v>
      </c>
      <c r="I77" s="5">
        <f t="shared" si="10"/>
        <v>0</v>
      </c>
      <c r="J77" s="3">
        <v>3030</v>
      </c>
      <c r="K77" s="3">
        <v>2554</v>
      </c>
      <c r="L77" s="3">
        <v>5584</v>
      </c>
      <c r="M77" s="5">
        <f t="shared" si="11"/>
        <v>0</v>
      </c>
      <c r="N77" s="3">
        <v>982393</v>
      </c>
      <c r="O77" s="3">
        <v>950101</v>
      </c>
      <c r="P77" s="3">
        <v>1932494</v>
      </c>
      <c r="Q77" s="5">
        <f t="shared" si="12"/>
        <v>0</v>
      </c>
      <c r="R77" s="3">
        <v>57791</v>
      </c>
      <c r="S77" s="3">
        <v>54080</v>
      </c>
      <c r="T77" s="3">
        <v>111871</v>
      </c>
      <c r="U77" s="5">
        <f t="shared" si="13"/>
        <v>0</v>
      </c>
      <c r="V77" s="3">
        <v>31814</v>
      </c>
      <c r="W77" s="3">
        <v>29797</v>
      </c>
      <c r="X77" s="3">
        <v>61611</v>
      </c>
      <c r="Y77" s="5">
        <f t="shared" si="14"/>
        <v>0</v>
      </c>
      <c r="Z77" s="3"/>
      <c r="AA77" s="3">
        <f t="shared" si="15"/>
        <v>2098299</v>
      </c>
      <c r="AB77" s="3">
        <f t="shared" si="16"/>
        <v>120483</v>
      </c>
      <c r="AC77" s="3">
        <f t="shared" si="17"/>
        <v>67195</v>
      </c>
    </row>
    <row r="78" spans="1:29" x14ac:dyDescent="0.55000000000000004">
      <c r="A78" t="s">
        <v>156</v>
      </c>
      <c r="B78" s="3" t="s">
        <v>97</v>
      </c>
      <c r="C78" s="3" t="s">
        <v>97</v>
      </c>
      <c r="D78" s="3">
        <v>86652</v>
      </c>
      <c r="E78" s="5" t="e">
        <f t="shared" si="9"/>
        <v>#VALUE!</v>
      </c>
      <c r="F78" s="3" t="s">
        <v>97</v>
      </c>
      <c r="G78" s="3" t="s">
        <v>97</v>
      </c>
      <c r="H78" s="3">
        <v>2356</v>
      </c>
      <c r="I78" s="5" t="e">
        <f t="shared" si="10"/>
        <v>#VALUE!</v>
      </c>
      <c r="J78" s="3" t="s">
        <v>97</v>
      </c>
      <c r="K78" s="3" t="s">
        <v>97</v>
      </c>
      <c r="L78" s="3">
        <v>1602</v>
      </c>
      <c r="M78" s="5" t="e">
        <f t="shared" si="11"/>
        <v>#VALUE!</v>
      </c>
      <c r="N78" s="3" t="s">
        <v>97</v>
      </c>
      <c r="O78" s="3" t="s">
        <v>97</v>
      </c>
      <c r="P78" s="3">
        <v>1072120</v>
      </c>
      <c r="Q78" s="5" t="e">
        <f t="shared" si="12"/>
        <v>#VALUE!</v>
      </c>
      <c r="R78" s="3" t="s">
        <v>97</v>
      </c>
      <c r="S78" s="3" t="s">
        <v>97</v>
      </c>
      <c r="T78" s="3">
        <v>50200</v>
      </c>
      <c r="U78" s="5" t="e">
        <f t="shared" si="13"/>
        <v>#VALUE!</v>
      </c>
      <c r="V78" s="3" t="s">
        <v>97</v>
      </c>
      <c r="W78" s="3" t="s">
        <v>97</v>
      </c>
      <c r="X78" s="3">
        <v>16160</v>
      </c>
      <c r="Y78" s="5" t="e">
        <f t="shared" si="14"/>
        <v>#VALUE!</v>
      </c>
      <c r="Z78" s="3"/>
      <c r="AA78" s="3">
        <f t="shared" si="15"/>
        <v>1158772</v>
      </c>
      <c r="AB78" s="3">
        <f t="shared" si="16"/>
        <v>52556</v>
      </c>
      <c r="AC78" s="3">
        <f t="shared" si="17"/>
        <v>17762</v>
      </c>
    </row>
    <row r="79" spans="1:29" x14ac:dyDescent="0.55000000000000004">
      <c r="A79" t="s">
        <v>157</v>
      </c>
      <c r="B79" s="3">
        <v>24504</v>
      </c>
      <c r="C79" s="3">
        <v>23502</v>
      </c>
      <c r="D79" s="3">
        <v>48006</v>
      </c>
      <c r="E79" s="5">
        <f t="shared" si="9"/>
        <v>0</v>
      </c>
      <c r="F79" s="3">
        <v>984</v>
      </c>
      <c r="G79" s="3">
        <v>945</v>
      </c>
      <c r="H79" s="3">
        <v>1929</v>
      </c>
      <c r="I79" s="5">
        <f t="shared" si="10"/>
        <v>0</v>
      </c>
      <c r="J79" s="3">
        <v>723</v>
      </c>
      <c r="K79" s="3">
        <v>727</v>
      </c>
      <c r="L79" s="3">
        <v>1450</v>
      </c>
      <c r="M79" s="5">
        <f t="shared" si="11"/>
        <v>0</v>
      </c>
      <c r="N79" s="3">
        <v>483090</v>
      </c>
      <c r="O79" s="3">
        <v>465184</v>
      </c>
      <c r="P79" s="3">
        <v>948274</v>
      </c>
      <c r="Q79" s="5">
        <f t="shared" si="12"/>
        <v>0</v>
      </c>
      <c r="R79" s="3">
        <v>29362</v>
      </c>
      <c r="S79" s="3">
        <v>28000</v>
      </c>
      <c r="T79" s="3">
        <v>57362</v>
      </c>
      <c r="U79" s="5">
        <f t="shared" si="13"/>
        <v>0</v>
      </c>
      <c r="V79" s="3">
        <v>18612</v>
      </c>
      <c r="W79" s="3">
        <v>17573</v>
      </c>
      <c r="X79" s="3">
        <v>36185</v>
      </c>
      <c r="Y79" s="5">
        <f t="shared" si="14"/>
        <v>0</v>
      </c>
      <c r="Z79" s="3"/>
      <c r="AA79" s="3">
        <f t="shared" si="15"/>
        <v>996280</v>
      </c>
      <c r="AB79" s="3">
        <f t="shared" si="16"/>
        <v>59291</v>
      </c>
      <c r="AC79" s="3">
        <f t="shared" si="17"/>
        <v>37635</v>
      </c>
    </row>
    <row r="80" spans="1:29" x14ac:dyDescent="0.55000000000000004">
      <c r="A80" t="s">
        <v>158</v>
      </c>
      <c r="B80" s="3">
        <v>70654</v>
      </c>
      <c r="C80" s="3">
        <v>61107</v>
      </c>
      <c r="D80" s="3">
        <v>131761</v>
      </c>
      <c r="E80" s="5">
        <f t="shared" si="9"/>
        <v>0</v>
      </c>
      <c r="F80" s="3">
        <v>3086</v>
      </c>
      <c r="G80" s="3">
        <v>2908</v>
      </c>
      <c r="H80" s="3">
        <v>5994</v>
      </c>
      <c r="I80" s="5">
        <f t="shared" si="10"/>
        <v>0</v>
      </c>
      <c r="J80" s="3">
        <v>2254</v>
      </c>
      <c r="K80" s="3">
        <v>1789</v>
      </c>
      <c r="L80" s="3">
        <v>4043</v>
      </c>
      <c r="M80" s="5">
        <f t="shared" si="11"/>
        <v>0</v>
      </c>
      <c r="N80" s="3">
        <v>428160</v>
      </c>
      <c r="O80" s="3">
        <v>396892</v>
      </c>
      <c r="P80" s="3">
        <v>825052</v>
      </c>
      <c r="Q80" s="5">
        <f t="shared" si="12"/>
        <v>0</v>
      </c>
      <c r="R80" s="3">
        <v>16261</v>
      </c>
      <c r="S80" s="3">
        <v>15182</v>
      </c>
      <c r="T80" s="3">
        <v>31443</v>
      </c>
      <c r="U80" s="5">
        <f t="shared" si="13"/>
        <v>0</v>
      </c>
      <c r="V80" s="3">
        <v>9969</v>
      </c>
      <c r="W80" s="3">
        <v>8849</v>
      </c>
      <c r="X80" s="3">
        <v>18818</v>
      </c>
      <c r="Y80" s="5">
        <f t="shared" si="14"/>
        <v>0</v>
      </c>
      <c r="Z80" s="3"/>
      <c r="AA80" s="3">
        <f t="shared" si="15"/>
        <v>956813</v>
      </c>
      <c r="AB80" s="3">
        <f t="shared" si="16"/>
        <v>37437</v>
      </c>
      <c r="AC80" s="3">
        <f t="shared" si="17"/>
        <v>22861</v>
      </c>
    </row>
    <row r="81" spans="1:36" x14ac:dyDescent="0.55000000000000004">
      <c r="A81" t="s">
        <v>76</v>
      </c>
      <c r="B81" s="3">
        <v>126585</v>
      </c>
      <c r="C81" s="3">
        <v>88311</v>
      </c>
      <c r="D81" s="3">
        <v>214896</v>
      </c>
      <c r="E81" s="5">
        <f t="shared" si="9"/>
        <v>0</v>
      </c>
      <c r="F81" s="3">
        <v>3414</v>
      </c>
      <c r="G81" s="3">
        <v>3307</v>
      </c>
      <c r="H81" s="3">
        <v>6721</v>
      </c>
      <c r="I81" s="5">
        <f t="shared" si="10"/>
        <v>0</v>
      </c>
      <c r="J81" s="3">
        <v>2481</v>
      </c>
      <c r="K81" s="3">
        <v>2106</v>
      </c>
      <c r="L81" s="3">
        <v>4587</v>
      </c>
      <c r="M81" s="5">
        <f t="shared" si="11"/>
        <v>0</v>
      </c>
      <c r="N81" s="3">
        <v>405492</v>
      </c>
      <c r="O81" s="3">
        <v>349145</v>
      </c>
      <c r="P81" s="3">
        <v>754637</v>
      </c>
      <c r="Q81" s="5">
        <f t="shared" si="12"/>
        <v>0</v>
      </c>
      <c r="R81" s="3">
        <v>14499</v>
      </c>
      <c r="S81" s="3">
        <v>12735</v>
      </c>
      <c r="T81" s="3">
        <v>27234</v>
      </c>
      <c r="U81" s="5">
        <f t="shared" si="13"/>
        <v>0</v>
      </c>
      <c r="V81" s="3">
        <v>7699</v>
      </c>
      <c r="W81" s="3">
        <v>7095</v>
      </c>
      <c r="X81" s="3">
        <v>14794</v>
      </c>
      <c r="Y81" s="5">
        <f t="shared" si="14"/>
        <v>0</v>
      </c>
      <c r="Z81" s="3"/>
      <c r="AA81" s="3">
        <f t="shared" si="15"/>
        <v>969533</v>
      </c>
      <c r="AB81" s="3">
        <f t="shared" si="16"/>
        <v>33955</v>
      </c>
      <c r="AC81" s="3">
        <f t="shared" si="17"/>
        <v>19381</v>
      </c>
    </row>
    <row r="82" spans="1:36" x14ac:dyDescent="0.55000000000000004">
      <c r="A82" t="s">
        <v>159</v>
      </c>
      <c r="B82" s="3">
        <v>29270</v>
      </c>
      <c r="C82" s="3">
        <v>18285</v>
      </c>
      <c r="D82" s="3">
        <v>47555</v>
      </c>
      <c r="E82" s="5">
        <f t="shared" si="9"/>
        <v>0</v>
      </c>
      <c r="F82" s="3">
        <v>947</v>
      </c>
      <c r="G82" s="3">
        <v>823</v>
      </c>
      <c r="H82" s="3">
        <v>1770</v>
      </c>
      <c r="I82" s="5">
        <f t="shared" si="10"/>
        <v>0</v>
      </c>
      <c r="J82" s="3">
        <v>642</v>
      </c>
      <c r="K82" s="3">
        <v>383</v>
      </c>
      <c r="L82" s="3">
        <v>1025</v>
      </c>
      <c r="M82" s="5">
        <f t="shared" si="11"/>
        <v>0</v>
      </c>
      <c r="N82" s="3">
        <v>17407</v>
      </c>
      <c r="O82" s="3">
        <v>13758</v>
      </c>
      <c r="P82" s="3">
        <v>31165</v>
      </c>
      <c r="Q82" s="5">
        <f t="shared" si="12"/>
        <v>0</v>
      </c>
      <c r="R82" s="3">
        <v>763</v>
      </c>
      <c r="S82" s="3">
        <v>720</v>
      </c>
      <c r="T82" s="3">
        <v>1483</v>
      </c>
      <c r="U82" s="5">
        <f t="shared" si="13"/>
        <v>0</v>
      </c>
      <c r="V82" s="3">
        <v>345</v>
      </c>
      <c r="W82" s="3">
        <v>319</v>
      </c>
      <c r="X82" s="3">
        <v>664</v>
      </c>
      <c r="Y82" s="5">
        <f t="shared" si="14"/>
        <v>0</v>
      </c>
      <c r="Z82" s="3"/>
      <c r="AA82" s="3">
        <f t="shared" si="15"/>
        <v>78720</v>
      </c>
      <c r="AB82" s="3">
        <f t="shared" si="16"/>
        <v>3253</v>
      </c>
      <c r="AC82" s="3">
        <f t="shared" si="17"/>
        <v>1689</v>
      </c>
    </row>
    <row r="83" spans="1:36" x14ac:dyDescent="0.55000000000000004">
      <c r="A83" t="s">
        <v>78</v>
      </c>
      <c r="B83" s="3">
        <v>46282</v>
      </c>
      <c r="C83" s="10">
        <v>32121</v>
      </c>
      <c r="D83" s="3">
        <v>78403</v>
      </c>
      <c r="E83" s="5">
        <f t="shared" si="9"/>
        <v>0</v>
      </c>
      <c r="F83" s="3">
        <v>1373</v>
      </c>
      <c r="G83" s="3">
        <v>1297</v>
      </c>
      <c r="H83" s="3">
        <v>2670</v>
      </c>
      <c r="I83" s="5">
        <f t="shared" si="10"/>
        <v>0</v>
      </c>
      <c r="J83" s="3">
        <v>847</v>
      </c>
      <c r="K83" s="3">
        <v>756</v>
      </c>
      <c r="L83" s="3">
        <v>1603</v>
      </c>
      <c r="M83" s="5">
        <f t="shared" si="11"/>
        <v>0</v>
      </c>
      <c r="N83" s="3">
        <v>383407</v>
      </c>
      <c r="O83" s="3">
        <v>342947</v>
      </c>
      <c r="P83" s="3">
        <v>726354</v>
      </c>
      <c r="Q83" s="5">
        <f t="shared" si="12"/>
        <v>0</v>
      </c>
      <c r="R83" s="3">
        <v>14892</v>
      </c>
      <c r="S83" s="3">
        <v>14131</v>
      </c>
      <c r="T83" s="3">
        <v>29023</v>
      </c>
      <c r="U83" s="5">
        <f t="shared" si="13"/>
        <v>0</v>
      </c>
      <c r="V83" s="3">
        <v>8541</v>
      </c>
      <c r="W83" s="3">
        <v>7697</v>
      </c>
      <c r="X83" s="3">
        <v>16238</v>
      </c>
      <c r="Y83" s="5">
        <f t="shared" si="14"/>
        <v>0</v>
      </c>
      <c r="Z83" s="3"/>
      <c r="AA83" s="3">
        <f t="shared" si="15"/>
        <v>804757</v>
      </c>
      <c r="AB83" s="3">
        <f t="shared" si="16"/>
        <v>31693</v>
      </c>
      <c r="AC83" s="3">
        <f t="shared" si="17"/>
        <v>17841</v>
      </c>
    </row>
    <row r="84" spans="1:36" x14ac:dyDescent="0.55000000000000004">
      <c r="A84" t="s">
        <v>160</v>
      </c>
      <c r="B84" s="3">
        <v>547293</v>
      </c>
      <c r="C84" s="3">
        <v>422016</v>
      </c>
      <c r="D84" s="3">
        <v>1142521</v>
      </c>
      <c r="E84" s="5">
        <f t="shared" si="9"/>
        <v>-173212</v>
      </c>
      <c r="F84" s="3">
        <v>17479</v>
      </c>
      <c r="G84" s="3">
        <v>16570</v>
      </c>
      <c r="H84" s="3">
        <v>38843</v>
      </c>
      <c r="I84" s="5">
        <f t="shared" si="10"/>
        <v>-4794</v>
      </c>
      <c r="J84" s="3">
        <v>12980</v>
      </c>
      <c r="K84" s="3">
        <v>10776</v>
      </c>
      <c r="L84" s="3">
        <v>26987</v>
      </c>
      <c r="M84" s="5">
        <f t="shared" si="11"/>
        <v>-3231</v>
      </c>
      <c r="N84" s="3">
        <v>3590397</v>
      </c>
      <c r="O84" s="3">
        <v>3282330</v>
      </c>
      <c r="P84" s="3">
        <v>8770045</v>
      </c>
      <c r="Q84" s="5">
        <f t="shared" si="12"/>
        <v>-1897318</v>
      </c>
      <c r="R84" s="3">
        <v>156708</v>
      </c>
      <c r="S84" s="3">
        <v>144712</v>
      </c>
      <c r="T84" s="3">
        <v>374553</v>
      </c>
      <c r="U84" s="5">
        <f t="shared" si="13"/>
        <v>-73133</v>
      </c>
      <c r="V84" s="3">
        <v>95430</v>
      </c>
      <c r="W84" s="3">
        <v>86196</v>
      </c>
      <c r="X84" s="3">
        <v>211754</v>
      </c>
      <c r="Y84" s="5">
        <f t="shared" si="14"/>
        <v>-30128</v>
      </c>
      <c r="Z84" s="3"/>
      <c r="AA84" s="3">
        <f t="shared" si="15"/>
        <v>9912566</v>
      </c>
      <c r="AB84" s="3">
        <f t="shared" si="16"/>
        <v>413396</v>
      </c>
      <c r="AC84" s="3">
        <f t="shared" si="17"/>
        <v>238741</v>
      </c>
      <c r="AE84" s="3">
        <f>SUM(L73:L83)</f>
        <v>26987</v>
      </c>
      <c r="AF84" s="3">
        <f>SUM(X73:X83)</f>
        <v>211754</v>
      </c>
    </row>
    <row r="85" spans="1:36" x14ac:dyDescent="0.55000000000000004">
      <c r="A85" t="s">
        <v>79</v>
      </c>
      <c r="B85" s="3">
        <v>21018</v>
      </c>
      <c r="C85" s="3">
        <v>17969</v>
      </c>
      <c r="D85" s="3">
        <v>38987</v>
      </c>
      <c r="E85" s="5">
        <f t="shared" si="9"/>
        <v>0</v>
      </c>
      <c r="F85" s="3">
        <v>1032</v>
      </c>
      <c r="G85" s="3">
        <v>1046</v>
      </c>
      <c r="H85" s="3">
        <v>2078</v>
      </c>
      <c r="I85" s="5">
        <f t="shared" si="10"/>
        <v>0</v>
      </c>
      <c r="J85" s="3">
        <v>897</v>
      </c>
      <c r="K85" s="3">
        <v>612</v>
      </c>
      <c r="L85" s="3">
        <v>1509</v>
      </c>
      <c r="M85" s="5">
        <f t="shared" si="11"/>
        <v>0</v>
      </c>
      <c r="N85" s="3">
        <v>42123</v>
      </c>
      <c r="O85" s="3">
        <v>30241</v>
      </c>
      <c r="P85" s="3">
        <v>72364</v>
      </c>
      <c r="Q85" s="5">
        <f t="shared" si="12"/>
        <v>0</v>
      </c>
      <c r="R85" s="3">
        <v>2150</v>
      </c>
      <c r="S85" s="3">
        <v>2044</v>
      </c>
      <c r="T85" s="3">
        <v>4194</v>
      </c>
      <c r="U85" s="5">
        <f t="shared" si="13"/>
        <v>0</v>
      </c>
      <c r="V85" s="3">
        <v>1018</v>
      </c>
      <c r="W85" s="3">
        <v>949</v>
      </c>
      <c r="X85" s="3">
        <v>1967</v>
      </c>
      <c r="Y85" s="5">
        <f t="shared" si="14"/>
        <v>0</v>
      </c>
      <c r="Z85" s="3"/>
      <c r="AA85" s="3">
        <f t="shared" si="15"/>
        <v>111351</v>
      </c>
      <c r="AB85" s="3">
        <f t="shared" si="16"/>
        <v>6272</v>
      </c>
      <c r="AC85" s="3">
        <f t="shared" si="17"/>
        <v>3476</v>
      </c>
    </row>
    <row r="86" spans="1:36" x14ac:dyDescent="0.55000000000000004">
      <c r="A86" t="s">
        <v>161</v>
      </c>
      <c r="B86" s="3">
        <v>37109</v>
      </c>
      <c r="C86" s="10">
        <v>32374</v>
      </c>
      <c r="D86" s="3">
        <v>69483</v>
      </c>
      <c r="E86" s="5">
        <f t="shared" si="9"/>
        <v>0</v>
      </c>
      <c r="F86" s="3">
        <v>1667</v>
      </c>
      <c r="G86" s="3">
        <v>1546</v>
      </c>
      <c r="H86" s="3">
        <v>3213</v>
      </c>
      <c r="I86" s="5">
        <f t="shared" si="10"/>
        <v>0</v>
      </c>
      <c r="J86" s="3">
        <v>1630</v>
      </c>
      <c r="K86" s="3">
        <v>1054</v>
      </c>
      <c r="L86" s="3">
        <v>2684</v>
      </c>
      <c r="M86" s="5">
        <f t="shared" si="11"/>
        <v>0</v>
      </c>
      <c r="N86" s="3">
        <v>325728</v>
      </c>
      <c r="O86" s="3">
        <v>275256</v>
      </c>
      <c r="P86" s="3">
        <v>600984</v>
      </c>
      <c r="Q86" s="5">
        <f t="shared" si="12"/>
        <v>0</v>
      </c>
      <c r="R86" s="3">
        <v>16685</v>
      </c>
      <c r="S86" s="3">
        <v>15978</v>
      </c>
      <c r="T86" s="3">
        <v>32663</v>
      </c>
      <c r="U86" s="5">
        <f t="shared" si="13"/>
        <v>0</v>
      </c>
      <c r="V86" s="3">
        <v>10865</v>
      </c>
      <c r="W86" s="3">
        <v>9467</v>
      </c>
      <c r="X86" s="3">
        <v>20332</v>
      </c>
      <c r="Y86" s="5">
        <f t="shared" si="14"/>
        <v>0</v>
      </c>
      <c r="Z86" s="3"/>
      <c r="AA86" s="3">
        <f t="shared" si="15"/>
        <v>670467</v>
      </c>
      <c r="AB86" s="3">
        <f t="shared" si="16"/>
        <v>35876</v>
      </c>
      <c r="AC86" s="3">
        <f t="shared" si="17"/>
        <v>23016</v>
      </c>
    </row>
    <row r="87" spans="1:36" x14ac:dyDescent="0.55000000000000004">
      <c r="A87" t="s">
        <v>162</v>
      </c>
      <c r="B87" s="3" t="s">
        <v>97</v>
      </c>
      <c r="C87" s="3" t="s">
        <v>97</v>
      </c>
      <c r="D87" s="3">
        <v>47336</v>
      </c>
      <c r="E87" s="5" t="e">
        <f t="shared" si="9"/>
        <v>#VALUE!</v>
      </c>
      <c r="F87" s="3" t="s">
        <v>97</v>
      </c>
      <c r="G87" s="3" t="s">
        <v>97</v>
      </c>
      <c r="H87" s="3">
        <v>1628</v>
      </c>
      <c r="I87" s="5" t="e">
        <f t="shared" si="10"/>
        <v>#VALUE!</v>
      </c>
      <c r="J87" s="3" t="s">
        <v>97</v>
      </c>
      <c r="K87" s="3" t="s">
        <v>97</v>
      </c>
      <c r="L87" s="3">
        <v>1170</v>
      </c>
      <c r="M87" s="5" t="e">
        <f t="shared" si="11"/>
        <v>#VALUE!</v>
      </c>
      <c r="N87" s="3" t="s">
        <v>97</v>
      </c>
      <c r="O87" s="3" t="s">
        <v>97</v>
      </c>
      <c r="P87" s="3">
        <v>672968</v>
      </c>
      <c r="Q87" s="5" t="e">
        <f t="shared" si="12"/>
        <v>#VALUE!</v>
      </c>
      <c r="R87" s="3" t="s">
        <v>97</v>
      </c>
      <c r="S87" s="3" t="s">
        <v>97</v>
      </c>
      <c r="T87" s="3">
        <v>23287</v>
      </c>
      <c r="U87" s="5" t="e">
        <f t="shared" si="13"/>
        <v>#VALUE!</v>
      </c>
      <c r="V87" s="3" t="s">
        <v>97</v>
      </c>
      <c r="W87" s="3" t="s">
        <v>97</v>
      </c>
      <c r="X87" s="3">
        <v>13606</v>
      </c>
      <c r="Y87" s="5" t="e">
        <f t="shared" si="14"/>
        <v>#VALUE!</v>
      </c>
      <c r="Z87" s="3"/>
      <c r="AA87" s="3">
        <f t="shared" si="15"/>
        <v>720304</v>
      </c>
      <c r="AB87" s="3">
        <f t="shared" si="16"/>
        <v>24915</v>
      </c>
      <c r="AC87" s="3">
        <f t="shared" si="17"/>
        <v>14776</v>
      </c>
    </row>
    <row r="88" spans="1:36" x14ac:dyDescent="0.55000000000000004">
      <c r="A88" t="s">
        <v>163</v>
      </c>
      <c r="B88" s="3">
        <v>31154</v>
      </c>
      <c r="C88" s="3">
        <v>29253</v>
      </c>
      <c r="D88" s="3">
        <v>60407</v>
      </c>
      <c r="E88" s="5">
        <f t="shared" si="9"/>
        <v>0</v>
      </c>
      <c r="F88" s="3">
        <v>2018</v>
      </c>
      <c r="G88" s="3">
        <v>1945</v>
      </c>
      <c r="H88" s="3">
        <v>3963</v>
      </c>
      <c r="I88" s="5">
        <f t="shared" si="10"/>
        <v>0</v>
      </c>
      <c r="J88" s="3">
        <v>1621</v>
      </c>
      <c r="K88" s="3">
        <v>1190</v>
      </c>
      <c r="L88" s="3">
        <v>2811</v>
      </c>
      <c r="M88" s="5">
        <f t="shared" si="11"/>
        <v>0</v>
      </c>
      <c r="N88" s="3">
        <v>261634</v>
      </c>
      <c r="O88" s="3">
        <v>230146</v>
      </c>
      <c r="P88" s="3">
        <v>491780</v>
      </c>
      <c r="Q88" s="5">
        <f t="shared" si="12"/>
        <v>0</v>
      </c>
      <c r="R88" s="3">
        <v>11942</v>
      </c>
      <c r="S88" s="3">
        <v>11240</v>
      </c>
      <c r="T88" s="3">
        <v>23182</v>
      </c>
      <c r="U88" s="5">
        <f t="shared" si="13"/>
        <v>0</v>
      </c>
      <c r="V88" s="3">
        <v>9004</v>
      </c>
      <c r="W88" s="3">
        <v>7672</v>
      </c>
      <c r="X88" s="3">
        <v>16676</v>
      </c>
      <c r="Y88" s="5">
        <f t="shared" si="14"/>
        <v>0</v>
      </c>
      <c r="Z88" s="3"/>
      <c r="AA88" s="3">
        <f t="shared" si="15"/>
        <v>552187</v>
      </c>
      <c r="AB88" s="3">
        <f t="shared" si="16"/>
        <v>27145</v>
      </c>
      <c r="AC88" s="3">
        <f t="shared" si="17"/>
        <v>19487</v>
      </c>
    </row>
    <row r="89" spans="1:36" x14ac:dyDescent="0.55000000000000004">
      <c r="A89" t="s">
        <v>83</v>
      </c>
      <c r="B89" s="3">
        <v>72248</v>
      </c>
      <c r="C89" s="3">
        <v>16581</v>
      </c>
      <c r="D89" s="3">
        <v>88829</v>
      </c>
      <c r="E89" s="5">
        <f t="shared" si="9"/>
        <v>0</v>
      </c>
      <c r="F89" s="3">
        <v>1118</v>
      </c>
      <c r="G89" s="3">
        <v>1062</v>
      </c>
      <c r="H89" s="3">
        <v>2180</v>
      </c>
      <c r="I89" s="5">
        <f t="shared" si="10"/>
        <v>0</v>
      </c>
      <c r="J89" s="3">
        <v>1011</v>
      </c>
      <c r="K89" s="3">
        <v>568</v>
      </c>
      <c r="L89" s="3">
        <v>1579</v>
      </c>
      <c r="M89" s="5">
        <f t="shared" si="11"/>
        <v>0</v>
      </c>
      <c r="N89" s="3">
        <v>127103</v>
      </c>
      <c r="O89" s="3">
        <v>84438</v>
      </c>
      <c r="P89" s="3">
        <v>211541</v>
      </c>
      <c r="Q89" s="5">
        <f t="shared" si="12"/>
        <v>0</v>
      </c>
      <c r="R89" s="3">
        <v>3410</v>
      </c>
      <c r="S89" s="3">
        <v>2941</v>
      </c>
      <c r="T89" s="3">
        <v>6351</v>
      </c>
      <c r="U89" s="5">
        <f t="shared" si="13"/>
        <v>0</v>
      </c>
      <c r="V89" s="3">
        <v>1809</v>
      </c>
      <c r="W89" s="3">
        <v>1650</v>
      </c>
      <c r="X89" s="3">
        <v>3459</v>
      </c>
      <c r="Y89" s="5">
        <f t="shared" si="14"/>
        <v>0</v>
      </c>
      <c r="Z89" s="3"/>
      <c r="AA89" s="3">
        <f t="shared" si="15"/>
        <v>300370</v>
      </c>
      <c r="AB89" s="3">
        <f t="shared" si="16"/>
        <v>8531</v>
      </c>
      <c r="AC89" s="3">
        <f t="shared" si="17"/>
        <v>5038</v>
      </c>
    </row>
    <row r="90" spans="1:36" x14ac:dyDescent="0.55000000000000004">
      <c r="A90" t="s">
        <v>164</v>
      </c>
      <c r="B90" s="3" t="s">
        <v>97</v>
      </c>
      <c r="C90" t="s">
        <v>97</v>
      </c>
      <c r="D90" s="3">
        <v>89793</v>
      </c>
      <c r="E90" s="5" t="e">
        <f t="shared" si="9"/>
        <v>#VALUE!</v>
      </c>
      <c r="F90" s="3">
        <v>1456</v>
      </c>
      <c r="G90" s="3">
        <v>1412</v>
      </c>
      <c r="H90" s="3">
        <v>2868</v>
      </c>
      <c r="I90" s="5">
        <f t="shared" si="10"/>
        <v>0</v>
      </c>
      <c r="J90" s="3">
        <v>1722</v>
      </c>
      <c r="K90" s="3">
        <v>1378</v>
      </c>
      <c r="L90" s="3">
        <v>3100</v>
      </c>
      <c r="M90" s="5">
        <f t="shared" si="11"/>
        <v>0</v>
      </c>
      <c r="N90" s="3" t="s">
        <v>97</v>
      </c>
      <c r="O90" s="3" t="s">
        <v>97</v>
      </c>
      <c r="P90" s="3">
        <v>1548567</v>
      </c>
      <c r="Q90" s="5" t="e">
        <f t="shared" si="12"/>
        <v>#VALUE!</v>
      </c>
      <c r="R90" s="3">
        <v>42928</v>
      </c>
      <c r="S90" s="3">
        <v>40844</v>
      </c>
      <c r="T90" s="3">
        <v>83772</v>
      </c>
      <c r="U90" s="5">
        <f t="shared" si="13"/>
        <v>0</v>
      </c>
      <c r="V90" s="3">
        <v>35142</v>
      </c>
      <c r="W90" s="3">
        <v>33333</v>
      </c>
      <c r="X90" s="3">
        <v>68475</v>
      </c>
      <c r="Y90" s="5">
        <f t="shared" si="14"/>
        <v>0</v>
      </c>
      <c r="Z90" s="3"/>
      <c r="AA90" s="3">
        <f t="shared" si="15"/>
        <v>1638360</v>
      </c>
      <c r="AB90" s="3">
        <f t="shared" si="16"/>
        <v>86640</v>
      </c>
      <c r="AC90" s="3">
        <f t="shared" si="17"/>
        <v>71575</v>
      </c>
    </row>
    <row r="91" spans="1:36" x14ac:dyDescent="0.55000000000000004">
      <c r="A91" t="s">
        <v>165</v>
      </c>
      <c r="B91" s="3">
        <v>72854</v>
      </c>
      <c r="C91" s="3">
        <v>67073</v>
      </c>
      <c r="D91" s="3">
        <v>139927</v>
      </c>
      <c r="E91" s="5">
        <f t="shared" si="9"/>
        <v>0</v>
      </c>
      <c r="F91" s="3">
        <v>3295</v>
      </c>
      <c r="G91" s="3">
        <v>3024</v>
      </c>
      <c r="H91" s="3">
        <v>6319</v>
      </c>
      <c r="I91" s="5">
        <f t="shared" si="10"/>
        <v>0</v>
      </c>
      <c r="J91" s="3">
        <v>2695</v>
      </c>
      <c r="K91" s="3">
        <v>2269</v>
      </c>
      <c r="L91" s="3">
        <v>4964</v>
      </c>
      <c r="M91" s="5">
        <f t="shared" si="11"/>
        <v>0</v>
      </c>
      <c r="N91" s="3">
        <v>1055389</v>
      </c>
      <c r="O91" s="3">
        <v>1044059</v>
      </c>
      <c r="P91" s="3">
        <v>2099448</v>
      </c>
      <c r="Q91" s="5">
        <f t="shared" si="12"/>
        <v>0</v>
      </c>
      <c r="R91" s="3">
        <v>55889</v>
      </c>
      <c r="S91" s="3">
        <v>54126</v>
      </c>
      <c r="T91" s="3">
        <v>110015</v>
      </c>
      <c r="U91" s="5">
        <f t="shared" si="13"/>
        <v>0</v>
      </c>
      <c r="V91" s="3">
        <v>31085</v>
      </c>
      <c r="W91" s="3">
        <v>28641</v>
      </c>
      <c r="X91" s="3">
        <v>59726</v>
      </c>
      <c r="Y91" s="5">
        <f t="shared" si="14"/>
        <v>0</v>
      </c>
      <c r="Z91" s="3"/>
      <c r="AA91" s="3">
        <f t="shared" si="15"/>
        <v>2239375</v>
      </c>
      <c r="AB91" s="3">
        <f t="shared" si="16"/>
        <v>116334</v>
      </c>
      <c r="AC91" s="3">
        <f t="shared" si="17"/>
        <v>64690</v>
      </c>
    </row>
    <row r="92" spans="1:36" x14ac:dyDescent="0.55000000000000004">
      <c r="A92" t="s">
        <v>86</v>
      </c>
      <c r="B92" s="3">
        <v>5195</v>
      </c>
      <c r="C92" s="3">
        <v>4241</v>
      </c>
      <c r="D92" s="3">
        <v>9436</v>
      </c>
      <c r="E92" s="5">
        <f t="shared" si="9"/>
        <v>0</v>
      </c>
      <c r="F92" s="3">
        <v>185</v>
      </c>
      <c r="G92" s="3">
        <v>195</v>
      </c>
      <c r="H92" s="3">
        <v>380</v>
      </c>
      <c r="I92" s="5">
        <f t="shared" si="10"/>
        <v>0</v>
      </c>
      <c r="J92" s="3">
        <v>178</v>
      </c>
      <c r="K92" s="3">
        <v>129</v>
      </c>
      <c r="L92" s="3">
        <v>307</v>
      </c>
      <c r="M92" s="5">
        <f t="shared" si="11"/>
        <v>0</v>
      </c>
      <c r="N92" s="3">
        <v>130434</v>
      </c>
      <c r="O92" s="3">
        <v>125849</v>
      </c>
      <c r="P92" s="3">
        <v>256283</v>
      </c>
      <c r="Q92" s="5">
        <f t="shared" si="12"/>
        <v>0</v>
      </c>
      <c r="R92" s="3">
        <v>5880</v>
      </c>
      <c r="S92" s="3">
        <v>6010</v>
      </c>
      <c r="T92" s="3">
        <v>11890</v>
      </c>
      <c r="U92" s="5">
        <f t="shared" si="13"/>
        <v>0</v>
      </c>
      <c r="V92" s="3">
        <v>3167</v>
      </c>
      <c r="W92" s="3">
        <v>3164</v>
      </c>
      <c r="X92" s="3">
        <v>6331</v>
      </c>
      <c r="Y92" s="5">
        <f t="shared" si="14"/>
        <v>0</v>
      </c>
      <c r="Z92" s="3"/>
      <c r="AA92" s="3">
        <f t="shared" si="15"/>
        <v>265719</v>
      </c>
      <c r="AB92" s="3">
        <f t="shared" si="16"/>
        <v>12270</v>
      </c>
      <c r="AC92" s="3">
        <f t="shared" si="17"/>
        <v>6638</v>
      </c>
    </row>
    <row r="93" spans="1:36" x14ac:dyDescent="0.55000000000000004">
      <c r="A93" t="s">
        <v>166</v>
      </c>
      <c r="B93" s="3">
        <v>0</v>
      </c>
      <c r="C93" s="3">
        <v>0</v>
      </c>
      <c r="D93" s="3">
        <v>0</v>
      </c>
      <c r="E93" s="5">
        <f t="shared" si="9"/>
        <v>0</v>
      </c>
      <c r="F93" s="3">
        <v>0</v>
      </c>
      <c r="G93" s="3">
        <v>0</v>
      </c>
      <c r="H93" s="3">
        <v>0</v>
      </c>
      <c r="I93" s="5">
        <f t="shared" si="10"/>
        <v>0</v>
      </c>
      <c r="J93" s="3">
        <v>0</v>
      </c>
      <c r="K93" s="3">
        <v>0</v>
      </c>
      <c r="L93" s="3">
        <v>0</v>
      </c>
      <c r="M93" s="5">
        <f t="shared" si="11"/>
        <v>0</v>
      </c>
      <c r="N93" s="3">
        <v>28114</v>
      </c>
      <c r="O93" s="3">
        <v>8481</v>
      </c>
      <c r="P93" s="3">
        <v>36595</v>
      </c>
      <c r="Q93" s="5">
        <f t="shared" si="12"/>
        <v>0</v>
      </c>
      <c r="R93" s="3">
        <v>301</v>
      </c>
      <c r="S93" s="3">
        <v>328</v>
      </c>
      <c r="T93" s="3">
        <v>629</v>
      </c>
      <c r="U93" s="5">
        <f t="shared" si="13"/>
        <v>0</v>
      </c>
      <c r="V93" s="3">
        <v>425</v>
      </c>
      <c r="W93" s="3">
        <v>104</v>
      </c>
      <c r="X93" s="3">
        <v>529</v>
      </c>
      <c r="Y93" s="5">
        <f t="shared" si="14"/>
        <v>0</v>
      </c>
      <c r="Z93" s="3"/>
      <c r="AA93" s="3">
        <f t="shared" si="15"/>
        <v>36595</v>
      </c>
      <c r="AB93" s="3">
        <f t="shared" si="16"/>
        <v>629</v>
      </c>
      <c r="AC93" s="3">
        <f t="shared" si="17"/>
        <v>529</v>
      </c>
    </row>
    <row r="94" spans="1:36" x14ac:dyDescent="0.55000000000000004">
      <c r="A94" t="s">
        <v>167</v>
      </c>
      <c r="B94" s="3">
        <v>239578</v>
      </c>
      <c r="C94" s="3">
        <v>167491</v>
      </c>
      <c r="D94" s="3">
        <v>544198</v>
      </c>
      <c r="E94" s="5">
        <f t="shared" si="9"/>
        <v>-137129</v>
      </c>
      <c r="F94" s="3">
        <v>10771</v>
      </c>
      <c r="G94" s="3">
        <v>10230</v>
      </c>
      <c r="H94" s="3">
        <v>22629</v>
      </c>
      <c r="I94" s="5">
        <f t="shared" si="10"/>
        <v>-1628</v>
      </c>
      <c r="J94" s="3">
        <v>9754</v>
      </c>
      <c r="K94" s="3">
        <v>7200</v>
      </c>
      <c r="L94" s="3">
        <v>18124</v>
      </c>
      <c r="M94" s="5">
        <f t="shared" si="11"/>
        <v>-1170</v>
      </c>
      <c r="N94" s="3">
        <v>1970525</v>
      </c>
      <c r="O94" s="3">
        <v>1798470</v>
      </c>
      <c r="P94" s="3">
        <v>5990530</v>
      </c>
      <c r="Q94" s="5">
        <f t="shared" si="12"/>
        <v>-2221535</v>
      </c>
      <c r="R94" s="3">
        <v>139185</v>
      </c>
      <c r="S94" s="3">
        <v>138511</v>
      </c>
      <c r="T94" s="3">
        <v>295983</v>
      </c>
      <c r="U94" s="5">
        <f t="shared" si="13"/>
        <v>-18287</v>
      </c>
      <c r="V94" s="3">
        <v>92515</v>
      </c>
      <c r="W94" s="3">
        <v>84980</v>
      </c>
      <c r="X94" s="10">
        <v>191101</v>
      </c>
      <c r="Y94" s="5">
        <f t="shared" si="14"/>
        <v>-13606</v>
      </c>
      <c r="Z94" s="3"/>
      <c r="AA94" s="3">
        <f t="shared" si="15"/>
        <v>6534728</v>
      </c>
      <c r="AB94" s="3">
        <f t="shared" si="16"/>
        <v>318612</v>
      </c>
      <c r="AC94" s="3">
        <f t="shared" si="17"/>
        <v>209225</v>
      </c>
      <c r="AE94" s="3">
        <f>SUM(L85:L93)</f>
        <v>18124</v>
      </c>
      <c r="AF94" s="3">
        <f>SUM(X85:X93)</f>
        <v>191101</v>
      </c>
      <c r="AH94" s="3"/>
      <c r="AI94" s="3"/>
      <c r="AJ94" s="3"/>
    </row>
    <row r="95" spans="1:36" x14ac:dyDescent="0.55000000000000004">
      <c r="A95" t="s">
        <v>168</v>
      </c>
      <c r="B95" s="3">
        <v>49779</v>
      </c>
      <c r="C95" s="3">
        <v>45197</v>
      </c>
      <c r="D95" s="3">
        <v>94976</v>
      </c>
      <c r="E95" s="5">
        <f t="shared" si="9"/>
        <v>0</v>
      </c>
      <c r="F95" s="3">
        <v>2408</v>
      </c>
      <c r="G95" s="3">
        <v>2152</v>
      </c>
      <c r="H95" s="3">
        <v>4560</v>
      </c>
      <c r="I95" s="5">
        <f t="shared" si="10"/>
        <v>0</v>
      </c>
      <c r="J95" s="3">
        <v>1976</v>
      </c>
      <c r="K95" s="3">
        <v>1439</v>
      </c>
      <c r="L95" s="3">
        <v>3415</v>
      </c>
      <c r="M95" s="5">
        <f t="shared" si="11"/>
        <v>0</v>
      </c>
      <c r="N95" s="3">
        <v>443664</v>
      </c>
      <c r="O95" s="3">
        <v>390891</v>
      </c>
      <c r="P95" s="3">
        <v>834555</v>
      </c>
      <c r="Q95" s="5">
        <f t="shared" si="12"/>
        <v>0</v>
      </c>
      <c r="R95" s="3">
        <v>13060</v>
      </c>
      <c r="S95" s="3">
        <v>11170</v>
      </c>
      <c r="T95" s="3">
        <v>24230</v>
      </c>
      <c r="U95" s="5">
        <f t="shared" si="13"/>
        <v>0</v>
      </c>
      <c r="V95" s="3">
        <v>6665</v>
      </c>
      <c r="W95" s="3">
        <v>5811</v>
      </c>
      <c r="X95" s="3">
        <v>12476</v>
      </c>
      <c r="Y95" s="5">
        <f t="shared" si="14"/>
        <v>0</v>
      </c>
      <c r="Z95" s="3"/>
      <c r="AA95" s="3">
        <f t="shared" si="15"/>
        <v>929531</v>
      </c>
      <c r="AB95" s="3">
        <f t="shared" si="16"/>
        <v>28790</v>
      </c>
      <c r="AC95" s="3">
        <f t="shared" si="17"/>
        <v>15891</v>
      </c>
    </row>
    <row r="96" spans="1:36" x14ac:dyDescent="0.55000000000000004">
      <c r="A96" t="s">
        <v>169</v>
      </c>
      <c r="B96" s="3" t="s">
        <v>97</v>
      </c>
      <c r="C96" s="3" t="s">
        <v>97</v>
      </c>
      <c r="D96" s="3">
        <v>40075</v>
      </c>
      <c r="E96" s="5" t="e">
        <f t="shared" si="9"/>
        <v>#VALUE!</v>
      </c>
      <c r="F96" s="3" t="s">
        <v>97</v>
      </c>
      <c r="G96" s="3" t="s">
        <v>97</v>
      </c>
      <c r="H96" s="3">
        <v>2107</v>
      </c>
      <c r="I96" s="5" t="e">
        <f t="shared" si="10"/>
        <v>#VALUE!</v>
      </c>
      <c r="J96" s="3" t="s">
        <v>97</v>
      </c>
      <c r="K96" s="3" t="s">
        <v>97</v>
      </c>
      <c r="L96" s="3">
        <v>1557</v>
      </c>
      <c r="M96" s="5" t="e">
        <f t="shared" si="11"/>
        <v>#VALUE!</v>
      </c>
      <c r="N96" s="3" t="s">
        <v>97</v>
      </c>
      <c r="O96" s="3" t="s">
        <v>97</v>
      </c>
      <c r="P96" s="3">
        <v>324756</v>
      </c>
      <c r="Q96" s="5" t="e">
        <f t="shared" si="12"/>
        <v>#VALUE!</v>
      </c>
      <c r="R96" s="3" t="s">
        <v>97</v>
      </c>
      <c r="S96" s="3" t="s">
        <v>97</v>
      </c>
      <c r="T96" s="3">
        <v>7701</v>
      </c>
      <c r="U96" s="5" t="e">
        <f t="shared" si="13"/>
        <v>#VALUE!</v>
      </c>
      <c r="V96" s="3" t="s">
        <v>97</v>
      </c>
      <c r="W96" s="3" t="s">
        <v>97</v>
      </c>
      <c r="X96" s="3">
        <v>5151</v>
      </c>
      <c r="Y96" s="5" t="e">
        <f t="shared" si="14"/>
        <v>#VALUE!</v>
      </c>
      <c r="Z96" s="3"/>
      <c r="AA96" s="3">
        <f t="shared" si="15"/>
        <v>364831</v>
      </c>
      <c r="AB96" s="3">
        <f t="shared" si="16"/>
        <v>9808</v>
      </c>
      <c r="AC96" s="3">
        <f t="shared" si="17"/>
        <v>6708</v>
      </c>
    </row>
    <row r="97" spans="1:32" x14ac:dyDescent="0.55000000000000004">
      <c r="A97" t="s">
        <v>170</v>
      </c>
      <c r="B97" s="3" t="s">
        <v>97</v>
      </c>
      <c r="C97" s="3" t="s">
        <v>97</v>
      </c>
      <c r="D97" s="3">
        <v>117241</v>
      </c>
      <c r="E97" s="5" t="e">
        <f t="shared" si="9"/>
        <v>#VALUE!</v>
      </c>
      <c r="F97" s="3" t="s">
        <v>97</v>
      </c>
      <c r="G97" s="3" t="s">
        <v>97</v>
      </c>
      <c r="H97" s="3" t="s">
        <v>97</v>
      </c>
      <c r="I97" s="5" t="e">
        <f t="shared" si="10"/>
        <v>#VALUE!</v>
      </c>
      <c r="J97" s="3" t="s">
        <v>97</v>
      </c>
      <c r="K97" s="3" t="s">
        <v>97</v>
      </c>
      <c r="L97" s="3" t="s">
        <v>97</v>
      </c>
      <c r="M97" s="5" t="e">
        <f t="shared" si="11"/>
        <v>#VALUE!</v>
      </c>
      <c r="N97" s="3" t="s">
        <v>97</v>
      </c>
      <c r="O97" s="3" t="s">
        <v>97</v>
      </c>
      <c r="P97" s="3">
        <v>751702</v>
      </c>
      <c r="Q97" s="5" t="e">
        <f t="shared" si="12"/>
        <v>#VALUE!</v>
      </c>
      <c r="R97" s="3" t="s">
        <v>97</v>
      </c>
      <c r="S97" s="3" t="s">
        <v>97</v>
      </c>
      <c r="T97" s="3" t="s">
        <v>97</v>
      </c>
      <c r="U97" s="5" t="e">
        <f t="shared" si="13"/>
        <v>#VALUE!</v>
      </c>
      <c r="V97" s="3" t="s">
        <v>97</v>
      </c>
      <c r="W97" s="3" t="s">
        <v>97</v>
      </c>
      <c r="X97" s="3" t="s">
        <v>97</v>
      </c>
      <c r="Y97" s="5" t="e">
        <f t="shared" si="14"/>
        <v>#VALUE!</v>
      </c>
      <c r="Z97" s="3"/>
      <c r="AA97" s="3">
        <f t="shared" si="15"/>
        <v>868943</v>
      </c>
      <c r="AB97" s="3" t="s">
        <v>97</v>
      </c>
      <c r="AC97" s="3" t="s">
        <v>97</v>
      </c>
    </row>
    <row r="98" spans="1:32" x14ac:dyDescent="0.55000000000000004">
      <c r="A98" t="s">
        <v>171</v>
      </c>
      <c r="B98" s="3">
        <v>25387</v>
      </c>
      <c r="C98" s="3">
        <v>22717</v>
      </c>
      <c r="D98" s="3">
        <v>48104</v>
      </c>
      <c r="E98" s="5">
        <f t="shared" si="9"/>
        <v>0</v>
      </c>
      <c r="F98" s="3">
        <v>1199</v>
      </c>
      <c r="G98" s="3">
        <v>1049</v>
      </c>
      <c r="H98" s="3">
        <v>2248</v>
      </c>
      <c r="I98" s="5">
        <f t="shared" si="10"/>
        <v>0</v>
      </c>
      <c r="J98" s="3">
        <v>739</v>
      </c>
      <c r="K98" s="3">
        <v>658</v>
      </c>
      <c r="L98" s="3">
        <v>1397</v>
      </c>
      <c r="M98" s="5">
        <f t="shared" si="11"/>
        <v>0</v>
      </c>
      <c r="N98" s="3">
        <v>363318</v>
      </c>
      <c r="O98" s="3">
        <v>296543</v>
      </c>
      <c r="P98" s="3">
        <v>659861</v>
      </c>
      <c r="Q98" s="5">
        <f t="shared" si="12"/>
        <v>0</v>
      </c>
      <c r="R98" s="3">
        <v>6322</v>
      </c>
      <c r="S98" s="3">
        <v>5202</v>
      </c>
      <c r="T98" s="3">
        <v>11524</v>
      </c>
      <c r="U98" s="5">
        <f t="shared" si="13"/>
        <v>0</v>
      </c>
      <c r="V98" s="3">
        <v>3902</v>
      </c>
      <c r="W98" s="3">
        <v>3131</v>
      </c>
      <c r="X98" s="3">
        <v>7033</v>
      </c>
      <c r="Y98" s="5">
        <f t="shared" si="14"/>
        <v>0</v>
      </c>
      <c r="Z98" s="3"/>
      <c r="AA98" s="3">
        <f t="shared" si="15"/>
        <v>707965</v>
      </c>
      <c r="AB98" s="3">
        <f t="shared" si="16"/>
        <v>13772</v>
      </c>
      <c r="AC98" s="3">
        <f t="shared" si="17"/>
        <v>8430</v>
      </c>
    </row>
    <row r="99" spans="1:32" x14ac:dyDescent="0.55000000000000004">
      <c r="A99" t="s">
        <v>172</v>
      </c>
      <c r="B99" s="10">
        <v>34760</v>
      </c>
      <c r="C99" s="3">
        <v>26882</v>
      </c>
      <c r="D99" s="3">
        <v>61642</v>
      </c>
      <c r="E99" s="5">
        <f t="shared" si="9"/>
        <v>0</v>
      </c>
      <c r="F99" s="3">
        <v>1446</v>
      </c>
      <c r="G99" s="3">
        <v>1417</v>
      </c>
      <c r="H99" s="3">
        <v>2863</v>
      </c>
      <c r="I99" s="5">
        <f t="shared" si="10"/>
        <v>0</v>
      </c>
      <c r="J99" s="3">
        <v>857</v>
      </c>
      <c r="K99" s="3">
        <v>761</v>
      </c>
      <c r="L99" s="3">
        <v>1618</v>
      </c>
      <c r="M99" s="5">
        <f t="shared" si="11"/>
        <v>0</v>
      </c>
      <c r="N99" s="3">
        <v>527612</v>
      </c>
      <c r="O99" s="3">
        <v>430372</v>
      </c>
      <c r="P99" s="3">
        <v>957984</v>
      </c>
      <c r="Q99" s="5">
        <f t="shared" si="12"/>
        <v>0</v>
      </c>
      <c r="R99" s="3">
        <v>17789</v>
      </c>
      <c r="S99" s="3">
        <v>15253</v>
      </c>
      <c r="T99" s="3">
        <v>33042</v>
      </c>
      <c r="U99" s="5">
        <f t="shared" si="13"/>
        <v>0</v>
      </c>
      <c r="V99" s="3">
        <v>10613</v>
      </c>
      <c r="W99" s="3">
        <v>8719</v>
      </c>
      <c r="X99" s="3">
        <v>19332</v>
      </c>
      <c r="Y99" s="5">
        <f t="shared" si="14"/>
        <v>0</v>
      </c>
      <c r="Z99" s="3"/>
      <c r="AA99" s="3">
        <f t="shared" si="15"/>
        <v>1019626</v>
      </c>
      <c r="AB99" s="3">
        <f t="shared" si="16"/>
        <v>35905</v>
      </c>
      <c r="AC99" s="3">
        <f t="shared" si="17"/>
        <v>20950</v>
      </c>
    </row>
    <row r="100" spans="1:32" x14ac:dyDescent="0.55000000000000004">
      <c r="A100" t="s">
        <v>173</v>
      </c>
      <c r="B100" s="3" t="s">
        <v>97</v>
      </c>
      <c r="C100" s="3" t="s">
        <v>97</v>
      </c>
      <c r="D100" s="3" t="s">
        <v>97</v>
      </c>
      <c r="E100" s="5" t="e">
        <f t="shared" si="9"/>
        <v>#VALUE!</v>
      </c>
      <c r="F100" s="3" t="s">
        <v>97</v>
      </c>
      <c r="G100" s="3" t="s">
        <v>97</v>
      </c>
      <c r="H100" s="3" t="s">
        <v>97</v>
      </c>
      <c r="I100" s="5" t="e">
        <f t="shared" si="10"/>
        <v>#VALUE!</v>
      </c>
      <c r="J100" s="3" t="s">
        <v>97</v>
      </c>
      <c r="K100" s="3" t="s">
        <v>97</v>
      </c>
      <c r="L100" s="3" t="s">
        <v>97</v>
      </c>
      <c r="M100" s="5" t="e">
        <f t="shared" si="11"/>
        <v>#VALUE!</v>
      </c>
      <c r="N100" s="3" t="s">
        <v>97</v>
      </c>
      <c r="O100" s="3" t="s">
        <v>97</v>
      </c>
      <c r="P100" s="3">
        <v>1612315</v>
      </c>
      <c r="Q100" s="5" t="e">
        <f t="shared" si="12"/>
        <v>#VALUE!</v>
      </c>
      <c r="R100" s="3" t="s">
        <v>97</v>
      </c>
      <c r="S100" s="3" t="s">
        <v>97</v>
      </c>
      <c r="T100" s="3" t="s">
        <v>97</v>
      </c>
      <c r="U100" s="5" t="e">
        <f t="shared" si="13"/>
        <v>#VALUE!</v>
      </c>
      <c r="V100" s="3" t="s">
        <v>97</v>
      </c>
      <c r="W100" s="3" t="s">
        <v>97</v>
      </c>
      <c r="X100" s="3" t="s">
        <v>97</v>
      </c>
      <c r="Y100" s="5" t="e">
        <f t="shared" si="14"/>
        <v>#VALUE!</v>
      </c>
      <c r="Z100" s="3"/>
      <c r="AA100" s="3">
        <f>P100</f>
        <v>1612315</v>
      </c>
      <c r="AB100" s="3" t="s">
        <v>97</v>
      </c>
      <c r="AC100" s="3" t="s">
        <v>97</v>
      </c>
    </row>
    <row r="101" spans="1:32" x14ac:dyDescent="0.55000000000000004">
      <c r="A101" t="s">
        <v>94</v>
      </c>
      <c r="B101" s="3">
        <v>13826</v>
      </c>
      <c r="C101" s="3">
        <v>12980</v>
      </c>
      <c r="D101" s="3">
        <v>26806</v>
      </c>
      <c r="E101" s="5">
        <f t="shared" si="9"/>
        <v>0</v>
      </c>
      <c r="F101" s="3">
        <v>985</v>
      </c>
      <c r="G101" s="3">
        <v>934</v>
      </c>
      <c r="H101" s="3">
        <v>1919</v>
      </c>
      <c r="I101" s="5">
        <f t="shared" si="10"/>
        <v>0</v>
      </c>
      <c r="J101" s="10">
        <v>740</v>
      </c>
      <c r="K101" s="3">
        <v>735</v>
      </c>
      <c r="L101" s="3">
        <v>1475</v>
      </c>
      <c r="M101" s="5">
        <f t="shared" si="11"/>
        <v>0</v>
      </c>
      <c r="N101" s="3">
        <v>236671</v>
      </c>
      <c r="O101" s="3">
        <v>214603</v>
      </c>
      <c r="P101" s="3">
        <v>451274</v>
      </c>
      <c r="Q101" s="5">
        <f t="shared" si="12"/>
        <v>0</v>
      </c>
      <c r="R101" s="3">
        <v>8583</v>
      </c>
      <c r="S101" s="3">
        <v>7718</v>
      </c>
      <c r="T101" s="3">
        <v>16301</v>
      </c>
      <c r="U101" s="5">
        <f t="shared" si="13"/>
        <v>0</v>
      </c>
      <c r="V101" s="3">
        <v>5283</v>
      </c>
      <c r="W101" s="3">
        <v>4881</v>
      </c>
      <c r="X101" s="3">
        <v>10164</v>
      </c>
      <c r="Y101" s="5">
        <f t="shared" si="14"/>
        <v>0</v>
      </c>
      <c r="Z101" s="3"/>
      <c r="AA101" s="3">
        <f t="shared" si="15"/>
        <v>478080</v>
      </c>
      <c r="AB101" s="3">
        <f t="shared" si="16"/>
        <v>18220</v>
      </c>
      <c r="AC101" s="3">
        <f t="shared" si="17"/>
        <v>11639</v>
      </c>
    </row>
    <row r="102" spans="1:32" x14ac:dyDescent="0.55000000000000004">
      <c r="A102" t="s">
        <v>95</v>
      </c>
      <c r="B102" s="3">
        <v>27774</v>
      </c>
      <c r="C102" s="3">
        <v>26145</v>
      </c>
      <c r="D102" s="3">
        <v>53919</v>
      </c>
      <c r="E102" s="5">
        <f t="shared" si="9"/>
        <v>0</v>
      </c>
      <c r="F102" s="3">
        <v>921</v>
      </c>
      <c r="G102" s="3">
        <v>893</v>
      </c>
      <c r="H102" s="3">
        <v>1814</v>
      </c>
      <c r="I102" s="5">
        <f t="shared" si="10"/>
        <v>0</v>
      </c>
      <c r="J102" s="3">
        <v>749</v>
      </c>
      <c r="K102" s="3">
        <v>730</v>
      </c>
      <c r="L102" s="3">
        <v>1479</v>
      </c>
      <c r="M102" s="5">
        <f t="shared" si="11"/>
        <v>0</v>
      </c>
      <c r="N102" s="3">
        <v>345154</v>
      </c>
      <c r="O102" s="3">
        <v>310092</v>
      </c>
      <c r="P102" s="3">
        <v>655246</v>
      </c>
      <c r="Q102" s="5">
        <f t="shared" si="12"/>
        <v>0</v>
      </c>
      <c r="R102" s="3">
        <v>9434</v>
      </c>
      <c r="S102" s="3">
        <v>8862</v>
      </c>
      <c r="T102" s="3">
        <v>18296</v>
      </c>
      <c r="U102" s="5">
        <f t="shared" si="13"/>
        <v>0</v>
      </c>
      <c r="V102" s="3">
        <v>5749</v>
      </c>
      <c r="W102" s="3">
        <v>5981</v>
      </c>
      <c r="X102" s="3">
        <v>11730</v>
      </c>
      <c r="Y102" s="5">
        <f t="shared" si="14"/>
        <v>0</v>
      </c>
      <c r="Z102" s="3"/>
      <c r="AA102" s="3">
        <f t="shared" si="15"/>
        <v>709165</v>
      </c>
      <c r="AB102" s="3">
        <f t="shared" si="16"/>
        <v>20110</v>
      </c>
      <c r="AC102" s="3">
        <f t="shared" si="17"/>
        <v>13209</v>
      </c>
    </row>
    <row r="103" spans="1:32" x14ac:dyDescent="0.55000000000000004">
      <c r="A103" t="s">
        <v>96</v>
      </c>
      <c r="B103" s="3" t="s">
        <v>97</v>
      </c>
      <c r="C103" s="3" t="s">
        <v>97</v>
      </c>
      <c r="D103" s="3">
        <v>248590</v>
      </c>
      <c r="E103" s="5" t="e">
        <f t="shared" si="9"/>
        <v>#VALUE!</v>
      </c>
      <c r="F103" s="3" t="s">
        <v>97</v>
      </c>
      <c r="G103" s="3" t="s">
        <v>97</v>
      </c>
      <c r="H103" s="3">
        <v>8880</v>
      </c>
      <c r="I103" s="5" t="e">
        <f t="shared" si="10"/>
        <v>#VALUE!</v>
      </c>
      <c r="J103" s="3" t="s">
        <v>97</v>
      </c>
      <c r="K103" s="3" t="s">
        <v>97</v>
      </c>
      <c r="L103" s="3">
        <v>5300</v>
      </c>
      <c r="M103" s="5" t="e">
        <f t="shared" si="11"/>
        <v>#VALUE!</v>
      </c>
      <c r="N103" s="3" t="s">
        <v>97</v>
      </c>
      <c r="O103" s="3" t="s">
        <v>97</v>
      </c>
      <c r="P103" s="3">
        <v>1524252</v>
      </c>
      <c r="Q103" s="5" t="e">
        <f t="shared" si="12"/>
        <v>#VALUE!</v>
      </c>
      <c r="R103" s="3" t="s">
        <v>97</v>
      </c>
      <c r="S103" s="3" t="s">
        <v>97</v>
      </c>
      <c r="T103" s="3">
        <v>48287</v>
      </c>
      <c r="U103" s="5" t="e">
        <f t="shared" si="13"/>
        <v>#VALUE!</v>
      </c>
      <c r="V103" s="3" t="s">
        <v>97</v>
      </c>
      <c r="W103" s="3" t="s">
        <v>97</v>
      </c>
      <c r="X103" s="3">
        <v>28895</v>
      </c>
      <c r="Y103" s="5" t="e">
        <f t="shared" si="14"/>
        <v>#VALUE!</v>
      </c>
      <c r="Z103" s="3"/>
      <c r="AA103" s="3">
        <f t="shared" si="15"/>
        <v>1772842</v>
      </c>
      <c r="AB103" s="3">
        <f t="shared" si="16"/>
        <v>57167</v>
      </c>
      <c r="AC103" s="3">
        <f t="shared" si="17"/>
        <v>34195</v>
      </c>
    </row>
    <row r="104" spans="1:32" x14ac:dyDescent="0.55000000000000004">
      <c r="A104" t="s">
        <v>174</v>
      </c>
      <c r="B104" s="10">
        <v>151526</v>
      </c>
      <c r="C104" s="3">
        <v>133921</v>
      </c>
      <c r="D104" s="3">
        <v>691353</v>
      </c>
      <c r="E104" s="5">
        <f t="shared" si="9"/>
        <v>-405906</v>
      </c>
      <c r="F104" s="3">
        <v>6959</v>
      </c>
      <c r="G104" s="3">
        <v>6445</v>
      </c>
      <c r="H104" s="3">
        <v>24391</v>
      </c>
      <c r="I104" s="5">
        <f t="shared" si="10"/>
        <v>-10987</v>
      </c>
      <c r="J104" s="3">
        <v>5061</v>
      </c>
      <c r="K104" s="3">
        <v>4323</v>
      </c>
      <c r="L104" s="3">
        <v>16241</v>
      </c>
      <c r="M104" s="5">
        <f t="shared" si="11"/>
        <v>-6857</v>
      </c>
      <c r="N104" s="3">
        <v>1916419</v>
      </c>
      <c r="O104" s="3">
        <v>1642601</v>
      </c>
      <c r="P104" s="3">
        <v>7772045</v>
      </c>
      <c r="Q104" s="5">
        <f t="shared" si="12"/>
        <v>-4213025</v>
      </c>
      <c r="R104" s="3">
        <v>56188</v>
      </c>
      <c r="S104" s="3">
        <v>48205</v>
      </c>
      <c r="T104" s="3">
        <v>159381</v>
      </c>
      <c r="U104" s="5">
        <f t="shared" si="13"/>
        <v>-54988</v>
      </c>
      <c r="V104" s="3">
        <v>32212</v>
      </c>
      <c r="W104" s="3">
        <v>28523</v>
      </c>
      <c r="X104" s="3">
        <v>94781</v>
      </c>
      <c r="Y104" s="5">
        <f t="shared" si="14"/>
        <v>-34046</v>
      </c>
      <c r="Z104" s="3"/>
      <c r="AA104" s="3">
        <f t="shared" si="15"/>
        <v>8463398</v>
      </c>
      <c r="AB104" s="3">
        <f t="shared" si="16"/>
        <v>183772</v>
      </c>
      <c r="AC104" s="3">
        <f t="shared" si="17"/>
        <v>111022</v>
      </c>
      <c r="AE104" s="3">
        <f>SUM(L95:L103)</f>
        <v>16241</v>
      </c>
      <c r="AF104" s="3">
        <f>SUM(X95:X103)</f>
        <v>94781</v>
      </c>
    </row>
    <row r="105" spans="1:32" x14ac:dyDescent="0.55000000000000004">
      <c r="A105" t="s">
        <v>175</v>
      </c>
      <c r="B105" s="3">
        <v>938391</v>
      </c>
      <c r="C105" s="3">
        <v>723428</v>
      </c>
      <c r="D105" s="3">
        <v>2378072</v>
      </c>
      <c r="E105" s="5">
        <f t="shared" si="9"/>
        <v>-716253</v>
      </c>
      <c r="F105" s="3">
        <v>35209</v>
      </c>
      <c r="G105" s="3">
        <v>33245</v>
      </c>
      <c r="H105" s="3">
        <v>85863</v>
      </c>
      <c r="I105" s="5">
        <f t="shared" si="10"/>
        <v>-17409</v>
      </c>
      <c r="J105" s="3">
        <v>27795</v>
      </c>
      <c r="K105" s="3">
        <v>23299</v>
      </c>
      <c r="L105" s="3">
        <v>61352</v>
      </c>
      <c r="M105" s="5">
        <f t="shared" si="11"/>
        <v>-10258</v>
      </c>
      <c r="N105" s="3">
        <v>7477351</v>
      </c>
      <c r="O105" s="3">
        <v>6723401</v>
      </c>
      <c r="P105" s="3">
        <v>22532620</v>
      </c>
      <c r="Q105" s="5">
        <f t="shared" si="12"/>
        <v>-8331868</v>
      </c>
      <c r="R105" s="3">
        <v>352081</v>
      </c>
      <c r="S105" s="3">
        <v>326428</v>
      </c>
      <c r="T105" s="3">
        <v>829919</v>
      </c>
      <c r="U105" s="5">
        <f t="shared" si="13"/>
        <v>-151410</v>
      </c>
      <c r="V105" s="3">
        <v>220157</v>
      </c>
      <c r="W105" s="3">
        <v>199699</v>
      </c>
      <c r="X105" s="10">
        <v>497636</v>
      </c>
      <c r="Y105" s="5">
        <f t="shared" si="14"/>
        <v>-77780</v>
      </c>
      <c r="Z105" s="3"/>
      <c r="AA105" s="3">
        <f t="shared" si="15"/>
        <v>24910692</v>
      </c>
      <c r="AB105" s="3">
        <f t="shared" si="16"/>
        <v>915782</v>
      </c>
      <c r="AC105" s="3">
        <f t="shared" si="17"/>
        <v>558988</v>
      </c>
      <c r="AE105" s="3">
        <f>SUM(AE84:AE104)</f>
        <v>61352</v>
      </c>
      <c r="AF105" s="3">
        <f>SUM(AF84:AF104)</f>
        <v>497636</v>
      </c>
    </row>
    <row r="106" spans="1:32" x14ac:dyDescent="0.55000000000000004">
      <c r="A106" t="s">
        <v>176</v>
      </c>
      <c r="B106" s="3">
        <v>7933875</v>
      </c>
      <c r="C106" s="3">
        <v>7226267</v>
      </c>
      <c r="D106" s="3">
        <v>16792044</v>
      </c>
      <c r="E106" s="5">
        <f t="shared" si="9"/>
        <v>-1631902</v>
      </c>
      <c r="F106" s="3">
        <v>303907</v>
      </c>
      <c r="G106" s="3">
        <v>283200</v>
      </c>
      <c r="H106" s="3">
        <v>624380</v>
      </c>
      <c r="I106" s="5">
        <f t="shared" si="10"/>
        <v>-37273</v>
      </c>
      <c r="J106" s="3">
        <v>214255</v>
      </c>
      <c r="K106" s="3">
        <v>192300</v>
      </c>
      <c r="L106" s="3">
        <v>421378</v>
      </c>
      <c r="M106" s="5">
        <f t="shared" si="11"/>
        <v>-14823</v>
      </c>
      <c r="N106" s="3">
        <v>52953819</v>
      </c>
      <c r="O106" s="3">
        <v>52995848</v>
      </c>
      <c r="P106" s="3">
        <v>124287550</v>
      </c>
      <c r="Q106" s="5">
        <f t="shared" si="12"/>
        <v>-18337883</v>
      </c>
      <c r="R106" s="3">
        <v>2797994</v>
      </c>
      <c r="S106" s="3">
        <v>2657882</v>
      </c>
      <c r="T106" s="3">
        <v>5745724</v>
      </c>
      <c r="U106" s="5">
        <f t="shared" si="13"/>
        <v>-289848</v>
      </c>
      <c r="V106" s="3">
        <v>1775763</v>
      </c>
      <c r="W106" s="3">
        <v>1672245</v>
      </c>
      <c r="X106" s="3">
        <v>3567876</v>
      </c>
      <c r="Y106" s="5">
        <f t="shared" si="14"/>
        <v>-119868</v>
      </c>
      <c r="Z106" s="3"/>
      <c r="AA106" s="3">
        <f t="shared" si="15"/>
        <v>141079594</v>
      </c>
      <c r="AB106" s="3">
        <f t="shared" si="16"/>
        <v>6370104</v>
      </c>
      <c r="AC106" s="3">
        <f t="shared" si="17"/>
        <v>3989254</v>
      </c>
    </row>
    <row r="107" spans="1:32" x14ac:dyDescent="0.55000000000000004">
      <c r="B107" s="3"/>
      <c r="C107" s="3"/>
      <c r="D107" s="3"/>
      <c r="E107" s="5"/>
      <c r="F107" s="3"/>
      <c r="G107" s="3"/>
      <c r="H107" s="3"/>
      <c r="I107" s="5"/>
      <c r="J107" s="3"/>
      <c r="K107" s="3"/>
      <c r="L107" s="3"/>
      <c r="M107" s="5"/>
      <c r="N107" s="3"/>
      <c r="O107" s="3"/>
      <c r="P107" s="3"/>
      <c r="Q107" s="5"/>
      <c r="R107" s="3"/>
      <c r="S107" s="3"/>
      <c r="T107" s="3"/>
      <c r="U107" s="5"/>
      <c r="V107" s="3"/>
      <c r="W107" s="3"/>
      <c r="X107" s="3"/>
      <c r="Y107" s="5"/>
      <c r="Z107" s="3"/>
      <c r="AA107" s="3"/>
      <c r="AB107" s="3"/>
      <c r="AC107" s="3"/>
    </row>
    <row r="108" spans="1:32" x14ac:dyDescent="0.55000000000000004">
      <c r="B108" s="3"/>
      <c r="C108" s="3"/>
      <c r="D108" s="3"/>
      <c r="E108" s="5"/>
      <c r="F108" s="3"/>
      <c r="G108" s="3"/>
      <c r="H108" s="3"/>
      <c r="I108" s="5"/>
      <c r="J108" s="3"/>
      <c r="K108" s="3"/>
      <c r="L108" s="3"/>
      <c r="M108" s="5"/>
      <c r="N108" s="3"/>
      <c r="O108" s="3"/>
      <c r="P108" s="3"/>
      <c r="Q108" s="5"/>
      <c r="R108" s="3"/>
      <c r="S108" s="3"/>
      <c r="T108" s="3"/>
      <c r="U108" s="5"/>
      <c r="V108" s="3"/>
      <c r="W108" s="3"/>
      <c r="X108" s="3"/>
      <c r="Y108" s="5"/>
      <c r="Z108" s="3"/>
      <c r="AA108" s="3"/>
      <c r="AB108" s="3"/>
      <c r="AC108" s="3"/>
      <c r="AE108" s="3"/>
      <c r="AF108" s="3"/>
    </row>
    <row r="109" spans="1:32" x14ac:dyDescent="0.55000000000000004">
      <c r="B109" s="3"/>
      <c r="C109" s="3"/>
      <c r="D109" s="3"/>
      <c r="E109" s="5"/>
      <c r="F109" s="3"/>
      <c r="G109" s="3"/>
      <c r="H109" s="3"/>
      <c r="I109" s="5"/>
      <c r="J109" s="3"/>
      <c r="K109" s="3"/>
      <c r="L109" s="3"/>
      <c r="M109" s="5"/>
      <c r="N109" s="3"/>
      <c r="O109" s="3"/>
      <c r="P109" s="3"/>
      <c r="Q109" s="5"/>
      <c r="R109" s="3"/>
      <c r="S109" s="3"/>
      <c r="T109" s="3"/>
      <c r="U109" s="5"/>
      <c r="V109" s="3"/>
      <c r="W109" s="3"/>
      <c r="X109" s="3"/>
      <c r="Y109" s="5"/>
      <c r="Z109" s="3"/>
      <c r="AA109" s="3"/>
      <c r="AB109" s="3"/>
      <c r="AC109" s="3"/>
    </row>
    <row r="110" spans="1:32" x14ac:dyDescent="0.55000000000000004">
      <c r="B110" s="3"/>
      <c r="C110" s="3"/>
      <c r="D110" s="3"/>
      <c r="E110" s="5"/>
      <c r="F110" s="3"/>
      <c r="G110" s="3"/>
      <c r="H110" s="3"/>
      <c r="I110" s="5"/>
      <c r="J110" s="3"/>
      <c r="K110" s="3"/>
      <c r="L110" s="3"/>
      <c r="M110" s="5"/>
      <c r="N110" s="3"/>
      <c r="O110" s="3"/>
      <c r="P110" s="3"/>
      <c r="Q110" s="5"/>
      <c r="R110" s="3"/>
      <c r="S110" s="3"/>
      <c r="T110" s="3"/>
      <c r="U110" s="5"/>
      <c r="V110" s="3"/>
      <c r="W110" s="3"/>
      <c r="X110" s="3"/>
      <c r="Y110" s="5"/>
      <c r="Z110" s="3"/>
      <c r="AA110" s="3"/>
      <c r="AB110" s="3"/>
      <c r="AC110" s="3"/>
    </row>
    <row r="111" spans="1:32" x14ac:dyDescent="0.55000000000000004">
      <c r="B111" s="3"/>
      <c r="C111" s="3"/>
      <c r="D111" s="3"/>
      <c r="E111" s="5"/>
      <c r="F111" s="3"/>
      <c r="G111" s="3"/>
      <c r="H111" s="3"/>
      <c r="I111" s="5"/>
      <c r="J111" s="3"/>
      <c r="K111" s="3"/>
      <c r="L111" s="3"/>
      <c r="M111" s="5"/>
      <c r="N111" s="3"/>
      <c r="O111" s="3"/>
      <c r="P111" s="3"/>
      <c r="Q111" s="5"/>
      <c r="R111" s="3"/>
      <c r="S111" s="3"/>
      <c r="T111" s="3"/>
      <c r="U111" s="5"/>
      <c r="V111" s="3"/>
      <c r="W111" s="3"/>
      <c r="X111" s="3"/>
      <c r="Y111" s="5"/>
      <c r="Z111" s="3"/>
      <c r="AA111" s="3"/>
      <c r="AB111" s="3"/>
      <c r="AC111" s="3"/>
    </row>
    <row r="112" spans="1:32" x14ac:dyDescent="0.55000000000000004">
      <c r="B112" s="3"/>
      <c r="C112" s="3"/>
      <c r="D112" s="3"/>
      <c r="E112" s="5"/>
      <c r="F112" s="3"/>
      <c r="G112" s="3"/>
      <c r="H112" s="3"/>
      <c r="I112" s="5"/>
      <c r="J112" s="3"/>
      <c r="K112" s="3"/>
      <c r="L112" s="3"/>
      <c r="M112" s="5"/>
      <c r="N112" s="3"/>
      <c r="O112" s="3"/>
      <c r="P112" s="3"/>
      <c r="Q112" s="5"/>
      <c r="R112" s="3"/>
      <c r="S112" s="3"/>
      <c r="T112" s="3"/>
      <c r="U112" s="5"/>
      <c r="V112" s="3"/>
      <c r="W112" s="3"/>
      <c r="X112" s="3"/>
      <c r="Y112" s="5"/>
      <c r="Z112" s="3"/>
      <c r="AA112" s="3"/>
      <c r="AB112" s="3"/>
      <c r="AC112" s="3"/>
    </row>
    <row r="113" spans="2:29" x14ac:dyDescent="0.55000000000000004">
      <c r="B113" s="3"/>
      <c r="C113" s="3"/>
      <c r="D113" s="3"/>
      <c r="E113" s="5"/>
      <c r="F113" s="3"/>
      <c r="G113" s="3"/>
      <c r="H113" s="3"/>
      <c r="I113" s="5"/>
      <c r="J113" s="3"/>
      <c r="K113" s="3"/>
      <c r="L113" s="3"/>
      <c r="M113" s="5"/>
      <c r="N113" s="3"/>
      <c r="O113" s="3"/>
      <c r="P113" s="3"/>
      <c r="Q113" s="5"/>
      <c r="R113" s="3"/>
      <c r="S113" s="3"/>
      <c r="T113" s="3"/>
      <c r="U113" s="5"/>
      <c r="V113" s="3"/>
      <c r="W113" s="3"/>
      <c r="X113" s="3"/>
      <c r="Y113" s="5"/>
      <c r="Z113" s="3"/>
      <c r="AA113" s="3"/>
      <c r="AB113" s="3"/>
      <c r="AC113" s="3"/>
    </row>
    <row r="114" spans="2:29" x14ac:dyDescent="0.55000000000000004">
      <c r="B114" s="3"/>
      <c r="C114" s="3"/>
      <c r="D114" s="3"/>
      <c r="E114" s="5"/>
      <c r="F114" s="3"/>
      <c r="G114" s="3"/>
      <c r="H114" s="3"/>
      <c r="I114" s="5"/>
      <c r="J114" s="3"/>
      <c r="K114" s="3"/>
      <c r="L114" s="3"/>
      <c r="M114" s="5"/>
      <c r="N114" s="3"/>
      <c r="O114" s="3"/>
      <c r="P114" s="3"/>
      <c r="Q114" s="5"/>
      <c r="R114" s="3"/>
      <c r="S114" s="3"/>
      <c r="T114" s="3"/>
      <c r="U114" s="5"/>
      <c r="V114" s="3"/>
      <c r="W114" s="3"/>
      <c r="X114" s="3"/>
      <c r="Y114" s="5"/>
      <c r="Z114" s="3"/>
      <c r="AA114" s="3"/>
      <c r="AB114" s="3"/>
      <c r="AC114" s="3"/>
    </row>
    <row r="115" spans="2:29" x14ac:dyDescent="0.55000000000000004">
      <c r="B115" s="3"/>
      <c r="C115" s="3"/>
      <c r="D115" s="3"/>
      <c r="E115" s="5"/>
      <c r="F115" s="3"/>
      <c r="G115" s="3"/>
      <c r="H115" s="3"/>
      <c r="I115" s="5"/>
      <c r="J115" s="3"/>
      <c r="K115" s="3"/>
      <c r="L115" s="3"/>
      <c r="M115" s="5"/>
      <c r="N115" s="3"/>
      <c r="O115" s="3"/>
      <c r="P115" s="3"/>
      <c r="Q115" s="5"/>
      <c r="R115" s="3"/>
      <c r="S115" s="3"/>
      <c r="T115" s="3"/>
      <c r="U115" s="5"/>
      <c r="V115" s="3"/>
      <c r="W115" s="3"/>
      <c r="X115" s="3"/>
      <c r="Y115" s="5"/>
      <c r="Z115" s="3"/>
      <c r="AA115" s="3"/>
      <c r="AB115" s="3"/>
      <c r="AC115" s="3"/>
    </row>
    <row r="116" spans="2:29" x14ac:dyDescent="0.55000000000000004">
      <c r="B116" s="3"/>
      <c r="C116" s="3"/>
      <c r="D116" s="3"/>
      <c r="E116" s="5"/>
      <c r="F116" s="3"/>
      <c r="G116" s="3"/>
      <c r="H116" s="3"/>
      <c r="I116" s="5"/>
      <c r="J116" s="3"/>
      <c r="K116" s="3"/>
      <c r="L116" s="3"/>
      <c r="M116" s="5"/>
      <c r="N116" s="3"/>
      <c r="O116" s="3"/>
      <c r="P116" s="3"/>
      <c r="Q116" s="5"/>
      <c r="R116" s="3"/>
      <c r="S116" s="3"/>
      <c r="T116" s="3"/>
      <c r="U116" s="5"/>
      <c r="V116" s="3"/>
      <c r="W116" s="3"/>
      <c r="X116" s="3"/>
      <c r="Y116" s="5"/>
      <c r="Z116" s="3"/>
      <c r="AA116" s="3"/>
      <c r="AB116" s="3"/>
      <c r="AC116" s="3"/>
    </row>
    <row r="117" spans="2:29" x14ac:dyDescent="0.55000000000000004">
      <c r="B117" s="3"/>
      <c r="C117" s="3"/>
      <c r="D117" s="3"/>
      <c r="E117" s="5"/>
      <c r="F117" s="3"/>
      <c r="G117" s="3"/>
      <c r="H117" s="3"/>
      <c r="I117" s="5"/>
      <c r="J117" s="3"/>
      <c r="K117" s="3"/>
      <c r="L117" s="3"/>
      <c r="M117" s="5"/>
      <c r="N117" s="3"/>
      <c r="O117" s="3"/>
      <c r="P117" s="3"/>
      <c r="Q117" s="5"/>
      <c r="R117" s="3"/>
      <c r="S117" s="3"/>
      <c r="T117" s="3"/>
      <c r="U117" s="5"/>
      <c r="V117" s="3"/>
      <c r="W117" s="3"/>
      <c r="X117" s="3"/>
      <c r="Y117" s="5"/>
      <c r="Z117" s="3"/>
      <c r="AA117" s="3"/>
      <c r="AB117" s="3"/>
      <c r="AC117" s="3"/>
    </row>
    <row r="118" spans="2:29" x14ac:dyDescent="0.55000000000000004">
      <c r="B118" s="3"/>
      <c r="C118" s="3"/>
      <c r="D118" s="3"/>
      <c r="E118" s="5"/>
      <c r="F118" s="3"/>
      <c r="G118" s="3"/>
      <c r="H118" s="3"/>
      <c r="I118" s="5"/>
      <c r="J118" s="3"/>
      <c r="K118" s="3"/>
      <c r="L118" s="3"/>
      <c r="M118" s="5"/>
      <c r="N118" s="3"/>
      <c r="O118" s="3"/>
      <c r="P118" s="3"/>
      <c r="Q118" s="5"/>
      <c r="R118" s="3"/>
      <c r="S118" s="3"/>
      <c r="T118" s="3"/>
      <c r="U118" s="5"/>
      <c r="V118" s="3"/>
      <c r="W118" s="3"/>
      <c r="X118" s="3"/>
      <c r="Y118" s="5"/>
      <c r="Z118" s="3"/>
      <c r="AA118" s="3"/>
      <c r="AB118" s="3"/>
      <c r="AC118" s="3"/>
    </row>
    <row r="119" spans="2:29" x14ac:dyDescent="0.55000000000000004">
      <c r="B119" s="3"/>
      <c r="C119" s="3"/>
      <c r="D119" s="3"/>
      <c r="E119" s="5"/>
      <c r="F119" s="3"/>
      <c r="G119" s="3"/>
      <c r="H119" s="3"/>
      <c r="I119" s="5"/>
      <c r="J119" s="3"/>
      <c r="K119" s="3"/>
      <c r="L119" s="3"/>
      <c r="M119" s="5"/>
      <c r="N119" s="3"/>
      <c r="O119" s="3"/>
      <c r="P119" s="3"/>
      <c r="Q119" s="5"/>
      <c r="R119" s="3"/>
      <c r="S119" s="3"/>
      <c r="T119" s="3"/>
      <c r="U119" s="5"/>
      <c r="V119" s="3"/>
      <c r="W119" s="3"/>
      <c r="X119" s="3"/>
      <c r="Y119" s="5"/>
      <c r="Z119" s="3"/>
      <c r="AA119" s="3"/>
      <c r="AB119" s="3"/>
      <c r="AC119" s="3"/>
    </row>
    <row r="120" spans="2:29" x14ac:dyDescent="0.55000000000000004">
      <c r="B120" s="3"/>
      <c r="C120" s="3"/>
      <c r="D120" s="3"/>
      <c r="E120" s="5"/>
      <c r="F120" s="3"/>
      <c r="G120" s="3"/>
      <c r="H120" s="3"/>
      <c r="I120" s="5"/>
      <c r="J120" s="3"/>
      <c r="K120" s="3"/>
      <c r="L120" s="3"/>
      <c r="M120" s="5"/>
      <c r="N120" s="3"/>
      <c r="O120" s="3"/>
      <c r="P120" s="3"/>
      <c r="Q120" s="5"/>
      <c r="R120" s="3"/>
      <c r="S120" s="3"/>
      <c r="T120" s="3"/>
      <c r="U120" s="5"/>
      <c r="V120" s="3"/>
      <c r="W120" s="3"/>
      <c r="X120" s="3"/>
      <c r="Y120" s="5"/>
      <c r="Z120" s="3"/>
      <c r="AA120" s="3"/>
      <c r="AB120" s="3"/>
      <c r="AC120" s="3"/>
    </row>
    <row r="121" spans="2:29" x14ac:dyDescent="0.55000000000000004">
      <c r="B121" s="3"/>
      <c r="C121" s="3"/>
      <c r="D121" s="3"/>
      <c r="E121" s="5"/>
      <c r="F121" s="3"/>
      <c r="G121" s="3"/>
      <c r="H121" s="3"/>
      <c r="I121" s="5"/>
      <c r="J121" s="3"/>
      <c r="K121" s="3"/>
      <c r="L121" s="3"/>
      <c r="M121" s="5"/>
      <c r="N121" s="3"/>
      <c r="O121" s="3"/>
      <c r="P121" s="3"/>
      <c r="Q121" s="5"/>
      <c r="R121" s="3"/>
      <c r="S121" s="3"/>
      <c r="T121" s="3"/>
      <c r="U121" s="5"/>
      <c r="V121" s="3"/>
      <c r="W121" s="3"/>
      <c r="X121" s="3"/>
      <c r="Y121" s="5"/>
      <c r="Z121" s="3"/>
      <c r="AA121" s="3"/>
      <c r="AB121" s="3"/>
      <c r="AC121" s="3"/>
    </row>
    <row r="122" spans="2:29" x14ac:dyDescent="0.55000000000000004">
      <c r="B122" s="3"/>
      <c r="C122" s="3"/>
      <c r="D122" s="3"/>
      <c r="E122" s="5"/>
      <c r="F122" s="3"/>
      <c r="G122" s="3"/>
      <c r="H122" s="3"/>
      <c r="I122" s="5"/>
      <c r="J122" s="3"/>
      <c r="K122" s="3"/>
      <c r="L122" s="3"/>
      <c r="M122" s="5"/>
      <c r="N122" s="3"/>
      <c r="O122" s="3"/>
      <c r="P122" s="3"/>
      <c r="Q122" s="5"/>
      <c r="R122" s="3"/>
      <c r="S122" s="3"/>
      <c r="T122" s="3"/>
      <c r="U122" s="5"/>
      <c r="V122" s="3"/>
      <c r="W122" s="3"/>
      <c r="X122" s="3"/>
      <c r="Y122" s="5"/>
      <c r="Z122" s="3"/>
      <c r="AA122" s="3"/>
      <c r="AB122" s="3"/>
      <c r="AC122" s="3"/>
    </row>
    <row r="123" spans="2:29" x14ac:dyDescent="0.55000000000000004">
      <c r="B123" s="3"/>
      <c r="C123" s="3"/>
      <c r="D123" s="3"/>
      <c r="E123" s="5"/>
      <c r="F123" s="3"/>
      <c r="G123" s="3"/>
      <c r="H123" s="3"/>
      <c r="I123" s="5"/>
      <c r="J123" s="3"/>
      <c r="K123" s="3"/>
      <c r="L123" s="3"/>
      <c r="M123" s="5"/>
      <c r="N123" s="3"/>
      <c r="O123" s="3"/>
      <c r="P123" s="3"/>
      <c r="Q123" s="5"/>
      <c r="R123" s="3"/>
      <c r="S123" s="3"/>
      <c r="T123" s="3"/>
      <c r="U123" s="5"/>
      <c r="V123" s="3"/>
      <c r="W123" s="3"/>
      <c r="X123" s="3"/>
      <c r="Y123" s="5"/>
      <c r="Z123" s="3"/>
      <c r="AA123" s="3"/>
      <c r="AB123" s="3"/>
      <c r="AC123" s="3"/>
    </row>
    <row r="124" spans="2:29" x14ac:dyDescent="0.55000000000000004">
      <c r="B124" s="3"/>
      <c r="C124" s="3"/>
      <c r="D124" s="3"/>
      <c r="E124" s="5"/>
      <c r="F124" s="3"/>
      <c r="G124" s="3"/>
      <c r="H124" s="3"/>
      <c r="I124" s="5"/>
      <c r="J124" s="3"/>
      <c r="K124" s="3"/>
      <c r="L124" s="3"/>
      <c r="M124" s="5"/>
      <c r="N124" s="3"/>
      <c r="O124" s="3"/>
      <c r="P124" s="3"/>
      <c r="Q124" s="5"/>
      <c r="R124" s="3"/>
      <c r="S124" s="3"/>
      <c r="T124" s="3"/>
      <c r="U124" s="5"/>
      <c r="V124" s="3"/>
      <c r="W124" s="3"/>
      <c r="X124" s="3"/>
      <c r="Y124" s="5"/>
      <c r="Z124" s="3"/>
      <c r="AA124" s="3"/>
      <c r="AB124" s="3"/>
      <c r="AC124" s="3"/>
    </row>
    <row r="125" spans="2:29" x14ac:dyDescent="0.55000000000000004">
      <c r="B125" s="3"/>
      <c r="C125" s="3"/>
      <c r="D125" s="3"/>
      <c r="E125" s="5"/>
      <c r="F125" s="3"/>
      <c r="G125" s="3"/>
      <c r="H125" s="3"/>
      <c r="I125" s="5"/>
      <c r="J125" s="3"/>
      <c r="K125" s="3"/>
      <c r="L125" s="3"/>
      <c r="M125" s="5"/>
      <c r="N125" s="3"/>
      <c r="O125" s="3"/>
      <c r="P125" s="3"/>
      <c r="Q125" s="5"/>
      <c r="R125" s="3"/>
      <c r="S125" s="3"/>
      <c r="T125" s="3"/>
      <c r="U125" s="5"/>
      <c r="V125" s="3"/>
      <c r="W125" s="3"/>
      <c r="X125" s="3"/>
      <c r="Y125" s="5"/>
      <c r="Z125" s="3"/>
      <c r="AA125" s="3"/>
      <c r="AB125" s="3"/>
      <c r="AC125" s="3"/>
    </row>
    <row r="126" spans="2:29" x14ac:dyDescent="0.55000000000000004">
      <c r="B126" s="3"/>
      <c r="C126" s="3"/>
      <c r="D126" s="3"/>
      <c r="E126" s="5"/>
      <c r="F126" s="3"/>
      <c r="G126" s="3"/>
      <c r="H126" s="3"/>
      <c r="I126" s="5"/>
      <c r="J126" s="3"/>
      <c r="K126" s="3"/>
      <c r="L126" s="3"/>
      <c r="M126" s="5"/>
      <c r="N126" s="3"/>
      <c r="O126" s="3"/>
      <c r="P126" s="3"/>
      <c r="Q126" s="5"/>
      <c r="R126" s="3"/>
      <c r="S126" s="3"/>
      <c r="T126" s="3"/>
      <c r="U126" s="5"/>
      <c r="V126" s="3"/>
      <c r="W126" s="3"/>
      <c r="X126" s="3"/>
      <c r="Y126" s="5"/>
      <c r="Z126" s="3"/>
      <c r="AA126" s="3"/>
      <c r="AB126" s="3"/>
      <c r="AC126" s="3"/>
    </row>
    <row r="127" spans="2:29" x14ac:dyDescent="0.55000000000000004">
      <c r="B127" s="3"/>
      <c r="C127" s="3"/>
      <c r="D127" s="3"/>
      <c r="E127" s="5"/>
      <c r="F127" s="3"/>
      <c r="G127" s="3"/>
      <c r="H127" s="3"/>
      <c r="I127" s="5"/>
      <c r="J127" s="3"/>
      <c r="K127" s="3"/>
      <c r="L127" s="3"/>
      <c r="M127" s="5"/>
      <c r="N127" s="3"/>
      <c r="O127" s="3"/>
      <c r="P127" s="3"/>
      <c r="Q127" s="5"/>
      <c r="R127" s="3"/>
      <c r="S127" s="3"/>
      <c r="T127" s="3"/>
      <c r="U127" s="5"/>
      <c r="V127" s="3"/>
      <c r="W127" s="3"/>
      <c r="X127" s="3"/>
      <c r="Y127" s="5"/>
      <c r="Z127" s="3"/>
      <c r="AA127" s="3"/>
      <c r="AB127" s="3"/>
      <c r="AC127" s="3"/>
    </row>
    <row r="128" spans="2:29" x14ac:dyDescent="0.55000000000000004">
      <c r="B128" s="3"/>
      <c r="C128" s="3"/>
      <c r="D128" s="3"/>
      <c r="E128" s="5"/>
      <c r="F128" s="3"/>
      <c r="G128" s="3"/>
      <c r="H128" s="3"/>
      <c r="I128" s="5"/>
      <c r="J128" s="3"/>
      <c r="K128" s="3"/>
      <c r="L128" s="3"/>
      <c r="M128" s="5"/>
      <c r="N128" s="3"/>
      <c r="O128" s="3"/>
      <c r="P128" s="3"/>
      <c r="Q128" s="5"/>
      <c r="R128" s="3"/>
      <c r="S128" s="3"/>
      <c r="T128" s="3"/>
      <c r="U128" s="5"/>
      <c r="V128" s="3"/>
      <c r="W128" s="3"/>
      <c r="X128" s="3"/>
      <c r="Y128" s="5"/>
      <c r="Z128" s="3"/>
      <c r="AA128" s="3"/>
      <c r="AB128" s="3"/>
      <c r="AC128" s="3"/>
    </row>
    <row r="129" spans="2:29" x14ac:dyDescent="0.55000000000000004">
      <c r="B129" s="3"/>
      <c r="C129" s="3"/>
      <c r="D129" s="3"/>
      <c r="E129" s="5"/>
      <c r="F129" s="3"/>
      <c r="G129" s="3"/>
      <c r="H129" s="3"/>
      <c r="I129" s="5"/>
      <c r="J129" s="3"/>
      <c r="K129" s="3"/>
      <c r="L129" s="3"/>
      <c r="M129" s="5"/>
      <c r="N129" s="3"/>
      <c r="O129" s="3"/>
      <c r="P129" s="3"/>
      <c r="Q129" s="5"/>
      <c r="R129" s="3"/>
      <c r="S129" s="3"/>
      <c r="T129" s="3"/>
      <c r="U129" s="5"/>
      <c r="V129" s="3"/>
      <c r="W129" s="3"/>
      <c r="X129" s="3"/>
      <c r="Y129" s="5"/>
      <c r="Z129" s="3"/>
      <c r="AA129" s="3"/>
      <c r="AB129" s="3"/>
      <c r="AC129" s="3"/>
    </row>
    <row r="130" spans="2:29" x14ac:dyDescent="0.55000000000000004">
      <c r="B130" s="3"/>
      <c r="C130" s="3"/>
      <c r="D130" s="3"/>
      <c r="E130" s="5"/>
      <c r="F130" s="3"/>
      <c r="G130" s="3"/>
      <c r="H130" s="3"/>
      <c r="I130" s="5"/>
      <c r="J130" s="3"/>
      <c r="K130" s="3"/>
      <c r="L130" s="3"/>
      <c r="M130" s="5"/>
      <c r="N130" s="3"/>
      <c r="O130" s="3"/>
      <c r="P130" s="3"/>
      <c r="Q130" s="5"/>
      <c r="R130" s="3"/>
      <c r="S130" s="3"/>
      <c r="T130" s="3"/>
      <c r="U130" s="5"/>
      <c r="V130" s="3"/>
      <c r="W130" s="3"/>
      <c r="X130" s="3"/>
      <c r="Y130" s="5"/>
      <c r="Z130" s="3"/>
      <c r="AA130" s="3"/>
      <c r="AB130" s="3"/>
      <c r="AC130" s="3"/>
    </row>
    <row r="131" spans="2:29" x14ac:dyDescent="0.55000000000000004">
      <c r="B131" s="3"/>
      <c r="C131" s="3"/>
      <c r="D131" s="3"/>
      <c r="E131" s="5"/>
      <c r="F131" s="3"/>
      <c r="G131" s="3"/>
      <c r="H131" s="3"/>
      <c r="I131" s="5"/>
      <c r="J131" s="3"/>
      <c r="K131" s="3"/>
      <c r="L131" s="3"/>
      <c r="M131" s="5"/>
      <c r="N131" s="3"/>
      <c r="O131" s="3"/>
      <c r="P131" s="3"/>
      <c r="Q131" s="5"/>
      <c r="R131" s="3"/>
      <c r="S131" s="3"/>
      <c r="T131" s="3"/>
      <c r="U131" s="5"/>
      <c r="V131" s="3"/>
      <c r="W131" s="3"/>
      <c r="X131" s="3"/>
      <c r="Y131" s="5"/>
      <c r="Z131" s="3"/>
      <c r="AA131" s="3"/>
      <c r="AB131" s="3"/>
      <c r="AC131" s="3"/>
    </row>
    <row r="132" spans="2:29" x14ac:dyDescent="0.55000000000000004">
      <c r="B132" s="3"/>
      <c r="C132" s="3"/>
      <c r="D132" s="3"/>
      <c r="E132" s="5"/>
      <c r="F132" s="3"/>
      <c r="G132" s="3"/>
      <c r="H132" s="3"/>
      <c r="I132" s="5"/>
      <c r="J132" s="3"/>
      <c r="K132" s="3"/>
      <c r="L132" s="3"/>
      <c r="M132" s="5"/>
      <c r="N132" s="3"/>
      <c r="O132" s="3"/>
      <c r="P132" s="3"/>
      <c r="Q132" s="5"/>
      <c r="R132" s="3"/>
      <c r="S132" s="3"/>
      <c r="T132" s="3"/>
      <c r="U132" s="5"/>
      <c r="V132" s="3"/>
      <c r="W132" s="3"/>
      <c r="X132" s="3"/>
      <c r="Y132" s="5"/>
      <c r="Z132" s="3"/>
      <c r="AA132" s="3"/>
      <c r="AB132" s="3"/>
      <c r="AC132" s="3"/>
    </row>
    <row r="133" spans="2:29" x14ac:dyDescent="0.55000000000000004">
      <c r="B133" s="3"/>
      <c r="C133" s="3"/>
      <c r="D133" s="3"/>
      <c r="E133" s="5"/>
      <c r="F133" s="3"/>
      <c r="G133" s="3"/>
      <c r="H133" s="3"/>
      <c r="I133" s="5"/>
      <c r="J133" s="3"/>
      <c r="K133" s="3"/>
      <c r="L133" s="3"/>
      <c r="M133" s="5"/>
      <c r="N133" s="3"/>
      <c r="O133" s="3"/>
      <c r="P133" s="3"/>
      <c r="Q133" s="5"/>
      <c r="R133" s="3"/>
      <c r="S133" s="3"/>
      <c r="T133" s="3"/>
      <c r="U133" s="5"/>
      <c r="V133" s="3"/>
      <c r="W133" s="3"/>
      <c r="X133" s="3"/>
      <c r="Y133" s="5"/>
      <c r="Z133" s="3"/>
      <c r="AA133" s="3"/>
      <c r="AB133" s="3"/>
      <c r="AC133" s="3"/>
    </row>
    <row r="134" spans="2:29" x14ac:dyDescent="0.55000000000000004">
      <c r="B134" s="3"/>
      <c r="C134" s="3"/>
      <c r="D134" s="3"/>
      <c r="E134" s="5"/>
      <c r="F134" s="3"/>
      <c r="G134" s="3"/>
      <c r="H134" s="3"/>
      <c r="I134" s="5"/>
      <c r="J134" s="3"/>
      <c r="K134" s="3"/>
      <c r="L134" s="3"/>
      <c r="M134" s="5"/>
      <c r="N134" s="3"/>
      <c r="O134" s="3"/>
      <c r="P134" s="3"/>
      <c r="Q134" s="5"/>
      <c r="R134" s="3"/>
      <c r="S134" s="3"/>
      <c r="T134" s="3"/>
      <c r="U134" s="5"/>
      <c r="V134" s="3"/>
      <c r="W134" s="3"/>
      <c r="X134" s="3"/>
      <c r="Y134" s="5"/>
      <c r="Z134" s="3"/>
      <c r="AA134" s="3"/>
      <c r="AB134" s="3"/>
      <c r="AC134" s="3"/>
    </row>
    <row r="135" spans="2:29" x14ac:dyDescent="0.55000000000000004">
      <c r="B135" s="3"/>
      <c r="C135" s="3"/>
      <c r="D135" s="3"/>
      <c r="E135" s="5"/>
      <c r="F135" s="3"/>
      <c r="G135" s="3"/>
      <c r="H135" s="3"/>
      <c r="I135" s="5"/>
      <c r="J135" s="3"/>
      <c r="K135" s="3"/>
      <c r="L135" s="3"/>
      <c r="M135" s="5"/>
      <c r="N135" s="3"/>
      <c r="O135" s="3"/>
      <c r="P135" s="3"/>
      <c r="Q135" s="5"/>
      <c r="R135" s="3"/>
      <c r="S135" s="3"/>
      <c r="T135" s="3"/>
      <c r="U135" s="5"/>
      <c r="V135" s="3"/>
      <c r="W135" s="3"/>
      <c r="X135" s="3"/>
      <c r="Y135" s="5"/>
      <c r="Z135" s="3"/>
      <c r="AA135" s="3"/>
      <c r="AB135" s="3"/>
      <c r="AC135" s="3"/>
    </row>
    <row r="136" spans="2:29" x14ac:dyDescent="0.55000000000000004">
      <c r="B136" s="3"/>
      <c r="C136" s="3"/>
      <c r="D136" s="3"/>
      <c r="E136" s="5"/>
      <c r="F136" s="3"/>
      <c r="G136" s="3"/>
      <c r="H136" s="3"/>
      <c r="I136" s="5"/>
      <c r="J136" s="3"/>
      <c r="K136" s="3"/>
      <c r="L136" s="3"/>
      <c r="M136" s="5"/>
      <c r="N136" s="3"/>
      <c r="O136" s="3"/>
      <c r="P136" s="3"/>
      <c r="Q136" s="5"/>
      <c r="R136" s="3"/>
      <c r="S136" s="3"/>
      <c r="T136" s="3"/>
      <c r="U136" s="5"/>
      <c r="V136" s="3"/>
      <c r="W136" s="3"/>
      <c r="X136" s="3"/>
      <c r="Y136" s="5"/>
      <c r="Z136" s="3"/>
      <c r="AA136" s="3"/>
      <c r="AB136" s="3"/>
      <c r="AC136" s="3"/>
    </row>
    <row r="137" spans="2:29" x14ac:dyDescent="0.55000000000000004">
      <c r="B137" s="3"/>
      <c r="C137" s="3"/>
      <c r="D137" s="3"/>
      <c r="E137" s="5"/>
      <c r="F137" s="3"/>
      <c r="G137" s="3"/>
      <c r="H137" s="3"/>
      <c r="I137" s="5"/>
      <c r="J137" s="3"/>
      <c r="K137" s="3"/>
      <c r="L137" s="3"/>
      <c r="M137" s="5"/>
      <c r="N137" s="3"/>
      <c r="O137" s="3"/>
      <c r="P137" s="3"/>
      <c r="Q137" s="5"/>
      <c r="R137" s="3"/>
      <c r="S137" s="3"/>
      <c r="T137" s="3"/>
      <c r="U137" s="5"/>
      <c r="V137" s="3"/>
      <c r="W137" s="3"/>
      <c r="X137" s="3"/>
      <c r="Y137" s="5"/>
      <c r="Z137" s="3"/>
      <c r="AA137" s="3"/>
      <c r="AB137" s="3"/>
      <c r="AC137" s="3"/>
    </row>
    <row r="138" spans="2:29" x14ac:dyDescent="0.55000000000000004">
      <c r="B138" s="3"/>
      <c r="C138" s="3"/>
      <c r="D138" s="3"/>
      <c r="E138" s="5"/>
      <c r="F138" s="3"/>
      <c r="G138" s="3"/>
      <c r="H138" s="3"/>
      <c r="I138" s="5"/>
      <c r="J138" s="3"/>
      <c r="K138" s="3"/>
      <c r="L138" s="3"/>
      <c r="M138" s="5"/>
      <c r="N138" s="3"/>
      <c r="O138" s="3"/>
      <c r="P138" s="3"/>
      <c r="Q138" s="5"/>
      <c r="R138" s="3"/>
      <c r="S138" s="3"/>
      <c r="T138" s="3"/>
      <c r="U138" s="5"/>
      <c r="V138" s="3"/>
      <c r="W138" s="3"/>
      <c r="X138" s="3"/>
      <c r="Y138" s="5"/>
      <c r="Z138" s="3"/>
      <c r="AA138" s="3"/>
      <c r="AB138" s="3"/>
      <c r="AC138" s="3"/>
    </row>
    <row r="139" spans="2:29" x14ac:dyDescent="0.55000000000000004">
      <c r="B139" s="3"/>
      <c r="C139" s="3"/>
      <c r="D139" s="3"/>
      <c r="E139" s="5"/>
      <c r="F139" s="3"/>
      <c r="G139" s="3"/>
      <c r="H139" s="3"/>
      <c r="I139" s="5"/>
      <c r="J139" s="3"/>
      <c r="K139" s="3"/>
      <c r="L139" s="3"/>
      <c r="M139" s="5"/>
      <c r="N139" s="3"/>
      <c r="O139" s="3"/>
      <c r="P139" s="3"/>
      <c r="Q139" s="5"/>
      <c r="R139" s="3"/>
      <c r="S139" s="3"/>
      <c r="T139" s="3"/>
      <c r="U139" s="5"/>
      <c r="V139" s="3"/>
      <c r="W139" s="3"/>
      <c r="X139" s="3"/>
      <c r="Y139" s="5"/>
      <c r="Z139" s="3"/>
      <c r="AA139" s="3"/>
      <c r="AB139" s="3"/>
      <c r="AC139" s="3"/>
    </row>
    <row r="140" spans="2:29" x14ac:dyDescent="0.55000000000000004">
      <c r="B140" s="3"/>
      <c r="C140" s="3"/>
      <c r="D140" s="3"/>
      <c r="E140" s="5"/>
      <c r="F140" s="3"/>
      <c r="G140" s="3"/>
      <c r="H140" s="3"/>
      <c r="I140" s="5"/>
      <c r="J140" s="3"/>
      <c r="K140" s="3"/>
      <c r="L140" s="3"/>
      <c r="M140" s="5"/>
      <c r="N140" s="3"/>
      <c r="O140" s="3"/>
      <c r="P140" s="3"/>
      <c r="Q140" s="5"/>
      <c r="R140" s="3"/>
      <c r="S140" s="3"/>
      <c r="T140" s="3"/>
      <c r="U140" s="5"/>
      <c r="V140" s="3"/>
      <c r="W140" s="3"/>
      <c r="X140" s="3"/>
      <c r="Y140" s="5"/>
      <c r="Z140" s="3"/>
      <c r="AA140" s="3"/>
      <c r="AB140" s="3"/>
      <c r="AC140" s="3"/>
    </row>
    <row r="141" spans="2:29" x14ac:dyDescent="0.55000000000000004">
      <c r="B141" s="3"/>
      <c r="C141" s="3"/>
      <c r="D141" s="3"/>
      <c r="E141" s="5"/>
      <c r="F141" s="3"/>
      <c r="G141" s="3"/>
      <c r="H141" s="3"/>
      <c r="I141" s="5"/>
      <c r="J141" s="3"/>
      <c r="K141" s="3"/>
      <c r="L141" s="3"/>
      <c r="M141" s="5"/>
      <c r="N141" s="3"/>
      <c r="O141" s="3"/>
      <c r="P141" s="3"/>
      <c r="Q141" s="5"/>
      <c r="R141" s="3"/>
      <c r="S141" s="3"/>
      <c r="T141" s="3"/>
      <c r="U141" s="5"/>
      <c r="V141" s="3"/>
      <c r="W141" s="3"/>
      <c r="X141" s="3"/>
      <c r="Y141" s="5"/>
      <c r="Z141" s="3"/>
      <c r="AA141" s="3"/>
      <c r="AB141" s="3"/>
      <c r="AC141" s="3"/>
    </row>
    <row r="142" spans="2:29" x14ac:dyDescent="0.55000000000000004">
      <c r="B142" s="3"/>
      <c r="C142" s="3"/>
      <c r="D142" s="3"/>
      <c r="E142" s="5"/>
      <c r="F142" s="3"/>
      <c r="G142" s="3"/>
      <c r="H142" s="3"/>
      <c r="I142" s="5"/>
      <c r="J142" s="3"/>
      <c r="K142" s="3"/>
      <c r="L142" s="3"/>
      <c r="M142" s="5"/>
      <c r="N142" s="3"/>
      <c r="O142" s="3"/>
      <c r="P142" s="3"/>
      <c r="Q142" s="5"/>
      <c r="R142" s="3"/>
      <c r="S142" s="3"/>
      <c r="T142" s="3"/>
      <c r="U142" s="5"/>
      <c r="V142" s="3"/>
      <c r="W142" s="3"/>
      <c r="X142" s="3"/>
      <c r="Y142" s="5"/>
      <c r="Z142" s="3"/>
      <c r="AA142" s="3"/>
      <c r="AB142" s="3"/>
      <c r="AC142" s="3"/>
    </row>
    <row r="143" spans="2:29" x14ac:dyDescent="0.55000000000000004">
      <c r="B143" s="3"/>
      <c r="C143" s="3"/>
      <c r="D143" s="3"/>
      <c r="E143" s="5"/>
      <c r="F143" s="3"/>
      <c r="G143" s="3"/>
      <c r="H143" s="3"/>
      <c r="I143" s="5"/>
      <c r="J143" s="3"/>
      <c r="K143" s="3"/>
      <c r="L143" s="3"/>
      <c r="M143" s="5"/>
      <c r="N143" s="3"/>
      <c r="O143" s="3"/>
      <c r="P143" s="3"/>
      <c r="Q143" s="5"/>
      <c r="R143" s="3"/>
      <c r="S143" s="3"/>
      <c r="T143" s="3"/>
      <c r="U143" s="5"/>
      <c r="V143" s="3"/>
      <c r="W143" s="3"/>
      <c r="X143" s="3"/>
      <c r="Y143" s="5"/>
      <c r="Z143" s="3"/>
      <c r="AA143" s="3"/>
      <c r="AB143" s="3"/>
      <c r="AC143" s="3"/>
    </row>
    <row r="144" spans="2:29" x14ac:dyDescent="0.55000000000000004">
      <c r="B144" s="3"/>
      <c r="C144" s="3"/>
      <c r="D144" s="3"/>
      <c r="E144" s="5"/>
      <c r="F144" s="3"/>
      <c r="G144" s="3"/>
      <c r="H144" s="3"/>
      <c r="I144" s="5"/>
      <c r="J144" s="3"/>
      <c r="K144" s="3"/>
      <c r="L144" s="3"/>
      <c r="M144" s="5"/>
      <c r="N144" s="3"/>
      <c r="O144" s="3"/>
      <c r="P144" s="3"/>
      <c r="Q144" s="5"/>
      <c r="R144" s="3"/>
      <c r="S144" s="3"/>
      <c r="T144" s="3"/>
      <c r="U144" s="5"/>
      <c r="V144" s="3"/>
      <c r="W144" s="3"/>
      <c r="X144" s="3"/>
      <c r="Y144" s="5"/>
      <c r="Z144" s="3"/>
      <c r="AA144" s="3"/>
      <c r="AB144" s="3"/>
      <c r="AC144" s="3"/>
    </row>
    <row r="145" spans="2:29" x14ac:dyDescent="0.55000000000000004">
      <c r="B145" s="3"/>
      <c r="C145" s="3"/>
      <c r="D145" s="3"/>
      <c r="E145" s="5"/>
      <c r="F145" s="3"/>
      <c r="G145" s="3"/>
      <c r="H145" s="3"/>
      <c r="I145" s="5"/>
      <c r="J145" s="3"/>
      <c r="K145" s="3"/>
      <c r="L145" s="3"/>
      <c r="M145" s="5"/>
      <c r="N145" s="3"/>
      <c r="O145" s="3"/>
      <c r="P145" s="3"/>
      <c r="Q145" s="5"/>
      <c r="R145" s="3"/>
      <c r="S145" s="3"/>
      <c r="T145" s="3"/>
      <c r="U145" s="5"/>
      <c r="V145" s="3"/>
      <c r="W145" s="3"/>
      <c r="X145" s="3"/>
      <c r="Y145" s="5"/>
      <c r="Z145" s="3"/>
      <c r="AA145" s="3"/>
      <c r="AB145" s="3"/>
      <c r="AC145" s="3"/>
    </row>
    <row r="146" spans="2:29" x14ac:dyDescent="0.55000000000000004">
      <c r="B146" s="3"/>
      <c r="C146" s="3"/>
      <c r="D146" s="3"/>
      <c r="E146" s="5"/>
      <c r="F146" s="3"/>
      <c r="G146" s="3"/>
      <c r="H146" s="3"/>
      <c r="I146" s="5"/>
      <c r="J146" s="3"/>
      <c r="K146" s="3"/>
      <c r="L146" s="3"/>
      <c r="M146" s="5"/>
      <c r="N146" s="3"/>
      <c r="O146" s="3"/>
      <c r="P146" s="3"/>
      <c r="Q146" s="5"/>
      <c r="R146" s="3"/>
      <c r="S146" s="3"/>
      <c r="T146" s="3"/>
      <c r="U146" s="5"/>
      <c r="V146" s="3"/>
      <c r="W146" s="3"/>
      <c r="X146" s="3"/>
      <c r="Y146" s="5"/>
      <c r="Z146" s="3"/>
      <c r="AA146" s="3"/>
      <c r="AB146" s="3"/>
      <c r="AC146" s="3"/>
    </row>
    <row r="147" spans="2:29" x14ac:dyDescent="0.55000000000000004">
      <c r="B147" s="3"/>
      <c r="C147" s="3"/>
      <c r="D147" s="3"/>
      <c r="E147" s="5"/>
      <c r="F147" s="3"/>
      <c r="G147" s="3"/>
      <c r="H147" s="3"/>
      <c r="I147" s="5"/>
      <c r="J147" s="3"/>
      <c r="K147" s="3"/>
      <c r="L147" s="3"/>
      <c r="M147" s="5"/>
      <c r="N147" s="3"/>
      <c r="O147" s="3"/>
      <c r="P147" s="3"/>
      <c r="Q147" s="5"/>
      <c r="R147" s="3"/>
      <c r="S147" s="3"/>
      <c r="T147" s="3"/>
      <c r="U147" s="5"/>
      <c r="V147" s="3"/>
      <c r="W147" s="3"/>
      <c r="X147" s="3"/>
      <c r="Y147" s="5"/>
      <c r="Z147" s="3"/>
      <c r="AA147" s="3"/>
      <c r="AB147" s="3"/>
      <c r="AC147" s="3"/>
    </row>
    <row r="148" spans="2:29" x14ac:dyDescent="0.55000000000000004">
      <c r="B148" s="3"/>
      <c r="C148" s="3"/>
      <c r="D148" s="3"/>
      <c r="E148" s="5"/>
      <c r="F148" s="3"/>
      <c r="G148" s="3"/>
      <c r="H148" s="3"/>
      <c r="I148" s="5"/>
      <c r="J148" s="3"/>
      <c r="K148" s="3"/>
      <c r="L148" s="3"/>
      <c r="M148" s="5"/>
      <c r="N148" s="3"/>
      <c r="O148" s="3"/>
      <c r="P148" s="3"/>
      <c r="Q148" s="5"/>
      <c r="R148" s="3"/>
      <c r="S148" s="3"/>
      <c r="T148" s="3"/>
      <c r="U148" s="5"/>
      <c r="V148" s="3"/>
      <c r="W148" s="3"/>
      <c r="X148" s="3"/>
      <c r="Y148" s="5"/>
      <c r="Z148" s="3"/>
      <c r="AA148" s="3"/>
      <c r="AB148" s="3"/>
      <c r="AC148" s="3"/>
    </row>
    <row r="149" spans="2:29" x14ac:dyDescent="0.55000000000000004">
      <c r="B149" s="3"/>
      <c r="C149" s="3"/>
      <c r="D149" s="3"/>
      <c r="E149" s="5"/>
      <c r="F149" s="3"/>
      <c r="G149" s="3"/>
      <c r="H149" s="3"/>
      <c r="I149" s="5"/>
      <c r="J149" s="3"/>
      <c r="K149" s="3"/>
      <c r="L149" s="3"/>
      <c r="M149" s="5"/>
      <c r="N149" s="3"/>
      <c r="O149" s="3"/>
      <c r="P149" s="3"/>
      <c r="Q149" s="5"/>
      <c r="R149" s="3"/>
      <c r="S149" s="3"/>
      <c r="T149" s="3"/>
      <c r="U149" s="5"/>
      <c r="V149" s="3"/>
      <c r="W149" s="3"/>
      <c r="X149" s="3"/>
      <c r="Y149" s="5"/>
      <c r="Z149" s="3"/>
      <c r="AA149" s="3"/>
      <c r="AB149" s="3"/>
      <c r="AC149" s="3"/>
    </row>
    <row r="150" spans="2:29" x14ac:dyDescent="0.55000000000000004">
      <c r="B150" s="3"/>
      <c r="C150" s="3"/>
      <c r="D150" s="3"/>
      <c r="E150" s="5"/>
      <c r="F150" s="3"/>
      <c r="G150" s="3"/>
      <c r="H150" s="3"/>
      <c r="I150" s="5"/>
      <c r="J150" s="3"/>
      <c r="K150" s="3"/>
      <c r="L150" s="3"/>
      <c r="M150" s="5"/>
      <c r="N150" s="3"/>
      <c r="O150" s="3"/>
      <c r="P150" s="3"/>
      <c r="Q150" s="5"/>
      <c r="R150" s="3"/>
      <c r="S150" s="3"/>
      <c r="T150" s="3"/>
      <c r="U150" s="5"/>
      <c r="V150" s="3"/>
      <c r="W150" s="3"/>
      <c r="X150" s="3"/>
      <c r="Y150" s="5"/>
      <c r="Z150" s="3"/>
      <c r="AA150" s="3"/>
      <c r="AB150" s="3"/>
      <c r="AC150" s="3"/>
    </row>
    <row r="151" spans="2:29" x14ac:dyDescent="0.55000000000000004">
      <c r="B151" s="3"/>
      <c r="C151" s="3"/>
      <c r="D151" s="3"/>
      <c r="E151" s="5"/>
      <c r="F151" s="3"/>
      <c r="G151" s="3"/>
      <c r="H151" s="3"/>
      <c r="I151" s="5"/>
      <c r="J151" s="3"/>
      <c r="K151" s="3"/>
      <c r="L151" s="3"/>
      <c r="M151" s="5"/>
      <c r="N151" s="3"/>
      <c r="O151" s="3"/>
      <c r="P151" s="3"/>
      <c r="Q151" s="5"/>
      <c r="R151" s="3"/>
      <c r="S151" s="3"/>
      <c r="T151" s="3"/>
      <c r="U151" s="5"/>
      <c r="V151" s="3"/>
      <c r="W151" s="3"/>
      <c r="X151" s="3"/>
      <c r="Y151" s="5"/>
      <c r="Z151" s="3"/>
      <c r="AA151" s="3"/>
      <c r="AB151" s="3"/>
      <c r="AC151" s="3"/>
    </row>
    <row r="152" spans="2:29" x14ac:dyDescent="0.55000000000000004">
      <c r="B152" s="3"/>
      <c r="C152" s="3"/>
      <c r="D152" s="3"/>
      <c r="E152" s="5"/>
      <c r="F152" s="3"/>
      <c r="G152" s="3"/>
      <c r="H152" s="3"/>
      <c r="I152" s="5"/>
      <c r="J152" s="3"/>
      <c r="K152" s="3"/>
      <c r="L152" s="3"/>
      <c r="M152" s="5"/>
      <c r="N152" s="3"/>
      <c r="O152" s="3"/>
      <c r="P152" s="3"/>
      <c r="Q152" s="5"/>
      <c r="R152" s="3"/>
      <c r="S152" s="3"/>
      <c r="T152" s="3"/>
      <c r="U152" s="5"/>
      <c r="V152" s="3"/>
      <c r="W152" s="3"/>
      <c r="X152" s="3"/>
      <c r="Y152" s="5"/>
      <c r="Z152" s="3"/>
      <c r="AA152" s="3"/>
      <c r="AB152" s="3"/>
      <c r="AC152" s="3"/>
    </row>
    <row r="153" spans="2:29" x14ac:dyDescent="0.55000000000000004">
      <c r="B153" s="3"/>
      <c r="C153" s="3"/>
      <c r="D153" s="3"/>
      <c r="E153" s="5"/>
      <c r="F153" s="3"/>
      <c r="G153" s="3"/>
      <c r="H153" s="3"/>
      <c r="I153" s="5"/>
      <c r="J153" s="3"/>
      <c r="K153" s="3"/>
      <c r="L153" s="3"/>
      <c r="M153" s="5"/>
      <c r="N153" s="3"/>
      <c r="O153" s="3"/>
      <c r="P153" s="3"/>
      <c r="Q153" s="5"/>
      <c r="R153" s="3"/>
      <c r="S153" s="3"/>
      <c r="T153" s="3"/>
      <c r="U153" s="5"/>
      <c r="V153" s="3"/>
      <c r="W153" s="3"/>
      <c r="X153" s="3"/>
      <c r="Y153" s="5"/>
      <c r="Z153" s="3"/>
      <c r="AA153" s="3"/>
      <c r="AB153" s="3"/>
      <c r="AC153" s="3"/>
    </row>
    <row r="154" spans="2:29" x14ac:dyDescent="0.55000000000000004">
      <c r="B154" s="3"/>
      <c r="C154" s="3"/>
      <c r="D154" s="3"/>
      <c r="E154" s="5"/>
      <c r="F154" s="3"/>
      <c r="G154" s="3"/>
      <c r="H154" s="3"/>
      <c r="I154" s="5"/>
      <c r="J154" s="3"/>
      <c r="K154" s="3"/>
      <c r="L154" s="3"/>
      <c r="M154" s="5"/>
      <c r="N154" s="3"/>
      <c r="O154" s="3"/>
      <c r="P154" s="3"/>
      <c r="Q154" s="5"/>
      <c r="R154" s="3"/>
      <c r="S154" s="3"/>
      <c r="T154" s="3"/>
      <c r="U154" s="5"/>
      <c r="V154" s="3"/>
      <c r="W154" s="3"/>
      <c r="X154" s="3"/>
      <c r="Y154" s="5"/>
      <c r="Z154" s="3"/>
      <c r="AA154" s="3"/>
      <c r="AB154" s="3"/>
      <c r="AC154" s="3"/>
    </row>
    <row r="155" spans="2:29" x14ac:dyDescent="0.55000000000000004">
      <c r="B155" s="3"/>
      <c r="C155" s="3"/>
      <c r="D155" s="3"/>
      <c r="E155" s="5"/>
      <c r="F155" s="3"/>
      <c r="G155" s="3"/>
      <c r="H155" s="3"/>
      <c r="I155" s="5"/>
      <c r="J155" s="3"/>
      <c r="K155" s="3"/>
      <c r="L155" s="3"/>
      <c r="M155" s="5"/>
      <c r="N155" s="3"/>
      <c r="O155" s="3"/>
      <c r="P155" s="3"/>
      <c r="Q155" s="5"/>
      <c r="R155" s="3"/>
      <c r="S155" s="3"/>
      <c r="T155" s="3"/>
      <c r="U155" s="5"/>
      <c r="V155" s="3"/>
      <c r="W155" s="3"/>
      <c r="X155" s="3"/>
      <c r="Y155" s="5"/>
      <c r="Z155" s="3"/>
      <c r="AA155" s="3"/>
      <c r="AB155" s="3"/>
      <c r="AC155" s="3"/>
    </row>
    <row r="156" spans="2:29" x14ac:dyDescent="0.55000000000000004">
      <c r="B156" s="3"/>
      <c r="C156" s="3"/>
      <c r="D156" s="3"/>
      <c r="E156" s="5"/>
      <c r="F156" s="3"/>
      <c r="G156" s="3"/>
      <c r="H156" s="3"/>
      <c r="I156" s="5"/>
      <c r="J156" s="3"/>
      <c r="K156" s="3"/>
      <c r="L156" s="3"/>
      <c r="M156" s="5"/>
      <c r="N156" s="3"/>
      <c r="O156" s="3"/>
      <c r="P156" s="3"/>
      <c r="Q156" s="5"/>
      <c r="R156" s="3"/>
      <c r="S156" s="3"/>
      <c r="T156" s="3"/>
      <c r="U156" s="5"/>
      <c r="V156" s="3"/>
      <c r="W156" s="3"/>
      <c r="X156" s="3"/>
      <c r="Y156" s="5"/>
      <c r="Z156" s="3"/>
      <c r="AA156" s="3"/>
      <c r="AB156" s="3"/>
      <c r="AC156" s="3"/>
    </row>
    <row r="157" spans="2:29" x14ac:dyDescent="0.55000000000000004">
      <c r="B157" s="3"/>
      <c r="C157" s="3"/>
      <c r="D157" s="3"/>
      <c r="E157" s="5"/>
      <c r="F157" s="3"/>
      <c r="G157" s="3"/>
      <c r="H157" s="3"/>
      <c r="I157" s="5"/>
      <c r="J157" s="3"/>
      <c r="K157" s="3"/>
      <c r="L157" s="3"/>
      <c r="M157" s="5"/>
      <c r="N157" s="3"/>
      <c r="O157" s="3"/>
      <c r="P157" s="3"/>
      <c r="Q157" s="5"/>
      <c r="R157" s="3"/>
      <c r="S157" s="3"/>
      <c r="T157" s="3"/>
      <c r="U157" s="5"/>
      <c r="V157" s="3"/>
      <c r="W157" s="3"/>
      <c r="X157" s="3"/>
      <c r="Y157" s="5"/>
      <c r="Z157" s="3"/>
      <c r="AA157" s="3"/>
      <c r="AB157" s="3"/>
      <c r="AC157" s="3"/>
    </row>
    <row r="158" spans="2:29" x14ac:dyDescent="0.55000000000000004">
      <c r="B158" s="3"/>
      <c r="C158" s="3"/>
      <c r="D158" s="3"/>
      <c r="E158" s="5"/>
      <c r="F158" s="3"/>
      <c r="G158" s="3"/>
      <c r="H158" s="3"/>
      <c r="I158" s="5"/>
      <c r="J158" s="3"/>
      <c r="K158" s="3"/>
      <c r="L158" s="3"/>
      <c r="M158" s="5"/>
      <c r="N158" s="3"/>
      <c r="O158" s="3"/>
      <c r="P158" s="3"/>
      <c r="Q158" s="5"/>
      <c r="R158" s="3"/>
      <c r="S158" s="3"/>
      <c r="T158" s="3"/>
      <c r="U158" s="5"/>
      <c r="V158" s="3"/>
      <c r="W158" s="3"/>
      <c r="X158" s="3"/>
      <c r="Y158" s="5"/>
      <c r="Z158" s="3"/>
      <c r="AA158" s="3"/>
      <c r="AB158" s="3"/>
      <c r="AC158" s="3"/>
    </row>
    <row r="159" spans="2:29" x14ac:dyDescent="0.55000000000000004">
      <c r="B159" s="3"/>
      <c r="C159" s="3"/>
      <c r="D159" s="3"/>
      <c r="E159" s="5"/>
      <c r="F159" s="3"/>
      <c r="G159" s="3"/>
      <c r="H159" s="3"/>
      <c r="I159" s="5"/>
      <c r="J159" s="3"/>
      <c r="K159" s="3"/>
      <c r="L159" s="3"/>
      <c r="M159" s="5"/>
      <c r="N159" s="3"/>
      <c r="O159" s="3"/>
      <c r="P159" s="3"/>
      <c r="Q159" s="5"/>
      <c r="R159" s="3"/>
      <c r="S159" s="3"/>
      <c r="T159" s="3"/>
      <c r="U159" s="5"/>
      <c r="V159" s="3"/>
      <c r="W159" s="3"/>
      <c r="X159" s="3"/>
      <c r="Y159" s="5"/>
      <c r="Z159" s="3"/>
      <c r="AA159" s="3"/>
      <c r="AB159" s="3"/>
      <c r="AC159" s="3"/>
    </row>
    <row r="160" spans="2:29" x14ac:dyDescent="0.55000000000000004">
      <c r="B160" s="3"/>
      <c r="C160" s="3"/>
      <c r="D160" s="3"/>
      <c r="E160" s="5"/>
      <c r="F160" s="3"/>
      <c r="G160" s="3"/>
      <c r="H160" s="3"/>
      <c r="I160" s="5"/>
      <c r="J160" s="3"/>
      <c r="K160" s="3"/>
      <c r="L160" s="3"/>
      <c r="M160" s="5"/>
      <c r="N160" s="3"/>
      <c r="O160" s="3"/>
      <c r="P160" s="3"/>
      <c r="Q160" s="5"/>
      <c r="R160" s="3"/>
      <c r="S160" s="3"/>
      <c r="T160" s="3"/>
      <c r="U160" s="5"/>
      <c r="V160" s="3"/>
      <c r="W160" s="3"/>
      <c r="X160" s="3"/>
      <c r="Y160" s="5"/>
      <c r="Z160" s="3"/>
      <c r="AA160" s="3"/>
      <c r="AB160" s="3"/>
      <c r="AC160" s="3"/>
    </row>
    <row r="161" spans="2:29" x14ac:dyDescent="0.55000000000000004">
      <c r="B161" s="3"/>
      <c r="C161" s="3"/>
      <c r="D161" s="3"/>
      <c r="E161" s="5"/>
      <c r="F161" s="3"/>
      <c r="G161" s="3"/>
      <c r="H161" s="3"/>
      <c r="I161" s="5"/>
      <c r="J161" s="3"/>
      <c r="K161" s="3"/>
      <c r="L161" s="3"/>
      <c r="M161" s="5"/>
      <c r="N161" s="3"/>
      <c r="O161" s="3"/>
      <c r="P161" s="3"/>
      <c r="Q161" s="5"/>
      <c r="R161" s="3"/>
      <c r="S161" s="3"/>
      <c r="T161" s="3"/>
      <c r="U161" s="5"/>
      <c r="V161" s="3"/>
      <c r="W161" s="3"/>
      <c r="X161" s="3"/>
      <c r="Y161" s="5"/>
      <c r="Z161" s="3"/>
      <c r="AA161" s="3"/>
      <c r="AB161" s="3"/>
      <c r="AC161" s="3"/>
    </row>
    <row r="162" spans="2:29" x14ac:dyDescent="0.55000000000000004">
      <c r="B162" s="3"/>
      <c r="C162" s="3"/>
      <c r="D162" s="3"/>
      <c r="E162" s="5"/>
      <c r="F162" s="3"/>
      <c r="G162" s="3"/>
      <c r="H162" s="3"/>
      <c r="I162" s="5"/>
      <c r="J162" s="3"/>
      <c r="K162" s="3"/>
      <c r="L162" s="3"/>
      <c r="M162" s="5"/>
      <c r="N162" s="3"/>
      <c r="O162" s="3"/>
      <c r="P162" s="3"/>
      <c r="Q162" s="5"/>
      <c r="R162" s="3"/>
      <c r="S162" s="3"/>
      <c r="T162" s="3"/>
      <c r="U162" s="5"/>
      <c r="V162" s="3"/>
      <c r="W162" s="3"/>
      <c r="X162" s="3"/>
      <c r="Y162" s="5"/>
      <c r="Z162" s="3"/>
      <c r="AA162" s="3"/>
      <c r="AB162" s="3"/>
      <c r="AC162" s="3"/>
    </row>
    <row r="163" spans="2:29" x14ac:dyDescent="0.55000000000000004">
      <c r="B163" s="3"/>
      <c r="C163" s="3"/>
      <c r="D163" s="3"/>
      <c r="E163" s="5"/>
      <c r="F163" s="3"/>
      <c r="G163" s="3"/>
      <c r="H163" s="3"/>
      <c r="I163" s="5"/>
      <c r="J163" s="3"/>
      <c r="K163" s="3"/>
      <c r="L163" s="3"/>
      <c r="M163" s="5"/>
      <c r="N163" s="3"/>
      <c r="O163" s="3"/>
      <c r="P163" s="3"/>
      <c r="Q163" s="5"/>
      <c r="R163" s="3"/>
      <c r="S163" s="3"/>
      <c r="T163" s="3"/>
      <c r="U163" s="5"/>
      <c r="V163" s="3"/>
      <c r="W163" s="3"/>
      <c r="X163" s="3"/>
      <c r="Y163" s="5"/>
      <c r="Z163" s="3"/>
      <c r="AA163" s="3"/>
      <c r="AB163" s="3"/>
      <c r="AC163" s="3"/>
    </row>
    <row r="164" spans="2:29" x14ac:dyDescent="0.55000000000000004">
      <c r="B164" s="3"/>
      <c r="C164" s="3"/>
      <c r="D164" s="3"/>
      <c r="E164" s="5"/>
      <c r="F164" s="3"/>
      <c r="G164" s="3"/>
      <c r="H164" s="3"/>
      <c r="I164" s="5"/>
      <c r="J164" s="3"/>
      <c r="K164" s="3"/>
      <c r="L164" s="3"/>
      <c r="M164" s="5"/>
      <c r="N164" s="3"/>
      <c r="O164" s="3"/>
      <c r="P164" s="3"/>
      <c r="Q164" s="5"/>
      <c r="R164" s="3"/>
      <c r="S164" s="3"/>
      <c r="T164" s="3"/>
      <c r="U164" s="5"/>
      <c r="V164" s="3"/>
      <c r="W164" s="3"/>
      <c r="X164" s="3"/>
      <c r="Y164" s="5"/>
      <c r="Z164" s="3"/>
      <c r="AA164" s="3"/>
      <c r="AB164" s="3"/>
      <c r="AC164" s="3"/>
    </row>
    <row r="165" spans="2:29" x14ac:dyDescent="0.55000000000000004">
      <c r="B165" s="3"/>
      <c r="C165" s="3"/>
      <c r="D165" s="3"/>
      <c r="E165" s="5"/>
      <c r="F165" s="3"/>
      <c r="G165" s="3"/>
      <c r="H165" s="3"/>
      <c r="I165" s="5"/>
      <c r="J165" s="3"/>
      <c r="K165" s="3"/>
      <c r="L165" s="3"/>
      <c r="M165" s="5"/>
      <c r="N165" s="3"/>
      <c r="O165" s="3"/>
      <c r="P165" s="3"/>
      <c r="Q165" s="5"/>
      <c r="R165" s="3"/>
      <c r="S165" s="3"/>
      <c r="T165" s="3"/>
      <c r="U165" s="5"/>
      <c r="V165" s="3"/>
      <c r="W165" s="3"/>
      <c r="X165" s="3"/>
      <c r="Y165" s="5"/>
      <c r="Z165" s="3"/>
      <c r="AA165" s="3"/>
      <c r="AB165" s="3"/>
      <c r="AC165" s="3"/>
    </row>
    <row r="166" spans="2:29" x14ac:dyDescent="0.55000000000000004">
      <c r="B166" s="3"/>
      <c r="C166" s="3"/>
      <c r="D166" s="3"/>
      <c r="E166" s="5"/>
      <c r="F166" s="3"/>
      <c r="G166" s="3"/>
      <c r="H166" s="3"/>
      <c r="I166" s="5"/>
      <c r="J166" s="3"/>
      <c r="K166" s="3"/>
      <c r="L166" s="3"/>
      <c r="M166" s="5"/>
      <c r="N166" s="3"/>
      <c r="O166" s="3"/>
      <c r="P166" s="3"/>
      <c r="Q166" s="5"/>
      <c r="R166" s="3"/>
      <c r="S166" s="3"/>
      <c r="T166" s="3"/>
      <c r="U166" s="5"/>
      <c r="V166" s="3"/>
      <c r="W166" s="3"/>
      <c r="X166" s="3"/>
      <c r="Y166" s="5"/>
      <c r="Z166" s="3"/>
      <c r="AA166" s="3"/>
      <c r="AB166" s="3"/>
      <c r="AC166" s="3"/>
    </row>
    <row r="167" spans="2:29" x14ac:dyDescent="0.55000000000000004">
      <c r="B167" s="3"/>
      <c r="C167" s="3"/>
      <c r="D167" s="3"/>
      <c r="E167" s="5"/>
      <c r="F167" s="3"/>
      <c r="G167" s="3"/>
      <c r="H167" s="3"/>
      <c r="I167" s="5"/>
      <c r="J167" s="3"/>
      <c r="K167" s="3"/>
      <c r="L167" s="3"/>
      <c r="M167" s="5"/>
      <c r="N167" s="3"/>
      <c r="O167" s="3"/>
      <c r="P167" s="3"/>
      <c r="Q167" s="5"/>
      <c r="R167" s="3"/>
      <c r="S167" s="3"/>
      <c r="T167" s="3"/>
      <c r="U167" s="5"/>
      <c r="V167" s="3"/>
      <c r="W167" s="3"/>
      <c r="X167" s="3"/>
      <c r="Y167" s="5"/>
      <c r="Z167" s="3"/>
      <c r="AA167" s="3"/>
      <c r="AB167" s="3"/>
      <c r="AC167" s="3"/>
    </row>
    <row r="168" spans="2:29" x14ac:dyDescent="0.55000000000000004">
      <c r="B168" s="3"/>
      <c r="C168" s="3"/>
      <c r="D168" s="3"/>
      <c r="E168" s="5"/>
      <c r="F168" s="3"/>
      <c r="G168" s="3"/>
      <c r="H168" s="3"/>
      <c r="I168" s="5"/>
      <c r="J168" s="3"/>
      <c r="K168" s="3"/>
      <c r="L168" s="3"/>
      <c r="M168" s="5"/>
      <c r="N168" s="3"/>
      <c r="O168" s="3"/>
      <c r="P168" s="3"/>
      <c r="Q168" s="5"/>
      <c r="R168" s="3"/>
      <c r="S168" s="3"/>
      <c r="T168" s="3"/>
      <c r="U168" s="5"/>
      <c r="V168" s="3"/>
      <c r="W168" s="3"/>
      <c r="X168" s="3"/>
      <c r="Y168" s="5"/>
      <c r="Z168" s="3"/>
      <c r="AA168" s="3"/>
      <c r="AB168" s="3"/>
      <c r="AC168" s="3"/>
    </row>
    <row r="169" spans="2:29" x14ac:dyDescent="0.55000000000000004">
      <c r="B169" s="3"/>
      <c r="C169" s="3"/>
      <c r="D169" s="3"/>
      <c r="E169" s="5"/>
      <c r="F169" s="3"/>
      <c r="G169" s="3"/>
      <c r="H169" s="3"/>
      <c r="I169" s="5"/>
      <c r="J169" s="3"/>
      <c r="K169" s="3"/>
      <c r="L169" s="3"/>
      <c r="M169" s="5"/>
      <c r="N169" s="3"/>
      <c r="O169" s="3"/>
      <c r="P169" s="3"/>
      <c r="Q169" s="5"/>
      <c r="R169" s="3"/>
      <c r="S169" s="3"/>
      <c r="T169" s="3"/>
      <c r="U169" s="5"/>
      <c r="V169" s="3"/>
      <c r="W169" s="3"/>
      <c r="X169" s="3"/>
      <c r="Y169" s="5"/>
      <c r="Z169" s="3"/>
      <c r="AA169" s="3"/>
      <c r="AB169" s="3"/>
      <c r="AC169" s="3"/>
    </row>
    <row r="170" spans="2:29" x14ac:dyDescent="0.55000000000000004">
      <c r="B170" s="3"/>
      <c r="C170" s="3"/>
      <c r="D170" s="3"/>
      <c r="E170" s="5"/>
      <c r="F170" s="3"/>
      <c r="G170" s="3"/>
      <c r="H170" s="3"/>
      <c r="I170" s="5"/>
      <c r="J170" s="3"/>
      <c r="K170" s="3"/>
      <c r="L170" s="3"/>
      <c r="M170" s="5"/>
      <c r="N170" s="3"/>
      <c r="O170" s="3"/>
      <c r="P170" s="3"/>
      <c r="Q170" s="5"/>
      <c r="R170" s="3"/>
      <c r="S170" s="3"/>
      <c r="T170" s="3"/>
      <c r="U170" s="5"/>
      <c r="V170" s="3"/>
      <c r="W170" s="3"/>
      <c r="X170" s="3"/>
      <c r="Y170" s="5"/>
      <c r="Z170" s="3"/>
      <c r="AA170" s="3"/>
      <c r="AB170" s="3"/>
      <c r="AC170" s="3"/>
    </row>
    <row r="171" spans="2:29" x14ac:dyDescent="0.55000000000000004">
      <c r="B171" s="3"/>
      <c r="C171" s="3"/>
      <c r="D171" s="3"/>
      <c r="E171" s="5"/>
      <c r="F171" s="3"/>
      <c r="G171" s="3"/>
      <c r="H171" s="3"/>
      <c r="I171" s="5"/>
      <c r="J171" s="3"/>
      <c r="K171" s="3"/>
      <c r="L171" s="3"/>
      <c r="M171" s="5"/>
      <c r="N171" s="3"/>
      <c r="O171" s="3"/>
      <c r="P171" s="3"/>
      <c r="Q171" s="5"/>
      <c r="R171" s="3"/>
      <c r="S171" s="3"/>
      <c r="T171" s="3"/>
      <c r="U171" s="5"/>
      <c r="V171" s="3"/>
      <c r="W171" s="3"/>
      <c r="X171" s="3"/>
      <c r="Y171" s="5"/>
      <c r="Z171" s="3"/>
      <c r="AA171" s="3"/>
      <c r="AB171" s="3"/>
      <c r="AC171" s="3"/>
    </row>
    <row r="172" spans="2:29" x14ac:dyDescent="0.55000000000000004">
      <c r="B172" s="3"/>
      <c r="C172" s="3"/>
      <c r="D172" s="3"/>
      <c r="E172" s="5"/>
      <c r="F172" s="3"/>
      <c r="G172" s="3"/>
      <c r="H172" s="3"/>
      <c r="I172" s="5"/>
      <c r="J172" s="3"/>
      <c r="K172" s="3"/>
      <c r="L172" s="3"/>
      <c r="M172" s="5"/>
      <c r="N172" s="3"/>
      <c r="O172" s="3"/>
      <c r="P172" s="3"/>
      <c r="Q172" s="5"/>
      <c r="R172" s="3"/>
      <c r="S172" s="3"/>
      <c r="T172" s="3"/>
      <c r="U172" s="5"/>
      <c r="V172" s="3"/>
      <c r="W172" s="3"/>
      <c r="X172" s="3"/>
      <c r="Y172" s="5"/>
      <c r="Z172" s="3"/>
      <c r="AA172" s="3"/>
      <c r="AB172" s="3"/>
      <c r="AC172" s="3"/>
    </row>
    <row r="173" spans="2:29" x14ac:dyDescent="0.55000000000000004">
      <c r="B173" s="3"/>
      <c r="C173" s="3"/>
      <c r="D173" s="3"/>
      <c r="E173" s="5"/>
      <c r="F173" s="3"/>
      <c r="G173" s="3"/>
      <c r="H173" s="3"/>
      <c r="I173" s="5"/>
      <c r="J173" s="3"/>
      <c r="K173" s="3"/>
      <c r="L173" s="3"/>
      <c r="M173" s="5"/>
      <c r="N173" s="3"/>
      <c r="O173" s="3"/>
      <c r="P173" s="3"/>
      <c r="Q173" s="5"/>
      <c r="R173" s="3"/>
      <c r="S173" s="3"/>
      <c r="T173" s="3"/>
      <c r="U173" s="5"/>
      <c r="V173" s="3"/>
      <c r="W173" s="3"/>
      <c r="X173" s="3"/>
      <c r="Y173" s="5"/>
      <c r="Z173" s="3"/>
      <c r="AA173" s="3"/>
      <c r="AB173" s="3"/>
      <c r="AC173" s="3"/>
    </row>
    <row r="174" spans="2:29" x14ac:dyDescent="0.55000000000000004">
      <c r="B174" s="3"/>
      <c r="C174" s="3"/>
      <c r="D174" s="3"/>
      <c r="E174" s="5"/>
      <c r="F174" s="3"/>
      <c r="G174" s="3"/>
      <c r="H174" s="3"/>
      <c r="I174" s="5"/>
      <c r="J174" s="3"/>
      <c r="K174" s="3"/>
      <c r="L174" s="3"/>
      <c r="M174" s="5"/>
      <c r="N174" s="3"/>
      <c r="O174" s="3"/>
      <c r="P174" s="3"/>
      <c r="Q174" s="5"/>
      <c r="R174" s="3"/>
      <c r="S174" s="3"/>
      <c r="T174" s="3"/>
      <c r="U174" s="5"/>
      <c r="V174" s="3"/>
      <c r="W174" s="3"/>
      <c r="X174" s="3"/>
      <c r="Y174" s="5"/>
      <c r="Z174" s="3"/>
      <c r="AA174" s="3"/>
      <c r="AB174" s="3"/>
      <c r="AC174" s="3"/>
    </row>
    <row r="175" spans="2:29" x14ac:dyDescent="0.55000000000000004">
      <c r="B175" s="3"/>
      <c r="C175" s="3"/>
      <c r="D175" s="3"/>
      <c r="E175" s="5"/>
      <c r="F175" s="3"/>
      <c r="G175" s="3"/>
      <c r="H175" s="3"/>
      <c r="I175" s="5"/>
      <c r="J175" s="3"/>
      <c r="K175" s="3"/>
      <c r="L175" s="3"/>
      <c r="M175" s="5"/>
      <c r="N175" s="3"/>
      <c r="O175" s="3"/>
      <c r="P175" s="3"/>
      <c r="Q175" s="5"/>
      <c r="R175" s="3"/>
      <c r="S175" s="3"/>
      <c r="T175" s="3"/>
      <c r="U175" s="5"/>
      <c r="V175" s="3"/>
      <c r="W175" s="3"/>
      <c r="X175" s="3"/>
      <c r="Y175" s="5"/>
      <c r="Z175" s="3"/>
      <c r="AA175" s="3"/>
      <c r="AB175" s="3"/>
      <c r="AC175" s="3"/>
    </row>
    <row r="176" spans="2:29" x14ac:dyDescent="0.55000000000000004">
      <c r="B176" s="3"/>
      <c r="C176" s="3"/>
      <c r="D176" s="3"/>
      <c r="E176" s="5"/>
      <c r="F176" s="3"/>
      <c r="G176" s="3"/>
      <c r="H176" s="3"/>
      <c r="I176" s="5"/>
      <c r="J176" s="3"/>
      <c r="K176" s="3"/>
      <c r="L176" s="3"/>
      <c r="M176" s="5"/>
      <c r="N176" s="3"/>
      <c r="O176" s="3"/>
      <c r="P176" s="3"/>
      <c r="Q176" s="5"/>
      <c r="R176" s="3"/>
      <c r="S176" s="3"/>
      <c r="T176" s="3"/>
      <c r="U176" s="5"/>
      <c r="V176" s="3"/>
      <c r="W176" s="3"/>
      <c r="X176" s="3"/>
      <c r="Y176" s="5"/>
      <c r="Z176" s="3"/>
      <c r="AA176" s="3"/>
      <c r="AB176" s="3"/>
      <c r="AC176" s="3"/>
    </row>
    <row r="177" spans="2:29" x14ac:dyDescent="0.55000000000000004">
      <c r="B177" s="3"/>
      <c r="C177" s="3"/>
      <c r="D177" s="3"/>
      <c r="E177" s="5"/>
      <c r="F177" s="3"/>
      <c r="G177" s="3"/>
      <c r="H177" s="3"/>
      <c r="I177" s="5"/>
      <c r="J177" s="3"/>
      <c r="K177" s="3"/>
      <c r="L177" s="3"/>
      <c r="M177" s="5"/>
      <c r="N177" s="3"/>
      <c r="O177" s="3"/>
      <c r="P177" s="3"/>
      <c r="Q177" s="5"/>
      <c r="R177" s="3"/>
      <c r="S177" s="3"/>
      <c r="T177" s="3"/>
      <c r="U177" s="5"/>
      <c r="V177" s="3"/>
      <c r="W177" s="3"/>
      <c r="X177" s="3"/>
      <c r="Y177" s="5"/>
      <c r="Z177" s="3"/>
      <c r="AA177" s="3"/>
      <c r="AB177" s="3"/>
      <c r="AC177" s="3"/>
    </row>
    <row r="178" spans="2:29" x14ac:dyDescent="0.55000000000000004">
      <c r="B178" s="3"/>
      <c r="C178" s="3"/>
      <c r="D178" s="3"/>
      <c r="E178" s="5"/>
      <c r="F178" s="3"/>
      <c r="G178" s="3"/>
      <c r="H178" s="3"/>
      <c r="I178" s="5"/>
      <c r="J178" s="3"/>
      <c r="K178" s="3"/>
      <c r="L178" s="3"/>
      <c r="M178" s="5"/>
      <c r="N178" s="3"/>
      <c r="O178" s="3"/>
      <c r="P178" s="3"/>
      <c r="Q178" s="5"/>
      <c r="R178" s="3"/>
      <c r="S178" s="3"/>
      <c r="T178" s="3"/>
      <c r="U178" s="5"/>
      <c r="V178" s="3"/>
      <c r="W178" s="3"/>
      <c r="X178" s="3"/>
      <c r="Y178" s="5"/>
      <c r="Z178" s="3"/>
      <c r="AA178" s="3"/>
      <c r="AB178" s="3"/>
      <c r="AC178" s="3"/>
    </row>
    <row r="179" spans="2:29" x14ac:dyDescent="0.55000000000000004">
      <c r="B179" s="3"/>
      <c r="C179" s="3"/>
      <c r="D179" s="3"/>
      <c r="E179" s="5"/>
      <c r="F179" s="3"/>
      <c r="G179" s="3"/>
      <c r="H179" s="3"/>
      <c r="I179" s="5"/>
      <c r="J179" s="3"/>
      <c r="K179" s="3"/>
      <c r="L179" s="3"/>
      <c r="M179" s="5"/>
      <c r="N179" s="3"/>
      <c r="O179" s="3"/>
      <c r="P179" s="3"/>
      <c r="Q179" s="5"/>
      <c r="R179" s="3"/>
      <c r="S179" s="3"/>
      <c r="T179" s="3"/>
      <c r="U179" s="5"/>
      <c r="V179" s="3"/>
      <c r="W179" s="3"/>
      <c r="X179" s="3"/>
      <c r="Y179" s="5"/>
      <c r="Z179" s="3"/>
      <c r="AA179" s="3"/>
      <c r="AB179" s="3"/>
      <c r="AC179" s="3"/>
    </row>
    <row r="180" spans="2:29" x14ac:dyDescent="0.55000000000000004">
      <c r="B180" s="3"/>
      <c r="C180" s="3"/>
      <c r="D180" s="3"/>
      <c r="E180" s="5"/>
      <c r="F180" s="3"/>
      <c r="G180" s="3"/>
      <c r="H180" s="3"/>
      <c r="I180" s="5"/>
      <c r="J180" s="3"/>
      <c r="K180" s="3"/>
      <c r="L180" s="3"/>
      <c r="M180" s="5"/>
      <c r="N180" s="3"/>
      <c r="O180" s="3"/>
      <c r="P180" s="3"/>
      <c r="Q180" s="5"/>
      <c r="R180" s="3"/>
      <c r="S180" s="3"/>
      <c r="T180" s="3"/>
      <c r="U180" s="5"/>
      <c r="V180" s="3"/>
      <c r="W180" s="3"/>
      <c r="X180" s="3"/>
      <c r="Y180" s="5"/>
      <c r="Z180" s="3"/>
      <c r="AA180" s="3"/>
      <c r="AB180" s="3"/>
      <c r="AC180" s="3"/>
    </row>
    <row r="181" spans="2:29" x14ac:dyDescent="0.55000000000000004">
      <c r="B181" s="3"/>
      <c r="C181" s="3"/>
      <c r="D181" s="3"/>
      <c r="E181" s="5"/>
      <c r="F181" s="3"/>
      <c r="G181" s="3"/>
      <c r="H181" s="3"/>
      <c r="I181" s="5"/>
      <c r="J181" s="3"/>
      <c r="K181" s="3"/>
      <c r="L181" s="3"/>
      <c r="M181" s="5"/>
      <c r="N181" s="3"/>
      <c r="O181" s="3"/>
      <c r="P181" s="3"/>
      <c r="Q181" s="5"/>
      <c r="R181" s="3"/>
      <c r="S181" s="3"/>
      <c r="T181" s="3"/>
      <c r="U181" s="5"/>
      <c r="V181" s="3"/>
      <c r="W181" s="3"/>
      <c r="X181" s="3"/>
      <c r="Y181" s="5"/>
      <c r="Z181" s="3"/>
      <c r="AA181" s="3"/>
      <c r="AB181" s="3"/>
      <c r="AC181" s="3"/>
    </row>
    <row r="182" spans="2:29" x14ac:dyDescent="0.55000000000000004">
      <c r="B182" s="3"/>
      <c r="C182" s="3"/>
      <c r="D182" s="3"/>
      <c r="E182" s="5"/>
      <c r="F182" s="3"/>
      <c r="G182" s="3"/>
      <c r="H182" s="3"/>
      <c r="I182" s="5"/>
      <c r="J182" s="3"/>
      <c r="K182" s="3"/>
      <c r="L182" s="3"/>
      <c r="M182" s="5"/>
      <c r="N182" s="3"/>
      <c r="O182" s="3"/>
      <c r="P182" s="3"/>
      <c r="Q182" s="5"/>
      <c r="R182" s="3"/>
      <c r="S182" s="3"/>
      <c r="T182" s="3"/>
      <c r="U182" s="5"/>
      <c r="V182" s="3"/>
      <c r="W182" s="3"/>
      <c r="X182" s="3"/>
      <c r="Y182" s="5"/>
      <c r="Z182" s="3"/>
      <c r="AA182" s="3"/>
      <c r="AB182" s="3"/>
      <c r="AC182" s="3"/>
    </row>
    <row r="183" spans="2:29" x14ac:dyDescent="0.55000000000000004">
      <c r="B183" s="3"/>
      <c r="C183" s="3"/>
      <c r="D183" s="3"/>
      <c r="E183" s="5"/>
      <c r="F183" s="3"/>
      <c r="G183" s="3"/>
      <c r="H183" s="3"/>
      <c r="I183" s="5"/>
      <c r="J183" s="3"/>
      <c r="K183" s="3"/>
      <c r="L183" s="3"/>
      <c r="M183" s="5"/>
      <c r="N183" s="3"/>
      <c r="O183" s="3"/>
      <c r="P183" s="3"/>
      <c r="Q183" s="5"/>
      <c r="R183" s="3"/>
      <c r="S183" s="3"/>
      <c r="T183" s="3"/>
      <c r="U183" s="5"/>
      <c r="V183" s="3"/>
      <c r="W183" s="3"/>
      <c r="X183" s="3"/>
      <c r="Y183" s="5"/>
      <c r="Z183" s="3"/>
      <c r="AA183" s="3"/>
      <c r="AB183" s="3"/>
      <c r="AC183" s="3"/>
    </row>
    <row r="184" spans="2:29" x14ac:dyDescent="0.55000000000000004">
      <c r="B184" s="3"/>
      <c r="C184" s="3"/>
      <c r="D184" s="3"/>
      <c r="E184" s="5"/>
      <c r="F184" s="3"/>
      <c r="G184" s="3"/>
      <c r="H184" s="3"/>
      <c r="I184" s="5"/>
      <c r="J184" s="3"/>
      <c r="K184" s="3"/>
      <c r="L184" s="3"/>
      <c r="M184" s="5"/>
      <c r="N184" s="3"/>
      <c r="O184" s="3"/>
      <c r="P184" s="3"/>
      <c r="Q184" s="5"/>
      <c r="R184" s="3"/>
      <c r="S184" s="3"/>
      <c r="T184" s="3"/>
      <c r="U184" s="5"/>
      <c r="V184" s="3"/>
      <c r="W184" s="3"/>
      <c r="X184" s="3"/>
      <c r="Y184" s="5"/>
      <c r="Z184" s="3"/>
      <c r="AA184" s="3"/>
      <c r="AB184" s="3"/>
      <c r="AC184" s="3"/>
    </row>
    <row r="185" spans="2:29" x14ac:dyDescent="0.55000000000000004">
      <c r="B185" s="3"/>
      <c r="C185" s="3"/>
      <c r="D185" s="3"/>
      <c r="E185" s="5"/>
      <c r="F185" s="3"/>
      <c r="G185" s="3"/>
      <c r="H185" s="3"/>
      <c r="I185" s="5"/>
      <c r="J185" s="3"/>
      <c r="K185" s="3"/>
      <c r="L185" s="3"/>
      <c r="M185" s="5"/>
      <c r="N185" s="3"/>
      <c r="O185" s="3"/>
      <c r="P185" s="3"/>
      <c r="Q185" s="5"/>
      <c r="R185" s="3"/>
      <c r="S185" s="3"/>
      <c r="T185" s="3"/>
      <c r="U185" s="5"/>
      <c r="V185" s="3"/>
      <c r="W185" s="3"/>
      <c r="X185" s="3"/>
      <c r="Y185" s="5"/>
      <c r="Z185" s="3"/>
      <c r="AA185" s="3"/>
      <c r="AB185" s="3"/>
      <c r="AC185" s="3"/>
    </row>
    <row r="186" spans="2:29" x14ac:dyDescent="0.55000000000000004">
      <c r="B186" s="3"/>
      <c r="C186" s="3"/>
      <c r="D186" s="3"/>
      <c r="E186" s="5"/>
      <c r="F186" s="3"/>
      <c r="G186" s="3"/>
      <c r="H186" s="3"/>
      <c r="I186" s="5"/>
      <c r="J186" s="3"/>
      <c r="K186" s="3"/>
      <c r="L186" s="3"/>
      <c r="M186" s="5"/>
      <c r="N186" s="3"/>
      <c r="O186" s="3"/>
      <c r="P186" s="3"/>
      <c r="Q186" s="5"/>
      <c r="R186" s="3"/>
      <c r="S186" s="3"/>
      <c r="T186" s="3"/>
      <c r="U186" s="5"/>
      <c r="V186" s="3"/>
      <c r="W186" s="3"/>
      <c r="X186" s="3"/>
      <c r="Y186" s="5"/>
      <c r="Z186" s="3"/>
      <c r="AA186" s="3"/>
      <c r="AB186" s="3"/>
      <c r="AC186" s="3"/>
    </row>
    <row r="187" spans="2:29" x14ac:dyDescent="0.55000000000000004">
      <c r="B187" s="3"/>
      <c r="C187" s="3"/>
      <c r="D187" s="3"/>
      <c r="E187" s="5"/>
      <c r="F187" s="3"/>
      <c r="G187" s="3"/>
      <c r="H187" s="3"/>
      <c r="I187" s="5"/>
      <c r="J187" s="3"/>
      <c r="K187" s="3"/>
      <c r="L187" s="3"/>
      <c r="M187" s="5"/>
      <c r="N187" s="3"/>
      <c r="O187" s="3"/>
      <c r="P187" s="3"/>
      <c r="Q187" s="5"/>
      <c r="R187" s="3"/>
      <c r="S187" s="3"/>
      <c r="T187" s="3"/>
      <c r="U187" s="5"/>
      <c r="V187" s="3"/>
      <c r="W187" s="3"/>
      <c r="X187" s="3"/>
      <c r="Y187" s="5"/>
      <c r="Z187" s="3"/>
      <c r="AA187" s="3"/>
      <c r="AB187" s="3"/>
      <c r="AC187" s="3"/>
    </row>
    <row r="188" spans="2:29" x14ac:dyDescent="0.55000000000000004">
      <c r="B188" s="3"/>
      <c r="C188" s="3"/>
      <c r="D188" s="3"/>
      <c r="E188" s="5"/>
      <c r="F188" s="3"/>
      <c r="G188" s="3"/>
      <c r="H188" s="3"/>
      <c r="I188" s="5"/>
      <c r="J188" s="3"/>
      <c r="K188" s="3"/>
      <c r="L188" s="3"/>
      <c r="M188" s="5"/>
      <c r="N188" s="3"/>
      <c r="O188" s="3"/>
      <c r="P188" s="3"/>
      <c r="Q188" s="5"/>
      <c r="R188" s="3"/>
      <c r="S188" s="3"/>
      <c r="T188" s="3"/>
      <c r="U188" s="5"/>
      <c r="V188" s="3"/>
      <c r="W188" s="3"/>
      <c r="X188" s="3"/>
      <c r="Y188" s="5"/>
      <c r="Z188" s="3"/>
      <c r="AA188" s="3"/>
      <c r="AB188" s="3"/>
      <c r="AC188" s="3"/>
    </row>
    <row r="189" spans="2:29" x14ac:dyDescent="0.55000000000000004">
      <c r="B189" s="3"/>
      <c r="C189" s="3"/>
      <c r="D189" s="3"/>
      <c r="E189" s="5"/>
      <c r="F189" s="3"/>
      <c r="G189" s="3"/>
      <c r="H189" s="3"/>
      <c r="I189" s="5"/>
      <c r="J189" s="3"/>
      <c r="K189" s="3"/>
      <c r="L189" s="3"/>
      <c r="M189" s="5"/>
      <c r="N189" s="3"/>
      <c r="O189" s="3"/>
      <c r="P189" s="3"/>
      <c r="Q189" s="5"/>
      <c r="R189" s="3"/>
      <c r="S189" s="3"/>
      <c r="T189" s="3"/>
      <c r="U189" s="5"/>
      <c r="V189" s="3"/>
      <c r="W189" s="3"/>
      <c r="X189" s="3"/>
      <c r="Y189" s="5"/>
      <c r="Z189" s="3"/>
      <c r="AA189" s="3"/>
      <c r="AB189" s="3"/>
      <c r="AC189" s="3"/>
    </row>
    <row r="190" spans="2:29" x14ac:dyDescent="0.55000000000000004">
      <c r="B190" s="3"/>
      <c r="C190" s="3"/>
      <c r="D190" s="3"/>
      <c r="E190" s="5"/>
      <c r="F190" s="3"/>
      <c r="G190" s="3"/>
      <c r="H190" s="3"/>
      <c r="I190" s="5"/>
      <c r="J190" s="3"/>
      <c r="K190" s="3"/>
      <c r="L190" s="3"/>
      <c r="M190" s="5"/>
      <c r="N190" s="3"/>
      <c r="O190" s="3"/>
      <c r="P190" s="3"/>
      <c r="Q190" s="5"/>
      <c r="R190" s="3"/>
      <c r="S190" s="3"/>
      <c r="T190" s="3"/>
      <c r="U190" s="5"/>
      <c r="V190" s="3"/>
      <c r="W190" s="3"/>
      <c r="X190" s="3"/>
      <c r="Y190" s="5"/>
      <c r="Z190" s="3"/>
      <c r="AA190" s="3"/>
      <c r="AB190" s="3"/>
      <c r="AC190" s="3"/>
    </row>
    <row r="191" spans="2:29" x14ac:dyDescent="0.55000000000000004">
      <c r="B191" s="3"/>
      <c r="C191" s="3"/>
      <c r="D191" s="3"/>
      <c r="E191" s="5"/>
      <c r="F191" s="3"/>
      <c r="G191" s="3"/>
      <c r="H191" s="3"/>
      <c r="I191" s="5"/>
      <c r="J191" s="3"/>
      <c r="K191" s="3"/>
      <c r="L191" s="3"/>
      <c r="M191" s="5"/>
      <c r="N191" s="3"/>
      <c r="O191" s="3"/>
      <c r="P191" s="3"/>
      <c r="Q191" s="5"/>
      <c r="R191" s="3"/>
      <c r="S191" s="3"/>
      <c r="T191" s="3"/>
      <c r="U191" s="5"/>
      <c r="V191" s="3"/>
      <c r="W191" s="3"/>
      <c r="X191" s="3"/>
      <c r="Y191" s="5"/>
      <c r="Z191" s="3"/>
      <c r="AA191" s="3"/>
      <c r="AB191" s="3"/>
      <c r="AC191" s="3"/>
    </row>
    <row r="192" spans="2:29" x14ac:dyDescent="0.55000000000000004">
      <c r="B192" s="3"/>
      <c r="C192" s="3"/>
      <c r="D192" s="3"/>
      <c r="E192" s="5"/>
      <c r="F192" s="3"/>
      <c r="G192" s="3"/>
      <c r="H192" s="3"/>
      <c r="I192" s="5"/>
      <c r="J192" s="3"/>
      <c r="K192" s="3"/>
      <c r="L192" s="3"/>
      <c r="M192" s="5"/>
      <c r="N192" s="3"/>
      <c r="O192" s="3"/>
      <c r="P192" s="3"/>
      <c r="Q192" s="5"/>
      <c r="R192" s="3"/>
      <c r="S192" s="3"/>
      <c r="T192" s="3"/>
      <c r="U192" s="5"/>
      <c r="V192" s="3"/>
      <c r="W192" s="3"/>
      <c r="X192" s="3"/>
      <c r="Y192" s="5"/>
      <c r="Z192" s="3"/>
      <c r="AA192" s="3"/>
      <c r="AB192" s="3"/>
      <c r="AC192" s="3"/>
    </row>
    <row r="193" spans="2:29" x14ac:dyDescent="0.55000000000000004">
      <c r="B193" s="3"/>
      <c r="C193" s="3"/>
      <c r="D193" s="3"/>
      <c r="E193" s="5"/>
      <c r="F193" s="3"/>
      <c r="G193" s="3"/>
      <c r="H193" s="3"/>
      <c r="I193" s="5"/>
      <c r="J193" s="3"/>
      <c r="K193" s="3"/>
      <c r="L193" s="3"/>
      <c r="M193" s="5"/>
      <c r="N193" s="3"/>
      <c r="O193" s="3"/>
      <c r="P193" s="3"/>
      <c r="Q193" s="5"/>
      <c r="R193" s="3"/>
      <c r="S193" s="3"/>
      <c r="T193" s="3"/>
      <c r="U193" s="5"/>
      <c r="V193" s="3"/>
      <c r="W193" s="3"/>
      <c r="X193" s="3"/>
      <c r="Y193" s="5"/>
      <c r="Z193" s="3"/>
      <c r="AA193" s="3"/>
      <c r="AB193" s="3"/>
      <c r="AC193" s="3"/>
    </row>
    <row r="194" spans="2:29" x14ac:dyDescent="0.55000000000000004">
      <c r="B194" s="3"/>
      <c r="C194" s="3"/>
      <c r="D194" s="3"/>
      <c r="E194" s="5"/>
      <c r="F194" s="3"/>
      <c r="G194" s="3"/>
      <c r="H194" s="3"/>
      <c r="I194" s="5"/>
      <c r="J194" s="3"/>
      <c r="K194" s="3"/>
      <c r="L194" s="3"/>
      <c r="M194" s="5"/>
      <c r="N194" s="3"/>
      <c r="O194" s="3"/>
      <c r="P194" s="3"/>
      <c r="Q194" s="5"/>
      <c r="R194" s="3"/>
      <c r="S194" s="3"/>
      <c r="T194" s="3"/>
      <c r="U194" s="5"/>
      <c r="V194" s="3"/>
      <c r="W194" s="3"/>
      <c r="X194" s="3"/>
      <c r="Y194" s="5"/>
      <c r="Z194" s="3"/>
      <c r="AA194" s="3"/>
      <c r="AB194" s="3"/>
      <c r="AC194" s="3"/>
    </row>
    <row r="195" spans="2:29" x14ac:dyDescent="0.55000000000000004">
      <c r="B195" s="3"/>
      <c r="C195" s="3"/>
      <c r="D195" s="3"/>
      <c r="E195" s="5"/>
      <c r="F195" s="3"/>
      <c r="G195" s="3"/>
      <c r="H195" s="3"/>
      <c r="I195" s="5"/>
      <c r="J195" s="3"/>
      <c r="K195" s="3"/>
      <c r="L195" s="3"/>
      <c r="M195" s="5"/>
      <c r="N195" s="3"/>
      <c r="O195" s="3"/>
      <c r="P195" s="3"/>
      <c r="Q195" s="5"/>
      <c r="R195" s="3"/>
      <c r="S195" s="3"/>
      <c r="T195" s="3"/>
      <c r="U195" s="5"/>
      <c r="V195" s="3"/>
      <c r="W195" s="3"/>
      <c r="X195" s="3"/>
      <c r="Y195" s="5"/>
      <c r="Z195" s="3"/>
      <c r="AA195" s="3"/>
      <c r="AB195" s="3"/>
      <c r="AC195" s="3"/>
    </row>
    <row r="196" spans="2:29" x14ac:dyDescent="0.55000000000000004">
      <c r="B196" s="3"/>
      <c r="C196" s="3"/>
      <c r="D196" s="3"/>
      <c r="E196" s="5"/>
      <c r="F196" s="3"/>
      <c r="G196" s="3"/>
      <c r="H196" s="3"/>
      <c r="I196" s="5"/>
      <c r="J196" s="3"/>
      <c r="K196" s="3"/>
      <c r="L196" s="3"/>
      <c r="M196" s="5"/>
      <c r="N196" s="3"/>
      <c r="O196" s="3"/>
      <c r="P196" s="3"/>
      <c r="Q196" s="5"/>
      <c r="R196" s="3"/>
      <c r="S196" s="3"/>
      <c r="T196" s="3"/>
      <c r="U196" s="5"/>
      <c r="V196" s="3"/>
      <c r="W196" s="3"/>
      <c r="X196" s="3"/>
      <c r="Y196" s="5"/>
      <c r="Z196" s="3"/>
      <c r="AA196" s="3"/>
      <c r="AB196" s="3"/>
      <c r="AC196" s="3"/>
    </row>
    <row r="197" spans="2:29" x14ac:dyDescent="0.55000000000000004">
      <c r="B197" s="3"/>
      <c r="C197" s="3"/>
      <c r="D197" s="3"/>
      <c r="E197" s="5"/>
      <c r="F197" s="3"/>
      <c r="G197" s="3"/>
      <c r="H197" s="3"/>
      <c r="I197" s="5"/>
      <c r="J197" s="3"/>
      <c r="K197" s="3"/>
      <c r="L197" s="3"/>
      <c r="M197" s="5"/>
      <c r="N197" s="3"/>
      <c r="O197" s="3"/>
      <c r="P197" s="3"/>
      <c r="Q197" s="5"/>
      <c r="R197" s="3"/>
      <c r="S197" s="3"/>
      <c r="T197" s="3"/>
      <c r="U197" s="5"/>
      <c r="V197" s="3"/>
      <c r="W197" s="3"/>
      <c r="X197" s="3"/>
      <c r="Y197" s="5"/>
      <c r="Z197" s="3"/>
      <c r="AA197" s="3"/>
      <c r="AB197" s="3"/>
      <c r="AC197" s="3"/>
    </row>
    <row r="198" spans="2:29" x14ac:dyDescent="0.55000000000000004">
      <c r="B198" s="3"/>
      <c r="C198" s="3"/>
      <c r="D198" s="3"/>
      <c r="E198" s="5"/>
      <c r="F198" s="3"/>
      <c r="G198" s="3"/>
      <c r="H198" s="3"/>
      <c r="I198" s="5"/>
      <c r="J198" s="3"/>
      <c r="K198" s="3"/>
      <c r="L198" s="3"/>
      <c r="M198" s="5"/>
      <c r="N198" s="3"/>
      <c r="O198" s="3"/>
      <c r="P198" s="3"/>
      <c r="Q198" s="5"/>
      <c r="R198" s="3"/>
      <c r="S198" s="3"/>
      <c r="T198" s="3"/>
      <c r="U198" s="5"/>
      <c r="V198" s="3"/>
      <c r="W198" s="3"/>
      <c r="X198" s="3"/>
      <c r="Y198" s="5"/>
      <c r="Z198" s="3"/>
      <c r="AA198" s="3"/>
      <c r="AB198" s="3"/>
      <c r="AC198" s="3"/>
    </row>
    <row r="199" spans="2:29" x14ac:dyDescent="0.55000000000000004">
      <c r="B199" s="3"/>
      <c r="C199" s="3"/>
      <c r="D199" s="3"/>
      <c r="E199" s="5"/>
      <c r="F199" s="3"/>
      <c r="G199" s="3"/>
      <c r="H199" s="3"/>
      <c r="I199" s="5"/>
      <c r="J199" s="3"/>
      <c r="K199" s="3"/>
      <c r="L199" s="3"/>
      <c r="M199" s="5"/>
      <c r="N199" s="3"/>
      <c r="O199" s="3"/>
      <c r="P199" s="3"/>
      <c r="Q199" s="5"/>
      <c r="R199" s="3"/>
      <c r="S199" s="3"/>
      <c r="T199" s="3"/>
      <c r="U199" s="5"/>
      <c r="V199" s="3"/>
      <c r="W199" s="3"/>
      <c r="X199" s="3"/>
      <c r="Y199" s="5"/>
      <c r="Z199" s="3"/>
      <c r="AA199" s="3"/>
      <c r="AB199" s="3"/>
      <c r="AC199" s="3"/>
    </row>
    <row r="200" spans="2:29" x14ac:dyDescent="0.55000000000000004">
      <c r="B200" s="3"/>
      <c r="C200" s="3"/>
      <c r="D200" s="3"/>
      <c r="E200" s="5"/>
      <c r="F200" s="3"/>
      <c r="G200" s="3"/>
      <c r="H200" s="3"/>
      <c r="I200" s="5"/>
      <c r="J200" s="3"/>
      <c r="K200" s="3"/>
      <c r="L200" s="3"/>
      <c r="M200" s="5"/>
      <c r="N200" s="3"/>
      <c r="O200" s="3"/>
      <c r="P200" s="3"/>
      <c r="Q200" s="5"/>
      <c r="R200" s="3"/>
      <c r="S200" s="3"/>
      <c r="T200" s="3"/>
      <c r="U200" s="5"/>
      <c r="V200" s="3"/>
      <c r="W200" s="3"/>
      <c r="X200" s="3"/>
      <c r="Y200" s="5"/>
      <c r="Z200" s="3"/>
      <c r="AA200" s="3"/>
      <c r="AB200" s="3"/>
      <c r="AC200" s="3"/>
    </row>
    <row r="201" spans="2:29" x14ac:dyDescent="0.55000000000000004">
      <c r="B201" s="3"/>
      <c r="C201" s="3"/>
      <c r="D201" s="3"/>
      <c r="E201" s="5"/>
      <c r="F201" s="3"/>
      <c r="G201" s="3"/>
      <c r="H201" s="3"/>
      <c r="I201" s="5"/>
      <c r="J201" s="3"/>
      <c r="K201" s="3"/>
      <c r="L201" s="3"/>
      <c r="M201" s="5"/>
      <c r="N201" s="3"/>
      <c r="O201" s="3"/>
      <c r="P201" s="3"/>
      <c r="Q201" s="5"/>
      <c r="R201" s="3"/>
      <c r="S201" s="3"/>
      <c r="T201" s="3"/>
      <c r="U201" s="5"/>
      <c r="V201" s="3"/>
      <c r="W201" s="3"/>
      <c r="X201" s="3"/>
      <c r="Y201" s="5"/>
      <c r="Z201" s="3"/>
      <c r="AA201" s="3"/>
      <c r="AB201" s="3"/>
      <c r="AC201" s="3"/>
    </row>
    <row r="202" spans="2:29" x14ac:dyDescent="0.55000000000000004">
      <c r="B202" s="3"/>
      <c r="C202" s="3"/>
      <c r="D202" s="3"/>
      <c r="E202" s="5"/>
      <c r="F202" s="3"/>
      <c r="G202" s="3"/>
      <c r="H202" s="3"/>
      <c r="I202" s="5"/>
      <c r="J202" s="3"/>
      <c r="K202" s="3"/>
      <c r="L202" s="3"/>
      <c r="M202" s="5"/>
      <c r="N202" s="3"/>
      <c r="O202" s="3"/>
      <c r="P202" s="3"/>
      <c r="Q202" s="5"/>
      <c r="R202" s="3"/>
      <c r="S202" s="3"/>
      <c r="T202" s="3"/>
      <c r="U202" s="5"/>
      <c r="V202" s="3"/>
      <c r="W202" s="3"/>
      <c r="X202" s="3"/>
      <c r="Y202" s="5"/>
      <c r="Z202" s="3"/>
      <c r="AA202" s="3"/>
      <c r="AB202" s="3"/>
      <c r="AC202" s="3"/>
    </row>
    <row r="203" spans="2:29" x14ac:dyDescent="0.55000000000000004">
      <c r="B203" s="3"/>
      <c r="C203" s="3"/>
      <c r="D203" s="3"/>
      <c r="E203" s="5"/>
      <c r="F203" s="3"/>
      <c r="G203" s="3"/>
      <c r="H203" s="3"/>
      <c r="I203" s="5"/>
      <c r="J203" s="3"/>
      <c r="K203" s="3"/>
      <c r="L203" s="3"/>
      <c r="M203" s="5"/>
      <c r="N203" s="3"/>
      <c r="O203" s="3"/>
      <c r="P203" s="3"/>
      <c r="Q203" s="5"/>
      <c r="R203" s="3"/>
      <c r="S203" s="3"/>
      <c r="T203" s="3"/>
      <c r="U203" s="5"/>
      <c r="V203" s="3"/>
      <c r="W203" s="3"/>
      <c r="X203" s="3"/>
      <c r="Y203" s="5"/>
      <c r="Z203" s="3"/>
      <c r="AA203" s="3"/>
      <c r="AB203" s="3"/>
      <c r="AC203" s="3"/>
    </row>
    <row r="204" spans="2:29" x14ac:dyDescent="0.55000000000000004">
      <c r="B204" s="3"/>
      <c r="C204" s="3"/>
      <c r="D204" s="3"/>
      <c r="E204" s="5"/>
      <c r="F204" s="3"/>
      <c r="G204" s="3"/>
      <c r="H204" s="3"/>
      <c r="I204" s="5"/>
      <c r="J204" s="3"/>
      <c r="K204" s="3"/>
      <c r="L204" s="3"/>
      <c r="M204" s="5"/>
      <c r="N204" s="3"/>
      <c r="O204" s="3"/>
      <c r="P204" s="3"/>
      <c r="Q204" s="5"/>
      <c r="R204" s="3"/>
      <c r="S204" s="3"/>
      <c r="T204" s="3"/>
      <c r="U204" s="5"/>
      <c r="V204" s="3"/>
      <c r="W204" s="3"/>
      <c r="X204" s="3"/>
      <c r="Y204" s="5"/>
      <c r="Z204" s="3"/>
      <c r="AA204" s="3"/>
      <c r="AB204" s="3"/>
      <c r="AC204" s="3"/>
    </row>
    <row r="205" spans="2:29" x14ac:dyDescent="0.55000000000000004">
      <c r="B205" s="3"/>
      <c r="C205" s="3"/>
      <c r="D205" s="3"/>
      <c r="E205" s="5"/>
      <c r="F205" s="3"/>
      <c r="G205" s="3"/>
      <c r="H205" s="3"/>
      <c r="I205" s="5"/>
      <c r="J205" s="3"/>
      <c r="K205" s="3"/>
      <c r="L205" s="3"/>
      <c r="M205" s="5"/>
      <c r="N205" s="3"/>
      <c r="O205" s="3"/>
      <c r="P205" s="3"/>
      <c r="Q205" s="5"/>
      <c r="R205" s="3"/>
      <c r="S205" s="3"/>
      <c r="T205" s="3"/>
      <c r="U205" s="5"/>
      <c r="V205" s="3"/>
      <c r="W205" s="3"/>
      <c r="X205" s="3"/>
      <c r="Y205" s="5"/>
      <c r="Z205" s="3"/>
      <c r="AA205" s="3"/>
      <c r="AB205" s="3"/>
      <c r="AC205" s="3"/>
    </row>
    <row r="206" spans="2:29" x14ac:dyDescent="0.55000000000000004">
      <c r="B206" s="3"/>
      <c r="C206" s="3"/>
      <c r="D206" s="3"/>
      <c r="E206" s="5"/>
      <c r="F206" s="3"/>
      <c r="G206" s="3"/>
      <c r="H206" s="3"/>
      <c r="I206" s="5"/>
      <c r="J206" s="3"/>
      <c r="K206" s="3"/>
      <c r="L206" s="3"/>
      <c r="M206" s="5"/>
      <c r="N206" s="3"/>
      <c r="O206" s="3"/>
      <c r="P206" s="3"/>
      <c r="Q206" s="5"/>
      <c r="R206" s="3"/>
      <c r="S206" s="3"/>
      <c r="T206" s="3"/>
      <c r="U206" s="5"/>
      <c r="V206" s="3"/>
      <c r="W206" s="3"/>
      <c r="X206" s="3"/>
      <c r="Y206" s="5"/>
      <c r="Z206" s="3"/>
      <c r="AA206" s="3"/>
      <c r="AB206" s="3"/>
      <c r="AC206" s="3"/>
    </row>
    <row r="207" spans="2:29" x14ac:dyDescent="0.55000000000000004">
      <c r="B207" s="3"/>
      <c r="C207" s="3"/>
      <c r="D207" s="3"/>
      <c r="E207" s="5"/>
      <c r="F207" s="3"/>
      <c r="G207" s="3"/>
      <c r="H207" s="3"/>
      <c r="I207" s="5"/>
      <c r="J207" s="3"/>
      <c r="K207" s="3"/>
      <c r="L207" s="3"/>
      <c r="M207" s="5"/>
      <c r="N207" s="3"/>
      <c r="O207" s="3"/>
      <c r="P207" s="3"/>
      <c r="Q207" s="5"/>
      <c r="R207" s="3"/>
      <c r="S207" s="3"/>
      <c r="T207" s="3"/>
      <c r="U207" s="5"/>
      <c r="V207" s="3"/>
      <c r="W207" s="3"/>
      <c r="X207" s="3"/>
      <c r="Y207" s="5"/>
      <c r="Z207" s="3"/>
      <c r="AA207" s="3"/>
      <c r="AB207" s="3"/>
      <c r="AC207" s="3"/>
    </row>
    <row r="208" spans="2:29" x14ac:dyDescent="0.55000000000000004">
      <c r="B208" s="3"/>
      <c r="C208" s="3"/>
      <c r="D208" s="3"/>
      <c r="E208" s="5"/>
      <c r="F208" s="3"/>
      <c r="G208" s="3"/>
      <c r="H208" s="3"/>
      <c r="I208" s="5"/>
      <c r="J208" s="3"/>
      <c r="K208" s="3"/>
      <c r="L208" s="3"/>
      <c r="M208" s="5"/>
      <c r="N208" s="3"/>
      <c r="O208" s="3"/>
      <c r="P208" s="3"/>
      <c r="Q208" s="5"/>
      <c r="R208" s="3"/>
      <c r="S208" s="3"/>
      <c r="T208" s="3"/>
      <c r="U208" s="5"/>
      <c r="V208" s="3"/>
      <c r="W208" s="3"/>
      <c r="X208" s="3"/>
      <c r="Y208" s="5"/>
      <c r="Z208" s="3"/>
      <c r="AA208" s="3"/>
      <c r="AB208" s="3"/>
      <c r="AC208" s="3"/>
    </row>
    <row r="209" spans="2:29" x14ac:dyDescent="0.55000000000000004">
      <c r="B209" s="3"/>
      <c r="C209" s="3"/>
      <c r="D209" s="3"/>
      <c r="E209" s="5"/>
      <c r="F209" s="3"/>
      <c r="G209" s="3"/>
      <c r="H209" s="3"/>
      <c r="I209" s="5"/>
      <c r="J209" s="3"/>
      <c r="K209" s="3"/>
      <c r="L209" s="3"/>
      <c r="M209" s="5"/>
      <c r="N209" s="3"/>
      <c r="O209" s="3"/>
      <c r="P209" s="3"/>
      <c r="Q209" s="5"/>
      <c r="R209" s="3"/>
      <c r="S209" s="3"/>
      <c r="T209" s="3"/>
      <c r="U209" s="5"/>
      <c r="V209" s="3"/>
      <c r="W209" s="3"/>
      <c r="X209" s="3"/>
      <c r="Y209" s="5"/>
      <c r="Z209" s="3"/>
      <c r="AA209" s="3"/>
      <c r="AB209" s="3"/>
      <c r="AC209" s="3"/>
    </row>
    <row r="210" spans="2:29" x14ac:dyDescent="0.55000000000000004">
      <c r="B210" s="3"/>
      <c r="C210" s="3"/>
      <c r="D210" s="3"/>
      <c r="E210" s="5"/>
      <c r="F210" s="3"/>
      <c r="G210" s="3"/>
      <c r="H210" s="3"/>
      <c r="I210" s="5"/>
      <c r="J210" s="3"/>
      <c r="K210" s="3"/>
      <c r="L210" s="3"/>
      <c r="M210" s="5"/>
      <c r="N210" s="3"/>
      <c r="O210" s="3"/>
      <c r="P210" s="3"/>
      <c r="Q210" s="5"/>
      <c r="R210" s="3"/>
      <c r="S210" s="3"/>
      <c r="T210" s="3"/>
      <c r="U210" s="5"/>
      <c r="V210" s="3"/>
      <c r="W210" s="3"/>
      <c r="X210" s="3"/>
      <c r="Y210" s="5"/>
      <c r="Z210" s="3"/>
      <c r="AA210" s="3"/>
      <c r="AB210" s="3"/>
      <c r="AC210" s="3"/>
    </row>
    <row r="211" spans="2:29" x14ac:dyDescent="0.55000000000000004">
      <c r="B211" s="3"/>
      <c r="C211" s="3"/>
      <c r="D211" s="3"/>
      <c r="E211" s="5"/>
      <c r="F211" s="3"/>
      <c r="G211" s="3"/>
      <c r="H211" s="3"/>
      <c r="I211" s="5"/>
      <c r="J211" s="3"/>
      <c r="K211" s="3"/>
      <c r="L211" s="3"/>
      <c r="M211" s="5"/>
      <c r="N211" s="3"/>
      <c r="O211" s="3"/>
      <c r="P211" s="3"/>
      <c r="Q211" s="5"/>
      <c r="R211" s="3"/>
      <c r="S211" s="3"/>
      <c r="T211" s="3"/>
      <c r="U211" s="5"/>
      <c r="V211" s="3"/>
      <c r="W211" s="3"/>
      <c r="X211" s="3"/>
      <c r="Y211" s="5"/>
      <c r="Z211" s="3"/>
      <c r="AA211" s="3"/>
      <c r="AB211" s="3"/>
      <c r="AC211" s="3"/>
    </row>
    <row r="212" spans="2:29" x14ac:dyDescent="0.55000000000000004">
      <c r="B212" s="3"/>
      <c r="C212" s="3"/>
      <c r="D212" s="3"/>
      <c r="E212" s="5"/>
      <c r="F212" s="3"/>
      <c r="G212" s="3"/>
      <c r="H212" s="3"/>
      <c r="I212" s="5"/>
      <c r="J212" s="3"/>
      <c r="K212" s="3"/>
      <c r="L212" s="3"/>
      <c r="M212" s="5"/>
      <c r="N212" s="3"/>
      <c r="O212" s="3"/>
      <c r="P212" s="3"/>
      <c r="Q212" s="5"/>
      <c r="R212" s="3"/>
      <c r="S212" s="3"/>
      <c r="T212" s="3"/>
      <c r="U212" s="5"/>
      <c r="V212" s="3"/>
      <c r="W212" s="3"/>
      <c r="X212" s="3"/>
      <c r="Y212" s="5"/>
      <c r="Z212" s="3"/>
      <c r="AA212" s="3"/>
      <c r="AB212" s="3"/>
      <c r="AC212" s="3"/>
    </row>
    <row r="213" spans="2:29" x14ac:dyDescent="0.55000000000000004">
      <c r="B213" s="3"/>
      <c r="C213" s="3"/>
      <c r="D213" s="3"/>
      <c r="E213" s="5"/>
      <c r="F213" s="3"/>
      <c r="G213" s="3"/>
      <c r="H213" s="3"/>
      <c r="I213" s="5"/>
      <c r="J213" s="3"/>
      <c r="K213" s="3"/>
      <c r="L213" s="3"/>
      <c r="M213" s="5"/>
      <c r="N213" s="3"/>
      <c r="O213" s="3"/>
      <c r="P213" s="3"/>
      <c r="Q213" s="5"/>
      <c r="R213" s="3"/>
      <c r="S213" s="3"/>
      <c r="T213" s="3"/>
      <c r="U213" s="5"/>
      <c r="V213" s="3"/>
      <c r="W213" s="3"/>
      <c r="X213" s="3"/>
      <c r="Y213" s="5"/>
      <c r="Z213" s="3"/>
      <c r="AA213" s="3"/>
      <c r="AB213" s="3"/>
      <c r="AC213" s="3"/>
    </row>
    <row r="214" spans="2:29" x14ac:dyDescent="0.55000000000000004">
      <c r="B214" s="3"/>
      <c r="C214" s="3"/>
      <c r="D214" s="3"/>
      <c r="E214" s="5"/>
      <c r="F214" s="3"/>
      <c r="G214" s="3"/>
      <c r="H214" s="3"/>
      <c r="I214" s="5"/>
      <c r="J214" s="3"/>
      <c r="K214" s="3"/>
      <c r="L214" s="3"/>
      <c r="M214" s="5"/>
      <c r="N214" s="3"/>
      <c r="O214" s="3"/>
      <c r="P214" s="3"/>
      <c r="Q214" s="5"/>
      <c r="R214" s="3"/>
      <c r="S214" s="3"/>
      <c r="T214" s="3"/>
      <c r="U214" s="5"/>
      <c r="V214" s="3"/>
      <c r="W214" s="3"/>
      <c r="X214" s="3"/>
      <c r="Y214" s="5"/>
      <c r="Z214" s="3"/>
      <c r="AA214" s="3"/>
      <c r="AB214" s="3"/>
      <c r="AC214" s="3"/>
    </row>
    <row r="215" spans="2:29" x14ac:dyDescent="0.55000000000000004">
      <c r="B215" s="3"/>
      <c r="C215" s="3"/>
      <c r="D215" s="3"/>
      <c r="E215" s="5"/>
      <c r="F215" s="3"/>
      <c r="G215" s="3"/>
      <c r="H215" s="3"/>
      <c r="I215" s="5"/>
      <c r="J215" s="3"/>
      <c r="K215" s="3"/>
      <c r="L215" s="3"/>
      <c r="M215" s="5"/>
      <c r="N215" s="3"/>
      <c r="O215" s="3"/>
      <c r="P215" s="3"/>
      <c r="Q215" s="5"/>
      <c r="R215" s="3"/>
      <c r="S215" s="3"/>
      <c r="T215" s="3"/>
      <c r="U215" s="5"/>
      <c r="V215" s="3"/>
      <c r="W215" s="3"/>
      <c r="X215" s="3"/>
      <c r="Y215" s="5"/>
      <c r="Z215" s="3"/>
      <c r="AA215" s="3"/>
      <c r="AB215" s="3"/>
      <c r="AC215" s="3"/>
    </row>
    <row r="216" spans="2:29" x14ac:dyDescent="0.55000000000000004">
      <c r="B216" s="3"/>
      <c r="C216" s="3"/>
      <c r="D216" s="3"/>
      <c r="E216" s="5"/>
      <c r="F216" s="3"/>
      <c r="G216" s="3"/>
      <c r="H216" s="3"/>
      <c r="I216" s="5"/>
      <c r="J216" s="3"/>
      <c r="K216" s="3"/>
      <c r="L216" s="3"/>
      <c r="M216" s="5"/>
      <c r="N216" s="3"/>
      <c r="O216" s="3"/>
      <c r="P216" s="3"/>
      <c r="Q216" s="5"/>
      <c r="R216" s="3"/>
      <c r="S216" s="3"/>
      <c r="T216" s="3"/>
      <c r="U216" s="5"/>
      <c r="V216" s="3"/>
      <c r="W216" s="3"/>
      <c r="X216" s="3"/>
      <c r="Y216" s="5"/>
      <c r="Z216" s="3"/>
      <c r="AA216" s="3"/>
      <c r="AB216" s="3"/>
      <c r="AC216" s="3"/>
    </row>
    <row r="217" spans="2:29" x14ac:dyDescent="0.55000000000000004">
      <c r="B217" s="3"/>
      <c r="C217" s="3"/>
      <c r="D217" s="3"/>
      <c r="E217" s="5"/>
      <c r="F217" s="3"/>
      <c r="G217" s="3"/>
      <c r="H217" s="3"/>
      <c r="I217" s="5"/>
      <c r="J217" s="3"/>
      <c r="K217" s="3"/>
      <c r="L217" s="3"/>
      <c r="M217" s="5"/>
      <c r="N217" s="3"/>
      <c r="O217" s="3"/>
      <c r="P217" s="3"/>
      <c r="Q217" s="5"/>
      <c r="R217" s="3"/>
      <c r="S217" s="3"/>
      <c r="T217" s="3"/>
      <c r="U217" s="5"/>
      <c r="V217" s="3"/>
      <c r="W217" s="3"/>
      <c r="X217" s="3"/>
      <c r="Y217" s="5"/>
      <c r="Z217" s="3"/>
      <c r="AA217" s="3"/>
      <c r="AB217" s="3"/>
      <c r="AC217" s="3"/>
    </row>
    <row r="218" spans="2:29" x14ac:dyDescent="0.55000000000000004">
      <c r="B218" s="3"/>
      <c r="C218" s="3"/>
      <c r="D218" s="3"/>
      <c r="E218" s="5"/>
      <c r="F218" s="3"/>
      <c r="G218" s="3"/>
      <c r="H218" s="3"/>
      <c r="I218" s="5"/>
      <c r="J218" s="3"/>
      <c r="K218" s="3"/>
      <c r="L218" s="3"/>
      <c r="M218" s="5"/>
      <c r="N218" s="3"/>
      <c r="O218" s="3"/>
      <c r="P218" s="3"/>
      <c r="Q218" s="5"/>
      <c r="R218" s="3"/>
      <c r="S218" s="3"/>
      <c r="T218" s="3"/>
      <c r="U218" s="5"/>
      <c r="V218" s="3"/>
      <c r="W218" s="3"/>
      <c r="X218" s="3"/>
      <c r="Y218" s="5"/>
      <c r="Z218" s="3"/>
      <c r="AA218" s="3"/>
      <c r="AB218" s="3"/>
      <c r="AC218" s="3"/>
    </row>
    <row r="219" spans="2:29" x14ac:dyDescent="0.55000000000000004">
      <c r="B219" s="3"/>
      <c r="C219" s="3"/>
      <c r="D219" s="3"/>
      <c r="E219" s="5"/>
      <c r="F219" s="3"/>
      <c r="G219" s="3"/>
      <c r="H219" s="3"/>
      <c r="I219" s="5"/>
      <c r="J219" s="3"/>
      <c r="K219" s="3"/>
      <c r="L219" s="3"/>
      <c r="M219" s="5"/>
      <c r="N219" s="3"/>
      <c r="O219" s="3"/>
      <c r="P219" s="3"/>
      <c r="Q219" s="5"/>
      <c r="R219" s="3"/>
      <c r="S219" s="3"/>
      <c r="T219" s="3"/>
      <c r="U219" s="5"/>
      <c r="V219" s="3"/>
      <c r="W219" s="3"/>
      <c r="X219" s="3"/>
      <c r="Y219" s="5"/>
      <c r="Z219" s="3"/>
      <c r="AA219" s="3"/>
      <c r="AB219" s="3"/>
      <c r="AC219" s="3"/>
    </row>
    <row r="220" spans="2:29" x14ac:dyDescent="0.55000000000000004">
      <c r="B220" s="3"/>
      <c r="C220" s="3"/>
      <c r="D220" s="3"/>
      <c r="E220" s="5"/>
      <c r="F220" s="3"/>
      <c r="G220" s="3"/>
      <c r="H220" s="3"/>
      <c r="I220" s="5"/>
      <c r="J220" s="3"/>
      <c r="K220" s="3"/>
      <c r="L220" s="3"/>
      <c r="M220" s="5"/>
      <c r="N220" s="3"/>
      <c r="O220" s="3"/>
      <c r="P220" s="3"/>
      <c r="Q220" s="5"/>
      <c r="R220" s="3"/>
      <c r="S220" s="3"/>
      <c r="T220" s="3"/>
      <c r="U220" s="5"/>
      <c r="V220" s="3"/>
      <c r="W220" s="3"/>
      <c r="X220" s="3"/>
      <c r="Y220" s="5"/>
      <c r="Z220" s="3"/>
      <c r="AA220" s="3"/>
      <c r="AB220" s="3"/>
      <c r="AC220" s="3"/>
    </row>
    <row r="221" spans="2:29" x14ac:dyDescent="0.55000000000000004">
      <c r="B221" s="3"/>
      <c r="C221" s="3"/>
      <c r="D221" s="3"/>
      <c r="E221" s="5"/>
      <c r="F221" s="3"/>
      <c r="G221" s="3"/>
      <c r="H221" s="3"/>
      <c r="I221" s="5"/>
      <c r="J221" s="3"/>
      <c r="K221" s="3"/>
      <c r="L221" s="3"/>
      <c r="M221" s="5"/>
      <c r="N221" s="3"/>
      <c r="O221" s="3"/>
      <c r="P221" s="3"/>
      <c r="Q221" s="5"/>
      <c r="R221" s="3"/>
      <c r="S221" s="3"/>
      <c r="T221" s="3"/>
      <c r="U221" s="5"/>
      <c r="V221" s="3"/>
      <c r="W221" s="3"/>
      <c r="X221" s="3"/>
      <c r="Y221" s="5"/>
      <c r="Z221" s="3"/>
      <c r="AA221" s="3"/>
      <c r="AB221" s="3"/>
      <c r="AC221" s="3"/>
    </row>
    <row r="222" spans="2:29" x14ac:dyDescent="0.55000000000000004">
      <c r="B222" s="3"/>
      <c r="C222" s="3"/>
      <c r="D222" s="3"/>
      <c r="E222" s="5"/>
      <c r="F222" s="3"/>
      <c r="G222" s="3"/>
      <c r="H222" s="3"/>
      <c r="I222" s="5"/>
      <c r="J222" s="3"/>
      <c r="K222" s="3"/>
      <c r="L222" s="3"/>
      <c r="M222" s="5"/>
      <c r="N222" s="3"/>
      <c r="O222" s="3"/>
      <c r="P222" s="3"/>
      <c r="Q222" s="5"/>
      <c r="R222" s="3"/>
      <c r="S222" s="3"/>
      <c r="T222" s="3"/>
      <c r="U222" s="5"/>
      <c r="V222" s="3"/>
      <c r="W222" s="3"/>
      <c r="X222" s="3"/>
      <c r="Y222" s="5"/>
      <c r="Z222" s="3"/>
      <c r="AA222" s="3"/>
      <c r="AB222" s="3"/>
      <c r="AC222" s="3"/>
    </row>
    <row r="223" spans="2:29" x14ac:dyDescent="0.55000000000000004">
      <c r="B223" s="3"/>
      <c r="C223" s="3"/>
      <c r="D223" s="3"/>
      <c r="E223" s="5"/>
      <c r="F223" s="3"/>
      <c r="G223" s="3"/>
      <c r="H223" s="3"/>
      <c r="I223" s="5"/>
      <c r="J223" s="3"/>
      <c r="K223" s="3"/>
      <c r="L223" s="3"/>
      <c r="M223" s="5"/>
      <c r="N223" s="3"/>
      <c r="O223" s="3"/>
      <c r="P223" s="3"/>
      <c r="Q223" s="5"/>
      <c r="R223" s="3"/>
      <c r="S223" s="3"/>
      <c r="T223" s="3"/>
      <c r="U223" s="5"/>
      <c r="V223" s="3"/>
      <c r="W223" s="3"/>
      <c r="X223" s="3"/>
      <c r="Y223" s="5"/>
      <c r="Z223" s="3"/>
      <c r="AA223" s="3"/>
      <c r="AB223" s="3"/>
      <c r="AC223" s="3"/>
    </row>
    <row r="224" spans="2:29" x14ac:dyDescent="0.55000000000000004">
      <c r="B224" s="3"/>
      <c r="C224" s="3"/>
      <c r="D224" s="3"/>
      <c r="E224" s="5"/>
      <c r="F224" s="3"/>
      <c r="G224" s="3"/>
      <c r="H224" s="3"/>
      <c r="I224" s="5"/>
      <c r="J224" s="3"/>
      <c r="K224" s="3"/>
      <c r="L224" s="3"/>
      <c r="M224" s="5"/>
      <c r="N224" s="3"/>
      <c r="O224" s="3"/>
      <c r="P224" s="3"/>
      <c r="Q224" s="5"/>
      <c r="R224" s="3"/>
      <c r="S224" s="3"/>
      <c r="T224" s="3"/>
      <c r="U224" s="5"/>
      <c r="V224" s="3"/>
      <c r="W224" s="3"/>
      <c r="X224" s="3"/>
      <c r="Y224" s="5"/>
      <c r="Z224" s="3"/>
      <c r="AA224" s="3"/>
      <c r="AB224" s="3"/>
      <c r="AC224" s="3"/>
    </row>
    <row r="225" spans="2:29" x14ac:dyDescent="0.55000000000000004">
      <c r="B225" s="3"/>
      <c r="C225" s="3"/>
      <c r="D225" s="3"/>
      <c r="E225" s="5"/>
      <c r="F225" s="3"/>
      <c r="G225" s="3"/>
      <c r="H225" s="3"/>
      <c r="I225" s="5"/>
      <c r="J225" s="3"/>
      <c r="K225" s="3"/>
      <c r="L225" s="3"/>
      <c r="M225" s="5"/>
      <c r="N225" s="3"/>
      <c r="O225" s="3"/>
      <c r="P225" s="3"/>
      <c r="Q225" s="5"/>
      <c r="R225" s="3"/>
      <c r="S225" s="3"/>
      <c r="T225" s="3"/>
      <c r="U225" s="5"/>
      <c r="V225" s="3"/>
      <c r="W225" s="3"/>
      <c r="X225" s="3"/>
      <c r="Y225" s="5"/>
      <c r="Z225" s="3"/>
      <c r="AA225" s="3"/>
      <c r="AB225" s="3"/>
      <c r="AC225" s="3"/>
    </row>
    <row r="226" spans="2:29" x14ac:dyDescent="0.55000000000000004">
      <c r="B226" s="3"/>
      <c r="C226" s="3"/>
      <c r="D226" s="3"/>
      <c r="E226" s="5"/>
      <c r="F226" s="3"/>
      <c r="G226" s="3"/>
      <c r="H226" s="3"/>
      <c r="I226" s="5"/>
      <c r="J226" s="3"/>
      <c r="K226" s="3"/>
      <c r="L226" s="3"/>
      <c r="M226" s="5"/>
      <c r="N226" s="3"/>
      <c r="O226" s="3"/>
      <c r="P226" s="3"/>
      <c r="Q226" s="5"/>
      <c r="R226" s="3"/>
      <c r="S226" s="3"/>
      <c r="T226" s="3"/>
      <c r="U226" s="5"/>
      <c r="V226" s="3"/>
      <c r="W226" s="3"/>
      <c r="X226" s="3"/>
      <c r="Y226" s="5"/>
      <c r="Z226" s="3"/>
      <c r="AA226" s="3"/>
      <c r="AB226" s="3"/>
      <c r="AC226" s="3"/>
    </row>
    <row r="227" spans="2:29" x14ac:dyDescent="0.55000000000000004">
      <c r="B227" s="3"/>
      <c r="C227" s="3"/>
      <c r="D227" s="3"/>
      <c r="E227" s="5"/>
      <c r="F227" s="3"/>
      <c r="G227" s="3"/>
      <c r="H227" s="3"/>
      <c r="I227" s="5"/>
      <c r="J227" s="3"/>
      <c r="K227" s="3"/>
      <c r="L227" s="3"/>
      <c r="M227" s="5"/>
      <c r="N227" s="3"/>
      <c r="O227" s="3"/>
      <c r="P227" s="3"/>
      <c r="Q227" s="5"/>
      <c r="R227" s="3"/>
      <c r="S227" s="3"/>
      <c r="T227" s="3"/>
      <c r="U227" s="5"/>
      <c r="V227" s="3"/>
      <c r="W227" s="3"/>
      <c r="X227" s="3"/>
      <c r="Y227" s="5"/>
      <c r="Z227" s="3"/>
      <c r="AA227" s="3"/>
      <c r="AB227" s="3"/>
      <c r="AC227" s="3"/>
    </row>
    <row r="228" spans="2:29" x14ac:dyDescent="0.55000000000000004">
      <c r="B228" s="3"/>
      <c r="C228" s="3"/>
      <c r="D228" s="3"/>
      <c r="E228" s="5"/>
      <c r="F228" s="3"/>
      <c r="G228" s="3"/>
      <c r="H228" s="3"/>
      <c r="I228" s="5"/>
      <c r="J228" s="3"/>
      <c r="K228" s="3"/>
      <c r="L228" s="3"/>
      <c r="M228" s="5"/>
      <c r="N228" s="3"/>
      <c r="O228" s="3"/>
      <c r="P228" s="3"/>
      <c r="Q228" s="5"/>
      <c r="R228" s="3"/>
      <c r="S228" s="3"/>
      <c r="T228" s="3"/>
      <c r="U228" s="5"/>
      <c r="V228" s="3"/>
      <c r="W228" s="3"/>
      <c r="X228" s="3"/>
      <c r="Y228" s="5"/>
      <c r="Z228" s="3"/>
      <c r="AA228" s="3"/>
      <c r="AB228" s="3"/>
      <c r="AC228" s="3"/>
    </row>
    <row r="229" spans="2:29" x14ac:dyDescent="0.55000000000000004">
      <c r="B229" s="3"/>
      <c r="C229" s="3"/>
      <c r="D229" s="3"/>
      <c r="E229" s="5"/>
      <c r="F229" s="3"/>
      <c r="G229" s="3"/>
      <c r="H229" s="3"/>
      <c r="I229" s="5"/>
      <c r="J229" s="3"/>
      <c r="K229" s="3"/>
      <c r="L229" s="3"/>
      <c r="M229" s="5"/>
      <c r="N229" s="3"/>
      <c r="O229" s="3"/>
      <c r="P229" s="3"/>
      <c r="Q229" s="5"/>
      <c r="R229" s="3"/>
      <c r="S229" s="3"/>
      <c r="T229" s="3"/>
      <c r="U229" s="5"/>
      <c r="V229" s="3"/>
      <c r="W229" s="3"/>
      <c r="X229" s="3"/>
      <c r="Y229" s="5"/>
      <c r="Z229" s="3"/>
      <c r="AA229" s="3"/>
      <c r="AB229" s="3"/>
      <c r="AC229" s="3"/>
    </row>
    <row r="230" spans="2:29" x14ac:dyDescent="0.55000000000000004">
      <c r="B230" s="3"/>
      <c r="C230" s="3"/>
      <c r="D230" s="3"/>
      <c r="E230" s="5"/>
      <c r="F230" s="3"/>
      <c r="G230" s="3"/>
      <c r="H230" s="3"/>
      <c r="I230" s="5"/>
      <c r="J230" s="3"/>
      <c r="K230" s="3"/>
      <c r="L230" s="3"/>
      <c r="M230" s="5"/>
      <c r="N230" s="3"/>
      <c r="O230" s="3"/>
      <c r="P230" s="3"/>
      <c r="Q230" s="5"/>
      <c r="R230" s="3"/>
      <c r="S230" s="3"/>
      <c r="T230" s="3"/>
      <c r="U230" s="5"/>
      <c r="V230" s="3"/>
      <c r="W230" s="3"/>
      <c r="X230" s="3"/>
      <c r="Y230" s="5"/>
      <c r="Z230" s="3"/>
      <c r="AA230" s="3"/>
      <c r="AB230" s="3"/>
      <c r="AC230" s="3"/>
    </row>
    <row r="231" spans="2:29" x14ac:dyDescent="0.55000000000000004">
      <c r="B231" s="3"/>
      <c r="C231" s="3"/>
      <c r="D231" s="3"/>
      <c r="E231" s="5"/>
      <c r="F231" s="3"/>
      <c r="G231" s="3"/>
      <c r="H231" s="3"/>
      <c r="I231" s="5"/>
      <c r="J231" s="3"/>
      <c r="K231" s="3"/>
      <c r="L231" s="3"/>
      <c r="M231" s="5"/>
      <c r="N231" s="3"/>
      <c r="O231" s="3"/>
      <c r="P231" s="3"/>
      <c r="Q231" s="5"/>
      <c r="R231" s="3"/>
      <c r="S231" s="3"/>
      <c r="T231" s="3"/>
      <c r="U231" s="5"/>
      <c r="V231" s="3"/>
      <c r="W231" s="3"/>
      <c r="X231" s="3"/>
      <c r="Y231" s="5"/>
      <c r="Z231" s="3"/>
      <c r="AA231" s="3"/>
      <c r="AB231" s="3"/>
      <c r="AC231" s="3"/>
    </row>
    <row r="232" spans="2:29" x14ac:dyDescent="0.55000000000000004">
      <c r="B232" s="3"/>
      <c r="C232" s="3"/>
      <c r="D232" s="3"/>
      <c r="E232" s="5"/>
      <c r="F232" s="3"/>
      <c r="G232" s="3"/>
      <c r="H232" s="3"/>
      <c r="I232" s="5"/>
      <c r="J232" s="3"/>
      <c r="K232" s="3"/>
      <c r="L232" s="3"/>
      <c r="M232" s="5"/>
      <c r="N232" s="3"/>
      <c r="O232" s="3"/>
      <c r="P232" s="3"/>
      <c r="Q232" s="5"/>
      <c r="R232" s="3"/>
      <c r="S232" s="3"/>
      <c r="T232" s="3"/>
      <c r="U232" s="5"/>
      <c r="V232" s="3"/>
      <c r="W232" s="3"/>
      <c r="X232" s="3"/>
      <c r="Y232" s="5"/>
      <c r="Z232" s="3"/>
      <c r="AA232" s="3"/>
      <c r="AB232" s="3"/>
      <c r="AC232" s="3"/>
    </row>
    <row r="233" spans="2:29" x14ac:dyDescent="0.55000000000000004">
      <c r="B233" s="3"/>
      <c r="C233" s="3"/>
      <c r="D233" s="3"/>
      <c r="E233" s="5"/>
      <c r="F233" s="3"/>
      <c r="G233" s="3"/>
      <c r="H233" s="3"/>
      <c r="I233" s="5"/>
      <c r="J233" s="3"/>
      <c r="K233" s="3"/>
      <c r="L233" s="3"/>
      <c r="M233" s="5"/>
      <c r="N233" s="3"/>
      <c r="O233" s="3"/>
      <c r="P233" s="3"/>
      <c r="Q233" s="5"/>
      <c r="R233" s="3"/>
      <c r="S233" s="3"/>
      <c r="T233" s="3"/>
      <c r="U233" s="5"/>
      <c r="V233" s="3"/>
      <c r="W233" s="3"/>
      <c r="X233" s="3"/>
      <c r="Y233" s="5"/>
      <c r="Z233" s="3"/>
      <c r="AA233" s="3"/>
      <c r="AB233" s="3"/>
      <c r="AC233" s="3"/>
    </row>
    <row r="234" spans="2:29" x14ac:dyDescent="0.55000000000000004">
      <c r="B234" s="3"/>
      <c r="C234" s="3"/>
      <c r="D234" s="3"/>
      <c r="E234" s="5"/>
      <c r="F234" s="3"/>
      <c r="G234" s="3"/>
      <c r="H234" s="3"/>
      <c r="I234" s="5"/>
      <c r="J234" s="3"/>
      <c r="K234" s="3"/>
      <c r="L234" s="3"/>
      <c r="M234" s="5"/>
      <c r="N234" s="3"/>
      <c r="O234" s="3"/>
      <c r="P234" s="3"/>
      <c r="Q234" s="5"/>
      <c r="R234" s="3"/>
      <c r="S234" s="3"/>
      <c r="T234" s="3"/>
      <c r="U234" s="5"/>
      <c r="V234" s="3"/>
      <c r="W234" s="3"/>
      <c r="X234" s="3"/>
      <c r="Y234" s="5"/>
      <c r="Z234" s="3"/>
      <c r="AA234" s="3"/>
      <c r="AB234" s="3"/>
      <c r="AC23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0861-95F9-4E60-AAA6-1A2501EF2A8B}">
  <dimension ref="A1:A8"/>
  <sheetViews>
    <sheetView workbookViewId="0">
      <selection activeCell="A9" sqref="A9"/>
    </sheetView>
  </sheetViews>
  <sheetFormatPr defaultRowHeight="14.4" x14ac:dyDescent="0.55000000000000004"/>
  <sheetData>
    <row r="1" spans="1:1" x14ac:dyDescent="0.55000000000000004">
      <c r="A1" t="s">
        <v>181</v>
      </c>
    </row>
    <row r="2" spans="1:1" x14ac:dyDescent="0.55000000000000004">
      <c r="A2" t="s">
        <v>182</v>
      </c>
    </row>
    <row r="3" spans="1:1" x14ac:dyDescent="0.55000000000000004">
      <c r="A3" t="s">
        <v>183</v>
      </c>
    </row>
    <row r="6" spans="1:1" x14ac:dyDescent="0.55000000000000004">
      <c r="A6" t="s">
        <v>184</v>
      </c>
    </row>
    <row r="8" spans="1:1" x14ac:dyDescent="0.55000000000000004">
      <c r="A8" t="s">
        <v>185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2024-07-29T07:15:08Z</dcterms:created>
  <dcterms:modified xsi:type="dcterms:W3CDTF">2026-08-18T00:13:43Z</dcterms:modified>
</cp:coreProperties>
</file>