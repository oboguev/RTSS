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WINAPPS\SLOVO\UKR\github\RTSS\workbooks\"/>
    </mc:Choice>
  </mc:AlternateContent>
  <xr:revisionPtr revIDLastSave="0" documentId="13_ncr:1_{F7011787-ECD5-4490-B243-A45CD6C74705}" xr6:coauthVersionLast="45" xr6:coauthVersionMax="47" xr10:uidLastSave="{00000000-0000-0000-0000-000000000000}"/>
  <bookViews>
    <workbookView xWindow="5280" yWindow="1515" windowWidth="23985" windowHeight="21000" activeTab="4" xr2:uid="{4FC66C36-D870-40C8-814E-E325D68632DB}"/>
  </bookViews>
  <sheets>
    <sheet name="Notes" sheetId="5" r:id="rId1"/>
    <sheet name="RSFSR" sheetId="1" r:id="rId2"/>
    <sheet name="NR" sheetId="2" r:id="rId3"/>
    <sheet name="MR" sheetId="3" r:id="rId4"/>
    <sheet name="BR" sheetId="4" r:id="rId5"/>
  </sheets>
  <definedNames>
    <definedName name="STEP">NR!$V$5</definedName>
    <definedName name="STEP_BR">BR!$V$5</definedName>
    <definedName name="STEP_NR">NR!$V$5</definedName>
    <definedName name="STEP_RSFSR">RSFSR!$V$5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3" l="1"/>
  <c r="C24" i="3"/>
  <c r="C23" i="3"/>
  <c r="C22" i="3"/>
  <c r="D4" i="3"/>
  <c r="C24" i="1"/>
  <c r="C25" i="1" s="1"/>
  <c r="C26" i="1" s="1"/>
  <c r="C27" i="1" s="1"/>
  <c r="C28" i="1" s="1"/>
  <c r="C29" i="1" s="1"/>
  <c r="C23" i="1"/>
  <c r="A29" i="1"/>
  <c r="A23" i="1"/>
  <c r="A24" i="1" s="1"/>
  <c r="A25" i="1" s="1"/>
  <c r="A26" i="1" s="1"/>
  <c r="A27" i="1" s="1"/>
  <c r="A28" i="1" s="1"/>
  <c r="C24" i="4"/>
  <c r="C25" i="4" s="1"/>
  <c r="C23" i="4"/>
  <c r="C22" i="4"/>
  <c r="D4" i="4"/>
  <c r="C23" i="2"/>
  <c r="C24" i="2" s="1"/>
  <c r="C25" i="2" s="1"/>
  <c r="C26" i="2" s="1"/>
  <c r="C22" i="2"/>
  <c r="D4" i="2"/>
  <c r="V5" i="3"/>
  <c r="V5" i="4"/>
  <c r="A22" i="4"/>
  <c r="A23" i="4" s="1"/>
  <c r="A24" i="4" s="1"/>
  <c r="A25" i="4" s="1"/>
  <c r="A25" i="3"/>
  <c r="A24" i="3"/>
  <c r="A23" i="3"/>
  <c r="A22" i="3"/>
  <c r="A26" i="2"/>
  <c r="A25" i="2"/>
  <c r="A24" i="2"/>
  <c r="A23" i="2"/>
  <c r="A22" i="2"/>
  <c r="S23" i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U23" i="2"/>
  <c r="U24" i="2" s="1"/>
  <c r="U25" i="2" s="1"/>
  <c r="U22" i="2"/>
  <c r="V5" i="2"/>
  <c r="U21" i="4"/>
  <c r="T21" i="4"/>
  <c r="U20" i="4"/>
  <c r="T20" i="4"/>
  <c r="U19" i="4"/>
  <c r="T19" i="4"/>
  <c r="U18" i="4"/>
  <c r="T18" i="4"/>
  <c r="U17" i="4"/>
  <c r="T17" i="4"/>
  <c r="U16" i="4"/>
  <c r="T16" i="4"/>
  <c r="U15" i="4"/>
  <c r="T15" i="4"/>
  <c r="U14" i="4"/>
  <c r="T14" i="4"/>
  <c r="U13" i="4"/>
  <c r="T13" i="4"/>
  <c r="U12" i="4"/>
  <c r="T12" i="4"/>
  <c r="U11" i="4"/>
  <c r="T11" i="4"/>
  <c r="U10" i="4"/>
  <c r="T10" i="4"/>
  <c r="U9" i="4"/>
  <c r="T9" i="4"/>
  <c r="U8" i="4"/>
  <c r="T8" i="4"/>
  <c r="U7" i="4"/>
  <c r="T7" i="4"/>
  <c r="U6" i="4"/>
  <c r="T6" i="4"/>
  <c r="U5" i="4"/>
  <c r="T5" i="4"/>
  <c r="U21" i="3"/>
  <c r="T21" i="3"/>
  <c r="U20" i="3"/>
  <c r="T20" i="3"/>
  <c r="U19" i="3"/>
  <c r="T19" i="3"/>
  <c r="U18" i="3"/>
  <c r="T18" i="3"/>
  <c r="U17" i="3"/>
  <c r="T17" i="3"/>
  <c r="U16" i="3"/>
  <c r="T16" i="3"/>
  <c r="U15" i="3"/>
  <c r="T15" i="3"/>
  <c r="U14" i="3"/>
  <c r="T14" i="3"/>
  <c r="U13" i="3"/>
  <c r="T13" i="3"/>
  <c r="U12" i="3"/>
  <c r="T12" i="3"/>
  <c r="U11" i="3"/>
  <c r="T11" i="3"/>
  <c r="U10" i="3"/>
  <c r="T10" i="3"/>
  <c r="U9" i="3"/>
  <c r="T9" i="3"/>
  <c r="U8" i="3"/>
  <c r="T8" i="3"/>
  <c r="U7" i="3"/>
  <c r="T7" i="3"/>
  <c r="U6" i="3"/>
  <c r="T6" i="3"/>
  <c r="U5" i="3"/>
  <c r="T5" i="3"/>
  <c r="S5" i="4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7" i="3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6" i="3"/>
  <c r="S5" i="3"/>
  <c r="C4" i="4" a="1"/>
  <c r="C4" i="4" s="1"/>
  <c r="C4" i="3" a="1"/>
  <c r="C4" i="3" s="1"/>
  <c r="C4" i="2" a="1"/>
  <c r="C4" i="2" s="1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S5" i="2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5" i="1"/>
  <c r="T6" i="1"/>
  <c r="S5" i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A34" i="4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33" i="4"/>
  <c r="A33" i="3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32" i="3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33" i="2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6" i="4"/>
  <c r="A5" i="4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5" i="3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5" i="2"/>
  <c r="A5" i="1"/>
  <c r="A6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C4" i="1" a="1"/>
  <c r="U14" i="2"/>
  <c r="U21" i="2"/>
  <c r="U13" i="2"/>
  <c r="U5" i="2"/>
  <c r="U20" i="2"/>
  <c r="U12" i="2"/>
  <c r="U7" i="2"/>
  <c r="U6" i="2"/>
  <c r="U19" i="2"/>
  <c r="U11" i="2"/>
  <c r="U8" i="2"/>
  <c r="U18" i="2"/>
  <c r="U10" i="2"/>
  <c r="U15" i="2"/>
  <c r="U9" i="2"/>
  <c r="U17" i="2"/>
  <c r="U16" i="2"/>
  <c r="C4" i="1" l="1"/>
  <c r="D4" i="1" s="1"/>
  <c r="U21" i="1"/>
  <c r="U5" i="1"/>
  <c r="U10" i="1"/>
  <c r="U9" i="1"/>
  <c r="U20" i="1"/>
  <c r="U19" i="1"/>
  <c r="U18" i="1"/>
  <c r="U16" i="1"/>
  <c r="U17" i="1"/>
  <c r="U11" i="1"/>
  <c r="U15" i="1"/>
  <c r="U14" i="1"/>
  <c r="U13" i="1"/>
  <c r="U12" i="1"/>
  <c r="U8" i="1"/>
  <c r="U7" i="1"/>
  <c r="U6" i="1"/>
  <c r="U22" i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V5" i="1" l="1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<sst xmlns="http://schemas.openxmlformats.org/spreadsheetml/2006/main" count="70" uniqueCount="34">
  <si>
    <t>год</t>
  </si>
  <si>
    <t>рождаемость</t>
  </si>
  <si>
    <t>Исключение холерных и революционных лет (1898, 1905, 1908-1910)</t>
  </si>
  <si>
    <t>TREND</t>
  </si>
  <si>
    <t>% падения  рождаемости</t>
  </si>
  <si>
    <t>% падения тренда</t>
  </si>
  <si>
    <t>Белоруссия</t>
  </si>
  <si>
    <t>Малороссия</t>
  </si>
  <si>
    <t>Новороссия</t>
  </si>
  <si>
    <t>РСФСР-1991 без Тувы</t>
  </si>
  <si>
    <t>шаг тренда</t>
  </si>
  <si>
    <t xml:space="preserve">Датировка момента, на который следует относить начало демографического перехода, </t>
  </si>
  <si>
    <t>принимая за таковой 10%-е падение рождаемости.</t>
  </si>
  <si>
    <t>Стоял вопрос, не следует ли исключить из набора построения тренда</t>
  </si>
  <si>
    <t xml:space="preserve">холерные годы и 1905 год революционных потрясений как аномальные, </t>
  </si>
  <si>
    <t>однако видно, что их исключение мало влияет на тренд для Новроссии, Малороссии и Белоруссии:</t>
  </si>
  <si>
    <t>Малороссия: сдвиг почти нулевой, около +0.1 года</t>
  </si>
  <si>
    <t>Белоруссия: около &lt;b&gt;+0.6 года</t>
  </si>
  <si>
    <t>Новороссия: около &lt;b&gt;-0.3 года</t>
  </si>
  <si>
    <t>Для РСФСР исключение аномальных лет сдвигает пересечение 10%-го уровня заметнее — примерно с 1921.5 к 1918.4.</t>
  </si>
  <si>
    <t>Итого:</t>
  </si>
  <si>
    <t xml:space="preserve">Если определять начало демографического перехода как момент достижения 10%-го снижения рождаемости </t>
  </si>
  <si>
    <t xml:space="preserve">по сглаженному линейным трендом ряду, то наиболее раннее начало обнаруживается </t>
  </si>
  <si>
    <t xml:space="preserve">в Малороссии (ок. 1905–1906) </t>
  </si>
  <si>
    <t xml:space="preserve">и Белоруссии (ок. 1907), </t>
  </si>
  <si>
    <t xml:space="preserve">тогда как в Новороссии оно относится лишь к 1917 г., </t>
  </si>
  <si>
    <t xml:space="preserve">а в РСФСР — к поздним 1910-м или началу 1920-х годов. </t>
  </si>
  <si>
    <t>точная дата заметно зависит от обращения с аномальными годами.</t>
  </si>
  <si>
    <t xml:space="preserve">Для великорусского ядра 10%-е снижение рождаемости по линейному тренду достигается лишь в поздние 1910-е  —  начале 1920-х; </t>
  </si>
  <si>
    <t>шаг %-го падения тренда</t>
  </si>
  <si>
    <t>Чтобы исключить осцилляции, 10%-е падение определяется по тренду линейной регрессии методом наименьших квадратов.</t>
  </si>
  <si>
    <t>Но с подтверждением устойчивого снижения фактического уровня рождаемости.</t>
  </si>
  <si>
    <t>Такое потверждение достигается для Белоруссии и Малороссии.</t>
  </si>
  <si>
    <t>Для РСФСР и Новороссии до 1914 года 10%-го снижения рождаемости ещё не происходит, и для них момент начала перехода определяется по тренду.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</si>
</sst>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0" fillId="2" borderId="0" xfId="0" applyFill="1"/>
    <xf numFmtId="0" fontId="2" fillId="0" borderId="0" xfId="0" applyFont="1"/>
    <xf numFmtId="9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RSFSR!$B$3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RSFSR!$A$4:$A$22</c:f>
              <c:numCache>
                <c:formatCode>General</c:formatCode>
                <c:ptCount val="1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RSFSR!$B$4:$B$22</c:f>
              <c:numCache>
                <c:formatCode>0.0</c:formatCode>
                <c:ptCount val="19"/>
                <c:pt idx="0">
                  <c:v>53</c:v>
                </c:pt>
                <c:pt idx="1">
                  <c:v>53</c:v>
                </c:pt>
                <c:pt idx="2">
                  <c:v>50.7</c:v>
                </c:pt>
                <c:pt idx="3">
                  <c:v>51.3</c:v>
                </c:pt>
                <c:pt idx="4">
                  <c:v>52.1</c:v>
                </c:pt>
                <c:pt idx="5">
                  <c:v>51.7</c:v>
                </c:pt>
                <c:pt idx="6">
                  <c:v>52.5</c:v>
                </c:pt>
                <c:pt idx="7">
                  <c:v>52.1</c:v>
                </c:pt>
                <c:pt idx="8">
                  <c:v>52.4</c:v>
                </c:pt>
                <c:pt idx="9">
                  <c:v>48.6</c:v>
                </c:pt>
                <c:pt idx="10">
                  <c:v>51.3</c:v>
                </c:pt>
                <c:pt idx="11">
                  <c:v>51.3</c:v>
                </c:pt>
                <c:pt idx="12">
                  <c:v>49.8</c:v>
                </c:pt>
                <c:pt idx="13">
                  <c:v>50.1</c:v>
                </c:pt>
                <c:pt idx="14">
                  <c:v>51</c:v>
                </c:pt>
                <c:pt idx="15">
                  <c:v>50.7</c:v>
                </c:pt>
                <c:pt idx="16">
                  <c:v>48.7</c:v>
                </c:pt>
                <c:pt idx="17">
                  <c:v>48.6</c:v>
                </c:pt>
                <c:pt idx="18">
                  <c:v>48.3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BD-4F59-88C6-41A3CFDE2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70144"/>
        <c:axId val="445072544"/>
      </c:scatterChart>
      <c:valAx>
        <c:axId val="445070144"/>
        <c:scaling>
          <c:orientation val="minMax"/>
          <c:max val="1914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72544"/>
        <c:crosses val="autoZero"/>
        <c:crossBetween val="midCat"/>
      </c:valAx>
      <c:valAx>
        <c:axId val="4450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7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RSFSR!$B$41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RSFSR!$A$42:$A$60</c:f>
              <c:numCache>
                <c:formatCode>General</c:formatCode>
                <c:ptCount val="1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</c:numCache>
            </c:numRef>
          </c:xVal>
          <c:yVal>
            <c:numRef>
              <c:f>RSFSR!$B$42:$B$60</c:f>
              <c:numCache>
                <c:formatCode>0.0</c:formatCode>
                <c:ptCount val="19"/>
                <c:pt idx="0">
                  <c:v>53</c:v>
                </c:pt>
                <c:pt idx="1">
                  <c:v>53</c:v>
                </c:pt>
                <c:pt idx="3">
                  <c:v>51.3</c:v>
                </c:pt>
                <c:pt idx="4">
                  <c:v>52.1</c:v>
                </c:pt>
                <c:pt idx="5">
                  <c:v>51.7</c:v>
                </c:pt>
                <c:pt idx="6">
                  <c:v>52.5</c:v>
                </c:pt>
                <c:pt idx="7">
                  <c:v>52.1</c:v>
                </c:pt>
                <c:pt idx="8">
                  <c:v>52.4</c:v>
                </c:pt>
                <c:pt idx="10">
                  <c:v>51.3</c:v>
                </c:pt>
                <c:pt idx="11">
                  <c:v>51.3</c:v>
                </c:pt>
                <c:pt idx="15">
                  <c:v>50.7</c:v>
                </c:pt>
                <c:pt idx="16">
                  <c:v>48.7</c:v>
                </c:pt>
                <c:pt idx="17">
                  <c:v>48.6</c:v>
                </c:pt>
                <c:pt idx="18">
                  <c:v>48.3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9C-4C24-9EB2-6FB4882CA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61328"/>
        <c:axId val="976156048"/>
      </c:scatterChart>
      <c:valAx>
        <c:axId val="97616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56048"/>
        <c:crosses val="autoZero"/>
        <c:crossBetween val="midCat"/>
      </c:valAx>
      <c:valAx>
        <c:axId val="97615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6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NR!$B$3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NR!$A$4:$A$21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NR!$B$4:$B$21</c:f>
              <c:numCache>
                <c:formatCode>0.0</c:formatCode>
                <c:ptCount val="18"/>
                <c:pt idx="0">
                  <c:v>52.1</c:v>
                </c:pt>
                <c:pt idx="1">
                  <c:v>51.5</c:v>
                </c:pt>
                <c:pt idx="2">
                  <c:v>50.4</c:v>
                </c:pt>
                <c:pt idx="3">
                  <c:v>51.2</c:v>
                </c:pt>
                <c:pt idx="4">
                  <c:v>50.4</c:v>
                </c:pt>
                <c:pt idx="5">
                  <c:v>46.8</c:v>
                </c:pt>
                <c:pt idx="6">
                  <c:v>50.4</c:v>
                </c:pt>
                <c:pt idx="7">
                  <c:v>50.1</c:v>
                </c:pt>
                <c:pt idx="8">
                  <c:v>50.1</c:v>
                </c:pt>
                <c:pt idx="9">
                  <c:v>45.9</c:v>
                </c:pt>
                <c:pt idx="10">
                  <c:v>46.9</c:v>
                </c:pt>
                <c:pt idx="11">
                  <c:v>50.2</c:v>
                </c:pt>
                <c:pt idx="12">
                  <c:v>47.6</c:v>
                </c:pt>
                <c:pt idx="13">
                  <c:v>48.8</c:v>
                </c:pt>
                <c:pt idx="14">
                  <c:v>48</c:v>
                </c:pt>
                <c:pt idx="15">
                  <c:v>48.2</c:v>
                </c:pt>
                <c:pt idx="16">
                  <c:v>47.9</c:v>
                </c:pt>
                <c:pt idx="17">
                  <c:v>46.5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C9-439D-96CA-3607BBBA3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36544"/>
        <c:axId val="445041344"/>
      </c:scatterChart>
      <c:valAx>
        <c:axId val="445036544"/>
        <c:scaling>
          <c:orientation val="minMax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41344"/>
        <c:crosses val="autoZero"/>
        <c:crossBetween val="midCat"/>
      </c:valAx>
      <c:valAx>
        <c:axId val="44504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3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NR!$B$31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NR!$A$32:$A$49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NR!$B$32:$B$49</c:f>
              <c:numCache>
                <c:formatCode>0.0</c:formatCode>
                <c:ptCount val="18"/>
                <c:pt idx="0">
                  <c:v>52.1</c:v>
                </c:pt>
                <c:pt idx="1">
                  <c:v>51.5</c:v>
                </c:pt>
                <c:pt idx="3">
                  <c:v>51.2</c:v>
                </c:pt>
                <c:pt idx="4">
                  <c:v>50.4</c:v>
                </c:pt>
                <c:pt idx="5">
                  <c:v>46.8</c:v>
                </c:pt>
                <c:pt idx="6">
                  <c:v>50.4</c:v>
                </c:pt>
                <c:pt idx="7">
                  <c:v>50.1</c:v>
                </c:pt>
                <c:pt idx="8">
                  <c:v>50.1</c:v>
                </c:pt>
                <c:pt idx="10">
                  <c:v>46.9</c:v>
                </c:pt>
                <c:pt idx="11">
                  <c:v>50.2</c:v>
                </c:pt>
                <c:pt idx="15">
                  <c:v>48.2</c:v>
                </c:pt>
                <c:pt idx="16">
                  <c:v>47.9</c:v>
                </c:pt>
                <c:pt idx="17">
                  <c:v>46.5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B9-4E2F-A143-C50CF6B22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53648"/>
        <c:axId val="976150768"/>
      </c:scatterChart>
      <c:valAx>
        <c:axId val="97615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50768"/>
        <c:crosses val="autoZero"/>
        <c:crossBetween val="midCat"/>
      </c:valAx>
      <c:valAx>
        <c:axId val="97615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5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MR!$B$3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MR!$A$4:$A$21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MR!$B$4:$B$21</c:f>
              <c:numCache>
                <c:formatCode>0.0</c:formatCode>
                <c:ptCount val="18"/>
                <c:pt idx="0">
                  <c:v>48.9</c:v>
                </c:pt>
                <c:pt idx="1">
                  <c:v>48.4</c:v>
                </c:pt>
                <c:pt idx="2">
                  <c:v>46.2</c:v>
                </c:pt>
                <c:pt idx="3">
                  <c:v>47.6</c:v>
                </c:pt>
                <c:pt idx="4">
                  <c:v>47.9</c:v>
                </c:pt>
                <c:pt idx="5">
                  <c:v>44</c:v>
                </c:pt>
                <c:pt idx="6">
                  <c:v>46</c:v>
                </c:pt>
                <c:pt idx="7">
                  <c:v>44.9</c:v>
                </c:pt>
                <c:pt idx="8">
                  <c:v>44.2</c:v>
                </c:pt>
                <c:pt idx="9">
                  <c:v>41.4</c:v>
                </c:pt>
                <c:pt idx="10">
                  <c:v>43.3</c:v>
                </c:pt>
                <c:pt idx="11">
                  <c:v>44.6</c:v>
                </c:pt>
                <c:pt idx="12">
                  <c:v>42.2</c:v>
                </c:pt>
                <c:pt idx="13">
                  <c:v>41.2</c:v>
                </c:pt>
                <c:pt idx="14">
                  <c:v>40.9</c:v>
                </c:pt>
                <c:pt idx="15">
                  <c:v>41.4</c:v>
                </c:pt>
                <c:pt idx="16">
                  <c:v>41.5</c:v>
                </c:pt>
                <c:pt idx="17">
                  <c:v>38.799999999999997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E8-409B-B7E5-CB45D93A9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34144"/>
        <c:axId val="445041824"/>
      </c:scatterChart>
      <c:valAx>
        <c:axId val="445034144"/>
        <c:scaling>
          <c:orientation val="minMax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41824"/>
        <c:crosses val="autoZero"/>
        <c:crossBetween val="midCat"/>
      </c:valAx>
      <c:valAx>
        <c:axId val="44504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3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MR!$B$30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MR!$A$31:$A$48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MR!$B$31:$B$48</c:f>
              <c:numCache>
                <c:formatCode>0.0</c:formatCode>
                <c:ptCount val="18"/>
                <c:pt idx="0">
                  <c:v>48.9</c:v>
                </c:pt>
                <c:pt idx="1">
                  <c:v>48.4</c:v>
                </c:pt>
                <c:pt idx="3">
                  <c:v>47.6</c:v>
                </c:pt>
                <c:pt idx="4">
                  <c:v>47.9</c:v>
                </c:pt>
                <c:pt idx="5">
                  <c:v>44</c:v>
                </c:pt>
                <c:pt idx="6">
                  <c:v>46</c:v>
                </c:pt>
                <c:pt idx="7">
                  <c:v>44.9</c:v>
                </c:pt>
                <c:pt idx="8">
                  <c:v>44.2</c:v>
                </c:pt>
                <c:pt idx="10">
                  <c:v>43.3</c:v>
                </c:pt>
                <c:pt idx="11">
                  <c:v>44.6</c:v>
                </c:pt>
                <c:pt idx="15">
                  <c:v>41.4</c:v>
                </c:pt>
                <c:pt idx="16">
                  <c:v>41.5</c:v>
                </c:pt>
                <c:pt idx="17">
                  <c:v>38.799999999999997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EC-46C5-8559-CB421F4BC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90128"/>
        <c:axId val="976203568"/>
      </c:scatterChart>
      <c:valAx>
        <c:axId val="97619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203568"/>
        <c:crosses val="autoZero"/>
        <c:crossBetween val="midCat"/>
      </c:valAx>
      <c:valAx>
        <c:axId val="9762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9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BR!$B$3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BR!$A$4:$A$21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BR!$B$4:$B$21</c:f>
              <c:numCache>
                <c:formatCode>0.0</c:formatCode>
                <c:ptCount val="18"/>
                <c:pt idx="0">
                  <c:v>46.5</c:v>
                </c:pt>
                <c:pt idx="1">
                  <c:v>46.9</c:v>
                </c:pt>
                <c:pt idx="2">
                  <c:v>45.8</c:v>
                </c:pt>
                <c:pt idx="3">
                  <c:v>46.7</c:v>
                </c:pt>
                <c:pt idx="4">
                  <c:v>47.7</c:v>
                </c:pt>
                <c:pt idx="5">
                  <c:v>45.7</c:v>
                </c:pt>
                <c:pt idx="6">
                  <c:v>48.9</c:v>
                </c:pt>
                <c:pt idx="7">
                  <c:v>43.4</c:v>
                </c:pt>
                <c:pt idx="8">
                  <c:v>45.3</c:v>
                </c:pt>
                <c:pt idx="9">
                  <c:v>41.8</c:v>
                </c:pt>
                <c:pt idx="10">
                  <c:v>43.8</c:v>
                </c:pt>
                <c:pt idx="11">
                  <c:v>44.6</c:v>
                </c:pt>
                <c:pt idx="12">
                  <c:v>41.1</c:v>
                </c:pt>
                <c:pt idx="13">
                  <c:v>41.5</c:v>
                </c:pt>
                <c:pt idx="14">
                  <c:v>41.2</c:v>
                </c:pt>
                <c:pt idx="15">
                  <c:v>41.2</c:v>
                </c:pt>
                <c:pt idx="16">
                  <c:v>40.799999999999997</c:v>
                </c:pt>
                <c:pt idx="17">
                  <c:v>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1A-463B-BA1B-03886F76D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26464"/>
        <c:axId val="445036544"/>
      </c:scatterChart>
      <c:valAx>
        <c:axId val="445026464"/>
        <c:scaling>
          <c:orientation val="minMax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36544"/>
        <c:crosses val="autoZero"/>
        <c:crossBetween val="midCat"/>
      </c:valAx>
      <c:valAx>
        <c:axId val="44503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502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BR!$B$31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BR!$A$32:$A$49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BR!$B$32:$B$49</c:f>
              <c:numCache>
                <c:formatCode>0.0</c:formatCode>
                <c:ptCount val="18"/>
                <c:pt idx="0">
                  <c:v>46.5</c:v>
                </c:pt>
                <c:pt idx="1">
                  <c:v>46.9</c:v>
                </c:pt>
                <c:pt idx="3">
                  <c:v>46.7</c:v>
                </c:pt>
                <c:pt idx="4">
                  <c:v>47.7</c:v>
                </c:pt>
                <c:pt idx="5">
                  <c:v>45.7</c:v>
                </c:pt>
                <c:pt idx="6">
                  <c:v>48.9</c:v>
                </c:pt>
                <c:pt idx="7">
                  <c:v>43.4</c:v>
                </c:pt>
                <c:pt idx="8">
                  <c:v>45.3</c:v>
                </c:pt>
                <c:pt idx="10">
                  <c:v>43.8</c:v>
                </c:pt>
                <c:pt idx="11">
                  <c:v>44.6</c:v>
                </c:pt>
                <c:pt idx="15">
                  <c:v>41.2</c:v>
                </c:pt>
                <c:pt idx="16">
                  <c:v>40.799999999999997</c:v>
                </c:pt>
                <c:pt idx="17">
                  <c:v>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F8-4707-A9FB-3A78583F4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59888"/>
        <c:axId val="976160368"/>
      </c:scatterChart>
      <c:valAx>
        <c:axId val="97615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60368"/>
        <c:crosses val="autoZero"/>
        <c:crossBetween val="midCat"/>
      </c:valAx>
      <c:valAx>
        <c:axId val="9761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15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1</xdr:row>
      <xdr:rowOff>160020</xdr:rowOff>
    </xdr:from>
    <xdr:to>
      <xdr:col>17</xdr:col>
      <xdr:colOff>619124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56DFD-40BA-FE21-277D-4EBF4EAAD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627697</xdr:colOff>
      <xdr:row>40</xdr:row>
      <xdr:rowOff>7619</xdr:rowOff>
    </xdr:from>
    <xdr:to>
      <xdr:col>18</xdr:col>
      <xdr:colOff>9525</xdr:colOff>
      <xdr:row>62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099D5D-5A0E-08FA-397B-82D2D2E74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629602</xdr:colOff>
      <xdr:row>1</xdr:row>
      <xdr:rowOff>171450</xdr:rowOff>
    </xdr:from>
    <xdr:to>
      <xdr:col>17</xdr:col>
      <xdr:colOff>561975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75345-7A5F-D308-0069-027B49936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601026</xdr:colOff>
      <xdr:row>28</xdr:row>
      <xdr:rowOff>153351</xdr:rowOff>
    </xdr:from>
    <xdr:to>
      <xdr:col>18</xdr:col>
      <xdr:colOff>28575</xdr:colOff>
      <xdr:row>53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83E46-32E0-7507-92E3-546FB6D9E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581977</xdr:colOff>
      <xdr:row>1</xdr:row>
      <xdr:rowOff>180974</xdr:rowOff>
    </xdr:from>
    <xdr:to>
      <xdr:col>17</xdr:col>
      <xdr:colOff>609600</xdr:colOff>
      <xdr:row>24</xdr:row>
      <xdr:rowOff>125729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C0D2A3-836C-2716-11B6-B5296FAE8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75247</xdr:colOff>
      <xdr:row>28</xdr:row>
      <xdr:rowOff>65722</xdr:rowOff>
    </xdr:from>
    <xdr:to>
      <xdr:col>18</xdr:col>
      <xdr:colOff>76200</xdr:colOff>
      <xdr:row>51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F559AE-C467-BE04-F9B5-49201CE31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</xdr:colOff>
      <xdr:row>3</xdr:row>
      <xdr:rowOff>7619</xdr:rowOff>
    </xdr:from>
    <xdr:to>
      <xdr:col>17</xdr:col>
      <xdr:colOff>619125</xdr:colOff>
      <xdr:row>26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3A6ED-06D8-B77E-118D-F60C1ED9B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618172</xdr:colOff>
      <xdr:row>30</xdr:row>
      <xdr:rowOff>27621</xdr:rowOff>
    </xdr:from>
    <xdr:to>
      <xdr:col>17</xdr:col>
      <xdr:colOff>628650</xdr:colOff>
      <xdr:row>52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88380C-160B-2792-C88A-DCA3D4BB1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3DA1-90A1-4FE4-821C-7E7F6AA5A7D6}">
  <dimension ref="A2:B32"/>
  <sheetViews>
    <sheetView workbookViewId="0">
      <selection activeCell="A25" sqref="A25"/>
    </sheetView>
  </sheetViews>
  <sheetFormatPr defaultRowHeight="14.25"/>
  <sheetData>
    <row r="2" spans="1:2" ht="15">
      <c r="A2" s="2" t="s">
        <v>11</v>
      </c>
    </row>
    <row r="3" spans="1:2" ht="15">
      <c r="A3" s="2" t="s">
        <v>12</v>
      </c>
    </row>
    <row r="5" spans="1:2">
      <c r="A5" s="11" t="s">
        <v>30</v>
      </c>
    </row>
    <row r="6" spans="1:2">
      <c r="A6" t="s">
        <v>31</v>
      </c>
    </row>
    <row r="8" spans="1:2">
      <c r="B8" t="s">
        <v>32</v>
      </c>
    </row>
    <row r="9" spans="1:2">
      <c r="B9" t="s">
        <v>33</v>
      </c>
    </row>
    <row r="11" spans="1:2">
      <c r="A11" t="s">
        <v>13</v>
      </c>
    </row>
    <row r="12" spans="1:2">
      <c r="A12" t="s">
        <v>14</v>
      </c>
    </row>
    <row r="13" spans="1:2">
      <c r="A13" t="s">
        <v>15</v>
      </c>
    </row>
    <row r="15" spans="1:2">
      <c r="B15" t="s">
        <v>16</v>
      </c>
    </row>
    <row r="16" spans="1:2">
      <c r="B16" t="s">
        <v>17</v>
      </c>
    </row>
    <row r="17" spans="1:2">
      <c r="B17" t="s">
        <v>18</v>
      </c>
    </row>
    <row r="19" spans="1:2">
      <c r="A19" t="s">
        <v>19</v>
      </c>
    </row>
    <row r="21" spans="1:2">
      <c r="A21" t="s">
        <v>20</v>
      </c>
    </row>
    <row r="23" spans="1:2">
      <c r="A23" t="s">
        <v>21</v>
      </c>
    </row>
    <row r="24" spans="1:2">
      <c r="A24" t="s">
        <v>22</v>
      </c>
    </row>
    <row r="26" spans="1:2">
      <c r="B26" t="s">
        <v>23</v>
      </c>
    </row>
    <row r="27" spans="1:2">
      <c r="B27" t="s">
        <v>24</v>
      </c>
    </row>
    <row r="28" spans="1:2">
      <c r="B28" t="s">
        <v>25</v>
      </c>
    </row>
    <row r="29" spans="1:2">
      <c r="B29" t="s">
        <v>26</v>
      </c>
    </row>
    <row r="31" spans="1:2">
      <c r="B31" t="s">
        <v>28</v>
      </c>
    </row>
    <row r="32" spans="1:2">
      <c r="B3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0EA2-8841-4A8E-9FAD-F1492223CF40}">
  <dimension ref="A1:V60"/>
  <sheetViews>
    <sheetView workbookViewId="0">
      <selection activeCell="L32" sqref="L32"/>
    </sheetView>
  </sheetViews>
  <sheetFormatPr defaultRowHeight="14.25"/>
  <cols>
    <col min="2" max="2" width="14.625" customWidth="1"/>
    <col min="4" max="4" width="12" customWidth="1"/>
    <col min="20" max="20" width="25.375" customWidth="1"/>
    <col min="21" max="21" width="26.375" customWidth="1"/>
    <col min="22" max="22" width="21.75" customWidth="1"/>
  </cols>
  <sheetData>
    <row r="1" spans="1:22" ht="18">
      <c r="A1" s="10" t="s">
        <v>9</v>
      </c>
    </row>
    <row r="3" spans="1:22" ht="15">
      <c r="A3" s="3" t="s">
        <v>0</v>
      </c>
      <c r="B3" s="3" t="s">
        <v>1</v>
      </c>
      <c r="C3" s="3" t="s">
        <v>3</v>
      </c>
      <c r="D3" s="3" t="s">
        <v>10</v>
      </c>
      <c r="S3" s="3" t="s">
        <v>0</v>
      </c>
      <c r="T3" s="3" t="s">
        <v>4</v>
      </c>
      <c r="U3" s="3" t="s">
        <v>5</v>
      </c>
      <c r="V3" s="3" t="s">
        <v>29</v>
      </c>
    </row>
    <row r="4" spans="1:22">
      <c r="A4" s="4">
        <v>1896</v>
      </c>
      <c r="B4" s="5">
        <v>53</v>
      </c>
      <c r="C4" s="6" cm="1">
        <f t="array" ref="C4:C22">TREND($B$4:$B$22,$A$4:$A$22,A4:A22)</f>
        <v>52.765263157894708</v>
      </c>
      <c r="D4" s="6">
        <f>C4-C5</f>
        <v>0.20666666666664923</v>
      </c>
      <c r="S4" s="4">
        <v>1896</v>
      </c>
    </row>
    <row r="5" spans="1:22">
      <c r="A5" s="4">
        <f>A4+1</f>
        <v>1897</v>
      </c>
      <c r="B5" s="5">
        <v>53</v>
      </c>
      <c r="C5" s="6">
        <v>52.558596491228059</v>
      </c>
      <c r="S5" s="4">
        <f>S4+1</f>
        <v>1897</v>
      </c>
      <c r="T5" s="1">
        <f>100 - 100 * B5/$B$4</f>
        <v>0</v>
      </c>
      <c r="U5" s="6">
        <f>100 - 100 * C5/$C$4</f>
        <v>0.39167182024321789</v>
      </c>
      <c r="V5" s="6">
        <f>U6-U5</f>
        <v>0.39167182024320368</v>
      </c>
    </row>
    <row r="6" spans="1:22">
      <c r="A6" s="4">
        <f t="shared" ref="A6:A21" si="0">A5+1</f>
        <v>1898</v>
      </c>
      <c r="B6" s="5">
        <v>50.7</v>
      </c>
      <c r="C6" s="6">
        <v>52.35192982456141</v>
      </c>
      <c r="S6" s="4">
        <f t="shared" ref="S6:S21" si="1">S5+1</f>
        <v>1898</v>
      </c>
      <c r="T6" s="1">
        <f>100 - 100 * B6/$B$4</f>
        <v>4.3396226415094361</v>
      </c>
      <c r="U6" s="6">
        <f t="shared" ref="U6:U22" si="2">100 - 100 * C6/$C$4</f>
        <v>0.78334364048642158</v>
      </c>
    </row>
    <row r="7" spans="1:22">
      <c r="A7" s="4">
        <f t="shared" si="0"/>
        <v>1899</v>
      </c>
      <c r="B7" s="5">
        <v>51.3</v>
      </c>
      <c r="C7" s="6">
        <v>52.14526315789476</v>
      </c>
      <c r="S7" s="4">
        <f t="shared" si="1"/>
        <v>1899</v>
      </c>
      <c r="T7" s="1">
        <f t="shared" ref="T7:T22" si="3">100 - 100 * B7/$B$4</f>
        <v>3.2075471698113205</v>
      </c>
      <c r="U7" s="6">
        <f t="shared" si="2"/>
        <v>1.1750154607296537</v>
      </c>
    </row>
    <row r="8" spans="1:22">
      <c r="A8" s="4">
        <f t="shared" si="0"/>
        <v>1900</v>
      </c>
      <c r="B8" s="5">
        <v>52.1</v>
      </c>
      <c r="C8" s="6">
        <v>51.938596491228054</v>
      </c>
      <c r="S8" s="4">
        <f t="shared" si="1"/>
        <v>1900</v>
      </c>
      <c r="T8" s="1">
        <f t="shared" si="3"/>
        <v>1.6981132075471663</v>
      </c>
      <c r="U8" s="6">
        <f t="shared" si="2"/>
        <v>1.5666872809729711</v>
      </c>
    </row>
    <row r="9" spans="1:22">
      <c r="A9" s="4">
        <f t="shared" si="0"/>
        <v>1901</v>
      </c>
      <c r="B9" s="5">
        <v>51.7</v>
      </c>
      <c r="C9" s="6">
        <v>51.731929824561405</v>
      </c>
      <c r="S9" s="4">
        <f t="shared" si="1"/>
        <v>1901</v>
      </c>
      <c r="T9" s="1">
        <f t="shared" si="3"/>
        <v>2.4528301886792434</v>
      </c>
      <c r="U9" s="6">
        <f t="shared" si="2"/>
        <v>1.9583591012161889</v>
      </c>
    </row>
    <row r="10" spans="1:22">
      <c r="A10" s="4">
        <f t="shared" si="0"/>
        <v>1902</v>
      </c>
      <c r="B10" s="5">
        <v>52.5</v>
      </c>
      <c r="C10" s="6">
        <v>51.525263157894756</v>
      </c>
      <c r="S10" s="4">
        <f t="shared" si="1"/>
        <v>1902</v>
      </c>
      <c r="T10" s="1">
        <f t="shared" si="3"/>
        <v>0.94339622641508925</v>
      </c>
      <c r="U10" s="6">
        <f t="shared" si="2"/>
        <v>2.3500309214594068</v>
      </c>
    </row>
    <row r="11" spans="1:22">
      <c r="A11" s="4">
        <f t="shared" si="0"/>
        <v>1903</v>
      </c>
      <c r="B11" s="5">
        <v>52.1</v>
      </c>
      <c r="C11" s="6">
        <v>51.31859649122805</v>
      </c>
      <c r="S11" s="4">
        <f t="shared" si="1"/>
        <v>1903</v>
      </c>
      <c r="T11" s="1">
        <f t="shared" si="3"/>
        <v>1.6981132075471663</v>
      </c>
      <c r="U11" s="6">
        <f t="shared" si="2"/>
        <v>2.7417027417027242</v>
      </c>
    </row>
    <row r="12" spans="1:22">
      <c r="A12" s="4">
        <f t="shared" si="0"/>
        <v>1904</v>
      </c>
      <c r="B12" s="5">
        <v>52.4</v>
      </c>
      <c r="C12" s="6">
        <v>51.1119298245614</v>
      </c>
      <c r="S12" s="4">
        <f t="shared" si="1"/>
        <v>1904</v>
      </c>
      <c r="T12" s="1">
        <f t="shared" si="3"/>
        <v>1.1320754716981156</v>
      </c>
      <c r="U12" s="6">
        <f t="shared" si="2"/>
        <v>3.1333745619459421</v>
      </c>
    </row>
    <row r="13" spans="1:22">
      <c r="A13" s="4">
        <f t="shared" si="0"/>
        <v>1905</v>
      </c>
      <c r="B13" s="5">
        <v>48.6</v>
      </c>
      <c r="C13" s="6">
        <v>50.905263157894751</v>
      </c>
      <c r="S13" s="4">
        <f t="shared" si="1"/>
        <v>1905</v>
      </c>
      <c r="T13" s="1">
        <f t="shared" si="3"/>
        <v>8.3018867924528337</v>
      </c>
      <c r="U13" s="6">
        <f t="shared" si="2"/>
        <v>3.52504638218916</v>
      </c>
    </row>
    <row r="14" spans="1:22">
      <c r="A14" s="4">
        <f t="shared" si="0"/>
        <v>1906</v>
      </c>
      <c r="B14" s="5">
        <v>51.3</v>
      </c>
      <c r="C14" s="6">
        <v>50.698596491228045</v>
      </c>
      <c r="S14" s="4">
        <f t="shared" si="1"/>
        <v>1906</v>
      </c>
      <c r="T14" s="1">
        <f t="shared" si="3"/>
        <v>3.2075471698113205</v>
      </c>
      <c r="U14" s="6">
        <f t="shared" si="2"/>
        <v>3.9167182024324774</v>
      </c>
    </row>
    <row r="15" spans="1:22">
      <c r="A15" s="4">
        <f t="shared" si="0"/>
        <v>1907</v>
      </c>
      <c r="B15" s="5">
        <v>51.3</v>
      </c>
      <c r="C15" s="6">
        <v>50.491929824561396</v>
      </c>
      <c r="S15" s="4">
        <f t="shared" si="1"/>
        <v>1907</v>
      </c>
      <c r="T15" s="1">
        <f t="shared" si="3"/>
        <v>3.2075471698113205</v>
      </c>
      <c r="U15" s="6">
        <f t="shared" si="2"/>
        <v>4.3083900226757095</v>
      </c>
    </row>
    <row r="16" spans="1:22">
      <c r="A16" s="4">
        <f t="shared" si="0"/>
        <v>1908</v>
      </c>
      <c r="B16" s="5">
        <v>49.8</v>
      </c>
      <c r="C16" s="6">
        <v>50.285263157894747</v>
      </c>
      <c r="S16" s="4">
        <f t="shared" si="1"/>
        <v>1908</v>
      </c>
      <c r="T16" s="1">
        <f t="shared" si="3"/>
        <v>6.0377358490566024</v>
      </c>
      <c r="U16" s="6">
        <f t="shared" si="2"/>
        <v>4.7000618429189132</v>
      </c>
    </row>
    <row r="17" spans="1:21">
      <c r="A17" s="4">
        <f t="shared" si="0"/>
        <v>1909</v>
      </c>
      <c r="B17" s="5">
        <v>50.1</v>
      </c>
      <c r="C17" s="6">
        <v>50.078596491228041</v>
      </c>
      <c r="S17" s="4">
        <f t="shared" si="1"/>
        <v>1909</v>
      </c>
      <c r="T17" s="1">
        <f t="shared" si="3"/>
        <v>5.4716981132075517</v>
      </c>
      <c r="U17" s="6">
        <f t="shared" si="2"/>
        <v>5.0917336631622447</v>
      </c>
    </row>
    <row r="18" spans="1:21">
      <c r="A18" s="4">
        <f t="shared" si="0"/>
        <v>1910</v>
      </c>
      <c r="B18" s="5">
        <v>51</v>
      </c>
      <c r="C18" s="6">
        <v>49.871929824561391</v>
      </c>
      <c r="S18" s="4">
        <f t="shared" si="1"/>
        <v>1910</v>
      </c>
      <c r="T18" s="1">
        <f t="shared" si="3"/>
        <v>3.7735849056603712</v>
      </c>
      <c r="U18" s="6">
        <f t="shared" si="2"/>
        <v>5.4834054834054484</v>
      </c>
    </row>
    <row r="19" spans="1:21">
      <c r="A19" s="4">
        <f t="shared" si="0"/>
        <v>1911</v>
      </c>
      <c r="B19" s="5">
        <v>50.7</v>
      </c>
      <c r="C19" s="6">
        <v>49.665263157894742</v>
      </c>
      <c r="S19" s="4">
        <f t="shared" si="1"/>
        <v>1911</v>
      </c>
      <c r="T19" s="1">
        <f t="shared" si="3"/>
        <v>4.3396226415094361</v>
      </c>
      <c r="U19" s="6">
        <f t="shared" si="2"/>
        <v>5.8750773036486663</v>
      </c>
    </row>
    <row r="20" spans="1:21">
      <c r="A20" s="4">
        <f t="shared" si="0"/>
        <v>1912</v>
      </c>
      <c r="B20" s="5">
        <v>48.7</v>
      </c>
      <c r="C20" s="6">
        <v>49.458596491228093</v>
      </c>
      <c r="S20" s="4">
        <f t="shared" si="1"/>
        <v>1912</v>
      </c>
      <c r="T20" s="1">
        <f t="shared" si="3"/>
        <v>8.1132075471698073</v>
      </c>
      <c r="U20" s="6">
        <f t="shared" si="2"/>
        <v>6.2667491238918842</v>
      </c>
    </row>
    <row r="21" spans="1:21">
      <c r="A21" s="4">
        <f t="shared" si="0"/>
        <v>1913</v>
      </c>
      <c r="B21" s="5">
        <v>48.6</v>
      </c>
      <c r="C21" s="6">
        <v>49.251929824561387</v>
      </c>
      <c r="S21" s="4">
        <f t="shared" si="1"/>
        <v>1913</v>
      </c>
      <c r="T21" s="1">
        <f t="shared" si="3"/>
        <v>8.3018867924528337</v>
      </c>
      <c r="U21" s="6">
        <f t="shared" si="2"/>
        <v>6.6584209441352158</v>
      </c>
    </row>
    <row r="22" spans="1:21">
      <c r="A22" s="4">
        <v>1914</v>
      </c>
      <c r="B22" s="5">
        <v>48.3</v>
      </c>
      <c r="C22" s="6">
        <v>49.045263157894738</v>
      </c>
      <c r="S22" s="4">
        <v>1914</v>
      </c>
      <c r="T22" s="1">
        <f t="shared" si="3"/>
        <v>8.8679245283018844</v>
      </c>
      <c r="U22" s="6">
        <f t="shared" si="2"/>
        <v>7.0500927643784337</v>
      </c>
    </row>
    <row r="23" spans="1:21">
      <c r="A23" s="4">
        <f t="shared" ref="A23:A29" si="4">A22+1</f>
        <v>1915</v>
      </c>
      <c r="C23" s="6">
        <f>C22-$D$4</f>
        <v>48.838596491228088</v>
      </c>
      <c r="S23" s="4">
        <f>S22+1</f>
        <v>1915</v>
      </c>
      <c r="U23" s="6">
        <f t="shared" ref="U23:U35" si="5">U22+STEP</f>
        <v>7.5276294340546883</v>
      </c>
    </row>
    <row r="24" spans="1:21">
      <c r="A24" s="4">
        <f t="shared" si="4"/>
        <v>1916</v>
      </c>
      <c r="C24" s="6">
        <f t="shared" ref="C24:C29" si="6">C23-$D$4</f>
        <v>48.631929824561439</v>
      </c>
      <c r="S24" s="4">
        <f t="shared" ref="S24:S35" si="7">S23+1</f>
        <v>1916</v>
      </c>
      <c r="U24" s="6">
        <f t="shared" si="5"/>
        <v>8.005166103730943</v>
      </c>
    </row>
    <row r="25" spans="1:21">
      <c r="A25" s="4">
        <f t="shared" si="4"/>
        <v>1917</v>
      </c>
      <c r="C25" s="6">
        <f t="shared" si="6"/>
        <v>48.42526315789479</v>
      </c>
      <c r="S25" s="4">
        <f t="shared" si="7"/>
        <v>1917</v>
      </c>
      <c r="U25" s="6">
        <f t="shared" si="5"/>
        <v>8.4827027734071976</v>
      </c>
    </row>
    <row r="26" spans="1:21">
      <c r="A26" s="4">
        <f t="shared" si="4"/>
        <v>1918</v>
      </c>
      <c r="C26" s="6">
        <f t="shared" si="6"/>
        <v>48.218596491228141</v>
      </c>
      <c r="S26" s="4">
        <f t="shared" si="7"/>
        <v>1918</v>
      </c>
      <c r="U26" s="6">
        <f t="shared" si="5"/>
        <v>8.9602394430834522</v>
      </c>
    </row>
    <row r="27" spans="1:21">
      <c r="A27" s="4">
        <f t="shared" si="4"/>
        <v>1919</v>
      </c>
      <c r="C27" s="6">
        <f t="shared" si="6"/>
        <v>48.011929824561491</v>
      </c>
      <c r="S27" s="4">
        <f t="shared" si="7"/>
        <v>1919</v>
      </c>
      <c r="U27" s="6">
        <f t="shared" si="5"/>
        <v>9.4377761127597068</v>
      </c>
    </row>
    <row r="28" spans="1:21">
      <c r="A28" s="4">
        <f t="shared" si="4"/>
        <v>1920</v>
      </c>
      <c r="C28" s="6">
        <f t="shared" si="6"/>
        <v>47.805263157894842</v>
      </c>
      <c r="S28" s="4">
        <f t="shared" si="7"/>
        <v>1920</v>
      </c>
      <c r="U28" s="6">
        <f t="shared" si="5"/>
        <v>9.9153127824359615</v>
      </c>
    </row>
    <row r="29" spans="1:21">
      <c r="A29" s="4">
        <f t="shared" si="4"/>
        <v>1921</v>
      </c>
      <c r="C29" s="6">
        <f t="shared" si="6"/>
        <v>47.598596491228193</v>
      </c>
      <c r="S29" s="7">
        <f t="shared" si="7"/>
        <v>1921</v>
      </c>
      <c r="T29" s="9"/>
      <c r="U29" s="12">
        <f t="shared" si="5"/>
        <v>10.392849452112216</v>
      </c>
    </row>
    <row r="30" spans="1:21">
      <c r="S30" s="4">
        <f t="shared" si="7"/>
        <v>1922</v>
      </c>
      <c r="U30" s="6">
        <f t="shared" si="5"/>
        <v>10.870386121788471</v>
      </c>
    </row>
    <row r="31" spans="1:21">
      <c r="S31" s="4">
        <f t="shared" si="7"/>
        <v>1923</v>
      </c>
      <c r="U31" s="6">
        <f t="shared" si="5"/>
        <v>11.347922791464725</v>
      </c>
    </row>
    <row r="32" spans="1:21">
      <c r="S32" s="4">
        <f t="shared" si="7"/>
        <v>1924</v>
      </c>
      <c r="U32" s="6">
        <f t="shared" si="5"/>
        <v>11.82545946114098</v>
      </c>
    </row>
    <row r="33" spans="1:21">
      <c r="S33" s="4">
        <f t="shared" si="7"/>
        <v>1925</v>
      </c>
      <c r="U33" s="6">
        <f t="shared" si="5"/>
        <v>12.302996130817235</v>
      </c>
    </row>
    <row r="34" spans="1:21">
      <c r="S34" s="4">
        <f t="shared" si="7"/>
        <v>1926</v>
      </c>
      <c r="U34" s="6">
        <f t="shared" si="5"/>
        <v>12.780532800493489</v>
      </c>
    </row>
    <row r="35" spans="1:21">
      <c r="S35" s="4">
        <f t="shared" si="7"/>
        <v>1927</v>
      </c>
      <c r="U35" s="6">
        <f t="shared" si="5"/>
        <v>13.258069470169744</v>
      </c>
    </row>
    <row r="39" spans="1:21" ht="15">
      <c r="A39" s="2" t="s">
        <v>2</v>
      </c>
    </row>
    <row r="41" spans="1:21" ht="15">
      <c r="A41" s="3" t="s">
        <v>0</v>
      </c>
      <c r="B41" s="3" t="s">
        <v>1</v>
      </c>
    </row>
    <row r="42" spans="1:21">
      <c r="A42" s="4">
        <v>1896</v>
      </c>
      <c r="B42" s="5">
        <v>53</v>
      </c>
    </row>
    <row r="43" spans="1:21">
      <c r="A43" s="4">
        <f>A42+1</f>
        <v>1897</v>
      </c>
      <c r="B43" s="5">
        <v>53</v>
      </c>
    </row>
    <row r="44" spans="1:21">
      <c r="A44" s="4">
        <f t="shared" ref="A44:A59" si="8">A43+1</f>
        <v>1898</v>
      </c>
      <c r="B44" s="5"/>
    </row>
    <row r="45" spans="1:21">
      <c r="A45" s="4">
        <f t="shared" si="8"/>
        <v>1899</v>
      </c>
      <c r="B45" s="5">
        <v>51.3</v>
      </c>
    </row>
    <row r="46" spans="1:21">
      <c r="A46" s="4">
        <f t="shared" si="8"/>
        <v>1900</v>
      </c>
      <c r="B46" s="5">
        <v>52.1</v>
      </c>
    </row>
    <row r="47" spans="1:21">
      <c r="A47" s="4">
        <f t="shared" si="8"/>
        <v>1901</v>
      </c>
      <c r="B47" s="5">
        <v>51.7</v>
      </c>
    </row>
    <row r="48" spans="1:21">
      <c r="A48" s="4">
        <f t="shared" si="8"/>
        <v>1902</v>
      </c>
      <c r="B48" s="5">
        <v>52.5</v>
      </c>
    </row>
    <row r="49" spans="1:2">
      <c r="A49" s="4">
        <f t="shared" si="8"/>
        <v>1903</v>
      </c>
      <c r="B49" s="5">
        <v>52.1</v>
      </c>
    </row>
    <row r="50" spans="1:2">
      <c r="A50" s="4">
        <f t="shared" si="8"/>
        <v>1904</v>
      </c>
      <c r="B50" s="5">
        <v>52.4</v>
      </c>
    </row>
    <row r="51" spans="1:2">
      <c r="A51" s="4">
        <f t="shared" si="8"/>
        <v>1905</v>
      </c>
      <c r="B51" s="5"/>
    </row>
    <row r="52" spans="1:2">
      <c r="A52" s="4">
        <f t="shared" si="8"/>
        <v>1906</v>
      </c>
      <c r="B52" s="5">
        <v>51.3</v>
      </c>
    </row>
    <row r="53" spans="1:2">
      <c r="A53" s="4">
        <f t="shared" si="8"/>
        <v>1907</v>
      </c>
      <c r="B53" s="5">
        <v>51.3</v>
      </c>
    </row>
    <row r="54" spans="1:2">
      <c r="A54" s="4">
        <f t="shared" si="8"/>
        <v>1908</v>
      </c>
      <c r="B54" s="5"/>
    </row>
    <row r="55" spans="1:2">
      <c r="A55" s="4">
        <f t="shared" si="8"/>
        <v>1909</v>
      </c>
      <c r="B55" s="5"/>
    </row>
    <row r="56" spans="1:2">
      <c r="A56" s="4">
        <f t="shared" si="8"/>
        <v>1910</v>
      </c>
      <c r="B56" s="5"/>
    </row>
    <row r="57" spans="1:2">
      <c r="A57" s="4">
        <f t="shared" si="8"/>
        <v>1911</v>
      </c>
      <c r="B57" s="5">
        <v>50.7</v>
      </c>
    </row>
    <row r="58" spans="1:2">
      <c r="A58" s="4">
        <f t="shared" si="8"/>
        <v>1912</v>
      </c>
      <c r="B58" s="5">
        <v>48.7</v>
      </c>
    </row>
    <row r="59" spans="1:2">
      <c r="A59" s="4">
        <f t="shared" si="8"/>
        <v>1913</v>
      </c>
      <c r="B59" s="5">
        <v>48.6</v>
      </c>
    </row>
    <row r="60" spans="1:2">
      <c r="A60" s="4">
        <v>1914</v>
      </c>
      <c r="B60" s="5">
        <v>48.3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6236-6DB6-44ED-BB49-A78B092F8D0C}">
  <dimension ref="A1:V49"/>
  <sheetViews>
    <sheetView workbookViewId="0">
      <selection activeCell="M28" sqref="M28"/>
    </sheetView>
  </sheetViews>
  <sheetFormatPr defaultRowHeight="14.25"/>
  <cols>
    <col min="2" max="2" width="14.125" customWidth="1"/>
    <col min="4" max="4" width="11" customWidth="1"/>
    <col min="20" max="20" width="25" customWidth="1"/>
    <col min="21" max="21" width="20" customWidth="1"/>
    <col min="22" max="22" width="23.25" customWidth="1"/>
  </cols>
  <sheetData>
    <row r="1" spans="1:22" ht="18">
      <c r="A1" s="10" t="s">
        <v>8</v>
      </c>
    </row>
    <row r="3" spans="1:22" ht="15">
      <c r="A3" s="3" t="s">
        <v>0</v>
      </c>
      <c r="B3" s="3" t="s">
        <v>1</v>
      </c>
      <c r="C3" s="3" t="s">
        <v>3</v>
      </c>
      <c r="D3" s="3" t="s">
        <v>10</v>
      </c>
      <c r="S3" s="3" t="s">
        <v>0</v>
      </c>
      <c r="T3" s="3" t="s">
        <v>4</v>
      </c>
      <c r="U3" s="2" t="s">
        <v>5</v>
      </c>
      <c r="V3" s="3" t="s">
        <v>29</v>
      </c>
    </row>
    <row r="4" spans="1:22">
      <c r="A4" s="4">
        <v>1896</v>
      </c>
      <c r="B4" s="5">
        <v>52.1</v>
      </c>
      <c r="C4" s="6" cm="1">
        <f t="array" ref="C4:C21">TREND($B$4:$B$21,$A$4:$A$21,A4:A21)</f>
        <v>51.130994152046753</v>
      </c>
      <c r="D4" s="6">
        <f>C4-C5</f>
        <v>0.24416924664603812</v>
      </c>
      <c r="S4" s="4">
        <v>1896</v>
      </c>
    </row>
    <row r="5" spans="1:22">
      <c r="A5" s="4">
        <f>A4+1</f>
        <v>1897</v>
      </c>
      <c r="B5" s="5">
        <v>51.5</v>
      </c>
      <c r="C5" s="6">
        <v>50.886824905400715</v>
      </c>
      <c r="S5" s="4">
        <f>S4+1</f>
        <v>1897</v>
      </c>
      <c r="T5" s="1">
        <f>100 - 100 * B5/$B$4</f>
        <v>1.1516314779270687</v>
      </c>
      <c r="U5" s="6">
        <f>100 - 100 * C5/$C$4</f>
        <v>0.47753666967624042</v>
      </c>
      <c r="V5" s="6">
        <f>U6-U5</f>
        <v>0.47753666967625463</v>
      </c>
    </row>
    <row r="6" spans="1:22">
      <c r="A6" s="4">
        <f t="shared" ref="A6:A21" si="0">A5+1</f>
        <v>1898</v>
      </c>
      <c r="B6" s="5">
        <v>50.4</v>
      </c>
      <c r="C6" s="6">
        <v>50.642655658754677</v>
      </c>
      <c r="S6" s="4">
        <f t="shared" ref="S6:S21" si="1">S5+1</f>
        <v>1898</v>
      </c>
      <c r="T6" s="1">
        <f>100 - 100 * B6/$B$4</f>
        <v>3.2629558541266874</v>
      </c>
      <c r="U6" s="6">
        <f t="shared" ref="U6:U21" si="2">100 - 100 * C6/$C$4</f>
        <v>0.95507333935249505</v>
      </c>
    </row>
    <row r="7" spans="1:22">
      <c r="A7" s="4">
        <f t="shared" si="0"/>
        <v>1899</v>
      </c>
      <c r="B7" s="5">
        <v>51.2</v>
      </c>
      <c r="C7" s="6">
        <v>50.398486412108696</v>
      </c>
      <c r="S7" s="4">
        <f t="shared" si="1"/>
        <v>1899</v>
      </c>
      <c r="T7" s="1">
        <f t="shared" ref="T7:T21" si="3">100 - 100 * B7/$B$4</f>
        <v>1.7274472168905959</v>
      </c>
      <c r="U7" s="6">
        <f t="shared" si="2"/>
        <v>1.4326100090286218</v>
      </c>
    </row>
    <row r="8" spans="1:22">
      <c r="A8" s="4">
        <f t="shared" si="0"/>
        <v>1900</v>
      </c>
      <c r="B8" s="5">
        <v>50.4</v>
      </c>
      <c r="C8" s="6">
        <v>50.154317165462658</v>
      </c>
      <c r="S8" s="4">
        <f t="shared" si="1"/>
        <v>1900</v>
      </c>
      <c r="T8" s="1">
        <f t="shared" si="3"/>
        <v>3.2629558541266874</v>
      </c>
      <c r="U8" s="6">
        <f t="shared" si="2"/>
        <v>1.9101466787048622</v>
      </c>
    </row>
    <row r="9" spans="1:22">
      <c r="A9" s="4">
        <f t="shared" si="0"/>
        <v>1901</v>
      </c>
      <c r="B9" s="5">
        <v>46.8</v>
      </c>
      <c r="C9" s="6">
        <v>49.910147918816619</v>
      </c>
      <c r="S9" s="4">
        <f t="shared" si="1"/>
        <v>1901</v>
      </c>
      <c r="T9" s="1">
        <f t="shared" si="3"/>
        <v>10.172744721689057</v>
      </c>
      <c r="U9" s="6">
        <f t="shared" si="2"/>
        <v>2.3876833483811026</v>
      </c>
    </row>
    <row r="10" spans="1:22">
      <c r="A10" s="4">
        <f t="shared" si="0"/>
        <v>1902</v>
      </c>
      <c r="B10" s="5">
        <v>50.4</v>
      </c>
      <c r="C10" s="6">
        <v>49.665978672170581</v>
      </c>
      <c r="S10" s="4">
        <f t="shared" si="1"/>
        <v>1902</v>
      </c>
      <c r="T10" s="1">
        <f t="shared" si="3"/>
        <v>3.2629558541266874</v>
      </c>
      <c r="U10" s="6">
        <f t="shared" si="2"/>
        <v>2.8652200180573288</v>
      </c>
    </row>
    <row r="11" spans="1:22">
      <c r="A11" s="4">
        <f t="shared" si="0"/>
        <v>1903</v>
      </c>
      <c r="B11" s="5">
        <v>50.1</v>
      </c>
      <c r="C11" s="6">
        <v>49.421809425524543</v>
      </c>
      <c r="S11" s="4">
        <f t="shared" si="1"/>
        <v>1903</v>
      </c>
      <c r="T11" s="1">
        <f t="shared" si="3"/>
        <v>3.8387715930902147</v>
      </c>
      <c r="U11" s="6">
        <f t="shared" si="2"/>
        <v>3.3427566877335835</v>
      </c>
    </row>
    <row r="12" spans="1:22">
      <c r="A12" s="4">
        <f t="shared" si="0"/>
        <v>1904</v>
      </c>
      <c r="B12" s="5">
        <v>50.1</v>
      </c>
      <c r="C12" s="6">
        <v>49.177640178878562</v>
      </c>
      <c r="S12" s="4">
        <f t="shared" si="1"/>
        <v>1904</v>
      </c>
      <c r="T12" s="1">
        <f t="shared" si="3"/>
        <v>3.8387715930902147</v>
      </c>
      <c r="U12" s="6">
        <f t="shared" si="2"/>
        <v>3.8202933574097102</v>
      </c>
    </row>
    <row r="13" spans="1:22">
      <c r="A13" s="4">
        <f t="shared" si="0"/>
        <v>1905</v>
      </c>
      <c r="B13" s="5">
        <v>45.9</v>
      </c>
      <c r="C13" s="6">
        <v>48.933470932232524</v>
      </c>
      <c r="S13" s="4">
        <f t="shared" si="1"/>
        <v>1905</v>
      </c>
      <c r="T13" s="1">
        <f t="shared" si="3"/>
        <v>11.900191938579653</v>
      </c>
      <c r="U13" s="6">
        <f t="shared" si="2"/>
        <v>4.2978300270859648</v>
      </c>
    </row>
    <row r="14" spans="1:22">
      <c r="A14" s="4">
        <f t="shared" si="0"/>
        <v>1906</v>
      </c>
      <c r="B14" s="5">
        <v>46.9</v>
      </c>
      <c r="C14" s="6">
        <v>48.689301685586486</v>
      </c>
      <c r="S14" s="4">
        <f t="shared" si="1"/>
        <v>1906</v>
      </c>
      <c r="T14" s="1">
        <f t="shared" si="3"/>
        <v>9.9808061420345524</v>
      </c>
      <c r="U14" s="6">
        <f t="shared" si="2"/>
        <v>4.7753666967621911</v>
      </c>
    </row>
    <row r="15" spans="1:22">
      <c r="A15" s="4">
        <f t="shared" si="0"/>
        <v>1907</v>
      </c>
      <c r="B15" s="5">
        <v>50.2</v>
      </c>
      <c r="C15" s="6">
        <v>48.445132438940448</v>
      </c>
      <c r="S15" s="4">
        <f t="shared" si="1"/>
        <v>1907</v>
      </c>
      <c r="T15" s="1">
        <f t="shared" si="3"/>
        <v>3.6468330134356961</v>
      </c>
      <c r="U15" s="6">
        <f t="shared" si="2"/>
        <v>5.2529033664384457</v>
      </c>
    </row>
    <row r="16" spans="1:22">
      <c r="A16" s="4">
        <f t="shared" si="0"/>
        <v>1908</v>
      </c>
      <c r="B16" s="5">
        <v>47.6</v>
      </c>
      <c r="C16" s="6">
        <v>48.20096319229441</v>
      </c>
      <c r="S16" s="4">
        <f t="shared" si="1"/>
        <v>1908</v>
      </c>
      <c r="T16" s="1">
        <f t="shared" si="3"/>
        <v>8.6372360844529794</v>
      </c>
      <c r="U16" s="6">
        <f t="shared" si="2"/>
        <v>5.7304400361146719</v>
      </c>
    </row>
    <row r="17" spans="1:21">
      <c r="A17" s="4">
        <f t="shared" si="0"/>
        <v>1909</v>
      </c>
      <c r="B17" s="5">
        <v>48.8</v>
      </c>
      <c r="C17" s="6">
        <v>47.956793945648428</v>
      </c>
      <c r="S17" s="4">
        <f t="shared" si="1"/>
        <v>1909</v>
      </c>
      <c r="T17" s="1">
        <f t="shared" si="3"/>
        <v>6.3339731285988563</v>
      </c>
      <c r="U17" s="6">
        <f t="shared" si="2"/>
        <v>6.2079767057908271</v>
      </c>
    </row>
    <row r="18" spans="1:21">
      <c r="A18" s="4">
        <f t="shared" si="0"/>
        <v>1910</v>
      </c>
      <c r="B18" s="5">
        <v>48</v>
      </c>
      <c r="C18" s="6">
        <v>47.71262469900239</v>
      </c>
      <c r="S18" s="4">
        <f t="shared" si="1"/>
        <v>1910</v>
      </c>
      <c r="T18" s="1">
        <f t="shared" si="3"/>
        <v>7.8694817658349336</v>
      </c>
      <c r="U18" s="6">
        <f t="shared" si="2"/>
        <v>6.6855133754670533</v>
      </c>
    </row>
    <row r="19" spans="1:21">
      <c r="A19" s="4">
        <f t="shared" si="0"/>
        <v>1911</v>
      </c>
      <c r="B19" s="5">
        <v>48.2</v>
      </c>
      <c r="C19" s="6">
        <v>47.468455452356352</v>
      </c>
      <c r="S19" s="4">
        <f t="shared" si="1"/>
        <v>1911</v>
      </c>
      <c r="T19" s="1">
        <f t="shared" si="3"/>
        <v>7.4856046065259108</v>
      </c>
      <c r="U19" s="6">
        <f t="shared" si="2"/>
        <v>7.1630500451432937</v>
      </c>
    </row>
    <row r="20" spans="1:21">
      <c r="A20" s="4">
        <f t="shared" si="0"/>
        <v>1912</v>
      </c>
      <c r="B20" s="5">
        <v>47.9</v>
      </c>
      <c r="C20" s="6">
        <v>47.224286205710314</v>
      </c>
      <c r="S20" s="4">
        <f t="shared" si="1"/>
        <v>1912</v>
      </c>
      <c r="T20" s="1">
        <f t="shared" si="3"/>
        <v>8.0614203454894522</v>
      </c>
      <c r="U20" s="6">
        <f t="shared" si="2"/>
        <v>7.6405867148195341</v>
      </c>
    </row>
    <row r="21" spans="1:21">
      <c r="A21" s="4">
        <f t="shared" si="0"/>
        <v>1913</v>
      </c>
      <c r="B21" s="5">
        <v>46.5</v>
      </c>
      <c r="C21" s="6">
        <v>46.980116959064276</v>
      </c>
      <c r="S21" s="4">
        <f t="shared" si="1"/>
        <v>1913</v>
      </c>
      <c r="T21" s="1">
        <f t="shared" si="3"/>
        <v>10.748560460652598</v>
      </c>
      <c r="U21" s="6">
        <f t="shared" si="2"/>
        <v>8.1181233844957887</v>
      </c>
    </row>
    <row r="22" spans="1:21">
      <c r="A22" s="4">
        <f>A21+1</f>
        <v>1914</v>
      </c>
      <c r="B22" s="1"/>
      <c r="C22" s="6">
        <f>C21-$D$4</f>
        <v>46.735947712418238</v>
      </c>
      <c r="S22" s="4">
        <v>1914</v>
      </c>
      <c r="T22" s="1"/>
      <c r="U22" s="6">
        <f>U21+STEP_NR</f>
        <v>8.5956600541720434</v>
      </c>
    </row>
    <row r="23" spans="1:21">
      <c r="A23" s="4">
        <f>A22+1</f>
        <v>1915</v>
      </c>
      <c r="C23" s="6">
        <f t="shared" ref="C23:C26" si="4">C22-$D$4</f>
        <v>46.4917784657722</v>
      </c>
      <c r="S23" s="4">
        <v>1915</v>
      </c>
      <c r="U23" s="6">
        <f>U22+STEP_NR</f>
        <v>9.073196723848298</v>
      </c>
    </row>
    <row r="24" spans="1:21">
      <c r="A24" s="4">
        <f>A23+1</f>
        <v>1916</v>
      </c>
      <c r="C24" s="6">
        <f t="shared" si="4"/>
        <v>46.247609219126161</v>
      </c>
      <c r="S24" s="4">
        <v>1916</v>
      </c>
      <c r="U24" s="6">
        <f>U23+STEP_NR</f>
        <v>9.5507333935245526</v>
      </c>
    </row>
    <row r="25" spans="1:21">
      <c r="A25" s="4">
        <f>A24+1</f>
        <v>1917</v>
      </c>
      <c r="C25" s="6">
        <f t="shared" si="4"/>
        <v>46.003439972480123</v>
      </c>
      <c r="S25" s="4">
        <v>1917</v>
      </c>
      <c r="U25" s="12">
        <f>U24+STEP_NR</f>
        <v>10.028270063200807</v>
      </c>
    </row>
    <row r="26" spans="1:21">
      <c r="A26" s="4">
        <f>A25+1</f>
        <v>1918</v>
      </c>
      <c r="C26" s="6">
        <f t="shared" si="4"/>
        <v>45.759270725834085</v>
      </c>
    </row>
    <row r="28" spans="1:21" ht="15">
      <c r="A28" s="2" t="s">
        <v>2</v>
      </c>
    </row>
    <row r="31" spans="1:21" ht="15">
      <c r="A31" s="3" t="s">
        <v>0</v>
      </c>
      <c r="B31" s="3" t="s">
        <v>1</v>
      </c>
    </row>
    <row r="32" spans="1:21">
      <c r="A32" s="4">
        <v>1896</v>
      </c>
      <c r="B32" s="5">
        <v>52.1</v>
      </c>
    </row>
    <row r="33" spans="1:2">
      <c r="A33" s="4">
        <f>A32+1</f>
        <v>1897</v>
      </c>
      <c r="B33" s="5">
        <v>51.5</v>
      </c>
    </row>
    <row r="34" spans="1:2">
      <c r="A34" s="4">
        <f t="shared" ref="A34:A49" si="5">A33+1</f>
        <v>1898</v>
      </c>
      <c r="B34" s="5"/>
    </row>
    <row r="35" spans="1:2">
      <c r="A35" s="4">
        <f t="shared" si="5"/>
        <v>1899</v>
      </c>
      <c r="B35" s="5">
        <v>51.2</v>
      </c>
    </row>
    <row r="36" spans="1:2">
      <c r="A36" s="4">
        <f t="shared" si="5"/>
        <v>1900</v>
      </c>
      <c r="B36" s="5">
        <v>50.4</v>
      </c>
    </row>
    <row r="37" spans="1:2">
      <c r="A37" s="4">
        <f t="shared" si="5"/>
        <v>1901</v>
      </c>
      <c r="B37" s="5">
        <v>46.8</v>
      </c>
    </row>
    <row r="38" spans="1:2">
      <c r="A38" s="4">
        <f t="shared" si="5"/>
        <v>1902</v>
      </c>
      <c r="B38" s="5">
        <v>50.4</v>
      </c>
    </row>
    <row r="39" spans="1:2">
      <c r="A39" s="4">
        <f t="shared" si="5"/>
        <v>1903</v>
      </c>
      <c r="B39" s="5">
        <v>50.1</v>
      </c>
    </row>
    <row r="40" spans="1:2">
      <c r="A40" s="4">
        <f t="shared" si="5"/>
        <v>1904</v>
      </c>
      <c r="B40" s="5">
        <v>50.1</v>
      </c>
    </row>
    <row r="41" spans="1:2">
      <c r="A41" s="4">
        <f t="shared" si="5"/>
        <v>1905</v>
      </c>
      <c r="B41" s="5"/>
    </row>
    <row r="42" spans="1:2">
      <c r="A42" s="4">
        <f t="shared" si="5"/>
        <v>1906</v>
      </c>
      <c r="B42" s="5">
        <v>46.9</v>
      </c>
    </row>
    <row r="43" spans="1:2">
      <c r="A43" s="4">
        <f t="shared" si="5"/>
        <v>1907</v>
      </c>
      <c r="B43" s="5">
        <v>50.2</v>
      </c>
    </row>
    <row r="44" spans="1:2">
      <c r="A44" s="4">
        <f t="shared" si="5"/>
        <v>1908</v>
      </c>
      <c r="B44" s="5"/>
    </row>
    <row r="45" spans="1:2">
      <c r="A45" s="4">
        <f t="shared" si="5"/>
        <v>1909</v>
      </c>
      <c r="B45" s="5"/>
    </row>
    <row r="46" spans="1:2">
      <c r="A46" s="4">
        <f t="shared" si="5"/>
        <v>1910</v>
      </c>
      <c r="B46" s="5"/>
    </row>
    <row r="47" spans="1:2">
      <c r="A47" s="4">
        <f t="shared" si="5"/>
        <v>1911</v>
      </c>
      <c r="B47" s="5">
        <v>48.2</v>
      </c>
    </row>
    <row r="48" spans="1:2">
      <c r="A48" s="4">
        <f t="shared" si="5"/>
        <v>1912</v>
      </c>
      <c r="B48" s="5">
        <v>47.9</v>
      </c>
    </row>
    <row r="49" spans="1:2">
      <c r="A49" s="4">
        <f t="shared" si="5"/>
        <v>1913</v>
      </c>
      <c r="B49" s="5">
        <v>46.5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AEA7-EBD2-458F-AB27-099CC8F05D58}">
  <dimension ref="A1:V48"/>
  <sheetViews>
    <sheetView workbookViewId="0">
      <selection activeCell="S30" sqref="S30"/>
    </sheetView>
  </sheetViews>
  <sheetFormatPr defaultRowHeight="14.25"/>
  <cols>
    <col min="1" max="1" width="7.875" customWidth="1"/>
    <col min="2" max="2" width="13.625" customWidth="1"/>
    <col min="4" max="4" width="10.375" customWidth="1"/>
    <col min="20" max="20" width="24.625" customWidth="1"/>
    <col min="21" max="21" width="18.75" customWidth="1"/>
    <col min="22" max="22" width="26" customWidth="1"/>
  </cols>
  <sheetData>
    <row r="1" spans="1:22" ht="18">
      <c r="A1" s="10" t="s">
        <v>7</v>
      </c>
    </row>
    <row r="3" spans="1:22" ht="15">
      <c r="A3" s="3" t="s">
        <v>0</v>
      </c>
      <c r="B3" s="3" t="s">
        <v>1</v>
      </c>
      <c r="C3" s="3" t="s">
        <v>3</v>
      </c>
      <c r="D3" s="3" t="s">
        <v>10</v>
      </c>
      <c r="S3" s="3" t="s">
        <v>0</v>
      </c>
      <c r="T3" s="3" t="s">
        <v>4</v>
      </c>
      <c r="U3" s="3" t="s">
        <v>5</v>
      </c>
      <c r="V3" s="3" t="s">
        <v>29</v>
      </c>
    </row>
    <row r="4" spans="1:22">
      <c r="A4" s="4">
        <v>1896</v>
      </c>
      <c r="B4" s="5">
        <v>48.9</v>
      </c>
      <c r="C4" s="6" cm="1">
        <f t="array" ref="C4:C21">TREND($B$4:$B$21,$A$4:$A$21,A4:A21)</f>
        <v>48.453216374269005</v>
      </c>
      <c r="D4" s="6">
        <f>C4-C5</f>
        <v>0.51475748194013704</v>
      </c>
      <c r="S4" s="4">
        <v>1896</v>
      </c>
    </row>
    <row r="5" spans="1:22">
      <c r="A5" s="4">
        <f>A4+1</f>
        <v>1897</v>
      </c>
      <c r="B5" s="5">
        <v>48.4</v>
      </c>
      <c r="C5" s="6">
        <v>47.938458892328867</v>
      </c>
      <c r="S5" s="4">
        <f>S4+1</f>
        <v>1897</v>
      </c>
      <c r="T5" s="1">
        <f>100 - 100 * B5/$B$4</f>
        <v>1.0224948875255535</v>
      </c>
      <c r="U5" s="6">
        <f>100 - 100 * C5/$C$4</f>
        <v>1.0623804165320507</v>
      </c>
      <c r="V5" s="6">
        <f>U6-U5</f>
        <v>1.0623804165320649</v>
      </c>
    </row>
    <row r="6" spans="1:22">
      <c r="A6" s="4">
        <f t="shared" ref="A6:A21" si="0">A5+1</f>
        <v>1898</v>
      </c>
      <c r="B6" s="5">
        <v>46.2</v>
      </c>
      <c r="C6" s="6">
        <v>47.42370141038873</v>
      </c>
      <c r="S6" s="4">
        <f t="shared" ref="S6:S21" si="1">S5+1</f>
        <v>1898</v>
      </c>
      <c r="T6" s="1">
        <f>100 - 100 * B6/$B$4</f>
        <v>5.5214723926380316</v>
      </c>
      <c r="U6" s="6">
        <f t="shared" ref="U6:U21" si="2">100 - 100 * C6/$C$4</f>
        <v>2.1247608330641157</v>
      </c>
    </row>
    <row r="7" spans="1:22">
      <c r="A7" s="4">
        <f t="shared" si="0"/>
        <v>1899</v>
      </c>
      <c r="B7" s="5">
        <v>47.6</v>
      </c>
      <c r="C7" s="6">
        <v>46.908943928448593</v>
      </c>
      <c r="S7" s="4">
        <f t="shared" si="1"/>
        <v>1899</v>
      </c>
      <c r="T7" s="1">
        <f t="shared" ref="T7:T21" si="3">100 - 100 * B7/$B$4</f>
        <v>2.6584867075664533</v>
      </c>
      <c r="U7" s="6">
        <f t="shared" si="2"/>
        <v>3.1871412495961806</v>
      </c>
    </row>
    <row r="8" spans="1:22">
      <c r="A8" s="4">
        <f t="shared" si="0"/>
        <v>1900</v>
      </c>
      <c r="B8" s="5">
        <v>47.9</v>
      </c>
      <c r="C8" s="6">
        <v>46.394186446508456</v>
      </c>
      <c r="S8" s="4">
        <f t="shared" si="1"/>
        <v>1900</v>
      </c>
      <c r="T8" s="1">
        <f t="shared" si="3"/>
        <v>2.0449897750511212</v>
      </c>
      <c r="U8" s="6">
        <f t="shared" si="2"/>
        <v>4.2495216661282171</v>
      </c>
    </row>
    <row r="9" spans="1:22">
      <c r="A9" s="4">
        <f t="shared" si="0"/>
        <v>1901</v>
      </c>
      <c r="B9" s="5">
        <v>44</v>
      </c>
      <c r="C9" s="6">
        <v>45.879428964568319</v>
      </c>
      <c r="S9" s="4">
        <f t="shared" si="1"/>
        <v>1901</v>
      </c>
      <c r="T9" s="1">
        <f t="shared" si="3"/>
        <v>10.02044989775051</v>
      </c>
      <c r="U9" s="6">
        <f t="shared" si="2"/>
        <v>5.3119020826602679</v>
      </c>
    </row>
    <row r="10" spans="1:22">
      <c r="A10" s="4">
        <f t="shared" si="0"/>
        <v>1902</v>
      </c>
      <c r="B10" s="5">
        <v>46</v>
      </c>
      <c r="C10" s="6">
        <v>45.364671482628182</v>
      </c>
      <c r="S10" s="4">
        <f t="shared" si="1"/>
        <v>1902</v>
      </c>
      <c r="T10" s="1">
        <f t="shared" si="3"/>
        <v>5.930470347648253</v>
      </c>
      <c r="U10" s="6">
        <f t="shared" si="2"/>
        <v>6.3742824991923328</v>
      </c>
    </row>
    <row r="11" spans="1:22">
      <c r="A11" s="4">
        <f t="shared" si="0"/>
        <v>1903</v>
      </c>
      <c r="B11" s="5">
        <v>44.9</v>
      </c>
      <c r="C11" s="6">
        <v>44.849914000687932</v>
      </c>
      <c r="S11" s="4">
        <f t="shared" si="1"/>
        <v>1903</v>
      </c>
      <c r="T11" s="1">
        <f t="shared" si="3"/>
        <v>8.1799591002044991</v>
      </c>
      <c r="U11" s="6">
        <f t="shared" si="2"/>
        <v>7.4366629157246251</v>
      </c>
    </row>
    <row r="12" spans="1:22">
      <c r="A12" s="4">
        <f t="shared" si="0"/>
        <v>1904</v>
      </c>
      <c r="B12" s="5">
        <v>44.2</v>
      </c>
      <c r="C12" s="6">
        <v>44.335156518747795</v>
      </c>
      <c r="S12" s="4">
        <f t="shared" si="1"/>
        <v>1904</v>
      </c>
      <c r="T12" s="1">
        <f t="shared" si="3"/>
        <v>9.6114519427402882</v>
      </c>
      <c r="U12" s="6">
        <f t="shared" si="2"/>
        <v>8.4990433322566901</v>
      </c>
    </row>
    <row r="13" spans="1:22">
      <c r="A13" s="4">
        <f t="shared" si="0"/>
        <v>1905</v>
      </c>
      <c r="B13" s="5">
        <v>41.4</v>
      </c>
      <c r="C13" s="6">
        <v>43.820399036807657</v>
      </c>
      <c r="S13" s="4">
        <f t="shared" si="1"/>
        <v>1905</v>
      </c>
      <c r="T13" s="1">
        <f t="shared" si="3"/>
        <v>15.337423312883431</v>
      </c>
      <c r="U13" s="6">
        <f t="shared" si="2"/>
        <v>9.5614237487887266</v>
      </c>
    </row>
    <row r="14" spans="1:22">
      <c r="A14" s="4">
        <f t="shared" si="0"/>
        <v>1906</v>
      </c>
      <c r="B14" s="5">
        <v>43.3</v>
      </c>
      <c r="C14" s="6">
        <v>43.30564155486752</v>
      </c>
      <c r="S14" s="7">
        <f t="shared" si="1"/>
        <v>1906</v>
      </c>
      <c r="T14" s="8">
        <f t="shared" si="3"/>
        <v>11.451942740286299</v>
      </c>
      <c r="U14" s="12">
        <f t="shared" si="2"/>
        <v>10.623804165320777</v>
      </c>
    </row>
    <row r="15" spans="1:22">
      <c r="A15" s="4">
        <f t="shared" si="0"/>
        <v>1907</v>
      </c>
      <c r="B15" s="5">
        <v>44.6</v>
      </c>
      <c r="C15" s="6">
        <v>42.790884072927383</v>
      </c>
      <c r="S15" s="4">
        <f t="shared" si="1"/>
        <v>1907</v>
      </c>
      <c r="T15" s="1">
        <f t="shared" si="3"/>
        <v>8.7934560327198312</v>
      </c>
      <c r="U15" s="6">
        <f t="shared" si="2"/>
        <v>11.686184581852842</v>
      </c>
    </row>
    <row r="16" spans="1:22">
      <c r="A16" s="4">
        <f t="shared" si="0"/>
        <v>1908</v>
      </c>
      <c r="B16" s="5">
        <v>42.2</v>
      </c>
      <c r="C16" s="6">
        <v>42.276126590987246</v>
      </c>
      <c r="S16" s="4">
        <f t="shared" si="1"/>
        <v>1908</v>
      </c>
      <c r="T16" s="1">
        <f t="shared" si="3"/>
        <v>13.701431492842531</v>
      </c>
      <c r="U16" s="6">
        <f t="shared" si="2"/>
        <v>12.748564998384907</v>
      </c>
    </row>
    <row r="17" spans="1:21">
      <c r="A17" s="4">
        <f t="shared" si="0"/>
        <v>1909</v>
      </c>
      <c r="B17" s="5">
        <v>41.2</v>
      </c>
      <c r="C17" s="6">
        <v>41.761369109047109</v>
      </c>
      <c r="S17" s="4">
        <f t="shared" si="1"/>
        <v>1909</v>
      </c>
      <c r="T17" s="1">
        <f t="shared" si="3"/>
        <v>15.746421267893652</v>
      </c>
      <c r="U17" s="6">
        <f t="shared" si="2"/>
        <v>13.810945414916958</v>
      </c>
    </row>
    <row r="18" spans="1:21">
      <c r="A18" s="4">
        <f t="shared" si="0"/>
        <v>1910</v>
      </c>
      <c r="B18" s="5">
        <v>40.9</v>
      </c>
      <c r="C18" s="6">
        <v>41.246611627106972</v>
      </c>
      <c r="S18" s="4">
        <f t="shared" si="1"/>
        <v>1910</v>
      </c>
      <c r="T18" s="1">
        <f t="shared" si="3"/>
        <v>16.359918200408998</v>
      </c>
      <c r="U18" s="6">
        <f t="shared" si="2"/>
        <v>14.873325831448994</v>
      </c>
    </row>
    <row r="19" spans="1:21">
      <c r="A19" s="4">
        <f t="shared" si="0"/>
        <v>1911</v>
      </c>
      <c r="B19" s="5">
        <v>41.4</v>
      </c>
      <c r="C19" s="6">
        <v>40.731854145166835</v>
      </c>
      <c r="S19" s="4">
        <f t="shared" si="1"/>
        <v>1911</v>
      </c>
      <c r="T19" s="1">
        <f t="shared" si="3"/>
        <v>15.337423312883431</v>
      </c>
      <c r="U19" s="6">
        <f t="shared" si="2"/>
        <v>15.935706247981059</v>
      </c>
    </row>
    <row r="20" spans="1:21">
      <c r="A20" s="4">
        <f t="shared" si="0"/>
        <v>1912</v>
      </c>
      <c r="B20" s="5">
        <v>41.5</v>
      </c>
      <c r="C20" s="6">
        <v>40.217096663226698</v>
      </c>
      <c r="S20" s="4">
        <f t="shared" si="1"/>
        <v>1912</v>
      </c>
      <c r="T20" s="1">
        <f t="shared" si="3"/>
        <v>15.13292433537832</v>
      </c>
      <c r="U20" s="6">
        <f t="shared" si="2"/>
        <v>16.998086664513124</v>
      </c>
    </row>
    <row r="21" spans="1:21">
      <c r="A21" s="4">
        <f t="shared" si="0"/>
        <v>1913</v>
      </c>
      <c r="B21" s="5">
        <v>38.799999999999997</v>
      </c>
      <c r="C21" s="6">
        <v>39.702339181286561</v>
      </c>
      <c r="S21" s="4">
        <f t="shared" si="1"/>
        <v>1913</v>
      </c>
      <c r="T21" s="1">
        <f t="shared" si="3"/>
        <v>20.654396728016366</v>
      </c>
      <c r="U21" s="6">
        <f t="shared" si="2"/>
        <v>18.060467081045175</v>
      </c>
    </row>
    <row r="22" spans="1:21">
      <c r="A22" s="4">
        <f>A21+1</f>
        <v>1914</v>
      </c>
      <c r="B22" s="1"/>
      <c r="C22" s="6">
        <f>C21-$D$4</f>
        <v>39.187581699346424</v>
      </c>
    </row>
    <row r="23" spans="1:21">
      <c r="A23" s="4">
        <f>A22+1</f>
        <v>1915</v>
      </c>
      <c r="C23" s="6">
        <f>C22-$D$4</f>
        <v>38.672824217406287</v>
      </c>
    </row>
    <row r="24" spans="1:21">
      <c r="A24" s="4">
        <f>A23+1</f>
        <v>1916</v>
      </c>
      <c r="C24" s="6">
        <f>C23-$D$4</f>
        <v>38.15806673546615</v>
      </c>
    </row>
    <row r="25" spans="1:21">
      <c r="A25" s="4">
        <f>A24+1</f>
        <v>1917</v>
      </c>
      <c r="C25" s="6">
        <f>C24-$D$4</f>
        <v>37.643309253526013</v>
      </c>
    </row>
    <row r="27" spans="1:21" ht="15">
      <c r="A27" s="2" t="s">
        <v>2</v>
      </c>
    </row>
    <row r="30" spans="1:21" ht="15">
      <c r="A30" s="3" t="s">
        <v>0</v>
      </c>
      <c r="B30" s="3" t="s">
        <v>1</v>
      </c>
    </row>
    <row r="31" spans="1:21">
      <c r="A31" s="4">
        <v>1896</v>
      </c>
      <c r="B31" s="5">
        <v>48.9</v>
      </c>
    </row>
    <row r="32" spans="1:21">
      <c r="A32" s="4">
        <f>A31+1</f>
        <v>1897</v>
      </c>
      <c r="B32" s="5">
        <v>48.4</v>
      </c>
    </row>
    <row r="33" spans="1:2">
      <c r="A33" s="4">
        <f t="shared" ref="A33:A48" si="4">A32+1</f>
        <v>1898</v>
      </c>
      <c r="B33" s="5"/>
    </row>
    <row r="34" spans="1:2">
      <c r="A34" s="4">
        <f t="shared" si="4"/>
        <v>1899</v>
      </c>
      <c r="B34" s="5">
        <v>47.6</v>
      </c>
    </row>
    <row r="35" spans="1:2">
      <c r="A35" s="4">
        <f t="shared" si="4"/>
        <v>1900</v>
      </c>
      <c r="B35" s="5">
        <v>47.9</v>
      </c>
    </row>
    <row r="36" spans="1:2">
      <c r="A36" s="4">
        <f t="shared" si="4"/>
        <v>1901</v>
      </c>
      <c r="B36" s="5">
        <v>44</v>
      </c>
    </row>
    <row r="37" spans="1:2">
      <c r="A37" s="4">
        <f t="shared" si="4"/>
        <v>1902</v>
      </c>
      <c r="B37" s="5">
        <v>46</v>
      </c>
    </row>
    <row r="38" spans="1:2">
      <c r="A38" s="4">
        <f t="shared" si="4"/>
        <v>1903</v>
      </c>
      <c r="B38" s="5">
        <v>44.9</v>
      </c>
    </row>
    <row r="39" spans="1:2">
      <c r="A39" s="4">
        <f t="shared" si="4"/>
        <v>1904</v>
      </c>
      <c r="B39" s="5">
        <v>44.2</v>
      </c>
    </row>
    <row r="40" spans="1:2">
      <c r="A40" s="4">
        <f t="shared" si="4"/>
        <v>1905</v>
      </c>
      <c r="B40" s="5"/>
    </row>
    <row r="41" spans="1:2">
      <c r="A41" s="4">
        <f t="shared" si="4"/>
        <v>1906</v>
      </c>
      <c r="B41" s="5">
        <v>43.3</v>
      </c>
    </row>
    <row r="42" spans="1:2">
      <c r="A42" s="4">
        <f t="shared" si="4"/>
        <v>1907</v>
      </c>
      <c r="B42" s="5">
        <v>44.6</v>
      </c>
    </row>
    <row r="43" spans="1:2">
      <c r="A43" s="4">
        <f t="shared" si="4"/>
        <v>1908</v>
      </c>
      <c r="B43" s="5"/>
    </row>
    <row r="44" spans="1:2">
      <c r="A44" s="4">
        <f t="shared" si="4"/>
        <v>1909</v>
      </c>
      <c r="B44" s="5"/>
    </row>
    <row r="45" spans="1:2">
      <c r="A45" s="4">
        <f t="shared" si="4"/>
        <v>1910</v>
      </c>
      <c r="B45" s="5"/>
    </row>
    <row r="46" spans="1:2">
      <c r="A46" s="4">
        <f t="shared" si="4"/>
        <v>1911</v>
      </c>
      <c r="B46" s="5">
        <v>41.4</v>
      </c>
    </row>
    <row r="47" spans="1:2">
      <c r="A47" s="4">
        <f t="shared" si="4"/>
        <v>1912</v>
      </c>
      <c r="B47" s="5">
        <v>41.5</v>
      </c>
    </row>
    <row r="48" spans="1:2">
      <c r="A48" s="4">
        <f t="shared" si="4"/>
        <v>1913</v>
      </c>
      <c r="B48" s="5">
        <v>38.799999999999997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742E-198F-46A1-9FD2-0E0F39E4257B}">
  <dimension ref="A1:V49"/>
  <sheetViews>
    <sheetView tabSelected="1" workbookViewId="0">
      <selection activeCell="T30" sqref="T30"/>
    </sheetView>
  </sheetViews>
  <sheetFormatPr defaultRowHeight="14.25"/>
  <cols>
    <col min="2" max="2" width="14.5" customWidth="1"/>
    <col min="4" max="4" width="11.625" customWidth="1"/>
    <col min="20" max="20" width="22.625" customWidth="1"/>
    <col min="21" max="21" width="21.25" customWidth="1"/>
    <col min="22" max="22" width="24.75" customWidth="1"/>
  </cols>
  <sheetData>
    <row r="1" spans="1:22" ht="18">
      <c r="A1" s="10" t="s">
        <v>6</v>
      </c>
    </row>
    <row r="3" spans="1:22" ht="15">
      <c r="A3" s="3" t="s">
        <v>0</v>
      </c>
      <c r="B3" s="3" t="s">
        <v>1</v>
      </c>
      <c r="C3" s="3" t="s">
        <v>3</v>
      </c>
      <c r="D3" s="3" t="s">
        <v>10</v>
      </c>
      <c r="S3" s="3" t="s">
        <v>0</v>
      </c>
      <c r="T3" s="3" t="s">
        <v>4</v>
      </c>
      <c r="U3" s="3" t="s">
        <v>5</v>
      </c>
      <c r="V3" s="3" t="s">
        <v>29</v>
      </c>
    </row>
    <row r="4" spans="1:22">
      <c r="A4" s="4">
        <v>1896</v>
      </c>
      <c r="B4" s="5">
        <v>46.5</v>
      </c>
      <c r="C4" s="6" cm="1">
        <f t="array" ref="C4:C21">TREND($B$4:$B$21,$A$4:$A$21,A4:A21)</f>
        <v>47.811111111111131</v>
      </c>
      <c r="D4" s="6">
        <f>C4-C5</f>
        <v>0.43921568627456509</v>
      </c>
      <c r="S4" s="4">
        <v>1896</v>
      </c>
    </row>
    <row r="5" spans="1:22">
      <c r="A5" s="4">
        <f>A4+1</f>
        <v>1897</v>
      </c>
      <c r="B5" s="5">
        <v>46.9</v>
      </c>
      <c r="C5" s="6">
        <v>47.371895424836566</v>
      </c>
      <c r="S5" s="4">
        <f>S4+1</f>
        <v>1897</v>
      </c>
      <c r="T5" s="1">
        <f>100 - 100 * B5/$B$4</f>
        <v>-0.8602150537634401</v>
      </c>
      <c r="U5" s="6">
        <f>100 - 100 * C5/$C$4</f>
        <v>0.91864772867094757</v>
      </c>
      <c r="V5" s="6">
        <f>U6-U5</f>
        <v>0.9186477286707202</v>
      </c>
    </row>
    <row r="6" spans="1:22">
      <c r="A6" s="4">
        <f t="shared" ref="A6:A21" si="0">A5+1</f>
        <v>1898</v>
      </c>
      <c r="B6" s="5">
        <v>45.8</v>
      </c>
      <c r="C6" s="6">
        <v>46.932679738562115</v>
      </c>
      <c r="S6" s="4">
        <f t="shared" ref="S6:S21" si="1">S5+1</f>
        <v>1898</v>
      </c>
      <c r="T6" s="1">
        <f>100 - 100 * B6/$B$4</f>
        <v>1.5053763440860166</v>
      </c>
      <c r="U6" s="6">
        <f t="shared" ref="U6:U21" si="2">100 - 100 * C6/$C$4</f>
        <v>1.8372954573416678</v>
      </c>
    </row>
    <row r="7" spans="1:22">
      <c r="A7" s="4">
        <f t="shared" si="0"/>
        <v>1899</v>
      </c>
      <c r="B7" s="5">
        <v>46.7</v>
      </c>
      <c r="C7" s="6">
        <v>46.49346405228755</v>
      </c>
      <c r="S7" s="4">
        <f t="shared" si="1"/>
        <v>1899</v>
      </c>
      <c r="T7" s="1">
        <f t="shared" ref="T7:T21" si="3">100 - 100 * B7/$B$4</f>
        <v>-0.43010752688172715</v>
      </c>
      <c r="U7" s="6">
        <f t="shared" si="2"/>
        <v>2.7559431860126153</v>
      </c>
    </row>
    <row r="8" spans="1:22">
      <c r="A8" s="4">
        <f t="shared" si="0"/>
        <v>1900</v>
      </c>
      <c r="B8" s="5">
        <v>47.7</v>
      </c>
      <c r="C8" s="6">
        <v>46.054248366013098</v>
      </c>
      <c r="S8" s="4">
        <f t="shared" si="1"/>
        <v>1900</v>
      </c>
      <c r="T8" s="1">
        <f t="shared" si="3"/>
        <v>-2.5806451612903203</v>
      </c>
      <c r="U8" s="6">
        <f t="shared" si="2"/>
        <v>3.6745909146833071</v>
      </c>
    </row>
    <row r="9" spans="1:22">
      <c r="A9" s="4">
        <f t="shared" si="0"/>
        <v>1901</v>
      </c>
      <c r="B9" s="5">
        <v>45.7</v>
      </c>
      <c r="C9" s="6">
        <v>45.615032679738533</v>
      </c>
      <c r="S9" s="4">
        <f t="shared" si="1"/>
        <v>1901</v>
      </c>
      <c r="T9" s="1">
        <f t="shared" si="3"/>
        <v>1.7204301075268802</v>
      </c>
      <c r="U9" s="6">
        <f t="shared" si="2"/>
        <v>4.5932386433542547</v>
      </c>
    </row>
    <row r="10" spans="1:22">
      <c r="A10" s="4">
        <f t="shared" si="0"/>
        <v>1902</v>
      </c>
      <c r="B10" s="5">
        <v>48.9</v>
      </c>
      <c r="C10" s="6">
        <v>45.175816993464082</v>
      </c>
      <c r="S10" s="4">
        <f t="shared" si="1"/>
        <v>1902</v>
      </c>
      <c r="T10" s="1">
        <f t="shared" si="3"/>
        <v>-5.1612903225806406</v>
      </c>
      <c r="U10" s="6">
        <f t="shared" si="2"/>
        <v>5.5118863720249607</v>
      </c>
    </row>
    <row r="11" spans="1:22">
      <c r="A11" s="4">
        <f t="shared" si="0"/>
        <v>1903</v>
      </c>
      <c r="B11" s="5">
        <v>43.4</v>
      </c>
      <c r="C11" s="6">
        <v>44.736601307189517</v>
      </c>
      <c r="S11" s="4">
        <f t="shared" si="1"/>
        <v>1903</v>
      </c>
      <c r="T11" s="1">
        <f t="shared" si="3"/>
        <v>6.6666666666666714</v>
      </c>
      <c r="U11" s="6">
        <f t="shared" si="2"/>
        <v>6.4305341006959083</v>
      </c>
    </row>
    <row r="12" spans="1:22">
      <c r="A12" s="4">
        <f t="shared" si="0"/>
        <v>1904</v>
      </c>
      <c r="B12" s="5">
        <v>45.3</v>
      </c>
      <c r="C12" s="6">
        <v>44.297385620915065</v>
      </c>
      <c r="S12" s="4">
        <f t="shared" si="1"/>
        <v>1904</v>
      </c>
      <c r="T12" s="1">
        <f t="shared" si="3"/>
        <v>2.5806451612903203</v>
      </c>
      <c r="U12" s="6">
        <f t="shared" si="2"/>
        <v>7.3491818293666284</v>
      </c>
    </row>
    <row r="13" spans="1:22">
      <c r="A13" s="4">
        <f t="shared" si="0"/>
        <v>1905</v>
      </c>
      <c r="B13" s="5">
        <v>41.8</v>
      </c>
      <c r="C13" s="6">
        <v>43.8581699346405</v>
      </c>
      <c r="S13" s="4">
        <f t="shared" si="1"/>
        <v>1905</v>
      </c>
      <c r="T13" s="1">
        <f t="shared" si="3"/>
        <v>10.107526881720432</v>
      </c>
      <c r="U13" s="6">
        <f t="shared" si="2"/>
        <v>8.267829558037576</v>
      </c>
    </row>
    <row r="14" spans="1:22">
      <c r="A14" s="4">
        <f t="shared" si="0"/>
        <v>1906</v>
      </c>
      <c r="B14" s="5">
        <v>43.8</v>
      </c>
      <c r="C14" s="6">
        <v>43.418954248366049</v>
      </c>
      <c r="S14" s="4">
        <f t="shared" si="1"/>
        <v>1906</v>
      </c>
      <c r="T14" s="1">
        <f t="shared" si="3"/>
        <v>5.8064516129032313</v>
      </c>
      <c r="U14" s="6">
        <f t="shared" si="2"/>
        <v>9.186477286708282</v>
      </c>
    </row>
    <row r="15" spans="1:22">
      <c r="A15" s="4">
        <f t="shared" si="0"/>
        <v>1907</v>
      </c>
      <c r="B15" s="5">
        <v>44.6</v>
      </c>
      <c r="C15" s="6">
        <v>42.979738562091484</v>
      </c>
      <c r="S15" s="7">
        <f t="shared" si="1"/>
        <v>1907</v>
      </c>
      <c r="T15" s="8">
        <f t="shared" si="3"/>
        <v>4.0860215053763511</v>
      </c>
      <c r="U15" s="12">
        <f t="shared" si="2"/>
        <v>10.10512501537923</v>
      </c>
    </row>
    <row r="16" spans="1:22">
      <c r="A16" s="4">
        <f t="shared" si="0"/>
        <v>1908</v>
      </c>
      <c r="B16" s="5">
        <v>41.1</v>
      </c>
      <c r="C16" s="6">
        <v>42.540522875817032</v>
      </c>
      <c r="S16" s="4">
        <f t="shared" si="1"/>
        <v>1908</v>
      </c>
      <c r="T16" s="1">
        <f t="shared" si="3"/>
        <v>11.612903225806448</v>
      </c>
      <c r="U16" s="6">
        <f t="shared" si="2"/>
        <v>11.023772744049936</v>
      </c>
    </row>
    <row r="17" spans="1:21">
      <c r="A17" s="4">
        <f t="shared" si="0"/>
        <v>1909</v>
      </c>
      <c r="B17" s="5">
        <v>41.5</v>
      </c>
      <c r="C17" s="6">
        <v>42.101307189542467</v>
      </c>
      <c r="S17" s="4">
        <f t="shared" si="1"/>
        <v>1909</v>
      </c>
      <c r="T17" s="1">
        <f t="shared" si="3"/>
        <v>10.752688172043008</v>
      </c>
      <c r="U17" s="6">
        <f t="shared" si="2"/>
        <v>11.942420472720883</v>
      </c>
    </row>
    <row r="18" spans="1:21">
      <c r="A18" s="4">
        <f t="shared" si="0"/>
        <v>1910</v>
      </c>
      <c r="B18" s="5">
        <v>41.2</v>
      </c>
      <c r="C18" s="6">
        <v>41.662091503268016</v>
      </c>
      <c r="S18" s="4">
        <f t="shared" si="1"/>
        <v>1910</v>
      </c>
      <c r="T18" s="1">
        <f t="shared" si="3"/>
        <v>11.397849462365585</v>
      </c>
      <c r="U18" s="6">
        <f t="shared" si="2"/>
        <v>12.861068201391575</v>
      </c>
    </row>
    <row r="19" spans="1:21">
      <c r="A19" s="4">
        <f t="shared" si="0"/>
        <v>1911</v>
      </c>
      <c r="B19" s="5">
        <v>41.2</v>
      </c>
      <c r="C19" s="6">
        <v>41.222875816993451</v>
      </c>
      <c r="S19" s="4">
        <f t="shared" si="1"/>
        <v>1911</v>
      </c>
      <c r="T19" s="1">
        <f t="shared" si="3"/>
        <v>11.397849462365585</v>
      </c>
      <c r="U19" s="6">
        <f t="shared" si="2"/>
        <v>13.779715930062522</v>
      </c>
    </row>
    <row r="20" spans="1:21">
      <c r="A20" s="4">
        <f t="shared" si="0"/>
        <v>1912</v>
      </c>
      <c r="B20" s="5">
        <v>40.799999999999997</v>
      </c>
      <c r="C20" s="6">
        <v>40.783660130718999</v>
      </c>
      <c r="S20" s="4">
        <f t="shared" si="1"/>
        <v>1912</v>
      </c>
      <c r="T20" s="1">
        <f t="shared" si="3"/>
        <v>12.258064516129039</v>
      </c>
      <c r="U20" s="6">
        <f t="shared" si="2"/>
        <v>14.698363658733243</v>
      </c>
    </row>
    <row r="21" spans="1:21">
      <c r="A21" s="4">
        <f t="shared" si="0"/>
        <v>1913</v>
      </c>
      <c r="B21" s="5">
        <v>40.5</v>
      </c>
      <c r="C21" s="6">
        <v>40.344444444444434</v>
      </c>
      <c r="S21" s="4">
        <f t="shared" si="1"/>
        <v>1913</v>
      </c>
      <c r="T21" s="1">
        <f t="shared" si="3"/>
        <v>12.903225806451616</v>
      </c>
      <c r="U21" s="6">
        <f t="shared" si="2"/>
        <v>15.61701138740419</v>
      </c>
    </row>
    <row r="22" spans="1:21">
      <c r="A22" s="4">
        <f>A21+1</f>
        <v>1914</v>
      </c>
      <c r="B22" s="1"/>
      <c r="C22" s="6">
        <f>C21-$D$4</f>
        <v>39.905228758169869</v>
      </c>
    </row>
    <row r="23" spans="1:21">
      <c r="A23" s="4">
        <f>A22+1</f>
        <v>1915</v>
      </c>
      <c r="C23" s="6">
        <f t="shared" ref="C23:C25" si="4">C22-$D$4</f>
        <v>39.466013071895304</v>
      </c>
    </row>
    <row r="24" spans="1:21">
      <c r="A24" s="4">
        <f>A23+1</f>
        <v>1916</v>
      </c>
      <c r="C24" s="6">
        <f t="shared" si="4"/>
        <v>39.026797385620739</v>
      </c>
    </row>
    <row r="25" spans="1:21">
      <c r="A25" s="4">
        <f>A24+1</f>
        <v>1917</v>
      </c>
      <c r="C25" s="6">
        <f t="shared" si="4"/>
        <v>38.587581699346174</v>
      </c>
    </row>
    <row r="29" spans="1:21" ht="15">
      <c r="A29" s="2" t="s">
        <v>2</v>
      </c>
    </row>
    <row r="31" spans="1:21" ht="15">
      <c r="A31" s="3" t="s">
        <v>0</v>
      </c>
      <c r="B31" s="3" t="s">
        <v>1</v>
      </c>
    </row>
    <row r="32" spans="1:21">
      <c r="A32" s="4">
        <v>1896</v>
      </c>
      <c r="B32" s="5">
        <v>46.5</v>
      </c>
    </row>
    <row r="33" spans="1:2">
      <c r="A33" s="4">
        <f>A32+1</f>
        <v>1897</v>
      </c>
      <c r="B33" s="5">
        <v>46.9</v>
      </c>
    </row>
    <row r="34" spans="1:2">
      <c r="A34" s="4">
        <f t="shared" ref="A34:A49" si="5">A33+1</f>
        <v>1898</v>
      </c>
      <c r="B34" s="5"/>
    </row>
    <row r="35" spans="1:2">
      <c r="A35" s="4">
        <f t="shared" si="5"/>
        <v>1899</v>
      </c>
      <c r="B35" s="5">
        <v>46.7</v>
      </c>
    </row>
    <row r="36" spans="1:2">
      <c r="A36" s="4">
        <f t="shared" si="5"/>
        <v>1900</v>
      </c>
      <c r="B36" s="5">
        <v>47.7</v>
      </c>
    </row>
    <row r="37" spans="1:2">
      <c r="A37" s="4">
        <f t="shared" si="5"/>
        <v>1901</v>
      </c>
      <c r="B37" s="5">
        <v>45.7</v>
      </c>
    </row>
    <row r="38" spans="1:2">
      <c r="A38" s="4">
        <f t="shared" si="5"/>
        <v>1902</v>
      </c>
      <c r="B38" s="5">
        <v>48.9</v>
      </c>
    </row>
    <row r="39" spans="1:2">
      <c r="A39" s="4">
        <f t="shared" si="5"/>
        <v>1903</v>
      </c>
      <c r="B39" s="5">
        <v>43.4</v>
      </c>
    </row>
    <row r="40" spans="1:2">
      <c r="A40" s="4">
        <f t="shared" si="5"/>
        <v>1904</v>
      </c>
      <c r="B40" s="5">
        <v>45.3</v>
      </c>
    </row>
    <row r="41" spans="1:2">
      <c r="A41" s="4">
        <f t="shared" si="5"/>
        <v>1905</v>
      </c>
      <c r="B41" s="5"/>
    </row>
    <row r="42" spans="1:2">
      <c r="A42" s="4">
        <f t="shared" si="5"/>
        <v>1906</v>
      </c>
      <c r="B42" s="5">
        <v>43.8</v>
      </c>
    </row>
    <row r="43" spans="1:2">
      <c r="A43" s="4">
        <f t="shared" si="5"/>
        <v>1907</v>
      </c>
      <c r="B43" s="5">
        <v>44.6</v>
      </c>
    </row>
    <row r="44" spans="1:2">
      <c r="A44" s="4">
        <f t="shared" si="5"/>
        <v>1908</v>
      </c>
      <c r="B44" s="5"/>
    </row>
    <row r="45" spans="1:2">
      <c r="A45" s="4">
        <f t="shared" si="5"/>
        <v>1909</v>
      </c>
      <c r="B45" s="5"/>
    </row>
    <row r="46" spans="1:2">
      <c r="A46" s="4">
        <f t="shared" si="5"/>
        <v>1910</v>
      </c>
      <c r="B46" s="5"/>
    </row>
    <row r="47" spans="1:2">
      <c r="A47" s="4">
        <f t="shared" si="5"/>
        <v>1911</v>
      </c>
      <c r="B47" s="5">
        <v>41.2</v>
      </c>
    </row>
    <row r="48" spans="1:2">
      <c r="A48" s="4">
        <f t="shared" si="5"/>
        <v>1912</v>
      </c>
      <c r="B48" s="5">
        <v>40.799999999999997</v>
      </c>
    </row>
    <row r="49" spans="1:2">
      <c r="A49" s="4">
        <f t="shared" si="5"/>
        <v>1913</v>
      </c>
      <c r="B49" s="5">
        <v>40.5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Notes</vt:lpstr>
      <vt:lpstr>RSFSR</vt:lpstr>
      <vt:lpstr>NR</vt:lpstr>
      <vt:lpstr>MR</vt:lpstr>
      <vt:lpstr>BR</vt:lpstr>
      <vt:lpstr>STEP</vt:lpstr>
      <vt:lpstr>STEP_BR</vt:lpstr>
      <vt:lpstr>STEP_NR</vt:lpstr>
      <vt:lpstr>STEP_RSFSR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sergey</cp:lastModifiedBy>
  <dcterms:created xsi:type="dcterms:W3CDTF">2026-04-19T04:05:56Z</dcterms:created>
  <dcterms:modified xsi:type="dcterms:W3CDTF">2026-04-19T08:56:50Z</dcterms:modified>
</cp:coreProperties>
</file>