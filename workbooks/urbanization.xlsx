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3AC9E131-69C9-4DB3-AF72-0AD62B87B705}" xr6:coauthVersionLast="45" xr6:coauthVersionMax="45" xr10:uidLastSave="{00000000-0000-0000-0000-000000000000}"/>
  <bookViews>
    <workbookView xWindow="945" yWindow="915" windowWidth="21045" windowHeight="20055" firstSheet="3" activeTab="3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62" i="2" l="1"/>
  <c r="L61" i="2"/>
  <c r="J61" i="2"/>
  <c r="D61" i="2"/>
  <c r="L62" i="7"/>
  <c r="L61" i="7"/>
  <c r="J61" i="7"/>
  <c r="D61" i="7"/>
  <c r="L62" i="6"/>
  <c r="L61" i="6"/>
  <c r="J61" i="6"/>
  <c r="D61" i="6"/>
  <c r="L62" i="8"/>
  <c r="L61" i="8"/>
  <c r="J61" i="8"/>
  <c r="D61" i="8"/>
  <c r="F42" i="15"/>
  <c r="F41" i="15"/>
  <c r="D42" i="15"/>
  <c r="D41" i="15"/>
  <c r="F40" i="14"/>
  <c r="F39" i="14"/>
  <c r="D40" i="14"/>
  <c r="D39" i="14"/>
  <c r="D4" i="14" l="1"/>
  <c r="L57" i="8"/>
  <c r="L56" i="8"/>
  <c r="J56" i="8"/>
  <c r="L57" i="6"/>
  <c r="L56" i="6"/>
  <c r="J56" i="6"/>
  <c r="L57" i="7"/>
  <c r="J56" i="7"/>
  <c r="L57" i="2"/>
  <c r="L56" i="2"/>
  <c r="J56" i="2"/>
  <c r="D30" i="13"/>
  <c r="D29" i="13"/>
  <c r="D56" i="8"/>
  <c r="D56" i="6"/>
  <c r="D56" i="7"/>
  <c r="L56" i="7" s="1"/>
  <c r="D56" i="2"/>
  <c r="J55" i="17"/>
  <c r="D55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J37" i="8" l="1"/>
  <c r="D37" i="8"/>
  <c r="D37" i="6"/>
  <c r="J37" i="6"/>
  <c r="J37" i="7"/>
  <c r="D37" i="7"/>
  <c r="D38" i="7" s="1"/>
  <c r="D39" i="7" s="1"/>
  <c r="J38" i="2"/>
  <c r="D38" i="2"/>
  <c r="C14" i="8"/>
  <c r="C14" i="7"/>
  <c r="C14" i="6"/>
  <c r="C15" i="2"/>
  <c r="D33" i="8"/>
  <c r="D33" i="6"/>
  <c r="D33" i="7"/>
  <c r="D34" i="2"/>
  <c r="J44" i="17"/>
  <c r="D44" i="17"/>
  <c r="J43" i="17"/>
  <c r="D43" i="17"/>
  <c r="D39" i="2" l="1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4" i="13"/>
  <c r="D14" i="13"/>
  <c r="D15" i="13"/>
  <c r="D17" i="13" s="1"/>
  <c r="D37" i="4"/>
  <c r="D37" i="3"/>
  <c r="D35" i="4"/>
  <c r="D35" i="3"/>
  <c r="D13" i="10"/>
  <c r="D15" i="10" s="1"/>
  <c r="D13" i="9"/>
  <c r="D15" i="9" s="1"/>
  <c r="D15" i="8"/>
  <c r="D15" i="6"/>
  <c r="D14" i="4"/>
  <c r="D14" i="3"/>
  <c r="D13" i="8"/>
  <c r="D13" i="7"/>
  <c r="D15" i="7" s="1"/>
  <c r="D13" i="6"/>
  <c r="D12" i="4"/>
  <c r="D14" i="2"/>
  <c r="D16" i="2" s="1"/>
  <c r="D12" i="3"/>
</calcChain>
</file>

<file path=xl/sharedStrings.xml><?xml version="1.0" encoding="utf-8"?>
<sst xmlns="http://schemas.openxmlformats.org/spreadsheetml/2006/main" count="393" uniqueCount="76">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</sst>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0" borderId="0" xfId="0" applyFont="1"/>
    <xf numFmtId="3" fontId="0" fillId="0" borderId="0" xfId="0" applyNumberFormat="1" applyFon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64" fontId="0" fillId="2" borderId="0" xfId="0" applyNumberFormat="1" applyFill="1"/>
    <xf numFmtId="165" fontId="0" fillId="2" borderId="0" xfId="0" applyNumberFormat="1" applyFill="1"/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26"/>
  <sheetViews>
    <sheetView workbookViewId="0">
      <selection activeCell="B27" sqref="B27"/>
    </sheetView>
  </sheetViews>
  <sheetFormatPr defaultRowHeight="15" x14ac:dyDescent="0.25"/>
  <cols>
    <col min="1" max="1" width="13.140625" customWidth="1"/>
  </cols>
  <sheetData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28</v>
      </c>
    </row>
    <row r="5" spans="1:2" x14ac:dyDescent="0.25">
      <c r="A5" s="2"/>
      <c r="B5" t="s">
        <v>41</v>
      </c>
    </row>
    <row r="6" spans="1:2" x14ac:dyDescent="0.25">
      <c r="A6" s="2"/>
    </row>
    <row r="7" spans="1:2" x14ac:dyDescent="0.25">
      <c r="A7" s="2" t="s">
        <v>5</v>
      </c>
      <c r="B7" t="s">
        <v>57</v>
      </c>
    </row>
    <row r="8" spans="1:2" x14ac:dyDescent="0.25">
      <c r="A8" s="2"/>
    </row>
    <row r="9" spans="1:2" x14ac:dyDescent="0.25">
      <c r="A9" s="2" t="s">
        <v>12</v>
      </c>
      <c r="B9" t="s">
        <v>59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58</v>
      </c>
    </row>
    <row r="18" spans="1:2" x14ac:dyDescent="0.25">
      <c r="A18" s="2" t="s">
        <v>11</v>
      </c>
      <c r="B18" t="s">
        <v>60</v>
      </c>
    </row>
    <row r="20" spans="1:2" x14ac:dyDescent="0.25">
      <c r="A20" s="2" t="s">
        <v>19</v>
      </c>
      <c r="B20" t="s">
        <v>18</v>
      </c>
    </row>
    <row r="22" spans="1:2" x14ac:dyDescent="0.25">
      <c r="A22" s="2" t="s">
        <v>21</v>
      </c>
      <c r="B22" t="s">
        <v>25</v>
      </c>
    </row>
    <row r="24" spans="1:2" x14ac:dyDescent="0.25">
      <c r="A24" s="2" t="s">
        <v>24</v>
      </c>
      <c r="B24" t="s">
        <v>69</v>
      </c>
    </row>
    <row r="26" spans="1:2" x14ac:dyDescent="0.25">
      <c r="A26" s="2" t="s">
        <v>26</v>
      </c>
      <c r="B26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55"/>
  <sheetViews>
    <sheetView topLeftCell="A16" workbookViewId="0">
      <selection activeCell="K37" sqref="K37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</cols>
  <sheetData>
    <row r="3" spans="1:14" x14ac:dyDescent="0.25">
      <c r="A3" s="20" t="s">
        <v>42</v>
      </c>
      <c r="B3" s="20"/>
      <c r="C3" s="19" t="s">
        <v>37</v>
      </c>
      <c r="D3" s="19"/>
      <c r="E3" s="19" t="s">
        <v>38</v>
      </c>
      <c r="F3" s="19"/>
      <c r="G3" s="19" t="s">
        <v>39</v>
      </c>
      <c r="H3" s="19"/>
      <c r="I3" s="19" t="s">
        <v>32</v>
      </c>
      <c r="J3" s="19"/>
      <c r="K3" s="19" t="s">
        <v>33</v>
      </c>
      <c r="L3" s="19"/>
      <c r="M3" s="19" t="s">
        <v>34</v>
      </c>
      <c r="N3" s="19"/>
    </row>
    <row r="4" spans="1:14" x14ac:dyDescent="0.25">
      <c r="A4" s="9" t="s">
        <v>0</v>
      </c>
      <c r="B4" s="9" t="s">
        <v>1</v>
      </c>
      <c r="C4" s="8" t="s">
        <v>36</v>
      </c>
      <c r="D4" s="8" t="s">
        <v>4</v>
      </c>
      <c r="E4" s="8" t="s">
        <v>36</v>
      </c>
      <c r="F4" s="8" t="s">
        <v>4</v>
      </c>
      <c r="G4" s="8" t="s">
        <v>36</v>
      </c>
      <c r="H4" s="8" t="s">
        <v>4</v>
      </c>
      <c r="I4" s="8" t="s">
        <v>36</v>
      </c>
      <c r="J4" s="8" t="s">
        <v>4</v>
      </c>
      <c r="K4" s="8" t="s">
        <v>36</v>
      </c>
      <c r="L4" s="8" t="s">
        <v>4</v>
      </c>
      <c r="M4" s="8" t="s">
        <v>36</v>
      </c>
      <c r="N4" s="8" t="s">
        <v>4</v>
      </c>
    </row>
    <row r="5" spans="1:14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75" x14ac:dyDescent="0.3">
      <c r="A21" s="14" t="s">
        <v>65</v>
      </c>
    </row>
    <row r="23" spans="1:14" x14ac:dyDescent="0.25">
      <c r="B23" t="s">
        <v>50</v>
      </c>
    </row>
    <row r="24" spans="1:14" x14ac:dyDescent="0.25">
      <c r="B24" t="s">
        <v>43</v>
      </c>
    </row>
    <row r="25" spans="1:14" x14ac:dyDescent="0.25">
      <c r="B25" t="s">
        <v>51</v>
      </c>
    </row>
    <row r="26" spans="1:14" x14ac:dyDescent="0.25">
      <c r="B26" t="s">
        <v>44</v>
      </c>
    </row>
    <row r="27" spans="1:14" x14ac:dyDescent="0.25">
      <c r="B27" t="s">
        <v>45</v>
      </c>
    </row>
    <row r="29" spans="1:14" x14ac:dyDescent="0.25">
      <c r="B29" t="s">
        <v>46</v>
      </c>
    </row>
    <row r="30" spans="1:14" x14ac:dyDescent="0.25">
      <c r="B30" t="s">
        <v>47</v>
      </c>
    </row>
    <row r="31" spans="1:14" x14ac:dyDescent="0.25">
      <c r="B31" t="s">
        <v>48</v>
      </c>
    </row>
    <row r="32" spans="1:14" x14ac:dyDescent="0.25">
      <c r="B32" t="s">
        <v>49</v>
      </c>
    </row>
    <row r="36" spans="1:14" x14ac:dyDescent="0.25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25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25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25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25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25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25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25">
      <c r="A44" t="s">
        <v>52</v>
      </c>
      <c r="D44" s="3">
        <f>100*D43/D19</f>
        <v>31.595930010739593</v>
      </c>
      <c r="J44" s="3">
        <f>100*J43/J19</f>
        <v>28.722572032524745</v>
      </c>
    </row>
    <row r="46" spans="1:14" ht="18.75" x14ac:dyDescent="0.3">
      <c r="A46" s="14" t="s">
        <v>64</v>
      </c>
    </row>
    <row r="48" spans="1:14" x14ac:dyDescent="0.25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25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25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25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25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25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25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25">
      <c r="A55" t="s">
        <v>52</v>
      </c>
      <c r="D55" s="16">
        <f>100*D54/D19</f>
        <v>36.013667918048689</v>
      </c>
      <c r="J55" s="16">
        <f>100*J54/J19</f>
        <v>32.585182480465498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5" x14ac:dyDescent="0.25"/>
  <cols>
    <col min="4" max="4" width="11" customWidth="1"/>
  </cols>
  <sheetData>
    <row r="1" spans="1:4" x14ac:dyDescent="0.25">
      <c r="A1" s="7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7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5">
        <v>1000</v>
      </c>
      <c r="C20" s="2"/>
      <c r="D20" s="5">
        <v>11126</v>
      </c>
    </row>
    <row r="21" spans="1:4" x14ac:dyDescent="0.25">
      <c r="A21" s="5">
        <v>1000</v>
      </c>
      <c r="B21" s="5">
        <v>2000</v>
      </c>
      <c r="C21" s="4"/>
      <c r="D21" s="5">
        <v>53807</v>
      </c>
    </row>
    <row r="22" spans="1:4" x14ac:dyDescent="0.25">
      <c r="A22" s="5">
        <v>2000</v>
      </c>
      <c r="B22" s="5">
        <v>3000</v>
      </c>
      <c r="C22" s="4"/>
      <c r="D22" s="5">
        <v>120250</v>
      </c>
    </row>
    <row r="23" spans="1:4" x14ac:dyDescent="0.25">
      <c r="A23" s="5">
        <v>3000</v>
      </c>
      <c r="B23" s="5">
        <v>5000</v>
      </c>
      <c r="C23" s="4"/>
      <c r="D23" s="5">
        <v>414313</v>
      </c>
    </row>
    <row r="24" spans="1:4" x14ac:dyDescent="0.25">
      <c r="A24" s="5">
        <v>5000</v>
      </c>
      <c r="B24" s="5">
        <v>7000</v>
      </c>
      <c r="C24" s="4"/>
      <c r="D24" s="5">
        <v>437484</v>
      </c>
    </row>
    <row r="25" spans="1:4" x14ac:dyDescent="0.25">
      <c r="A25" s="5">
        <v>7000</v>
      </c>
      <c r="B25" s="5">
        <v>10000</v>
      </c>
      <c r="C25" s="4"/>
      <c r="D25" s="5">
        <v>611204</v>
      </c>
    </row>
    <row r="26" spans="1:4" x14ac:dyDescent="0.25">
      <c r="A26" s="5">
        <v>10000</v>
      </c>
      <c r="B26" s="5">
        <v>15000</v>
      </c>
      <c r="C26" s="4"/>
      <c r="D26" s="5">
        <v>1214439</v>
      </c>
    </row>
    <row r="27" spans="1:4" x14ac:dyDescent="0.25">
      <c r="A27" s="5">
        <v>15000</v>
      </c>
      <c r="B27" s="5">
        <v>20000</v>
      </c>
      <c r="C27" s="4"/>
      <c r="D27" s="5">
        <v>850914</v>
      </c>
    </row>
    <row r="28" spans="1:4" x14ac:dyDescent="0.25">
      <c r="A28" s="5">
        <v>20000</v>
      </c>
      <c r="B28" s="5">
        <v>25000</v>
      </c>
      <c r="C28" s="4"/>
      <c r="D28" s="5">
        <v>778363</v>
      </c>
    </row>
    <row r="29" spans="1:4" x14ac:dyDescent="0.25">
      <c r="A29" s="5">
        <v>25000</v>
      </c>
      <c r="B29" s="5">
        <v>30000</v>
      </c>
      <c r="C29" s="4"/>
      <c r="D29" s="5">
        <v>563766</v>
      </c>
    </row>
    <row r="30" spans="1:4" x14ac:dyDescent="0.25">
      <c r="A30" s="5">
        <v>30000</v>
      </c>
      <c r="B30" s="5">
        <v>40000</v>
      </c>
      <c r="C30" s="4"/>
      <c r="D30" s="5">
        <v>1243442</v>
      </c>
    </row>
    <row r="31" spans="1:4" x14ac:dyDescent="0.25">
      <c r="A31" s="5">
        <v>40000</v>
      </c>
      <c r="B31" s="5">
        <v>50000</v>
      </c>
      <c r="C31" s="4"/>
      <c r="D31" s="5">
        <v>682374</v>
      </c>
    </row>
    <row r="32" spans="1:4" x14ac:dyDescent="0.25">
      <c r="A32" s="5">
        <v>50000</v>
      </c>
      <c r="B32" s="5">
        <v>70000</v>
      </c>
      <c r="C32" s="4"/>
      <c r="D32" s="5">
        <v>1811560</v>
      </c>
    </row>
    <row r="33" spans="1:4" x14ac:dyDescent="0.25">
      <c r="A33" s="5">
        <v>70000</v>
      </c>
      <c r="B33" s="5">
        <v>100000</v>
      </c>
      <c r="C33" s="4"/>
      <c r="D33" s="5">
        <v>2226166</v>
      </c>
    </row>
    <row r="34" spans="1:4" x14ac:dyDescent="0.25">
      <c r="A34" s="5">
        <v>100000</v>
      </c>
      <c r="B34" s="4" t="s">
        <v>3</v>
      </c>
      <c r="C34" s="4"/>
      <c r="D34" s="5">
        <v>9142693</v>
      </c>
    </row>
    <row r="35" spans="1:4" x14ac:dyDescent="0.25">
      <c r="A35" s="2" t="s">
        <v>13</v>
      </c>
      <c r="B35" s="4"/>
      <c r="C35" s="4"/>
      <c r="D35" s="5">
        <f>SUM(D20:D34)</f>
        <v>20161901</v>
      </c>
    </row>
    <row r="36" spans="1:4" x14ac:dyDescent="0.25">
      <c r="A36" s="2" t="s">
        <v>14</v>
      </c>
      <c r="B36" s="4"/>
      <c r="C36" s="4"/>
      <c r="D36" s="5">
        <v>147027915</v>
      </c>
    </row>
    <row r="37" spans="1:4" x14ac:dyDescent="0.25">
      <c r="A37" s="2" t="s">
        <v>15</v>
      </c>
      <c r="B37" s="4"/>
      <c r="C37" s="4"/>
      <c r="D37" s="3">
        <f>100*D35/D36</f>
        <v>13.712974845627103</v>
      </c>
    </row>
    <row r="38" spans="1:4" x14ac:dyDescent="0.25">
      <c r="A38" s="4"/>
      <c r="B38" s="4"/>
      <c r="C38" s="4"/>
      <c r="D38" s="5"/>
    </row>
    <row r="39" spans="1:4" x14ac:dyDescent="0.25">
      <c r="A39" s="7" t="s">
        <v>29</v>
      </c>
      <c r="B39" s="4"/>
      <c r="C39" s="4"/>
      <c r="D39" s="5"/>
    </row>
    <row r="40" spans="1:4" x14ac:dyDescent="0.25">
      <c r="A40" s="4"/>
      <c r="B40" s="4"/>
      <c r="C40" s="4"/>
      <c r="D40" s="5"/>
    </row>
    <row r="41" spans="1:4" x14ac:dyDescent="0.25">
      <c r="A41" s="4"/>
      <c r="B41" s="4"/>
      <c r="C41" s="4"/>
      <c r="D41" s="5"/>
    </row>
    <row r="42" spans="1:4" x14ac:dyDescent="0.25">
      <c r="A42" s="4"/>
      <c r="B42" s="4"/>
      <c r="C42" s="4"/>
      <c r="D42" s="4"/>
    </row>
    <row r="43" spans="1:4" x14ac:dyDescent="0.25">
      <c r="A43" s="4"/>
      <c r="B43" s="4"/>
      <c r="C43" s="4"/>
      <c r="D43" s="4"/>
    </row>
    <row r="44" spans="1:4" x14ac:dyDescent="0.25">
      <c r="A44" s="4"/>
      <c r="B44" s="4"/>
      <c r="C44" s="4"/>
      <c r="D44" s="4"/>
    </row>
    <row r="45" spans="1:4" x14ac:dyDescent="0.25">
      <c r="A45" s="4"/>
      <c r="B45" s="4"/>
      <c r="C45" s="4"/>
      <c r="D45" s="4"/>
    </row>
    <row r="46" spans="1:4" x14ac:dyDescent="0.25">
      <c r="A46" s="4"/>
      <c r="B46" s="4"/>
      <c r="C46" s="4"/>
      <c r="D46" s="4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3:N62"/>
  <sheetViews>
    <sheetView tabSelected="1" topLeftCell="A19" workbookViewId="0">
      <selection activeCell="L37" sqref="L37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0.140625" bestFit="1" customWidth="1"/>
    <col min="12" max="12" width="11.140625" bestFit="1" customWidth="1"/>
  </cols>
  <sheetData>
    <row r="3" spans="1:14" x14ac:dyDescent="0.25">
      <c r="I3" s="20" t="s">
        <v>55</v>
      </c>
      <c r="J3" s="20"/>
      <c r="M3" s="9"/>
      <c r="N3" s="9"/>
    </row>
    <row r="4" spans="1:14" x14ac:dyDescent="0.25">
      <c r="C4" s="20" t="s">
        <v>56</v>
      </c>
      <c r="D4" s="20"/>
      <c r="G4" s="9" t="s">
        <v>0</v>
      </c>
      <c r="H4" s="9" t="s">
        <v>1</v>
      </c>
      <c r="I4" s="9" t="s">
        <v>36</v>
      </c>
      <c r="J4" s="9" t="s">
        <v>4</v>
      </c>
      <c r="N4" s="9"/>
    </row>
    <row r="5" spans="1:14" x14ac:dyDescent="0.25">
      <c r="A5" s="9" t="s">
        <v>0</v>
      </c>
      <c r="B5" s="9" t="s">
        <v>1</v>
      </c>
      <c r="C5" s="9" t="s">
        <v>36</v>
      </c>
      <c r="D5" s="9" t="s">
        <v>4</v>
      </c>
      <c r="G5">
        <v>1000</v>
      </c>
      <c r="H5">
        <v>2000</v>
      </c>
      <c r="I5">
        <v>14218</v>
      </c>
      <c r="J5" s="1">
        <v>19337000</v>
      </c>
    </row>
    <row r="6" spans="1:14" x14ac:dyDescent="0.25">
      <c r="A6" t="s">
        <v>2</v>
      </c>
      <c r="B6" s="1">
        <v>3000</v>
      </c>
      <c r="C6">
        <v>843</v>
      </c>
      <c r="D6" s="1">
        <v>1610533</v>
      </c>
      <c r="G6">
        <v>2000</v>
      </c>
      <c r="H6">
        <v>3000</v>
      </c>
      <c r="I6">
        <v>3482</v>
      </c>
      <c r="J6" s="1">
        <v>8389199</v>
      </c>
    </row>
    <row r="7" spans="1:14" x14ac:dyDescent="0.25">
      <c r="A7" s="1">
        <v>3000</v>
      </c>
      <c r="B7" s="1">
        <v>5000</v>
      </c>
      <c r="C7">
        <v>904</v>
      </c>
      <c r="D7" s="1">
        <v>3596828</v>
      </c>
      <c r="G7" s="1">
        <v>3000</v>
      </c>
      <c r="H7" s="1">
        <v>5000</v>
      </c>
      <c r="I7" s="1">
        <v>1807</v>
      </c>
      <c r="J7" s="1">
        <v>6732200</v>
      </c>
    </row>
    <row r="8" spans="1:14" x14ac:dyDescent="0.25">
      <c r="A8" s="1">
        <v>5000</v>
      </c>
      <c r="B8" s="1">
        <v>10000</v>
      </c>
      <c r="C8">
        <v>1296</v>
      </c>
      <c r="D8" s="1">
        <v>9213576</v>
      </c>
      <c r="G8" s="1">
        <v>5000</v>
      </c>
      <c r="H8" t="s">
        <v>3</v>
      </c>
      <c r="I8">
        <v>675</v>
      </c>
      <c r="J8" s="1">
        <v>4973200</v>
      </c>
    </row>
    <row r="9" spans="1:14" x14ac:dyDescent="0.25">
      <c r="A9" s="1">
        <v>10000</v>
      </c>
      <c r="B9" s="1">
        <v>20000</v>
      </c>
      <c r="C9">
        <v>798</v>
      </c>
      <c r="D9" s="1">
        <v>11150064</v>
      </c>
      <c r="G9" s="1"/>
      <c r="H9" s="1"/>
    </row>
    <row r="10" spans="1:14" x14ac:dyDescent="0.25">
      <c r="A10" s="1">
        <v>20000</v>
      </c>
      <c r="B10" s="1">
        <v>50000</v>
      </c>
      <c r="C10">
        <v>474</v>
      </c>
      <c r="D10" s="1">
        <v>14828309</v>
      </c>
      <c r="G10" s="1"/>
      <c r="H10" s="1"/>
    </row>
    <row r="11" spans="1:14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25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25">
      <c r="A14" s="2" t="s">
        <v>13</v>
      </c>
      <c r="D14" s="1">
        <f>SUM(D6:D13)</f>
        <v>99977695</v>
      </c>
    </row>
    <row r="15" spans="1:14" x14ac:dyDescent="0.25">
      <c r="A15" s="2" t="s">
        <v>14</v>
      </c>
      <c r="C15">
        <f>SUM(C6:C13)</f>
        <v>4619</v>
      </c>
      <c r="D15" s="1">
        <v>208826650</v>
      </c>
    </row>
    <row r="16" spans="1:14" x14ac:dyDescent="0.25">
      <c r="A16" s="2" t="s">
        <v>15</v>
      </c>
      <c r="D16" s="3">
        <f>100*D14/D15</f>
        <v>47.875927234383163</v>
      </c>
    </row>
    <row r="18" spans="1:10" ht="18.75" x14ac:dyDescent="0.3">
      <c r="A18" s="14" t="s">
        <v>65</v>
      </c>
    </row>
    <row r="20" spans="1:10" x14ac:dyDescent="0.25">
      <c r="A20" t="s">
        <v>53</v>
      </c>
    </row>
    <row r="21" spans="1:10" x14ac:dyDescent="0.25">
      <c r="A21" t="s">
        <v>54</v>
      </c>
    </row>
    <row r="24" spans="1:10" x14ac:dyDescent="0.25">
      <c r="C24" s="20" t="s">
        <v>56</v>
      </c>
      <c r="D24" s="20"/>
      <c r="I24" s="20" t="s">
        <v>55</v>
      </c>
      <c r="J24" s="20"/>
    </row>
    <row r="25" spans="1:10" x14ac:dyDescent="0.25">
      <c r="A25" s="9" t="s">
        <v>0</v>
      </c>
      <c r="B25" s="9" t="s">
        <v>1</v>
      </c>
      <c r="C25" s="9" t="s">
        <v>36</v>
      </c>
      <c r="D25" s="2" t="s">
        <v>4</v>
      </c>
      <c r="G25" s="9" t="s">
        <v>0</v>
      </c>
      <c r="H25" s="9" t="s">
        <v>1</v>
      </c>
      <c r="I25" s="9" t="s">
        <v>36</v>
      </c>
      <c r="J25" s="9" t="s">
        <v>4</v>
      </c>
    </row>
    <row r="26" spans="1:10" x14ac:dyDescent="0.25">
      <c r="A26">
        <v>2500</v>
      </c>
      <c r="B26" s="1">
        <v>3000</v>
      </c>
      <c r="C26">
        <v>226</v>
      </c>
      <c r="D26" s="1">
        <v>621258</v>
      </c>
      <c r="J26" s="1"/>
    </row>
    <row r="27" spans="1:10" x14ac:dyDescent="0.25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>
        <v>1109</v>
      </c>
      <c r="J27" s="1">
        <v>3050845</v>
      </c>
    </row>
    <row r="28" spans="1:10" x14ac:dyDescent="0.25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25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>
        <v>675</v>
      </c>
      <c r="J29" s="1">
        <v>4973200</v>
      </c>
    </row>
    <row r="30" spans="1:10" x14ac:dyDescent="0.25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25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25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25">
      <c r="A33" s="1">
        <v>500000</v>
      </c>
      <c r="B33" t="s">
        <v>3</v>
      </c>
      <c r="C33">
        <v>25</v>
      </c>
      <c r="D33" s="1">
        <v>24162753</v>
      </c>
    </row>
    <row r="34" spans="1:10" x14ac:dyDescent="0.25">
      <c r="A34" s="2" t="s">
        <v>13</v>
      </c>
      <c r="D34" s="1">
        <f>SUM(D26:D33)</f>
        <v>98988420</v>
      </c>
    </row>
    <row r="35" spans="1:10" x14ac:dyDescent="0.25">
      <c r="A35" s="2" t="s">
        <v>14</v>
      </c>
      <c r="D35" s="1">
        <v>208826650</v>
      </c>
    </row>
    <row r="36" spans="1:10" x14ac:dyDescent="0.25">
      <c r="A36" s="2"/>
      <c r="D36" s="3"/>
    </row>
    <row r="38" spans="1:10" x14ac:dyDescent="0.25">
      <c r="A38" t="s">
        <v>63</v>
      </c>
      <c r="D38" s="1">
        <f>SUM(D26:D33)</f>
        <v>98988420</v>
      </c>
      <c r="J38" s="1">
        <f>SUM(J26:J33)</f>
        <v>14756245</v>
      </c>
    </row>
    <row r="39" spans="1:10" x14ac:dyDescent="0.25">
      <c r="A39" s="2" t="s">
        <v>61</v>
      </c>
      <c r="D39" s="1">
        <f>D38+J38</f>
        <v>113744665</v>
      </c>
    </row>
    <row r="40" spans="1:10" x14ac:dyDescent="0.25">
      <c r="A40" s="2" t="s">
        <v>62</v>
      </c>
      <c r="D40" s="3">
        <f>100*D39/D35</f>
        <v>54.468462238895277</v>
      </c>
    </row>
    <row r="42" spans="1:10" ht="18.75" x14ac:dyDescent="0.3">
      <c r="A42" s="14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9" t="s">
        <v>0</v>
      </c>
      <c r="B45" s="9" t="s">
        <v>1</v>
      </c>
      <c r="C45" s="9" t="s">
        <v>36</v>
      </c>
      <c r="D45" s="2" t="s">
        <v>4</v>
      </c>
      <c r="G45" s="9" t="s">
        <v>0</v>
      </c>
      <c r="H45" s="9" t="s">
        <v>1</v>
      </c>
      <c r="I45" s="9" t="s">
        <v>36</v>
      </c>
      <c r="J45" s="9" t="s">
        <v>4</v>
      </c>
    </row>
    <row r="46" spans="1:10" x14ac:dyDescent="0.25">
      <c r="A46">
        <v>2000</v>
      </c>
      <c r="B46" s="1">
        <v>3000</v>
      </c>
      <c r="C46">
        <v>433</v>
      </c>
      <c r="D46" s="1">
        <v>1089026</v>
      </c>
      <c r="J46" s="1"/>
    </row>
    <row r="47" spans="1:10" x14ac:dyDescent="0.25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>
        <v>3482</v>
      </c>
      <c r="J47" s="1">
        <v>8389199</v>
      </c>
    </row>
    <row r="48" spans="1:10" x14ac:dyDescent="0.25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25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>
        <v>675</v>
      </c>
      <c r="J49" s="1">
        <v>4973200</v>
      </c>
    </row>
    <row r="50" spans="1:12" x14ac:dyDescent="0.25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25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25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25">
      <c r="A53" s="1">
        <v>500000</v>
      </c>
      <c r="B53" t="s">
        <v>3</v>
      </c>
      <c r="C53">
        <v>25</v>
      </c>
      <c r="D53" s="1">
        <v>24162753</v>
      </c>
    </row>
    <row r="54" spans="1:12" x14ac:dyDescent="0.25">
      <c r="A54" s="2" t="s">
        <v>14</v>
      </c>
      <c r="D54" s="1">
        <v>208826650</v>
      </c>
    </row>
    <row r="56" spans="1:12" x14ac:dyDescent="0.25">
      <c r="A56" s="2" t="s">
        <v>67</v>
      </c>
      <c r="D56" s="1">
        <f>SUM(D46:D53)</f>
        <v>99456188</v>
      </c>
      <c r="J56" s="1">
        <f>SUM(J46:J52)</f>
        <v>20094599</v>
      </c>
      <c r="L56" s="1">
        <f>D56+J56</f>
        <v>119550787</v>
      </c>
    </row>
    <row r="57" spans="1:12" x14ac:dyDescent="0.25">
      <c r="A57" s="2" t="s">
        <v>66</v>
      </c>
      <c r="D57" s="3"/>
      <c r="L57" s="16">
        <f>100*L56/D54</f>
        <v>57.248817140915683</v>
      </c>
    </row>
    <row r="59" spans="1:12" ht="18.75" x14ac:dyDescent="0.3">
      <c r="A59" s="14" t="s">
        <v>73</v>
      </c>
    </row>
    <row r="61" spans="1:12" x14ac:dyDescent="0.25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25">
      <c r="A62" t="s">
        <v>75</v>
      </c>
      <c r="L62" s="16">
        <f>100*L61/D54</f>
        <v>47.763795473422576</v>
      </c>
    </row>
  </sheetData>
  <mergeCells count="6"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2:L62"/>
  <sheetViews>
    <sheetView topLeftCell="A13" workbookViewId="0">
      <selection activeCell="A59" sqref="A59:A62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</cols>
  <sheetData>
    <row r="2" spans="1:10" x14ac:dyDescent="0.25">
      <c r="I2" s="9"/>
      <c r="J2" s="9"/>
    </row>
    <row r="3" spans="1:10" x14ac:dyDescent="0.25">
      <c r="C3" s="20" t="s">
        <v>56</v>
      </c>
      <c r="D3" s="20"/>
      <c r="I3" s="20" t="s">
        <v>55</v>
      </c>
      <c r="J3" s="20"/>
    </row>
    <row r="4" spans="1:10" x14ac:dyDescent="0.25">
      <c r="A4" s="2" t="s">
        <v>0</v>
      </c>
      <c r="B4" s="2" t="s">
        <v>1</v>
      </c>
      <c r="C4" s="2" t="s">
        <v>36</v>
      </c>
      <c r="D4" s="2" t="s">
        <v>4</v>
      </c>
      <c r="G4" s="9" t="s">
        <v>0</v>
      </c>
      <c r="H4" s="9" t="s">
        <v>1</v>
      </c>
      <c r="I4" s="9" t="s">
        <v>36</v>
      </c>
      <c r="J4" s="9" t="s">
        <v>4</v>
      </c>
    </row>
    <row r="5" spans="1:10" x14ac:dyDescent="0.25">
      <c r="A5" t="s">
        <v>2</v>
      </c>
      <c r="B5" s="1">
        <v>3000</v>
      </c>
      <c r="C5">
        <v>1118</v>
      </c>
      <c r="D5" s="1">
        <v>2051695</v>
      </c>
      <c r="G5" s="4">
        <v>1000</v>
      </c>
      <c r="H5" s="4">
        <v>2000</v>
      </c>
      <c r="I5" s="5">
        <v>16677</v>
      </c>
      <c r="J5" s="11">
        <v>22785371</v>
      </c>
    </row>
    <row r="6" spans="1:10" x14ac:dyDescent="0.25">
      <c r="A6" s="1">
        <v>3000</v>
      </c>
      <c r="B6" s="1">
        <v>5000</v>
      </c>
      <c r="C6">
        <v>1028</v>
      </c>
      <c r="D6" s="1">
        <v>4098169</v>
      </c>
      <c r="G6" s="4">
        <v>2000</v>
      </c>
      <c r="H6" s="4">
        <v>3000</v>
      </c>
      <c r="I6" s="5">
        <v>3911</v>
      </c>
      <c r="J6" s="11">
        <v>9424188</v>
      </c>
    </row>
    <row r="7" spans="1:10" x14ac:dyDescent="0.25">
      <c r="A7" s="1">
        <v>5000</v>
      </c>
      <c r="B7" s="1">
        <v>10000</v>
      </c>
      <c r="C7">
        <v>1430</v>
      </c>
      <c r="D7" s="1">
        <v>10069839</v>
      </c>
      <c r="G7" s="5">
        <v>3000</v>
      </c>
      <c r="H7" s="5">
        <v>5000</v>
      </c>
      <c r="I7" s="5">
        <v>2040</v>
      </c>
      <c r="J7" s="11">
        <v>7656431</v>
      </c>
    </row>
    <row r="8" spans="1:10" x14ac:dyDescent="0.25">
      <c r="A8" s="1">
        <v>10000</v>
      </c>
      <c r="B8" s="1">
        <v>20000</v>
      </c>
      <c r="C8">
        <v>919</v>
      </c>
      <c r="D8" s="1">
        <v>12721674</v>
      </c>
      <c r="G8" s="5">
        <v>5000</v>
      </c>
      <c r="H8" s="4" t="s">
        <v>3</v>
      </c>
      <c r="I8" s="5">
        <v>868</v>
      </c>
      <c r="J8" s="11">
        <v>6446727</v>
      </c>
    </row>
    <row r="9" spans="1:10" x14ac:dyDescent="0.25">
      <c r="A9" s="1">
        <v>20000</v>
      </c>
      <c r="B9" s="1">
        <v>50000</v>
      </c>
      <c r="C9">
        <v>600</v>
      </c>
      <c r="D9" s="1">
        <v>18468944</v>
      </c>
      <c r="G9" s="1"/>
      <c r="H9" s="1"/>
    </row>
    <row r="10" spans="1:10" x14ac:dyDescent="0.25">
      <c r="A10" s="1">
        <v>50000</v>
      </c>
      <c r="B10" s="1">
        <v>100000</v>
      </c>
      <c r="C10">
        <v>189</v>
      </c>
      <c r="D10" s="1">
        <v>13054945</v>
      </c>
      <c r="G10" s="1"/>
      <c r="H10" s="10"/>
      <c r="I10" s="1"/>
      <c r="J10" s="1"/>
    </row>
    <row r="11" spans="1:10" x14ac:dyDescent="0.25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25">
      <c r="A12" s="1">
        <v>500000</v>
      </c>
      <c r="B12" t="s">
        <v>3</v>
      </c>
      <c r="C12">
        <v>33</v>
      </c>
      <c r="D12" s="1">
        <v>37286597</v>
      </c>
    </row>
    <row r="13" spans="1:10" x14ac:dyDescent="0.25">
      <c r="A13" s="2" t="s">
        <v>13</v>
      </c>
      <c r="D13" s="1">
        <f>SUM(D5:D12)</f>
        <v>135991514</v>
      </c>
    </row>
    <row r="14" spans="1:10" x14ac:dyDescent="0.25">
      <c r="A14" s="2" t="s">
        <v>14</v>
      </c>
      <c r="C14">
        <f>SUM(C5:C12)</f>
        <v>5505</v>
      </c>
      <c r="D14" s="1">
        <v>241720134</v>
      </c>
    </row>
    <row r="15" spans="1:10" x14ac:dyDescent="0.25">
      <c r="A15" s="2" t="s">
        <v>15</v>
      </c>
      <c r="D15" s="3">
        <f>100*D13/D14</f>
        <v>56.259903446851474</v>
      </c>
    </row>
    <row r="17" spans="1:10" ht="18.75" x14ac:dyDescent="0.3">
      <c r="A17" s="14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2" t="s">
        <v>0</v>
      </c>
      <c r="B24" s="2" t="s">
        <v>1</v>
      </c>
      <c r="C24" s="9" t="s">
        <v>36</v>
      </c>
      <c r="D24" s="9" t="s">
        <v>4</v>
      </c>
      <c r="G24" s="9" t="s">
        <v>0</v>
      </c>
      <c r="H24" s="9" t="s">
        <v>1</v>
      </c>
      <c r="I24" s="9" t="s">
        <v>36</v>
      </c>
      <c r="J24" s="9" t="s">
        <v>4</v>
      </c>
    </row>
    <row r="25" spans="1:10" x14ac:dyDescent="0.25">
      <c r="A25">
        <v>2500</v>
      </c>
      <c r="B25" s="1">
        <v>3000</v>
      </c>
      <c r="C25">
        <v>270</v>
      </c>
      <c r="D25" s="1">
        <v>741248</v>
      </c>
      <c r="G25" s="4"/>
      <c r="H25" s="4"/>
      <c r="I25" s="5"/>
      <c r="J25" s="11"/>
    </row>
    <row r="26" spans="1:10" x14ac:dyDescent="0.25">
      <c r="A26" s="1">
        <v>3000</v>
      </c>
      <c r="B26" s="1">
        <v>5000</v>
      </c>
      <c r="C26">
        <v>1028</v>
      </c>
      <c r="D26" s="1">
        <v>4098169</v>
      </c>
      <c r="G26" s="4">
        <v>2500</v>
      </c>
      <c r="H26" s="4">
        <v>3000</v>
      </c>
      <c r="I26" s="5">
        <v>1249</v>
      </c>
      <c r="J26" s="11">
        <v>3434409</v>
      </c>
    </row>
    <row r="27" spans="1:10" x14ac:dyDescent="0.25">
      <c r="A27" s="1">
        <v>5000</v>
      </c>
      <c r="B27" s="1">
        <v>10000</v>
      </c>
      <c r="C27">
        <v>1430</v>
      </c>
      <c r="D27" s="1">
        <v>10069839</v>
      </c>
      <c r="G27" s="5">
        <v>3000</v>
      </c>
      <c r="H27" s="5">
        <v>5000</v>
      </c>
      <c r="I27" s="5">
        <v>2040</v>
      </c>
      <c r="J27" s="11">
        <v>7656431</v>
      </c>
    </row>
    <row r="28" spans="1:10" x14ac:dyDescent="0.25">
      <c r="A28" s="1">
        <v>10000</v>
      </c>
      <c r="B28" s="1">
        <v>20000</v>
      </c>
      <c r="C28">
        <v>919</v>
      </c>
      <c r="D28" s="1">
        <v>12721674</v>
      </c>
      <c r="G28" s="5">
        <v>5000</v>
      </c>
      <c r="H28" s="4" t="s">
        <v>3</v>
      </c>
      <c r="I28" s="5">
        <v>868</v>
      </c>
      <c r="J28" s="11">
        <v>6446727</v>
      </c>
    </row>
    <row r="29" spans="1:10" x14ac:dyDescent="0.25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25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25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25">
      <c r="A32" s="1">
        <v>500000</v>
      </c>
      <c r="B32" t="s">
        <v>3</v>
      </c>
      <c r="C32">
        <v>33</v>
      </c>
      <c r="D32" s="1">
        <v>37286597</v>
      </c>
    </row>
    <row r="33" spans="1:10" x14ac:dyDescent="0.25">
      <c r="A33" s="2" t="s">
        <v>13</v>
      </c>
      <c r="D33" s="1">
        <f>SUM(D25:D32)</f>
        <v>134681067</v>
      </c>
    </row>
    <row r="34" spans="1:10" x14ac:dyDescent="0.25">
      <c r="A34" s="2" t="s">
        <v>14</v>
      </c>
      <c r="D34" s="1">
        <v>241720134</v>
      </c>
    </row>
    <row r="37" spans="1:10" x14ac:dyDescent="0.25">
      <c r="A37" t="s">
        <v>63</v>
      </c>
      <c r="D37" s="1">
        <f>SUM(D25:D32)</f>
        <v>134681067</v>
      </c>
      <c r="J37" s="1">
        <f>SUM(J25:J32)</f>
        <v>17537567</v>
      </c>
    </row>
    <row r="38" spans="1:10" x14ac:dyDescent="0.25">
      <c r="A38" s="2" t="s">
        <v>61</v>
      </c>
      <c r="D38" s="1">
        <f>D37+J37</f>
        <v>152218634</v>
      </c>
    </row>
    <row r="39" spans="1:10" x14ac:dyDescent="0.25">
      <c r="A39" s="2" t="s">
        <v>62</v>
      </c>
      <c r="D39" s="3">
        <f>100*D38/D34</f>
        <v>62.973088538830616</v>
      </c>
    </row>
    <row r="41" spans="1:10" ht="18.75" x14ac:dyDescent="0.3">
      <c r="A41" s="14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2" t="s">
        <v>0</v>
      </c>
      <c r="B45" s="2" t="s">
        <v>1</v>
      </c>
      <c r="C45" s="9" t="s">
        <v>36</v>
      </c>
      <c r="D45" s="9" t="s">
        <v>4</v>
      </c>
      <c r="G45" s="9" t="s">
        <v>0</v>
      </c>
      <c r="H45" s="9" t="s">
        <v>1</v>
      </c>
      <c r="I45" s="9" t="s">
        <v>36</v>
      </c>
      <c r="J45" s="9" t="s">
        <v>4</v>
      </c>
    </row>
    <row r="46" spans="1:10" x14ac:dyDescent="0.25">
      <c r="A46">
        <v>2000</v>
      </c>
      <c r="B46" s="1">
        <v>3000</v>
      </c>
      <c r="C46">
        <v>536</v>
      </c>
      <c r="D46" s="1">
        <v>1341238</v>
      </c>
      <c r="G46" s="4"/>
      <c r="H46" s="4"/>
      <c r="I46" s="5"/>
      <c r="J46" s="11"/>
    </row>
    <row r="47" spans="1:10" x14ac:dyDescent="0.25">
      <c r="A47" s="1">
        <v>3000</v>
      </c>
      <c r="B47" s="1">
        <v>5000</v>
      </c>
      <c r="C47">
        <v>1028</v>
      </c>
      <c r="D47" s="1">
        <v>4098169</v>
      </c>
      <c r="G47" s="4">
        <v>2000</v>
      </c>
      <c r="H47" s="4">
        <v>3000</v>
      </c>
      <c r="I47" s="5">
        <v>3911</v>
      </c>
      <c r="J47" s="11">
        <v>9424188</v>
      </c>
    </row>
    <row r="48" spans="1:10" x14ac:dyDescent="0.25">
      <c r="A48" s="1">
        <v>5000</v>
      </c>
      <c r="B48" s="1">
        <v>10000</v>
      </c>
      <c r="C48">
        <v>1430</v>
      </c>
      <c r="D48" s="1">
        <v>10069839</v>
      </c>
      <c r="G48" s="5">
        <v>3000</v>
      </c>
      <c r="H48" s="5">
        <v>5000</v>
      </c>
      <c r="I48" s="5">
        <v>2040</v>
      </c>
      <c r="J48" s="11">
        <v>7656431</v>
      </c>
    </row>
    <row r="49" spans="1:12" x14ac:dyDescent="0.25">
      <c r="A49" s="1">
        <v>10000</v>
      </c>
      <c r="B49" s="1">
        <v>20000</v>
      </c>
      <c r="C49">
        <v>919</v>
      </c>
      <c r="D49" s="1">
        <v>12721674</v>
      </c>
      <c r="G49" s="5">
        <v>5000</v>
      </c>
      <c r="H49" s="4" t="s">
        <v>3</v>
      </c>
      <c r="I49" s="5">
        <v>868</v>
      </c>
      <c r="J49" s="11">
        <v>6446727</v>
      </c>
    </row>
    <row r="50" spans="1:12" x14ac:dyDescent="0.25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25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25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25">
      <c r="A53" s="1">
        <v>500000</v>
      </c>
      <c r="B53" t="s">
        <v>3</v>
      </c>
      <c r="C53">
        <v>33</v>
      </c>
      <c r="D53" s="1">
        <v>37286597</v>
      </c>
    </row>
    <row r="54" spans="1:12" x14ac:dyDescent="0.25">
      <c r="A54" s="2" t="s">
        <v>14</v>
      </c>
      <c r="D54" s="1">
        <v>241720134</v>
      </c>
    </row>
    <row r="56" spans="1:12" x14ac:dyDescent="0.25">
      <c r="A56" s="2" t="s">
        <v>67</v>
      </c>
      <c r="D56" s="1">
        <f>SUM(D46:D53)</f>
        <v>135281057</v>
      </c>
      <c r="J56" s="1">
        <f>SUM(J46:J53)</f>
        <v>23527346</v>
      </c>
      <c r="L56" s="1">
        <f>D56+J56</f>
        <v>158808403</v>
      </c>
    </row>
    <row r="57" spans="1:12" x14ac:dyDescent="0.25">
      <c r="A57" s="2" t="s">
        <v>66</v>
      </c>
      <c r="D57" s="3"/>
      <c r="L57" s="17">
        <f>100*L56/D54</f>
        <v>65.699286349063499</v>
      </c>
    </row>
    <row r="59" spans="1:12" ht="18.75" x14ac:dyDescent="0.3">
      <c r="A59" s="14" t="s">
        <v>73</v>
      </c>
    </row>
    <row r="61" spans="1:12" x14ac:dyDescent="0.25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25">
      <c r="A62" t="s">
        <v>75</v>
      </c>
      <c r="L62" s="16">
        <f>100*L61/D54</f>
        <v>56.382716137332608</v>
      </c>
    </row>
  </sheetData>
  <mergeCells count="6"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3:D15"/>
  <sheetViews>
    <sheetView workbookViewId="0">
      <selection activeCell="H20" sqref="H20"/>
    </sheetView>
  </sheetViews>
  <sheetFormatPr defaultRowHeight="15" x14ac:dyDescent="0.25"/>
  <cols>
    <col min="4" max="4" width="12.1406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13</v>
      </c>
      <c r="D13" s="1">
        <f>SUM(D4:D12)</f>
        <v>163585944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7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7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5">
        <v>1000</v>
      </c>
      <c r="C20" s="2"/>
      <c r="D20" s="5">
        <v>6380</v>
      </c>
    </row>
    <row r="21" spans="1:7" x14ac:dyDescent="0.25">
      <c r="A21" s="5">
        <v>1000</v>
      </c>
      <c r="B21" s="5">
        <v>2000</v>
      </c>
      <c r="C21" s="4"/>
      <c r="D21" s="5">
        <v>47916</v>
      </c>
    </row>
    <row r="22" spans="1:7" x14ac:dyDescent="0.25">
      <c r="A22" s="5">
        <v>2000</v>
      </c>
      <c r="B22" s="5">
        <v>3000</v>
      </c>
      <c r="C22" s="4"/>
      <c r="D22" s="5">
        <v>113308</v>
      </c>
    </row>
    <row r="23" spans="1:7" x14ac:dyDescent="0.25">
      <c r="A23" s="5">
        <v>3000</v>
      </c>
      <c r="B23" s="5">
        <v>5000</v>
      </c>
      <c r="C23" s="4"/>
      <c r="D23" s="5">
        <v>353375</v>
      </c>
    </row>
    <row r="24" spans="1:7" x14ac:dyDescent="0.25">
      <c r="A24" s="5">
        <v>5000</v>
      </c>
      <c r="B24" s="5">
        <v>7000</v>
      </c>
      <c r="C24" s="4"/>
      <c r="D24" s="5">
        <v>389605</v>
      </c>
      <c r="G24" s="2" t="s">
        <v>27</v>
      </c>
    </row>
    <row r="25" spans="1:7" x14ac:dyDescent="0.25">
      <c r="A25" s="5">
        <v>7000</v>
      </c>
      <c r="B25" s="5">
        <v>10000</v>
      </c>
      <c r="C25" s="4"/>
      <c r="D25" s="5">
        <v>517796</v>
      </c>
    </row>
    <row r="26" spans="1:7" x14ac:dyDescent="0.25">
      <c r="A26" s="5">
        <v>10000</v>
      </c>
      <c r="B26" s="5">
        <v>15000</v>
      </c>
      <c r="C26" s="4"/>
      <c r="D26" s="5">
        <v>951932</v>
      </c>
    </row>
    <row r="27" spans="1:7" x14ac:dyDescent="0.25">
      <c r="A27" s="5">
        <v>15000</v>
      </c>
      <c r="B27" s="5">
        <v>20000</v>
      </c>
      <c r="C27" s="4"/>
      <c r="D27" s="5">
        <v>749591</v>
      </c>
    </row>
    <row r="28" spans="1:7" x14ac:dyDescent="0.25">
      <c r="A28" s="5">
        <v>20000</v>
      </c>
      <c r="B28" s="5">
        <v>25000</v>
      </c>
      <c r="C28" s="4"/>
      <c r="D28" s="5">
        <v>559670</v>
      </c>
    </row>
    <row r="29" spans="1:7" x14ac:dyDescent="0.25">
      <c r="A29" s="5">
        <v>25000</v>
      </c>
      <c r="B29" s="5">
        <v>30000</v>
      </c>
      <c r="C29" s="4"/>
      <c r="D29" s="5">
        <v>432250</v>
      </c>
    </row>
    <row r="30" spans="1:7" x14ac:dyDescent="0.25">
      <c r="A30" s="5">
        <v>30000</v>
      </c>
      <c r="B30" s="5">
        <v>40000</v>
      </c>
      <c r="C30" s="4"/>
      <c r="D30" s="5">
        <v>854763</v>
      </c>
    </row>
    <row r="31" spans="1:7" x14ac:dyDescent="0.25">
      <c r="A31" s="5">
        <v>40000</v>
      </c>
      <c r="B31" s="5">
        <v>50000</v>
      </c>
      <c r="C31" s="4"/>
      <c r="D31" s="5">
        <v>362266</v>
      </c>
    </row>
    <row r="32" spans="1:7" x14ac:dyDescent="0.25">
      <c r="A32" s="5">
        <v>50000</v>
      </c>
      <c r="B32" s="5">
        <v>70000</v>
      </c>
      <c r="C32" s="4"/>
      <c r="D32" s="5">
        <v>1174773</v>
      </c>
    </row>
    <row r="33" spans="1:6" x14ac:dyDescent="0.25">
      <c r="A33" s="5">
        <v>70000</v>
      </c>
      <c r="B33" s="5">
        <v>100000</v>
      </c>
      <c r="C33" s="4"/>
      <c r="D33" s="5">
        <v>1570708</v>
      </c>
    </row>
    <row r="34" spans="1:6" x14ac:dyDescent="0.25">
      <c r="A34" s="5">
        <v>100000</v>
      </c>
      <c r="B34" s="4" t="s">
        <v>3</v>
      </c>
      <c r="C34" s="4"/>
      <c r="D34" s="5">
        <v>6188683</v>
      </c>
    </row>
    <row r="35" spans="1:6" x14ac:dyDescent="0.25">
      <c r="A35" s="2" t="s">
        <v>13</v>
      </c>
      <c r="B35" s="4"/>
      <c r="C35" s="4"/>
      <c r="D35" s="5">
        <f>SUM(D20:D34)</f>
        <v>14273016</v>
      </c>
    </row>
    <row r="36" spans="1:6" x14ac:dyDescent="0.25">
      <c r="A36" s="2" t="s">
        <v>14</v>
      </c>
      <c r="B36" s="4"/>
      <c r="C36" s="4"/>
      <c r="D36" s="5">
        <v>100891244</v>
      </c>
    </row>
    <row r="37" spans="1:6" x14ac:dyDescent="0.25">
      <c r="A37" s="2" t="s">
        <v>15</v>
      </c>
      <c r="B37" s="4"/>
      <c r="C37" s="4"/>
      <c r="D37" s="3">
        <f>100*D35/D36</f>
        <v>14.146932314562401</v>
      </c>
    </row>
    <row r="40" spans="1:6" x14ac:dyDescent="0.25">
      <c r="A40" s="7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2:L62"/>
  <sheetViews>
    <sheetView topLeftCell="A19" workbookViewId="0">
      <selection activeCell="A59" sqref="A59:A62"/>
    </sheetView>
  </sheetViews>
  <sheetFormatPr defaultRowHeight="15" x14ac:dyDescent="0.25"/>
  <cols>
    <col min="4" max="4" width="11" customWidth="1"/>
    <col min="12" max="12" width="10.140625" bestFit="1" customWidth="1"/>
  </cols>
  <sheetData>
    <row r="2" spans="1:10" x14ac:dyDescent="0.25">
      <c r="I2" s="20" t="s">
        <v>55</v>
      </c>
      <c r="J2" s="20"/>
    </row>
    <row r="3" spans="1:10" x14ac:dyDescent="0.25">
      <c r="C3" s="20" t="s">
        <v>56</v>
      </c>
      <c r="D3" s="20"/>
      <c r="G3" s="9" t="s">
        <v>0</v>
      </c>
      <c r="H3" s="9" t="s">
        <v>1</v>
      </c>
      <c r="I3" s="9" t="s">
        <v>36</v>
      </c>
      <c r="J3" s="9" t="s">
        <v>4</v>
      </c>
    </row>
    <row r="4" spans="1:10" x14ac:dyDescent="0.25">
      <c r="A4" s="9" t="s">
        <v>0</v>
      </c>
      <c r="B4" s="9" t="s">
        <v>1</v>
      </c>
      <c r="C4" s="9" t="s">
        <v>36</v>
      </c>
      <c r="D4" s="9" t="s">
        <v>4</v>
      </c>
      <c r="G4">
        <v>1000</v>
      </c>
      <c r="H4">
        <v>2000</v>
      </c>
      <c r="I4">
        <v>6057</v>
      </c>
      <c r="J4" s="1">
        <v>8161371</v>
      </c>
    </row>
    <row r="5" spans="1:10" x14ac:dyDescent="0.25">
      <c r="A5" t="s">
        <v>2</v>
      </c>
      <c r="B5" s="1">
        <v>3000</v>
      </c>
      <c r="C5">
        <v>316</v>
      </c>
      <c r="D5" s="1">
        <v>622363</v>
      </c>
      <c r="G5">
        <v>2000</v>
      </c>
      <c r="H5">
        <v>3000</v>
      </c>
      <c r="I5">
        <v>1450</v>
      </c>
      <c r="J5" s="1">
        <v>3500966</v>
      </c>
    </row>
    <row r="6" spans="1:10" x14ac:dyDescent="0.25">
      <c r="A6" s="1">
        <v>3000</v>
      </c>
      <c r="B6" s="1">
        <v>5000</v>
      </c>
      <c r="C6">
        <v>443</v>
      </c>
      <c r="D6" s="1">
        <v>1763827</v>
      </c>
      <c r="G6" s="1">
        <v>3000</v>
      </c>
      <c r="H6" s="1">
        <v>5000</v>
      </c>
      <c r="I6" s="1">
        <v>833</v>
      </c>
      <c r="J6" s="1">
        <v>3125682</v>
      </c>
    </row>
    <row r="7" spans="1:10" x14ac:dyDescent="0.25">
      <c r="A7" s="1">
        <v>5000</v>
      </c>
      <c r="B7" s="1">
        <v>10000</v>
      </c>
      <c r="C7">
        <v>654</v>
      </c>
      <c r="D7" s="1">
        <v>4660310</v>
      </c>
      <c r="G7" s="1">
        <v>5000</v>
      </c>
      <c r="H7" t="s">
        <v>3</v>
      </c>
      <c r="I7">
        <v>372</v>
      </c>
      <c r="J7" s="1">
        <v>2900584</v>
      </c>
    </row>
    <row r="8" spans="1:10" x14ac:dyDescent="0.25">
      <c r="A8" s="1">
        <v>10000</v>
      </c>
      <c r="B8" s="1">
        <v>20000</v>
      </c>
      <c r="C8">
        <v>459</v>
      </c>
      <c r="D8" s="1">
        <v>6417782</v>
      </c>
    </row>
    <row r="9" spans="1:10" x14ac:dyDescent="0.25">
      <c r="A9" s="1">
        <v>20000</v>
      </c>
      <c r="B9" s="1">
        <v>50000</v>
      </c>
      <c r="C9">
        <v>311</v>
      </c>
      <c r="D9" s="1">
        <v>9741418</v>
      </c>
    </row>
    <row r="10" spans="1:10" x14ac:dyDescent="0.25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25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25">
      <c r="A12" s="1">
        <v>500000</v>
      </c>
      <c r="B12" t="s">
        <v>3</v>
      </c>
      <c r="C12">
        <v>14</v>
      </c>
      <c r="D12" s="1">
        <v>16225204</v>
      </c>
    </row>
    <row r="13" spans="1:10" x14ac:dyDescent="0.25">
      <c r="A13" s="2" t="s">
        <v>13</v>
      </c>
      <c r="D13" s="1">
        <f>SUM(D5:D12)</f>
        <v>61611074</v>
      </c>
    </row>
    <row r="14" spans="1:10" x14ac:dyDescent="0.25">
      <c r="A14" s="2" t="s">
        <v>14</v>
      </c>
      <c r="C14">
        <f>SUM(C5:C12)</f>
        <v>2372</v>
      </c>
      <c r="D14" s="1">
        <v>117534315</v>
      </c>
    </row>
    <row r="15" spans="1:10" x14ac:dyDescent="0.25">
      <c r="A15" s="2" t="s">
        <v>15</v>
      </c>
      <c r="D15" s="3">
        <f>100*D13/D14</f>
        <v>52.419647827955608</v>
      </c>
    </row>
    <row r="17" spans="1:10" ht="18.75" x14ac:dyDescent="0.3">
      <c r="A17" s="14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9" t="s">
        <v>0</v>
      </c>
      <c r="B24" s="9" t="s">
        <v>1</v>
      </c>
      <c r="C24" s="9" t="s">
        <v>36</v>
      </c>
      <c r="D24" s="9" t="s">
        <v>4</v>
      </c>
      <c r="G24" s="9" t="s">
        <v>0</v>
      </c>
      <c r="H24" s="9" t="s">
        <v>1</v>
      </c>
      <c r="I24" s="9" t="s">
        <v>36</v>
      </c>
      <c r="J24" s="9" t="s">
        <v>4</v>
      </c>
    </row>
    <row r="25" spans="1:10" x14ac:dyDescent="0.25">
      <c r="A25">
        <v>2500</v>
      </c>
      <c r="B25" s="1">
        <v>3000</v>
      </c>
      <c r="C25">
        <v>97</v>
      </c>
      <c r="D25" s="1">
        <v>266317</v>
      </c>
      <c r="J25" s="1"/>
    </row>
    <row r="26" spans="1:10" x14ac:dyDescent="0.25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>
        <v>477</v>
      </c>
      <c r="J26" s="1">
        <v>1311563</v>
      </c>
    </row>
    <row r="27" spans="1:10" x14ac:dyDescent="0.25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25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>
        <v>372</v>
      </c>
      <c r="J28" s="1">
        <v>2900584</v>
      </c>
    </row>
    <row r="29" spans="1:10" x14ac:dyDescent="0.25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25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25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25">
      <c r="A32" s="1">
        <v>500000</v>
      </c>
      <c r="B32" t="s">
        <v>3</v>
      </c>
      <c r="C32">
        <v>14</v>
      </c>
      <c r="D32" s="1">
        <v>16225204</v>
      </c>
    </row>
    <row r="33" spans="1:10" x14ac:dyDescent="0.25">
      <c r="A33" s="2" t="s">
        <v>13</v>
      </c>
      <c r="D33" s="1">
        <f>SUM(D25:D32)</f>
        <v>61255028</v>
      </c>
    </row>
    <row r="34" spans="1:10" x14ac:dyDescent="0.25">
      <c r="A34" s="2" t="s">
        <v>14</v>
      </c>
      <c r="D34" s="1">
        <v>117534315</v>
      </c>
    </row>
    <row r="37" spans="1:10" x14ac:dyDescent="0.25">
      <c r="A37" t="s">
        <v>63</v>
      </c>
      <c r="D37" s="1">
        <f>SUM(D25:D32)</f>
        <v>61255028</v>
      </c>
      <c r="J37" s="1">
        <f>SUM(J25:J32)</f>
        <v>7337829</v>
      </c>
    </row>
    <row r="38" spans="1:10" x14ac:dyDescent="0.25">
      <c r="A38" s="2" t="s">
        <v>61</v>
      </c>
      <c r="D38" s="1">
        <f>D37+J37</f>
        <v>68592857</v>
      </c>
    </row>
    <row r="39" spans="1:10" x14ac:dyDescent="0.25">
      <c r="A39" s="2" t="s">
        <v>62</v>
      </c>
      <c r="D39" s="3">
        <f>100*D38/D34</f>
        <v>58.359856013114126</v>
      </c>
    </row>
    <row r="41" spans="1:10" ht="18.75" x14ac:dyDescent="0.3">
      <c r="A41" s="14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9" t="s">
        <v>0</v>
      </c>
      <c r="B45" s="9" t="s">
        <v>1</v>
      </c>
      <c r="C45" s="9" t="s">
        <v>36</v>
      </c>
      <c r="D45" s="9" t="s">
        <v>4</v>
      </c>
      <c r="G45" s="9" t="s">
        <v>0</v>
      </c>
      <c r="H45" s="9" t="s">
        <v>1</v>
      </c>
      <c r="I45" s="9" t="s">
        <v>36</v>
      </c>
      <c r="J45" s="9" t="s">
        <v>4</v>
      </c>
    </row>
    <row r="46" spans="1:10" x14ac:dyDescent="0.25">
      <c r="A46">
        <v>2000</v>
      </c>
      <c r="B46" s="1">
        <v>3000</v>
      </c>
      <c r="C46">
        <v>172</v>
      </c>
      <c r="D46" s="1">
        <v>436629</v>
      </c>
      <c r="J46" s="1"/>
    </row>
    <row r="47" spans="1:10" x14ac:dyDescent="0.25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>
        <v>1450</v>
      </c>
      <c r="J47" s="1">
        <v>3500966</v>
      </c>
    </row>
    <row r="48" spans="1:10" x14ac:dyDescent="0.25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25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>
        <v>372</v>
      </c>
      <c r="J49" s="1">
        <v>2900584</v>
      </c>
    </row>
    <row r="50" spans="1:12" x14ac:dyDescent="0.25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25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25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25">
      <c r="A53" s="1">
        <v>500000</v>
      </c>
      <c r="B53" t="s">
        <v>3</v>
      </c>
      <c r="C53">
        <v>14</v>
      </c>
      <c r="D53" s="1">
        <v>16225204</v>
      </c>
    </row>
    <row r="54" spans="1:12" x14ac:dyDescent="0.25">
      <c r="A54" s="2" t="s">
        <v>14</v>
      </c>
      <c r="D54" s="1">
        <v>117534315</v>
      </c>
    </row>
    <row r="56" spans="1:12" x14ac:dyDescent="0.25">
      <c r="A56" t="s">
        <v>67</v>
      </c>
      <c r="D56" s="1">
        <f>SUM(D46:D53)</f>
        <v>61425340</v>
      </c>
      <c r="J56" s="1">
        <f>SUM(J46:J53)</f>
        <v>9527232</v>
      </c>
      <c r="L56" s="1">
        <f>D56+J56</f>
        <v>70952572</v>
      </c>
    </row>
    <row r="57" spans="1:12" x14ac:dyDescent="0.25">
      <c r="A57" s="2" t="s">
        <v>66</v>
      </c>
      <c r="D57" s="3"/>
      <c r="L57" s="16">
        <f>100*L56/D54</f>
        <v>60.367537769714318</v>
      </c>
    </row>
    <row r="59" spans="1:12" ht="18.75" x14ac:dyDescent="0.3">
      <c r="A59" s="14" t="s">
        <v>73</v>
      </c>
    </row>
    <row r="61" spans="1:12" x14ac:dyDescent="0.25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25">
      <c r="A62" t="s">
        <v>75</v>
      </c>
      <c r="L62" s="16">
        <f>100*L61/D54</f>
        <v>52.85730214193191</v>
      </c>
    </row>
  </sheetData>
  <mergeCells count="6"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2:L62"/>
  <sheetViews>
    <sheetView topLeftCell="A16" workbookViewId="0">
      <selection activeCell="D65" sqref="D65"/>
    </sheetView>
  </sheetViews>
  <sheetFormatPr defaultRowHeight="15" x14ac:dyDescent="0.25"/>
  <cols>
    <col min="4" max="4" width="12.85546875" customWidth="1"/>
    <col min="9" max="9" width="10" customWidth="1"/>
    <col min="12" max="12" width="10.140625" bestFit="1" customWidth="1"/>
  </cols>
  <sheetData>
    <row r="2" spans="1:10" x14ac:dyDescent="0.25">
      <c r="I2" s="9"/>
      <c r="J2" s="9"/>
    </row>
    <row r="3" spans="1:10" x14ac:dyDescent="0.25">
      <c r="C3" s="20" t="s">
        <v>56</v>
      </c>
      <c r="D3" s="20"/>
      <c r="I3" s="20" t="s">
        <v>55</v>
      </c>
      <c r="J3" s="20"/>
    </row>
    <row r="4" spans="1:10" x14ac:dyDescent="0.25">
      <c r="A4" s="2" t="s">
        <v>0</v>
      </c>
      <c r="B4" s="2" t="s">
        <v>1</v>
      </c>
      <c r="C4" s="9" t="s">
        <v>36</v>
      </c>
      <c r="D4" s="2" t="s">
        <v>4</v>
      </c>
      <c r="G4" s="9" t="s">
        <v>0</v>
      </c>
      <c r="H4" s="9" t="s">
        <v>1</v>
      </c>
      <c r="I4" s="9" t="s">
        <v>36</v>
      </c>
      <c r="J4" s="9" t="s">
        <v>4</v>
      </c>
    </row>
    <row r="5" spans="1:10" x14ac:dyDescent="0.25">
      <c r="A5" t="s">
        <v>2</v>
      </c>
      <c r="B5" s="1">
        <v>3000</v>
      </c>
      <c r="C5">
        <v>460</v>
      </c>
      <c r="D5" s="1">
        <v>875596</v>
      </c>
      <c r="G5" s="4">
        <v>1000</v>
      </c>
      <c r="H5" s="4">
        <v>2000</v>
      </c>
      <c r="I5" s="5">
        <v>6333</v>
      </c>
      <c r="J5" s="11">
        <v>8573108</v>
      </c>
    </row>
    <row r="6" spans="1:10" x14ac:dyDescent="0.25">
      <c r="A6" s="1">
        <v>3000</v>
      </c>
      <c r="B6" s="1">
        <v>5000</v>
      </c>
      <c r="C6">
        <v>535</v>
      </c>
      <c r="D6" s="1">
        <v>2137680</v>
      </c>
      <c r="G6" s="4">
        <v>2000</v>
      </c>
      <c r="H6" s="4">
        <v>3000</v>
      </c>
      <c r="I6" s="5">
        <v>1385</v>
      </c>
      <c r="J6" s="11">
        <v>3333563</v>
      </c>
    </row>
    <row r="7" spans="1:10" x14ac:dyDescent="0.25">
      <c r="A7" s="1">
        <v>5000</v>
      </c>
      <c r="B7" s="1">
        <v>10000</v>
      </c>
      <c r="C7">
        <v>761</v>
      </c>
      <c r="D7" s="1">
        <v>5330060</v>
      </c>
      <c r="G7" s="5">
        <v>3000</v>
      </c>
      <c r="H7" s="5">
        <v>5000</v>
      </c>
      <c r="I7" s="5">
        <v>846</v>
      </c>
      <c r="J7" s="11">
        <v>3199082</v>
      </c>
    </row>
    <row r="8" spans="1:10" x14ac:dyDescent="0.25">
      <c r="A8" s="1">
        <v>10000</v>
      </c>
      <c r="B8" s="1">
        <v>20000</v>
      </c>
      <c r="C8">
        <v>476</v>
      </c>
      <c r="D8" s="1">
        <v>6616796</v>
      </c>
      <c r="G8" s="5">
        <v>5000</v>
      </c>
      <c r="H8" s="12" t="s">
        <v>3</v>
      </c>
      <c r="I8" s="5">
        <v>434</v>
      </c>
      <c r="J8" s="11">
        <v>3401655</v>
      </c>
    </row>
    <row r="9" spans="1:10" x14ac:dyDescent="0.25">
      <c r="A9" s="1">
        <v>20000</v>
      </c>
      <c r="B9" s="1">
        <v>50000</v>
      </c>
      <c r="C9">
        <v>368</v>
      </c>
      <c r="D9" s="1">
        <v>11565985</v>
      </c>
      <c r="G9" s="1"/>
      <c r="H9" s="1"/>
      <c r="I9" s="1"/>
      <c r="J9" s="1"/>
    </row>
    <row r="10" spans="1:10" x14ac:dyDescent="0.25">
      <c r="A10" s="1">
        <v>50000</v>
      </c>
      <c r="B10" s="1">
        <v>100000</v>
      </c>
      <c r="C10">
        <v>114</v>
      </c>
      <c r="D10" s="1">
        <v>7908160</v>
      </c>
      <c r="G10" s="1"/>
      <c r="H10" s="10"/>
      <c r="I10" s="1"/>
      <c r="J10" s="1"/>
    </row>
    <row r="11" spans="1:10" x14ac:dyDescent="0.25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25">
      <c r="A12" s="1">
        <v>500000</v>
      </c>
      <c r="B12" t="s">
        <v>3</v>
      </c>
      <c r="C12">
        <v>17</v>
      </c>
      <c r="D12" s="1">
        <v>23231465</v>
      </c>
    </row>
    <row r="13" spans="1:10" x14ac:dyDescent="0.25">
      <c r="A13" s="2" t="s">
        <v>13</v>
      </c>
      <c r="D13" s="1">
        <f>SUM(D5:D12)</f>
        <v>80981143</v>
      </c>
    </row>
    <row r="14" spans="1:10" x14ac:dyDescent="0.25">
      <c r="A14" s="2" t="s">
        <v>14</v>
      </c>
      <c r="C14">
        <f>SUM(C5:C12)</f>
        <v>2838</v>
      </c>
      <c r="D14" s="1">
        <v>130079210</v>
      </c>
    </row>
    <row r="15" spans="1:10" x14ac:dyDescent="0.25">
      <c r="A15" s="2" t="s">
        <v>15</v>
      </c>
      <c r="D15" s="3">
        <f>100*D13/D14</f>
        <v>62.255254317734554</v>
      </c>
    </row>
    <row r="17" spans="1:10" ht="18.75" x14ac:dyDescent="0.3">
      <c r="A17" s="14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2" t="s">
        <v>0</v>
      </c>
      <c r="B24" s="2" t="s">
        <v>1</v>
      </c>
      <c r="C24" s="9" t="s">
        <v>36</v>
      </c>
      <c r="D24" s="2" t="s">
        <v>4</v>
      </c>
      <c r="G24" s="9" t="s">
        <v>0</v>
      </c>
      <c r="H24" s="9" t="s">
        <v>1</v>
      </c>
      <c r="I24" s="9" t="s">
        <v>36</v>
      </c>
      <c r="J24" s="9" t="s">
        <v>4</v>
      </c>
    </row>
    <row r="25" spans="1:10" x14ac:dyDescent="0.25">
      <c r="A25">
        <v>2500</v>
      </c>
      <c r="B25" s="1">
        <v>3000</v>
      </c>
      <c r="C25">
        <v>125</v>
      </c>
      <c r="D25" s="1">
        <v>342858</v>
      </c>
      <c r="G25" s="4"/>
      <c r="H25" s="4"/>
      <c r="I25" s="5"/>
      <c r="J25" s="11"/>
    </row>
    <row r="26" spans="1:10" x14ac:dyDescent="0.25">
      <c r="A26" s="1">
        <v>3000</v>
      </c>
      <c r="B26" s="1">
        <v>5000</v>
      </c>
      <c r="C26">
        <v>535</v>
      </c>
      <c r="D26" s="1">
        <v>2137680</v>
      </c>
      <c r="G26" s="4">
        <v>2500</v>
      </c>
      <c r="H26" s="4">
        <v>3000</v>
      </c>
      <c r="I26" s="5">
        <v>435</v>
      </c>
      <c r="J26" s="11">
        <v>1195222</v>
      </c>
    </row>
    <row r="27" spans="1:10" x14ac:dyDescent="0.25">
      <c r="A27" s="1">
        <v>5000</v>
      </c>
      <c r="B27" s="1">
        <v>10000</v>
      </c>
      <c r="C27">
        <v>761</v>
      </c>
      <c r="D27" s="1">
        <v>5330060</v>
      </c>
      <c r="G27" s="5">
        <v>3000</v>
      </c>
      <c r="H27" s="5">
        <v>5000</v>
      </c>
      <c r="I27" s="5">
        <v>846</v>
      </c>
      <c r="J27" s="11">
        <v>3199082</v>
      </c>
    </row>
    <row r="28" spans="1:10" x14ac:dyDescent="0.25">
      <c r="A28" s="1">
        <v>10000</v>
      </c>
      <c r="B28" s="1">
        <v>20000</v>
      </c>
      <c r="C28">
        <v>476</v>
      </c>
      <c r="D28" s="1">
        <v>6616796</v>
      </c>
      <c r="G28" s="5">
        <v>5000</v>
      </c>
      <c r="H28" s="12" t="s">
        <v>3</v>
      </c>
      <c r="I28" s="5">
        <v>434</v>
      </c>
      <c r="J28" s="11">
        <v>3401655</v>
      </c>
    </row>
    <row r="29" spans="1:10" x14ac:dyDescent="0.25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25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25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25">
      <c r="A32" s="1">
        <v>500000</v>
      </c>
      <c r="B32" t="s">
        <v>3</v>
      </c>
      <c r="C32">
        <v>17</v>
      </c>
      <c r="D32" s="1">
        <v>23231465</v>
      </c>
    </row>
    <row r="33" spans="1:10" x14ac:dyDescent="0.25">
      <c r="A33" s="2" t="s">
        <v>13</v>
      </c>
      <c r="D33" s="1">
        <f>SUM(D25:D32)</f>
        <v>80448405</v>
      </c>
    </row>
    <row r="34" spans="1:10" x14ac:dyDescent="0.25">
      <c r="A34" s="2" t="s">
        <v>14</v>
      </c>
      <c r="D34" s="1">
        <v>130079210</v>
      </c>
    </row>
    <row r="37" spans="1:10" x14ac:dyDescent="0.25">
      <c r="A37" t="s">
        <v>63</v>
      </c>
      <c r="D37" s="1">
        <f>SUM(D25:D32)</f>
        <v>80448405</v>
      </c>
      <c r="J37" s="1">
        <f>SUM(J25:J32)</f>
        <v>7795959</v>
      </c>
    </row>
    <row r="38" spans="1:10" x14ac:dyDescent="0.25">
      <c r="A38" s="2" t="s">
        <v>61</v>
      </c>
      <c r="D38" s="1">
        <f>D37+J37</f>
        <v>88244364</v>
      </c>
    </row>
    <row r="39" spans="1:10" x14ac:dyDescent="0.25">
      <c r="A39" s="2" t="s">
        <v>62</v>
      </c>
      <c r="D39" s="3">
        <f>100*D38/D34</f>
        <v>67.838945208846212</v>
      </c>
    </row>
    <row r="41" spans="1:10" ht="18.75" x14ac:dyDescent="0.3">
      <c r="A41" s="14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2" t="s">
        <v>0</v>
      </c>
      <c r="B45" s="2" t="s">
        <v>1</v>
      </c>
      <c r="C45" s="9" t="s">
        <v>36</v>
      </c>
      <c r="D45" s="2" t="s">
        <v>4</v>
      </c>
      <c r="G45" s="9" t="s">
        <v>0</v>
      </c>
      <c r="H45" s="9" t="s">
        <v>1</v>
      </c>
      <c r="I45" s="9" t="s">
        <v>36</v>
      </c>
      <c r="J45" s="9" t="s">
        <v>4</v>
      </c>
    </row>
    <row r="46" spans="1:10" x14ac:dyDescent="0.25">
      <c r="A46">
        <v>2000</v>
      </c>
      <c r="B46" s="1">
        <v>3000</v>
      </c>
      <c r="C46">
        <v>236</v>
      </c>
      <c r="D46" s="1">
        <v>593006</v>
      </c>
      <c r="G46" s="4"/>
      <c r="H46" s="4"/>
      <c r="I46" s="5"/>
      <c r="J46" s="11"/>
    </row>
    <row r="47" spans="1:10" x14ac:dyDescent="0.25">
      <c r="A47" s="1">
        <v>3000</v>
      </c>
      <c r="B47" s="1">
        <v>5000</v>
      </c>
      <c r="C47">
        <v>535</v>
      </c>
      <c r="D47" s="1">
        <v>2137680</v>
      </c>
      <c r="G47" s="4">
        <v>2000</v>
      </c>
      <c r="H47" s="4">
        <v>3000</v>
      </c>
      <c r="I47" s="5">
        <v>1385</v>
      </c>
      <c r="J47" s="11">
        <v>3333563</v>
      </c>
    </row>
    <row r="48" spans="1:10" x14ac:dyDescent="0.25">
      <c r="A48" s="1">
        <v>5000</v>
      </c>
      <c r="B48" s="1">
        <v>10000</v>
      </c>
      <c r="C48">
        <v>761</v>
      </c>
      <c r="D48" s="1">
        <v>5330060</v>
      </c>
      <c r="G48" s="5">
        <v>3000</v>
      </c>
      <c r="H48" s="5">
        <v>5000</v>
      </c>
      <c r="I48" s="5">
        <v>846</v>
      </c>
      <c r="J48" s="11">
        <v>3199082</v>
      </c>
    </row>
    <row r="49" spans="1:12" x14ac:dyDescent="0.25">
      <c r="A49" s="1">
        <v>10000</v>
      </c>
      <c r="B49" s="1">
        <v>20000</v>
      </c>
      <c r="C49">
        <v>476</v>
      </c>
      <c r="D49" s="1">
        <v>6616796</v>
      </c>
      <c r="G49" s="5">
        <v>5000</v>
      </c>
      <c r="H49" s="12" t="s">
        <v>3</v>
      </c>
      <c r="I49" s="5">
        <v>434</v>
      </c>
      <c r="J49" s="11">
        <v>3401655</v>
      </c>
    </row>
    <row r="50" spans="1:12" x14ac:dyDescent="0.25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25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25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25">
      <c r="A53" s="1">
        <v>500000</v>
      </c>
      <c r="B53" t="s">
        <v>3</v>
      </c>
      <c r="C53">
        <v>17</v>
      </c>
      <c r="D53" s="1">
        <v>23231465</v>
      </c>
    </row>
    <row r="54" spans="1:12" x14ac:dyDescent="0.25">
      <c r="A54" s="2" t="s">
        <v>14</v>
      </c>
      <c r="D54" s="1">
        <v>130079210</v>
      </c>
    </row>
    <row r="56" spans="1:12" x14ac:dyDescent="0.25">
      <c r="A56" t="s">
        <v>67</v>
      </c>
      <c r="D56" s="1">
        <f>SUM(D46:D53)</f>
        <v>80698553</v>
      </c>
      <c r="J56" s="1">
        <f>SUM(J46:J52)</f>
        <v>9934300</v>
      </c>
      <c r="L56" s="1">
        <f>D56+J56</f>
        <v>90632853</v>
      </c>
    </row>
    <row r="57" spans="1:12" x14ac:dyDescent="0.25">
      <c r="A57" s="2" t="s">
        <v>66</v>
      </c>
      <c r="D57" s="3"/>
      <c r="L57" s="16">
        <f>100*L56/D54</f>
        <v>69.675125640753819</v>
      </c>
    </row>
    <row r="59" spans="1:12" ht="18.75" x14ac:dyDescent="0.3">
      <c r="A59" s="14" t="s">
        <v>73</v>
      </c>
    </row>
    <row r="61" spans="1:12" x14ac:dyDescent="0.25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25">
      <c r="A62" s="2" t="s">
        <v>75</v>
      </c>
      <c r="L62" s="16">
        <f>100*L61/D54</f>
        <v>62.553825472956056</v>
      </c>
    </row>
  </sheetData>
  <mergeCells count="6"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3:D15"/>
  <sheetViews>
    <sheetView workbookViewId="0">
      <selection activeCell="A3" sqref="A3:B12"/>
    </sheetView>
  </sheetViews>
  <sheetFormatPr defaultRowHeight="15" x14ac:dyDescent="0.25"/>
  <cols>
    <col min="4" max="4" width="22.425781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13</v>
      </c>
      <c r="D13" s="1">
        <f>SUM(D4:D12)</f>
        <v>95373867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30"/>
  <sheetViews>
    <sheetView workbookViewId="0">
      <selection activeCell="F6" sqref="F6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9" t="s">
        <v>0</v>
      </c>
      <c r="B2" s="9" t="s">
        <v>1</v>
      </c>
      <c r="C2" s="9" t="s">
        <v>36</v>
      </c>
      <c r="D2" s="9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6" t="s">
        <v>22</v>
      </c>
      <c r="D14" s="1">
        <f>SUM(D5:D13)</f>
        <v>8269353</v>
      </c>
      <c r="F14" s="2" t="s">
        <v>71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4" t="s">
        <v>64</v>
      </c>
    </row>
    <row r="22" spans="1:6" x14ac:dyDescent="0.25">
      <c r="A22" s="1">
        <v>2000</v>
      </c>
      <c r="B22" s="1">
        <v>2500</v>
      </c>
      <c r="C22">
        <v>276</v>
      </c>
      <c r="D22" s="1">
        <v>614036</v>
      </c>
    </row>
    <row r="23" spans="1:6" x14ac:dyDescent="0.25">
      <c r="A23" s="1">
        <v>2500</v>
      </c>
      <c r="B23" s="1">
        <v>3000</v>
      </c>
      <c r="C23">
        <v>155</v>
      </c>
      <c r="D23" s="1">
        <v>418091</v>
      </c>
    </row>
    <row r="24" spans="1:6" x14ac:dyDescent="0.25">
      <c r="A24" s="1">
        <v>3000</v>
      </c>
      <c r="B24" s="1">
        <v>3500</v>
      </c>
      <c r="C24">
        <v>82</v>
      </c>
      <c r="D24" s="1">
        <v>263400</v>
      </c>
    </row>
    <row r="25" spans="1:6" x14ac:dyDescent="0.25">
      <c r="A25" s="1">
        <v>3500</v>
      </c>
      <c r="B25" s="1">
        <v>4000</v>
      </c>
      <c r="C25">
        <v>58</v>
      </c>
      <c r="D25" s="1">
        <v>216700</v>
      </c>
    </row>
    <row r="26" spans="1:6" x14ac:dyDescent="0.25">
      <c r="A26" s="1">
        <v>4000</v>
      </c>
      <c r="B26" s="1">
        <v>4500</v>
      </c>
      <c r="C26">
        <v>61</v>
      </c>
      <c r="D26" s="1">
        <v>258876</v>
      </c>
    </row>
    <row r="27" spans="1:6" x14ac:dyDescent="0.25">
      <c r="A27" s="1">
        <v>4500</v>
      </c>
      <c r="B27" s="1">
        <v>5000</v>
      </c>
      <c r="C27">
        <v>32</v>
      </c>
      <c r="D27" s="1">
        <v>151698</v>
      </c>
    </row>
    <row r="28" spans="1:6" x14ac:dyDescent="0.25">
      <c r="A28" s="1">
        <v>5000</v>
      </c>
      <c r="B28" t="s">
        <v>3</v>
      </c>
      <c r="C28">
        <v>218</v>
      </c>
      <c r="D28" s="1">
        <v>4232232</v>
      </c>
    </row>
    <row r="29" spans="1:6" x14ac:dyDescent="0.25">
      <c r="A29" s="6" t="s">
        <v>68</v>
      </c>
      <c r="D29" s="1">
        <f>SUM(D22:D28)</f>
        <v>6155033</v>
      </c>
    </row>
    <row r="30" spans="1:6" x14ac:dyDescent="0.25">
      <c r="A30" s="2" t="s">
        <v>15</v>
      </c>
      <c r="D30" s="15">
        <f>100*D29/D16</f>
        <v>37.184415952856575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40"/>
  <sheetViews>
    <sheetView workbookViewId="0">
      <selection activeCell="A39" sqref="A39:A40"/>
    </sheetView>
  </sheetViews>
  <sheetFormatPr defaultRowHeight="15" x14ac:dyDescent="0.25"/>
  <cols>
    <col min="4" max="4" width="10.140625" bestFit="1" customWidth="1"/>
    <col min="6" max="6" width="10.140625" bestFit="1" customWidth="1"/>
  </cols>
  <sheetData>
    <row r="2" spans="1:5" x14ac:dyDescent="0.25">
      <c r="A2" s="9" t="s">
        <v>0</v>
      </c>
      <c r="B2" s="9" t="s">
        <v>1</v>
      </c>
      <c r="C2" s="9" t="s">
        <v>36</v>
      </c>
      <c r="D2" s="9" t="s">
        <v>4</v>
      </c>
    </row>
    <row r="4" spans="1:5" x14ac:dyDescent="0.25">
      <c r="A4" s="12" t="s">
        <v>2</v>
      </c>
      <c r="B4">
        <v>100</v>
      </c>
      <c r="C4" s="4">
        <v>51555</v>
      </c>
      <c r="D4" s="5">
        <f>D21-SUM(D5:D18)</f>
        <v>1558268</v>
      </c>
    </row>
    <row r="5" spans="1:5" x14ac:dyDescent="0.25">
      <c r="A5">
        <v>100</v>
      </c>
      <c r="B5" s="4">
        <v>500</v>
      </c>
      <c r="C5">
        <v>27098</v>
      </c>
      <c r="D5" s="1">
        <v>6410224</v>
      </c>
    </row>
    <row r="6" spans="1:5" x14ac:dyDescent="0.25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25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25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25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25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25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25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25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25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25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25">
      <c r="A18" s="1">
        <v>500000</v>
      </c>
      <c r="B18" t="s">
        <v>3</v>
      </c>
      <c r="D18" s="1">
        <v>4165872</v>
      </c>
      <c r="E18" s="1"/>
    </row>
    <row r="19" spans="1:8" x14ac:dyDescent="0.25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25">
      <c r="A21" s="2" t="s">
        <v>14</v>
      </c>
      <c r="D21" s="1">
        <v>34923129</v>
      </c>
    </row>
    <row r="22" spans="1:8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75" x14ac:dyDescent="0.3">
      <c r="A25" s="14" t="s">
        <v>64</v>
      </c>
    </row>
    <row r="27" spans="1:8" x14ac:dyDescent="0.25">
      <c r="A27" s="1">
        <v>2000</v>
      </c>
      <c r="B27" s="1">
        <v>2500</v>
      </c>
      <c r="C27" s="1">
        <v>491</v>
      </c>
      <c r="D27" s="1">
        <v>1092427</v>
      </c>
    </row>
    <row r="28" spans="1:8" x14ac:dyDescent="0.25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25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25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25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25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25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25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25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25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25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25">
      <c r="A38" s="1">
        <v>500000</v>
      </c>
      <c r="B38" t="s">
        <v>3</v>
      </c>
      <c r="D38" s="1">
        <v>4165872</v>
      </c>
      <c r="F38" s="13" t="s">
        <v>52</v>
      </c>
    </row>
    <row r="39" spans="1:6" x14ac:dyDescent="0.25">
      <c r="A39" s="2" t="s">
        <v>68</v>
      </c>
      <c r="D39" s="1">
        <f>SUM(D27:D38)</f>
        <v>18797545</v>
      </c>
      <c r="F39" s="16">
        <f>100*D39/D21</f>
        <v>53.825489119259615</v>
      </c>
    </row>
    <row r="40" spans="1:6" x14ac:dyDescent="0.25">
      <c r="A40" s="2" t="s">
        <v>72</v>
      </c>
      <c r="D40" s="1">
        <f>SUM(D29:D38)</f>
        <v>14745658</v>
      </c>
      <c r="F40" s="16">
        <f>100*D40/D21</f>
        <v>42.223186816965914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42"/>
  <sheetViews>
    <sheetView workbookViewId="0">
      <selection activeCell="H31" sqref="H31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8" customWidth="1"/>
    <col min="13" max="13" width="10.85546875" customWidth="1"/>
  </cols>
  <sheetData>
    <row r="3" spans="1:13" x14ac:dyDescent="0.25">
      <c r="A3" s="9" t="s">
        <v>0</v>
      </c>
      <c r="B3" s="9" t="s">
        <v>1</v>
      </c>
      <c r="C3" s="9" t="s">
        <v>36</v>
      </c>
      <c r="D3" s="9" t="s">
        <v>4</v>
      </c>
    </row>
    <row r="4" spans="1:13" x14ac:dyDescent="0.25">
      <c r="A4" s="4"/>
      <c r="B4" s="4"/>
      <c r="C4" s="4"/>
      <c r="D4" s="4"/>
    </row>
    <row r="5" spans="1:13" x14ac:dyDescent="0.25">
      <c r="A5" s="4">
        <v>1</v>
      </c>
      <c r="B5" s="4">
        <v>100</v>
      </c>
      <c r="C5">
        <v>55650</v>
      </c>
      <c r="D5" s="10">
        <v>1471154</v>
      </c>
    </row>
    <row r="6" spans="1:13" x14ac:dyDescent="0.25">
      <c r="A6" s="4">
        <v>100</v>
      </c>
      <c r="B6" s="4">
        <v>500</v>
      </c>
      <c r="C6">
        <v>28055</v>
      </c>
      <c r="D6" s="10">
        <v>6889077</v>
      </c>
    </row>
    <row r="7" spans="1:13" x14ac:dyDescent="0.25">
      <c r="A7">
        <v>500</v>
      </c>
      <c r="B7" s="1">
        <v>1000</v>
      </c>
      <c r="C7">
        <v>7473</v>
      </c>
      <c r="D7" s="10">
        <v>5190166</v>
      </c>
    </row>
    <row r="8" spans="1:13" x14ac:dyDescent="0.25">
      <c r="A8" s="1">
        <v>1000</v>
      </c>
      <c r="B8" s="1">
        <v>2500</v>
      </c>
      <c r="C8">
        <v>4232</v>
      </c>
      <c r="D8" s="10">
        <v>6366285</v>
      </c>
    </row>
    <row r="9" spans="1:13" x14ac:dyDescent="0.25">
      <c r="A9" s="1">
        <v>2500</v>
      </c>
      <c r="B9" s="1">
        <v>5000</v>
      </c>
      <c r="C9">
        <v>1201</v>
      </c>
      <c r="D9" s="10">
        <v>4129872</v>
      </c>
    </row>
    <row r="10" spans="1:13" x14ac:dyDescent="0.25">
      <c r="A10" s="1">
        <v>5000</v>
      </c>
      <c r="B10" s="1">
        <v>10000</v>
      </c>
      <c r="C10">
        <v>539</v>
      </c>
      <c r="D10" s="10">
        <v>3764208</v>
      </c>
    </row>
    <row r="11" spans="1:13" x14ac:dyDescent="0.25">
      <c r="A11" s="1">
        <v>10000</v>
      </c>
      <c r="B11" s="1">
        <v>20000</v>
      </c>
      <c r="C11">
        <v>248</v>
      </c>
      <c r="D11" s="10">
        <v>3409846</v>
      </c>
    </row>
    <row r="12" spans="1:13" x14ac:dyDescent="0.25">
      <c r="A12" s="1">
        <v>20000</v>
      </c>
      <c r="B12" s="1">
        <v>30000</v>
      </c>
      <c r="C12">
        <v>65</v>
      </c>
      <c r="D12" s="10">
        <v>1531569</v>
      </c>
    </row>
    <row r="13" spans="1:13" x14ac:dyDescent="0.25">
      <c r="A13" s="1">
        <v>30000</v>
      </c>
      <c r="B13" s="1">
        <v>40000</v>
      </c>
      <c r="C13">
        <v>30</v>
      </c>
      <c r="D13" s="10">
        <v>1015827</v>
      </c>
    </row>
    <row r="14" spans="1:13" x14ac:dyDescent="0.25">
      <c r="A14" s="1">
        <v>40000</v>
      </c>
      <c r="B14" s="1">
        <v>50000</v>
      </c>
      <c r="C14">
        <v>19</v>
      </c>
      <c r="D14" s="10">
        <v>858422</v>
      </c>
      <c r="M14" s="10"/>
    </row>
    <row r="15" spans="1:13" x14ac:dyDescent="0.25">
      <c r="A15" s="1">
        <v>50000</v>
      </c>
      <c r="B15" s="1">
        <v>75000</v>
      </c>
      <c r="C15">
        <v>21</v>
      </c>
      <c r="D15" s="10">
        <v>1242173</v>
      </c>
      <c r="M15" s="10"/>
    </row>
    <row r="16" spans="1:13" x14ac:dyDescent="0.25">
      <c r="A16" s="1">
        <v>75000</v>
      </c>
      <c r="B16" s="1">
        <v>100000</v>
      </c>
      <c r="C16">
        <v>13</v>
      </c>
      <c r="D16" s="10">
        <v>1114396</v>
      </c>
      <c r="M16" s="10"/>
    </row>
    <row r="17" spans="1:13" x14ac:dyDescent="0.25">
      <c r="A17" s="1">
        <v>100000</v>
      </c>
      <c r="B17" s="1">
        <v>250000</v>
      </c>
      <c r="C17">
        <v>24</v>
      </c>
      <c r="D17" s="10">
        <v>3735336</v>
      </c>
      <c r="M17" s="10"/>
    </row>
    <row r="18" spans="1:13" x14ac:dyDescent="0.25">
      <c r="A18" s="1">
        <v>250000</v>
      </c>
      <c r="B18" s="1">
        <v>500000</v>
      </c>
      <c r="C18">
        <v>6</v>
      </c>
      <c r="D18" s="10">
        <v>1971794</v>
      </c>
      <c r="M18" s="10"/>
    </row>
    <row r="19" spans="1:13" x14ac:dyDescent="0.25">
      <c r="A19" s="1">
        <v>500000</v>
      </c>
      <c r="B19" t="s">
        <v>3</v>
      </c>
      <c r="C19">
        <v>4</v>
      </c>
      <c r="D19" s="10">
        <v>5535113</v>
      </c>
      <c r="M19" s="10"/>
    </row>
    <row r="20" spans="1:13" x14ac:dyDescent="0.25">
      <c r="A20" s="2" t="s">
        <v>22</v>
      </c>
      <c r="D20" s="1">
        <f>SUM(D8:D19)</f>
        <v>34674841</v>
      </c>
      <c r="F20" s="2" t="s">
        <v>71</v>
      </c>
      <c r="M20" s="10"/>
    </row>
    <row r="21" spans="1:13" x14ac:dyDescent="0.25">
      <c r="A21" s="2" t="s">
        <v>23</v>
      </c>
      <c r="D21" s="1">
        <f>D20</f>
        <v>34674841</v>
      </c>
      <c r="F21" s="1">
        <f>D22-D8-D7</f>
        <v>36668787</v>
      </c>
      <c r="M21" s="10"/>
    </row>
    <row r="22" spans="1:13" x14ac:dyDescent="0.25">
      <c r="A22" s="2" t="s">
        <v>14</v>
      </c>
      <c r="D22" s="1">
        <v>48225238</v>
      </c>
      <c r="M22" s="10"/>
    </row>
    <row r="23" spans="1:13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10"/>
    </row>
    <row r="24" spans="1:13" x14ac:dyDescent="0.25">
      <c r="J24" s="10"/>
      <c r="M24" s="10"/>
    </row>
    <row r="25" spans="1:13" x14ac:dyDescent="0.25">
      <c r="M25" s="10"/>
    </row>
    <row r="26" spans="1:13" x14ac:dyDescent="0.25">
      <c r="M26" s="10"/>
    </row>
    <row r="27" spans="1:13" ht="18.75" x14ac:dyDescent="0.3">
      <c r="A27" s="14" t="s">
        <v>64</v>
      </c>
      <c r="M27" s="10"/>
    </row>
    <row r="28" spans="1:13" x14ac:dyDescent="0.25">
      <c r="M28" s="10"/>
    </row>
    <row r="29" spans="1:13" x14ac:dyDescent="0.25">
      <c r="A29" s="1">
        <v>2000</v>
      </c>
      <c r="B29" s="1">
        <v>2500</v>
      </c>
      <c r="C29">
        <v>651</v>
      </c>
      <c r="D29" s="10">
        <v>1449152</v>
      </c>
      <c r="M29" s="10"/>
    </row>
    <row r="30" spans="1:13" x14ac:dyDescent="0.25">
      <c r="A30" s="1">
        <v>2500</v>
      </c>
      <c r="B30" s="1">
        <v>5000</v>
      </c>
      <c r="C30">
        <v>1201</v>
      </c>
      <c r="D30" s="10">
        <v>4129872</v>
      </c>
    </row>
    <row r="31" spans="1:13" x14ac:dyDescent="0.25">
      <c r="A31" s="1">
        <v>5000</v>
      </c>
      <c r="B31" s="1">
        <v>10000</v>
      </c>
      <c r="C31">
        <v>539</v>
      </c>
      <c r="D31" s="10">
        <v>3764208</v>
      </c>
    </row>
    <row r="32" spans="1:13" x14ac:dyDescent="0.25">
      <c r="A32" s="1">
        <v>10000</v>
      </c>
      <c r="B32" s="1">
        <v>20000</v>
      </c>
      <c r="C32">
        <v>248</v>
      </c>
      <c r="D32" s="10">
        <v>3409846</v>
      </c>
      <c r="M32" s="1"/>
    </row>
    <row r="33" spans="1:6" x14ac:dyDescent="0.25">
      <c r="A33" s="1">
        <v>20000</v>
      </c>
      <c r="B33" s="1">
        <v>30000</v>
      </c>
      <c r="C33">
        <v>65</v>
      </c>
      <c r="D33" s="10">
        <v>1531569</v>
      </c>
    </row>
    <row r="34" spans="1:6" x14ac:dyDescent="0.25">
      <c r="A34" s="1">
        <v>30000</v>
      </c>
      <c r="B34" s="1">
        <v>40000</v>
      </c>
      <c r="C34">
        <v>30</v>
      </c>
      <c r="D34" s="10">
        <v>1015827</v>
      </c>
    </row>
    <row r="35" spans="1:6" x14ac:dyDescent="0.25">
      <c r="A35" s="1">
        <v>40000</v>
      </c>
      <c r="B35" s="1">
        <v>50000</v>
      </c>
      <c r="C35">
        <v>19</v>
      </c>
      <c r="D35" s="10">
        <v>858422</v>
      </c>
    </row>
    <row r="36" spans="1:6" x14ac:dyDescent="0.25">
      <c r="A36" s="1">
        <v>50000</v>
      </c>
      <c r="B36" s="1">
        <v>75000</v>
      </c>
      <c r="C36">
        <v>21</v>
      </c>
      <c r="D36" s="10">
        <v>1242173</v>
      </c>
    </row>
    <row r="37" spans="1:6" x14ac:dyDescent="0.25">
      <c r="A37" s="1">
        <v>75000</v>
      </c>
      <c r="B37" s="1">
        <v>100000</v>
      </c>
      <c r="C37">
        <v>13</v>
      </c>
      <c r="D37" s="10">
        <v>1114396</v>
      </c>
    </row>
    <row r="38" spans="1:6" x14ac:dyDescent="0.25">
      <c r="A38" s="1">
        <v>100000</v>
      </c>
      <c r="B38" s="1">
        <v>250000</v>
      </c>
      <c r="C38">
        <v>24</v>
      </c>
      <c r="D38" s="10">
        <v>3735336</v>
      </c>
    </row>
    <row r="39" spans="1:6" x14ac:dyDescent="0.25">
      <c r="A39" s="1">
        <v>250000</v>
      </c>
      <c r="B39" s="1">
        <v>500000</v>
      </c>
      <c r="C39">
        <v>6</v>
      </c>
      <c r="D39" s="10">
        <v>1971794</v>
      </c>
    </row>
    <row r="40" spans="1:6" x14ac:dyDescent="0.25">
      <c r="A40" s="1">
        <v>500000</v>
      </c>
      <c r="B40" t="s">
        <v>3</v>
      </c>
      <c r="C40">
        <v>4</v>
      </c>
      <c r="D40" s="10">
        <v>5535113</v>
      </c>
      <c r="F40" s="13" t="s">
        <v>52</v>
      </c>
    </row>
    <row r="41" spans="1:6" x14ac:dyDescent="0.25">
      <c r="A41" s="2" t="s">
        <v>68</v>
      </c>
      <c r="D41" s="1">
        <f>SUM(D29:D40)</f>
        <v>29757708</v>
      </c>
      <c r="F41" s="16">
        <f>100*D41/D22</f>
        <v>61.705673697245416</v>
      </c>
    </row>
    <row r="42" spans="1:6" x14ac:dyDescent="0.25">
      <c r="A42" s="2" t="s">
        <v>72</v>
      </c>
      <c r="D42" s="1">
        <f>SUM(D31:D40)</f>
        <v>24178684</v>
      </c>
      <c r="F42" s="16">
        <f>100*D42/D22</f>
        <v>50.13699258467112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2026-04-28T16:24:15Z</dcterms:modified>
</cp:coreProperties>
</file>