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D6C6BAEA-8358-4B05-9308-53BB069095E6}" xr6:coauthVersionLast="45" xr6:coauthVersionMax="45" xr10:uidLastSave="{00000000-0000-0000-0000-000000000000}"/>
  <bookViews>
    <workbookView xWindow="-60" yWindow="-60" windowWidth="38520" windowHeight="23700" activeTab="1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7" i="8" l="1"/>
  <c r="D37" i="8"/>
  <c r="D37" i="6"/>
  <c r="D38" i="6" s="1"/>
  <c r="D39" i="6" s="1"/>
  <c r="J37" i="6"/>
  <c r="J37" i="7"/>
  <c r="D37" i="7"/>
  <c r="D38" i="7" s="1"/>
  <c r="D39" i="7" s="1"/>
  <c r="D40" i="2"/>
  <c r="D39" i="2"/>
  <c r="J38" i="2"/>
  <c r="D38" i="2"/>
  <c r="C14" i="8"/>
  <c r="C14" i="7"/>
  <c r="C14" i="6"/>
  <c r="C15" i="2"/>
  <c r="D33" i="8"/>
  <c r="D33" i="6"/>
  <c r="D33" i="7"/>
  <c r="D34" i="2"/>
  <c r="J40" i="17"/>
  <c r="D40" i="17"/>
  <c r="J39" i="17"/>
  <c r="D39" i="17"/>
  <c r="D38" i="8" l="1"/>
  <c r="D39" i="8" s="1"/>
  <c r="F17" i="13"/>
  <c r="E20" i="14"/>
  <c r="E20" i="15"/>
  <c r="E18" i="15"/>
  <c r="C17" i="15"/>
  <c r="C18" i="15" s="1"/>
  <c r="C20" i="15" s="1"/>
  <c r="C20" i="14"/>
  <c r="C18" i="14"/>
  <c r="C4" i="14"/>
  <c r="C17" i="14"/>
  <c r="D4" i="13"/>
  <c r="D14" i="13"/>
  <c r="D15" i="13"/>
  <c r="D17" i="13" s="1"/>
  <c r="D37" i="4"/>
  <c r="D37" i="3"/>
  <c r="D35" i="4"/>
  <c r="D35" i="3"/>
  <c r="D13" i="10"/>
  <c r="D15" i="10" s="1"/>
  <c r="D13" i="9"/>
  <c r="D15" i="9" s="1"/>
  <c r="D15" i="8"/>
  <c r="D15" i="6"/>
  <c r="D14" i="4"/>
  <c r="D15" i="7"/>
  <c r="D16" i="2"/>
  <c r="D14" i="3"/>
  <c r="D13" i="8"/>
  <c r="D13" i="7"/>
  <c r="D13" i="6"/>
  <c r="D12" i="4"/>
  <c r="D14" i="2"/>
  <c r="D12" i="3"/>
  <c r="C4" i="15" l="1"/>
</calcChain>
</file>

<file path=xl/sharedStrings.xml><?xml version="1.0" encoding="utf-8"?>
<sst xmlns="http://schemas.openxmlformats.org/spreadsheetml/2006/main" count="291" uniqueCount="68">
  <si>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</si>
  <si>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</si>
  <si>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</si>
  <si>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</si>
  <si>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</si>
  <si>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</si>
  <si>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</si>
  <si>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</si>
  <si>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</si>
  <si>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</si>
  <si>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</si>
  <si>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</si>
  <si>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</si>
  <si>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</si>
  <si>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</si>
  <si>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</si>
  <si>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</si>
  <si>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</si>
  <si>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</si>
  <si>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</si>
  <si>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</si>
  <si>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</si>
  <si>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</si>
  <si>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</si>
  <si>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гор. офиц.</t>
  </si>
  <si>
    <t>т.е.  живущих в пунктах с более 2500</t>
  </si>
  <si>
    <t>MX-1960</t>
  </si>
  <si>
    <t>"VIII Censo General de Población 1960. 8 de junio de 1960. Resumen general", cтр. 59, 68</t>
  </si>
  <si>
    <t>"Quinto Censo de Población. 15 de mayo de 1930. Resumen general", стр. 39-40</t>
  </si>
  <si>
    <t>MX-1970</t>
  </si>
  <si>
    <t>v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</si>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</sst>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0" borderId="0" xfId="0" applyFont="1"/>
    <xf numFmtId="3" fontId="0" fillId="0" borderId="0" xfId="0" applyNumberFormat="1" applyFon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26"/>
  <sheetViews>
    <sheetView workbookViewId="0">
      <selection activeCell="B19" sqref="B19"/>
    </sheetView>
  </sheetViews>
  <sheetFormatPr defaultRowHeight="15" x14ac:dyDescent="0.25"/>
  <cols>
    <col min="1" max="1" width="13.140625" customWidth="1"/>
  </cols>
  <sheetData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32</v>
      </c>
    </row>
    <row r="5" spans="1:2" x14ac:dyDescent="0.25">
      <c r="A5" s="2"/>
      <c r="B5" t="s">
        <v>45</v>
      </c>
    </row>
    <row r="6" spans="1:2" x14ac:dyDescent="0.25">
      <c r="A6" s="2"/>
    </row>
    <row r="7" spans="1:2" x14ac:dyDescent="0.25">
      <c r="A7" s="2" t="s">
        <v>5</v>
      </c>
      <c r="B7" t="s">
        <v>61</v>
      </c>
    </row>
    <row r="8" spans="1:2" x14ac:dyDescent="0.25">
      <c r="A8" s="2"/>
    </row>
    <row r="9" spans="1:2" x14ac:dyDescent="0.25">
      <c r="A9" s="2" t="s">
        <v>12</v>
      </c>
      <c r="B9" t="s">
        <v>63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62</v>
      </c>
    </row>
    <row r="18" spans="1:2" x14ac:dyDescent="0.25">
      <c r="A18" s="2" t="s">
        <v>11</v>
      </c>
      <c r="B18" t="s">
        <v>64</v>
      </c>
    </row>
    <row r="20" spans="1:2" x14ac:dyDescent="0.25">
      <c r="A20" s="2" t="s">
        <v>19</v>
      </c>
      <c r="B20" t="s">
        <v>18</v>
      </c>
    </row>
    <row r="22" spans="1:2" x14ac:dyDescent="0.25">
      <c r="A22" s="2" t="s">
        <v>21</v>
      </c>
      <c r="B22" t="s">
        <v>28</v>
      </c>
    </row>
    <row r="24" spans="1:2" x14ac:dyDescent="0.25">
      <c r="A24" s="2" t="s">
        <v>26</v>
      </c>
      <c r="B24" t="s">
        <v>27</v>
      </c>
    </row>
    <row r="26" spans="1:2" x14ac:dyDescent="0.25">
      <c r="A26" s="2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40"/>
  <sheetViews>
    <sheetView tabSelected="1" workbookViewId="0">
      <selection activeCell="J45" sqref="J45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</cols>
  <sheetData>
    <row r="3" spans="1:14" x14ac:dyDescent="0.25">
      <c r="A3" s="8" t="s">
        <v>46</v>
      </c>
      <c r="B3" s="8"/>
      <c r="C3" s="9" t="s">
        <v>41</v>
      </c>
      <c r="D3" s="9"/>
      <c r="E3" s="9" t="s">
        <v>42</v>
      </c>
      <c r="F3" s="9"/>
      <c r="G3" s="9" t="s">
        <v>43</v>
      </c>
      <c r="H3" s="9"/>
      <c r="I3" s="9" t="s">
        <v>36</v>
      </c>
      <c r="J3" s="9"/>
      <c r="K3" s="9" t="s">
        <v>37</v>
      </c>
      <c r="L3" s="9"/>
      <c r="M3" s="9" t="s">
        <v>38</v>
      </c>
      <c r="N3" s="9"/>
    </row>
    <row r="4" spans="1:14" x14ac:dyDescent="0.25">
      <c r="A4" s="11" t="s">
        <v>0</v>
      </c>
      <c r="B4" s="11" t="s">
        <v>1</v>
      </c>
      <c r="C4" s="10" t="s">
        <v>40</v>
      </c>
      <c r="D4" s="10" t="s">
        <v>4</v>
      </c>
      <c r="E4" s="10" t="s">
        <v>40</v>
      </c>
      <c r="F4" s="10" t="s">
        <v>4</v>
      </c>
      <c r="G4" s="10" t="s">
        <v>40</v>
      </c>
      <c r="H4" s="10" t="s">
        <v>4</v>
      </c>
      <c r="I4" s="10" t="s">
        <v>40</v>
      </c>
      <c r="J4" s="10" t="s">
        <v>4</v>
      </c>
      <c r="K4" s="10" t="s">
        <v>40</v>
      </c>
      <c r="L4" s="10" t="s">
        <v>4</v>
      </c>
      <c r="M4" s="10" t="s">
        <v>40</v>
      </c>
      <c r="N4" s="10" t="s">
        <v>4</v>
      </c>
    </row>
    <row r="5" spans="1:14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25">
      <c r="A18" t="s">
        <v>44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25">
      <c r="A19" t="s">
        <v>39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x14ac:dyDescent="0.25">
      <c r="B21" t="s">
        <v>54</v>
      </c>
    </row>
    <row r="22" spans="1:14" x14ac:dyDescent="0.25">
      <c r="B22" t="s">
        <v>47</v>
      </c>
    </row>
    <row r="23" spans="1:14" x14ac:dyDescent="0.25">
      <c r="B23" t="s">
        <v>55</v>
      </c>
    </row>
    <row r="24" spans="1:14" x14ac:dyDescent="0.25">
      <c r="B24" t="s">
        <v>48</v>
      </c>
    </row>
    <row r="25" spans="1:14" x14ac:dyDescent="0.25">
      <c r="B25" t="s">
        <v>49</v>
      </c>
    </row>
    <row r="27" spans="1:14" x14ac:dyDescent="0.25">
      <c r="B27" t="s">
        <v>50</v>
      </c>
    </row>
    <row r="28" spans="1:14" x14ac:dyDescent="0.25">
      <c r="B28" t="s">
        <v>51</v>
      </c>
    </row>
    <row r="29" spans="1:14" x14ac:dyDescent="0.25">
      <c r="B29" t="s">
        <v>52</v>
      </c>
    </row>
    <row r="30" spans="1:14" x14ac:dyDescent="0.25">
      <c r="B30" t="s">
        <v>53</v>
      </c>
    </row>
    <row r="32" spans="1:14" x14ac:dyDescent="0.25">
      <c r="A32" s="1">
        <v>2500</v>
      </c>
      <c r="B32" s="1">
        <v>5000</v>
      </c>
      <c r="C32" s="1">
        <v>4300</v>
      </c>
      <c r="D32" s="1">
        <v>14506569</v>
      </c>
      <c r="E32" s="1">
        <v>428</v>
      </c>
      <c r="F32" s="1">
        <v>1551432</v>
      </c>
      <c r="G32" s="1">
        <v>3871</v>
      </c>
      <c r="H32" s="1">
        <v>12955137</v>
      </c>
      <c r="I32" s="1">
        <v>2466</v>
      </c>
      <c r="J32" s="1">
        <v>8289401</v>
      </c>
      <c r="K32" s="1">
        <v>279</v>
      </c>
      <c r="L32" s="1">
        <v>1011440</v>
      </c>
      <c r="M32" s="1">
        <v>2187</v>
      </c>
      <c r="N32" s="1">
        <v>7277961</v>
      </c>
    </row>
    <row r="33" spans="1:14" x14ac:dyDescent="0.25">
      <c r="A33" s="1">
        <v>5000</v>
      </c>
      <c r="B33" s="1">
        <v>10000</v>
      </c>
      <c r="C33" s="1">
        <v>1280</v>
      </c>
      <c r="D33" s="1">
        <v>8557326</v>
      </c>
      <c r="E33" s="1">
        <v>378</v>
      </c>
      <c r="F33" s="1">
        <v>2688102</v>
      </c>
      <c r="G33" s="1">
        <v>902</v>
      </c>
      <c r="H33" s="1">
        <v>5869224</v>
      </c>
      <c r="I33" s="1">
        <v>721</v>
      </c>
      <c r="J33" s="1">
        <v>4861267</v>
      </c>
      <c r="K33" s="1">
        <v>243</v>
      </c>
      <c r="L33" s="1">
        <v>1727240</v>
      </c>
      <c r="M33" s="1">
        <v>478</v>
      </c>
      <c r="N33" s="1">
        <v>3134027</v>
      </c>
    </row>
    <row r="34" spans="1:14" x14ac:dyDescent="0.25">
      <c r="A34" s="1">
        <v>10000</v>
      </c>
      <c r="B34" s="1">
        <v>20000</v>
      </c>
      <c r="C34" s="1">
        <v>421</v>
      </c>
      <c r="D34" s="1">
        <v>5620665</v>
      </c>
      <c r="E34" s="1">
        <v>253</v>
      </c>
      <c r="F34" s="1">
        <v>3522846</v>
      </c>
      <c r="G34" s="1">
        <v>168</v>
      </c>
      <c r="H34" s="1">
        <v>2097819</v>
      </c>
      <c r="I34" s="1">
        <v>292</v>
      </c>
      <c r="J34" s="1">
        <v>3907710</v>
      </c>
      <c r="K34" s="1">
        <v>161</v>
      </c>
      <c r="L34" s="1">
        <v>2276487</v>
      </c>
      <c r="M34" s="1">
        <v>131</v>
      </c>
      <c r="N34" s="1">
        <v>1631223</v>
      </c>
    </row>
    <row r="35" spans="1:14" x14ac:dyDescent="0.25">
      <c r="A35" s="1">
        <v>20000</v>
      </c>
      <c r="B35" s="1">
        <v>50000</v>
      </c>
      <c r="C35" s="1">
        <v>140</v>
      </c>
      <c r="D35" s="1">
        <v>4093873</v>
      </c>
      <c r="E35" s="1">
        <v>135</v>
      </c>
      <c r="F35" s="1">
        <v>3982819</v>
      </c>
      <c r="G35" s="1">
        <v>5</v>
      </c>
      <c r="H35" s="1">
        <v>111054</v>
      </c>
      <c r="I35" s="1">
        <v>93</v>
      </c>
      <c r="J35" s="1">
        <v>2670393</v>
      </c>
      <c r="K35" s="1">
        <v>90</v>
      </c>
      <c r="L35" s="1">
        <v>2605731</v>
      </c>
      <c r="M35" s="1">
        <v>3</v>
      </c>
      <c r="N35" s="1">
        <v>64662</v>
      </c>
    </row>
    <row r="36" spans="1:14" x14ac:dyDescent="0.25">
      <c r="A36" s="1">
        <v>50000</v>
      </c>
      <c r="B36" s="1">
        <v>100000</v>
      </c>
      <c r="C36" s="1">
        <v>60</v>
      </c>
      <c r="D36" s="1">
        <v>4108692</v>
      </c>
      <c r="E36" s="1">
        <v>60</v>
      </c>
      <c r="F36" s="1">
        <v>4108692</v>
      </c>
      <c r="G36" s="1">
        <v>0</v>
      </c>
      <c r="H36" s="1">
        <v>0</v>
      </c>
      <c r="I36" s="1">
        <v>40</v>
      </c>
      <c r="J36" s="1">
        <v>2786535</v>
      </c>
      <c r="K36" s="1">
        <v>40</v>
      </c>
      <c r="L36" s="1">
        <v>2786535</v>
      </c>
      <c r="M36" s="1">
        <v>0</v>
      </c>
      <c r="N36" s="1">
        <v>0</v>
      </c>
    </row>
    <row r="37" spans="1:14" x14ac:dyDescent="0.25">
      <c r="A37" t="s">
        <v>44</v>
      </c>
      <c r="B37" s="1">
        <v>100000</v>
      </c>
      <c r="C37" s="1">
        <v>32</v>
      </c>
      <c r="D37" s="1">
        <v>9550941</v>
      </c>
      <c r="E37" s="1">
        <v>32</v>
      </c>
      <c r="F37" s="1">
        <v>9550941</v>
      </c>
      <c r="G37" s="1">
        <v>0</v>
      </c>
      <c r="H37" s="1">
        <v>0</v>
      </c>
      <c r="I37" s="1">
        <v>20</v>
      </c>
      <c r="J37" s="1">
        <v>6447410</v>
      </c>
      <c r="K37" s="1">
        <v>20</v>
      </c>
      <c r="L37" s="1">
        <v>6447410</v>
      </c>
      <c r="M37" s="1">
        <v>0</v>
      </c>
      <c r="N37" s="1">
        <v>0</v>
      </c>
    </row>
    <row r="39" spans="1:14" x14ac:dyDescent="0.25">
      <c r="A39" t="s">
        <v>39</v>
      </c>
      <c r="D39" s="1">
        <f>SUM(D32:D37)</f>
        <v>46438066</v>
      </c>
      <c r="J39" s="1">
        <f>SUM(J32:J37)</f>
        <v>28962716</v>
      </c>
    </row>
    <row r="40" spans="1:14" x14ac:dyDescent="0.25">
      <c r="A40" t="s">
        <v>56</v>
      </c>
      <c r="D40" s="3">
        <f>100*D39/D19</f>
        <v>31.595930010739593</v>
      </c>
      <c r="J40" s="3">
        <f>100*J39/J19</f>
        <v>28.722572032524745</v>
      </c>
    </row>
  </sheetData>
  <mergeCells count="7">
    <mergeCell ref="A3:B3"/>
    <mergeCell ref="C3:D3"/>
    <mergeCell ref="E3:F3"/>
    <mergeCell ref="G3:H3"/>
    <mergeCell ref="I3:J3"/>
    <mergeCell ref="K3:L3"/>
    <mergeCell ref="M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5" x14ac:dyDescent="0.25"/>
  <cols>
    <col min="4" max="4" width="11" customWidth="1"/>
  </cols>
  <sheetData>
    <row r="1" spans="1:4" x14ac:dyDescent="0.25">
      <c r="A1" s="7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7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5">
        <v>1000</v>
      </c>
      <c r="C20" s="2"/>
      <c r="D20" s="5">
        <v>11126</v>
      </c>
    </row>
    <row r="21" spans="1:4" x14ac:dyDescent="0.25">
      <c r="A21" s="5">
        <v>1000</v>
      </c>
      <c r="B21" s="5">
        <v>2000</v>
      </c>
      <c r="C21" s="4"/>
      <c r="D21" s="5">
        <v>53807</v>
      </c>
    </row>
    <row r="22" spans="1:4" x14ac:dyDescent="0.25">
      <c r="A22" s="5">
        <v>2000</v>
      </c>
      <c r="B22" s="5">
        <v>3000</v>
      </c>
      <c r="C22" s="4"/>
      <c r="D22" s="5">
        <v>120250</v>
      </c>
    </row>
    <row r="23" spans="1:4" x14ac:dyDescent="0.25">
      <c r="A23" s="5">
        <v>3000</v>
      </c>
      <c r="B23" s="5">
        <v>5000</v>
      </c>
      <c r="C23" s="4"/>
      <c r="D23" s="5">
        <v>414313</v>
      </c>
    </row>
    <row r="24" spans="1:4" x14ac:dyDescent="0.25">
      <c r="A24" s="5">
        <v>5000</v>
      </c>
      <c r="B24" s="5">
        <v>7000</v>
      </c>
      <c r="C24" s="4"/>
      <c r="D24" s="5">
        <v>437484</v>
      </c>
    </row>
    <row r="25" spans="1:4" x14ac:dyDescent="0.25">
      <c r="A25" s="5">
        <v>7000</v>
      </c>
      <c r="B25" s="5">
        <v>10000</v>
      </c>
      <c r="C25" s="4"/>
      <c r="D25" s="5">
        <v>611204</v>
      </c>
    </row>
    <row r="26" spans="1:4" x14ac:dyDescent="0.25">
      <c r="A26" s="5">
        <v>10000</v>
      </c>
      <c r="B26" s="5">
        <v>15000</v>
      </c>
      <c r="C26" s="4"/>
      <c r="D26" s="5">
        <v>1214439</v>
      </c>
    </row>
    <row r="27" spans="1:4" x14ac:dyDescent="0.25">
      <c r="A27" s="5">
        <v>15000</v>
      </c>
      <c r="B27" s="5">
        <v>20000</v>
      </c>
      <c r="C27" s="4"/>
      <c r="D27" s="5">
        <v>850914</v>
      </c>
    </row>
    <row r="28" spans="1:4" x14ac:dyDescent="0.25">
      <c r="A28" s="5">
        <v>20000</v>
      </c>
      <c r="B28" s="5">
        <v>25000</v>
      </c>
      <c r="C28" s="4"/>
      <c r="D28" s="5">
        <v>778363</v>
      </c>
    </row>
    <row r="29" spans="1:4" x14ac:dyDescent="0.25">
      <c r="A29" s="5">
        <v>25000</v>
      </c>
      <c r="B29" s="5">
        <v>30000</v>
      </c>
      <c r="C29" s="4"/>
      <c r="D29" s="5">
        <v>563766</v>
      </c>
    </row>
    <row r="30" spans="1:4" x14ac:dyDescent="0.25">
      <c r="A30" s="5">
        <v>30000</v>
      </c>
      <c r="B30" s="5">
        <v>40000</v>
      </c>
      <c r="C30" s="4"/>
      <c r="D30" s="5">
        <v>1243442</v>
      </c>
    </row>
    <row r="31" spans="1:4" x14ac:dyDescent="0.25">
      <c r="A31" s="5">
        <v>40000</v>
      </c>
      <c r="B31" s="5">
        <v>50000</v>
      </c>
      <c r="C31" s="4"/>
      <c r="D31" s="5">
        <v>682374</v>
      </c>
    </row>
    <row r="32" spans="1:4" x14ac:dyDescent="0.25">
      <c r="A32" s="5">
        <v>50000</v>
      </c>
      <c r="B32" s="5">
        <v>70000</v>
      </c>
      <c r="C32" s="4"/>
      <c r="D32" s="5">
        <v>1811560</v>
      </c>
    </row>
    <row r="33" spans="1:4" x14ac:dyDescent="0.25">
      <c r="A33" s="5">
        <v>70000</v>
      </c>
      <c r="B33" s="5">
        <v>100000</v>
      </c>
      <c r="C33" s="4"/>
      <c r="D33" s="5">
        <v>2226166</v>
      </c>
    </row>
    <row r="34" spans="1:4" x14ac:dyDescent="0.25">
      <c r="A34" s="5">
        <v>100000</v>
      </c>
      <c r="B34" s="4" t="s">
        <v>3</v>
      </c>
      <c r="C34" s="4"/>
      <c r="D34" s="5">
        <v>9142693</v>
      </c>
    </row>
    <row r="35" spans="1:4" x14ac:dyDescent="0.25">
      <c r="A35" s="2" t="s">
        <v>13</v>
      </c>
      <c r="B35" s="4"/>
      <c r="C35" s="4"/>
      <c r="D35" s="5">
        <f>SUM(D20:D34)</f>
        <v>20161901</v>
      </c>
    </row>
    <row r="36" spans="1:4" x14ac:dyDescent="0.25">
      <c r="A36" s="2" t="s">
        <v>14</v>
      </c>
      <c r="B36" s="4"/>
      <c r="C36" s="4"/>
      <c r="D36" s="5">
        <v>147027915</v>
      </c>
    </row>
    <row r="37" spans="1:4" x14ac:dyDescent="0.25">
      <c r="A37" s="2" t="s">
        <v>15</v>
      </c>
      <c r="B37" s="4"/>
      <c r="C37" s="4"/>
      <c r="D37" s="3">
        <f>100*D35/D36</f>
        <v>13.712974845627103</v>
      </c>
    </row>
    <row r="38" spans="1:4" x14ac:dyDescent="0.25">
      <c r="A38" s="4"/>
      <c r="B38" s="4"/>
      <c r="C38" s="4"/>
      <c r="D38" s="5"/>
    </row>
    <row r="39" spans="1:4" x14ac:dyDescent="0.25">
      <c r="A39" s="7" t="s">
        <v>33</v>
      </c>
      <c r="B39" s="4"/>
      <c r="C39" s="4"/>
      <c r="D39" s="5"/>
    </row>
    <row r="40" spans="1:4" x14ac:dyDescent="0.25">
      <c r="A40" s="4"/>
      <c r="B40" s="4"/>
      <c r="C40" s="4"/>
      <c r="D40" s="5"/>
    </row>
    <row r="41" spans="1:4" x14ac:dyDescent="0.25">
      <c r="A41" s="4"/>
      <c r="B41" s="4"/>
      <c r="C41" s="4"/>
      <c r="D41" s="5"/>
    </row>
    <row r="42" spans="1:4" x14ac:dyDescent="0.25">
      <c r="A42" s="4"/>
      <c r="B42" s="4"/>
      <c r="C42" s="4"/>
      <c r="D42" s="4"/>
    </row>
    <row r="43" spans="1:4" x14ac:dyDescent="0.25">
      <c r="A43" s="4"/>
      <c r="B43" s="4"/>
      <c r="C43" s="4"/>
      <c r="D43" s="4"/>
    </row>
    <row r="44" spans="1:4" x14ac:dyDescent="0.25">
      <c r="A44" s="4"/>
      <c r="B44" s="4"/>
      <c r="C44" s="4"/>
      <c r="D44" s="4"/>
    </row>
    <row r="45" spans="1:4" x14ac:dyDescent="0.25">
      <c r="A45" s="4"/>
      <c r="B45" s="4"/>
      <c r="C45" s="4"/>
      <c r="D45" s="4"/>
    </row>
    <row r="46" spans="1:4" x14ac:dyDescent="0.25">
      <c r="A46" s="4"/>
      <c r="B46" s="4"/>
      <c r="C46" s="4"/>
      <c r="D46" s="4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3:N40"/>
  <sheetViews>
    <sheetView workbookViewId="0">
      <selection activeCell="C24" sqref="C24:D24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0.140625" bestFit="1" customWidth="1"/>
  </cols>
  <sheetData>
    <row r="3" spans="1:14" x14ac:dyDescent="0.25">
      <c r="I3" s="8" t="s">
        <v>59</v>
      </c>
      <c r="J3" s="8"/>
      <c r="M3" s="11"/>
      <c r="N3" s="11"/>
    </row>
    <row r="4" spans="1:14" x14ac:dyDescent="0.25">
      <c r="C4" s="8" t="s">
        <v>60</v>
      </c>
      <c r="D4" s="8"/>
      <c r="G4" s="11" t="s">
        <v>0</v>
      </c>
      <c r="H4" s="11" t="s">
        <v>1</v>
      </c>
      <c r="I4" s="11" t="s">
        <v>40</v>
      </c>
      <c r="J4" s="11" t="s">
        <v>4</v>
      </c>
      <c r="N4" s="11"/>
    </row>
    <row r="5" spans="1:14" x14ac:dyDescent="0.25">
      <c r="A5" s="11" t="s">
        <v>0</v>
      </c>
      <c r="B5" s="11" t="s">
        <v>1</v>
      </c>
      <c r="C5" s="11" t="s">
        <v>40</v>
      </c>
      <c r="D5" s="11" t="s">
        <v>4</v>
      </c>
      <c r="G5">
        <v>1000</v>
      </c>
      <c r="H5">
        <v>2000</v>
      </c>
      <c r="I5">
        <v>14218</v>
      </c>
      <c r="J5" s="1">
        <v>19337000</v>
      </c>
    </row>
    <row r="6" spans="1:14" x14ac:dyDescent="0.25">
      <c r="A6" t="s">
        <v>2</v>
      </c>
      <c r="B6" s="1">
        <v>3000</v>
      </c>
      <c r="C6">
        <v>843</v>
      </c>
      <c r="D6" s="1">
        <v>1610533</v>
      </c>
      <c r="G6">
        <v>2000</v>
      </c>
      <c r="H6">
        <v>3000</v>
      </c>
      <c r="I6">
        <v>3482</v>
      </c>
      <c r="J6" s="1">
        <v>8389199</v>
      </c>
    </row>
    <row r="7" spans="1:14" x14ac:dyDescent="0.25">
      <c r="A7" s="1">
        <v>3000</v>
      </c>
      <c r="B7" s="1">
        <v>5000</v>
      </c>
      <c r="C7">
        <v>904</v>
      </c>
      <c r="D7" s="1">
        <v>3596828</v>
      </c>
      <c r="G7" s="1">
        <v>3000</v>
      </c>
      <c r="H7" s="1">
        <v>5000</v>
      </c>
      <c r="I7" s="1">
        <v>1807</v>
      </c>
      <c r="J7" s="1">
        <v>6732200</v>
      </c>
    </row>
    <row r="8" spans="1:14" x14ac:dyDescent="0.25">
      <c r="A8" s="1">
        <v>5000</v>
      </c>
      <c r="B8" s="1">
        <v>10000</v>
      </c>
      <c r="C8">
        <v>1296</v>
      </c>
      <c r="D8" s="1">
        <v>9213576</v>
      </c>
      <c r="G8" s="1">
        <v>5000</v>
      </c>
      <c r="H8" t="s">
        <v>3</v>
      </c>
      <c r="I8">
        <v>675</v>
      </c>
      <c r="J8" s="1">
        <v>4973200</v>
      </c>
    </row>
    <row r="9" spans="1:14" x14ac:dyDescent="0.25">
      <c r="A9" s="1">
        <v>10000</v>
      </c>
      <c r="B9" s="1">
        <v>20000</v>
      </c>
      <c r="C9">
        <v>798</v>
      </c>
      <c r="D9" s="1">
        <v>11150064</v>
      </c>
      <c r="G9" s="1"/>
      <c r="H9" s="1"/>
    </row>
    <row r="10" spans="1:14" x14ac:dyDescent="0.25">
      <c r="A10" s="1">
        <v>20000</v>
      </c>
      <c r="B10" s="1">
        <v>50000</v>
      </c>
      <c r="C10">
        <v>474</v>
      </c>
      <c r="D10" s="1">
        <v>14828309</v>
      </c>
      <c r="G10" s="1"/>
      <c r="H10" s="1"/>
    </row>
    <row r="11" spans="1:14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25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25">
      <c r="A14" s="2" t="s">
        <v>13</v>
      </c>
      <c r="D14" s="1">
        <f>SUM(D6:D13)</f>
        <v>99977695</v>
      </c>
    </row>
    <row r="15" spans="1:14" x14ac:dyDescent="0.25">
      <c r="A15" s="2" t="s">
        <v>14</v>
      </c>
      <c r="C15">
        <f>SUM(C6:C13)</f>
        <v>4619</v>
      </c>
      <c r="D15" s="1">
        <v>208826650</v>
      </c>
    </row>
    <row r="16" spans="1:14" x14ac:dyDescent="0.25">
      <c r="A16" s="2" t="s">
        <v>15</v>
      </c>
      <c r="D16" s="3">
        <f>100*D14/D15</f>
        <v>47.875927234383163</v>
      </c>
    </row>
    <row r="20" spans="1:10" x14ac:dyDescent="0.25">
      <c r="A20" t="s">
        <v>57</v>
      </c>
    </row>
    <row r="21" spans="1:10" x14ac:dyDescent="0.25">
      <c r="A21" t="s">
        <v>58</v>
      </c>
    </row>
    <row r="24" spans="1:10" x14ac:dyDescent="0.25">
      <c r="C24" s="8" t="s">
        <v>60</v>
      </c>
      <c r="D24" s="8"/>
      <c r="I24" s="8" t="s">
        <v>59</v>
      </c>
      <c r="J24" s="8"/>
    </row>
    <row r="25" spans="1:10" x14ac:dyDescent="0.25">
      <c r="A25" s="11" t="s">
        <v>0</v>
      </c>
      <c r="B25" s="11" t="s">
        <v>1</v>
      </c>
      <c r="C25" s="11" t="s">
        <v>40</v>
      </c>
      <c r="D25" s="2" t="s">
        <v>4</v>
      </c>
      <c r="G25" s="11" t="s">
        <v>0</v>
      </c>
      <c r="H25" s="11" t="s">
        <v>1</v>
      </c>
      <c r="I25" s="11" t="s">
        <v>40</v>
      </c>
      <c r="J25" s="11" t="s">
        <v>4</v>
      </c>
    </row>
    <row r="26" spans="1:10" x14ac:dyDescent="0.25">
      <c r="A26">
        <v>2500</v>
      </c>
      <c r="B26" s="1">
        <v>3000</v>
      </c>
      <c r="C26">
        <v>226</v>
      </c>
      <c r="D26" s="1">
        <v>621258</v>
      </c>
      <c r="J26" s="1"/>
    </row>
    <row r="27" spans="1:10" x14ac:dyDescent="0.25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>
        <v>1109</v>
      </c>
      <c r="J27" s="1">
        <v>3050845</v>
      </c>
    </row>
    <row r="28" spans="1:10" x14ac:dyDescent="0.25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25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>
        <v>675</v>
      </c>
      <c r="J29" s="1">
        <v>4973200</v>
      </c>
    </row>
    <row r="30" spans="1:10" x14ac:dyDescent="0.25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25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25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25">
      <c r="A33" s="1">
        <v>500000</v>
      </c>
      <c r="B33" t="s">
        <v>3</v>
      </c>
      <c r="C33">
        <v>25</v>
      </c>
      <c r="D33" s="1">
        <v>24162753</v>
      </c>
    </row>
    <row r="34" spans="1:10" x14ac:dyDescent="0.25">
      <c r="A34" s="2" t="s">
        <v>13</v>
      </c>
      <c r="D34" s="1">
        <f>SUM(D26:D33)</f>
        <v>98988420</v>
      </c>
    </row>
    <row r="35" spans="1:10" x14ac:dyDescent="0.25">
      <c r="A35" s="2" t="s">
        <v>14</v>
      </c>
      <c r="D35" s="1">
        <v>208826650</v>
      </c>
    </row>
    <row r="36" spans="1:10" x14ac:dyDescent="0.25">
      <c r="A36" s="2"/>
      <c r="D36" s="3"/>
    </row>
    <row r="38" spans="1:10" x14ac:dyDescent="0.25">
      <c r="A38" t="s">
        <v>67</v>
      </c>
      <c r="D38" s="1">
        <f>SUM(D26:D33)</f>
        <v>98988420</v>
      </c>
      <c r="J38" s="1">
        <f>SUM(J26:J33)</f>
        <v>14756245</v>
      </c>
    </row>
    <row r="39" spans="1:10" x14ac:dyDescent="0.25">
      <c r="A39" s="2" t="s">
        <v>65</v>
      </c>
      <c r="D39" s="1">
        <f>D38+J38</f>
        <v>113744665</v>
      </c>
    </row>
    <row r="40" spans="1:10" x14ac:dyDescent="0.25">
      <c r="A40" s="2" t="s">
        <v>66</v>
      </c>
      <c r="D40" s="3">
        <f>100*D39/D35</f>
        <v>54.468462238895277</v>
      </c>
    </row>
  </sheetData>
  <mergeCells count="4">
    <mergeCell ref="C4:D4"/>
    <mergeCell ref="I3:J3"/>
    <mergeCell ref="C24:D24"/>
    <mergeCell ref="I24:J2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2:J39"/>
  <sheetViews>
    <sheetView workbookViewId="0">
      <selection activeCell="C23" sqref="C23:D23"/>
    </sheetView>
  </sheetViews>
  <sheetFormatPr defaultRowHeight="15" x14ac:dyDescent="0.25"/>
  <cols>
    <col min="4" max="4" width="13.42578125" customWidth="1"/>
    <col min="10" max="10" width="10.7109375" customWidth="1"/>
  </cols>
  <sheetData>
    <row r="2" spans="1:10" x14ac:dyDescent="0.25">
      <c r="I2" s="11"/>
      <c r="J2" s="11"/>
    </row>
    <row r="3" spans="1:10" x14ac:dyDescent="0.25">
      <c r="C3" s="8" t="s">
        <v>60</v>
      </c>
      <c r="D3" s="8"/>
      <c r="I3" s="8" t="s">
        <v>59</v>
      </c>
      <c r="J3" s="8"/>
    </row>
    <row r="4" spans="1:10" x14ac:dyDescent="0.25">
      <c r="A4" s="2" t="s">
        <v>0</v>
      </c>
      <c r="B4" s="2" t="s">
        <v>1</v>
      </c>
      <c r="C4" s="2" t="s">
        <v>40</v>
      </c>
      <c r="D4" s="2" t="s">
        <v>4</v>
      </c>
      <c r="G4" s="11" t="s">
        <v>0</v>
      </c>
      <c r="H4" s="11" t="s">
        <v>1</v>
      </c>
      <c r="I4" s="11" t="s">
        <v>40</v>
      </c>
      <c r="J4" s="11" t="s">
        <v>4</v>
      </c>
    </row>
    <row r="5" spans="1:10" x14ac:dyDescent="0.25">
      <c r="A5" t="s">
        <v>2</v>
      </c>
      <c r="B5" s="1">
        <v>3000</v>
      </c>
      <c r="C5">
        <v>1118</v>
      </c>
      <c r="D5" s="1">
        <v>2051695</v>
      </c>
      <c r="G5" s="4">
        <v>1000</v>
      </c>
      <c r="H5" s="4">
        <v>2000</v>
      </c>
      <c r="I5" s="5">
        <v>16677</v>
      </c>
      <c r="J5" s="13">
        <v>22785371</v>
      </c>
    </row>
    <row r="6" spans="1:10" x14ac:dyDescent="0.25">
      <c r="A6" s="1">
        <v>3000</v>
      </c>
      <c r="B6" s="1">
        <v>5000</v>
      </c>
      <c r="C6">
        <v>1028</v>
      </c>
      <c r="D6" s="1">
        <v>4098169</v>
      </c>
      <c r="G6" s="4">
        <v>2000</v>
      </c>
      <c r="H6" s="4">
        <v>3000</v>
      </c>
      <c r="I6" s="5">
        <v>3911</v>
      </c>
      <c r="J6" s="13">
        <v>9424188</v>
      </c>
    </row>
    <row r="7" spans="1:10" x14ac:dyDescent="0.25">
      <c r="A7" s="1">
        <v>5000</v>
      </c>
      <c r="B7" s="1">
        <v>10000</v>
      </c>
      <c r="C7">
        <v>1430</v>
      </c>
      <c r="D7" s="1">
        <v>10069839</v>
      </c>
      <c r="G7" s="5">
        <v>3000</v>
      </c>
      <c r="H7" s="5">
        <v>5000</v>
      </c>
      <c r="I7" s="5">
        <v>2040</v>
      </c>
      <c r="J7" s="13">
        <v>7656431</v>
      </c>
    </row>
    <row r="8" spans="1:10" x14ac:dyDescent="0.25">
      <c r="A8" s="1">
        <v>10000</v>
      </c>
      <c r="B8" s="1">
        <v>20000</v>
      </c>
      <c r="C8">
        <v>919</v>
      </c>
      <c r="D8" s="1">
        <v>12721674</v>
      </c>
      <c r="G8" s="5">
        <v>5000</v>
      </c>
      <c r="H8" s="4" t="s">
        <v>3</v>
      </c>
      <c r="I8" s="5">
        <v>868</v>
      </c>
      <c r="J8" s="13">
        <v>6446727</v>
      </c>
    </row>
    <row r="9" spans="1:10" x14ac:dyDescent="0.25">
      <c r="A9" s="1">
        <v>20000</v>
      </c>
      <c r="B9" s="1">
        <v>50000</v>
      </c>
      <c r="C9">
        <v>600</v>
      </c>
      <c r="D9" s="1">
        <v>18468944</v>
      </c>
      <c r="G9" s="1"/>
      <c r="H9" s="1"/>
    </row>
    <row r="10" spans="1:10" x14ac:dyDescent="0.25">
      <c r="A10" s="1">
        <v>50000</v>
      </c>
      <c r="B10" s="1">
        <v>100000</v>
      </c>
      <c r="C10">
        <v>189</v>
      </c>
      <c r="D10" s="1">
        <v>13054945</v>
      </c>
      <c r="G10" s="1"/>
      <c r="H10" s="12"/>
      <c r="I10" s="1"/>
      <c r="J10" s="1"/>
    </row>
    <row r="11" spans="1:10" x14ac:dyDescent="0.25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25">
      <c r="A12" s="1">
        <v>500000</v>
      </c>
      <c r="B12" t="s">
        <v>3</v>
      </c>
      <c r="C12">
        <v>33</v>
      </c>
      <c r="D12" s="1">
        <v>37286597</v>
      </c>
    </row>
    <row r="13" spans="1:10" x14ac:dyDescent="0.25">
      <c r="A13" s="2" t="s">
        <v>13</v>
      </c>
      <c r="D13" s="1">
        <f>SUM(D5:D12)</f>
        <v>135991514</v>
      </c>
    </row>
    <row r="14" spans="1:10" x14ac:dyDescent="0.25">
      <c r="A14" s="2" t="s">
        <v>14</v>
      </c>
      <c r="C14">
        <f>SUM(C5:C12)</f>
        <v>5505</v>
      </c>
      <c r="D14" s="1">
        <v>241720134</v>
      </c>
    </row>
    <row r="15" spans="1:10" x14ac:dyDescent="0.25">
      <c r="A15" s="2" t="s">
        <v>15</v>
      </c>
      <c r="D15" s="3">
        <f>100*D13/D14</f>
        <v>56.259903446851474</v>
      </c>
    </row>
    <row r="19" spans="1:10" x14ac:dyDescent="0.25">
      <c r="A19" t="s">
        <v>57</v>
      </c>
    </row>
    <row r="20" spans="1:10" x14ac:dyDescent="0.25">
      <c r="A20" t="s">
        <v>58</v>
      </c>
    </row>
    <row r="23" spans="1:10" x14ac:dyDescent="0.25">
      <c r="C23" s="8" t="s">
        <v>60</v>
      </c>
      <c r="D23" s="8"/>
      <c r="I23" s="8" t="s">
        <v>59</v>
      </c>
      <c r="J23" s="8"/>
    </row>
    <row r="24" spans="1:10" x14ac:dyDescent="0.25">
      <c r="A24" s="2" t="s">
        <v>0</v>
      </c>
      <c r="B24" s="2" t="s">
        <v>1</v>
      </c>
      <c r="C24" s="11" t="s">
        <v>40</v>
      </c>
      <c r="D24" s="11" t="s">
        <v>4</v>
      </c>
      <c r="G24" s="11" t="s">
        <v>0</v>
      </c>
      <c r="H24" s="11" t="s">
        <v>1</v>
      </c>
      <c r="I24" s="11" t="s">
        <v>40</v>
      </c>
      <c r="J24" s="11" t="s">
        <v>4</v>
      </c>
    </row>
    <row r="25" spans="1:10" x14ac:dyDescent="0.25">
      <c r="A25">
        <v>2500</v>
      </c>
      <c r="B25" s="1">
        <v>3000</v>
      </c>
      <c r="C25">
        <v>270</v>
      </c>
      <c r="D25" s="1">
        <v>741248</v>
      </c>
      <c r="G25" s="4"/>
      <c r="H25" s="4"/>
      <c r="I25" s="5"/>
      <c r="J25" s="13"/>
    </row>
    <row r="26" spans="1:10" x14ac:dyDescent="0.25">
      <c r="A26" s="1">
        <v>3000</v>
      </c>
      <c r="B26" s="1">
        <v>5000</v>
      </c>
      <c r="C26">
        <v>1028</v>
      </c>
      <c r="D26" s="1">
        <v>4098169</v>
      </c>
      <c r="G26" s="4">
        <v>2500</v>
      </c>
      <c r="H26" s="4">
        <v>3000</v>
      </c>
      <c r="I26" s="5">
        <v>1249</v>
      </c>
      <c r="J26" s="13">
        <v>3434409</v>
      </c>
    </row>
    <row r="27" spans="1:10" x14ac:dyDescent="0.25">
      <c r="A27" s="1">
        <v>5000</v>
      </c>
      <c r="B27" s="1">
        <v>10000</v>
      </c>
      <c r="C27">
        <v>1430</v>
      </c>
      <c r="D27" s="1">
        <v>10069839</v>
      </c>
      <c r="G27" s="5">
        <v>3000</v>
      </c>
      <c r="H27" s="5">
        <v>5000</v>
      </c>
      <c r="I27" s="5">
        <v>2040</v>
      </c>
      <c r="J27" s="13">
        <v>7656431</v>
      </c>
    </row>
    <row r="28" spans="1:10" x14ac:dyDescent="0.25">
      <c r="A28" s="1">
        <v>10000</v>
      </c>
      <c r="B28" s="1">
        <v>20000</v>
      </c>
      <c r="C28">
        <v>919</v>
      </c>
      <c r="D28" s="1">
        <v>12721674</v>
      </c>
      <c r="G28" s="5">
        <v>5000</v>
      </c>
      <c r="H28" s="4" t="s">
        <v>3</v>
      </c>
      <c r="I28" s="5">
        <v>868</v>
      </c>
      <c r="J28" s="13">
        <v>6446727</v>
      </c>
    </row>
    <row r="29" spans="1:10" x14ac:dyDescent="0.25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25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25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25">
      <c r="A32" s="1">
        <v>500000</v>
      </c>
      <c r="B32" t="s">
        <v>3</v>
      </c>
      <c r="C32">
        <v>33</v>
      </c>
      <c r="D32" s="1">
        <v>37286597</v>
      </c>
    </row>
    <row r="33" spans="1:10" x14ac:dyDescent="0.25">
      <c r="A33" s="2" t="s">
        <v>13</v>
      </c>
      <c r="D33" s="1">
        <f>SUM(D25:D32)</f>
        <v>134681067</v>
      </c>
    </row>
    <row r="34" spans="1:10" x14ac:dyDescent="0.25">
      <c r="A34" s="2" t="s">
        <v>14</v>
      </c>
      <c r="D34" s="1">
        <v>241720134</v>
      </c>
    </row>
    <row r="37" spans="1:10" x14ac:dyDescent="0.25">
      <c r="A37" t="s">
        <v>67</v>
      </c>
      <c r="D37" s="1">
        <f>SUM(D25:D32)</f>
        <v>134681067</v>
      </c>
      <c r="J37" s="1">
        <f>SUM(J25:J32)</f>
        <v>17537567</v>
      </c>
    </row>
    <row r="38" spans="1:10" x14ac:dyDescent="0.25">
      <c r="A38" s="2" t="s">
        <v>65</v>
      </c>
      <c r="D38" s="1">
        <f>D37+J37</f>
        <v>152218634</v>
      </c>
    </row>
    <row r="39" spans="1:10" x14ac:dyDescent="0.25">
      <c r="A39" s="2" t="s">
        <v>66</v>
      </c>
      <c r="D39" s="3">
        <f>100*D38/D34</f>
        <v>62.973088538830616</v>
      </c>
    </row>
  </sheetData>
  <mergeCells count="4">
    <mergeCell ref="I3:J3"/>
    <mergeCell ref="I23:J23"/>
    <mergeCell ref="C3:D3"/>
    <mergeCell ref="C23:D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3:D15"/>
  <sheetViews>
    <sheetView workbookViewId="0">
      <selection activeCell="H20" sqref="H20"/>
    </sheetView>
  </sheetViews>
  <sheetFormatPr defaultRowHeight="15" x14ac:dyDescent="0.25"/>
  <cols>
    <col min="4" max="4" width="12.1406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13</v>
      </c>
      <c r="D13" s="1">
        <f>SUM(D4:D12)</f>
        <v>163585944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7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7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5">
        <v>1000</v>
      </c>
      <c r="C20" s="2"/>
      <c r="D20" s="5">
        <v>6380</v>
      </c>
    </row>
    <row r="21" spans="1:7" x14ac:dyDescent="0.25">
      <c r="A21" s="5">
        <v>1000</v>
      </c>
      <c r="B21" s="5">
        <v>2000</v>
      </c>
      <c r="C21" s="4"/>
      <c r="D21" s="5">
        <v>47916</v>
      </c>
    </row>
    <row r="22" spans="1:7" x14ac:dyDescent="0.25">
      <c r="A22" s="5">
        <v>2000</v>
      </c>
      <c r="B22" s="5">
        <v>3000</v>
      </c>
      <c r="C22" s="4"/>
      <c r="D22" s="5">
        <v>113308</v>
      </c>
    </row>
    <row r="23" spans="1:7" x14ac:dyDescent="0.25">
      <c r="A23" s="5">
        <v>3000</v>
      </c>
      <c r="B23" s="5">
        <v>5000</v>
      </c>
      <c r="C23" s="4"/>
      <c r="D23" s="5">
        <v>353375</v>
      </c>
    </row>
    <row r="24" spans="1:7" x14ac:dyDescent="0.25">
      <c r="A24" s="5">
        <v>5000</v>
      </c>
      <c r="B24" s="5">
        <v>7000</v>
      </c>
      <c r="C24" s="4"/>
      <c r="D24" s="5">
        <v>389605</v>
      </c>
      <c r="G24" s="2" t="s">
        <v>31</v>
      </c>
    </row>
    <row r="25" spans="1:7" x14ac:dyDescent="0.25">
      <c r="A25" s="5">
        <v>7000</v>
      </c>
      <c r="B25" s="5">
        <v>10000</v>
      </c>
      <c r="C25" s="4"/>
      <c r="D25" s="5">
        <v>517796</v>
      </c>
    </row>
    <row r="26" spans="1:7" x14ac:dyDescent="0.25">
      <c r="A26" s="5">
        <v>10000</v>
      </c>
      <c r="B26" s="5">
        <v>15000</v>
      </c>
      <c r="C26" s="4"/>
      <c r="D26" s="5">
        <v>951932</v>
      </c>
    </row>
    <row r="27" spans="1:7" x14ac:dyDescent="0.25">
      <c r="A27" s="5">
        <v>15000</v>
      </c>
      <c r="B27" s="5">
        <v>20000</v>
      </c>
      <c r="C27" s="4"/>
      <c r="D27" s="5">
        <v>749591</v>
      </c>
    </row>
    <row r="28" spans="1:7" x14ac:dyDescent="0.25">
      <c r="A28" s="5">
        <v>20000</v>
      </c>
      <c r="B28" s="5">
        <v>25000</v>
      </c>
      <c r="C28" s="4"/>
      <c r="D28" s="5">
        <v>559670</v>
      </c>
    </row>
    <row r="29" spans="1:7" x14ac:dyDescent="0.25">
      <c r="A29" s="5">
        <v>25000</v>
      </c>
      <c r="B29" s="5">
        <v>30000</v>
      </c>
      <c r="C29" s="4"/>
      <c r="D29" s="5">
        <v>432250</v>
      </c>
    </row>
    <row r="30" spans="1:7" x14ac:dyDescent="0.25">
      <c r="A30" s="5">
        <v>30000</v>
      </c>
      <c r="B30" s="5">
        <v>40000</v>
      </c>
      <c r="C30" s="4"/>
      <c r="D30" s="5">
        <v>854763</v>
      </c>
    </row>
    <row r="31" spans="1:7" x14ac:dyDescent="0.25">
      <c r="A31" s="5">
        <v>40000</v>
      </c>
      <c r="B31" s="5">
        <v>50000</v>
      </c>
      <c r="C31" s="4"/>
      <c r="D31" s="5">
        <v>362266</v>
      </c>
    </row>
    <row r="32" spans="1:7" x14ac:dyDescent="0.25">
      <c r="A32" s="5">
        <v>50000</v>
      </c>
      <c r="B32" s="5">
        <v>70000</v>
      </c>
      <c r="C32" s="4"/>
      <c r="D32" s="5">
        <v>1174773</v>
      </c>
    </row>
    <row r="33" spans="1:6" x14ac:dyDescent="0.25">
      <c r="A33" s="5">
        <v>70000</v>
      </c>
      <c r="B33" s="5">
        <v>100000</v>
      </c>
      <c r="C33" s="4"/>
      <c r="D33" s="5">
        <v>1570708</v>
      </c>
    </row>
    <row r="34" spans="1:6" x14ac:dyDescent="0.25">
      <c r="A34" s="5">
        <v>100000</v>
      </c>
      <c r="B34" s="4" t="s">
        <v>3</v>
      </c>
      <c r="C34" s="4"/>
      <c r="D34" s="5">
        <v>6188683</v>
      </c>
    </row>
    <row r="35" spans="1:6" x14ac:dyDescent="0.25">
      <c r="A35" s="2" t="s">
        <v>13</v>
      </c>
      <c r="B35" s="4"/>
      <c r="C35" s="4"/>
      <c r="D35" s="5">
        <f>SUM(D20:D34)</f>
        <v>14273016</v>
      </c>
    </row>
    <row r="36" spans="1:6" x14ac:dyDescent="0.25">
      <c r="A36" s="2" t="s">
        <v>14</v>
      </c>
      <c r="B36" s="4"/>
      <c r="C36" s="4"/>
      <c r="D36" s="5">
        <v>100891244</v>
      </c>
    </row>
    <row r="37" spans="1:6" x14ac:dyDescent="0.25">
      <c r="A37" s="2" t="s">
        <v>15</v>
      </c>
      <c r="B37" s="4"/>
      <c r="C37" s="4"/>
      <c r="D37" s="3">
        <f>100*D35/D36</f>
        <v>14.146932314562401</v>
      </c>
    </row>
    <row r="40" spans="1:6" x14ac:dyDescent="0.25">
      <c r="A40" s="7" t="s">
        <v>33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34</v>
      </c>
      <c r="F42" s="2" t="s">
        <v>35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2:J39"/>
  <sheetViews>
    <sheetView workbookViewId="0">
      <selection activeCell="L49" sqref="L49"/>
    </sheetView>
  </sheetViews>
  <sheetFormatPr defaultRowHeight="15" x14ac:dyDescent="0.25"/>
  <cols>
    <col min="4" max="4" width="11" customWidth="1"/>
  </cols>
  <sheetData>
    <row r="2" spans="1:10" x14ac:dyDescent="0.25">
      <c r="I2" s="8" t="s">
        <v>59</v>
      </c>
      <c r="J2" s="8"/>
    </row>
    <row r="3" spans="1:10" x14ac:dyDescent="0.25">
      <c r="C3" s="8" t="s">
        <v>60</v>
      </c>
      <c r="D3" s="8"/>
      <c r="G3" s="11" t="s">
        <v>0</v>
      </c>
      <c r="H3" s="11" t="s">
        <v>1</v>
      </c>
      <c r="I3" s="11" t="s">
        <v>40</v>
      </c>
      <c r="J3" s="11" t="s">
        <v>4</v>
      </c>
    </row>
    <row r="4" spans="1:10" x14ac:dyDescent="0.25">
      <c r="A4" s="11" t="s">
        <v>0</v>
      </c>
      <c r="B4" s="11" t="s">
        <v>1</v>
      </c>
      <c r="C4" s="11" t="s">
        <v>40</v>
      </c>
      <c r="D4" s="11" t="s">
        <v>4</v>
      </c>
      <c r="G4">
        <v>1000</v>
      </c>
      <c r="H4">
        <v>2000</v>
      </c>
      <c r="I4">
        <v>6057</v>
      </c>
      <c r="J4" s="1">
        <v>8161371</v>
      </c>
    </row>
    <row r="5" spans="1:10" x14ac:dyDescent="0.25">
      <c r="A5" t="s">
        <v>2</v>
      </c>
      <c r="B5" s="1">
        <v>3000</v>
      </c>
      <c r="C5">
        <v>316</v>
      </c>
      <c r="D5" s="1">
        <v>622363</v>
      </c>
      <c r="G5">
        <v>2000</v>
      </c>
      <c r="H5">
        <v>3000</v>
      </c>
      <c r="I5">
        <v>1450</v>
      </c>
      <c r="J5" s="1">
        <v>3500966</v>
      </c>
    </row>
    <row r="6" spans="1:10" x14ac:dyDescent="0.25">
      <c r="A6" s="1">
        <v>3000</v>
      </c>
      <c r="B6" s="1">
        <v>5000</v>
      </c>
      <c r="C6">
        <v>443</v>
      </c>
      <c r="D6" s="1">
        <v>1763827</v>
      </c>
      <c r="G6" s="1">
        <v>3000</v>
      </c>
      <c r="H6" s="1">
        <v>5000</v>
      </c>
      <c r="I6" s="1">
        <v>833</v>
      </c>
      <c r="J6" s="1">
        <v>3125682</v>
      </c>
    </row>
    <row r="7" spans="1:10" x14ac:dyDescent="0.25">
      <c r="A7" s="1">
        <v>5000</v>
      </c>
      <c r="B7" s="1">
        <v>10000</v>
      </c>
      <c r="C7">
        <v>654</v>
      </c>
      <c r="D7" s="1">
        <v>4660310</v>
      </c>
      <c r="G7" s="1">
        <v>5000</v>
      </c>
      <c r="H7" t="s">
        <v>3</v>
      </c>
      <c r="I7">
        <v>372</v>
      </c>
      <c r="J7" s="1">
        <v>2900584</v>
      </c>
    </row>
    <row r="8" spans="1:10" x14ac:dyDescent="0.25">
      <c r="A8" s="1">
        <v>10000</v>
      </c>
      <c r="B8" s="1">
        <v>20000</v>
      </c>
      <c r="C8">
        <v>459</v>
      </c>
      <c r="D8" s="1">
        <v>6417782</v>
      </c>
    </row>
    <row r="9" spans="1:10" x14ac:dyDescent="0.25">
      <c r="A9" s="1">
        <v>20000</v>
      </c>
      <c r="B9" s="1">
        <v>50000</v>
      </c>
      <c r="C9">
        <v>311</v>
      </c>
      <c r="D9" s="1">
        <v>9741418</v>
      </c>
    </row>
    <row r="10" spans="1:10" x14ac:dyDescent="0.25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25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25">
      <c r="A12" s="1">
        <v>500000</v>
      </c>
      <c r="B12" t="s">
        <v>3</v>
      </c>
      <c r="C12">
        <v>14</v>
      </c>
      <c r="D12" s="1">
        <v>16225204</v>
      </c>
    </row>
    <row r="13" spans="1:10" x14ac:dyDescent="0.25">
      <c r="A13" s="2" t="s">
        <v>13</v>
      </c>
      <c r="D13" s="1">
        <f>SUM(D5:D12)</f>
        <v>61611074</v>
      </c>
    </row>
    <row r="14" spans="1:10" x14ac:dyDescent="0.25">
      <c r="A14" s="2" t="s">
        <v>14</v>
      </c>
      <c r="C14">
        <f>SUM(C5:C12)</f>
        <v>2372</v>
      </c>
      <c r="D14" s="1">
        <v>117534315</v>
      </c>
    </row>
    <row r="15" spans="1:10" x14ac:dyDescent="0.25">
      <c r="A15" s="2" t="s">
        <v>15</v>
      </c>
      <c r="D15" s="3">
        <f>100*D13/D14</f>
        <v>52.419647827955608</v>
      </c>
    </row>
    <row r="19" spans="1:10" x14ac:dyDescent="0.25">
      <c r="A19" t="s">
        <v>57</v>
      </c>
    </row>
    <row r="20" spans="1:10" x14ac:dyDescent="0.25">
      <c r="A20" t="s">
        <v>58</v>
      </c>
    </row>
    <row r="23" spans="1:10" x14ac:dyDescent="0.25">
      <c r="C23" s="8" t="s">
        <v>60</v>
      </c>
      <c r="D23" s="8"/>
      <c r="I23" s="8" t="s">
        <v>59</v>
      </c>
      <c r="J23" s="8"/>
    </row>
    <row r="24" spans="1:10" x14ac:dyDescent="0.25">
      <c r="A24" s="11" t="s">
        <v>0</v>
      </c>
      <c r="B24" s="11" t="s">
        <v>1</v>
      </c>
      <c r="C24" s="11" t="s">
        <v>40</v>
      </c>
      <c r="D24" s="11" t="s">
        <v>4</v>
      </c>
      <c r="G24" s="11" t="s">
        <v>0</v>
      </c>
      <c r="H24" s="11" t="s">
        <v>1</v>
      </c>
      <c r="I24" s="11" t="s">
        <v>40</v>
      </c>
      <c r="J24" s="11" t="s">
        <v>4</v>
      </c>
    </row>
    <row r="25" spans="1:10" x14ac:dyDescent="0.25">
      <c r="A25">
        <v>2500</v>
      </c>
      <c r="B25" s="1">
        <v>3000</v>
      </c>
      <c r="C25">
        <v>97</v>
      </c>
      <c r="D25" s="1">
        <v>266317</v>
      </c>
      <c r="J25" s="1"/>
    </row>
    <row r="26" spans="1:10" x14ac:dyDescent="0.25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>
        <v>477</v>
      </c>
      <c r="J26" s="1">
        <v>1311563</v>
      </c>
    </row>
    <row r="27" spans="1:10" x14ac:dyDescent="0.25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25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>
        <v>372</v>
      </c>
      <c r="J28" s="1">
        <v>2900584</v>
      </c>
    </row>
    <row r="29" spans="1:10" x14ac:dyDescent="0.25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25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25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25">
      <c r="A32" s="1">
        <v>500000</v>
      </c>
      <c r="B32" t="s">
        <v>3</v>
      </c>
      <c r="C32">
        <v>14</v>
      </c>
      <c r="D32" s="1">
        <v>16225204</v>
      </c>
    </row>
    <row r="33" spans="1:10" x14ac:dyDescent="0.25">
      <c r="A33" s="2" t="s">
        <v>13</v>
      </c>
      <c r="D33" s="1">
        <f>SUM(D25:D32)</f>
        <v>61255028</v>
      </c>
    </row>
    <row r="34" spans="1:10" x14ac:dyDescent="0.25">
      <c r="A34" s="2" t="s">
        <v>14</v>
      </c>
      <c r="D34" s="1">
        <v>117534315</v>
      </c>
    </row>
    <row r="37" spans="1:10" x14ac:dyDescent="0.25">
      <c r="A37" t="s">
        <v>67</v>
      </c>
      <c r="D37" s="1">
        <f>SUM(D25:D32)</f>
        <v>61255028</v>
      </c>
      <c r="J37" s="1">
        <f>SUM(J25:J32)</f>
        <v>7337829</v>
      </c>
    </row>
    <row r="38" spans="1:10" x14ac:dyDescent="0.25">
      <c r="A38" s="2" t="s">
        <v>65</v>
      </c>
      <c r="D38" s="1">
        <f>D37+J37</f>
        <v>68592857</v>
      </c>
    </row>
    <row r="39" spans="1:10" x14ac:dyDescent="0.25">
      <c r="A39" s="2" t="s">
        <v>66</v>
      </c>
      <c r="D39" s="3">
        <f>100*D38/D34</f>
        <v>58.359856013114126</v>
      </c>
    </row>
  </sheetData>
  <mergeCells count="4">
    <mergeCell ref="I2:J2"/>
    <mergeCell ref="C23:D23"/>
    <mergeCell ref="C3:D3"/>
    <mergeCell ref="I23:J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2:J39"/>
  <sheetViews>
    <sheetView workbookViewId="0">
      <selection activeCell="C24" sqref="C24"/>
    </sheetView>
  </sheetViews>
  <sheetFormatPr defaultRowHeight="15" x14ac:dyDescent="0.25"/>
  <cols>
    <col min="4" max="4" width="12.85546875" customWidth="1"/>
    <col min="9" max="9" width="10" customWidth="1"/>
  </cols>
  <sheetData>
    <row r="2" spans="1:10" x14ac:dyDescent="0.25">
      <c r="I2" s="11"/>
      <c r="J2" s="11"/>
    </row>
    <row r="3" spans="1:10" x14ac:dyDescent="0.25">
      <c r="C3" s="8" t="s">
        <v>60</v>
      </c>
      <c r="D3" s="8"/>
      <c r="I3" s="8" t="s">
        <v>59</v>
      </c>
      <c r="J3" s="8"/>
    </row>
    <row r="4" spans="1:10" x14ac:dyDescent="0.25">
      <c r="A4" s="2" t="s">
        <v>0</v>
      </c>
      <c r="B4" s="2" t="s">
        <v>1</v>
      </c>
      <c r="C4" s="11" t="s">
        <v>40</v>
      </c>
      <c r="D4" s="2" t="s">
        <v>4</v>
      </c>
      <c r="G4" s="11" t="s">
        <v>0</v>
      </c>
      <c r="H4" s="11" t="s">
        <v>1</v>
      </c>
      <c r="I4" s="11" t="s">
        <v>40</v>
      </c>
      <c r="J4" s="11" t="s">
        <v>4</v>
      </c>
    </row>
    <row r="5" spans="1:10" x14ac:dyDescent="0.25">
      <c r="A5" t="s">
        <v>2</v>
      </c>
      <c r="B5" s="1">
        <v>3000</v>
      </c>
      <c r="C5">
        <v>460</v>
      </c>
      <c r="D5" s="1">
        <v>875596</v>
      </c>
      <c r="G5" s="4">
        <v>1000</v>
      </c>
      <c r="H5" s="4">
        <v>2000</v>
      </c>
      <c r="I5" s="5">
        <v>6333</v>
      </c>
      <c r="J5" s="13">
        <v>8573108</v>
      </c>
    </row>
    <row r="6" spans="1:10" x14ac:dyDescent="0.25">
      <c r="A6" s="1">
        <v>3000</v>
      </c>
      <c r="B6" s="1">
        <v>5000</v>
      </c>
      <c r="C6">
        <v>535</v>
      </c>
      <c r="D6" s="1">
        <v>2137680</v>
      </c>
      <c r="G6" s="4">
        <v>2000</v>
      </c>
      <c r="H6" s="4">
        <v>3000</v>
      </c>
      <c r="I6" s="5">
        <v>1385</v>
      </c>
      <c r="J6" s="13">
        <v>3333563</v>
      </c>
    </row>
    <row r="7" spans="1:10" x14ac:dyDescent="0.25">
      <c r="A7" s="1">
        <v>5000</v>
      </c>
      <c r="B7" s="1">
        <v>10000</v>
      </c>
      <c r="C7">
        <v>761</v>
      </c>
      <c r="D7" s="1">
        <v>5330060</v>
      </c>
      <c r="G7" s="5">
        <v>3000</v>
      </c>
      <c r="H7" s="5">
        <v>5000</v>
      </c>
      <c r="I7" s="5">
        <v>846</v>
      </c>
      <c r="J7" s="13">
        <v>3199082</v>
      </c>
    </row>
    <row r="8" spans="1:10" x14ac:dyDescent="0.25">
      <c r="A8" s="1">
        <v>10000</v>
      </c>
      <c r="B8" s="1">
        <v>20000</v>
      </c>
      <c r="C8">
        <v>476</v>
      </c>
      <c r="D8" s="1">
        <v>6616796</v>
      </c>
      <c r="G8" s="5">
        <v>5000</v>
      </c>
      <c r="H8" s="14" t="s">
        <v>3</v>
      </c>
      <c r="I8" s="5">
        <v>434</v>
      </c>
      <c r="J8" s="13">
        <v>3401655</v>
      </c>
    </row>
    <row r="9" spans="1:10" x14ac:dyDescent="0.25">
      <c r="A9" s="1">
        <v>20000</v>
      </c>
      <c r="B9" s="1">
        <v>50000</v>
      </c>
      <c r="C9">
        <v>368</v>
      </c>
      <c r="D9" s="1">
        <v>11565985</v>
      </c>
      <c r="G9" s="1"/>
      <c r="H9" s="1"/>
      <c r="I9" s="1"/>
      <c r="J9" s="1"/>
    </row>
    <row r="10" spans="1:10" x14ac:dyDescent="0.25">
      <c r="A10" s="1">
        <v>50000</v>
      </c>
      <c r="B10" s="1">
        <v>100000</v>
      </c>
      <c r="C10">
        <v>114</v>
      </c>
      <c r="D10" s="1">
        <v>7908160</v>
      </c>
      <c r="G10" s="1"/>
      <c r="H10" s="12"/>
      <c r="I10" s="1"/>
      <c r="J10" s="1"/>
    </row>
    <row r="11" spans="1:10" x14ac:dyDescent="0.25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25">
      <c r="A12" s="1">
        <v>500000</v>
      </c>
      <c r="B12" t="s">
        <v>3</v>
      </c>
      <c r="C12">
        <v>17</v>
      </c>
      <c r="D12" s="1">
        <v>23231465</v>
      </c>
    </row>
    <row r="13" spans="1:10" x14ac:dyDescent="0.25">
      <c r="A13" s="2" t="s">
        <v>13</v>
      </c>
      <c r="D13" s="1">
        <f>SUM(D5:D12)</f>
        <v>80981143</v>
      </c>
    </row>
    <row r="14" spans="1:10" x14ac:dyDescent="0.25">
      <c r="A14" s="2" t="s">
        <v>14</v>
      </c>
      <c r="C14">
        <f>SUM(C5:C12)</f>
        <v>2838</v>
      </c>
      <c r="D14" s="1">
        <v>130079210</v>
      </c>
    </row>
    <row r="15" spans="1:10" x14ac:dyDescent="0.25">
      <c r="A15" s="2" t="s">
        <v>15</v>
      </c>
      <c r="D15" s="3">
        <f>100*D13/D14</f>
        <v>62.255254317734554</v>
      </c>
    </row>
    <row r="19" spans="1:10" x14ac:dyDescent="0.25">
      <c r="A19" t="s">
        <v>57</v>
      </c>
    </row>
    <row r="20" spans="1:10" x14ac:dyDescent="0.25">
      <c r="A20" t="s">
        <v>58</v>
      </c>
    </row>
    <row r="23" spans="1:10" x14ac:dyDescent="0.25">
      <c r="C23" s="8" t="s">
        <v>60</v>
      </c>
      <c r="D23" s="8"/>
      <c r="I23" s="8" t="s">
        <v>59</v>
      </c>
      <c r="J23" s="8"/>
    </row>
    <row r="24" spans="1:10" x14ac:dyDescent="0.25">
      <c r="A24" s="2" t="s">
        <v>0</v>
      </c>
      <c r="B24" s="2" t="s">
        <v>1</v>
      </c>
      <c r="C24" s="11" t="s">
        <v>40</v>
      </c>
      <c r="D24" s="2" t="s">
        <v>4</v>
      </c>
      <c r="G24" s="11" t="s">
        <v>0</v>
      </c>
      <c r="H24" s="11" t="s">
        <v>1</v>
      </c>
      <c r="I24" s="11" t="s">
        <v>40</v>
      </c>
      <c r="J24" s="11" t="s">
        <v>4</v>
      </c>
    </row>
    <row r="25" spans="1:10" x14ac:dyDescent="0.25">
      <c r="A25">
        <v>2500</v>
      </c>
      <c r="B25" s="1">
        <v>3000</v>
      </c>
      <c r="C25">
        <v>125</v>
      </c>
      <c r="D25" s="1">
        <v>342858</v>
      </c>
      <c r="G25" s="4"/>
      <c r="H25" s="4"/>
      <c r="I25" s="5"/>
      <c r="J25" s="13"/>
    </row>
    <row r="26" spans="1:10" x14ac:dyDescent="0.25">
      <c r="A26" s="1">
        <v>3000</v>
      </c>
      <c r="B26" s="1">
        <v>5000</v>
      </c>
      <c r="C26">
        <v>535</v>
      </c>
      <c r="D26" s="1">
        <v>2137680</v>
      </c>
      <c r="G26" s="4">
        <v>2500</v>
      </c>
      <c r="H26" s="4">
        <v>3000</v>
      </c>
      <c r="I26" s="5">
        <v>435</v>
      </c>
      <c r="J26" s="13">
        <v>1195222</v>
      </c>
    </row>
    <row r="27" spans="1:10" x14ac:dyDescent="0.25">
      <c r="A27" s="1">
        <v>5000</v>
      </c>
      <c r="B27" s="1">
        <v>10000</v>
      </c>
      <c r="C27">
        <v>761</v>
      </c>
      <c r="D27" s="1">
        <v>5330060</v>
      </c>
      <c r="G27" s="5">
        <v>3000</v>
      </c>
      <c r="H27" s="5">
        <v>5000</v>
      </c>
      <c r="I27" s="5">
        <v>846</v>
      </c>
      <c r="J27" s="13">
        <v>3199082</v>
      </c>
    </row>
    <row r="28" spans="1:10" x14ac:dyDescent="0.25">
      <c r="A28" s="1">
        <v>10000</v>
      </c>
      <c r="B28" s="1">
        <v>20000</v>
      </c>
      <c r="C28">
        <v>476</v>
      </c>
      <c r="D28" s="1">
        <v>6616796</v>
      </c>
      <c r="G28" s="5">
        <v>5000</v>
      </c>
      <c r="H28" s="14" t="s">
        <v>3</v>
      </c>
      <c r="I28" s="5">
        <v>434</v>
      </c>
      <c r="J28" s="13">
        <v>3401655</v>
      </c>
    </row>
    <row r="29" spans="1:10" x14ac:dyDescent="0.25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25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25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25">
      <c r="A32" s="1">
        <v>500000</v>
      </c>
      <c r="B32" t="s">
        <v>3</v>
      </c>
      <c r="C32">
        <v>17</v>
      </c>
      <c r="D32" s="1">
        <v>23231465</v>
      </c>
    </row>
    <row r="33" spans="1:10" x14ac:dyDescent="0.25">
      <c r="A33" s="2" t="s">
        <v>13</v>
      </c>
      <c r="D33" s="1">
        <f>SUM(D25:D32)</f>
        <v>80448405</v>
      </c>
    </row>
    <row r="34" spans="1:10" x14ac:dyDescent="0.25">
      <c r="A34" s="2" t="s">
        <v>14</v>
      </c>
      <c r="D34" s="1">
        <v>130079210</v>
      </c>
    </row>
    <row r="37" spans="1:10" x14ac:dyDescent="0.25">
      <c r="A37" t="s">
        <v>67</v>
      </c>
      <c r="D37" s="1">
        <f>SUM(D25:D32)</f>
        <v>80448405</v>
      </c>
      <c r="J37" s="1">
        <f>SUM(J25:J32)</f>
        <v>7795959</v>
      </c>
    </row>
    <row r="38" spans="1:10" x14ac:dyDescent="0.25">
      <c r="A38" s="2" t="s">
        <v>65</v>
      </c>
      <c r="D38" s="1">
        <f>D37+J37</f>
        <v>88244364</v>
      </c>
    </row>
    <row r="39" spans="1:10" x14ac:dyDescent="0.25">
      <c r="A39" s="2" t="s">
        <v>66</v>
      </c>
      <c r="D39" s="3">
        <f>100*D38/D34</f>
        <v>67.838945208846212</v>
      </c>
    </row>
  </sheetData>
  <mergeCells count="4">
    <mergeCell ref="I3:J3"/>
    <mergeCell ref="I23:J23"/>
    <mergeCell ref="C23:D23"/>
    <mergeCell ref="C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3:D15"/>
  <sheetViews>
    <sheetView workbookViewId="0">
      <selection activeCell="A3" sqref="A3:B12"/>
    </sheetView>
  </sheetViews>
  <sheetFormatPr defaultRowHeight="15" x14ac:dyDescent="0.25"/>
  <cols>
    <col min="4" max="4" width="22.42578125" customWidth="1"/>
  </cols>
  <sheetData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13</v>
      </c>
      <c r="D13" s="1">
        <f>SUM(D4:D12)</f>
        <v>95373867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3:H17"/>
  <sheetViews>
    <sheetView workbookViewId="0">
      <selection activeCell="S38" sqref="S38"/>
    </sheetView>
  </sheetViews>
  <sheetFormatPr defaultRowHeight="15" x14ac:dyDescent="0.25"/>
  <cols>
    <col min="4" max="4" width="20" customWidth="1"/>
    <col min="6" max="6" width="10.7109375" bestFit="1" customWidth="1"/>
  </cols>
  <sheetData>
    <row r="3" spans="1:8" x14ac:dyDescent="0.25">
      <c r="A3" s="2" t="s">
        <v>0</v>
      </c>
      <c r="B3" s="2" t="s">
        <v>1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D5" s="1">
        <v>1251217</v>
      </c>
      <c r="F5" s="1"/>
    </row>
    <row r="6" spans="1:8" x14ac:dyDescent="0.25">
      <c r="A6" s="1">
        <v>1500</v>
      </c>
      <c r="B6" s="1">
        <v>2000</v>
      </c>
      <c r="D6" s="1">
        <v>863103</v>
      </c>
    </row>
    <row r="7" spans="1:8" x14ac:dyDescent="0.25">
      <c r="A7" s="1">
        <v>2000</v>
      </c>
      <c r="B7" s="1">
        <v>2500</v>
      </c>
      <c r="D7" s="1">
        <v>614036</v>
      </c>
    </row>
    <row r="8" spans="1:8" x14ac:dyDescent="0.25">
      <c r="A8" s="1">
        <v>2500</v>
      </c>
      <c r="B8" s="1">
        <v>3000</v>
      </c>
      <c r="D8" s="1">
        <v>418091</v>
      </c>
    </row>
    <row r="9" spans="1:8" x14ac:dyDescent="0.25">
      <c r="A9" s="1">
        <v>3000</v>
      </c>
      <c r="B9" s="1">
        <v>3500</v>
      </c>
      <c r="D9" s="1">
        <v>263400</v>
      </c>
    </row>
    <row r="10" spans="1:8" x14ac:dyDescent="0.25">
      <c r="A10" s="1">
        <v>3500</v>
      </c>
      <c r="B10" s="1">
        <v>4000</v>
      </c>
      <c r="D10" s="1">
        <v>216700</v>
      </c>
    </row>
    <row r="11" spans="1:8" x14ac:dyDescent="0.25">
      <c r="A11" s="1">
        <v>4000</v>
      </c>
      <c r="B11" s="1">
        <v>4500</v>
      </c>
      <c r="D11" s="1">
        <v>258876</v>
      </c>
    </row>
    <row r="12" spans="1:8" x14ac:dyDescent="0.25">
      <c r="A12" s="1">
        <v>4500</v>
      </c>
      <c r="B12" s="1">
        <v>5000</v>
      </c>
      <c r="D12" s="1">
        <v>151698</v>
      </c>
    </row>
    <row r="13" spans="1:8" x14ac:dyDescent="0.25">
      <c r="A13" s="1">
        <v>5000</v>
      </c>
      <c r="B13" t="s">
        <v>3</v>
      </c>
      <c r="D13" s="1">
        <v>4232232</v>
      </c>
    </row>
    <row r="14" spans="1:8" x14ac:dyDescent="0.25">
      <c r="A14" s="6" t="s">
        <v>22</v>
      </c>
      <c r="D14" s="1">
        <f>SUM(D5:D13)</f>
        <v>8269353</v>
      </c>
      <c r="F14" s="2" t="s">
        <v>24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 t="s">
        <v>25</v>
      </c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3:G23"/>
  <sheetViews>
    <sheetView workbookViewId="0">
      <selection activeCell="E20" sqref="E20"/>
    </sheetView>
  </sheetViews>
  <sheetFormatPr defaultRowHeight="15" x14ac:dyDescent="0.25"/>
  <cols>
    <col min="3" max="3" width="10.140625" bestFit="1" customWidth="1"/>
    <col min="5" max="5" width="10.140625" bestFit="1" customWidth="1"/>
  </cols>
  <sheetData>
    <row r="3" spans="1:4" x14ac:dyDescent="0.25">
      <c r="A3" s="2" t="s">
        <v>0</v>
      </c>
      <c r="B3" s="2" t="s">
        <v>1</v>
      </c>
    </row>
    <row r="4" spans="1:4" x14ac:dyDescent="0.25">
      <c r="A4" t="s">
        <v>2</v>
      </c>
      <c r="B4" s="1">
        <v>1000</v>
      </c>
      <c r="C4" s="1">
        <f>C19-C17</f>
        <v>12222347</v>
      </c>
      <c r="D4" s="1"/>
    </row>
    <row r="5" spans="1:4" x14ac:dyDescent="0.25">
      <c r="A5" s="1">
        <v>1000</v>
      </c>
      <c r="B5" s="1">
        <v>2500</v>
      </c>
      <c r="C5" s="1">
        <v>4995664</v>
      </c>
      <c r="D5" s="1"/>
    </row>
    <row r="6" spans="1:4" x14ac:dyDescent="0.25">
      <c r="A6" s="1">
        <v>2500</v>
      </c>
      <c r="B6" s="1">
        <v>5000</v>
      </c>
      <c r="C6" s="1">
        <v>2959460</v>
      </c>
      <c r="D6" s="1"/>
    </row>
    <row r="7" spans="1:4" x14ac:dyDescent="0.25">
      <c r="A7" s="1">
        <v>5000</v>
      </c>
      <c r="B7" s="1">
        <v>10000</v>
      </c>
      <c r="C7" s="1">
        <v>2366431</v>
      </c>
      <c r="D7" s="1"/>
    </row>
    <row r="8" spans="1:4" x14ac:dyDescent="0.25">
      <c r="A8" s="1">
        <v>10000</v>
      </c>
      <c r="B8" s="1">
        <v>20000</v>
      </c>
      <c r="C8" s="1">
        <v>2027511</v>
      </c>
      <c r="D8" s="1"/>
    </row>
    <row r="9" spans="1:4" x14ac:dyDescent="0.25">
      <c r="A9" s="1">
        <v>20000</v>
      </c>
      <c r="B9" s="1">
        <v>30000</v>
      </c>
      <c r="C9" s="1">
        <v>939938</v>
      </c>
      <c r="D9" s="1"/>
    </row>
    <row r="10" spans="1:4" x14ac:dyDescent="0.25">
      <c r="A10" s="1">
        <v>30000</v>
      </c>
      <c r="B10" s="1">
        <v>40000</v>
      </c>
      <c r="C10" s="1">
        <v>683971</v>
      </c>
      <c r="D10" s="1"/>
    </row>
    <row r="11" spans="1:4" x14ac:dyDescent="0.25">
      <c r="A11" s="1">
        <v>40000</v>
      </c>
      <c r="B11" s="1">
        <v>50000</v>
      </c>
      <c r="C11" s="1">
        <v>484642</v>
      </c>
      <c r="D11" s="1"/>
    </row>
    <row r="12" spans="1:4" x14ac:dyDescent="0.25">
      <c r="A12" s="1">
        <v>50000</v>
      </c>
      <c r="B12" s="1">
        <v>75000</v>
      </c>
      <c r="C12" s="1">
        <v>932190</v>
      </c>
      <c r="D12" s="1"/>
    </row>
    <row r="13" spans="1:4" x14ac:dyDescent="0.25">
      <c r="A13" s="1">
        <v>75000</v>
      </c>
      <c r="B13" s="1">
        <v>100000</v>
      </c>
      <c r="C13" s="1">
        <v>798743</v>
      </c>
      <c r="D13" s="1"/>
    </row>
    <row r="14" spans="1:4" x14ac:dyDescent="0.25">
      <c r="A14" s="1">
        <v>100000</v>
      </c>
      <c r="B14" s="1">
        <v>250000</v>
      </c>
      <c r="C14" s="1">
        <v>1795192</v>
      </c>
      <c r="D14" s="1"/>
    </row>
    <row r="15" spans="1:4" x14ac:dyDescent="0.25">
      <c r="A15" s="1">
        <v>250000</v>
      </c>
      <c r="B15" s="1">
        <v>500000</v>
      </c>
      <c r="C15" s="1">
        <v>551168</v>
      </c>
      <c r="D15" s="1"/>
    </row>
    <row r="16" spans="1:4" x14ac:dyDescent="0.25">
      <c r="A16" s="1">
        <v>500000</v>
      </c>
      <c r="B16" t="s">
        <v>3</v>
      </c>
      <c r="C16" s="1">
        <v>4165872</v>
      </c>
      <c r="D16" s="1"/>
    </row>
    <row r="17" spans="1:7" x14ac:dyDescent="0.25">
      <c r="A17" s="2" t="s">
        <v>22</v>
      </c>
      <c r="C17" s="1">
        <f>SUM(C5:C16)</f>
        <v>22700782</v>
      </c>
      <c r="D17" s="3"/>
      <c r="E17" s="2" t="s">
        <v>24</v>
      </c>
    </row>
    <row r="18" spans="1:7" x14ac:dyDescent="0.25">
      <c r="A18" s="2" t="s">
        <v>23</v>
      </c>
      <c r="C18" s="1">
        <f>C17</f>
        <v>22700782</v>
      </c>
      <c r="E18" s="1">
        <v>17218011</v>
      </c>
      <c r="G18" s="1" t="s">
        <v>25</v>
      </c>
    </row>
    <row r="19" spans="1:7" x14ac:dyDescent="0.25">
      <c r="A19" s="2" t="s">
        <v>14</v>
      </c>
      <c r="C19" s="1">
        <v>34923129</v>
      </c>
    </row>
    <row r="20" spans="1:7" x14ac:dyDescent="0.25">
      <c r="A20" s="2" t="s">
        <v>15</v>
      </c>
      <c r="C20">
        <f>100*C18/C19</f>
        <v>65.002142276541136</v>
      </c>
      <c r="E20" s="3">
        <f>100*E18/C19</f>
        <v>49.302601150085948</v>
      </c>
    </row>
    <row r="23" spans="1:7" x14ac:dyDescent="0.25">
      <c r="A23">
        <v>59</v>
      </c>
      <c r="B23">
        <v>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E26"/>
  <sheetViews>
    <sheetView workbookViewId="0">
      <selection activeCell="E20" sqref="E20"/>
    </sheetView>
  </sheetViews>
  <sheetFormatPr defaultRowHeight="15" x14ac:dyDescent="0.25"/>
  <cols>
    <col min="3" max="3" width="15.140625" customWidth="1"/>
    <col min="5" max="5" width="10.140625" bestFit="1" customWidth="1"/>
  </cols>
  <sheetData>
    <row r="3" spans="1:3" x14ac:dyDescent="0.25">
      <c r="A3" s="2" t="s">
        <v>0</v>
      </c>
      <c r="B3" s="2" t="s">
        <v>1</v>
      </c>
    </row>
    <row r="4" spans="1:3" x14ac:dyDescent="0.25">
      <c r="A4" t="s">
        <v>2</v>
      </c>
      <c r="B4" s="1">
        <v>1000</v>
      </c>
      <c r="C4" s="1">
        <f>C19-C17</f>
        <v>13550397</v>
      </c>
    </row>
    <row r="5" spans="1:3" x14ac:dyDescent="0.25">
      <c r="A5" s="1">
        <v>1000</v>
      </c>
      <c r="B5" s="1">
        <v>2500</v>
      </c>
      <c r="C5" s="1">
        <v>6366285</v>
      </c>
    </row>
    <row r="6" spans="1:3" x14ac:dyDescent="0.25">
      <c r="A6" s="1">
        <v>2500</v>
      </c>
      <c r="B6" s="1">
        <v>5000</v>
      </c>
      <c r="C6" s="1">
        <v>4129872</v>
      </c>
    </row>
    <row r="7" spans="1:3" x14ac:dyDescent="0.25">
      <c r="A7" s="1">
        <v>5000</v>
      </c>
      <c r="B7" s="1">
        <v>10000</v>
      </c>
      <c r="C7" s="1">
        <v>3764208</v>
      </c>
    </row>
    <row r="8" spans="1:3" x14ac:dyDescent="0.25">
      <c r="A8" s="1">
        <v>10000</v>
      </c>
      <c r="B8" s="1">
        <v>20000</v>
      </c>
      <c r="C8" s="1">
        <v>3409846</v>
      </c>
    </row>
    <row r="9" spans="1:3" x14ac:dyDescent="0.25">
      <c r="A9" s="1">
        <v>20000</v>
      </c>
      <c r="B9" s="1">
        <v>30000</v>
      </c>
      <c r="C9" s="1">
        <v>1531569</v>
      </c>
    </row>
    <row r="10" spans="1:3" x14ac:dyDescent="0.25">
      <c r="A10" s="1">
        <v>30000</v>
      </c>
      <c r="B10" s="1">
        <v>40000</v>
      </c>
      <c r="C10" s="1">
        <v>1015827</v>
      </c>
    </row>
    <row r="11" spans="1:3" x14ac:dyDescent="0.25">
      <c r="A11" s="1">
        <v>40000</v>
      </c>
      <c r="B11" s="1">
        <v>50000</v>
      </c>
      <c r="C11" s="1">
        <v>858422</v>
      </c>
    </row>
    <row r="12" spans="1:3" x14ac:dyDescent="0.25">
      <c r="A12" s="1">
        <v>50000</v>
      </c>
      <c r="B12" s="1">
        <v>75000</v>
      </c>
      <c r="C12" s="1">
        <v>1242173</v>
      </c>
    </row>
    <row r="13" spans="1:3" x14ac:dyDescent="0.25">
      <c r="A13" s="1">
        <v>75000</v>
      </c>
      <c r="B13" s="1">
        <v>100000</v>
      </c>
      <c r="C13" s="1">
        <v>1114396</v>
      </c>
    </row>
    <row r="14" spans="1:3" x14ac:dyDescent="0.25">
      <c r="A14" s="1">
        <v>100000</v>
      </c>
      <c r="B14" s="1">
        <v>250000</v>
      </c>
      <c r="C14" s="1">
        <v>3735336</v>
      </c>
    </row>
    <row r="15" spans="1:3" x14ac:dyDescent="0.25">
      <c r="A15" s="1">
        <v>250000</v>
      </c>
      <c r="B15" s="1">
        <v>500000</v>
      </c>
      <c r="C15" s="1">
        <v>1971794</v>
      </c>
    </row>
    <row r="16" spans="1:3" x14ac:dyDescent="0.25">
      <c r="A16" s="1">
        <v>500000</v>
      </c>
      <c r="B16" t="s">
        <v>3</v>
      </c>
      <c r="C16" s="1">
        <v>5535113</v>
      </c>
    </row>
    <row r="17" spans="1:5" x14ac:dyDescent="0.25">
      <c r="A17" s="2" t="s">
        <v>22</v>
      </c>
      <c r="C17" s="1">
        <f>SUM(C5:C16)</f>
        <v>34674841</v>
      </c>
      <c r="E17" s="2" t="s">
        <v>24</v>
      </c>
    </row>
    <row r="18" spans="1:5" x14ac:dyDescent="0.25">
      <c r="A18" s="2" t="s">
        <v>23</v>
      </c>
      <c r="C18" s="1">
        <f>C17</f>
        <v>34674841</v>
      </c>
      <c r="E18" s="1">
        <f>C19-C5-C4</f>
        <v>28308556</v>
      </c>
    </row>
    <row r="19" spans="1:5" x14ac:dyDescent="0.25">
      <c r="A19" s="2" t="s">
        <v>14</v>
      </c>
      <c r="C19" s="1">
        <v>48225238</v>
      </c>
    </row>
    <row r="20" spans="1:5" x14ac:dyDescent="0.25">
      <c r="A20" s="2" t="s">
        <v>15</v>
      </c>
      <c r="C20" s="3">
        <f>100*C18/C19</f>
        <v>71.901855621738974</v>
      </c>
      <c r="E20" s="3">
        <f>100*E18/C19</f>
        <v>58.700707708275075</v>
      </c>
    </row>
    <row r="24" spans="1:5" x14ac:dyDescent="0.25">
      <c r="A24">
        <v>7</v>
      </c>
      <c r="B24">
        <v>4</v>
      </c>
    </row>
    <row r="25" spans="1:5" x14ac:dyDescent="0.25">
      <c r="A25">
        <v>58</v>
      </c>
    </row>
    <row r="26" spans="1:5" x14ac:dyDescent="0.25">
      <c r="A26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2026-04-28T08:12:04Z</dcterms:modified>
</cp:coreProperties>
</file>