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903E5786-17A1-4570-AAAD-13C769091023}" xr6:coauthVersionLast="47" xr6:coauthVersionMax="47" xr10:uidLastSave="{00000000-0000-0000-0000-000000000000}"/>
  <bookViews>
    <workbookView xWindow="57480" yWindow="-120" windowWidth="51840" windowHeight="21120" firstSheet="3" activeTab="14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  <sheet name="Unpack" sheetId="18" r:id="rId14"/>
    <sheet name="Итоги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19" l="1"/>
  <c r="M26" i="19"/>
  <c r="M25" i="19"/>
  <c r="M20" i="19"/>
  <c r="M19" i="19"/>
  <c r="M18" i="19"/>
  <c r="M13" i="19"/>
  <c r="M12" i="19"/>
  <c r="M11" i="19"/>
  <c r="M6" i="19"/>
  <c r="M5" i="19"/>
  <c r="M4" i="19"/>
  <c r="K25" i="19"/>
  <c r="K18" i="19"/>
  <c r="K11" i="19"/>
  <c r="K4" i="19"/>
  <c r="K27" i="19"/>
  <c r="K26" i="19"/>
  <c r="K20" i="19"/>
  <c r="K19" i="19"/>
  <c r="K13" i="19"/>
  <c r="K12" i="19"/>
  <c r="K6" i="19"/>
  <c r="K5" i="19"/>
  <c r="R15" i="18"/>
  <c r="Q15" i="18"/>
  <c r="Q30" i="18"/>
  <c r="AK30" i="18"/>
  <c r="AJ30" i="18"/>
  <c r="AK25" i="18"/>
  <c r="AJ25" i="18"/>
  <c r="AH54" i="18"/>
  <c r="AH53" i="18"/>
  <c r="AH52" i="18"/>
  <c r="AH51" i="18"/>
  <c r="AH50" i="18"/>
  <c r="AH49" i="18"/>
  <c r="AH48" i="18"/>
  <c r="AH47" i="18"/>
  <c r="AH46" i="18"/>
  <c r="AH45" i="18"/>
  <c r="AH44" i="18"/>
  <c r="AH43" i="18"/>
  <c r="AH42" i="18"/>
  <c r="AH41" i="18"/>
  <c r="AH40" i="18"/>
  <c r="AH39" i="18"/>
  <c r="AH38" i="18"/>
  <c r="AH37" i="18"/>
  <c r="AH36" i="18"/>
  <c r="AH35" i="18"/>
  <c r="AH34" i="18"/>
  <c r="AH33" i="18"/>
  <c r="AH32" i="18"/>
  <c r="AH31" i="18"/>
  <c r="AH30" i="18"/>
  <c r="AH29" i="18"/>
  <c r="AH28" i="18"/>
  <c r="AH27" i="18"/>
  <c r="AH26" i="18"/>
  <c r="AH25" i="18"/>
  <c r="AH24" i="18"/>
  <c r="AH23" i="18"/>
  <c r="AH22" i="18"/>
  <c r="AH21" i="18"/>
  <c r="AH20" i="18"/>
  <c r="AH19" i="18"/>
  <c r="AH18" i="18"/>
  <c r="AH17" i="18"/>
  <c r="AH16" i="18"/>
  <c r="AH15" i="18"/>
  <c r="AH14" i="18"/>
  <c r="AH13" i="18"/>
  <c r="AH12" i="18"/>
  <c r="AH11" i="18"/>
  <c r="AH10" i="18"/>
  <c r="AH9" i="18"/>
  <c r="AH8" i="18"/>
  <c r="AH7" i="18"/>
  <c r="J47" i="18"/>
  <c r="I47" i="18"/>
  <c r="H47" i="18"/>
  <c r="J46" i="18"/>
  <c r="I46" i="18"/>
  <c r="H46" i="18"/>
  <c r="J45" i="18"/>
  <c r="I45" i="18"/>
  <c r="H45" i="18"/>
  <c r="J44" i="18"/>
  <c r="I44" i="18"/>
  <c r="H44" i="18"/>
  <c r="J43" i="18"/>
  <c r="I43" i="18"/>
  <c r="H43" i="18"/>
  <c r="J78" i="8"/>
  <c r="D78" i="8"/>
  <c r="J77" i="6"/>
  <c r="D77" i="6"/>
  <c r="J77" i="7"/>
  <c r="D77" i="7"/>
  <c r="J78" i="2"/>
  <c r="D78" i="2"/>
  <c r="L78" i="8" l="1"/>
  <c r="L79" i="8" s="1"/>
  <c r="L77" i="6"/>
  <c r="L78" i="6" s="1"/>
  <c r="L77" i="7"/>
  <c r="L78" i="7" s="1"/>
  <c r="J80" i="2"/>
  <c r="J81" i="2" s="1"/>
  <c r="J64" i="17"/>
  <c r="J65" i="17" s="1"/>
  <c r="D64" i="17"/>
  <c r="D65" i="17" s="1"/>
  <c r="D57" i="15"/>
  <c r="D58" i="15" s="1"/>
  <c r="D56" i="14"/>
  <c r="D57" i="14" s="1"/>
  <c r="D29" i="13"/>
  <c r="D45" i="13"/>
  <c r="D44" i="13"/>
  <c r="J59" i="17"/>
  <c r="J60" i="17" s="1"/>
  <c r="D59" i="17"/>
  <c r="D60" i="17" s="1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53" i="15"/>
  <c r="D47" i="15"/>
  <c r="D48" i="15" s="1"/>
  <c r="D52" i="15"/>
  <c r="D51" i="14"/>
  <c r="D52" i="14" s="1"/>
  <c r="D46" i="14"/>
  <c r="D47" i="14" s="1"/>
  <c r="D34" i="13"/>
  <c r="D35" i="13" s="1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D61" i="2"/>
  <c r="J61" i="7"/>
  <c r="D61" i="7"/>
  <c r="J61" i="6"/>
  <c r="D61" i="6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L61" i="6" l="1"/>
  <c r="L62" i="6" s="1"/>
  <c r="L61" i="7"/>
  <c r="L62" i="7" s="1"/>
  <c r="L61" i="2"/>
  <c r="L62" i="2" s="1"/>
  <c r="D4" i="14"/>
  <c r="J56" i="8"/>
  <c r="J56" i="6"/>
  <c r="J56" i="7"/>
  <c r="J56" i="2"/>
  <c r="D30" i="13"/>
  <c r="D56" i="8"/>
  <c r="L56" i="8" s="1"/>
  <c r="L57" i="8" s="1"/>
  <c r="D56" i="6"/>
  <c r="L56" i="6" s="1"/>
  <c r="L57" i="6" s="1"/>
  <c r="D56" i="7"/>
  <c r="D56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2" l="1"/>
  <c r="L57" i="2" s="1"/>
  <c r="L56" i="7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<sst xmlns="http://schemas.openxmlformats.org/spreadsheetml/2006/main" count="573" uniqueCount="103">
  <si>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</si>
  <si>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</si>
  <si>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</si>
  <si>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</si>
  <si>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</si>
  <si>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</si>
  <si>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</si>
  <si>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</si>
  <si>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</si>
  <si>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</si>
  <si>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</si>
  <si>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</si>
  <si>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</si>
  <si>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</si>
  <si>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</si>
  <si>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</si>
  <si>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</si>
  <si>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</si>
  <si>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</si>
  <si>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</si>
  <si>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</si>
  <si>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</si>
  <si>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</si>
  <si>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</si>
  <si>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</si>
  <si>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</si>
  <si>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</si>
  <si>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</si>
  <si>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</si>
  <si>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</si>
  <si>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</si>
  <si>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</si>
  <si>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</si>
  <si>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</si>
  <si>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</si>
  <si>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</si>
  <si>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</si>
  <si>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</si>
  <si>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</si>
  <si>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</si>
  <si>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</si>
  <si>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</si>
  <si>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</si>
  <si>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</si>
  <si>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</si>
  <si>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</si>
  <si>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</si>
  <si>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</si>
  <si>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</si>
  <si>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</si>
  <si>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</si>
  <si>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</si>
  <si>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</si>
  <si>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</si>
  <si>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</si>
  <si>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</si>
  <si>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</si>
  <si>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</si>
  <si>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</si>
  <si>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</si>
  <si>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</si>
  <si>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</si>
  <si>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</si>
  <si>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</si>
  <si>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</si>
  <si>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</si>
  <si>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</si>
  <si>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</si>
  <si>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</si>
  <si>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</si>
  <si>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</si>
  <si>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</si>
  <si>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</si>
  <si>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</si>
  <si>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</si>
  <si>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</si>
  <si>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</si>
  <si>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</si>
  <si>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</si>
  <si>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</si>
  <si>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</si>
  <si>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</si>
  <si>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</si>
  <si>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</si>
  <si>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</si>
  <si>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</si>
  <si>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</si>
  <si>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</si>
  <si>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</si>
  <si>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</si>
  <si>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</si>
  <si>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</si>
  <si>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</si>
  <si>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</si>
  <si>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</si>
  <si>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</si>
  <si>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</si>
  <si>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</si>
  <si>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</si>
  <si>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&gt; 1000</t>
  </si>
  <si>
    <t>в 1000-3000</t>
  </si>
  <si>
    <t>RSFSR-MX</t>
  </si>
  <si>
    <t>RSFSR/MX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</si>
</sst>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/>
    <xf numFmtId="3" fontId="0" fillId="2" borderId="0" xfId="0" applyNumberFormat="1" applyFill="1"/>
    <xf numFmtId="1" fontId="0" fillId="2" borderId="0" xfId="0" applyNumberFormat="1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6" fillId="0" borderId="0" xfId="0" applyNumberFormat="1" applyFont="1"/>
    <xf numFmtId="164" fontId="0" fillId="0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32"/>
  <sheetViews>
    <sheetView workbookViewId="0">
      <selection activeCell="A31" sqref="A31"/>
    </sheetView>
  </sheetViews>
  <sheetFormatPr defaultRowHeight="14.4" x14ac:dyDescent="0.55000000000000004"/>
  <cols>
    <col min="1" max="1" width="13.15625" customWidth="1"/>
  </cols>
  <sheetData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57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59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58</v>
      </c>
    </row>
    <row r="18" spans="1:2" x14ac:dyDescent="0.55000000000000004">
      <c r="A18" s="2" t="s">
        <v>11</v>
      </c>
      <c r="B18" t="s">
        <v>60</v>
      </c>
    </row>
    <row r="20" spans="1:2" x14ac:dyDescent="0.55000000000000004">
      <c r="A20" s="2" t="s">
        <v>19</v>
      </c>
      <c r="B20" t="s">
        <v>18</v>
      </c>
    </row>
    <row r="22" spans="1:2" x14ac:dyDescent="0.55000000000000004">
      <c r="A22" s="2" t="s">
        <v>21</v>
      </c>
      <c r="B22" t="s">
        <v>25</v>
      </c>
    </row>
    <row r="24" spans="1:2" x14ac:dyDescent="0.55000000000000004">
      <c r="A24" s="2" t="s">
        <v>24</v>
      </c>
      <c r="B24" t="s">
        <v>69</v>
      </c>
    </row>
    <row r="26" spans="1:2" x14ac:dyDescent="0.55000000000000004">
      <c r="A26" s="2" t="s">
        <v>26</v>
      </c>
      <c r="B26" t="s">
        <v>70</v>
      </c>
    </row>
    <row r="29" spans="1:2" x14ac:dyDescent="0.55000000000000004">
      <c r="A29" t="s">
        <v>86</v>
      </c>
    </row>
    <row r="30" spans="1:2" x14ac:dyDescent="0.55000000000000004">
      <c r="A30" t="s">
        <v>98</v>
      </c>
    </row>
    <row r="31" spans="1:2" x14ac:dyDescent="0.55000000000000004">
      <c r="A31" t="s">
        <v>87</v>
      </c>
    </row>
    <row r="32" spans="1:2" x14ac:dyDescent="0.55000000000000004">
      <c r="A32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65"/>
  <sheetViews>
    <sheetView topLeftCell="A19" workbookViewId="0">
      <selection activeCell="J44" sqref="J44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</cols>
  <sheetData>
    <row r="3" spans="1:14" x14ac:dyDescent="0.55000000000000004">
      <c r="A3" s="21" t="s">
        <v>42</v>
      </c>
      <c r="B3" s="21"/>
      <c r="C3" s="20" t="s">
        <v>37</v>
      </c>
      <c r="D3" s="20"/>
      <c r="E3" s="20" t="s">
        <v>38</v>
      </c>
      <c r="F3" s="20"/>
      <c r="G3" s="20" t="s">
        <v>39</v>
      </c>
      <c r="H3" s="20"/>
      <c r="I3" s="20" t="s">
        <v>32</v>
      </c>
      <c r="J3" s="20"/>
      <c r="K3" s="20" t="s">
        <v>33</v>
      </c>
      <c r="L3" s="20"/>
      <c r="M3" s="20" t="s">
        <v>34</v>
      </c>
      <c r="N3" s="20"/>
    </row>
    <row r="4" spans="1:14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3" x14ac:dyDescent="0.7">
      <c r="A21" s="11" t="s">
        <v>65</v>
      </c>
    </row>
    <row r="23" spans="1:14" x14ac:dyDescent="0.55000000000000004">
      <c r="B23" t="s">
        <v>50</v>
      </c>
    </row>
    <row r="24" spans="1:14" x14ac:dyDescent="0.55000000000000004">
      <c r="B24" t="s">
        <v>43</v>
      </c>
    </row>
    <row r="25" spans="1:14" x14ac:dyDescent="0.55000000000000004">
      <c r="B25" t="s">
        <v>51</v>
      </c>
    </row>
    <row r="26" spans="1:14" x14ac:dyDescent="0.55000000000000004">
      <c r="B26" t="s">
        <v>44</v>
      </c>
    </row>
    <row r="27" spans="1:14" x14ac:dyDescent="0.55000000000000004">
      <c r="B27" t="s">
        <v>45</v>
      </c>
    </row>
    <row r="29" spans="1:14" x14ac:dyDescent="0.55000000000000004">
      <c r="B29" t="s">
        <v>46</v>
      </c>
    </row>
    <row r="30" spans="1:14" x14ac:dyDescent="0.55000000000000004">
      <c r="B30" t="s">
        <v>47</v>
      </c>
    </row>
    <row r="31" spans="1:14" x14ac:dyDescent="0.55000000000000004">
      <c r="B31" t="s">
        <v>48</v>
      </c>
    </row>
    <row r="32" spans="1:14" x14ac:dyDescent="0.55000000000000004">
      <c r="B32" t="s">
        <v>49</v>
      </c>
    </row>
    <row r="36" spans="1:14" x14ac:dyDescent="0.55000000000000004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55000000000000004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55000000000000004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55000000000000004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55000000000000004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55000000000000004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55000000000000004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55000000000000004">
      <c r="A44" t="s">
        <v>52</v>
      </c>
      <c r="D44" s="12">
        <f>100*D43/D19</f>
        <v>31.595930010739593</v>
      </c>
      <c r="J44" s="12">
        <f>100*J43/J19</f>
        <v>28.722572032524745</v>
      </c>
    </row>
    <row r="46" spans="1:14" ht="18.3" x14ac:dyDescent="0.7">
      <c r="A46" s="11" t="s">
        <v>64</v>
      </c>
    </row>
    <row r="48" spans="1:14" x14ac:dyDescent="0.55000000000000004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55000000000000004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55000000000000004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55000000000000004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55000000000000004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55000000000000004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55000000000000004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55000000000000004">
      <c r="A55" t="s">
        <v>52</v>
      </c>
      <c r="D55" s="12">
        <f>100*D54/D19</f>
        <v>36.013667918048689</v>
      </c>
      <c r="J55" s="12">
        <f>100*J54/J19</f>
        <v>32.585182480465498</v>
      </c>
    </row>
    <row r="57" spans="1:14" ht="18.3" x14ac:dyDescent="0.7">
      <c r="A57" s="11" t="s">
        <v>96</v>
      </c>
    </row>
    <row r="59" spans="1:14" x14ac:dyDescent="0.55000000000000004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55000000000000004">
      <c r="A60" t="s">
        <v>52</v>
      </c>
      <c r="D60" s="12">
        <f>100*D59/D19</f>
        <v>50.580873249491994</v>
      </c>
      <c r="J60" s="12">
        <f>100*J59/J19</f>
        <v>46.199974788786172</v>
      </c>
    </row>
    <row r="62" spans="1:14" ht="18.3" x14ac:dyDescent="0.7">
      <c r="A62" s="11" t="s">
        <v>73</v>
      </c>
    </row>
    <row r="64" spans="1:14" x14ac:dyDescent="0.55000000000000004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55000000000000004">
      <c r="A65" t="s">
        <v>52</v>
      </c>
      <c r="D65" s="12">
        <f>D64/D19*100</f>
        <v>21.725826057229458</v>
      </c>
      <c r="J65" s="12">
        <f>J64/J19*100</f>
        <v>20.50190248865384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81"/>
  <sheetViews>
    <sheetView topLeftCell="A30" workbookViewId="0">
      <selection activeCell="F77" sqref="F77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1.15625" bestFit="1" customWidth="1"/>
    <col min="12" max="12" width="11.15625" bestFit="1" customWidth="1"/>
  </cols>
  <sheetData>
    <row r="2" spans="1:14" ht="18.3" x14ac:dyDescent="0.7">
      <c r="A2" s="11" t="s">
        <v>76</v>
      </c>
    </row>
    <row r="3" spans="1:14" x14ac:dyDescent="0.55000000000000004">
      <c r="I3" s="21" t="s">
        <v>55</v>
      </c>
      <c r="J3" s="21"/>
      <c r="M3" s="7"/>
      <c r="N3" s="7"/>
    </row>
    <row r="4" spans="1:14" x14ac:dyDescent="0.55000000000000004">
      <c r="C4" s="21" t="s">
        <v>56</v>
      </c>
      <c r="D4" s="21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</row>
    <row r="6" spans="1:14" x14ac:dyDescent="0.55000000000000004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</row>
    <row r="7" spans="1:14" x14ac:dyDescent="0.55000000000000004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</row>
    <row r="8" spans="1:14" x14ac:dyDescent="0.55000000000000004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</row>
    <row r="9" spans="1:14" x14ac:dyDescent="0.55000000000000004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</row>
    <row r="10" spans="1:14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</row>
    <row r="11" spans="1:14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55000000000000004">
      <c r="A14" s="2" t="s">
        <v>13</v>
      </c>
      <c r="D14" s="1">
        <f>SUM(D6:D13)</f>
        <v>99977695</v>
      </c>
    </row>
    <row r="15" spans="1:14" x14ac:dyDescent="0.55000000000000004">
      <c r="A15" s="2" t="s">
        <v>14</v>
      </c>
      <c r="C15">
        <f>SUM(C6:C13)</f>
        <v>4619</v>
      </c>
      <c r="D15" s="1">
        <v>208826650</v>
      </c>
    </row>
    <row r="16" spans="1:14" x14ac:dyDescent="0.55000000000000004">
      <c r="A16" s="2" t="s">
        <v>15</v>
      </c>
      <c r="D16" s="3">
        <f>100*D14/D15</f>
        <v>47.875927234383163</v>
      </c>
    </row>
    <row r="18" spans="1:10" ht="18.3" x14ac:dyDescent="0.7">
      <c r="A18" s="11" t="s">
        <v>65</v>
      </c>
    </row>
    <row r="20" spans="1:10" x14ac:dyDescent="0.55000000000000004">
      <c r="A20" t="s">
        <v>53</v>
      </c>
    </row>
    <row r="21" spans="1:10" x14ac:dyDescent="0.55000000000000004">
      <c r="A21" t="s">
        <v>54</v>
      </c>
    </row>
    <row r="24" spans="1:10" x14ac:dyDescent="0.55000000000000004">
      <c r="C24" s="21" t="s">
        <v>56</v>
      </c>
      <c r="D24" s="21"/>
      <c r="I24" s="21" t="s">
        <v>55</v>
      </c>
      <c r="J24" s="21"/>
    </row>
    <row r="25" spans="1:10" x14ac:dyDescent="0.55000000000000004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55000000000000004">
      <c r="A26" s="1">
        <v>2500</v>
      </c>
      <c r="B26" s="1">
        <v>3000</v>
      </c>
      <c r="C26" s="15">
        <v>243.88250500000001</v>
      </c>
      <c r="D26" s="1">
        <v>590583.034583</v>
      </c>
      <c r="I26" s="15"/>
      <c r="J26" s="1"/>
    </row>
    <row r="27" spans="1:10" x14ac:dyDescent="0.55000000000000004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 s="15">
        <v>1171.0819570000001</v>
      </c>
      <c r="J27" s="1">
        <v>3429645.5169960004</v>
      </c>
    </row>
    <row r="28" spans="1:10" x14ac:dyDescent="0.55000000000000004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55000000000000004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 s="1">
        <v>675</v>
      </c>
      <c r="J29" s="1">
        <v>4973200</v>
      </c>
    </row>
    <row r="30" spans="1:10" x14ac:dyDescent="0.55000000000000004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55000000000000004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55000000000000004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55000000000000004">
      <c r="A33" s="1">
        <v>500000</v>
      </c>
      <c r="B33" t="s">
        <v>3</v>
      </c>
      <c r="C33">
        <v>25</v>
      </c>
      <c r="D33" s="1">
        <v>24162753</v>
      </c>
    </row>
    <row r="34" spans="1:10" x14ac:dyDescent="0.55000000000000004">
      <c r="A34" s="2" t="s">
        <v>13</v>
      </c>
      <c r="D34" s="1">
        <f>SUM(D26:D33)</f>
        <v>98957745.034583002</v>
      </c>
    </row>
    <row r="35" spans="1:10" x14ac:dyDescent="0.55000000000000004">
      <c r="A35" s="2" t="s">
        <v>14</v>
      </c>
      <c r="D35" s="1">
        <v>208826650</v>
      </c>
    </row>
    <row r="36" spans="1:10" x14ac:dyDescent="0.55000000000000004">
      <c r="A36" s="2"/>
      <c r="D36" s="3"/>
    </row>
    <row r="38" spans="1:10" x14ac:dyDescent="0.55000000000000004">
      <c r="A38" t="s">
        <v>63</v>
      </c>
      <c r="D38" s="1">
        <f>SUM(D26:D33)</f>
        <v>98957745.034583002</v>
      </c>
      <c r="J38" s="1">
        <f>SUM(J26:J33)</f>
        <v>15135045.516996</v>
      </c>
    </row>
    <row r="39" spans="1:10" x14ac:dyDescent="0.55000000000000004">
      <c r="A39" s="2" t="s">
        <v>61</v>
      </c>
      <c r="D39" s="1">
        <f>D38+J38</f>
        <v>114092790.551579</v>
      </c>
    </row>
    <row r="40" spans="1:10" x14ac:dyDescent="0.55000000000000004">
      <c r="A40" s="2" t="s">
        <v>62</v>
      </c>
      <c r="D40" s="12">
        <f>100*D39/D35</f>
        <v>54.635167758319639</v>
      </c>
    </row>
    <row r="42" spans="1:10" ht="18.3" x14ac:dyDescent="0.7">
      <c r="A42" s="11" t="s">
        <v>64</v>
      </c>
    </row>
    <row r="44" spans="1:10" x14ac:dyDescent="0.55000000000000004">
      <c r="C44" s="21" t="s">
        <v>56</v>
      </c>
      <c r="D44" s="21"/>
      <c r="I44" s="21" t="s">
        <v>55</v>
      </c>
      <c r="J44" s="21"/>
    </row>
    <row r="45" spans="1:10" x14ac:dyDescent="0.55000000000000004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469.48757000000001</v>
      </c>
      <c r="D46" s="1">
        <v>1034183.7301159999</v>
      </c>
      <c r="J46" s="1"/>
    </row>
    <row r="47" spans="1:10" x14ac:dyDescent="0.55000000000000004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 s="1">
        <v>3482</v>
      </c>
      <c r="J47" s="1">
        <v>8389199</v>
      </c>
    </row>
    <row r="48" spans="1:10" x14ac:dyDescent="0.55000000000000004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55000000000000004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 s="1">
        <v>675</v>
      </c>
      <c r="J49" s="1">
        <v>4973200</v>
      </c>
    </row>
    <row r="50" spans="1:12" x14ac:dyDescent="0.55000000000000004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55000000000000004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55000000000000004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55000000000000004">
      <c r="A53" s="1">
        <v>500000</v>
      </c>
      <c r="B53" t="s">
        <v>3</v>
      </c>
      <c r="C53">
        <v>25</v>
      </c>
      <c r="D53" s="1">
        <v>24162753</v>
      </c>
    </row>
    <row r="54" spans="1:12" x14ac:dyDescent="0.55000000000000004">
      <c r="A54" s="2" t="s">
        <v>14</v>
      </c>
      <c r="D54" s="1">
        <v>208826650</v>
      </c>
    </row>
    <row r="56" spans="1:12" x14ac:dyDescent="0.55000000000000004">
      <c r="A56" s="2" t="s">
        <v>67</v>
      </c>
      <c r="D56" s="1">
        <f>SUM(D46:D53)</f>
        <v>99401345.73011601</v>
      </c>
      <c r="J56" s="1">
        <f>SUM(J46:J52)</f>
        <v>20094599</v>
      </c>
      <c r="L56" s="1">
        <f>D56+J56</f>
        <v>119495944.73011601</v>
      </c>
    </row>
    <row r="57" spans="1:12" x14ac:dyDescent="0.55000000000000004">
      <c r="A57" s="2" t="s">
        <v>66</v>
      </c>
      <c r="D57" s="3"/>
      <c r="L57" s="12">
        <f>100*L56/D54</f>
        <v>57.222555037930263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55000000000000004">
      <c r="A62" t="s">
        <v>75</v>
      </c>
      <c r="L62" s="12">
        <f>100*L61/D54</f>
        <v>47.763795473422576</v>
      </c>
    </row>
    <row r="64" spans="1:12" ht="18.3" x14ac:dyDescent="0.7">
      <c r="A64" s="11" t="s">
        <v>96</v>
      </c>
    </row>
    <row r="67" spans="1:10" x14ac:dyDescent="0.55000000000000004">
      <c r="C67" s="21" t="s">
        <v>56</v>
      </c>
      <c r="D67" s="21"/>
      <c r="I67" s="21" t="s">
        <v>55</v>
      </c>
      <c r="J67" s="21"/>
    </row>
    <row r="68" spans="1:10" x14ac:dyDescent="0.55000000000000004">
      <c r="A68" s="7" t="s">
        <v>0</v>
      </c>
      <c r="B68" s="7" t="s">
        <v>1</v>
      </c>
      <c r="C68" s="7" t="s">
        <v>36</v>
      </c>
      <c r="D68" s="7" t="s">
        <v>4</v>
      </c>
      <c r="G68" s="7" t="s">
        <v>0</v>
      </c>
      <c r="H68" s="7" t="s">
        <v>1</v>
      </c>
      <c r="I68" s="7" t="s">
        <v>36</v>
      </c>
      <c r="J68" s="7" t="s">
        <v>4</v>
      </c>
    </row>
    <row r="69" spans="1:10" x14ac:dyDescent="0.55000000000000004">
      <c r="A69">
        <v>1000</v>
      </c>
      <c r="B69" s="1">
        <v>3000</v>
      </c>
      <c r="C69" s="15">
        <v>783.95752699999991</v>
      </c>
      <c r="D69" s="1">
        <v>1535685.978994</v>
      </c>
      <c r="G69">
        <v>1000</v>
      </c>
      <c r="H69">
        <v>2000</v>
      </c>
      <c r="I69" s="1">
        <v>14218</v>
      </c>
      <c r="J69" s="1">
        <v>19337000</v>
      </c>
    </row>
    <row r="70" spans="1:10" x14ac:dyDescent="0.55000000000000004">
      <c r="A70" s="1">
        <v>3000</v>
      </c>
      <c r="B70" s="1">
        <v>5000</v>
      </c>
      <c r="C70">
        <v>904</v>
      </c>
      <c r="D70" s="1">
        <v>3596828</v>
      </c>
      <c r="G70">
        <v>2000</v>
      </c>
      <c r="H70">
        <v>3000</v>
      </c>
      <c r="I70" s="1">
        <v>3482</v>
      </c>
      <c r="J70" s="1">
        <v>8389199</v>
      </c>
    </row>
    <row r="71" spans="1:10" x14ac:dyDescent="0.55000000000000004">
      <c r="A71" s="1">
        <v>5000</v>
      </c>
      <c r="B71" s="1">
        <v>10000</v>
      </c>
      <c r="C71">
        <v>1296</v>
      </c>
      <c r="D71" s="1">
        <v>9213576</v>
      </c>
      <c r="G71" s="1">
        <v>3000</v>
      </c>
      <c r="H71" s="1">
        <v>5000</v>
      </c>
      <c r="I71" s="1">
        <v>1807</v>
      </c>
      <c r="J71" s="1">
        <v>6732200</v>
      </c>
    </row>
    <row r="72" spans="1:10" x14ac:dyDescent="0.55000000000000004">
      <c r="A72" s="1">
        <v>10000</v>
      </c>
      <c r="B72" s="1">
        <v>20000</v>
      </c>
      <c r="C72">
        <v>798</v>
      </c>
      <c r="D72" s="1">
        <v>11150064</v>
      </c>
      <c r="G72" s="1">
        <v>5000</v>
      </c>
      <c r="H72" t="s">
        <v>3</v>
      </c>
      <c r="I72" s="1">
        <v>675</v>
      </c>
      <c r="J72" s="1">
        <v>4973200</v>
      </c>
    </row>
    <row r="73" spans="1:10" x14ac:dyDescent="0.55000000000000004">
      <c r="A73" s="1">
        <v>20000</v>
      </c>
      <c r="B73" s="1">
        <v>50000</v>
      </c>
      <c r="C73">
        <v>474</v>
      </c>
      <c r="D73" s="1">
        <v>14828309</v>
      </c>
    </row>
    <row r="74" spans="1:10" x14ac:dyDescent="0.55000000000000004">
      <c r="A74" s="1">
        <v>50000</v>
      </c>
      <c r="B74" s="1">
        <v>100000</v>
      </c>
      <c r="C74">
        <v>156</v>
      </c>
      <c r="D74" s="1">
        <v>10989803</v>
      </c>
    </row>
    <row r="75" spans="1:10" x14ac:dyDescent="0.55000000000000004">
      <c r="A75" s="1">
        <v>100000</v>
      </c>
      <c r="B75" s="1">
        <v>500000</v>
      </c>
      <c r="C75">
        <v>123</v>
      </c>
      <c r="D75" s="1">
        <v>24425829</v>
      </c>
    </row>
    <row r="76" spans="1:10" x14ac:dyDescent="0.55000000000000004">
      <c r="A76" s="1">
        <v>500000</v>
      </c>
      <c r="B76" t="s">
        <v>3</v>
      </c>
      <c r="C76">
        <v>25</v>
      </c>
      <c r="D76" s="1">
        <v>24162753</v>
      </c>
    </row>
    <row r="78" spans="1:10" x14ac:dyDescent="0.55000000000000004">
      <c r="A78" t="s">
        <v>99</v>
      </c>
      <c r="D78" s="1">
        <f>SUM(D69:D76)</f>
        <v>99902847.978993997</v>
      </c>
      <c r="J78" s="1">
        <f>SUM(J69:J72)</f>
        <v>39431599</v>
      </c>
    </row>
    <row r="80" spans="1:10" x14ac:dyDescent="0.55000000000000004">
      <c r="J80" s="1">
        <f>J78+D78</f>
        <v>139334446.97899401</v>
      </c>
    </row>
    <row r="81" spans="10:10" x14ac:dyDescent="0.55000000000000004">
      <c r="J81" s="12">
        <f>J80/D35 * 100</f>
        <v>66.72254091084352</v>
      </c>
    </row>
  </sheetData>
  <mergeCells count="8">
    <mergeCell ref="I67:J67"/>
    <mergeCell ref="C67:D67"/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78"/>
  <sheetViews>
    <sheetView topLeftCell="A36" workbookViewId="0">
      <selection activeCell="G83" sqref="G83"/>
    </sheetView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21" t="s">
        <v>56</v>
      </c>
      <c r="D3" s="21"/>
      <c r="I3" s="21" t="s">
        <v>55</v>
      </c>
      <c r="J3" s="21"/>
    </row>
    <row r="4" spans="1:10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</row>
    <row r="6" spans="1:10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</row>
    <row r="7" spans="1:10" x14ac:dyDescent="0.55000000000000004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</row>
    <row r="8" spans="1:10" x14ac:dyDescent="0.55000000000000004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</row>
    <row r="9" spans="1:10" x14ac:dyDescent="0.55000000000000004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</row>
    <row r="10" spans="1:10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</row>
    <row r="11" spans="1:10" x14ac:dyDescent="0.55000000000000004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55000000000000004">
      <c r="A12" s="1">
        <v>500000</v>
      </c>
      <c r="B12" t="s">
        <v>3</v>
      </c>
      <c r="C12">
        <v>33</v>
      </c>
      <c r="D12" s="1">
        <v>37286597</v>
      </c>
    </row>
    <row r="13" spans="1:10" x14ac:dyDescent="0.55000000000000004">
      <c r="A13" s="2" t="s">
        <v>13</v>
      </c>
      <c r="D13" s="1">
        <f>SUM(D5:D12)</f>
        <v>135991514</v>
      </c>
    </row>
    <row r="14" spans="1:10" x14ac:dyDescent="0.55000000000000004">
      <c r="A14" s="2" t="s">
        <v>14</v>
      </c>
      <c r="C14">
        <f>SUM(C5:C12)</f>
        <v>5505</v>
      </c>
      <c r="D14" s="1">
        <v>241720134</v>
      </c>
    </row>
    <row r="15" spans="1:10" x14ac:dyDescent="0.55000000000000004">
      <c r="A15" s="2" t="s">
        <v>15</v>
      </c>
      <c r="D15" s="3">
        <f>100*D13/D14</f>
        <v>56.259903446851474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21" t="s">
        <v>56</v>
      </c>
      <c r="D23" s="21"/>
      <c r="I23" s="21" t="s">
        <v>55</v>
      </c>
      <c r="J23" s="21"/>
    </row>
    <row r="24" spans="1:10" x14ac:dyDescent="0.55000000000000004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310.24907000000002</v>
      </c>
      <c r="D25" s="1">
        <v>724907.8772499999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5">
        <v>1696.3001559999998</v>
      </c>
      <c r="J26" s="9">
        <v>3768180.7427940001</v>
      </c>
    </row>
    <row r="27" spans="1:10" x14ac:dyDescent="0.55000000000000004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55000000000000004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55000000000000004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55000000000000004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55000000000000004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55000000000000004">
      <c r="A32" s="1">
        <v>500000</v>
      </c>
      <c r="B32" t="s">
        <v>3</v>
      </c>
      <c r="C32">
        <v>33</v>
      </c>
      <c r="D32" s="1">
        <v>37286597</v>
      </c>
    </row>
    <row r="33" spans="1:10" x14ac:dyDescent="0.55000000000000004">
      <c r="A33" s="2" t="s">
        <v>13</v>
      </c>
      <c r="D33" s="1">
        <f>SUM(D25:D32)</f>
        <v>134664726.87725002</v>
      </c>
    </row>
    <row r="34" spans="1:10" x14ac:dyDescent="0.55000000000000004">
      <c r="A34" s="2" t="s">
        <v>14</v>
      </c>
      <c r="D34" s="1">
        <v>241720134</v>
      </c>
    </row>
    <row r="37" spans="1:10" x14ac:dyDescent="0.55000000000000004">
      <c r="A37" t="s">
        <v>63</v>
      </c>
      <c r="D37" s="1">
        <f>SUM(D25:D32)</f>
        <v>134664726.87725002</v>
      </c>
      <c r="J37" s="1">
        <f>SUM(J25:J32)</f>
        <v>17871338.742794</v>
      </c>
    </row>
    <row r="38" spans="1:10" x14ac:dyDescent="0.55000000000000004">
      <c r="A38" s="2" t="s">
        <v>61</v>
      </c>
      <c r="D38" s="1">
        <f>D37+J37</f>
        <v>152536065.62004402</v>
      </c>
    </row>
    <row r="39" spans="1:10" x14ac:dyDescent="0.55000000000000004">
      <c r="A39" s="2" t="s">
        <v>62</v>
      </c>
      <c r="D39" s="12">
        <f>100*D38/D34</f>
        <v>63.104410499807194</v>
      </c>
    </row>
    <row r="41" spans="1:10" ht="18.3" x14ac:dyDescent="0.7">
      <c r="A41" s="11" t="s">
        <v>64</v>
      </c>
    </row>
    <row r="44" spans="1:10" x14ac:dyDescent="0.55000000000000004">
      <c r="C44" s="21" t="s">
        <v>56</v>
      </c>
      <c r="D44" s="21"/>
      <c r="I44" s="21" t="s">
        <v>55</v>
      </c>
      <c r="J44" s="21"/>
    </row>
    <row r="45" spans="1:10" x14ac:dyDescent="0.55000000000000004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609.23953400000005</v>
      </c>
      <c r="D46" s="1">
        <v>1289862.832341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55000000000000004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55000000000000004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55000000000000004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55000000000000004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55000000000000004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55000000000000004">
      <c r="A53" s="1">
        <v>500000</v>
      </c>
      <c r="B53" t="s">
        <v>3</v>
      </c>
      <c r="C53">
        <v>33</v>
      </c>
      <c r="D53" s="1">
        <v>37286597</v>
      </c>
    </row>
    <row r="54" spans="1:12" x14ac:dyDescent="0.55000000000000004">
      <c r="A54" s="2" t="s">
        <v>14</v>
      </c>
      <c r="D54" s="1">
        <v>241720134</v>
      </c>
    </row>
    <row r="56" spans="1:12" x14ac:dyDescent="0.55000000000000004">
      <c r="A56" s="2" t="s">
        <v>67</v>
      </c>
      <c r="D56" s="1">
        <f>SUM(D46:D53)</f>
        <v>135229681.83234102</v>
      </c>
      <c r="J56" s="1">
        <f>SUM(J46:J53)</f>
        <v>23527346</v>
      </c>
      <c r="L56" s="1">
        <f>D56+J56</f>
        <v>158757027.83234102</v>
      </c>
    </row>
    <row r="57" spans="1:12" x14ac:dyDescent="0.55000000000000004">
      <c r="A57" s="2" t="s">
        <v>66</v>
      </c>
      <c r="D57" s="3"/>
      <c r="L57" s="13">
        <f>100*L56/D54</f>
        <v>65.678032361317918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55000000000000004">
      <c r="A62" t="s">
        <v>75</v>
      </c>
      <c r="L62" s="12">
        <f>100*L61/D54</f>
        <v>56.382716137332608</v>
      </c>
    </row>
    <row r="64" spans="1:12" ht="18.3" x14ac:dyDescent="0.7">
      <c r="A64" s="11" t="s">
        <v>96</v>
      </c>
    </row>
    <row r="66" spans="1:12" x14ac:dyDescent="0.55000000000000004">
      <c r="C66" s="21" t="s">
        <v>56</v>
      </c>
      <c r="D66" s="21"/>
      <c r="I66" s="21" t="s">
        <v>55</v>
      </c>
      <c r="J66" s="21"/>
    </row>
    <row r="67" spans="1:12" x14ac:dyDescent="0.55000000000000004">
      <c r="A67" s="2" t="s">
        <v>0</v>
      </c>
      <c r="B67" s="2" t="s">
        <v>1</v>
      </c>
      <c r="C67" s="7" t="s">
        <v>36</v>
      </c>
      <c r="D67" s="7" t="s">
        <v>4</v>
      </c>
      <c r="G67" s="7" t="s">
        <v>0</v>
      </c>
      <c r="H67" s="7" t="s">
        <v>1</v>
      </c>
      <c r="I67" s="7" t="s">
        <v>36</v>
      </c>
      <c r="J67" s="7" t="s">
        <v>4</v>
      </c>
    </row>
    <row r="68" spans="1:12" x14ac:dyDescent="0.55000000000000004">
      <c r="A68" s="1">
        <v>1000</v>
      </c>
      <c r="B68" s="1">
        <v>3000</v>
      </c>
      <c r="C68" s="19">
        <v>1038.311132</v>
      </c>
      <c r="D68" s="18">
        <v>1951402.2246440002</v>
      </c>
      <c r="I68" s="1"/>
      <c r="J68" s="1"/>
    </row>
    <row r="69" spans="1:12" x14ac:dyDescent="0.55000000000000004">
      <c r="A69" s="1">
        <v>3000</v>
      </c>
      <c r="B69" s="1">
        <v>5000</v>
      </c>
      <c r="C69">
        <v>1028</v>
      </c>
      <c r="D69" s="1">
        <v>4098169</v>
      </c>
      <c r="I69" s="1"/>
      <c r="J69" s="1"/>
    </row>
    <row r="70" spans="1:12" x14ac:dyDescent="0.55000000000000004">
      <c r="A70" s="1">
        <v>5000</v>
      </c>
      <c r="B70" s="1">
        <v>10000</v>
      </c>
      <c r="C70">
        <v>1430</v>
      </c>
      <c r="D70" s="1">
        <v>10069839</v>
      </c>
      <c r="G70">
        <v>1000</v>
      </c>
      <c r="H70">
        <v>2000</v>
      </c>
      <c r="I70" s="1">
        <v>16677</v>
      </c>
      <c r="J70" s="9">
        <v>22785371</v>
      </c>
    </row>
    <row r="71" spans="1:12" x14ac:dyDescent="0.55000000000000004">
      <c r="A71" s="1">
        <v>10000</v>
      </c>
      <c r="B71" s="1">
        <v>20000</v>
      </c>
      <c r="C71">
        <v>919</v>
      </c>
      <c r="D71" s="1">
        <v>12721674</v>
      </c>
      <c r="G71">
        <v>2000</v>
      </c>
      <c r="H71">
        <v>3000</v>
      </c>
      <c r="I71" s="1">
        <v>3911</v>
      </c>
      <c r="J71" s="9">
        <v>9424188</v>
      </c>
    </row>
    <row r="72" spans="1:12" x14ac:dyDescent="0.55000000000000004">
      <c r="A72" s="1">
        <v>20000</v>
      </c>
      <c r="B72" s="1">
        <v>50000</v>
      </c>
      <c r="C72">
        <v>600</v>
      </c>
      <c r="D72" s="1">
        <v>18468944</v>
      </c>
      <c r="G72" s="1">
        <v>3000</v>
      </c>
      <c r="H72" s="1">
        <v>5000</v>
      </c>
      <c r="I72" s="1">
        <v>2040</v>
      </c>
      <c r="J72" s="9">
        <v>7656431</v>
      </c>
    </row>
    <row r="73" spans="1:12" x14ac:dyDescent="0.55000000000000004">
      <c r="A73" s="1">
        <v>50000</v>
      </c>
      <c r="B73" s="1">
        <v>100000</v>
      </c>
      <c r="C73">
        <v>189</v>
      </c>
      <c r="D73" s="1">
        <v>13054945</v>
      </c>
      <c r="G73" s="1">
        <v>5000</v>
      </c>
      <c r="H73" t="s">
        <v>3</v>
      </c>
      <c r="I73" s="1">
        <v>868</v>
      </c>
      <c r="J73" s="9">
        <v>6446727</v>
      </c>
    </row>
    <row r="74" spans="1:12" x14ac:dyDescent="0.55000000000000004">
      <c r="A74" s="1">
        <v>100000</v>
      </c>
      <c r="B74" s="1">
        <v>500000</v>
      </c>
      <c r="C74">
        <v>188</v>
      </c>
      <c r="D74" s="1">
        <v>38239651</v>
      </c>
    </row>
    <row r="75" spans="1:12" x14ac:dyDescent="0.55000000000000004">
      <c r="A75" s="1">
        <v>500000</v>
      </c>
      <c r="B75" t="s">
        <v>3</v>
      </c>
      <c r="C75">
        <v>33</v>
      </c>
      <c r="D75" s="1">
        <v>37286597</v>
      </c>
    </row>
    <row r="77" spans="1:12" x14ac:dyDescent="0.55000000000000004">
      <c r="A77" s="2" t="s">
        <v>99</v>
      </c>
      <c r="D77" s="1">
        <f>SUM(D68:D75)</f>
        <v>135891221.22464401</v>
      </c>
      <c r="J77" s="1">
        <f>SUM(J70:J73)</f>
        <v>46312717</v>
      </c>
      <c r="L77" s="1">
        <f>J77+D77</f>
        <v>182203938.22464401</v>
      </c>
    </row>
    <row r="78" spans="1:12" x14ac:dyDescent="0.55000000000000004">
      <c r="L78" s="12">
        <f>L77/D54 * 100</f>
        <v>75.378056105431426</v>
      </c>
    </row>
  </sheetData>
  <mergeCells count="8">
    <mergeCell ref="I66:J66"/>
    <mergeCell ref="C66:D66"/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15"/>
  <sheetViews>
    <sheetView workbookViewId="0"/>
  </sheetViews>
  <sheetFormatPr defaultRowHeight="14.4" x14ac:dyDescent="0.55000000000000004"/>
  <cols>
    <col min="4" max="4" width="12.1562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2114745</v>
      </c>
    </row>
    <row r="5" spans="1:4" x14ac:dyDescent="0.55000000000000004">
      <c r="A5" s="1">
        <v>3000</v>
      </c>
      <c r="B5" s="1">
        <v>5000</v>
      </c>
      <c r="D5" s="1">
        <v>4252575</v>
      </c>
    </row>
    <row r="6" spans="1:4" x14ac:dyDescent="0.55000000000000004">
      <c r="A6" s="1">
        <v>5000</v>
      </c>
      <c r="B6" s="1">
        <v>10000</v>
      </c>
      <c r="D6" s="1">
        <v>10665340</v>
      </c>
    </row>
    <row r="7" spans="1:4" x14ac:dyDescent="0.55000000000000004">
      <c r="A7" s="1">
        <v>10000</v>
      </c>
      <c r="B7" s="1">
        <v>20000</v>
      </c>
      <c r="D7" s="1">
        <v>13750129</v>
      </c>
    </row>
    <row r="8" spans="1:4" x14ac:dyDescent="0.55000000000000004">
      <c r="A8" s="1">
        <v>20000</v>
      </c>
      <c r="B8" s="1">
        <v>50000</v>
      </c>
      <c r="D8" s="1">
        <v>20247758</v>
      </c>
    </row>
    <row r="9" spans="1:4" x14ac:dyDescent="0.55000000000000004">
      <c r="A9" s="1">
        <v>50000</v>
      </c>
      <c r="B9" s="1">
        <v>100000</v>
      </c>
      <c r="D9" s="1">
        <v>14944959</v>
      </c>
    </row>
    <row r="10" spans="1:4" x14ac:dyDescent="0.55000000000000004">
      <c r="A10" s="1">
        <v>100000</v>
      </c>
      <c r="B10" s="1">
        <v>250000</v>
      </c>
      <c r="D10" s="1">
        <v>24525256</v>
      </c>
    </row>
    <row r="11" spans="1:4" x14ac:dyDescent="0.55000000000000004">
      <c r="A11" s="1">
        <v>250000</v>
      </c>
      <c r="B11" s="1">
        <v>500000</v>
      </c>
      <c r="D11" s="1">
        <v>22547945</v>
      </c>
    </row>
    <row r="12" spans="1:4" x14ac:dyDescent="0.55000000000000004">
      <c r="A12" s="1">
        <v>500000</v>
      </c>
      <c r="B12" t="s">
        <v>3</v>
      </c>
      <c r="D12" s="1">
        <v>50537237</v>
      </c>
    </row>
    <row r="13" spans="1:4" x14ac:dyDescent="0.55000000000000004">
      <c r="A13" s="2" t="s">
        <v>13</v>
      </c>
      <c r="D13" s="1">
        <f>SUM(D4:D12)</f>
        <v>163585944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78"/>
  <sheetViews>
    <sheetView topLeftCell="A33" workbookViewId="0">
      <selection activeCell="F61" sqref="F61"/>
    </sheetView>
  </sheetViews>
  <sheetFormatPr defaultRowHeight="14.4" x14ac:dyDescent="0.55000000000000004"/>
  <cols>
    <col min="4" max="4" width="11" customWidth="1"/>
    <col min="9" max="9" width="9.26171875" bestFit="1" customWidth="1"/>
    <col min="10" max="10" width="10.15625" bestFit="1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21" t="s">
        <v>55</v>
      </c>
      <c r="J2" s="21"/>
    </row>
    <row r="3" spans="1:10" x14ac:dyDescent="0.55000000000000004">
      <c r="C3" s="21" t="s">
        <v>56</v>
      </c>
      <c r="D3" s="21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</row>
    <row r="5" spans="1:10" x14ac:dyDescent="0.55000000000000004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</row>
    <row r="6" spans="1:10" x14ac:dyDescent="0.55000000000000004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</row>
    <row r="7" spans="1:10" x14ac:dyDescent="0.55000000000000004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</row>
    <row r="8" spans="1:10" x14ac:dyDescent="0.55000000000000004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</row>
    <row r="9" spans="1:10" x14ac:dyDescent="0.55000000000000004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</row>
    <row r="10" spans="1:10" x14ac:dyDescent="0.55000000000000004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55000000000000004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55000000000000004">
      <c r="A12" s="1">
        <v>500000</v>
      </c>
      <c r="B12" t="s">
        <v>3</v>
      </c>
      <c r="C12">
        <v>14</v>
      </c>
      <c r="D12" s="1">
        <v>16225204</v>
      </c>
    </row>
    <row r="13" spans="1:10" x14ac:dyDescent="0.55000000000000004">
      <c r="A13" s="2" t="s">
        <v>13</v>
      </c>
      <c r="D13" s="1">
        <f>SUM(D5:D12)</f>
        <v>61611074</v>
      </c>
    </row>
    <row r="14" spans="1:10" x14ac:dyDescent="0.55000000000000004">
      <c r="A14" s="2" t="s">
        <v>14</v>
      </c>
      <c r="C14">
        <f>SUM(C5:C12)</f>
        <v>2372</v>
      </c>
      <c r="D14" s="1">
        <v>117534315</v>
      </c>
    </row>
    <row r="15" spans="1:10" x14ac:dyDescent="0.55000000000000004">
      <c r="A15" s="2" t="s">
        <v>15</v>
      </c>
      <c r="D15" s="3">
        <f>100*D13/D14</f>
        <v>52.419647827955608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21" t="s">
        <v>56</v>
      </c>
      <c r="D23" s="21"/>
      <c r="I23" s="21" t="s">
        <v>55</v>
      </c>
      <c r="J23" s="21"/>
    </row>
    <row r="24" spans="1:10" x14ac:dyDescent="0.55000000000000004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98.144424999999998</v>
      </c>
      <c r="D25" s="1">
        <v>248511.50954599999</v>
      </c>
      <c r="J25" s="1"/>
    </row>
    <row r="26" spans="1:10" x14ac:dyDescent="0.55000000000000004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 s="15">
        <v>484.67542000000003</v>
      </c>
      <c r="J26" s="1">
        <v>1453528.2957239999</v>
      </c>
    </row>
    <row r="27" spans="1:10" x14ac:dyDescent="0.55000000000000004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55000000000000004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 s="1">
        <v>372</v>
      </c>
      <c r="J28" s="1">
        <v>2900584</v>
      </c>
    </row>
    <row r="29" spans="1:10" x14ac:dyDescent="0.55000000000000004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55000000000000004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55000000000000004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55000000000000004">
      <c r="A32" s="1">
        <v>500000</v>
      </c>
      <c r="B32" t="s">
        <v>3</v>
      </c>
      <c r="C32">
        <v>14</v>
      </c>
      <c r="D32" s="1">
        <v>16225204</v>
      </c>
    </row>
    <row r="33" spans="1:10" x14ac:dyDescent="0.55000000000000004">
      <c r="A33" s="2" t="s">
        <v>13</v>
      </c>
      <c r="D33" s="1">
        <f>SUM(D25:D32)</f>
        <v>61237222.509545997</v>
      </c>
    </row>
    <row r="34" spans="1:10" x14ac:dyDescent="0.55000000000000004">
      <c r="A34" s="2" t="s">
        <v>14</v>
      </c>
      <c r="D34" s="1">
        <v>117534315</v>
      </c>
    </row>
    <row r="37" spans="1:10" x14ac:dyDescent="0.55000000000000004">
      <c r="A37" t="s">
        <v>63</v>
      </c>
      <c r="D37" s="1">
        <f>SUM(D25:D32)</f>
        <v>61237222.509545997</v>
      </c>
      <c r="J37" s="1">
        <f>SUM(J25:J32)</f>
        <v>7479794.2957239999</v>
      </c>
    </row>
    <row r="38" spans="1:10" x14ac:dyDescent="0.55000000000000004">
      <c r="A38" s="2" t="s">
        <v>61</v>
      </c>
      <c r="D38" s="1">
        <f>D37+J37</f>
        <v>68717016.805270001</v>
      </c>
    </row>
    <row r="39" spans="1:10" x14ac:dyDescent="0.55000000000000004">
      <c r="A39" s="2" t="s">
        <v>62</v>
      </c>
      <c r="D39" s="12">
        <f>100*D38/D34</f>
        <v>58.465493081973555</v>
      </c>
    </row>
    <row r="41" spans="1:10" ht="18.3" x14ac:dyDescent="0.7">
      <c r="A41" s="11" t="s">
        <v>64</v>
      </c>
    </row>
    <row r="44" spans="1:10" x14ac:dyDescent="0.55000000000000004">
      <c r="C44" s="21" t="s">
        <v>56</v>
      </c>
      <c r="D44" s="21"/>
      <c r="I44" s="21" t="s">
        <v>55</v>
      </c>
      <c r="J44" s="21"/>
    </row>
    <row r="45" spans="1:10" x14ac:dyDescent="0.55000000000000004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181.83651399999999</v>
      </c>
      <c r="D46" s="1">
        <v>419228.77378300001</v>
      </c>
      <c r="J46" s="1"/>
    </row>
    <row r="47" spans="1:10" x14ac:dyDescent="0.55000000000000004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 s="1">
        <v>1450</v>
      </c>
      <c r="J47" s="1">
        <v>3500966</v>
      </c>
    </row>
    <row r="48" spans="1:10" x14ac:dyDescent="0.55000000000000004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55000000000000004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 s="1">
        <v>372</v>
      </c>
      <c r="J49" s="1">
        <v>2900584</v>
      </c>
    </row>
    <row r="50" spans="1:12" x14ac:dyDescent="0.55000000000000004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55000000000000004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55000000000000004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55000000000000004">
      <c r="A53" s="1">
        <v>500000</v>
      </c>
      <c r="B53" t="s">
        <v>3</v>
      </c>
      <c r="C53">
        <v>14</v>
      </c>
      <c r="D53" s="1">
        <v>16225204</v>
      </c>
    </row>
    <row r="54" spans="1:12" x14ac:dyDescent="0.55000000000000004">
      <c r="A54" s="2" t="s">
        <v>14</v>
      </c>
      <c r="D54" s="1">
        <v>117534315</v>
      </c>
    </row>
    <row r="56" spans="1:12" x14ac:dyDescent="0.55000000000000004">
      <c r="A56" t="s">
        <v>67</v>
      </c>
      <c r="D56" s="1">
        <f>SUM(D46:D53)</f>
        <v>61407939.773782998</v>
      </c>
      <c r="J56" s="1">
        <f>SUM(J46:J53)</f>
        <v>9527232</v>
      </c>
      <c r="L56" s="1">
        <f>D56+J56</f>
        <v>70935171.773782998</v>
      </c>
    </row>
    <row r="57" spans="1:12" x14ac:dyDescent="0.55000000000000004">
      <c r="A57" s="2" t="s">
        <v>66</v>
      </c>
      <c r="D57" s="3"/>
      <c r="L57" s="12">
        <f>100*L56/D54</f>
        <v>60.35273339005974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55000000000000004">
      <c r="A62" t="s">
        <v>75</v>
      </c>
      <c r="L62" s="12">
        <f>100*L61/D54</f>
        <v>52.85730214193191</v>
      </c>
    </row>
    <row r="64" spans="1:12" ht="18.3" x14ac:dyDescent="0.7">
      <c r="A64" s="11" t="s">
        <v>96</v>
      </c>
    </row>
    <row r="66" spans="1:12" x14ac:dyDescent="0.55000000000000004">
      <c r="C66" s="21" t="s">
        <v>56</v>
      </c>
      <c r="D66" s="21"/>
      <c r="I66" s="21" t="s">
        <v>55</v>
      </c>
      <c r="J66" s="21"/>
    </row>
    <row r="67" spans="1:12" x14ac:dyDescent="0.55000000000000004">
      <c r="A67" s="7" t="s">
        <v>0</v>
      </c>
      <c r="B67" s="7" t="s">
        <v>1</v>
      </c>
      <c r="C67" s="7" t="s">
        <v>36</v>
      </c>
      <c r="D67" s="7" t="s">
        <v>4</v>
      </c>
      <c r="G67" s="7" t="s">
        <v>0</v>
      </c>
      <c r="H67" s="7" t="s">
        <v>1</v>
      </c>
      <c r="I67" s="7" t="s">
        <v>36</v>
      </c>
      <c r="J67" s="7" t="s">
        <v>4</v>
      </c>
    </row>
    <row r="68" spans="1:12" x14ac:dyDescent="0.55000000000000004">
      <c r="A68">
        <v>1000</v>
      </c>
      <c r="B68" s="1">
        <v>3000</v>
      </c>
      <c r="C68" s="19">
        <v>293.00578899999999</v>
      </c>
      <c r="D68" s="18">
        <v>596340.88762499997</v>
      </c>
      <c r="I68" s="1"/>
      <c r="J68" s="1"/>
    </row>
    <row r="69" spans="1:12" x14ac:dyDescent="0.55000000000000004">
      <c r="A69" s="1">
        <v>3000</v>
      </c>
      <c r="B69" s="1">
        <v>5000</v>
      </c>
      <c r="C69">
        <v>443</v>
      </c>
      <c r="D69" s="1">
        <v>1763827</v>
      </c>
      <c r="I69" s="1"/>
      <c r="J69" s="1"/>
    </row>
    <row r="70" spans="1:12" x14ac:dyDescent="0.55000000000000004">
      <c r="A70" s="1">
        <v>5000</v>
      </c>
      <c r="B70" s="1">
        <v>10000</v>
      </c>
      <c r="C70">
        <v>654</v>
      </c>
      <c r="D70" s="1">
        <v>4660310</v>
      </c>
      <c r="G70">
        <v>1000</v>
      </c>
      <c r="H70">
        <v>2000</v>
      </c>
      <c r="I70" s="1">
        <v>6057</v>
      </c>
      <c r="J70" s="1">
        <v>8161371</v>
      </c>
    </row>
    <row r="71" spans="1:12" x14ac:dyDescent="0.55000000000000004">
      <c r="A71" s="1">
        <v>10000</v>
      </c>
      <c r="B71" s="1">
        <v>20000</v>
      </c>
      <c r="C71">
        <v>459</v>
      </c>
      <c r="D71" s="1">
        <v>6417782</v>
      </c>
      <c r="G71">
        <v>2000</v>
      </c>
      <c r="H71">
        <v>3000</v>
      </c>
      <c r="I71" s="1">
        <v>1450</v>
      </c>
      <c r="J71" s="1">
        <v>3500966</v>
      </c>
    </row>
    <row r="72" spans="1:12" x14ac:dyDescent="0.55000000000000004">
      <c r="A72" s="1">
        <v>20000</v>
      </c>
      <c r="B72" s="1">
        <v>50000</v>
      </c>
      <c r="C72">
        <v>311</v>
      </c>
      <c r="D72" s="1">
        <v>9741418</v>
      </c>
      <c r="G72" s="1">
        <v>3000</v>
      </c>
      <c r="H72" s="1">
        <v>5000</v>
      </c>
      <c r="I72" s="1">
        <v>833</v>
      </c>
      <c r="J72" s="1">
        <v>3125682</v>
      </c>
    </row>
    <row r="73" spans="1:12" x14ac:dyDescent="0.55000000000000004">
      <c r="A73" s="1">
        <v>50000</v>
      </c>
      <c r="B73" s="1">
        <v>100000</v>
      </c>
      <c r="C73">
        <v>97</v>
      </c>
      <c r="D73" s="1">
        <v>6720976</v>
      </c>
      <c r="G73" s="1">
        <v>5000</v>
      </c>
      <c r="H73" t="s">
        <v>3</v>
      </c>
      <c r="I73" s="1">
        <v>372</v>
      </c>
      <c r="J73" s="1">
        <v>2900584</v>
      </c>
    </row>
    <row r="74" spans="1:12" x14ac:dyDescent="0.55000000000000004">
      <c r="A74" s="1">
        <v>100000</v>
      </c>
      <c r="B74" s="1">
        <v>500000</v>
      </c>
      <c r="C74">
        <v>78</v>
      </c>
      <c r="D74" s="1">
        <v>15459194</v>
      </c>
    </row>
    <row r="75" spans="1:12" x14ac:dyDescent="0.55000000000000004">
      <c r="A75" s="1">
        <v>500000</v>
      </c>
      <c r="B75" t="s">
        <v>3</v>
      </c>
      <c r="C75">
        <v>14</v>
      </c>
      <c r="D75" s="1">
        <v>16225204</v>
      </c>
    </row>
    <row r="77" spans="1:12" x14ac:dyDescent="0.55000000000000004">
      <c r="A77" s="2" t="s">
        <v>99</v>
      </c>
      <c r="D77" s="1">
        <f>SUM(D68:D75)</f>
        <v>61585051.887625001</v>
      </c>
      <c r="J77" s="1">
        <f>SUM(J70:J73)</f>
        <v>17688603</v>
      </c>
      <c r="L77" s="1">
        <f>J77+D77</f>
        <v>79273654.887625009</v>
      </c>
    </row>
    <row r="78" spans="1:12" x14ac:dyDescent="0.55000000000000004">
      <c r="L78" s="12">
        <f>L77/D54 * 100</f>
        <v>67.447242864881645</v>
      </c>
    </row>
  </sheetData>
  <mergeCells count="8">
    <mergeCell ref="I66:J66"/>
    <mergeCell ref="C66:D66"/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79"/>
  <sheetViews>
    <sheetView topLeftCell="A36" workbookViewId="0">
      <selection activeCell="C69" sqref="C69:D69"/>
    </sheetView>
  </sheetViews>
  <sheetFormatPr defaultRowHeight="14.4" x14ac:dyDescent="0.55000000000000004"/>
  <cols>
    <col min="4" max="4" width="12.83984375" customWidth="1"/>
    <col min="9" max="9" width="10" customWidth="1"/>
    <col min="10" max="10" width="10.15625" bestFit="1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21" t="s">
        <v>56</v>
      </c>
      <c r="D3" s="21"/>
      <c r="I3" s="21" t="s">
        <v>55</v>
      </c>
      <c r="J3" s="21"/>
    </row>
    <row r="4" spans="1:10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</row>
    <row r="6" spans="1:10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</row>
    <row r="7" spans="1:10" x14ac:dyDescent="0.55000000000000004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</row>
    <row r="8" spans="1:10" x14ac:dyDescent="0.55000000000000004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</row>
    <row r="9" spans="1:10" x14ac:dyDescent="0.55000000000000004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</row>
    <row r="10" spans="1:10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</row>
    <row r="11" spans="1:10" x14ac:dyDescent="0.55000000000000004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55000000000000004">
      <c r="A12" s="1">
        <v>500000</v>
      </c>
      <c r="B12" t="s">
        <v>3</v>
      </c>
      <c r="C12">
        <v>17</v>
      </c>
      <c r="D12" s="1">
        <v>23231465</v>
      </c>
    </row>
    <row r="13" spans="1:10" x14ac:dyDescent="0.55000000000000004">
      <c r="A13" s="2" t="s">
        <v>13</v>
      </c>
      <c r="D13" s="1">
        <f>SUM(D5:D12)</f>
        <v>80981143</v>
      </c>
    </row>
    <row r="14" spans="1:10" x14ac:dyDescent="0.55000000000000004">
      <c r="A14" s="2" t="s">
        <v>14</v>
      </c>
      <c r="C14">
        <f>SUM(C5:C12)</f>
        <v>2838</v>
      </c>
      <c r="D14" s="1">
        <v>130079210</v>
      </c>
    </row>
    <row r="15" spans="1:10" x14ac:dyDescent="0.55000000000000004">
      <c r="A15" s="2" t="s">
        <v>15</v>
      </c>
      <c r="D15" s="3">
        <f>100*D13/D14</f>
        <v>62.255254317734554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21" t="s">
        <v>56</v>
      </c>
      <c r="D23" s="21"/>
      <c r="I23" s="21" t="s">
        <v>55</v>
      </c>
      <c r="J23" s="21"/>
    </row>
    <row r="24" spans="1:10" x14ac:dyDescent="0.55000000000000004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135.35817</v>
      </c>
      <c r="D25" s="1">
        <v>331733.15540799999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5">
        <v>452.67926299999999</v>
      </c>
      <c r="J26" s="9">
        <v>1346611.9393210001</v>
      </c>
    </row>
    <row r="27" spans="1:10" x14ac:dyDescent="0.55000000000000004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55000000000000004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55000000000000004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55000000000000004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55000000000000004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55000000000000004">
      <c r="A32" s="1">
        <v>500000</v>
      </c>
      <c r="B32" t="s">
        <v>3</v>
      </c>
      <c r="C32">
        <v>17</v>
      </c>
      <c r="D32" s="1">
        <v>23231465</v>
      </c>
    </row>
    <row r="33" spans="1:10" x14ac:dyDescent="0.55000000000000004">
      <c r="A33" s="2" t="s">
        <v>13</v>
      </c>
      <c r="D33" s="1">
        <f>SUM(D25:D32)</f>
        <v>80437280.155407995</v>
      </c>
    </row>
    <row r="34" spans="1:10" x14ac:dyDescent="0.55000000000000004">
      <c r="A34" s="2" t="s">
        <v>14</v>
      </c>
      <c r="D34" s="1">
        <v>130079210</v>
      </c>
    </row>
    <row r="37" spans="1:10" x14ac:dyDescent="0.55000000000000004">
      <c r="A37" t="s">
        <v>63</v>
      </c>
      <c r="D37" s="1">
        <f>SUM(D25:D32)</f>
        <v>80437280.155407995</v>
      </c>
      <c r="J37" s="1">
        <f>SUM(J25:J32)</f>
        <v>7947348.9393210001</v>
      </c>
    </row>
    <row r="38" spans="1:10" x14ac:dyDescent="0.55000000000000004">
      <c r="A38" s="2" t="s">
        <v>61</v>
      </c>
      <c r="D38" s="1">
        <f>D37+J37</f>
        <v>88384629.094728991</v>
      </c>
    </row>
    <row r="39" spans="1:10" x14ac:dyDescent="0.55000000000000004">
      <c r="A39" s="2" t="s">
        <v>62</v>
      </c>
      <c r="D39" s="12">
        <f>100*D38/D34</f>
        <v>67.946775733592617</v>
      </c>
    </row>
    <row r="41" spans="1:10" ht="18.3" x14ac:dyDescent="0.7">
      <c r="A41" s="11" t="s">
        <v>64</v>
      </c>
    </row>
    <row r="44" spans="1:10" x14ac:dyDescent="0.55000000000000004">
      <c r="C44" s="21" t="s">
        <v>56</v>
      </c>
      <c r="D44" s="21"/>
      <c r="I44" s="21" t="s">
        <v>55</v>
      </c>
      <c r="J44" s="21"/>
    </row>
    <row r="45" spans="1:10" x14ac:dyDescent="0.55000000000000004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257.51718699999998</v>
      </c>
      <c r="D46" s="1">
        <v>572488.81980299996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55000000000000004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55000000000000004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55000000000000004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55000000000000004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55000000000000004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55000000000000004">
      <c r="A53" s="1">
        <v>500000</v>
      </c>
      <c r="B53" t="s">
        <v>3</v>
      </c>
      <c r="C53">
        <v>17</v>
      </c>
      <c r="D53" s="1">
        <v>23231465</v>
      </c>
    </row>
    <row r="54" spans="1:12" x14ac:dyDescent="0.55000000000000004">
      <c r="A54" s="2" t="s">
        <v>14</v>
      </c>
      <c r="D54" s="1">
        <v>130079210</v>
      </c>
    </row>
    <row r="56" spans="1:12" x14ac:dyDescent="0.55000000000000004">
      <c r="A56" t="s">
        <v>67</v>
      </c>
      <c r="D56" s="1">
        <f>SUM(D46:D53)</f>
        <v>80678035.819802999</v>
      </c>
      <c r="J56" s="1">
        <f>SUM(J46:J52)</f>
        <v>9934300</v>
      </c>
      <c r="L56" s="1">
        <f>D56+J56</f>
        <v>90612335.819802999</v>
      </c>
    </row>
    <row r="57" spans="1:12" x14ac:dyDescent="0.55000000000000004">
      <c r="A57" s="2" t="s">
        <v>66</v>
      </c>
      <c r="D57" s="3"/>
      <c r="L57" s="12">
        <f>100*L56/D54</f>
        <v>69.659352804958615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55000000000000004">
      <c r="A62" s="2" t="s">
        <v>75</v>
      </c>
      <c r="L62" s="12">
        <f>100*L61/D54</f>
        <v>62.553825472956056</v>
      </c>
    </row>
    <row r="64" spans="1:12" ht="18.3" x14ac:dyDescent="0.7">
      <c r="A64" s="11" t="s">
        <v>96</v>
      </c>
    </row>
    <row r="67" spans="1:12" x14ac:dyDescent="0.55000000000000004">
      <c r="C67" s="21" t="s">
        <v>56</v>
      </c>
      <c r="D67" s="21"/>
      <c r="I67" s="21" t="s">
        <v>55</v>
      </c>
      <c r="J67" s="21"/>
    </row>
    <row r="68" spans="1:12" x14ac:dyDescent="0.55000000000000004">
      <c r="A68" s="2" t="s">
        <v>0</v>
      </c>
      <c r="B68" s="2" t="s">
        <v>1</v>
      </c>
      <c r="C68" s="7" t="s">
        <v>36</v>
      </c>
      <c r="D68" s="2" t="s">
        <v>4</v>
      </c>
      <c r="G68" s="7" t="s">
        <v>0</v>
      </c>
      <c r="H68" s="7" t="s">
        <v>1</v>
      </c>
      <c r="I68" s="7" t="s">
        <v>36</v>
      </c>
      <c r="J68" s="7" t="s">
        <v>4</v>
      </c>
    </row>
    <row r="69" spans="1:12" x14ac:dyDescent="0.55000000000000004">
      <c r="A69">
        <v>1000</v>
      </c>
      <c r="B69" s="1">
        <v>3000</v>
      </c>
      <c r="C69" s="19">
        <v>426.32736000000006</v>
      </c>
      <c r="D69" s="18">
        <v>836206.24219600006</v>
      </c>
      <c r="J69" s="1"/>
    </row>
    <row r="70" spans="1:12" x14ac:dyDescent="0.55000000000000004">
      <c r="A70" s="1">
        <v>3000</v>
      </c>
      <c r="B70" s="1">
        <v>5000</v>
      </c>
      <c r="C70">
        <v>535</v>
      </c>
      <c r="D70" s="1">
        <v>2137680</v>
      </c>
      <c r="J70" s="1"/>
    </row>
    <row r="71" spans="1:12" x14ac:dyDescent="0.55000000000000004">
      <c r="A71" s="1">
        <v>5000</v>
      </c>
      <c r="B71" s="1">
        <v>10000</v>
      </c>
      <c r="C71">
        <v>761</v>
      </c>
      <c r="D71" s="1">
        <v>5330060</v>
      </c>
      <c r="G71">
        <v>1000</v>
      </c>
      <c r="H71">
        <v>2000</v>
      </c>
      <c r="I71" s="1">
        <v>6333</v>
      </c>
      <c r="J71" s="9">
        <v>8573108</v>
      </c>
    </row>
    <row r="72" spans="1:12" x14ac:dyDescent="0.55000000000000004">
      <c r="A72" s="1">
        <v>10000</v>
      </c>
      <c r="B72" s="1">
        <v>20000</v>
      </c>
      <c r="C72">
        <v>476</v>
      </c>
      <c r="D72" s="1">
        <v>6616796</v>
      </c>
      <c r="G72">
        <v>2000</v>
      </c>
      <c r="H72">
        <v>3000</v>
      </c>
      <c r="I72" s="1">
        <v>1385</v>
      </c>
      <c r="J72" s="9">
        <v>3333563</v>
      </c>
    </row>
    <row r="73" spans="1:12" x14ac:dyDescent="0.55000000000000004">
      <c r="A73" s="1">
        <v>20000</v>
      </c>
      <c r="B73" s="1">
        <v>50000</v>
      </c>
      <c r="C73">
        <v>368</v>
      </c>
      <c r="D73" s="1">
        <v>11565985</v>
      </c>
      <c r="G73" s="1">
        <v>3000</v>
      </c>
      <c r="H73" s="1">
        <v>5000</v>
      </c>
      <c r="I73" s="1">
        <v>846</v>
      </c>
      <c r="J73" s="9">
        <v>3199082</v>
      </c>
    </row>
    <row r="74" spans="1:12" x14ac:dyDescent="0.55000000000000004">
      <c r="A74" s="1">
        <v>50000</v>
      </c>
      <c r="B74" s="1">
        <v>100000</v>
      </c>
      <c r="C74">
        <v>114</v>
      </c>
      <c r="D74" s="1">
        <v>7908160</v>
      </c>
      <c r="G74" s="1">
        <v>5000</v>
      </c>
      <c r="H74" s="10" t="s">
        <v>3</v>
      </c>
      <c r="I74" s="1">
        <v>434</v>
      </c>
      <c r="J74" s="9">
        <v>3401655</v>
      </c>
    </row>
    <row r="75" spans="1:12" x14ac:dyDescent="0.55000000000000004">
      <c r="A75" s="1">
        <v>100000</v>
      </c>
      <c r="B75" s="1">
        <v>500000</v>
      </c>
      <c r="C75">
        <v>107</v>
      </c>
      <c r="D75" s="1">
        <v>23315401</v>
      </c>
    </row>
    <row r="76" spans="1:12" x14ac:dyDescent="0.55000000000000004">
      <c r="A76" s="1">
        <v>500000</v>
      </c>
      <c r="B76" t="s">
        <v>3</v>
      </c>
      <c r="C76">
        <v>17</v>
      </c>
      <c r="D76" s="1">
        <v>23231465</v>
      </c>
    </row>
    <row r="78" spans="1:12" x14ac:dyDescent="0.55000000000000004">
      <c r="A78" s="2" t="s">
        <v>99</v>
      </c>
      <c r="D78" s="1">
        <f>SUM(D69:D76)</f>
        <v>80941753.242195994</v>
      </c>
      <c r="J78" s="1">
        <f>SUM(J71:J74)</f>
        <v>18507408</v>
      </c>
      <c r="L78" s="1">
        <f>J78+D78</f>
        <v>99449161.242195994</v>
      </c>
    </row>
    <row r="79" spans="1:12" x14ac:dyDescent="0.55000000000000004">
      <c r="L79" s="12">
        <f>L78/D54 * 100</f>
        <v>76.452771539891728</v>
      </c>
    </row>
  </sheetData>
  <mergeCells count="8">
    <mergeCell ref="I67:J67"/>
    <mergeCell ref="C67:D67"/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15"/>
  <sheetViews>
    <sheetView workbookViewId="0"/>
  </sheetViews>
  <sheetFormatPr defaultRowHeight="14.4" x14ac:dyDescent="0.55000000000000004"/>
  <cols>
    <col min="4" max="4" width="22.4179687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970800</v>
      </c>
    </row>
    <row r="5" spans="1:4" x14ac:dyDescent="0.55000000000000004">
      <c r="A5" s="1">
        <v>3000</v>
      </c>
      <c r="B5" s="1">
        <v>5000</v>
      </c>
      <c r="D5" s="1">
        <v>2312878</v>
      </c>
    </row>
    <row r="6" spans="1:4" x14ac:dyDescent="0.55000000000000004">
      <c r="A6" s="1">
        <v>5000</v>
      </c>
      <c r="B6" s="1">
        <v>10000</v>
      </c>
      <c r="D6" s="1">
        <v>5385703</v>
      </c>
    </row>
    <row r="7" spans="1:4" x14ac:dyDescent="0.55000000000000004">
      <c r="A7" s="1">
        <v>10000</v>
      </c>
      <c r="B7" s="1">
        <v>20000</v>
      </c>
      <c r="D7" s="1">
        <v>6890054</v>
      </c>
    </row>
    <row r="8" spans="1:4" x14ac:dyDescent="0.55000000000000004">
      <c r="A8" s="1">
        <v>20000</v>
      </c>
      <c r="B8" s="1">
        <v>50000</v>
      </c>
      <c r="D8" s="1">
        <v>11978294</v>
      </c>
    </row>
    <row r="9" spans="1:4" x14ac:dyDescent="0.55000000000000004">
      <c r="A9" s="1">
        <v>50000</v>
      </c>
      <c r="B9" s="1">
        <v>100000</v>
      </c>
      <c r="D9" s="1">
        <v>9081267</v>
      </c>
    </row>
    <row r="10" spans="1:4" x14ac:dyDescent="0.55000000000000004">
      <c r="A10" s="1">
        <v>100000</v>
      </c>
      <c r="B10" s="1">
        <v>250000</v>
      </c>
      <c r="D10" s="1">
        <v>12881225</v>
      </c>
    </row>
    <row r="11" spans="1:4" x14ac:dyDescent="0.55000000000000004">
      <c r="A11" s="1">
        <v>250000</v>
      </c>
      <c r="B11" s="1">
        <v>500000</v>
      </c>
      <c r="D11" s="1">
        <v>14159420</v>
      </c>
    </row>
    <row r="12" spans="1:4" x14ac:dyDescent="0.55000000000000004">
      <c r="A12" s="1">
        <v>500000</v>
      </c>
      <c r="B12" t="s">
        <v>3</v>
      </c>
      <c r="D12" s="1">
        <v>31714226</v>
      </c>
    </row>
    <row r="13" spans="1:4" x14ac:dyDescent="0.55000000000000004">
      <c r="A13" s="2" t="s">
        <v>13</v>
      </c>
      <c r="D13" s="1">
        <f>SUM(D4:D12)</f>
        <v>95373867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71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64</v>
      </c>
    </row>
    <row r="22" spans="1:6" x14ac:dyDescent="0.55000000000000004">
      <c r="A22" s="1">
        <v>2000</v>
      </c>
      <c r="B22" s="1">
        <v>2500</v>
      </c>
      <c r="C22">
        <v>276</v>
      </c>
      <c r="D22" s="1">
        <v>614036</v>
      </c>
    </row>
    <row r="23" spans="1:6" x14ac:dyDescent="0.55000000000000004">
      <c r="A23" s="1">
        <v>2500</v>
      </c>
      <c r="B23" s="1">
        <v>3000</v>
      </c>
      <c r="C23">
        <v>155</v>
      </c>
      <c r="D23" s="1">
        <v>418091</v>
      </c>
    </row>
    <row r="24" spans="1:6" x14ac:dyDescent="0.55000000000000004">
      <c r="A24" s="1">
        <v>3000</v>
      </c>
      <c r="B24" s="1">
        <v>3500</v>
      </c>
      <c r="C24">
        <v>82</v>
      </c>
      <c r="D24" s="1">
        <v>263400</v>
      </c>
    </row>
    <row r="25" spans="1:6" x14ac:dyDescent="0.55000000000000004">
      <c r="A25" s="1">
        <v>3500</v>
      </c>
      <c r="B25" s="1">
        <v>4000</v>
      </c>
      <c r="C25">
        <v>58</v>
      </c>
      <c r="D25" s="1">
        <v>216700</v>
      </c>
    </row>
    <row r="26" spans="1:6" x14ac:dyDescent="0.55000000000000004">
      <c r="A26" s="1">
        <v>4000</v>
      </c>
      <c r="B26" s="1">
        <v>4500</v>
      </c>
      <c r="C26">
        <v>61</v>
      </c>
      <c r="D26" s="1">
        <v>258876</v>
      </c>
    </row>
    <row r="27" spans="1:6" x14ac:dyDescent="0.55000000000000004">
      <c r="A27" s="1">
        <v>4500</v>
      </c>
      <c r="B27" s="1">
        <v>5000</v>
      </c>
      <c r="C27">
        <v>32</v>
      </c>
      <c r="D27" s="1">
        <v>151698</v>
      </c>
    </row>
    <row r="28" spans="1:6" x14ac:dyDescent="0.55000000000000004">
      <c r="A28" s="1">
        <v>5000</v>
      </c>
      <c r="B28" t="s">
        <v>3</v>
      </c>
      <c r="C28">
        <v>218</v>
      </c>
      <c r="D28" s="1">
        <v>4232232</v>
      </c>
    </row>
    <row r="29" spans="1:6" x14ac:dyDescent="0.55000000000000004">
      <c r="A29" s="4" t="s">
        <v>68</v>
      </c>
      <c r="D29" s="1">
        <f>SUM(D7:D13)</f>
        <v>6155033</v>
      </c>
    </row>
    <row r="30" spans="1:6" x14ac:dyDescent="0.55000000000000004">
      <c r="A30" s="2" t="s">
        <v>15</v>
      </c>
      <c r="D30" s="13">
        <f>100*D29/D16</f>
        <v>37.184415952856575</v>
      </c>
    </row>
    <row r="32" spans="1:6" ht="18.3" x14ac:dyDescent="0.7">
      <c r="A32" s="11" t="s">
        <v>65</v>
      </c>
    </row>
    <row r="34" spans="1:4" x14ac:dyDescent="0.55000000000000004">
      <c r="A34" s="4" t="s">
        <v>93</v>
      </c>
      <c r="D34" s="1">
        <f>SUM(D8:D13)</f>
        <v>5540997</v>
      </c>
    </row>
    <row r="35" spans="1:4" x14ac:dyDescent="0.55000000000000004">
      <c r="A35" s="2" t="s">
        <v>94</v>
      </c>
      <c r="D35" s="12">
        <f>D34/D16 * 100</f>
        <v>33.474838760658216</v>
      </c>
    </row>
    <row r="36" spans="1:4" x14ac:dyDescent="0.55000000000000004">
      <c r="A36" s="2"/>
    </row>
    <row r="37" spans="1:4" ht="18.3" x14ac:dyDescent="0.7">
      <c r="A37" s="11" t="s">
        <v>73</v>
      </c>
    </row>
    <row r="39" spans="1:4" x14ac:dyDescent="0.55000000000000004">
      <c r="A39" s="4" t="s">
        <v>72</v>
      </c>
      <c r="D39" s="1">
        <f>D13</f>
        <v>4232232</v>
      </c>
    </row>
    <row r="40" spans="1:4" x14ac:dyDescent="0.55000000000000004">
      <c r="A40" s="2" t="s">
        <v>92</v>
      </c>
      <c r="D40" s="12">
        <f>100* D39/D16</f>
        <v>25.568193557530901</v>
      </c>
    </row>
    <row r="42" spans="1:4" ht="18.3" x14ac:dyDescent="0.7">
      <c r="A42" s="11" t="s">
        <v>96</v>
      </c>
    </row>
    <row r="44" spans="1:4" x14ac:dyDescent="0.55000000000000004">
      <c r="A44" s="4" t="s">
        <v>22</v>
      </c>
      <c r="D44" s="1">
        <f>SUM(D5:D13)</f>
        <v>8269353</v>
      </c>
    </row>
    <row r="45" spans="1:4" x14ac:dyDescent="0.55000000000000004">
      <c r="A45" s="2" t="s">
        <v>97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57"/>
  <sheetViews>
    <sheetView topLeftCell="A3" workbookViewId="0">
      <selection activeCell="A54" sqref="A54:A57"/>
    </sheetView>
  </sheetViews>
  <sheetFormatPr defaultRowHeight="14.4" x14ac:dyDescent="0.55000000000000004"/>
  <cols>
    <col min="4" max="4" width="10.15625" bestFit="1" customWidth="1"/>
    <col min="6" max="6" width="10.15625" bestFit="1" customWidth="1"/>
  </cols>
  <sheetData>
    <row r="2" spans="1:5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55000000000000004">
      <c r="A5">
        <v>100</v>
      </c>
      <c r="B5">
        <v>500</v>
      </c>
      <c r="C5">
        <v>27098</v>
      </c>
      <c r="D5" s="1">
        <v>6410224</v>
      </c>
    </row>
    <row r="6" spans="1: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55000000000000004">
      <c r="A18" s="1">
        <v>500000</v>
      </c>
      <c r="B18" t="s">
        <v>3</v>
      </c>
      <c r="D18" s="1">
        <v>4165872</v>
      </c>
      <c r="E18" s="1"/>
    </row>
    <row r="19" spans="1:8" x14ac:dyDescent="0.55000000000000004">
      <c r="A19" s="2" t="s">
        <v>22</v>
      </c>
      <c r="D19" s="1">
        <f>SUM(D7:D18)</f>
        <v>22700782</v>
      </c>
      <c r="E19" s="3"/>
      <c r="F19" s="2" t="s">
        <v>71</v>
      </c>
    </row>
    <row r="20" spans="1:8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55000000000000004">
      <c r="A21" s="2" t="s">
        <v>14</v>
      </c>
      <c r="D21" s="1">
        <v>34923129</v>
      </c>
    </row>
    <row r="22" spans="1:8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3" x14ac:dyDescent="0.7">
      <c r="A25" s="11" t="s">
        <v>64</v>
      </c>
    </row>
    <row r="27" spans="1:8" x14ac:dyDescent="0.55000000000000004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55000000000000004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55000000000000004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55000000000000004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55000000000000004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55000000000000004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55000000000000004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55000000000000004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55000000000000004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55000000000000004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55000000000000004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55000000000000004">
      <c r="A38" s="1">
        <v>500000</v>
      </c>
      <c r="B38" t="s">
        <v>3</v>
      </c>
      <c r="D38" s="1">
        <v>4165872</v>
      </c>
      <c r="F38" s="7" t="s">
        <v>52</v>
      </c>
    </row>
    <row r="39" spans="1:6" x14ac:dyDescent="0.55000000000000004">
      <c r="A39" s="2" t="s">
        <v>68</v>
      </c>
      <c r="D39" s="1">
        <f>SUM(D27:D38)</f>
        <v>18709751.315308999</v>
      </c>
      <c r="F39" s="12">
        <f>100*D39/D21</f>
        <v>53.57409788598553</v>
      </c>
    </row>
    <row r="40" spans="1:6" x14ac:dyDescent="0.55000000000000004">
      <c r="A40" s="2" t="s">
        <v>72</v>
      </c>
      <c r="D40" s="1">
        <f>SUM(D29:D38)</f>
        <v>14745658</v>
      </c>
      <c r="F40" s="12">
        <f>100*D40/D21</f>
        <v>42.223186816965914</v>
      </c>
    </row>
    <row r="44" spans="1:6" ht="18.3" x14ac:dyDescent="0.7">
      <c r="A44" s="11" t="s">
        <v>65</v>
      </c>
    </row>
    <row r="46" spans="1:6" x14ac:dyDescent="0.55000000000000004">
      <c r="A46" s="4" t="s">
        <v>93</v>
      </c>
      <c r="D46" s="1">
        <f>SUM(D8:D18)</f>
        <v>17705118</v>
      </c>
    </row>
    <row r="47" spans="1:6" x14ac:dyDescent="0.55000000000000004">
      <c r="A47" s="2" t="s">
        <v>94</v>
      </c>
      <c r="D47" s="12">
        <f>D46/D21 * 100</f>
        <v>50.697398849914052</v>
      </c>
    </row>
    <row r="48" spans="1:6" x14ac:dyDescent="0.55000000000000004">
      <c r="A48" s="2"/>
    </row>
    <row r="49" spans="1:4" ht="18.3" x14ac:dyDescent="0.7">
      <c r="A49" s="11" t="s">
        <v>73</v>
      </c>
    </row>
    <row r="51" spans="1:4" x14ac:dyDescent="0.55000000000000004">
      <c r="A51" s="4" t="s">
        <v>72</v>
      </c>
      <c r="D51" s="1">
        <f>SUM(D9:D18)</f>
        <v>14745658</v>
      </c>
    </row>
    <row r="52" spans="1:4" x14ac:dyDescent="0.55000000000000004">
      <c r="A52" s="2" t="s">
        <v>92</v>
      </c>
      <c r="D52" s="12">
        <f>D51/D21 * 100</f>
        <v>42.223186816965914</v>
      </c>
    </row>
    <row r="54" spans="1:4" ht="18.3" x14ac:dyDescent="0.7">
      <c r="A54" s="11" t="s">
        <v>96</v>
      </c>
    </row>
    <row r="56" spans="1:4" x14ac:dyDescent="0.55000000000000004">
      <c r="A56" s="4" t="s">
        <v>22</v>
      </c>
      <c r="D56" s="1">
        <f>SUM(D7:D18)</f>
        <v>22700782</v>
      </c>
    </row>
    <row r="57" spans="1:4" x14ac:dyDescent="0.55000000000000004">
      <c r="A57" s="2" t="s">
        <v>97</v>
      </c>
      <c r="D57" s="12">
        <f>D56/D21*100</f>
        <v>65.002142276541136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58"/>
  <sheetViews>
    <sheetView topLeftCell="A4" workbookViewId="0">
      <selection activeCell="K28" sqref="K28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</cols>
  <sheetData>
    <row r="3" spans="1:13" x14ac:dyDescent="0.55000000000000004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55000000000000004">
      <c r="A5">
        <v>1</v>
      </c>
      <c r="B5">
        <v>100</v>
      </c>
      <c r="C5">
        <v>55650</v>
      </c>
      <c r="D5" s="8">
        <v>1471154</v>
      </c>
    </row>
    <row r="6" spans="1:13" x14ac:dyDescent="0.55000000000000004">
      <c r="A6">
        <v>100</v>
      </c>
      <c r="B6">
        <v>500</v>
      </c>
      <c r="C6">
        <v>28055</v>
      </c>
      <c r="D6" s="8">
        <v>6889077</v>
      </c>
    </row>
    <row r="7" spans="1:13" x14ac:dyDescent="0.55000000000000004">
      <c r="A7">
        <v>500</v>
      </c>
      <c r="B7" s="1">
        <v>1000</v>
      </c>
      <c r="C7">
        <v>7473</v>
      </c>
      <c r="D7" s="8">
        <v>5190166</v>
      </c>
    </row>
    <row r="8" spans="1:13" x14ac:dyDescent="0.55000000000000004">
      <c r="A8" s="1">
        <v>1000</v>
      </c>
      <c r="B8" s="1">
        <v>2500</v>
      </c>
      <c r="C8">
        <v>4232</v>
      </c>
      <c r="D8" s="8">
        <v>6366285</v>
      </c>
    </row>
    <row r="9" spans="1:13" x14ac:dyDescent="0.55000000000000004">
      <c r="A9" s="1">
        <v>2500</v>
      </c>
      <c r="B9" s="1">
        <v>5000</v>
      </c>
      <c r="C9">
        <v>1201</v>
      </c>
      <c r="D9" s="8">
        <v>4129872</v>
      </c>
    </row>
    <row r="10" spans="1:13" x14ac:dyDescent="0.55000000000000004">
      <c r="A10" s="1">
        <v>5000</v>
      </c>
      <c r="B10" s="1">
        <v>10000</v>
      </c>
      <c r="C10">
        <v>539</v>
      </c>
      <c r="D10" s="8">
        <v>3764208</v>
      </c>
    </row>
    <row r="11" spans="1:13" x14ac:dyDescent="0.55000000000000004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55000000000000004">
      <c r="A12" s="1">
        <v>20000</v>
      </c>
      <c r="B12" s="1">
        <v>30000</v>
      </c>
      <c r="C12">
        <v>65</v>
      </c>
      <c r="D12" s="8">
        <v>1531569</v>
      </c>
    </row>
    <row r="13" spans="1:13" x14ac:dyDescent="0.55000000000000004">
      <c r="A13" s="1">
        <v>30000</v>
      </c>
      <c r="B13" s="1">
        <v>40000</v>
      </c>
      <c r="C13">
        <v>30</v>
      </c>
      <c r="D13" s="8">
        <v>1015827</v>
      </c>
    </row>
    <row r="14" spans="1:13" x14ac:dyDescent="0.55000000000000004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55000000000000004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55000000000000004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55000000000000004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55000000000000004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55000000000000004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55000000000000004">
      <c r="A20" s="2" t="s">
        <v>22</v>
      </c>
      <c r="D20" s="1">
        <f>SUM(D8:D19)</f>
        <v>34674841</v>
      </c>
      <c r="F20" s="2" t="s">
        <v>71</v>
      </c>
      <c r="M20" s="8"/>
    </row>
    <row r="21" spans="1:13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55000000000000004">
      <c r="A22" s="2" t="s">
        <v>14</v>
      </c>
      <c r="D22" s="1">
        <v>48225238</v>
      </c>
      <c r="M22" s="8"/>
    </row>
    <row r="23" spans="1:13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55000000000000004">
      <c r="J24" s="8"/>
      <c r="M24" s="8"/>
    </row>
    <row r="25" spans="1:13" x14ac:dyDescent="0.55000000000000004">
      <c r="M25" s="8"/>
    </row>
    <row r="26" spans="1:13" x14ac:dyDescent="0.55000000000000004">
      <c r="M26" s="8"/>
    </row>
    <row r="27" spans="1:13" ht="18.3" x14ac:dyDescent="0.7">
      <c r="A27" s="11" t="s">
        <v>64</v>
      </c>
      <c r="M27" s="8"/>
    </row>
    <row r="28" spans="1:13" x14ac:dyDescent="0.55000000000000004">
      <c r="M28" s="8"/>
    </row>
    <row r="29" spans="1:13" x14ac:dyDescent="0.55000000000000004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55000000000000004">
      <c r="A30" s="1">
        <v>2500</v>
      </c>
      <c r="B30" s="1">
        <v>5000</v>
      </c>
      <c r="C30">
        <v>1201</v>
      </c>
      <c r="D30" s="8">
        <v>4129872</v>
      </c>
    </row>
    <row r="31" spans="1:13" x14ac:dyDescent="0.55000000000000004">
      <c r="A31" s="1">
        <v>5000</v>
      </c>
      <c r="B31" s="1">
        <v>10000</v>
      </c>
      <c r="C31">
        <v>539</v>
      </c>
      <c r="D31" s="8">
        <v>3764208</v>
      </c>
    </row>
    <row r="32" spans="1:13" x14ac:dyDescent="0.55000000000000004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55000000000000004">
      <c r="A33" s="1">
        <v>20000</v>
      </c>
      <c r="B33" s="1">
        <v>30000</v>
      </c>
      <c r="C33">
        <v>65</v>
      </c>
      <c r="D33" s="8">
        <v>1531569</v>
      </c>
    </row>
    <row r="34" spans="1:6" x14ac:dyDescent="0.55000000000000004">
      <c r="A34" s="1">
        <v>30000</v>
      </c>
      <c r="B34" s="1">
        <v>40000</v>
      </c>
      <c r="C34">
        <v>30</v>
      </c>
      <c r="D34" s="8">
        <v>1015827</v>
      </c>
    </row>
    <row r="35" spans="1:6" x14ac:dyDescent="0.55000000000000004">
      <c r="A35" s="1">
        <v>40000</v>
      </c>
      <c r="B35" s="1">
        <v>50000</v>
      </c>
      <c r="C35">
        <v>19</v>
      </c>
      <c r="D35" s="8">
        <v>858422</v>
      </c>
    </row>
    <row r="36" spans="1:6" x14ac:dyDescent="0.55000000000000004">
      <c r="A36" s="1">
        <v>50000</v>
      </c>
      <c r="B36" s="1">
        <v>75000</v>
      </c>
      <c r="C36">
        <v>21</v>
      </c>
      <c r="D36" s="8">
        <v>1242173</v>
      </c>
    </row>
    <row r="37" spans="1:6" x14ac:dyDescent="0.55000000000000004">
      <c r="A37" s="1">
        <v>75000</v>
      </c>
      <c r="B37" s="1">
        <v>100000</v>
      </c>
      <c r="C37">
        <v>13</v>
      </c>
      <c r="D37" s="8">
        <v>1114396</v>
      </c>
    </row>
    <row r="38" spans="1:6" x14ac:dyDescent="0.55000000000000004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55000000000000004">
      <c r="A39" s="1">
        <v>250000</v>
      </c>
      <c r="B39" s="1">
        <v>500000</v>
      </c>
      <c r="C39">
        <v>6</v>
      </c>
      <c r="D39" s="8">
        <v>1971794</v>
      </c>
    </row>
    <row r="40" spans="1:6" x14ac:dyDescent="0.55000000000000004">
      <c r="A40" s="1">
        <v>500000</v>
      </c>
      <c r="B40" t="s">
        <v>3</v>
      </c>
      <c r="C40">
        <v>4</v>
      </c>
      <c r="D40" s="8">
        <v>5535113</v>
      </c>
      <c r="F40" s="7" t="s">
        <v>52</v>
      </c>
    </row>
    <row r="41" spans="1:6" x14ac:dyDescent="0.55000000000000004">
      <c r="A41" s="2" t="s">
        <v>68</v>
      </c>
      <c r="D41" s="1">
        <f>SUM(D29:D40)</f>
        <v>29606858.059951998</v>
      </c>
      <c r="F41" s="12">
        <f>100*D41/D22</f>
        <v>61.392870803358186</v>
      </c>
    </row>
    <row r="42" spans="1:6" x14ac:dyDescent="0.55000000000000004">
      <c r="A42" s="2" t="s">
        <v>72</v>
      </c>
      <c r="D42" s="1">
        <f>SUM(D31:D40)</f>
        <v>24178684</v>
      </c>
      <c r="F42" s="12">
        <f>100*D42/D22</f>
        <v>50.13699258467112</v>
      </c>
    </row>
    <row r="45" spans="1:6" ht="18.3" x14ac:dyDescent="0.7">
      <c r="A45" s="11" t="s">
        <v>65</v>
      </c>
    </row>
    <row r="47" spans="1:6" x14ac:dyDescent="0.55000000000000004">
      <c r="A47" s="4" t="s">
        <v>93</v>
      </c>
      <c r="D47" s="1">
        <f>SUM(D9:D19)</f>
        <v>28308556</v>
      </c>
    </row>
    <row r="48" spans="1:6" x14ac:dyDescent="0.55000000000000004">
      <c r="A48" s="2" t="s">
        <v>94</v>
      </c>
      <c r="D48" s="12">
        <f>D47/D22 * 100</f>
        <v>58.700707708275068</v>
      </c>
    </row>
    <row r="49" spans="1:4" x14ac:dyDescent="0.55000000000000004">
      <c r="A49" s="2"/>
    </row>
    <row r="50" spans="1:4" ht="18.3" x14ac:dyDescent="0.7">
      <c r="A50" s="11" t="s">
        <v>73</v>
      </c>
    </row>
    <row r="52" spans="1:4" x14ac:dyDescent="0.55000000000000004">
      <c r="A52" s="4" t="s">
        <v>72</v>
      </c>
      <c r="D52" s="1">
        <f>SUM(D10:D19)</f>
        <v>24178684</v>
      </c>
    </row>
    <row r="53" spans="1:4" x14ac:dyDescent="0.55000000000000004">
      <c r="A53" s="2" t="s">
        <v>92</v>
      </c>
      <c r="D53" s="12">
        <f>D52/D22 * 100</f>
        <v>50.136992584671127</v>
      </c>
    </row>
    <row r="55" spans="1:4" ht="18.3" x14ac:dyDescent="0.7">
      <c r="A55" s="11" t="s">
        <v>96</v>
      </c>
    </row>
    <row r="57" spans="1:4" x14ac:dyDescent="0.55000000000000004">
      <c r="A57" s="4" t="s">
        <v>22</v>
      </c>
      <c r="D57" s="1">
        <f>SUM(D8:D19)</f>
        <v>34674841</v>
      </c>
    </row>
    <row r="58" spans="1:4" x14ac:dyDescent="0.55000000000000004">
      <c r="A58" s="2" t="s">
        <v>97</v>
      </c>
      <c r="D58" s="12">
        <f>D57/D22*100</f>
        <v>71.901855621738974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K5004"/>
  <sheetViews>
    <sheetView workbookViewId="0">
      <selection activeCell="Q15" sqref="Q15:R15"/>
    </sheetView>
  </sheetViews>
  <sheetFormatPr defaultRowHeight="14.4" x14ac:dyDescent="0.55000000000000004"/>
  <cols>
    <col min="4" max="4" width="12.83984375" customWidth="1"/>
    <col min="10" max="10" width="13.15625" customWidth="1"/>
  </cols>
  <sheetData>
    <row r="1" spans="1:34" x14ac:dyDescent="0.55000000000000004">
      <c r="H1" s="7" t="s">
        <v>77</v>
      </c>
      <c r="L1" s="7" t="s">
        <v>84</v>
      </c>
      <c r="W1" s="7" t="s">
        <v>84</v>
      </c>
      <c r="AE1" s="7" t="s">
        <v>84</v>
      </c>
    </row>
    <row r="2" spans="1:34" x14ac:dyDescent="0.55000000000000004">
      <c r="H2" s="7" t="s">
        <v>83</v>
      </c>
      <c r="L2" s="7" t="s">
        <v>85</v>
      </c>
      <c r="W2" s="7" t="s">
        <v>85</v>
      </c>
      <c r="AE2" s="7" t="s">
        <v>85</v>
      </c>
    </row>
    <row r="3" spans="1:34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78</v>
      </c>
      <c r="M3" s="7" t="s">
        <v>36</v>
      </c>
      <c r="N3" s="7" t="s">
        <v>4</v>
      </c>
      <c r="O3" s="7" t="s">
        <v>79</v>
      </c>
      <c r="W3" s="7" t="s">
        <v>78</v>
      </c>
      <c r="X3" s="7" t="s">
        <v>36</v>
      </c>
      <c r="Y3" s="7" t="s">
        <v>4</v>
      </c>
      <c r="Z3" s="7" t="s">
        <v>79</v>
      </c>
      <c r="AE3" s="7" t="s">
        <v>78</v>
      </c>
      <c r="AF3" s="7" t="s">
        <v>36</v>
      </c>
      <c r="AG3" s="7" t="s">
        <v>4</v>
      </c>
      <c r="AH3" s="7" t="s">
        <v>79</v>
      </c>
    </row>
    <row r="4" spans="1:34" x14ac:dyDescent="0.55000000000000004">
      <c r="A4" s="10">
        <v>0</v>
      </c>
      <c r="B4" s="10">
        <v>1</v>
      </c>
      <c r="C4" s="10">
        <v>0</v>
      </c>
      <c r="D4" s="10">
        <v>0</v>
      </c>
      <c r="H4" s="10" t="s">
        <v>82</v>
      </c>
      <c r="I4" s="10">
        <v>5</v>
      </c>
      <c r="J4" s="8">
        <v>1000</v>
      </c>
      <c r="L4" s="7"/>
      <c r="M4" s="7"/>
      <c r="N4" s="7"/>
      <c r="O4" s="7"/>
    </row>
    <row r="5" spans="1:34" x14ac:dyDescent="0.55000000000000004">
      <c r="A5">
        <v>500</v>
      </c>
      <c r="B5" s="1">
        <v>3000</v>
      </c>
      <c r="C5">
        <v>460</v>
      </c>
      <c r="D5" s="1">
        <v>875596</v>
      </c>
      <c r="H5" s="14" t="str">
        <f t="shared" ref="H5:H11" si="0">A5/100&amp;"-"&amp;(B5/100-1)</f>
        <v>5-29</v>
      </c>
      <c r="I5" s="10">
        <f>C5</f>
        <v>460</v>
      </c>
      <c r="J5" s="8">
        <f>D5</f>
        <v>875596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34" x14ac:dyDescent="0.55000000000000004">
      <c r="A6" s="1">
        <v>3000</v>
      </c>
      <c r="B6" s="1">
        <v>5000</v>
      </c>
      <c r="C6">
        <v>535</v>
      </c>
      <c r="D6" s="1">
        <v>2137680</v>
      </c>
      <c r="H6" s="14" t="str">
        <f t="shared" si="0"/>
        <v>30-49</v>
      </c>
      <c r="I6" s="10">
        <f t="shared" ref="I6:I11" si="1">C6</f>
        <v>535</v>
      </c>
      <c r="J6" s="8">
        <f t="shared" ref="J6:J11" si="2">D6</f>
        <v>2137680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34" x14ac:dyDescent="0.55000000000000004">
      <c r="A7" s="1">
        <v>5000</v>
      </c>
      <c r="B7" s="1">
        <v>10000</v>
      </c>
      <c r="C7">
        <v>761</v>
      </c>
      <c r="D7" s="1">
        <v>5330060</v>
      </c>
      <c r="H7" s="14" t="str">
        <f t="shared" si="0"/>
        <v>50-99</v>
      </c>
      <c r="I7" s="10">
        <f t="shared" si="1"/>
        <v>761</v>
      </c>
      <c r="J7" s="8">
        <f t="shared" si="2"/>
        <v>5330060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  <c r="AE7">
        <v>2</v>
      </c>
      <c r="AF7">
        <v>13157.780863</v>
      </c>
      <c r="AG7">
        <v>3905023.7333200001</v>
      </c>
      <c r="AH7" s="15">
        <f>AG7/AF7</f>
        <v>296.78437222655242</v>
      </c>
    </row>
    <row r="8" spans="1:34" x14ac:dyDescent="0.55000000000000004">
      <c r="A8" s="1">
        <v>10000</v>
      </c>
      <c r="B8" s="1">
        <v>20000</v>
      </c>
      <c r="C8">
        <v>476</v>
      </c>
      <c r="D8" s="1">
        <v>6616796</v>
      </c>
      <c r="H8" s="14" t="str">
        <f t="shared" si="0"/>
        <v>100-199</v>
      </c>
      <c r="I8" s="10">
        <f t="shared" si="1"/>
        <v>476</v>
      </c>
      <c r="J8" s="8">
        <f t="shared" si="2"/>
        <v>6616796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  <c r="AE8">
        <v>3</v>
      </c>
      <c r="AF8">
        <v>11932.403546</v>
      </c>
      <c r="AG8">
        <v>3724708.0118860002</v>
      </c>
      <c r="AH8" s="15">
        <f t="shared" ref="AH8:AH54" si="5">AG8/AF8</f>
        <v>312.15069097580118</v>
      </c>
    </row>
    <row r="9" spans="1:34" x14ac:dyDescent="0.55000000000000004">
      <c r="A9" s="1">
        <v>20000</v>
      </c>
      <c r="B9" s="1">
        <v>50000</v>
      </c>
      <c r="C9">
        <v>368</v>
      </c>
      <c r="D9" s="1">
        <v>11565985</v>
      </c>
      <c r="H9" s="14" t="str">
        <f t="shared" si="0"/>
        <v>200-499</v>
      </c>
      <c r="I9" s="10">
        <f t="shared" si="1"/>
        <v>368</v>
      </c>
      <c r="J9" s="8">
        <f t="shared" si="2"/>
        <v>11565985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  <c r="AE9">
        <v>4</v>
      </c>
      <c r="AF9">
        <v>9616.8155910000005</v>
      </c>
      <c r="AG9">
        <v>3372969.2547940002</v>
      </c>
      <c r="AH9" s="15">
        <f t="shared" si="5"/>
        <v>350.7366053634874</v>
      </c>
    </row>
    <row r="10" spans="1:34" x14ac:dyDescent="0.55000000000000004">
      <c r="A10" s="1">
        <v>50000</v>
      </c>
      <c r="B10" s="1">
        <v>100000</v>
      </c>
      <c r="C10">
        <v>114</v>
      </c>
      <c r="D10" s="1">
        <v>7908160</v>
      </c>
      <c r="H10" s="14" t="str">
        <f t="shared" si="0"/>
        <v>500-999</v>
      </c>
      <c r="I10" s="10">
        <f t="shared" si="1"/>
        <v>114</v>
      </c>
      <c r="J10" s="8">
        <f t="shared" si="2"/>
        <v>7908160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  <c r="AE10">
        <v>5</v>
      </c>
      <c r="AF10">
        <v>5722.407502</v>
      </c>
      <c r="AG10">
        <v>2766558.3688730001</v>
      </c>
      <c r="AH10" s="15">
        <f t="shared" si="5"/>
        <v>483.4605658380811</v>
      </c>
    </row>
    <row r="11" spans="1:34" x14ac:dyDescent="0.55000000000000004">
      <c r="A11" s="1">
        <v>100000</v>
      </c>
      <c r="B11" s="1">
        <v>500000</v>
      </c>
      <c r="C11">
        <v>107</v>
      </c>
      <c r="D11" s="1">
        <v>23315401</v>
      </c>
      <c r="H11" s="14" t="str">
        <f t="shared" si="0"/>
        <v>1000-4999</v>
      </c>
      <c r="I11" s="10">
        <f t="shared" si="1"/>
        <v>107</v>
      </c>
      <c r="J11" s="8">
        <f t="shared" si="2"/>
        <v>23315401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  <c r="AE11">
        <v>6</v>
      </c>
      <c r="AF11">
        <v>3711.6268920000002</v>
      </c>
      <c r="AG11">
        <v>2334158.933185</v>
      </c>
      <c r="AH11" s="15">
        <f t="shared" si="5"/>
        <v>628.87757878250648</v>
      </c>
    </row>
    <row r="12" spans="1:34" x14ac:dyDescent="0.55000000000000004">
      <c r="A12" s="1">
        <v>500000</v>
      </c>
      <c r="B12" t="s">
        <v>3</v>
      </c>
      <c r="C12">
        <v>17</v>
      </c>
      <c r="D12" s="1">
        <v>23231465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  <c r="AE12">
        <v>7</v>
      </c>
      <c r="AF12">
        <v>2420.8538920000001</v>
      </c>
      <c r="AG12">
        <v>1981348.0698919999</v>
      </c>
      <c r="AH12" s="15">
        <f t="shared" si="5"/>
        <v>818.4500834352707</v>
      </c>
    </row>
    <row r="13" spans="1:34" x14ac:dyDescent="0.55000000000000004">
      <c r="L13">
        <v>8</v>
      </c>
      <c r="M13">
        <v>8.2413439999999998</v>
      </c>
      <c r="N13">
        <v>10168.723714</v>
      </c>
      <c r="O13">
        <f t="shared" si="3"/>
        <v>1233.8671597739399</v>
      </c>
      <c r="Q13" s="2" t="s">
        <v>100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  <c r="AE13">
        <v>8</v>
      </c>
      <c r="AF13">
        <v>1649.8541439999999</v>
      </c>
      <c r="AG13">
        <v>1703076.9903579999</v>
      </c>
      <c r="AH13" s="15">
        <f t="shared" si="5"/>
        <v>1032.2591221481939</v>
      </c>
    </row>
    <row r="14" spans="1:34" x14ac:dyDescent="0.55000000000000004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Q14" s="7" t="s">
        <v>36</v>
      </c>
      <c r="R14" s="7" t="s">
        <v>4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  <c r="AE14">
        <v>9</v>
      </c>
      <c r="AF14">
        <v>1225.2575690000001</v>
      </c>
      <c r="AG14">
        <v>1487667.637691</v>
      </c>
      <c r="AH14" s="15">
        <f t="shared" si="5"/>
        <v>1214.1672700746237</v>
      </c>
    </row>
    <row r="15" spans="1:34" x14ac:dyDescent="0.55000000000000004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Q15" s="15">
        <f>SUM(M15:M34)</f>
        <v>426.32736000000006</v>
      </c>
      <c r="R15" s="1">
        <f>SUM(N15:N34)</f>
        <v>836206.24219600006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  <c r="AE15">
        <v>10</v>
      </c>
      <c r="AF15">
        <v>1109.896835</v>
      </c>
      <c r="AG15">
        <v>1335210.6972620001</v>
      </c>
      <c r="AH15" s="15">
        <f t="shared" si="5"/>
        <v>1203.0043290122546</v>
      </c>
    </row>
    <row r="16" spans="1:34" x14ac:dyDescent="0.55000000000000004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  <c r="AE16">
        <v>11</v>
      </c>
      <c r="AF16">
        <v>960.99803599999996</v>
      </c>
      <c r="AG16">
        <v>1192587.2751450001</v>
      </c>
      <c r="AH16" s="15">
        <f t="shared" si="5"/>
        <v>1240.9882543662141</v>
      </c>
    </row>
    <row r="17" spans="1:37" x14ac:dyDescent="0.55000000000000004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  <c r="AE17">
        <v>12</v>
      </c>
      <c r="AF17">
        <v>836.01892699999996</v>
      </c>
      <c r="AG17">
        <v>1066832.9213769999</v>
      </c>
      <c r="AH17" s="15">
        <f t="shared" si="5"/>
        <v>1276.0870441118614</v>
      </c>
    </row>
    <row r="18" spans="1:37" x14ac:dyDescent="0.55000000000000004">
      <c r="A18" s="10">
        <v>0</v>
      </c>
      <c r="B18" s="10">
        <v>1</v>
      </c>
      <c r="C18" s="10">
        <v>0</v>
      </c>
      <c r="D18" s="10">
        <v>0</v>
      </c>
      <c r="H18" s="10" t="s">
        <v>82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  <c r="AE18">
        <v>13</v>
      </c>
      <c r="AF18">
        <v>726.30276000000003</v>
      </c>
      <c r="AG18">
        <v>955328.80341499997</v>
      </c>
      <c r="AH18" s="15">
        <f t="shared" si="5"/>
        <v>1315.3313687187419</v>
      </c>
    </row>
    <row r="19" spans="1:37" x14ac:dyDescent="0.55000000000000004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6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  <c r="AE19">
        <v>14</v>
      </c>
      <c r="AF19">
        <v>630.15441299999998</v>
      </c>
      <c r="AG19">
        <v>856631.71895899996</v>
      </c>
      <c r="AH19" s="15">
        <f t="shared" si="5"/>
        <v>1359.3996983704374</v>
      </c>
    </row>
    <row r="20" spans="1:37" x14ac:dyDescent="0.55000000000000004">
      <c r="A20" s="1">
        <v>3000</v>
      </c>
      <c r="B20" s="1">
        <v>5000</v>
      </c>
      <c r="C20">
        <v>535</v>
      </c>
      <c r="D20" s="1">
        <v>2137680</v>
      </c>
      <c r="H20" s="14" t="str">
        <f t="shared" si="6"/>
        <v>30-49</v>
      </c>
      <c r="I20" s="10">
        <f t="shared" ref="I20:I25" si="7">C20</f>
        <v>535</v>
      </c>
      <c r="J20" s="8">
        <f t="shared" ref="J20:J25" si="8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  <c r="AE20">
        <v>15</v>
      </c>
      <c r="AF20">
        <v>545.79295999999999</v>
      </c>
      <c r="AG20">
        <v>769420.61542100005</v>
      </c>
      <c r="AH20" s="15">
        <f t="shared" si="5"/>
        <v>1409.7298276273114</v>
      </c>
    </row>
    <row r="21" spans="1:37" x14ac:dyDescent="0.55000000000000004">
      <c r="A21" s="1">
        <v>5000</v>
      </c>
      <c r="B21" s="1">
        <v>10000</v>
      </c>
      <c r="C21">
        <v>761</v>
      </c>
      <c r="D21" s="1">
        <v>5330060</v>
      </c>
      <c r="H21" s="14" t="str">
        <f t="shared" si="6"/>
        <v>50-99</v>
      </c>
      <c r="I21" s="10">
        <f t="shared" si="7"/>
        <v>761</v>
      </c>
      <c r="J21" s="8">
        <f t="shared" si="8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  <c r="AE21">
        <v>16</v>
      </c>
      <c r="AF21">
        <v>471.63384500000001</v>
      </c>
      <c r="AG21">
        <v>692524.445343</v>
      </c>
      <c r="AH21" s="15">
        <f t="shared" si="5"/>
        <v>1468.3518850158007</v>
      </c>
    </row>
    <row r="22" spans="1:37" x14ac:dyDescent="0.55000000000000004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6"/>
        <v>100-199</v>
      </c>
      <c r="I22" s="10">
        <f t="shared" si="7"/>
        <v>476</v>
      </c>
      <c r="J22" s="8">
        <f t="shared" si="8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  <c r="AE22">
        <v>17</v>
      </c>
      <c r="AF22">
        <v>406.29136699999998</v>
      </c>
      <c r="AG22">
        <v>624911.70425099996</v>
      </c>
      <c r="AH22" s="15">
        <f t="shared" si="5"/>
        <v>1538.0875770638759</v>
      </c>
    </row>
    <row r="23" spans="1:37" x14ac:dyDescent="0.55000000000000004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6"/>
        <v>200-499</v>
      </c>
      <c r="I23" s="10">
        <f t="shared" si="7"/>
        <v>368</v>
      </c>
      <c r="J23" s="8">
        <f t="shared" si="8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81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95</v>
      </c>
      <c r="AE23">
        <v>18</v>
      </c>
      <c r="AF23">
        <v>348.53975100000002</v>
      </c>
      <c r="AG23">
        <v>565677.25120399997</v>
      </c>
      <c r="AH23" s="15">
        <f t="shared" si="5"/>
        <v>1622.9920678516808</v>
      </c>
      <c r="AJ23" s="2" t="s">
        <v>95</v>
      </c>
    </row>
    <row r="24" spans="1:37" x14ac:dyDescent="0.55000000000000004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6"/>
        <v>500-999</v>
      </c>
      <c r="I24" s="10">
        <f t="shared" si="7"/>
        <v>114</v>
      </c>
      <c r="J24" s="8">
        <f t="shared" si="8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  <c r="AE24">
        <v>19</v>
      </c>
      <c r="AF24">
        <v>297.371106</v>
      </c>
      <c r="AG24">
        <v>513982.56762400002</v>
      </c>
      <c r="AH24" s="15">
        <f t="shared" si="5"/>
        <v>1728.4213471096282</v>
      </c>
      <c r="AJ24" s="7" t="s">
        <v>36</v>
      </c>
      <c r="AK24" s="7" t="s">
        <v>4</v>
      </c>
    </row>
    <row r="25" spans="1:37" x14ac:dyDescent="0.55000000000000004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6"/>
        <v>1000-4999</v>
      </c>
      <c r="I25" s="10">
        <f t="shared" si="7"/>
        <v>107</v>
      </c>
      <c r="J25" s="8">
        <f t="shared" si="8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  <c r="AE25">
        <v>20</v>
      </c>
      <c r="AF25">
        <v>251.129051</v>
      </c>
      <c r="AG25">
        <v>469552.11680199997</v>
      </c>
      <c r="AH25" s="15">
        <f t="shared" si="5"/>
        <v>1869.7642305111087</v>
      </c>
      <c r="AJ25" s="15">
        <f>SUM(AF25:AF29)</f>
        <v>932.32073699999989</v>
      </c>
      <c r="AK25" s="1">
        <f>SUM(AG25:AG29)</f>
        <v>1986951.0606799999</v>
      </c>
    </row>
    <row r="26" spans="1:37" x14ac:dyDescent="0.55000000000000004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  <c r="AE26">
        <v>21</v>
      </c>
      <c r="AF26">
        <v>213.01477199999999</v>
      </c>
      <c r="AG26">
        <v>429366.807409</v>
      </c>
      <c r="AH26" s="15">
        <f t="shared" si="5"/>
        <v>2015.6668168017945</v>
      </c>
    </row>
    <row r="27" spans="1:37" x14ac:dyDescent="0.55000000000000004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  <c r="AE27">
        <v>22</v>
      </c>
      <c r="AF27">
        <v>181.10430500000001</v>
      </c>
      <c r="AG27">
        <v>393478.25260800001</v>
      </c>
      <c r="AH27" s="15">
        <f t="shared" si="5"/>
        <v>2172.6609569441212</v>
      </c>
    </row>
    <row r="28" spans="1:37" x14ac:dyDescent="0.55000000000000004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80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  <c r="AE28">
        <v>23</v>
      </c>
      <c r="AF28">
        <v>154.53968499999999</v>
      </c>
      <c r="AG28">
        <v>361483.88865799998</v>
      </c>
      <c r="AH28" s="15">
        <f t="shared" si="5"/>
        <v>2339.1007213325174</v>
      </c>
      <c r="AJ28" s="2" t="s">
        <v>80</v>
      </c>
    </row>
    <row r="29" spans="1:37" x14ac:dyDescent="0.55000000000000004">
      <c r="A29">
        <v>0</v>
      </c>
      <c r="B29">
        <v>500</v>
      </c>
      <c r="C29">
        <v>27098</v>
      </c>
      <c r="D29" s="1">
        <v>6410224</v>
      </c>
      <c r="H29" s="14" t="str">
        <f t="shared" ref="H29" si="9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  <c r="AE29">
        <v>24</v>
      </c>
      <c r="AF29">
        <v>132.53292400000001</v>
      </c>
      <c r="AG29">
        <v>333069.99520300003</v>
      </c>
      <c r="AH29" s="15">
        <f t="shared" si="5"/>
        <v>2513.1113473584874</v>
      </c>
      <c r="AJ29" s="7" t="s">
        <v>36</v>
      </c>
      <c r="AK29" s="7" t="s">
        <v>4</v>
      </c>
    </row>
    <row r="30" spans="1:37" x14ac:dyDescent="0.55000000000000004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10">A30/100&amp;"-"&amp;(B30/100-1)</f>
        <v>5-9</v>
      </c>
      <c r="I30">
        <f t="shared" ref="I30:I41" si="11">C30</f>
        <v>6156</v>
      </c>
      <c r="J30" s="1">
        <f t="shared" ref="J30:J41" si="12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  <c r="AE30">
        <v>25</v>
      </c>
      <c r="AF30">
        <v>114.43500400000001</v>
      </c>
      <c r="AG30">
        <v>307956.50332900003</v>
      </c>
      <c r="AH30" s="15">
        <f t="shared" si="5"/>
        <v>2691.1040552679146</v>
      </c>
      <c r="AJ30" s="15">
        <f>SUM(AF30:AF34)</f>
        <v>452.67926299999999</v>
      </c>
      <c r="AK30" s="1">
        <f>SUM(AG30:AG34)</f>
        <v>1346611.9393210001</v>
      </c>
    </row>
    <row r="31" spans="1:37" x14ac:dyDescent="0.55000000000000004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10"/>
        <v>10-24</v>
      </c>
      <c r="I31">
        <f t="shared" si="11"/>
        <v>3342</v>
      </c>
      <c r="J31" s="1">
        <f t="shared" si="12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  <c r="AE31">
        <v>26</v>
      </c>
      <c r="AF31">
        <v>99.712592000000001</v>
      </c>
      <c r="AG31">
        <v>285896.35768900003</v>
      </c>
      <c r="AH31" s="15">
        <f t="shared" si="5"/>
        <v>2867.2041509962955</v>
      </c>
    </row>
    <row r="32" spans="1:37" x14ac:dyDescent="0.55000000000000004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10"/>
        <v>25-49</v>
      </c>
      <c r="I32">
        <f t="shared" si="11"/>
        <v>865</v>
      </c>
      <c r="J32" s="1">
        <f t="shared" si="12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  <c r="AE32">
        <v>27</v>
      </c>
      <c r="AF32">
        <v>87.932079000000002</v>
      </c>
      <c r="AG32">
        <v>266673.41868599999</v>
      </c>
      <c r="AH32" s="15">
        <f t="shared" si="5"/>
        <v>3032.7205010812945</v>
      </c>
    </row>
    <row r="33" spans="1:34" x14ac:dyDescent="0.55000000000000004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10"/>
        <v>50-99</v>
      </c>
      <c r="I33">
        <f t="shared" si="11"/>
        <v>340</v>
      </c>
      <c r="J33" s="1">
        <f t="shared" si="12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  <c r="AE33">
        <v>28</v>
      </c>
      <c r="AF33">
        <v>78.748878000000005</v>
      </c>
      <c r="AG33">
        <v>250101.88304300001</v>
      </c>
      <c r="AH33" s="15">
        <f t="shared" si="5"/>
        <v>3175.9421771444158</v>
      </c>
    </row>
    <row r="34" spans="1:34" x14ac:dyDescent="0.55000000000000004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10"/>
        <v>100-199</v>
      </c>
      <c r="I34">
        <f t="shared" si="11"/>
        <v>146</v>
      </c>
      <c r="J34" s="1">
        <f t="shared" si="12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  <c r="AE34">
        <v>29</v>
      </c>
      <c r="AF34">
        <v>71.850710000000007</v>
      </c>
      <c r="AG34">
        <v>235983.77657399999</v>
      </c>
      <c r="AH34" s="15">
        <f t="shared" si="5"/>
        <v>3284.3624868007564</v>
      </c>
    </row>
    <row r="35" spans="1:34" x14ac:dyDescent="0.55000000000000004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10"/>
        <v>200-299</v>
      </c>
      <c r="I35">
        <f t="shared" si="11"/>
        <v>38</v>
      </c>
      <c r="J35" s="1">
        <f t="shared" si="12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  <c r="AE35">
        <v>30</v>
      </c>
      <c r="AF35">
        <v>67.442841000000001</v>
      </c>
      <c r="AG35">
        <v>224536.22549800001</v>
      </c>
      <c r="AH35" s="15">
        <f t="shared" si="5"/>
        <v>3329.2818358289505</v>
      </c>
    </row>
    <row r="36" spans="1:34" x14ac:dyDescent="0.55000000000000004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10"/>
        <v>300-399</v>
      </c>
      <c r="I36">
        <f t="shared" si="11"/>
        <v>20</v>
      </c>
      <c r="J36" s="1">
        <f t="shared" si="12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  <c r="AE36">
        <v>31</v>
      </c>
      <c r="AF36">
        <v>63.033208999999999</v>
      </c>
      <c r="AG36">
        <v>213605.80353800001</v>
      </c>
      <c r="AH36" s="15">
        <f t="shared" si="5"/>
        <v>3388.7819916958379</v>
      </c>
    </row>
    <row r="37" spans="1:34" x14ac:dyDescent="0.55000000000000004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10"/>
        <v>400-499</v>
      </c>
      <c r="I37">
        <f t="shared" si="11"/>
        <v>11</v>
      </c>
      <c r="J37" s="1">
        <f t="shared" si="12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  <c r="AE37">
        <v>32</v>
      </c>
      <c r="AF37">
        <v>59.028722999999999</v>
      </c>
      <c r="AG37">
        <v>203523.098451</v>
      </c>
      <c r="AH37" s="15">
        <f t="shared" si="5"/>
        <v>3447.8655154203489</v>
      </c>
    </row>
    <row r="38" spans="1:34" x14ac:dyDescent="0.55000000000000004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10"/>
        <v>500-749</v>
      </c>
      <c r="I38">
        <f t="shared" si="11"/>
        <v>15</v>
      </c>
      <c r="J38" s="1">
        <f t="shared" si="12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  <c r="AE38">
        <v>33</v>
      </c>
      <c r="AF38">
        <v>55.361986000000002</v>
      </c>
      <c r="AG38">
        <v>194213.68821600001</v>
      </c>
      <c r="AH38" s="15">
        <f t="shared" si="5"/>
        <v>3508.0693856611288</v>
      </c>
    </row>
    <row r="39" spans="1:34" x14ac:dyDescent="0.55000000000000004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10"/>
        <v>750-999</v>
      </c>
      <c r="I39">
        <f t="shared" si="11"/>
        <v>9</v>
      </c>
      <c r="J39" s="1">
        <f t="shared" si="12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  <c r="AE39">
        <v>34</v>
      </c>
      <c r="AF39">
        <v>52.014778</v>
      </c>
      <c r="AG39">
        <v>185645.71213900001</v>
      </c>
      <c r="AH39" s="15">
        <f t="shared" si="5"/>
        <v>3569.095539329227</v>
      </c>
    </row>
    <row r="40" spans="1:34" x14ac:dyDescent="0.55000000000000004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10"/>
        <v>1000-2499</v>
      </c>
      <c r="I40">
        <f t="shared" si="11"/>
        <v>1</v>
      </c>
      <c r="J40" s="1">
        <f t="shared" si="12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  <c r="AE40">
        <v>35</v>
      </c>
      <c r="AF40">
        <v>48.968119999999999</v>
      </c>
      <c r="AG40">
        <v>177787.182119</v>
      </c>
      <c r="AH40" s="15">
        <f t="shared" si="5"/>
        <v>3630.6719988229079</v>
      </c>
    </row>
    <row r="41" spans="1:34" x14ac:dyDescent="0.55000000000000004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10"/>
        <v>2500-4999</v>
      </c>
      <c r="I41">
        <f t="shared" si="11"/>
        <v>3</v>
      </c>
      <c r="J41" s="1">
        <f t="shared" si="12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  <c r="AE41">
        <v>36</v>
      </c>
      <c r="AF41">
        <v>46.204366</v>
      </c>
      <c r="AG41">
        <v>170607.74334300001</v>
      </c>
      <c r="AH41" s="15">
        <f t="shared" si="5"/>
        <v>3692.4593520664262</v>
      </c>
    </row>
    <row r="42" spans="1:34" x14ac:dyDescent="0.55000000000000004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  <c r="AE42">
        <v>37</v>
      </c>
      <c r="AF42">
        <v>43.707348000000003</v>
      </c>
      <c r="AG42">
        <v>164078.81554700001</v>
      </c>
      <c r="AH42" s="15">
        <f t="shared" si="5"/>
        <v>3754.0327440365404</v>
      </c>
    </row>
    <row r="43" spans="1:34" x14ac:dyDescent="0.55000000000000004">
      <c r="A43">
        <v>200</v>
      </c>
      <c r="B43">
        <v>500</v>
      </c>
      <c r="C43">
        <v>34707</v>
      </c>
      <c r="D43" s="1">
        <v>11002701</v>
      </c>
      <c r="H43" s="14" t="str">
        <f t="shared" ref="H43" si="13">A43/100&amp;"-"&amp;(B43/100-1)</f>
        <v>2-4</v>
      </c>
      <c r="I43">
        <f>C43</f>
        <v>34707</v>
      </c>
      <c r="J43" s="1">
        <f>D43</f>
        <v>11002701</v>
      </c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  <c r="AE43">
        <v>38</v>
      </c>
      <c r="AF43">
        <v>41.462237999999999</v>
      </c>
      <c r="AG43">
        <v>158173.50459200001</v>
      </c>
      <c r="AH43" s="15">
        <f t="shared" si="5"/>
        <v>3814.8810151540788</v>
      </c>
    </row>
    <row r="44" spans="1:34" x14ac:dyDescent="0.55000000000000004">
      <c r="A44">
        <v>500</v>
      </c>
      <c r="B44">
        <v>1000</v>
      </c>
      <c r="C44">
        <v>14730</v>
      </c>
      <c r="D44" s="1">
        <v>10272810</v>
      </c>
      <c r="H44" s="14" t="str">
        <f t="shared" ref="H44:H47" si="14">A44/100&amp;"-"&amp;(B44/100-1)</f>
        <v>5-9</v>
      </c>
      <c r="I44">
        <f t="shared" ref="I44:I47" si="15">C44</f>
        <v>14730</v>
      </c>
      <c r="J44" s="1">
        <f t="shared" ref="J44:J47" si="16">D44</f>
        <v>10272810</v>
      </c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  <c r="AE44">
        <v>39</v>
      </c>
      <c r="AF44">
        <v>39.455494999999999</v>
      </c>
      <c r="AG44">
        <v>152866.61517400001</v>
      </c>
      <c r="AH44" s="15">
        <f t="shared" si="5"/>
        <v>3874.4062182973503</v>
      </c>
    </row>
    <row r="45" spans="1:34" x14ac:dyDescent="0.55000000000000004">
      <c r="A45">
        <v>1000</v>
      </c>
      <c r="B45">
        <v>2000</v>
      </c>
      <c r="C45" s="1">
        <v>6333</v>
      </c>
      <c r="D45" s="9">
        <v>8573108</v>
      </c>
      <c r="H45" s="14" t="str">
        <f t="shared" si="14"/>
        <v>10-19</v>
      </c>
      <c r="I45">
        <f t="shared" si="15"/>
        <v>6333</v>
      </c>
      <c r="J45" s="1">
        <f t="shared" si="16"/>
        <v>8573108</v>
      </c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  <c r="AE45">
        <v>40</v>
      </c>
      <c r="AF45">
        <v>37.674818999999999</v>
      </c>
      <c r="AG45">
        <v>148134.68434000001</v>
      </c>
      <c r="AH45" s="15">
        <f t="shared" si="5"/>
        <v>3931.9282287726455</v>
      </c>
    </row>
    <row r="46" spans="1:34" x14ac:dyDescent="0.55000000000000004">
      <c r="A46">
        <v>2000</v>
      </c>
      <c r="B46">
        <v>3000</v>
      </c>
      <c r="C46" s="1">
        <v>1385</v>
      </c>
      <c r="D46" s="9">
        <v>3333563</v>
      </c>
      <c r="H46" s="14" t="str">
        <f t="shared" si="14"/>
        <v>20-29</v>
      </c>
      <c r="I46">
        <f t="shared" si="15"/>
        <v>1385</v>
      </c>
      <c r="J46" s="1">
        <f t="shared" si="16"/>
        <v>3333563</v>
      </c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  <c r="AE46">
        <v>41</v>
      </c>
      <c r="AF46">
        <v>36.109113000000001</v>
      </c>
      <c r="AG46">
        <v>143956.040244</v>
      </c>
      <c r="AH46" s="15">
        <f t="shared" si="5"/>
        <v>3986.695553668128</v>
      </c>
    </row>
    <row r="47" spans="1:34" x14ac:dyDescent="0.55000000000000004">
      <c r="A47" s="1">
        <v>3000</v>
      </c>
      <c r="B47" s="1">
        <v>5000</v>
      </c>
      <c r="C47" s="1">
        <v>846</v>
      </c>
      <c r="D47" s="9">
        <v>3199082</v>
      </c>
      <c r="H47" s="14" t="str">
        <f t="shared" si="14"/>
        <v>30-49</v>
      </c>
      <c r="I47">
        <f t="shared" si="15"/>
        <v>846</v>
      </c>
      <c r="J47" s="1">
        <f t="shared" si="16"/>
        <v>3199082</v>
      </c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  <c r="AE47">
        <v>42</v>
      </c>
      <c r="AF47">
        <v>34.748462000000004</v>
      </c>
      <c r="AG47">
        <v>140310.880167</v>
      </c>
      <c r="AH47" s="15">
        <f t="shared" si="5"/>
        <v>4037.9018837438039</v>
      </c>
    </row>
    <row r="48" spans="1:34" x14ac:dyDescent="0.55000000000000004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  <c r="AE48">
        <v>43</v>
      </c>
      <c r="AF48">
        <v>33.584108999999998</v>
      </c>
      <c r="AG48">
        <v>137181.36179200001</v>
      </c>
      <c r="AH48" s="15">
        <f t="shared" si="5"/>
        <v>4084.7104739923284</v>
      </c>
    </row>
    <row r="49" spans="12:34" x14ac:dyDescent="0.55000000000000004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  <c r="AE49">
        <v>44</v>
      </c>
      <c r="AF49">
        <v>32.608451000000002</v>
      </c>
      <c r="AG49">
        <v>134551.70183400001</v>
      </c>
      <c r="AH49" s="15">
        <f t="shared" si="5"/>
        <v>4126.2831477030295</v>
      </c>
    </row>
    <row r="50" spans="12:34" x14ac:dyDescent="0.55000000000000004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  <c r="AE50">
        <v>45</v>
      </c>
      <c r="AF50">
        <v>31.815035000000002</v>
      </c>
      <c r="AG50">
        <v>132408.29873899999</v>
      </c>
      <c r="AH50" s="15">
        <f t="shared" si="5"/>
        <v>4161.8152781852978</v>
      </c>
    </row>
    <row r="51" spans="12:34" x14ac:dyDescent="0.55000000000000004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  <c r="AE51">
        <v>46</v>
      </c>
      <c r="AF51">
        <v>31.198459</v>
      </c>
      <c r="AG51">
        <v>130739.554523</v>
      </c>
      <c r="AH51" s="15">
        <f t="shared" si="5"/>
        <v>4190.5773141872169</v>
      </c>
    </row>
    <row r="52" spans="12:34" x14ac:dyDescent="0.55000000000000004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  <c r="AE52">
        <v>47</v>
      </c>
      <c r="AF52">
        <v>30.755148999999999</v>
      </c>
      <c r="AG52">
        <v>129538.07041</v>
      </c>
      <c r="AH52" s="15">
        <f t="shared" si="5"/>
        <v>4211.9149027696139</v>
      </c>
    </row>
    <row r="53" spans="12:34" x14ac:dyDescent="0.55000000000000004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  <c r="AE53">
        <v>48</v>
      </c>
      <c r="AF53">
        <v>30.480533999999999</v>
      </c>
      <c r="AG53">
        <v>128793.06773900001</v>
      </c>
      <c r="AH53" s="15">
        <f t="shared" si="5"/>
        <v>4225.4203203592169</v>
      </c>
    </row>
    <row r="54" spans="12:34" x14ac:dyDescent="0.55000000000000004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  <c r="AE54">
        <v>49</v>
      </c>
      <c r="AF54">
        <v>30.346767</v>
      </c>
      <c r="AG54">
        <v>128429.95159500001</v>
      </c>
      <c r="AH54" s="15">
        <f t="shared" si="5"/>
        <v>4232.0801947370537</v>
      </c>
    </row>
    <row r="55" spans="12:34" x14ac:dyDescent="0.55000000000000004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34" x14ac:dyDescent="0.55000000000000004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34" x14ac:dyDescent="0.55000000000000004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34" x14ac:dyDescent="0.55000000000000004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34" x14ac:dyDescent="0.55000000000000004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34" x14ac:dyDescent="0.55000000000000004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34" x14ac:dyDescent="0.55000000000000004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34" x14ac:dyDescent="0.55000000000000004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34" x14ac:dyDescent="0.55000000000000004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34" x14ac:dyDescent="0.55000000000000004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55000000000000004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55000000000000004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55000000000000004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55000000000000004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55000000000000004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55000000000000004">
      <c r="L70">
        <v>65</v>
      </c>
      <c r="M70">
        <v>17.525518000000002</v>
      </c>
      <c r="N70">
        <v>112828.678739</v>
      </c>
      <c r="O70">
        <f t="shared" ref="O70:O133" si="17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55000000000000004">
      <c r="L71">
        <v>66</v>
      </c>
      <c r="M71">
        <v>17.189525</v>
      </c>
      <c r="N71">
        <v>112278.954436</v>
      </c>
      <c r="O71">
        <f t="shared" si="17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8">Y71/X71</f>
        <v>6789.9359910986686</v>
      </c>
    </row>
    <row r="72" spans="12:26" x14ac:dyDescent="0.55000000000000004">
      <c r="L72">
        <v>67</v>
      </c>
      <c r="M72">
        <v>16.860986</v>
      </c>
      <c r="N72">
        <v>111721.59729999999</v>
      </c>
      <c r="O72">
        <f t="shared" si="17"/>
        <v>6626.0417569885885</v>
      </c>
      <c r="W72">
        <v>67</v>
      </c>
      <c r="X72">
        <v>7.5418260000000004</v>
      </c>
      <c r="Y72">
        <v>51656.852978000003</v>
      </c>
      <c r="Z72">
        <f t="shared" si="18"/>
        <v>6849.3827592946327</v>
      </c>
    </row>
    <row r="73" spans="12:26" x14ac:dyDescent="0.55000000000000004">
      <c r="L73">
        <v>68</v>
      </c>
      <c r="M73">
        <v>16.539701999999998</v>
      </c>
      <c r="N73">
        <v>111156.667124</v>
      </c>
      <c r="O73">
        <f t="shared" si="17"/>
        <v>6720.5967268334107</v>
      </c>
      <c r="W73">
        <v>68</v>
      </c>
      <c r="X73">
        <v>7.3107870000000004</v>
      </c>
      <c r="Y73">
        <v>50504.916678000001</v>
      </c>
      <c r="Z73">
        <f t="shared" si="18"/>
        <v>6908.2735795749486</v>
      </c>
    </row>
    <row r="74" spans="12:26" x14ac:dyDescent="0.55000000000000004">
      <c r="L74">
        <v>69</v>
      </c>
      <c r="M74">
        <v>16.225466000000001</v>
      </c>
      <c r="N74">
        <v>110584.23018499999</v>
      </c>
      <c r="O74">
        <f t="shared" si="17"/>
        <v>6815.4732927239183</v>
      </c>
      <c r="W74">
        <v>69</v>
      </c>
      <c r="X74">
        <v>7.0895830000000002</v>
      </c>
      <c r="Y74">
        <v>49390.129476000002</v>
      </c>
      <c r="Z74">
        <f t="shared" si="18"/>
        <v>6966.5775090015877</v>
      </c>
    </row>
    <row r="75" spans="12:26" x14ac:dyDescent="0.55000000000000004">
      <c r="L75">
        <v>70</v>
      </c>
      <c r="M75">
        <v>15.918074000000001</v>
      </c>
      <c r="N75">
        <v>110004.359152</v>
      </c>
      <c r="O75">
        <f t="shared" si="17"/>
        <v>6910.6576054364368</v>
      </c>
      <c r="W75">
        <v>70</v>
      </c>
      <c r="X75">
        <v>6.8778030000000001</v>
      </c>
      <c r="Y75">
        <v>48311.672553999997</v>
      </c>
      <c r="Z75">
        <f t="shared" si="18"/>
        <v>7024.2885052101665</v>
      </c>
    </row>
    <row r="76" spans="12:26" x14ac:dyDescent="0.55000000000000004">
      <c r="L76">
        <v>71</v>
      </c>
      <c r="M76">
        <v>15.617317999999999</v>
      </c>
      <c r="N76">
        <v>109417.132994</v>
      </c>
      <c r="O76">
        <f t="shared" si="17"/>
        <v>7006.1410668592398</v>
      </c>
      <c r="W76">
        <v>71</v>
      </c>
      <c r="X76">
        <v>6.6750360000000004</v>
      </c>
      <c r="Y76">
        <v>47268.754050000003</v>
      </c>
      <c r="Z76">
        <f t="shared" si="18"/>
        <v>7081.4230889541268</v>
      </c>
    </row>
    <row r="77" spans="12:26" x14ac:dyDescent="0.55000000000000004">
      <c r="L77">
        <v>72</v>
      </c>
      <c r="M77">
        <v>15.322990000000001</v>
      </c>
      <c r="N77">
        <v>108822.63686100001</v>
      </c>
      <c r="O77">
        <f t="shared" si="17"/>
        <v>7101.9191986028836</v>
      </c>
      <c r="W77">
        <v>72</v>
      </c>
      <c r="X77">
        <v>6.4808700000000004</v>
      </c>
      <c r="Y77">
        <v>46260.608468999999</v>
      </c>
      <c r="Z77">
        <f t="shared" si="18"/>
        <v>7138.0244425516939</v>
      </c>
    </row>
    <row r="78" spans="12:26" x14ac:dyDescent="0.55000000000000004">
      <c r="L78">
        <v>73</v>
      </c>
      <c r="M78">
        <v>15.034881</v>
      </c>
      <c r="N78">
        <v>108220.96196</v>
      </c>
      <c r="O78">
        <f t="shared" si="17"/>
        <v>7197.9925853753011</v>
      </c>
      <c r="W78">
        <v>73</v>
      </c>
      <c r="X78">
        <v>6.2948930000000001</v>
      </c>
      <c r="Y78">
        <v>45286.496113000001</v>
      </c>
      <c r="Z78">
        <f t="shared" si="18"/>
        <v>7194.1645573641999</v>
      </c>
    </row>
    <row r="79" spans="12:26" x14ac:dyDescent="0.55000000000000004">
      <c r="L79">
        <v>74</v>
      </c>
      <c r="M79">
        <v>14.752787</v>
      </c>
      <c r="N79">
        <v>107612.20541</v>
      </c>
      <c r="O79">
        <f t="shared" si="17"/>
        <v>7294.3644756750027</v>
      </c>
      <c r="W79">
        <v>74</v>
      </c>
      <c r="X79">
        <v>6.1166970000000003</v>
      </c>
      <c r="Y79">
        <v>44345.702530000002</v>
      </c>
      <c r="Z79">
        <f t="shared" si="18"/>
        <v>7249.9426618647285</v>
      </c>
    </row>
    <row r="80" spans="12:26" x14ac:dyDescent="0.55000000000000004">
      <c r="L80">
        <v>75</v>
      </c>
      <c r="M80">
        <v>14.476502</v>
      </c>
      <c r="N80">
        <v>106996.470091</v>
      </c>
      <c r="O80">
        <f t="shared" si="17"/>
        <v>7391.0444726909855</v>
      </c>
      <c r="W80">
        <v>75</v>
      </c>
      <c r="X80">
        <v>5.9458770000000003</v>
      </c>
      <c r="Y80">
        <v>43437.537979000001</v>
      </c>
      <c r="Z80">
        <f t="shared" si="18"/>
        <v>7305.4888251136035</v>
      </c>
    </row>
    <row r="81" spans="12:26" x14ac:dyDescent="0.55000000000000004">
      <c r="L81">
        <v>76</v>
      </c>
      <c r="M81">
        <v>14.205826</v>
      </c>
      <c r="N81">
        <v>106373.86447</v>
      </c>
      <c r="O81">
        <f t="shared" si="17"/>
        <v>7488.0450084352715</v>
      </c>
      <c r="W81">
        <v>76</v>
      </c>
      <c r="X81">
        <v>5.7820299999999998</v>
      </c>
      <c r="Y81">
        <v>42561.336920000002</v>
      </c>
      <c r="Z81">
        <f t="shared" si="18"/>
        <v>7360.9678469326518</v>
      </c>
    </row>
    <row r="82" spans="12:26" x14ac:dyDescent="0.55000000000000004">
      <c r="L82">
        <v>77</v>
      </c>
      <c r="M82">
        <v>13.940562999999999</v>
      </c>
      <c r="N82">
        <v>105744.502421</v>
      </c>
      <c r="O82">
        <f t="shared" si="17"/>
        <v>7585.3824857001837</v>
      </c>
      <c r="W82">
        <v>77</v>
      </c>
      <c r="X82">
        <v>5.624765</v>
      </c>
      <c r="Y82">
        <v>41716.457513000001</v>
      </c>
      <c r="Z82">
        <f t="shared" si="18"/>
        <v>7416.5689611921571</v>
      </c>
    </row>
    <row r="83" spans="12:26" x14ac:dyDescent="0.55000000000000004">
      <c r="L83">
        <v>78</v>
      </c>
      <c r="M83">
        <v>13.68052</v>
      </c>
      <c r="N83">
        <v>105108.50302600001</v>
      </c>
      <c r="O83">
        <f t="shared" si="17"/>
        <v>7683.0780574130231</v>
      </c>
      <c r="W83">
        <v>78</v>
      </c>
      <c r="X83">
        <v>5.4736969999999996</v>
      </c>
      <c r="Y83">
        <v>40902.281136999998</v>
      </c>
      <c r="Z83">
        <f t="shared" si="18"/>
        <v>7472.5146709801438</v>
      </c>
    </row>
    <row r="84" spans="12:26" x14ac:dyDescent="0.55000000000000004">
      <c r="L84">
        <v>79</v>
      </c>
      <c r="M84">
        <v>13.425511999999999</v>
      </c>
      <c r="N84">
        <v>104465.990366</v>
      </c>
      <c r="O84">
        <f t="shared" si="17"/>
        <v>7781.1550401951154</v>
      </c>
      <c r="W84">
        <v>79</v>
      </c>
      <c r="X84">
        <v>5.3284510000000003</v>
      </c>
      <c r="Y84">
        <v>40118.211932999999</v>
      </c>
      <c r="Z84">
        <f t="shared" si="18"/>
        <v>7529.0571186635661</v>
      </c>
    </row>
    <row r="85" spans="12:26" x14ac:dyDescent="0.55000000000000004">
      <c r="L85">
        <v>80</v>
      </c>
      <c r="M85">
        <v>13.17536</v>
      </c>
      <c r="N85">
        <v>103817.09329999999</v>
      </c>
      <c r="O85">
        <f t="shared" si="17"/>
        <v>7879.6399718869161</v>
      </c>
      <c r="W85">
        <v>80</v>
      </c>
      <c r="X85">
        <v>5.1886669999999997</v>
      </c>
      <c r="Y85">
        <v>39363.676352000002</v>
      </c>
      <c r="Z85">
        <f t="shared" si="18"/>
        <v>7586.4718919136658</v>
      </c>
    </row>
    <row r="86" spans="12:26" x14ac:dyDescent="0.55000000000000004">
      <c r="L86">
        <v>81</v>
      </c>
      <c r="M86">
        <v>12.929894000000001</v>
      </c>
      <c r="N86">
        <v>103161.94522199999</v>
      </c>
      <c r="O86">
        <f t="shared" si="17"/>
        <v>7978.5607849530697</v>
      </c>
      <c r="W86">
        <v>81</v>
      </c>
      <c r="X86">
        <v>5.0539969999999999</v>
      </c>
      <c r="Y86">
        <v>38638.122728000002</v>
      </c>
      <c r="Z86">
        <f t="shared" si="18"/>
        <v>7645.0624580901022</v>
      </c>
    </row>
    <row r="87" spans="12:26" x14ac:dyDescent="0.55000000000000004">
      <c r="L87">
        <v>82</v>
      </c>
      <c r="M87">
        <v>12.68895</v>
      </c>
      <c r="N87">
        <v>102500.68382000001</v>
      </c>
      <c r="O87">
        <f t="shared" si="17"/>
        <v>8077.948437025917</v>
      </c>
      <c r="W87">
        <v>82</v>
      </c>
      <c r="X87">
        <v>4.9241080000000004</v>
      </c>
      <c r="Y87">
        <v>37941.020864999999</v>
      </c>
      <c r="Z87">
        <f t="shared" si="18"/>
        <v>7705.1561145693786</v>
      </c>
    </row>
    <row r="88" spans="12:26" x14ac:dyDescent="0.55000000000000004">
      <c r="L88">
        <v>83</v>
      </c>
      <c r="M88">
        <v>12.452375</v>
      </c>
      <c r="N88">
        <v>101833.450809</v>
      </c>
      <c r="O88">
        <f t="shared" si="17"/>
        <v>8177.833610777061</v>
      </c>
      <c r="W88">
        <v>83</v>
      </c>
      <c r="X88">
        <v>4.7986880000000003</v>
      </c>
      <c r="Y88">
        <v>37271.861637000002</v>
      </c>
      <c r="Z88">
        <f t="shared" si="18"/>
        <v>7767.094180117565</v>
      </c>
    </row>
    <row r="89" spans="12:26" x14ac:dyDescent="0.55000000000000004">
      <c r="L89">
        <v>84</v>
      </c>
      <c r="M89">
        <v>12.220026000000001</v>
      </c>
      <c r="N89">
        <v>101160.39166199999</v>
      </c>
      <c r="O89">
        <f t="shared" si="17"/>
        <v>8278.2468435009869</v>
      </c>
      <c r="W89">
        <v>84</v>
      </c>
      <c r="X89">
        <v>4.677441</v>
      </c>
      <c r="Y89">
        <v>36630.156606999997</v>
      </c>
      <c r="Z89">
        <f t="shared" si="18"/>
        <v>7831.2386210750701</v>
      </c>
    </row>
    <row r="90" spans="12:26" x14ac:dyDescent="0.55000000000000004">
      <c r="L90">
        <v>85</v>
      </c>
      <c r="M90">
        <v>11.991770000000001</v>
      </c>
      <c r="N90">
        <v>100481.655323</v>
      </c>
      <c r="O90">
        <f t="shared" si="17"/>
        <v>8379.2180239447553</v>
      </c>
      <c r="W90">
        <v>85</v>
      </c>
      <c r="X90">
        <v>4.5600930000000002</v>
      </c>
      <c r="Y90">
        <v>36015.437659000003</v>
      </c>
      <c r="Z90">
        <f t="shared" si="18"/>
        <v>7897.9612167997457</v>
      </c>
    </row>
    <row r="91" spans="12:26" x14ac:dyDescent="0.55000000000000004">
      <c r="L91">
        <v>86</v>
      </c>
      <c r="M91">
        <v>11.767484</v>
      </c>
      <c r="N91">
        <v>99797.393913000007</v>
      </c>
      <c r="O91">
        <f t="shared" si="17"/>
        <v>8480.7758321999845</v>
      </c>
      <c r="W91">
        <v>86</v>
      </c>
      <c r="X91">
        <v>4.4463889999999999</v>
      </c>
      <c r="Y91">
        <v>35427.256643000001</v>
      </c>
      <c r="Z91">
        <f t="shared" si="18"/>
        <v>7967.6467000525599</v>
      </c>
    </row>
    <row r="92" spans="12:26" x14ac:dyDescent="0.55000000000000004">
      <c r="L92">
        <v>87</v>
      </c>
      <c r="M92">
        <v>11.547059000000001</v>
      </c>
      <c r="N92">
        <v>99107.762422999993</v>
      </c>
      <c r="O92">
        <f t="shared" si="17"/>
        <v>8582.9441438724771</v>
      </c>
      <c r="W92">
        <v>87</v>
      </c>
      <c r="X92">
        <v>4.3360989999999999</v>
      </c>
      <c r="Y92">
        <v>34865.185044999998</v>
      </c>
      <c r="Z92">
        <f t="shared" si="18"/>
        <v>8040.680124000859</v>
      </c>
    </row>
    <row r="93" spans="12:26" x14ac:dyDescent="0.55000000000000004">
      <c r="L93">
        <v>88</v>
      </c>
      <c r="M93">
        <v>11.330394</v>
      </c>
      <c r="N93">
        <v>98412.918401000003</v>
      </c>
      <c r="O93">
        <f t="shared" si="17"/>
        <v>8685.7454737231565</v>
      </c>
      <c r="W93">
        <v>88</v>
      </c>
      <c r="X93">
        <v>4.2290150000000004</v>
      </c>
      <c r="Y93">
        <v>34328.813653999998</v>
      </c>
      <c r="Z93">
        <f t="shared" si="18"/>
        <v>8117.4490168514403</v>
      </c>
    </row>
    <row r="94" spans="12:26" x14ac:dyDescent="0.55000000000000004">
      <c r="L94">
        <v>89</v>
      </c>
      <c r="M94">
        <v>11.117404000000001</v>
      </c>
      <c r="N94">
        <v>97713.021622999993</v>
      </c>
      <c r="O94">
        <f t="shared" si="17"/>
        <v>8789.1940981005991</v>
      </c>
      <c r="W94">
        <v>89</v>
      </c>
      <c r="X94">
        <v>4.1249539999999998</v>
      </c>
      <c r="Y94">
        <v>33817.752259000001</v>
      </c>
      <c r="Z94">
        <f t="shared" si="18"/>
        <v>8198.3343957290199</v>
      </c>
    </row>
    <row r="95" spans="12:26" x14ac:dyDescent="0.55000000000000004">
      <c r="L95">
        <v>90</v>
      </c>
      <c r="M95">
        <v>10.908013</v>
      </c>
      <c r="N95">
        <v>97008.233762999997</v>
      </c>
      <c r="O95">
        <f t="shared" si="17"/>
        <v>8893.3001604416859</v>
      </c>
      <c r="W95">
        <v>90</v>
      </c>
      <c r="X95">
        <v>4.0237559999999997</v>
      </c>
      <c r="Y95">
        <v>33331.629351000003</v>
      </c>
      <c r="Z95">
        <f t="shared" si="18"/>
        <v>8283.7103817925363</v>
      </c>
    </row>
    <row r="96" spans="12:26" x14ac:dyDescent="0.55000000000000004">
      <c r="L96">
        <v>91</v>
      </c>
      <c r="M96">
        <v>10.702159</v>
      </c>
      <c r="N96">
        <v>96298.718053000004</v>
      </c>
      <c r="O96">
        <f t="shared" si="17"/>
        <v>8998.0646010772216</v>
      </c>
      <c r="W96">
        <v>91</v>
      </c>
      <c r="X96">
        <v>3.9252859999999998</v>
      </c>
      <c r="Y96">
        <v>32870.091846000003</v>
      </c>
      <c r="Z96">
        <f t="shared" si="18"/>
        <v>8373.9355160362848</v>
      </c>
    </row>
    <row r="97" spans="12:26" x14ac:dyDescent="0.55000000000000004">
      <c r="L97">
        <v>92</v>
      </c>
      <c r="M97">
        <v>10.499790000000001</v>
      </c>
      <c r="N97">
        <v>95584.638928</v>
      </c>
      <c r="O97">
        <f t="shared" si="17"/>
        <v>9103.4810151441125</v>
      </c>
      <c r="W97">
        <v>92</v>
      </c>
      <c r="X97">
        <v>3.8294329999999999</v>
      </c>
      <c r="Y97">
        <v>32432.804810000001</v>
      </c>
      <c r="Z97">
        <f t="shared" si="18"/>
        <v>8469.3490681257517</v>
      </c>
    </row>
    <row r="98" spans="12:26" x14ac:dyDescent="0.55000000000000004">
      <c r="L98">
        <v>93</v>
      </c>
      <c r="M98">
        <v>10.300869</v>
      </c>
      <c r="N98">
        <v>94866.161682000005</v>
      </c>
      <c r="O98">
        <f t="shared" si="17"/>
        <v>9209.529961210068</v>
      </c>
      <c r="W98">
        <v>93</v>
      </c>
      <c r="X98">
        <v>3.73611</v>
      </c>
      <c r="Y98">
        <v>32019.451209999999</v>
      </c>
      <c r="Z98">
        <f t="shared" si="18"/>
        <v>8570.2645826809166</v>
      </c>
    </row>
    <row r="99" spans="12:26" x14ac:dyDescent="0.55000000000000004">
      <c r="L99">
        <v>94</v>
      </c>
      <c r="M99">
        <v>10.105366999999999</v>
      </c>
      <c r="N99">
        <v>94143.452101000003</v>
      </c>
      <c r="O99">
        <f t="shared" si="17"/>
        <v>9316.1833806728646</v>
      </c>
      <c r="W99">
        <v>94</v>
      </c>
      <c r="X99">
        <v>3.645254</v>
      </c>
      <c r="Y99">
        <v>31629.731662999999</v>
      </c>
      <c r="Z99">
        <f t="shared" si="18"/>
        <v>8676.9623359579327</v>
      </c>
    </row>
    <row r="100" spans="12:26" x14ac:dyDescent="0.55000000000000004">
      <c r="L100">
        <v>95</v>
      </c>
      <c r="M100">
        <v>9.9132700000000007</v>
      </c>
      <c r="N100">
        <v>93416.676042999999</v>
      </c>
      <c r="O100">
        <f t="shared" si="17"/>
        <v>9423.3967240880138</v>
      </c>
      <c r="W100">
        <v>95</v>
      </c>
      <c r="X100">
        <v>3.5568230000000001</v>
      </c>
      <c r="Y100">
        <v>31263.364317</v>
      </c>
      <c r="Z100">
        <f t="shared" si="18"/>
        <v>8789.6879650744504</v>
      </c>
    </row>
    <row r="101" spans="12:26" x14ac:dyDescent="0.55000000000000004">
      <c r="L101">
        <v>96</v>
      </c>
      <c r="M101">
        <v>9.7245720000000002</v>
      </c>
      <c r="N101">
        <v>92685.999576000002</v>
      </c>
      <c r="O101">
        <f t="shared" si="17"/>
        <v>9531.1135108054114</v>
      </c>
      <c r="W101">
        <v>96</v>
      </c>
      <c r="X101">
        <v>3.4707979999999998</v>
      </c>
      <c r="Y101">
        <v>30920.083814000001</v>
      </c>
      <c r="Z101">
        <f t="shared" si="18"/>
        <v>8908.6382480340271</v>
      </c>
    </row>
    <row r="102" spans="12:26" x14ac:dyDescent="0.55000000000000004">
      <c r="L102">
        <v>97</v>
      </c>
      <c r="M102">
        <v>9.5392779999999995</v>
      </c>
      <c r="N102">
        <v>91951.586819000004</v>
      </c>
      <c r="O102">
        <f t="shared" si="17"/>
        <v>9639.2606252800269</v>
      </c>
      <c r="W102">
        <v>97</v>
      </c>
      <c r="X102">
        <v>3.3871799999999999</v>
      </c>
      <c r="Y102">
        <v>30599.643936</v>
      </c>
      <c r="Z102">
        <f t="shared" si="18"/>
        <v>9033.9586133597859</v>
      </c>
    </row>
    <row r="103" spans="12:26" x14ac:dyDescent="0.55000000000000004">
      <c r="L103">
        <v>98</v>
      </c>
      <c r="M103">
        <v>9.3574070000000003</v>
      </c>
      <c r="N103">
        <v>91213.583719000002</v>
      </c>
      <c r="O103">
        <f t="shared" si="17"/>
        <v>9747.74141158977</v>
      </c>
      <c r="W103">
        <v>98</v>
      </c>
      <c r="X103">
        <v>3.3059940000000001</v>
      </c>
      <c r="Y103">
        <v>30301.842592000001</v>
      </c>
      <c r="Z103">
        <f t="shared" si="18"/>
        <v>9165.7282475406791</v>
      </c>
    </row>
    <row r="104" spans="12:26" x14ac:dyDescent="0.55000000000000004">
      <c r="L104">
        <v>99</v>
      </c>
      <c r="M104">
        <v>9.1789529999999999</v>
      </c>
      <c r="N104">
        <v>90472.482078999994</v>
      </c>
      <c r="O104">
        <f t="shared" si="17"/>
        <v>9856.5143626947429</v>
      </c>
      <c r="W104">
        <v>99</v>
      </c>
      <c r="X104">
        <v>3.2272129999999999</v>
      </c>
      <c r="Y104">
        <v>30025.942793999999</v>
      </c>
      <c r="Z104">
        <f t="shared" si="18"/>
        <v>9303.9854493645144</v>
      </c>
    </row>
    <row r="105" spans="12:26" x14ac:dyDescent="0.55000000000000004">
      <c r="L105">
        <v>100</v>
      </c>
      <c r="M105">
        <v>9.0042220000000004</v>
      </c>
      <c r="N105">
        <v>89725.275456000003</v>
      </c>
      <c r="O105">
        <f t="shared" si="17"/>
        <v>9964.8004520546019</v>
      </c>
      <c r="W105">
        <v>100</v>
      </c>
      <c r="X105">
        <v>3.1515089999999999</v>
      </c>
      <c r="Y105">
        <v>29776.779025</v>
      </c>
      <c r="Z105">
        <f t="shared" si="18"/>
        <v>9448.4194793668685</v>
      </c>
    </row>
    <row r="106" spans="12:26" x14ac:dyDescent="0.55000000000000004">
      <c r="L106">
        <v>101</v>
      </c>
      <c r="M106">
        <v>8.8316929999999996</v>
      </c>
      <c r="N106">
        <v>88990.331869000001</v>
      </c>
      <c r="O106">
        <f t="shared" si="17"/>
        <v>10076.248333020634</v>
      </c>
      <c r="W106">
        <v>101</v>
      </c>
      <c r="X106">
        <v>3.0754000000000001</v>
      </c>
      <c r="Y106">
        <v>29525.237502</v>
      </c>
      <c r="Z106">
        <f t="shared" si="18"/>
        <v>9600.454413084477</v>
      </c>
    </row>
    <row r="107" spans="12:26" x14ac:dyDescent="0.55000000000000004">
      <c r="L107">
        <v>102</v>
      </c>
      <c r="M107">
        <v>8.6617069999999998</v>
      </c>
      <c r="N107">
        <v>88264.513951999994</v>
      </c>
      <c r="O107">
        <f t="shared" si="17"/>
        <v>10190.198531536565</v>
      </c>
      <c r="W107">
        <v>102</v>
      </c>
      <c r="X107">
        <v>2.9996510000000001</v>
      </c>
      <c r="Y107">
        <v>29276.372406999999</v>
      </c>
      <c r="Z107">
        <f t="shared" si="18"/>
        <v>9759.9262070820896</v>
      </c>
    </row>
    <row r="108" spans="12:26" x14ac:dyDescent="0.55000000000000004">
      <c r="L108">
        <v>103</v>
      </c>
      <c r="M108">
        <v>8.4943069999999992</v>
      </c>
      <c r="N108">
        <v>87548.199781999996</v>
      </c>
      <c r="O108">
        <f t="shared" si="17"/>
        <v>10306.691267692586</v>
      </c>
      <c r="W108">
        <v>103</v>
      </c>
      <c r="X108">
        <v>2.9243389999999998</v>
      </c>
      <c r="Y108">
        <v>29029.643975999999</v>
      </c>
      <c r="Z108">
        <f t="shared" si="18"/>
        <v>9926.9079186783747</v>
      </c>
    </row>
    <row r="109" spans="12:26" x14ac:dyDescent="0.55000000000000004">
      <c r="L109">
        <v>104</v>
      </c>
      <c r="M109">
        <v>8.3295680000000001</v>
      </c>
      <c r="N109">
        <v>86841.412826</v>
      </c>
      <c r="O109">
        <f t="shared" si="17"/>
        <v>10425.680278497037</v>
      </c>
      <c r="W109">
        <v>104</v>
      </c>
      <c r="X109">
        <v>2.8496109999999999</v>
      </c>
      <c r="Y109">
        <v>28785.068218</v>
      </c>
      <c r="Z109">
        <f t="shared" si="18"/>
        <v>10101.402688998603</v>
      </c>
    </row>
    <row r="110" spans="12:26" x14ac:dyDescent="0.55000000000000004">
      <c r="L110">
        <v>105</v>
      </c>
      <c r="M110">
        <v>8.167567</v>
      </c>
      <c r="N110">
        <v>86144.188781999997</v>
      </c>
      <c r="O110">
        <f t="shared" si="17"/>
        <v>10547.105249580443</v>
      </c>
      <c r="W110">
        <v>105</v>
      </c>
      <c r="X110">
        <v>2.775617</v>
      </c>
      <c r="Y110">
        <v>28542.633471000001</v>
      </c>
      <c r="Z110">
        <f t="shared" si="18"/>
        <v>10283.347259726397</v>
      </c>
    </row>
    <row r="111" spans="12:26" x14ac:dyDescent="0.55000000000000004">
      <c r="L111">
        <v>106</v>
      </c>
      <c r="M111">
        <v>8.0083819999999992</v>
      </c>
      <c r="N111">
        <v>85456.559299</v>
      </c>
      <c r="O111">
        <f t="shared" si="17"/>
        <v>10670.889487914039</v>
      </c>
      <c r="W111">
        <v>106</v>
      </c>
      <c r="X111">
        <v>2.7025049999999999</v>
      </c>
      <c r="Y111">
        <v>28302.325839000001</v>
      </c>
      <c r="Z111">
        <f t="shared" si="18"/>
        <v>10472.62663306821</v>
      </c>
    </row>
    <row r="112" spans="12:26" x14ac:dyDescent="0.55000000000000004">
      <c r="L112">
        <v>107</v>
      </c>
      <c r="M112">
        <v>7.8520909999999997</v>
      </c>
      <c r="N112">
        <v>84778.549914000003</v>
      </c>
      <c r="O112">
        <f t="shared" si="17"/>
        <v>10796.939301136475</v>
      </c>
      <c r="W112">
        <v>107</v>
      </c>
      <c r="X112">
        <v>2.6304210000000001</v>
      </c>
      <c r="Y112">
        <v>28064.132033000002</v>
      </c>
      <c r="Z112">
        <f t="shared" si="18"/>
        <v>10669.064774422041</v>
      </c>
    </row>
    <row r="113" spans="12:26" x14ac:dyDescent="0.55000000000000004">
      <c r="L113">
        <v>108</v>
      </c>
      <c r="M113">
        <v>7.6987740000000002</v>
      </c>
      <c r="N113">
        <v>84110.180332000004</v>
      </c>
      <c r="O113">
        <f t="shared" si="17"/>
        <v>10925.139552349505</v>
      </c>
      <c r="W113">
        <v>108</v>
      </c>
      <c r="X113">
        <v>2.5595110000000001</v>
      </c>
      <c r="Y113">
        <v>27828.038549000001</v>
      </c>
      <c r="Z113">
        <f t="shared" si="18"/>
        <v>10872.404357316691</v>
      </c>
    </row>
    <row r="114" spans="12:26" x14ac:dyDescent="0.55000000000000004">
      <c r="L114">
        <v>109</v>
      </c>
      <c r="M114">
        <v>7.548508</v>
      </c>
      <c r="N114">
        <v>83451.464120000004</v>
      </c>
      <c r="O114">
        <f t="shared" si="17"/>
        <v>11055.358770236449</v>
      </c>
      <c r="W114">
        <v>109</v>
      </c>
      <c r="X114">
        <v>2.489913</v>
      </c>
      <c r="Y114">
        <v>27594.031761999999</v>
      </c>
      <c r="Z114">
        <f t="shared" si="18"/>
        <v>11082.327680525383</v>
      </c>
    </row>
    <row r="115" spans="12:26" x14ac:dyDescent="0.55000000000000004">
      <c r="L115">
        <v>110</v>
      </c>
      <c r="M115">
        <v>7.4013679999999997</v>
      </c>
      <c r="N115">
        <v>82802.408496000004</v>
      </c>
      <c r="O115">
        <f t="shared" si="17"/>
        <v>11187.446495836986</v>
      </c>
      <c r="W115">
        <v>110</v>
      </c>
      <c r="X115">
        <v>2.4217610000000001</v>
      </c>
      <c r="Y115">
        <v>27362.097915999999</v>
      </c>
      <c r="Z115">
        <f t="shared" si="18"/>
        <v>11298.430322397626</v>
      </c>
    </row>
    <row r="116" spans="12:26" x14ac:dyDescent="0.55000000000000004">
      <c r="L116">
        <v>111</v>
      </c>
      <c r="M116">
        <v>7.257428</v>
      </c>
      <c r="N116">
        <v>82163.014135000005</v>
      </c>
      <c r="O116">
        <f t="shared" si="17"/>
        <v>11321.230349787831</v>
      </c>
      <c r="W116">
        <v>111</v>
      </c>
      <c r="X116">
        <v>2.3551820000000001</v>
      </c>
      <c r="Y116">
        <v>27132.223114</v>
      </c>
      <c r="Z116">
        <f t="shared" si="18"/>
        <v>11520.223538563048</v>
      </c>
    </row>
    <row r="117" spans="12:26" x14ac:dyDescent="0.55000000000000004">
      <c r="L117">
        <v>112</v>
      </c>
      <c r="M117">
        <v>7.1167559999999996</v>
      </c>
      <c r="N117">
        <v>81533.274980999995</v>
      </c>
      <c r="O117">
        <f t="shared" si="17"/>
        <v>11456.522463465095</v>
      </c>
      <c r="W117">
        <v>112</v>
      </c>
      <c r="X117">
        <v>2.2902930000000001</v>
      </c>
      <c r="Y117">
        <v>26904.393317999999</v>
      </c>
      <c r="Z117">
        <f t="shared" si="18"/>
        <v>11747.140351911305</v>
      </c>
    </row>
    <row r="118" spans="12:26" x14ac:dyDescent="0.55000000000000004">
      <c r="L118">
        <v>113</v>
      </c>
      <c r="M118">
        <v>6.9794179999999999</v>
      </c>
      <c r="N118">
        <v>80913.178086</v>
      </c>
      <c r="O118">
        <f t="shared" si="17"/>
        <v>11593.112503936574</v>
      </c>
      <c r="W118">
        <v>113</v>
      </c>
      <c r="X118">
        <v>2.227201</v>
      </c>
      <c r="Y118">
        <v>26678.594338999999</v>
      </c>
      <c r="Z118">
        <f t="shared" si="18"/>
        <v>11978.530154664981</v>
      </c>
    </row>
    <row r="119" spans="12:26" x14ac:dyDescent="0.55000000000000004">
      <c r="L119">
        <v>114</v>
      </c>
      <c r="M119">
        <v>6.8454750000000004</v>
      </c>
      <c r="N119">
        <v>80302.703462999998</v>
      </c>
      <c r="O119">
        <f t="shared" si="17"/>
        <v>11730.771562674612</v>
      </c>
      <c r="W119">
        <v>114</v>
      </c>
      <c r="X119">
        <v>2.1660059999999999</v>
      </c>
      <c r="Y119">
        <v>26454.811834</v>
      </c>
      <c r="Z119">
        <f t="shared" si="18"/>
        <v>12213.637374042362</v>
      </c>
    </row>
    <row r="120" spans="12:26" x14ac:dyDescent="0.55000000000000004">
      <c r="L120">
        <v>115</v>
      </c>
      <c r="M120">
        <v>6.7149799999999997</v>
      </c>
      <c r="N120">
        <v>79701.823961999995</v>
      </c>
      <c r="O120">
        <f t="shared" si="17"/>
        <v>11869.257088181945</v>
      </c>
      <c r="W120">
        <v>115</v>
      </c>
      <c r="X120">
        <v>2.1067930000000001</v>
      </c>
      <c r="Y120">
        <v>26233.031306000001</v>
      </c>
      <c r="Z120">
        <f t="shared" si="18"/>
        <v>12451.641573709425</v>
      </c>
    </row>
    <row r="121" spans="12:26" x14ac:dyDescent="0.55000000000000004">
      <c r="L121">
        <v>116</v>
      </c>
      <c r="M121">
        <v>6.5879839999999996</v>
      </c>
      <c r="N121">
        <v>79110.505162000001</v>
      </c>
      <c r="O121">
        <f t="shared" si="17"/>
        <v>12008.302564487103</v>
      </c>
      <c r="W121">
        <v>116</v>
      </c>
      <c r="X121">
        <v>2.0496379999999998</v>
      </c>
      <c r="Y121">
        <v>26013.238095000001</v>
      </c>
      <c r="Z121">
        <f t="shared" si="18"/>
        <v>12691.625591933796</v>
      </c>
    </row>
    <row r="122" spans="12:26" x14ac:dyDescent="0.55000000000000004">
      <c r="L122">
        <v>117</v>
      </c>
      <c r="M122">
        <v>6.4645270000000004</v>
      </c>
      <c r="N122">
        <v>78528.705287000004</v>
      </c>
      <c r="O122">
        <f t="shared" si="17"/>
        <v>12147.633583555302</v>
      </c>
      <c r="W122">
        <v>117</v>
      </c>
      <c r="X122">
        <v>1.994604</v>
      </c>
      <c r="Y122">
        <v>25795.417377999998</v>
      </c>
      <c r="Z122">
        <f t="shared" si="18"/>
        <v>12932.600846082731</v>
      </c>
    </row>
    <row r="123" spans="12:26" x14ac:dyDescent="0.55000000000000004">
      <c r="L123">
        <v>118</v>
      </c>
      <c r="M123">
        <v>6.3446449999999999</v>
      </c>
      <c r="N123">
        <v>77956.375140000004</v>
      </c>
      <c r="O123">
        <f t="shared" si="17"/>
        <v>12286.956187462027</v>
      </c>
      <c r="W123">
        <v>118</v>
      </c>
      <c r="X123">
        <v>1.9417420000000001</v>
      </c>
      <c r="Y123">
        <v>25579.554169999999</v>
      </c>
      <c r="Z123">
        <f t="shared" si="18"/>
        <v>13173.508205518548</v>
      </c>
    </row>
    <row r="124" spans="12:26" x14ac:dyDescent="0.55000000000000004">
      <c r="L124">
        <v>119</v>
      </c>
      <c r="M124">
        <v>6.2283660000000003</v>
      </c>
      <c r="N124">
        <v>77393.458062999998</v>
      </c>
      <c r="O124">
        <f t="shared" si="17"/>
        <v>12425.965022447299</v>
      </c>
      <c r="W124">
        <v>119</v>
      </c>
      <c r="X124">
        <v>1.8910910000000001</v>
      </c>
      <c r="Y124">
        <v>25365.633315999999</v>
      </c>
      <c r="Z124">
        <f t="shared" si="18"/>
        <v>13413.22724078323</v>
      </c>
    </row>
    <row r="125" spans="12:26" x14ac:dyDescent="0.55000000000000004">
      <c r="L125">
        <v>120</v>
      </c>
      <c r="M125">
        <v>6.11571</v>
      </c>
      <c r="N125">
        <v>76839.889916999993</v>
      </c>
      <c r="O125">
        <f t="shared" si="17"/>
        <v>12564.344927571778</v>
      </c>
      <c r="W125">
        <v>120</v>
      </c>
      <c r="X125">
        <v>1.8426769999999999</v>
      </c>
      <c r="Y125">
        <v>25153.639497</v>
      </c>
      <c r="Z125">
        <f t="shared" si="18"/>
        <v>13650.596114783004</v>
      </c>
    </row>
    <row r="126" spans="12:26" x14ac:dyDescent="0.55000000000000004">
      <c r="L126">
        <v>121</v>
      </c>
      <c r="M126">
        <v>6.0066889999999997</v>
      </c>
      <c r="N126">
        <v>76295.599079000007</v>
      </c>
      <c r="O126">
        <f t="shared" si="17"/>
        <v>12701.77282010106</v>
      </c>
      <c r="W126">
        <v>121</v>
      </c>
      <c r="X126">
        <v>1.7965150000000001</v>
      </c>
      <c r="Y126">
        <v>24943.557226000001</v>
      </c>
      <c r="Z126">
        <f t="shared" si="18"/>
        <v>13884.413559586199</v>
      </c>
    </row>
    <row r="127" spans="12:26" x14ac:dyDescent="0.55000000000000004">
      <c r="L127">
        <v>122</v>
      </c>
      <c r="M127">
        <v>5.9013070000000001</v>
      </c>
      <c r="N127">
        <v>75760.506471999994</v>
      </c>
      <c r="O127">
        <f t="shared" si="17"/>
        <v>12837.919883171642</v>
      </c>
      <c r="W127">
        <v>122</v>
      </c>
      <c r="X127">
        <v>1.7526090000000001</v>
      </c>
      <c r="Y127">
        <v>24735.370848999999</v>
      </c>
      <c r="Z127">
        <f t="shared" si="18"/>
        <v>14113.4564805955</v>
      </c>
    </row>
    <row r="128" spans="12:26" x14ac:dyDescent="0.55000000000000004">
      <c r="L128">
        <v>123</v>
      </c>
      <c r="M128">
        <v>5.7995599999999996</v>
      </c>
      <c r="N128">
        <v>75234.525611000005</v>
      </c>
      <c r="O128">
        <f t="shared" si="17"/>
        <v>12972.45405013484</v>
      </c>
      <c r="W128">
        <v>123</v>
      </c>
      <c r="X128">
        <v>1.710952</v>
      </c>
      <c r="Y128">
        <v>24529.064545000001</v>
      </c>
      <c r="Z128">
        <f t="shared" si="18"/>
        <v>14336.500699610509</v>
      </c>
    </row>
    <row r="129" spans="12:26" x14ac:dyDescent="0.55000000000000004">
      <c r="L129">
        <v>124</v>
      </c>
      <c r="M129">
        <v>5.7014339999999999</v>
      </c>
      <c r="N129">
        <v>74717.562669000006</v>
      </c>
      <c r="O129">
        <f t="shared" si="17"/>
        <v>13105.047373871206</v>
      </c>
      <c r="W129">
        <v>124</v>
      </c>
      <c r="X129">
        <v>1.671524</v>
      </c>
      <c r="Y129">
        <v>24324.622329000002</v>
      </c>
      <c r="Z129">
        <f t="shared" si="18"/>
        <v>14552.361993605837</v>
      </c>
    </row>
    <row r="130" spans="12:26" x14ac:dyDescent="0.55000000000000004">
      <c r="L130">
        <v>125</v>
      </c>
      <c r="M130">
        <v>5.6069100000000001</v>
      </c>
      <c r="N130">
        <v>74209.516577999995</v>
      </c>
      <c r="O130">
        <f t="shared" si="17"/>
        <v>13235.367890335317</v>
      </c>
      <c r="W130">
        <v>125</v>
      </c>
      <c r="X130">
        <v>1.634298</v>
      </c>
      <c r="Y130">
        <v>24122.028057</v>
      </c>
      <c r="Z130">
        <f t="shared" si="18"/>
        <v>14759.871245635741</v>
      </c>
    </row>
    <row r="131" spans="12:26" x14ac:dyDescent="0.55000000000000004">
      <c r="L131">
        <v>126</v>
      </c>
      <c r="M131">
        <v>5.5159580000000004</v>
      </c>
      <c r="N131">
        <v>73710.279137000005</v>
      </c>
      <c r="O131">
        <f t="shared" si="17"/>
        <v>13363.09651686978</v>
      </c>
      <c r="W131">
        <v>126</v>
      </c>
      <c r="X131">
        <v>1.599237</v>
      </c>
      <c r="Y131">
        <v>23921.265421</v>
      </c>
      <c r="Z131">
        <f t="shared" si="18"/>
        <v>14957.923948107753</v>
      </c>
    </row>
    <row r="132" spans="12:26" x14ac:dyDescent="0.55000000000000004">
      <c r="L132">
        <v>127</v>
      </c>
      <c r="M132">
        <v>5.4285410000000001</v>
      </c>
      <c r="N132">
        <v>73219.735155999995</v>
      </c>
      <c r="O132">
        <f t="shared" si="17"/>
        <v>13487.921553139231</v>
      </c>
      <c r="W132">
        <v>127</v>
      </c>
      <c r="X132">
        <v>1.5662940000000001</v>
      </c>
      <c r="Y132">
        <v>23722.31796</v>
      </c>
      <c r="Z132">
        <f t="shared" si="18"/>
        <v>15145.507778233205</v>
      </c>
    </row>
    <row r="133" spans="12:26" x14ac:dyDescent="0.55000000000000004">
      <c r="L133">
        <v>128</v>
      </c>
      <c r="M133">
        <v>5.3446150000000001</v>
      </c>
      <c r="N133">
        <v>72737.762617</v>
      </c>
      <c r="O133">
        <f t="shared" si="17"/>
        <v>13609.542056256625</v>
      </c>
      <c r="W133">
        <v>128</v>
      </c>
      <c r="X133">
        <v>1.5354179999999999</v>
      </c>
      <c r="Y133">
        <v>23525.169059</v>
      </c>
      <c r="Z133">
        <f t="shared" si="18"/>
        <v>15321.670749593923</v>
      </c>
    </row>
    <row r="134" spans="12:26" x14ac:dyDescent="0.55000000000000004">
      <c r="L134">
        <v>129</v>
      </c>
      <c r="M134">
        <v>5.2641249999999999</v>
      </c>
      <c r="N134">
        <v>72264.232854000002</v>
      </c>
      <c r="O134">
        <f t="shared" ref="O134:O197" si="19">N134/M134</f>
        <v>13727.681780732792</v>
      </c>
      <c r="W134">
        <v>129</v>
      </c>
      <c r="X134">
        <v>1.506548</v>
      </c>
      <c r="Y134">
        <v>23329.801955999999</v>
      </c>
      <c r="Z134">
        <f t="shared" si="18"/>
        <v>15485.601491621906</v>
      </c>
    </row>
    <row r="135" spans="12:26" x14ac:dyDescent="0.55000000000000004">
      <c r="L135">
        <v>130</v>
      </c>
      <c r="M135">
        <v>5.1870120000000002</v>
      </c>
      <c r="N135">
        <v>71799.010764999999</v>
      </c>
      <c r="O135">
        <f t="shared" si="19"/>
        <v>13842.075315229653</v>
      </c>
      <c r="W135">
        <v>130</v>
      </c>
      <c r="X135">
        <v>1.479617</v>
      </c>
      <c r="Y135">
        <v>23136.199745999998</v>
      </c>
      <c r="Z135">
        <f t="shared" ref="Z135:Z198" si="20">Y135/X135</f>
        <v>15636.61389805605</v>
      </c>
    </row>
    <row r="136" spans="12:26" x14ac:dyDescent="0.55000000000000004">
      <c r="L136">
        <v>131</v>
      </c>
      <c r="M136">
        <v>5.1132099999999996</v>
      </c>
      <c r="N136">
        <v>71341.955031000005</v>
      </c>
      <c r="O136">
        <f t="shared" si="19"/>
        <v>13952.47897719828</v>
      </c>
      <c r="W136">
        <v>131</v>
      </c>
      <c r="X136">
        <v>1.454556</v>
      </c>
      <c r="Y136">
        <v>22944.345388000002</v>
      </c>
      <c r="Z136">
        <f t="shared" si="20"/>
        <v>15774.123091857586</v>
      </c>
    </row>
    <row r="137" spans="12:26" x14ac:dyDescent="0.55000000000000004">
      <c r="L137">
        <v>132</v>
      </c>
      <c r="M137">
        <v>5.042643</v>
      </c>
      <c r="N137">
        <v>70892.918372</v>
      </c>
      <c r="O137">
        <f t="shared" si="19"/>
        <v>14058.682792337273</v>
      </c>
      <c r="W137">
        <v>132</v>
      </c>
      <c r="X137">
        <v>1.431289</v>
      </c>
      <c r="Y137">
        <v>22754.221706</v>
      </c>
      <c r="Z137">
        <f t="shared" si="20"/>
        <v>15897.712974808022</v>
      </c>
    </row>
    <row r="138" spans="12:26" x14ac:dyDescent="0.55000000000000004">
      <c r="L138">
        <v>133</v>
      </c>
      <c r="M138">
        <v>4.975231</v>
      </c>
      <c r="N138">
        <v>70451.747810999994</v>
      </c>
      <c r="O138">
        <f t="shared" si="19"/>
        <v>14160.497836381868</v>
      </c>
      <c r="W138">
        <v>133</v>
      </c>
      <c r="X138">
        <v>1.4097360000000001</v>
      </c>
      <c r="Y138">
        <v>22565.811403</v>
      </c>
      <c r="Z138">
        <f t="shared" si="20"/>
        <v>16007.118639943932</v>
      </c>
    </row>
    <row r="139" spans="12:26" x14ac:dyDescent="0.55000000000000004">
      <c r="L139">
        <v>134</v>
      </c>
      <c r="M139">
        <v>4.9108890000000001</v>
      </c>
      <c r="N139">
        <v>70018.284962999998</v>
      </c>
      <c r="O139">
        <f t="shared" si="19"/>
        <v>14257.761672682889</v>
      </c>
      <c r="W139">
        <v>134</v>
      </c>
      <c r="X139">
        <v>1.3898170000000001</v>
      </c>
      <c r="Y139">
        <v>22379.097063000001</v>
      </c>
      <c r="Z139">
        <f t="shared" si="20"/>
        <v>16102.189758076063</v>
      </c>
    </row>
    <row r="140" spans="12:26" x14ac:dyDescent="0.55000000000000004">
      <c r="L140">
        <v>135</v>
      </c>
      <c r="M140">
        <v>4.8495229999999996</v>
      </c>
      <c r="N140">
        <v>69592.366341999994</v>
      </c>
      <c r="O140">
        <f t="shared" si="19"/>
        <v>14350.352878417114</v>
      </c>
      <c r="W140">
        <v>135</v>
      </c>
      <c r="X140">
        <v>1.371448</v>
      </c>
      <c r="Y140">
        <v>22194.061159000001</v>
      </c>
      <c r="Z140">
        <f t="shared" si="20"/>
        <v>16182.940336782729</v>
      </c>
    </row>
    <row r="141" spans="12:26" x14ac:dyDescent="0.55000000000000004">
      <c r="L141">
        <v>136</v>
      </c>
      <c r="M141">
        <v>4.7910370000000002</v>
      </c>
      <c r="N141">
        <v>69173.823684000003</v>
      </c>
      <c r="O141">
        <f t="shared" si="19"/>
        <v>14438.17354864928</v>
      </c>
      <c r="W141">
        <v>136</v>
      </c>
      <c r="X141">
        <v>1.3545450000000001</v>
      </c>
      <c r="Y141">
        <v>22010.686062000001</v>
      </c>
      <c r="Z141">
        <f t="shared" si="20"/>
        <v>16249.50523016954</v>
      </c>
    </row>
    <row r="142" spans="12:26" x14ac:dyDescent="0.55000000000000004">
      <c r="L142">
        <v>137</v>
      </c>
      <c r="M142">
        <v>4.7353300000000003</v>
      </c>
      <c r="N142">
        <v>68762.484293999994</v>
      </c>
      <c r="O142">
        <f t="shared" si="19"/>
        <v>14521.159939011641</v>
      </c>
      <c r="W142">
        <v>137</v>
      </c>
      <c r="X142">
        <v>1.3390219999999999</v>
      </c>
      <c r="Y142">
        <v>21828.954048</v>
      </c>
      <c r="Z142">
        <f t="shared" si="20"/>
        <v>16302.162360289823</v>
      </c>
    </row>
    <row r="143" spans="12:26" x14ac:dyDescent="0.55000000000000004">
      <c r="L143">
        <v>138</v>
      </c>
      <c r="M143">
        <v>4.6822939999999997</v>
      </c>
      <c r="N143">
        <v>68358.171401</v>
      </c>
      <c r="O143">
        <f t="shared" si="19"/>
        <v>14599.290732491381</v>
      </c>
      <c r="W143">
        <v>138</v>
      </c>
      <c r="X143">
        <v>1.3247930000000001</v>
      </c>
      <c r="Y143">
        <v>21648.847311000001</v>
      </c>
      <c r="Z143">
        <f t="shared" si="20"/>
        <v>16341.305631143883</v>
      </c>
    </row>
    <row r="144" spans="12:26" x14ac:dyDescent="0.55000000000000004">
      <c r="L144">
        <v>139</v>
      </c>
      <c r="M144">
        <v>4.6318210000000004</v>
      </c>
      <c r="N144">
        <v>67960.704530999996</v>
      </c>
      <c r="O144">
        <f t="shared" si="19"/>
        <v>14672.567124463572</v>
      </c>
      <c r="W144">
        <v>139</v>
      </c>
      <c r="X144">
        <v>1.311774</v>
      </c>
      <c r="Y144">
        <v>21470.347966000001</v>
      </c>
      <c r="Z144">
        <f t="shared" si="20"/>
        <v>16367.413873121439</v>
      </c>
    </row>
    <row r="145" spans="12:26" x14ac:dyDescent="0.55000000000000004">
      <c r="L145">
        <v>140</v>
      </c>
      <c r="M145">
        <v>4.5837969999999997</v>
      </c>
      <c r="N145">
        <v>67569.899896999996</v>
      </c>
      <c r="O145">
        <f t="shared" si="19"/>
        <v>14741.032357453874</v>
      </c>
      <c r="W145">
        <v>140</v>
      </c>
      <c r="X145">
        <v>1.2998810000000001</v>
      </c>
      <c r="Y145">
        <v>21293.438062000001</v>
      </c>
      <c r="Z145">
        <f t="shared" si="20"/>
        <v>16381.067237693296</v>
      </c>
    </row>
    <row r="146" spans="12:26" x14ac:dyDescent="0.55000000000000004">
      <c r="L146">
        <v>141</v>
      </c>
      <c r="M146">
        <v>4.5381070000000001</v>
      </c>
      <c r="N146">
        <v>67185.570796999993</v>
      </c>
      <c r="O146">
        <f t="shared" si="19"/>
        <v>14804.756872634336</v>
      </c>
      <c r="W146">
        <v>141</v>
      </c>
      <c r="X146">
        <v>1.289032</v>
      </c>
      <c r="Y146">
        <v>21118.099591999999</v>
      </c>
      <c r="Z146">
        <f t="shared" si="20"/>
        <v>16382.913373756432</v>
      </c>
    </row>
    <row r="147" spans="12:26" x14ac:dyDescent="0.55000000000000004">
      <c r="L147">
        <v>142</v>
      </c>
      <c r="M147">
        <v>4.494631</v>
      </c>
      <c r="N147">
        <v>66807.528026999993</v>
      </c>
      <c r="O147">
        <f t="shared" si="19"/>
        <v>14863.851565790383</v>
      </c>
      <c r="W147">
        <v>142</v>
      </c>
      <c r="X147">
        <v>1.279145</v>
      </c>
      <c r="Y147">
        <v>20944.314503000001</v>
      </c>
      <c r="Z147">
        <f t="shared" si="20"/>
        <v>16373.682813910857</v>
      </c>
    </row>
    <row r="148" spans="12:26" x14ac:dyDescent="0.55000000000000004">
      <c r="L148">
        <v>143</v>
      </c>
      <c r="M148">
        <v>4.453252</v>
      </c>
      <c r="N148">
        <v>66435.580306999997</v>
      </c>
      <c r="O148">
        <f t="shared" si="19"/>
        <v>14918.441693171641</v>
      </c>
      <c r="W148">
        <v>143</v>
      </c>
      <c r="X148">
        <v>1.2701420000000001</v>
      </c>
      <c r="Y148">
        <v>20772.064705000001</v>
      </c>
      <c r="Z148">
        <f t="shared" si="20"/>
        <v>16354.127888850222</v>
      </c>
    </row>
    <row r="149" spans="12:26" x14ac:dyDescent="0.55000000000000004">
      <c r="L149">
        <v>144</v>
      </c>
      <c r="M149">
        <v>4.4138460000000004</v>
      </c>
      <c r="N149">
        <v>66069.534706999999</v>
      </c>
      <c r="O149">
        <f t="shared" si="19"/>
        <v>14968.699566545818</v>
      </c>
      <c r="W149">
        <v>144</v>
      </c>
      <c r="X149">
        <v>1.261946</v>
      </c>
      <c r="Y149">
        <v>20601.332084999998</v>
      </c>
      <c r="Z149">
        <f t="shared" si="20"/>
        <v>16325.050426087961</v>
      </c>
    </row>
    <row r="150" spans="12:26" x14ac:dyDescent="0.55000000000000004">
      <c r="L150">
        <v>145</v>
      </c>
      <c r="M150">
        <v>4.3762910000000002</v>
      </c>
      <c r="N150">
        <v>65709.197090000001</v>
      </c>
      <c r="O150">
        <f t="shared" si="19"/>
        <v>15014.814391913153</v>
      </c>
      <c r="W150">
        <v>145</v>
      </c>
      <c r="X150">
        <v>1.254483</v>
      </c>
      <c r="Y150">
        <v>20432.098515000001</v>
      </c>
      <c r="Z150">
        <f t="shared" si="20"/>
        <v>16287.266160641477</v>
      </c>
    </row>
    <row r="151" spans="12:26" x14ac:dyDescent="0.55000000000000004">
      <c r="L151">
        <v>146</v>
      </c>
      <c r="M151">
        <v>4.340465</v>
      </c>
      <c r="N151">
        <v>65354.372558000003</v>
      </c>
      <c r="O151">
        <f t="shared" si="19"/>
        <v>15056.997938700117</v>
      </c>
      <c r="W151">
        <v>146</v>
      </c>
      <c r="X151">
        <v>1.247682</v>
      </c>
      <c r="Y151">
        <v>20264.345863999999</v>
      </c>
      <c r="Z151">
        <f t="shared" si="20"/>
        <v>16241.595105163015</v>
      </c>
    </row>
    <row r="152" spans="12:26" x14ac:dyDescent="0.55000000000000004">
      <c r="L152">
        <v>147</v>
      </c>
      <c r="M152">
        <v>4.3062449999999997</v>
      </c>
      <c r="N152">
        <v>65004.865902999998</v>
      </c>
      <c r="O152">
        <f t="shared" si="19"/>
        <v>15095.48711301842</v>
      </c>
      <c r="W152">
        <v>147</v>
      </c>
      <c r="X152">
        <v>1.241474</v>
      </c>
      <c r="Y152">
        <v>20098.056011000001</v>
      </c>
      <c r="Z152">
        <f t="shared" si="20"/>
        <v>16188.865824817918</v>
      </c>
    </row>
    <row r="153" spans="12:26" x14ac:dyDescent="0.55000000000000004">
      <c r="L153">
        <v>148</v>
      </c>
      <c r="M153">
        <v>4.2735070000000004</v>
      </c>
      <c r="N153">
        <v>64660.482061000002</v>
      </c>
      <c r="O153">
        <f t="shared" si="19"/>
        <v>15130.54314898747</v>
      </c>
      <c r="W153">
        <v>148</v>
      </c>
      <c r="X153">
        <v>1.2357929999999999</v>
      </c>
      <c r="Y153">
        <v>19933.210854000001</v>
      </c>
      <c r="Z153">
        <f t="shared" si="20"/>
        <v>16129.894613418268</v>
      </c>
    </row>
    <row r="154" spans="12:26" x14ac:dyDescent="0.55000000000000004">
      <c r="L154">
        <v>149</v>
      </c>
      <c r="M154">
        <v>4.2421290000000003</v>
      </c>
      <c r="N154">
        <v>64321.026568000001</v>
      </c>
      <c r="O154">
        <f t="shared" si="19"/>
        <v>15162.440031408756</v>
      </c>
      <c r="W154">
        <v>149</v>
      </c>
      <c r="X154">
        <v>1.230575</v>
      </c>
      <c r="Y154">
        <v>19769.792325999999</v>
      </c>
      <c r="Z154">
        <f t="shared" si="20"/>
        <v>16065.491600268168</v>
      </c>
    </row>
    <row r="155" spans="12:26" x14ac:dyDescent="0.55000000000000004">
      <c r="L155">
        <v>150</v>
      </c>
      <c r="M155">
        <v>4.2119910000000003</v>
      </c>
      <c r="N155">
        <v>63986.306019000003</v>
      </c>
      <c r="O155">
        <f t="shared" si="19"/>
        <v>15191.463139166251</v>
      </c>
      <c r="W155">
        <v>150</v>
      </c>
      <c r="X155">
        <v>1.2257610000000001</v>
      </c>
      <c r="Y155">
        <v>19607.782402000001</v>
      </c>
      <c r="Z155">
        <f t="shared" si="20"/>
        <v>15996.415616094817</v>
      </c>
    </row>
    <row r="156" spans="12:26" x14ac:dyDescent="0.55000000000000004">
      <c r="L156">
        <v>151</v>
      </c>
      <c r="M156">
        <v>4.1829720000000004</v>
      </c>
      <c r="N156">
        <v>63656.128527000001</v>
      </c>
      <c r="O156">
        <f t="shared" si="19"/>
        <v>15217.918868928598</v>
      </c>
      <c r="W156">
        <v>151</v>
      </c>
      <c r="X156">
        <v>1.2212909999999999</v>
      </c>
      <c r="Y156">
        <v>19447.163114999999</v>
      </c>
      <c r="Z156">
        <f t="shared" si="20"/>
        <v>15923.447495314385</v>
      </c>
    </row>
    <row r="157" spans="12:26" x14ac:dyDescent="0.55000000000000004">
      <c r="L157">
        <v>152</v>
      </c>
      <c r="M157">
        <v>4.1549550000000002</v>
      </c>
      <c r="N157">
        <v>63330.304170000003</v>
      </c>
      <c r="O157">
        <f t="shared" si="19"/>
        <v>15242.115539157463</v>
      </c>
      <c r="W157">
        <v>152</v>
      </c>
      <c r="X157">
        <v>1.217112</v>
      </c>
      <c r="Y157">
        <v>19287.916566</v>
      </c>
      <c r="Z157">
        <f t="shared" si="20"/>
        <v>15847.281569814446</v>
      </c>
    </row>
    <row r="158" spans="12:26" x14ac:dyDescent="0.55000000000000004">
      <c r="L158">
        <v>153</v>
      </c>
      <c r="M158">
        <v>4.1278230000000002</v>
      </c>
      <c r="N158">
        <v>63008.645451999997</v>
      </c>
      <c r="O158">
        <f t="shared" si="19"/>
        <v>15264.37675549557</v>
      </c>
      <c r="W158">
        <v>153</v>
      </c>
      <c r="X158">
        <v>1.2131689999999999</v>
      </c>
      <c r="Y158">
        <v>19130.024935000001</v>
      </c>
      <c r="Z158">
        <f t="shared" si="20"/>
        <v>15768.639764946189</v>
      </c>
    </row>
    <row r="159" spans="12:26" x14ac:dyDescent="0.55000000000000004">
      <c r="L159">
        <v>154</v>
      </c>
      <c r="M159">
        <v>4.1014629999999999</v>
      </c>
      <c r="N159">
        <v>62690.96774</v>
      </c>
      <c r="O159">
        <f t="shared" si="19"/>
        <v>15285.025792016166</v>
      </c>
      <c r="W159">
        <v>154</v>
      </c>
      <c r="X159">
        <v>1.2094130000000001</v>
      </c>
      <c r="Y159">
        <v>18973.470496999998</v>
      </c>
      <c r="Z159">
        <f t="shared" si="20"/>
        <v>15688.164834510624</v>
      </c>
    </row>
    <row r="160" spans="12:26" x14ac:dyDescent="0.55000000000000004">
      <c r="L160">
        <v>155</v>
      </c>
      <c r="M160">
        <v>4.0757620000000001</v>
      </c>
      <c r="N160">
        <v>62377.089709</v>
      </c>
      <c r="O160">
        <f t="shared" si="19"/>
        <v>15304.399449477178</v>
      </c>
      <c r="W160">
        <v>155</v>
      </c>
      <c r="X160">
        <v>1.205795</v>
      </c>
      <c r="Y160">
        <v>18818.235631</v>
      </c>
      <c r="Z160">
        <f t="shared" si="20"/>
        <v>15606.496652416041</v>
      </c>
    </row>
    <row r="161" spans="12:26" x14ac:dyDescent="0.55000000000000004">
      <c r="L161">
        <v>156</v>
      </c>
      <c r="M161">
        <v>4.0506140000000004</v>
      </c>
      <c r="N161">
        <v>62066.833768999997</v>
      </c>
      <c r="O161">
        <f t="shared" si="19"/>
        <v>15322.821125143</v>
      </c>
      <c r="W161">
        <v>156</v>
      </c>
      <c r="X161">
        <v>1.2022699999999999</v>
      </c>
      <c r="Y161">
        <v>18664.302833000002</v>
      </c>
      <c r="Z161">
        <f t="shared" si="20"/>
        <v>15524.219046470429</v>
      </c>
    </row>
    <row r="162" spans="12:26" x14ac:dyDescent="0.55000000000000004">
      <c r="L162">
        <v>157</v>
      </c>
      <c r="M162">
        <v>4.0259130000000001</v>
      </c>
      <c r="N162">
        <v>61760.026489999997</v>
      </c>
      <c r="O162">
        <f t="shared" si="19"/>
        <v>15340.626210750206</v>
      </c>
      <c r="W162">
        <v>157</v>
      </c>
      <c r="X162">
        <v>1.1987939999999999</v>
      </c>
      <c r="Y162">
        <v>18511.654727000001</v>
      </c>
      <c r="Z162">
        <f t="shared" si="20"/>
        <v>15441.898046703605</v>
      </c>
    </row>
    <row r="163" spans="12:26" x14ac:dyDescent="0.55000000000000004">
      <c r="L163">
        <v>158</v>
      </c>
      <c r="M163">
        <v>4.0015559999999999</v>
      </c>
      <c r="N163">
        <v>61456.499012</v>
      </c>
      <c r="O163">
        <f t="shared" si="19"/>
        <v>15358.150432481765</v>
      </c>
      <c r="W163">
        <v>158</v>
      </c>
      <c r="X163">
        <v>1.195325</v>
      </c>
      <c r="Y163">
        <v>18360.274077999999</v>
      </c>
      <c r="Z163">
        <f t="shared" si="20"/>
        <v>15360.068665844017</v>
      </c>
    </row>
    <row r="164" spans="12:26" x14ac:dyDescent="0.55000000000000004">
      <c r="L164">
        <v>159</v>
      </c>
      <c r="M164">
        <v>3.9774449999999999</v>
      </c>
      <c r="N164">
        <v>61156.087442999997</v>
      </c>
      <c r="O164">
        <f t="shared" si="19"/>
        <v>15375.721711551008</v>
      </c>
      <c r="W164">
        <v>159</v>
      </c>
      <c r="X164">
        <v>1.1918219999999999</v>
      </c>
      <c r="Y164">
        <v>18210.143805</v>
      </c>
      <c r="Z164">
        <f t="shared" si="20"/>
        <v>15279.247912020419</v>
      </c>
    </row>
    <row r="165" spans="12:26" x14ac:dyDescent="0.55000000000000004">
      <c r="L165">
        <v>160</v>
      </c>
      <c r="M165">
        <v>3.9534859999999998</v>
      </c>
      <c r="N165">
        <v>60858.633244999997</v>
      </c>
      <c r="O165">
        <f t="shared" si="19"/>
        <v>15393.663527580469</v>
      </c>
      <c r="W165">
        <v>160</v>
      </c>
      <c r="X165">
        <v>1.1882470000000001</v>
      </c>
      <c r="Y165">
        <v>18061.246986999999</v>
      </c>
      <c r="Z165">
        <f t="shared" si="20"/>
        <v>15199.909603811328</v>
      </c>
    </row>
    <row r="166" spans="12:26" x14ac:dyDescent="0.55000000000000004">
      <c r="L166">
        <v>161</v>
      </c>
      <c r="M166">
        <v>3.929589</v>
      </c>
      <c r="N166">
        <v>60563.983606000002</v>
      </c>
      <c r="O166">
        <f t="shared" si="19"/>
        <v>15412.294671529262</v>
      </c>
      <c r="W166">
        <v>161</v>
      </c>
      <c r="X166">
        <v>1.184563</v>
      </c>
      <c r="Y166">
        <v>17913.566883</v>
      </c>
      <c r="Z166">
        <f t="shared" si="20"/>
        <v>15122.510903176952</v>
      </c>
    </row>
    <row r="167" spans="12:26" x14ac:dyDescent="0.55000000000000004">
      <c r="L167">
        <v>162</v>
      </c>
      <c r="M167">
        <v>3.9056649999999999</v>
      </c>
      <c r="N167">
        <v>60271.991797000002</v>
      </c>
      <c r="O167">
        <f t="shared" si="19"/>
        <v>15431.94098751429</v>
      </c>
      <c r="W167">
        <v>162</v>
      </c>
      <c r="X167">
        <v>1.180736</v>
      </c>
      <c r="Y167">
        <v>17767.086933999999</v>
      </c>
      <c r="Z167">
        <f t="shared" si="20"/>
        <v>15047.467794663666</v>
      </c>
    </row>
    <row r="168" spans="12:26" x14ac:dyDescent="0.55000000000000004">
      <c r="L168">
        <v>163</v>
      </c>
      <c r="M168">
        <v>3.8816329999999999</v>
      </c>
      <c r="N168">
        <v>59982.517504000003</v>
      </c>
      <c r="O168">
        <f t="shared" si="19"/>
        <v>15452.907965281624</v>
      </c>
      <c r="W168">
        <v>163</v>
      </c>
      <c r="X168">
        <v>1.1767300000000001</v>
      </c>
      <c r="Y168">
        <v>17621.790781</v>
      </c>
      <c r="Z168">
        <f t="shared" si="20"/>
        <v>14975.220127811817</v>
      </c>
    </row>
    <row r="169" spans="12:26" x14ac:dyDescent="0.55000000000000004">
      <c r="L169">
        <v>164</v>
      </c>
      <c r="M169">
        <v>3.857415</v>
      </c>
      <c r="N169">
        <v>59695.427155999998</v>
      </c>
      <c r="O169">
        <f t="shared" si="19"/>
        <v>15475.500343105421</v>
      </c>
      <c r="W169">
        <v>164</v>
      </c>
      <c r="X169">
        <v>1.1725140000000001</v>
      </c>
      <c r="Y169">
        <v>17477.662271000001</v>
      </c>
      <c r="Z169">
        <f t="shared" si="20"/>
        <v>14906.143782504943</v>
      </c>
    </row>
    <row r="170" spans="12:26" x14ac:dyDescent="0.55000000000000004">
      <c r="L170">
        <v>165</v>
      </c>
      <c r="M170">
        <v>3.832938</v>
      </c>
      <c r="N170">
        <v>59410.594222</v>
      </c>
      <c r="O170">
        <f t="shared" si="19"/>
        <v>15500.014407224953</v>
      </c>
      <c r="W170">
        <v>165</v>
      </c>
      <c r="X170">
        <v>1.1680569999999999</v>
      </c>
      <c r="Y170">
        <v>17334.685471000001</v>
      </c>
      <c r="Z170">
        <f t="shared" si="20"/>
        <v>14840.616058120453</v>
      </c>
    </row>
    <row r="171" spans="12:26" x14ac:dyDescent="0.55000000000000004">
      <c r="L171">
        <v>166</v>
      </c>
      <c r="M171">
        <v>3.8081320000000001</v>
      </c>
      <c r="N171">
        <v>59127.899494999998</v>
      </c>
      <c r="O171">
        <f t="shared" si="19"/>
        <v>15526.746314203394</v>
      </c>
      <c r="W171">
        <v>166</v>
      </c>
      <c r="X171">
        <v>1.1633279999999999</v>
      </c>
      <c r="Y171">
        <v>17192.844675</v>
      </c>
      <c r="Z171">
        <f t="shared" si="20"/>
        <v>14779.017332171152</v>
      </c>
    </row>
    <row r="172" spans="12:26" x14ac:dyDescent="0.55000000000000004">
      <c r="L172">
        <v>167</v>
      </c>
      <c r="M172">
        <v>3.7829350000000002</v>
      </c>
      <c r="N172">
        <v>58847.231350000002</v>
      </c>
      <c r="O172">
        <f t="shared" si="19"/>
        <v>15555.972108957727</v>
      </c>
      <c r="W172">
        <v>167</v>
      </c>
      <c r="X172">
        <v>1.158301</v>
      </c>
      <c r="Y172">
        <v>17052.124414000002</v>
      </c>
      <c r="Z172">
        <f t="shared" si="20"/>
        <v>14721.669422714822</v>
      </c>
    </row>
    <row r="173" spans="12:26" x14ac:dyDescent="0.55000000000000004">
      <c r="L173">
        <v>168</v>
      </c>
      <c r="M173">
        <v>3.7572860000000001</v>
      </c>
      <c r="N173">
        <v>58568.485988</v>
      </c>
      <c r="O173">
        <f t="shared" si="19"/>
        <v>15587.976530932166</v>
      </c>
      <c r="W173">
        <v>168</v>
      </c>
      <c r="X173">
        <v>1.1529469999999999</v>
      </c>
      <c r="Y173">
        <v>16912.509467</v>
      </c>
      <c r="Z173">
        <f t="shared" si="20"/>
        <v>14668.939220102919</v>
      </c>
    </row>
    <row r="174" spans="12:26" x14ac:dyDescent="0.55000000000000004">
      <c r="L174">
        <v>169</v>
      </c>
      <c r="M174">
        <v>3.731131</v>
      </c>
      <c r="N174">
        <v>58291.567647999997</v>
      </c>
      <c r="O174">
        <f t="shared" si="19"/>
        <v>15623.028955027308</v>
      </c>
      <c r="W174">
        <v>169</v>
      </c>
      <c r="X174">
        <v>1.147241</v>
      </c>
      <c r="Y174">
        <v>16773.984868</v>
      </c>
      <c r="Z174">
        <f t="shared" si="20"/>
        <v>14621.151848652549</v>
      </c>
    </row>
    <row r="175" spans="12:26" x14ac:dyDescent="0.55000000000000004">
      <c r="L175">
        <v>170</v>
      </c>
      <c r="M175">
        <v>3.7044229999999998</v>
      </c>
      <c r="N175">
        <v>58016.388805000002</v>
      </c>
      <c r="O175">
        <f t="shared" si="19"/>
        <v>15661.383380083755</v>
      </c>
      <c r="W175">
        <v>170</v>
      </c>
      <c r="X175">
        <v>1.14116</v>
      </c>
      <c r="Y175">
        <v>16636.535918000001</v>
      </c>
      <c r="Z175">
        <f t="shared" si="20"/>
        <v>14578.61817624172</v>
      </c>
    </row>
    <row r="176" spans="12:26" x14ac:dyDescent="0.55000000000000004">
      <c r="L176">
        <v>171</v>
      </c>
      <c r="M176">
        <v>3.6771159999999998</v>
      </c>
      <c r="N176">
        <v>57742.870339000001</v>
      </c>
      <c r="O176">
        <f t="shared" si="19"/>
        <v>15703.303985786688</v>
      </c>
      <c r="W176">
        <v>171</v>
      </c>
      <c r="X176">
        <v>1.1346810000000001</v>
      </c>
      <c r="Y176">
        <v>16500.148184999998</v>
      </c>
      <c r="Z176">
        <f t="shared" si="20"/>
        <v>14541.662533346374</v>
      </c>
    </row>
    <row r="177" spans="12:26" x14ac:dyDescent="0.55000000000000004">
      <c r="L177">
        <v>172</v>
      </c>
      <c r="M177">
        <v>3.6491720000000001</v>
      </c>
      <c r="N177">
        <v>57470.941680999997</v>
      </c>
      <c r="O177">
        <f t="shared" si="19"/>
        <v>15749.036132306177</v>
      </c>
      <c r="W177">
        <v>172</v>
      </c>
      <c r="X177">
        <v>1.127783</v>
      </c>
      <c r="Y177">
        <v>16364.807522999999</v>
      </c>
      <c r="Z177">
        <f t="shared" si="20"/>
        <v>14510.599577223633</v>
      </c>
    </row>
    <row r="178" spans="12:26" x14ac:dyDescent="0.55000000000000004">
      <c r="L178">
        <v>173</v>
      </c>
      <c r="M178">
        <v>3.6205579999999999</v>
      </c>
      <c r="N178">
        <v>57200.540939999999</v>
      </c>
      <c r="O178">
        <f t="shared" si="19"/>
        <v>15798.819115727465</v>
      </c>
      <c r="W178">
        <v>173</v>
      </c>
      <c r="X178">
        <v>1.1204480000000001</v>
      </c>
      <c r="Y178">
        <v>16230.50007</v>
      </c>
      <c r="Z178">
        <f t="shared" si="20"/>
        <v>14485.72363019078</v>
      </c>
    </row>
    <row r="179" spans="12:26" x14ac:dyDescent="0.55000000000000004">
      <c r="L179">
        <v>174</v>
      </c>
      <c r="M179">
        <v>3.5912459999999999</v>
      </c>
      <c r="N179">
        <v>56931.614994000003</v>
      </c>
      <c r="O179">
        <f t="shared" si="19"/>
        <v>15852.886433844968</v>
      </c>
      <c r="W179">
        <v>174</v>
      </c>
      <c r="X179">
        <v>1.1126590000000001</v>
      </c>
      <c r="Y179">
        <v>16097.212256999999</v>
      </c>
      <c r="Z179">
        <f t="shared" si="20"/>
        <v>14467.336584703848</v>
      </c>
    </row>
    <row r="180" spans="12:26" x14ac:dyDescent="0.55000000000000004">
      <c r="L180">
        <v>175</v>
      </c>
      <c r="M180">
        <v>3.5612119999999998</v>
      </c>
      <c r="N180">
        <v>56664.119572000003</v>
      </c>
      <c r="O180">
        <f t="shared" si="19"/>
        <v>15911.470469042564</v>
      </c>
      <c r="W180">
        <v>175</v>
      </c>
      <c r="X180">
        <v>1.104401</v>
      </c>
      <c r="Y180">
        <v>15964.930817</v>
      </c>
      <c r="Z180">
        <f t="shared" si="20"/>
        <v>14455.737378904945</v>
      </c>
    </row>
    <row r="181" spans="12:26" x14ac:dyDescent="0.55000000000000004">
      <c r="L181">
        <v>176</v>
      </c>
      <c r="M181">
        <v>3.5304389999999999</v>
      </c>
      <c r="N181">
        <v>56398.019293999998</v>
      </c>
      <c r="O181">
        <f t="shared" si="19"/>
        <v>15974.789337529979</v>
      </c>
      <c r="W181">
        <v>176</v>
      </c>
      <c r="X181">
        <v>1.095661</v>
      </c>
      <c r="Y181">
        <v>15833.642787999999</v>
      </c>
      <c r="Z181">
        <f t="shared" si="20"/>
        <v>14451.224227201661</v>
      </c>
    </row>
    <row r="182" spans="12:26" x14ac:dyDescent="0.55000000000000004">
      <c r="L182">
        <v>177</v>
      </c>
      <c r="M182">
        <v>3.4989159999999999</v>
      </c>
      <c r="N182">
        <v>56133.287698</v>
      </c>
      <c r="O182">
        <f t="shared" si="19"/>
        <v>16043.050961497791</v>
      </c>
      <c r="W182">
        <v>177</v>
      </c>
      <c r="X182">
        <v>1.0864279999999999</v>
      </c>
      <c r="Y182">
        <v>15703.335518</v>
      </c>
      <c r="Z182">
        <f t="shared" si="20"/>
        <v>14454.096836605831</v>
      </c>
    </row>
    <row r="183" spans="12:26" x14ac:dyDescent="0.55000000000000004">
      <c r="L183">
        <v>178</v>
      </c>
      <c r="M183">
        <v>3.466634</v>
      </c>
      <c r="N183">
        <v>55869.907242000001</v>
      </c>
      <c r="O183">
        <f t="shared" si="19"/>
        <v>16116.471263479214</v>
      </c>
      <c r="W183">
        <v>178</v>
      </c>
      <c r="X183">
        <v>1.076694</v>
      </c>
      <c r="Y183">
        <v>15573.996671999999</v>
      </c>
      <c r="Z183">
        <f t="shared" si="20"/>
        <v>14464.645174952213</v>
      </c>
    </row>
    <row r="184" spans="12:26" x14ac:dyDescent="0.55000000000000004">
      <c r="L184">
        <v>179</v>
      </c>
      <c r="M184">
        <v>3.433592</v>
      </c>
      <c r="N184">
        <v>55607.869269000003</v>
      </c>
      <c r="O184">
        <f t="shared" si="19"/>
        <v>16195.246630642197</v>
      </c>
      <c r="W184">
        <v>179</v>
      </c>
      <c r="X184">
        <v>1.0664530000000001</v>
      </c>
      <c r="Y184">
        <v>15445.614233</v>
      </c>
      <c r="Z184">
        <f t="shared" si="20"/>
        <v>14483.164502326872</v>
      </c>
    </row>
    <row r="185" spans="12:26" x14ac:dyDescent="0.55000000000000004">
      <c r="L185">
        <v>180</v>
      </c>
      <c r="M185">
        <v>3.399794</v>
      </c>
      <c r="N185">
        <v>55347.173967000002</v>
      </c>
      <c r="O185">
        <f t="shared" si="19"/>
        <v>16279.566928760978</v>
      </c>
      <c r="W185">
        <v>180</v>
      </c>
      <c r="X185">
        <v>1.0557030000000001</v>
      </c>
      <c r="Y185">
        <v>15318.176507</v>
      </c>
      <c r="Z185">
        <f t="shared" si="20"/>
        <v>14509.929882741642</v>
      </c>
    </row>
    <row r="186" spans="12:26" x14ac:dyDescent="0.55000000000000004">
      <c r="L186">
        <v>181</v>
      </c>
      <c r="M186">
        <v>3.3652489999999999</v>
      </c>
      <c r="N186">
        <v>55087.830285999997</v>
      </c>
      <c r="O186">
        <f t="shared" si="19"/>
        <v>16369.614933694356</v>
      </c>
      <c r="W186">
        <v>181</v>
      </c>
      <c r="X186">
        <v>1.0444420000000001</v>
      </c>
      <c r="Y186">
        <v>15191.672128</v>
      </c>
      <c r="Z186">
        <f t="shared" si="20"/>
        <v>14545.252036972852</v>
      </c>
    </row>
    <row r="187" spans="12:26" x14ac:dyDescent="0.55000000000000004">
      <c r="L187">
        <v>182</v>
      </c>
      <c r="M187">
        <v>3.329968</v>
      </c>
      <c r="N187">
        <v>54829.855840999997</v>
      </c>
      <c r="O187">
        <f t="shared" si="19"/>
        <v>16465.580402274136</v>
      </c>
      <c r="W187">
        <v>182</v>
      </c>
      <c r="X187">
        <v>1.0326740000000001</v>
      </c>
      <c r="Y187">
        <v>15066.090055999999</v>
      </c>
      <c r="Z187">
        <f t="shared" si="20"/>
        <v>14589.396126948095</v>
      </c>
    </row>
    <row r="188" spans="12:26" x14ac:dyDescent="0.55000000000000004">
      <c r="L188">
        <v>183</v>
      </c>
      <c r="M188">
        <v>3.2939720000000001</v>
      </c>
      <c r="N188">
        <v>54573.276791999997</v>
      </c>
      <c r="O188">
        <f t="shared" si="19"/>
        <v>16567.620123061155</v>
      </c>
      <c r="W188">
        <v>183</v>
      </c>
      <c r="X188">
        <v>1.0204029999999999</v>
      </c>
      <c r="Y188">
        <v>14941.419583000001</v>
      </c>
      <c r="Z188">
        <f t="shared" si="20"/>
        <v>14642.665283226335</v>
      </c>
    </row>
    <row r="189" spans="12:26" x14ac:dyDescent="0.55000000000000004">
      <c r="L189">
        <v>184</v>
      </c>
      <c r="M189">
        <v>3.2572830000000002</v>
      </c>
      <c r="N189">
        <v>54318.127697999997</v>
      </c>
      <c r="O189">
        <f t="shared" si="19"/>
        <v>16675.900650327279</v>
      </c>
      <c r="W189">
        <v>184</v>
      </c>
      <c r="X189">
        <v>1.0076369999999999</v>
      </c>
      <c r="Y189">
        <v>14817.650333</v>
      </c>
      <c r="Z189">
        <f t="shared" si="20"/>
        <v>14705.34560858722</v>
      </c>
    </row>
    <row r="190" spans="12:26" x14ac:dyDescent="0.55000000000000004">
      <c r="L190">
        <v>185</v>
      </c>
      <c r="M190">
        <v>3.219929</v>
      </c>
      <c r="N190">
        <v>54064.451351000003</v>
      </c>
      <c r="O190">
        <f t="shared" si="19"/>
        <v>16790.572509828635</v>
      </c>
      <c r="W190">
        <v>185</v>
      </c>
      <c r="X190">
        <v>0.99438800000000005</v>
      </c>
      <c r="Y190">
        <v>14694.77226</v>
      </c>
      <c r="Z190">
        <f t="shared" si="20"/>
        <v>14777.70473899524</v>
      </c>
    </row>
    <row r="191" spans="12:26" x14ac:dyDescent="0.55000000000000004">
      <c r="L191">
        <v>186</v>
      </c>
      <c r="M191">
        <v>3.181943</v>
      </c>
      <c r="N191">
        <v>53812.298583000003</v>
      </c>
      <c r="O191">
        <f t="shared" si="19"/>
        <v>16911.77327280847</v>
      </c>
      <c r="W191">
        <v>186</v>
      </c>
      <c r="X191">
        <v>0.98066900000000001</v>
      </c>
      <c r="Y191">
        <v>14572.775653999999</v>
      </c>
      <c r="Z191">
        <f t="shared" si="20"/>
        <v>14860.03499039941</v>
      </c>
    </row>
    <row r="192" spans="12:26" x14ac:dyDescent="0.55000000000000004">
      <c r="L192">
        <v>187</v>
      </c>
      <c r="M192">
        <v>3.1433620000000002</v>
      </c>
      <c r="N192">
        <v>53561.728064000003</v>
      </c>
      <c r="O192">
        <f t="shared" si="19"/>
        <v>17039.630836028431</v>
      </c>
      <c r="W192">
        <v>187</v>
      </c>
      <c r="X192">
        <v>0.96649600000000002</v>
      </c>
      <c r="Y192">
        <v>14451.651135</v>
      </c>
      <c r="Z192">
        <f t="shared" si="20"/>
        <v>14952.623844278714</v>
      </c>
    </row>
    <row r="193" spans="12:26" x14ac:dyDescent="0.55000000000000004">
      <c r="L193">
        <v>188</v>
      </c>
      <c r="M193">
        <v>3.1042260000000002</v>
      </c>
      <c r="N193">
        <v>53312.806067999998</v>
      </c>
      <c r="O193">
        <f t="shared" si="19"/>
        <v>17174.266972829941</v>
      </c>
      <c r="W193">
        <v>188</v>
      </c>
      <c r="X193">
        <v>0.95189100000000004</v>
      </c>
      <c r="Y193">
        <v>14331.389655000001</v>
      </c>
      <c r="Z193">
        <f t="shared" si="20"/>
        <v>15055.704544953151</v>
      </c>
    </row>
    <row r="194" spans="12:26" x14ac:dyDescent="0.55000000000000004">
      <c r="L194">
        <v>189</v>
      </c>
      <c r="M194">
        <v>3.0645790000000002</v>
      </c>
      <c r="N194">
        <v>53065.606226000004</v>
      </c>
      <c r="O194">
        <f t="shared" si="19"/>
        <v>17315.789942435811</v>
      </c>
      <c r="W194">
        <v>189</v>
      </c>
      <c r="X194">
        <v>0.93687399999999998</v>
      </c>
      <c r="Y194">
        <v>14211.982497000001</v>
      </c>
      <c r="Z194">
        <f t="shared" si="20"/>
        <v>15169.577229168492</v>
      </c>
    </row>
    <row r="195" spans="12:26" x14ac:dyDescent="0.55000000000000004">
      <c r="L195">
        <v>190</v>
      </c>
      <c r="M195">
        <v>3.0244719999999998</v>
      </c>
      <c r="N195">
        <v>52820.209261999997</v>
      </c>
      <c r="O195">
        <f t="shared" si="19"/>
        <v>17464.274512047061</v>
      </c>
      <c r="W195">
        <v>190</v>
      </c>
      <c r="X195">
        <v>0.92147100000000004</v>
      </c>
      <c r="Y195">
        <v>14093.421268</v>
      </c>
      <c r="Z195">
        <f t="shared" si="20"/>
        <v>15294.481614722547</v>
      </c>
    </row>
    <row r="196" spans="12:26" x14ac:dyDescent="0.55000000000000004">
      <c r="L196">
        <v>191</v>
      </c>
      <c r="M196">
        <v>2.9839549999999999</v>
      </c>
      <c r="N196">
        <v>52576.702706999997</v>
      </c>
      <c r="O196">
        <f t="shared" si="19"/>
        <v>17619.804154888396</v>
      </c>
      <c r="W196">
        <v>191</v>
      </c>
      <c r="X196">
        <v>0.90571100000000004</v>
      </c>
      <c r="Y196">
        <v>13975.697905999999</v>
      </c>
      <c r="Z196">
        <f t="shared" si="20"/>
        <v>15430.637262879658</v>
      </c>
    </row>
    <row r="197" spans="12:26" x14ac:dyDescent="0.55000000000000004">
      <c r="L197">
        <v>192</v>
      </c>
      <c r="M197">
        <v>2.9430839999999998</v>
      </c>
      <c r="N197">
        <v>52335.180604000001</v>
      </c>
      <c r="O197">
        <f t="shared" si="19"/>
        <v>17782.428433575122</v>
      </c>
      <c r="W197">
        <v>192</v>
      </c>
      <c r="X197">
        <v>0.88962200000000002</v>
      </c>
      <c r="Y197">
        <v>13858.804668000001</v>
      </c>
      <c r="Z197">
        <f t="shared" si="20"/>
        <v>15578.307042766479</v>
      </c>
    </row>
    <row r="198" spans="12:26" x14ac:dyDescent="0.55000000000000004">
      <c r="L198">
        <v>193</v>
      </c>
      <c r="M198">
        <v>2.9019180000000002</v>
      </c>
      <c r="N198">
        <v>52095.743192000002</v>
      </c>
      <c r="O198">
        <f t="shared" ref="O198:O261" si="21">N198/M198</f>
        <v>17952.176178651498</v>
      </c>
      <c r="W198">
        <v>193</v>
      </c>
      <c r="X198">
        <v>0.87323799999999996</v>
      </c>
      <c r="Y198">
        <v>13742.734128</v>
      </c>
      <c r="Z198">
        <f t="shared" si="20"/>
        <v>15737.673037591127</v>
      </c>
    </row>
    <row r="199" spans="12:26" x14ac:dyDescent="0.55000000000000004">
      <c r="L199">
        <v>194</v>
      </c>
      <c r="M199">
        <v>2.8605160000000001</v>
      </c>
      <c r="N199">
        <v>51858.496579999999</v>
      </c>
      <c r="O199">
        <f t="shared" si="21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22">Y199/X199</f>
        <v>15908.912717109857</v>
      </c>
    </row>
    <row r="200" spans="12:26" x14ac:dyDescent="0.55000000000000004">
      <c r="L200">
        <v>195</v>
      </c>
      <c r="M200">
        <v>2.818943</v>
      </c>
      <c r="N200">
        <v>51623.552425000002</v>
      </c>
      <c r="O200">
        <f t="shared" si="21"/>
        <v>18313.088425342408</v>
      </c>
      <c r="W200">
        <v>195</v>
      </c>
      <c r="X200">
        <v>0.83972400000000003</v>
      </c>
      <c r="Y200">
        <v>13513.033020000001</v>
      </c>
      <c r="Z200">
        <f t="shared" si="22"/>
        <v>16092.231518927649</v>
      </c>
    </row>
    <row r="201" spans="12:26" x14ac:dyDescent="0.55000000000000004">
      <c r="L201">
        <v>196</v>
      </c>
      <c r="M201">
        <v>2.777263</v>
      </c>
      <c r="N201">
        <v>51391.027418999998</v>
      </c>
      <c r="O201">
        <f t="shared" si="21"/>
        <v>18504.199069011469</v>
      </c>
      <c r="W201">
        <v>196</v>
      </c>
      <c r="X201">
        <v>0.82266799999999995</v>
      </c>
      <c r="Y201">
        <v>13399.38917</v>
      </c>
      <c r="Z201">
        <f t="shared" si="22"/>
        <v>16287.723808389292</v>
      </c>
    </row>
    <row r="202" spans="12:26" x14ac:dyDescent="0.55000000000000004">
      <c r="L202">
        <v>197</v>
      </c>
      <c r="M202">
        <v>2.7355450000000001</v>
      </c>
      <c r="N202">
        <v>51161.043508000002</v>
      </c>
      <c r="O202">
        <f t="shared" si="21"/>
        <v>18702.322026506601</v>
      </c>
      <c r="W202">
        <v>197</v>
      </c>
      <c r="X202">
        <v>0.80546499999999999</v>
      </c>
      <c r="Y202">
        <v>13286.541397000001</v>
      </c>
      <c r="Z202">
        <f t="shared" si="22"/>
        <v>16495.491917091371</v>
      </c>
    </row>
    <row r="203" spans="12:26" x14ac:dyDescent="0.55000000000000004">
      <c r="L203">
        <v>198</v>
      </c>
      <c r="M203">
        <v>2.6938569999999999</v>
      </c>
      <c r="N203">
        <v>50933.732666000004</v>
      </c>
      <c r="O203">
        <f t="shared" si="21"/>
        <v>18907.363184460053</v>
      </c>
      <c r="W203">
        <v>198</v>
      </c>
      <c r="X203">
        <v>0.78815500000000005</v>
      </c>
      <c r="Y203">
        <v>13174.483039999999</v>
      </c>
      <c r="Z203">
        <f t="shared" si="22"/>
        <v>16715.599139763115</v>
      </c>
    </row>
    <row r="204" spans="12:26" x14ac:dyDescent="0.55000000000000004">
      <c r="L204">
        <v>199</v>
      </c>
      <c r="M204">
        <v>2.6522549999999998</v>
      </c>
      <c r="N204">
        <v>50709.118277000001</v>
      </c>
      <c r="O204">
        <f t="shared" si="21"/>
        <v>19119.246934024068</v>
      </c>
      <c r="W204">
        <v>199</v>
      </c>
      <c r="X204">
        <v>0.77077899999999999</v>
      </c>
      <c r="Y204">
        <v>13063.222252</v>
      </c>
      <c r="Z204">
        <f t="shared" si="22"/>
        <v>16948.07753195144</v>
      </c>
    </row>
    <row r="205" spans="12:26" x14ac:dyDescent="0.55000000000000004">
      <c r="L205">
        <v>200</v>
      </c>
      <c r="M205">
        <v>2.610948</v>
      </c>
      <c r="N205">
        <v>50488.361886999999</v>
      </c>
      <c r="O205">
        <f t="shared" si="21"/>
        <v>19337.176338632558</v>
      </c>
      <c r="W205">
        <v>200</v>
      </c>
      <c r="X205">
        <v>0.75337900000000002</v>
      </c>
      <c r="Y205">
        <v>12952.621166999999</v>
      </c>
      <c r="Z205">
        <f t="shared" si="22"/>
        <v>17192.70269943813</v>
      </c>
    </row>
    <row r="206" spans="12:26" x14ac:dyDescent="0.55000000000000004">
      <c r="L206">
        <v>201</v>
      </c>
      <c r="M206">
        <v>2.5692170000000001</v>
      </c>
      <c r="N206">
        <v>50265.693751999999</v>
      </c>
      <c r="O206">
        <f t="shared" si="21"/>
        <v>19564.596432298244</v>
      </c>
      <c r="W206">
        <v>201</v>
      </c>
      <c r="X206">
        <v>0.73600299999999996</v>
      </c>
      <c r="Y206">
        <v>12843.436653999999</v>
      </c>
      <c r="Z206">
        <f t="shared" si="22"/>
        <v>17450.250412022779</v>
      </c>
    </row>
    <row r="207" spans="12:26" x14ac:dyDescent="0.55000000000000004">
      <c r="L207">
        <v>202</v>
      </c>
      <c r="M207">
        <v>2.5272790000000001</v>
      </c>
      <c r="N207">
        <v>50042.302509000001</v>
      </c>
      <c r="O207">
        <f t="shared" si="21"/>
        <v>19800.861918688042</v>
      </c>
      <c r="W207">
        <v>202</v>
      </c>
      <c r="X207">
        <v>0.71869000000000005</v>
      </c>
      <c r="Y207">
        <v>12735.52606</v>
      </c>
      <c r="Z207">
        <f t="shared" si="22"/>
        <v>17720.472053319234</v>
      </c>
    </row>
    <row r="208" spans="12:26" x14ac:dyDescent="0.55000000000000004">
      <c r="L208">
        <v>203</v>
      </c>
      <c r="M208">
        <v>2.485201</v>
      </c>
      <c r="N208">
        <v>49818.240232999997</v>
      </c>
      <c r="O208">
        <f t="shared" si="21"/>
        <v>20045.960158956961</v>
      </c>
      <c r="W208">
        <v>203</v>
      </c>
      <c r="X208">
        <v>0.70148299999999997</v>
      </c>
      <c r="Y208">
        <v>12628.894340000001</v>
      </c>
      <c r="Z208">
        <f t="shared" si="22"/>
        <v>18003.136697539358</v>
      </c>
    </row>
    <row r="209" spans="12:26" x14ac:dyDescent="0.55000000000000004">
      <c r="L209">
        <v>204</v>
      </c>
      <c r="M209">
        <v>2.443063</v>
      </c>
      <c r="N209">
        <v>49593.673661000001</v>
      </c>
      <c r="O209">
        <f t="shared" si="21"/>
        <v>20299.793194444843</v>
      </c>
      <c r="W209">
        <v>204</v>
      </c>
      <c r="X209">
        <v>0.68442099999999995</v>
      </c>
      <c r="Y209">
        <v>12523.532095</v>
      </c>
      <c r="Z209">
        <f t="shared" si="22"/>
        <v>18297.995086357667</v>
      </c>
    </row>
    <row r="210" spans="12:26" x14ac:dyDescent="0.55000000000000004">
      <c r="L210">
        <v>205</v>
      </c>
      <c r="M210">
        <v>2.400941</v>
      </c>
      <c r="N210">
        <v>49368.765057999997</v>
      </c>
      <c r="O210">
        <f t="shared" si="21"/>
        <v>20562.256656036112</v>
      </c>
      <c r="W210">
        <v>205</v>
      </c>
      <c r="X210">
        <v>0.66754400000000003</v>
      </c>
      <c r="Y210">
        <v>12419.430931000001</v>
      </c>
      <c r="Z210">
        <f t="shared" si="22"/>
        <v>18604.662660438862</v>
      </c>
    </row>
    <row r="211" spans="12:26" x14ac:dyDescent="0.55000000000000004">
      <c r="L211">
        <v>206</v>
      </c>
      <c r="M211">
        <v>2.358914</v>
      </c>
      <c r="N211">
        <v>49143.676980999997</v>
      </c>
      <c r="O211">
        <f t="shared" si="21"/>
        <v>20833.178734366746</v>
      </c>
      <c r="W211">
        <v>206</v>
      </c>
      <c r="X211">
        <v>0.650891</v>
      </c>
      <c r="Y211">
        <v>12316.582778</v>
      </c>
      <c r="Z211">
        <f t="shared" si="22"/>
        <v>18922.65030243159</v>
      </c>
    </row>
    <row r="212" spans="12:26" x14ac:dyDescent="0.55000000000000004">
      <c r="L212">
        <v>207</v>
      </c>
      <c r="M212">
        <v>2.317056</v>
      </c>
      <c r="N212">
        <v>48918.572453000001</v>
      </c>
      <c r="O212">
        <f t="shared" si="21"/>
        <v>21112.382459897388</v>
      </c>
      <c r="W212">
        <v>207</v>
      </c>
      <c r="X212">
        <v>0.63449699999999998</v>
      </c>
      <c r="Y212">
        <v>12214.979808</v>
      </c>
      <c r="Z212">
        <f t="shared" si="22"/>
        <v>19251.43823847867</v>
      </c>
    </row>
    <row r="213" spans="12:26" x14ac:dyDescent="0.55000000000000004">
      <c r="L213">
        <v>208</v>
      </c>
      <c r="M213">
        <v>2.275439</v>
      </c>
      <c r="N213">
        <v>48693.614393999997</v>
      </c>
      <c r="O213">
        <f t="shared" si="21"/>
        <v>21399.657118472522</v>
      </c>
      <c r="W213">
        <v>208</v>
      </c>
      <c r="X213">
        <v>0.618398</v>
      </c>
      <c r="Y213">
        <v>12114.614448</v>
      </c>
      <c r="Z213">
        <f t="shared" si="22"/>
        <v>19590.319580593728</v>
      </c>
    </row>
    <row r="214" spans="12:26" x14ac:dyDescent="0.55000000000000004">
      <c r="L214">
        <v>209</v>
      </c>
      <c r="M214">
        <v>2.2341359999999999</v>
      </c>
      <c r="N214">
        <v>48468.965249000001</v>
      </c>
      <c r="O214">
        <f t="shared" si="21"/>
        <v>21694.724604500356</v>
      </c>
      <c r="W214">
        <v>209</v>
      </c>
      <c r="X214">
        <v>0.602626</v>
      </c>
      <c r="Y214">
        <v>12015.479367</v>
      </c>
      <c r="Z214">
        <f t="shared" si="22"/>
        <v>19938.534625124041</v>
      </c>
    </row>
    <row r="215" spans="12:26" x14ac:dyDescent="0.55000000000000004">
      <c r="L215">
        <v>210</v>
      </c>
      <c r="M215">
        <v>2.1932140000000002</v>
      </c>
      <c r="N215">
        <v>48244.786599999999</v>
      </c>
      <c r="O215">
        <f t="shared" si="21"/>
        <v>21997.300126663424</v>
      </c>
      <c r="W215">
        <v>210</v>
      </c>
      <c r="X215">
        <v>0.58721100000000004</v>
      </c>
      <c r="Y215">
        <v>11917.567464</v>
      </c>
      <c r="Z215">
        <f t="shared" si="22"/>
        <v>20295.204728794248</v>
      </c>
    </row>
    <row r="216" spans="12:26" x14ac:dyDescent="0.55000000000000004">
      <c r="L216">
        <v>211</v>
      </c>
      <c r="M216">
        <v>2.152739</v>
      </c>
      <c r="N216">
        <v>48021.238782</v>
      </c>
      <c r="O216">
        <f t="shared" si="21"/>
        <v>22307.041764932954</v>
      </c>
      <c r="W216">
        <v>211</v>
      </c>
      <c r="X216">
        <v>0.57218100000000005</v>
      </c>
      <c r="Y216">
        <v>11820.871868</v>
      </c>
      <c r="Z216">
        <f t="shared" si="22"/>
        <v>20659.322605958601</v>
      </c>
    </row>
    <row r="217" spans="12:26" x14ac:dyDescent="0.55000000000000004">
      <c r="L217">
        <v>212</v>
      </c>
      <c r="M217">
        <v>2.1127750000000001</v>
      </c>
      <c r="N217">
        <v>47798.480520999998</v>
      </c>
      <c r="O217">
        <f t="shared" si="21"/>
        <v>22623.554576800652</v>
      </c>
      <c r="W217">
        <v>212</v>
      </c>
      <c r="X217">
        <v>0.557562</v>
      </c>
      <c r="Y217">
        <v>11725.385920000001</v>
      </c>
      <c r="Z217">
        <f t="shared" si="22"/>
        <v>21029.743633891838</v>
      </c>
    </row>
    <row r="218" spans="12:26" x14ac:dyDescent="0.55000000000000004">
      <c r="L218">
        <v>213</v>
      </c>
      <c r="M218">
        <v>2.0733799999999998</v>
      </c>
      <c r="N218">
        <v>47576.668570000002</v>
      </c>
      <c r="O218">
        <f t="shared" si="21"/>
        <v>22946.429776500212</v>
      </c>
      <c r="W218">
        <v>213</v>
      </c>
      <c r="X218">
        <v>0.54337599999999997</v>
      </c>
      <c r="Y218">
        <v>11631.103166999999</v>
      </c>
      <c r="Z218">
        <f t="shared" si="22"/>
        <v>21405.257440520007</v>
      </c>
    </row>
    <row r="219" spans="12:26" x14ac:dyDescent="0.55000000000000004">
      <c r="L219">
        <v>214</v>
      </c>
      <c r="M219">
        <v>2.0346120000000001</v>
      </c>
      <c r="N219">
        <v>47355.957368000003</v>
      </c>
      <c r="O219">
        <f t="shared" si="21"/>
        <v>23275.178445816699</v>
      </c>
      <c r="W219">
        <v>214</v>
      </c>
      <c r="X219">
        <v>0.52964500000000003</v>
      </c>
      <c r="Y219">
        <v>11538.017355</v>
      </c>
      <c r="Z219">
        <f t="shared" si="22"/>
        <v>21784.435527570353</v>
      </c>
    </row>
    <row r="220" spans="12:26" x14ac:dyDescent="0.55000000000000004">
      <c r="L220">
        <v>215</v>
      </c>
      <c r="M220">
        <v>1.996523</v>
      </c>
      <c r="N220">
        <v>47136.498699999996</v>
      </c>
      <c r="O220">
        <f t="shared" si="21"/>
        <v>23609.294107806418</v>
      </c>
      <c r="W220">
        <v>215</v>
      </c>
      <c r="X220">
        <v>0.51638499999999998</v>
      </c>
      <c r="Y220">
        <v>11446.122416</v>
      </c>
      <c r="Z220">
        <f t="shared" si="22"/>
        <v>22165.869295196415</v>
      </c>
    </row>
    <row r="221" spans="12:26" x14ac:dyDescent="0.55000000000000004">
      <c r="L221">
        <v>216</v>
      </c>
      <c r="M221">
        <v>1.959163</v>
      </c>
      <c r="N221">
        <v>46918.441381999997</v>
      </c>
      <c r="O221">
        <f t="shared" si="21"/>
        <v>23948.207158873458</v>
      </c>
      <c r="W221">
        <v>216</v>
      </c>
      <c r="X221">
        <v>0.50361</v>
      </c>
      <c r="Y221">
        <v>11355.412461</v>
      </c>
      <c r="Z221">
        <f t="shared" si="22"/>
        <v>22548.028158694226</v>
      </c>
    </row>
    <row r="222" spans="12:26" x14ac:dyDescent="0.55000000000000004">
      <c r="L222">
        <v>217</v>
      </c>
      <c r="M222">
        <v>1.922577</v>
      </c>
      <c r="N222">
        <v>46701.930953000003</v>
      </c>
      <c r="O222">
        <f t="shared" si="21"/>
        <v>24291.318866812617</v>
      </c>
      <c r="W222">
        <v>217</v>
      </c>
      <c r="X222">
        <v>0.49133300000000002</v>
      </c>
      <c r="Y222">
        <v>11265.881772000001</v>
      </c>
      <c r="Z222">
        <f t="shared" si="22"/>
        <v>22929.218619551302</v>
      </c>
    </row>
    <row r="223" spans="12:26" x14ac:dyDescent="0.55000000000000004">
      <c r="L223">
        <v>218</v>
      </c>
      <c r="M223">
        <v>1.8868069999999999</v>
      </c>
      <c r="N223">
        <v>46487.109385000003</v>
      </c>
      <c r="O223">
        <f t="shared" si="21"/>
        <v>24637.978015239507</v>
      </c>
      <c r="W223">
        <v>218</v>
      </c>
      <c r="X223">
        <v>0.47956199999999999</v>
      </c>
      <c r="Y223">
        <v>11177.524789999999</v>
      </c>
      <c r="Z223">
        <f t="shared" si="22"/>
        <v>23307.778326889955</v>
      </c>
    </row>
    <row r="224" spans="12:26" x14ac:dyDescent="0.55000000000000004">
      <c r="L224">
        <v>219</v>
      </c>
      <c r="M224">
        <v>1.8518920000000001</v>
      </c>
      <c r="N224">
        <v>46274.114807999998</v>
      </c>
      <c r="O224">
        <f t="shared" si="21"/>
        <v>24987.480267747793</v>
      </c>
      <c r="W224">
        <v>219</v>
      </c>
      <c r="X224">
        <v>0.468304</v>
      </c>
      <c r="Y224">
        <v>11090.33611</v>
      </c>
      <c r="Z224">
        <f t="shared" si="22"/>
        <v>23681.916255253</v>
      </c>
    </row>
    <row r="225" spans="12:26" x14ac:dyDescent="0.55000000000000004">
      <c r="L225">
        <v>220</v>
      </c>
      <c r="M225">
        <v>1.8178639999999999</v>
      </c>
      <c r="N225">
        <v>46063.081250000003</v>
      </c>
      <c r="O225">
        <f t="shared" si="21"/>
        <v>25339.123966369323</v>
      </c>
      <c r="W225">
        <v>220</v>
      </c>
      <c r="X225">
        <v>0.45756200000000002</v>
      </c>
      <c r="Y225">
        <v>11004.310468</v>
      </c>
      <c r="Z225">
        <f t="shared" si="22"/>
        <v>24049.878416476891</v>
      </c>
    </row>
    <row r="226" spans="12:26" x14ac:dyDescent="0.55000000000000004">
      <c r="L226">
        <v>221</v>
      </c>
      <c r="M226">
        <v>1.7847550000000001</v>
      </c>
      <c r="N226">
        <v>45854.138398000003</v>
      </c>
      <c r="O226">
        <f t="shared" si="21"/>
        <v>25692.119309372996</v>
      </c>
      <c r="W226">
        <v>221</v>
      </c>
      <c r="X226">
        <v>0.44733699999999998</v>
      </c>
      <c r="Y226">
        <v>10919.442735000001</v>
      </c>
      <c r="Z226">
        <f t="shared" si="22"/>
        <v>24409.880548669127</v>
      </c>
    </row>
    <row r="227" spans="12:26" x14ac:dyDescent="0.55000000000000004">
      <c r="L227">
        <v>222</v>
      </c>
      <c r="M227">
        <v>1.752591</v>
      </c>
      <c r="N227">
        <v>45647.411371000002</v>
      </c>
      <c r="O227">
        <f t="shared" si="21"/>
        <v>26045.672590467486</v>
      </c>
      <c r="W227">
        <v>222</v>
      </c>
      <c r="X227">
        <v>0.43762699999999999</v>
      </c>
      <c r="Y227">
        <v>10835.727908999999</v>
      </c>
      <c r="Z227">
        <f t="shared" si="22"/>
        <v>24760.190548115173</v>
      </c>
    </row>
    <row r="228" spans="12:26" x14ac:dyDescent="0.55000000000000004">
      <c r="L228">
        <v>223</v>
      </c>
      <c r="M228">
        <v>1.721393</v>
      </c>
      <c r="N228">
        <v>45443.020512000003</v>
      </c>
      <c r="O228">
        <f t="shared" si="21"/>
        <v>26398.980658106546</v>
      </c>
      <c r="W228">
        <v>223</v>
      </c>
      <c r="X228">
        <v>0.428429</v>
      </c>
      <c r="Y228">
        <v>10753.161104999999</v>
      </c>
      <c r="Z228">
        <f t="shared" si="22"/>
        <v>25099.050496114873</v>
      </c>
    </row>
    <row r="229" spans="12:26" x14ac:dyDescent="0.55000000000000004">
      <c r="L229">
        <v>224</v>
      </c>
      <c r="M229">
        <v>1.6911799999999999</v>
      </c>
      <c r="N229">
        <v>45241.081203000002</v>
      </c>
      <c r="O229">
        <f t="shared" si="21"/>
        <v>26751.192187111959</v>
      </c>
      <c r="W229">
        <v>224</v>
      </c>
      <c r="X229">
        <v>0.419736</v>
      </c>
      <c r="Y229">
        <v>10671.737546</v>
      </c>
      <c r="Z229">
        <f t="shared" si="22"/>
        <v>25424.880272361675</v>
      </c>
    </row>
    <row r="230" spans="12:26" x14ac:dyDescent="0.55000000000000004">
      <c r="L230">
        <v>225</v>
      </c>
      <c r="M230">
        <v>1.661967</v>
      </c>
      <c r="N230">
        <v>45041.703689000002</v>
      </c>
      <c r="O230">
        <f t="shared" si="21"/>
        <v>27101.442861982217</v>
      </c>
      <c r="W230">
        <v>225</v>
      </c>
      <c r="X230">
        <v>0.41154000000000002</v>
      </c>
      <c r="Y230">
        <v>10591.452558000001</v>
      </c>
      <c r="Z230">
        <f t="shared" si="22"/>
        <v>25736.143650677943</v>
      </c>
    </row>
    <row r="231" spans="12:26" x14ac:dyDescent="0.55000000000000004">
      <c r="L231">
        <v>226</v>
      </c>
      <c r="M231">
        <v>1.6337649999999999</v>
      </c>
      <c r="N231">
        <v>44844.992928</v>
      </c>
      <c r="O231">
        <f t="shared" si="21"/>
        <v>27448.86377661414</v>
      </c>
      <c r="W231">
        <v>226</v>
      </c>
      <c r="X231">
        <v>0.40383200000000002</v>
      </c>
      <c r="Y231">
        <v>10512.30156</v>
      </c>
      <c r="Z231">
        <f t="shared" si="22"/>
        <v>26031.373343370509</v>
      </c>
    </row>
    <row r="232" spans="12:26" x14ac:dyDescent="0.55000000000000004">
      <c r="L232">
        <v>227</v>
      </c>
      <c r="M232">
        <v>1.606581</v>
      </c>
      <c r="N232">
        <v>44651.048457999997</v>
      </c>
      <c r="O232">
        <f t="shared" si="21"/>
        <v>27792.590885862584</v>
      </c>
      <c r="W232">
        <v>227</v>
      </c>
      <c r="X232">
        <v>0.39660000000000001</v>
      </c>
      <c r="Y232">
        <v>10434.280058</v>
      </c>
      <c r="Z232">
        <f t="shared" si="22"/>
        <v>26309.329445284922</v>
      </c>
    </row>
    <row r="233" spans="12:26" x14ac:dyDescent="0.55000000000000004">
      <c r="L233">
        <v>228</v>
      </c>
      <c r="M233">
        <v>1.580419</v>
      </c>
      <c r="N233">
        <v>44459.964275999999</v>
      </c>
      <c r="O233">
        <f t="shared" si="21"/>
        <v>28131.757638955238</v>
      </c>
      <c r="W233">
        <v>228</v>
      </c>
      <c r="X233">
        <v>0.38982899999999998</v>
      </c>
      <c r="Y233">
        <v>10357.383634</v>
      </c>
      <c r="Z233">
        <f t="shared" si="22"/>
        <v>26569.043436994169</v>
      </c>
    </row>
    <row r="234" spans="12:26" x14ac:dyDescent="0.55000000000000004">
      <c r="L234">
        <v>229</v>
      </c>
      <c r="M234">
        <v>1.5552790000000001</v>
      </c>
      <c r="N234">
        <v>44271.828742999998</v>
      </c>
      <c r="O234">
        <f t="shared" si="21"/>
        <v>28465.522097964415</v>
      </c>
      <c r="W234">
        <v>229</v>
      </c>
      <c r="X234">
        <v>0.38350699999999999</v>
      </c>
      <c r="Y234">
        <v>10281.607946</v>
      </c>
      <c r="Z234">
        <f t="shared" si="22"/>
        <v>26809.440104091973</v>
      </c>
    </row>
    <row r="235" spans="12:26" x14ac:dyDescent="0.55000000000000004">
      <c r="L235">
        <v>230</v>
      </c>
      <c r="M235">
        <v>1.531158</v>
      </c>
      <c r="N235">
        <v>44086.724503999998</v>
      </c>
      <c r="O235">
        <f t="shared" si="21"/>
        <v>28793.060222393768</v>
      </c>
      <c r="W235">
        <v>230</v>
      </c>
      <c r="X235">
        <v>0.37761600000000001</v>
      </c>
      <c r="Y235">
        <v>10206.948710999999</v>
      </c>
      <c r="Z235">
        <f t="shared" si="22"/>
        <v>27029.968833418072</v>
      </c>
    </row>
    <row r="236" spans="12:26" x14ac:dyDescent="0.55000000000000004">
      <c r="L236">
        <v>231</v>
      </c>
      <c r="M236">
        <v>1.508051</v>
      </c>
      <c r="N236">
        <v>43904.728427000002</v>
      </c>
      <c r="O236">
        <f t="shared" si="21"/>
        <v>29113.556787535701</v>
      </c>
      <c r="W236">
        <v>231</v>
      </c>
      <c r="X236">
        <v>0.372141</v>
      </c>
      <c r="Y236">
        <v>10133.401709</v>
      </c>
      <c r="Z236">
        <f t="shared" si="22"/>
        <v>27230.006124022882</v>
      </c>
    </row>
    <row r="237" spans="12:26" x14ac:dyDescent="0.55000000000000004">
      <c r="L237">
        <v>232</v>
      </c>
      <c r="M237">
        <v>1.485948</v>
      </c>
      <c r="N237">
        <v>43725.911555999999</v>
      </c>
      <c r="O237">
        <f t="shared" si="21"/>
        <v>29426.273029742628</v>
      </c>
      <c r="W237">
        <v>232</v>
      </c>
      <c r="X237">
        <v>0.367064</v>
      </c>
      <c r="Y237">
        <v>10060.962769</v>
      </c>
      <c r="Z237">
        <f t="shared" si="22"/>
        <v>27409.287669180307</v>
      </c>
    </row>
    <row r="238" spans="12:26" x14ac:dyDescent="0.55000000000000004">
      <c r="L238">
        <v>233</v>
      </c>
      <c r="M238">
        <v>1.464839</v>
      </c>
      <c r="N238">
        <v>43550.339086</v>
      </c>
      <c r="O238">
        <f t="shared" si="21"/>
        <v>29730.461222018257</v>
      </c>
      <c r="W238">
        <v>233</v>
      </c>
      <c r="X238">
        <v>0.36236600000000002</v>
      </c>
      <c r="Y238">
        <v>9989.6277659999996</v>
      </c>
      <c r="Z238">
        <f t="shared" si="22"/>
        <v>27567.784411341017</v>
      </c>
    </row>
    <row r="239" spans="12:26" x14ac:dyDescent="0.55000000000000004">
      <c r="L239">
        <v>234</v>
      </c>
      <c r="M239">
        <v>1.4447099999999999</v>
      </c>
      <c r="N239">
        <v>43378.070351000002</v>
      </c>
      <c r="O239">
        <f t="shared" si="21"/>
        <v>30025.451717645759</v>
      </c>
      <c r="W239">
        <v>234</v>
      </c>
      <c r="X239">
        <v>0.35802899999999999</v>
      </c>
      <c r="Y239">
        <v>9919.3926150000007</v>
      </c>
      <c r="Z239">
        <f t="shared" si="22"/>
        <v>27705.556295719063</v>
      </c>
    </row>
    <row r="240" spans="12:26" x14ac:dyDescent="0.55000000000000004">
      <c r="L240">
        <v>235</v>
      </c>
      <c r="M240">
        <v>1.4255439999999999</v>
      </c>
      <c r="N240">
        <v>43209.158833000001</v>
      </c>
      <c r="O240">
        <f t="shared" si="21"/>
        <v>30310.645503050066</v>
      </c>
      <c r="W240">
        <v>235</v>
      </c>
      <c r="X240">
        <v>0.35403499999999999</v>
      </c>
      <c r="Y240">
        <v>9850.2532659999997</v>
      </c>
      <c r="Z240">
        <f t="shared" si="22"/>
        <v>27822.823353623229</v>
      </c>
    </row>
    <row r="241" spans="12:26" x14ac:dyDescent="0.55000000000000004">
      <c r="L241">
        <v>236</v>
      </c>
      <c r="M241">
        <v>1.4073230000000001</v>
      </c>
      <c r="N241">
        <v>43043.652183999999</v>
      </c>
      <c r="O241">
        <f t="shared" si="21"/>
        <v>30585.481928455654</v>
      </c>
      <c r="W241">
        <v>236</v>
      </c>
      <c r="X241">
        <v>0.35036400000000001</v>
      </c>
      <c r="Y241">
        <v>9782.2056960000009</v>
      </c>
      <c r="Z241">
        <f t="shared" si="22"/>
        <v>27920.122204336065</v>
      </c>
    </row>
    <row r="242" spans="12:26" x14ac:dyDescent="0.55000000000000004">
      <c r="L242">
        <v>237</v>
      </c>
      <c r="M242">
        <v>1.390026</v>
      </c>
      <c r="N242">
        <v>42881.592259999998</v>
      </c>
      <c r="O242">
        <f t="shared" si="21"/>
        <v>30849.489333293044</v>
      </c>
      <c r="W242">
        <v>237</v>
      </c>
      <c r="X242">
        <v>0.34699799999999997</v>
      </c>
      <c r="Y242">
        <v>9715.2459080000008</v>
      </c>
      <c r="Z242">
        <f t="shared" si="22"/>
        <v>27997.988195897386</v>
      </c>
    </row>
    <row r="243" spans="12:26" x14ac:dyDescent="0.55000000000000004">
      <c r="L243">
        <v>238</v>
      </c>
      <c r="M243">
        <v>1.373632</v>
      </c>
      <c r="N243">
        <v>42723.015182000003</v>
      </c>
      <c r="O243">
        <f t="shared" si="21"/>
        <v>31102.227657771517</v>
      </c>
      <c r="W243">
        <v>238</v>
      </c>
      <c r="X243">
        <v>0.343916</v>
      </c>
      <c r="Y243">
        <v>9649.3699240000005</v>
      </c>
      <c r="Z243">
        <f t="shared" si="22"/>
        <v>28057.345177310741</v>
      </c>
    </row>
    <row r="244" spans="12:26" x14ac:dyDescent="0.55000000000000004">
      <c r="L244">
        <v>239</v>
      </c>
      <c r="M244">
        <v>1.358117</v>
      </c>
      <c r="N244">
        <v>42567.951393000003</v>
      </c>
      <c r="O244">
        <f t="shared" si="21"/>
        <v>31343.36098657185</v>
      </c>
      <c r="W244">
        <v>239</v>
      </c>
      <c r="X244">
        <v>0.34110099999999999</v>
      </c>
      <c r="Y244">
        <v>9584.5737800000006</v>
      </c>
      <c r="Z244">
        <f t="shared" si="22"/>
        <v>28098.931929252631</v>
      </c>
    </row>
    <row r="245" spans="12:26" x14ac:dyDescent="0.55000000000000004">
      <c r="L245">
        <v>240</v>
      </c>
      <c r="M245">
        <v>1.3434550000000001</v>
      </c>
      <c r="N245">
        <v>42416.425751000002</v>
      </c>
      <c r="O245">
        <f t="shared" si="21"/>
        <v>31572.643483406591</v>
      </c>
      <c r="W245">
        <v>240</v>
      </c>
      <c r="X245">
        <v>0.338534</v>
      </c>
      <c r="Y245">
        <v>9520.8535260000008</v>
      </c>
      <c r="Z245">
        <f t="shared" si="22"/>
        <v>28123.773464408303</v>
      </c>
    </row>
    <row r="246" spans="12:26" x14ac:dyDescent="0.55000000000000004">
      <c r="L246">
        <v>241</v>
      </c>
      <c r="M246">
        <v>1.3296220000000001</v>
      </c>
      <c r="N246">
        <v>42268.457609999998</v>
      </c>
      <c r="O246">
        <f t="shared" si="21"/>
        <v>31789.83019986131</v>
      </c>
      <c r="W246">
        <v>241</v>
      </c>
      <c r="X246">
        <v>0.336198</v>
      </c>
      <c r="Y246">
        <v>9458.205215</v>
      </c>
      <c r="Z246">
        <f t="shared" si="22"/>
        <v>28132.842000844739</v>
      </c>
    </row>
    <row r="247" spans="12:26" x14ac:dyDescent="0.55000000000000004">
      <c r="L247">
        <v>242</v>
      </c>
      <c r="M247">
        <v>1.316589</v>
      </c>
      <c r="N247">
        <v>42124.060939000003</v>
      </c>
      <c r="O247">
        <f t="shared" si="21"/>
        <v>31994.844966044835</v>
      </c>
      <c r="W247">
        <v>242</v>
      </c>
      <c r="X247">
        <v>0.33407300000000001</v>
      </c>
      <c r="Y247">
        <v>9396.6249090000001</v>
      </c>
      <c r="Z247">
        <f t="shared" si="22"/>
        <v>28127.459893496332</v>
      </c>
    </row>
    <row r="248" spans="12:26" x14ac:dyDescent="0.55000000000000004">
      <c r="L248">
        <v>243</v>
      </c>
      <c r="M248">
        <v>1.3043290000000001</v>
      </c>
      <c r="N248">
        <v>41983.244429999999</v>
      </c>
      <c r="O248">
        <f t="shared" si="21"/>
        <v>32187.618637628999</v>
      </c>
      <c r="W248">
        <v>243</v>
      </c>
      <c r="X248">
        <v>0.33214399999999999</v>
      </c>
      <c r="Y248">
        <v>9336.1086670000004</v>
      </c>
      <c r="Z248">
        <f t="shared" si="22"/>
        <v>28108.617548412738</v>
      </c>
    </row>
    <row r="249" spans="12:26" x14ac:dyDescent="0.55000000000000004">
      <c r="L249">
        <v>244</v>
      </c>
      <c r="M249">
        <v>1.292813</v>
      </c>
      <c r="N249">
        <v>41846.011634000002</v>
      </c>
      <c r="O249">
        <f t="shared" si="21"/>
        <v>32368.185989775786</v>
      </c>
      <c r="W249">
        <v>244</v>
      </c>
      <c r="X249">
        <v>0.33039400000000002</v>
      </c>
      <c r="Y249">
        <v>9276.6525469999997</v>
      </c>
      <c r="Z249">
        <f t="shared" si="22"/>
        <v>28077.545436660468</v>
      </c>
    </row>
    <row r="250" spans="12:26" x14ac:dyDescent="0.55000000000000004">
      <c r="L250">
        <v>245</v>
      </c>
      <c r="M250">
        <v>1.2820130000000001</v>
      </c>
      <c r="N250">
        <v>41712.361094</v>
      </c>
      <c r="O250">
        <f t="shared" si="21"/>
        <v>32536.613196590049</v>
      </c>
      <c r="W250">
        <v>245</v>
      </c>
      <c r="X250">
        <v>0.32880700000000002</v>
      </c>
      <c r="Y250">
        <v>9218.2526049999997</v>
      </c>
      <c r="Z250">
        <f t="shared" si="22"/>
        <v>28035.451206939022</v>
      </c>
    </row>
    <row r="251" spans="12:26" x14ac:dyDescent="0.55000000000000004">
      <c r="L251">
        <v>246</v>
      </c>
      <c r="M251">
        <v>1.271898</v>
      </c>
      <c r="N251">
        <v>41582.286499000002</v>
      </c>
      <c r="O251">
        <f t="shared" si="21"/>
        <v>32693.098423772979</v>
      </c>
      <c r="W251">
        <v>246</v>
      </c>
      <c r="X251">
        <v>0.32736799999999999</v>
      </c>
      <c r="Y251">
        <v>9160.9048860000003</v>
      </c>
      <c r="Z251">
        <f t="shared" si="22"/>
        <v>27983.507508369788</v>
      </c>
    </row>
    <row r="252" spans="12:26" x14ac:dyDescent="0.55000000000000004">
      <c r="L252">
        <v>247</v>
      </c>
      <c r="M252">
        <v>1.2624409999999999</v>
      </c>
      <c r="N252">
        <v>41455.776833999997</v>
      </c>
      <c r="O252">
        <f t="shared" si="21"/>
        <v>32837.793476289189</v>
      </c>
      <c r="W252">
        <v>247</v>
      </c>
      <c r="X252">
        <v>0.32606200000000002</v>
      </c>
      <c r="Y252">
        <v>9104.6054299999996</v>
      </c>
      <c r="Z252">
        <f t="shared" si="22"/>
        <v>27922.927020014595</v>
      </c>
    </row>
    <row r="253" spans="12:26" x14ac:dyDescent="0.55000000000000004">
      <c r="L253">
        <v>248</v>
      </c>
      <c r="M253">
        <v>1.2536099999999999</v>
      </c>
      <c r="N253">
        <v>41332.816552999997</v>
      </c>
      <c r="O253">
        <f t="shared" si="21"/>
        <v>32971.03289938657</v>
      </c>
      <c r="W253">
        <v>248</v>
      </c>
      <c r="X253">
        <v>0.324876</v>
      </c>
      <c r="Y253">
        <v>9049.3502659999995</v>
      </c>
      <c r="Z253">
        <f t="shared" si="22"/>
        <v>27854.782335414126</v>
      </c>
    </row>
    <row r="254" spans="12:26" x14ac:dyDescent="0.55000000000000004">
      <c r="L254">
        <v>249</v>
      </c>
      <c r="M254">
        <v>1.2453780000000001</v>
      </c>
      <c r="N254">
        <v>41213.385741999999</v>
      </c>
      <c r="O254">
        <f t="shared" si="21"/>
        <v>33093.073542330116</v>
      </c>
      <c r="W254">
        <v>249</v>
      </c>
      <c r="X254">
        <v>0.323795</v>
      </c>
      <c r="Y254">
        <v>8995.1354109999993</v>
      </c>
      <c r="Z254">
        <f t="shared" si="22"/>
        <v>27780.340681604099</v>
      </c>
    </row>
    <row r="255" spans="12:26" x14ac:dyDescent="0.55000000000000004">
      <c r="L255">
        <v>250</v>
      </c>
      <c r="M255">
        <v>1.237714</v>
      </c>
      <c r="N255">
        <v>41097.460300999999</v>
      </c>
      <c r="O255">
        <f t="shared" si="21"/>
        <v>33204.326929322931</v>
      </c>
      <c r="W255">
        <v>250</v>
      </c>
      <c r="X255">
        <v>0.32280900000000001</v>
      </c>
      <c r="Y255">
        <v>8941.9568689999996</v>
      </c>
      <c r="Z255">
        <f t="shared" si="22"/>
        <v>27700.457140290386</v>
      </c>
    </row>
    <row r="256" spans="12:26" x14ac:dyDescent="0.55000000000000004">
      <c r="L256">
        <v>251</v>
      </c>
      <c r="M256">
        <v>1.230591</v>
      </c>
      <c r="N256">
        <v>40985.012128000002</v>
      </c>
      <c r="O256">
        <f t="shared" si="21"/>
        <v>33305.145355361776</v>
      </c>
      <c r="W256">
        <v>251</v>
      </c>
      <c r="X256">
        <v>0.32190400000000002</v>
      </c>
      <c r="Y256">
        <v>8889.8106310000003</v>
      </c>
      <c r="Z256">
        <f t="shared" si="22"/>
        <v>27616.340992966845</v>
      </c>
    </row>
    <row r="257" spans="12:26" x14ac:dyDescent="0.55000000000000004">
      <c r="L257">
        <v>252</v>
      </c>
      <c r="M257">
        <v>1.2239800000000001</v>
      </c>
      <c r="N257">
        <v>40876.009300999998</v>
      </c>
      <c r="O257">
        <f t="shared" si="21"/>
        <v>33395.97812137453</v>
      </c>
      <c r="W257">
        <v>252</v>
      </c>
      <c r="X257">
        <v>0.32106899999999999</v>
      </c>
      <c r="Y257">
        <v>8838.6926760000006</v>
      </c>
      <c r="Z257">
        <f t="shared" si="22"/>
        <v>27528.950711529298</v>
      </c>
    </row>
    <row r="258" spans="12:26" x14ac:dyDescent="0.55000000000000004">
      <c r="L258">
        <v>253</v>
      </c>
      <c r="M258">
        <v>1.2178530000000001</v>
      </c>
      <c r="N258">
        <v>40770.416274000003</v>
      </c>
      <c r="O258">
        <f t="shared" si="21"/>
        <v>33477.288534823172</v>
      </c>
      <c r="W258">
        <v>253</v>
      </c>
      <c r="X258">
        <v>0.320295</v>
      </c>
      <c r="Y258">
        <v>8788.5989659999996</v>
      </c>
      <c r="Z258">
        <f t="shared" si="22"/>
        <v>27439.076370221203</v>
      </c>
    </row>
    <row r="259" spans="12:26" x14ac:dyDescent="0.55000000000000004">
      <c r="L259">
        <v>254</v>
      </c>
      <c r="M259">
        <v>1.212183</v>
      </c>
      <c r="N259">
        <v>40668.194069999998</v>
      </c>
      <c r="O259">
        <f t="shared" si="21"/>
        <v>33549.549919442856</v>
      </c>
      <c r="W259">
        <v>254</v>
      </c>
      <c r="X259">
        <v>0.31957000000000002</v>
      </c>
      <c r="Y259">
        <v>8739.5254499999992</v>
      </c>
      <c r="Z259">
        <f t="shared" si="22"/>
        <v>27347.765591263254</v>
      </c>
    </row>
    <row r="260" spans="12:26" x14ac:dyDescent="0.55000000000000004">
      <c r="L260">
        <v>255</v>
      </c>
      <c r="M260">
        <v>1.2069449999999999</v>
      </c>
      <c r="N260">
        <v>40569.300477999997</v>
      </c>
      <c r="O260">
        <f t="shared" si="21"/>
        <v>33613.213922755385</v>
      </c>
      <c r="W260">
        <v>255</v>
      </c>
      <c r="X260">
        <v>0.31888499999999997</v>
      </c>
      <c r="Y260">
        <v>8691.4680640000006</v>
      </c>
      <c r="Z260">
        <f t="shared" si="22"/>
        <v>27255.807153048911</v>
      </c>
    </row>
    <row r="261" spans="12:26" x14ac:dyDescent="0.55000000000000004">
      <c r="L261">
        <v>256</v>
      </c>
      <c r="M261">
        <v>1.2021120000000001</v>
      </c>
      <c r="N261">
        <v>40473.690245999998</v>
      </c>
      <c r="O261">
        <f t="shared" si="21"/>
        <v>33668.818085170096</v>
      </c>
      <c r="W261">
        <v>256</v>
      </c>
      <c r="X261">
        <v>0.31823200000000001</v>
      </c>
      <c r="Y261">
        <v>8644.4227279999996</v>
      </c>
      <c r="Z261">
        <f t="shared" si="22"/>
        <v>27163.901581236329</v>
      </c>
    </row>
    <row r="262" spans="12:26" x14ac:dyDescent="0.55000000000000004">
      <c r="L262">
        <v>257</v>
      </c>
      <c r="M262">
        <v>1.197659</v>
      </c>
      <c r="N262">
        <v>40381.315286999998</v>
      </c>
      <c r="O262">
        <f t="shared" ref="O262:O325" si="23">N262/M262</f>
        <v>33716.872070430727</v>
      </c>
      <c r="W262">
        <v>257</v>
      </c>
      <c r="X262">
        <v>0.317602</v>
      </c>
      <c r="Y262">
        <v>8598.3853529999997</v>
      </c>
      <c r="Z262">
        <f t="shared" si="22"/>
        <v>27072.831257359841</v>
      </c>
    </row>
    <row r="263" spans="12:26" x14ac:dyDescent="0.55000000000000004">
      <c r="L263">
        <v>258</v>
      </c>
      <c r="M263">
        <v>1.1935640000000001</v>
      </c>
      <c r="N263">
        <v>40292.124875000001</v>
      </c>
      <c r="O263">
        <f t="shared" si="23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24">Y263/X263</f>
        <v>26983.374139551903</v>
      </c>
    </row>
    <row r="264" spans="12:26" x14ac:dyDescent="0.55000000000000004">
      <c r="L264">
        <v>259</v>
      </c>
      <c r="M264">
        <v>1.189802</v>
      </c>
      <c r="N264">
        <v>40206.065840000003</v>
      </c>
      <c r="O264">
        <f t="shared" si="23"/>
        <v>33792.232522722268</v>
      </c>
      <c r="W264">
        <v>259</v>
      </c>
      <c r="X264">
        <v>0.31637900000000002</v>
      </c>
      <c r="Y264">
        <v>8509.3180599999996</v>
      </c>
      <c r="Z264">
        <f t="shared" si="24"/>
        <v>26895.963575332113</v>
      </c>
    </row>
    <row r="265" spans="12:26" x14ac:dyDescent="0.55000000000000004">
      <c r="L265">
        <v>260</v>
      </c>
      <c r="M265">
        <v>1.1863520000000001</v>
      </c>
      <c r="N265">
        <v>40123.082772000002</v>
      </c>
      <c r="O265">
        <f t="shared" si="23"/>
        <v>33820.554752720942</v>
      </c>
      <c r="W265">
        <v>260</v>
      </c>
      <c r="X265">
        <v>0.31577100000000002</v>
      </c>
      <c r="Y265">
        <v>8466.2799049999994</v>
      </c>
      <c r="Z265">
        <f t="shared" si="24"/>
        <v>26811.454835941233</v>
      </c>
    </row>
    <row r="266" spans="12:26" x14ac:dyDescent="0.55000000000000004">
      <c r="L266">
        <v>261</v>
      </c>
      <c r="M266">
        <v>1.183192</v>
      </c>
      <c r="N266">
        <v>40043.118211000001</v>
      </c>
      <c r="O266">
        <f t="shared" si="23"/>
        <v>33843.296955185637</v>
      </c>
      <c r="W266">
        <v>261</v>
      </c>
      <c r="X266">
        <v>0.31515799999999999</v>
      </c>
      <c r="Y266">
        <v>8424.2332380000007</v>
      </c>
      <c r="Z266">
        <f t="shared" si="24"/>
        <v>26730.190057050753</v>
      </c>
    </row>
    <row r="267" spans="12:26" x14ac:dyDescent="0.55000000000000004">
      <c r="L267">
        <v>262</v>
      </c>
      <c r="M267">
        <v>1.1803030000000001</v>
      </c>
      <c r="N267">
        <v>39966.112843000003</v>
      </c>
      <c r="O267">
        <f t="shared" si="23"/>
        <v>33860.892366621112</v>
      </c>
      <c r="W267">
        <v>262</v>
      </c>
      <c r="X267">
        <v>0.31453199999999998</v>
      </c>
      <c r="Y267">
        <v>8383.1739219999999</v>
      </c>
      <c r="Z267">
        <f t="shared" si="24"/>
        <v>26652.849064642072</v>
      </c>
    </row>
    <row r="268" spans="12:26" x14ac:dyDescent="0.55000000000000004">
      <c r="L268">
        <v>263</v>
      </c>
      <c r="M268">
        <v>1.177665</v>
      </c>
      <c r="N268">
        <v>39892.005689999998</v>
      </c>
      <c r="O268">
        <f t="shared" si="23"/>
        <v>33873.814446383309</v>
      </c>
      <c r="W268">
        <v>263</v>
      </c>
      <c r="X268">
        <v>0.313888</v>
      </c>
      <c r="Y268">
        <v>8343.0978149999992</v>
      </c>
      <c r="Z268">
        <f t="shared" si="24"/>
        <v>26579.855919945967</v>
      </c>
    </row>
    <row r="269" spans="12:26" x14ac:dyDescent="0.55000000000000004">
      <c r="L269">
        <v>264</v>
      </c>
      <c r="M269">
        <v>1.17526</v>
      </c>
      <c r="N269">
        <v>39820.734297000003</v>
      </c>
      <c r="O269">
        <f t="shared" si="23"/>
        <v>33882.48923387166</v>
      </c>
      <c r="W269">
        <v>264</v>
      </c>
      <c r="X269">
        <v>0.31322</v>
      </c>
      <c r="Y269">
        <v>8304.0007710000009</v>
      </c>
      <c r="Z269">
        <f t="shared" si="24"/>
        <v>26511.719465551374</v>
      </c>
    </row>
    <row r="270" spans="12:26" x14ac:dyDescent="0.55000000000000004">
      <c r="L270">
        <v>265</v>
      </c>
      <c r="M270">
        <v>1.173071</v>
      </c>
      <c r="N270">
        <v>39752.234917000002</v>
      </c>
      <c r="O270">
        <f t="shared" si="23"/>
        <v>33887.322179987401</v>
      </c>
      <c r="W270">
        <v>265</v>
      </c>
      <c r="X270">
        <v>0.312523</v>
      </c>
      <c r="Y270">
        <v>8265.8786440000003</v>
      </c>
      <c r="Z270">
        <f t="shared" si="24"/>
        <v>26448.865024334209</v>
      </c>
    </row>
    <row r="271" spans="12:26" x14ac:dyDescent="0.55000000000000004">
      <c r="L271">
        <v>266</v>
      </c>
      <c r="M271">
        <v>1.171081</v>
      </c>
      <c r="N271">
        <v>39686.442686000002</v>
      </c>
      <c r="O271">
        <f t="shared" si="23"/>
        <v>33888.72561846704</v>
      </c>
      <c r="W271">
        <v>266</v>
      </c>
      <c r="X271">
        <v>0.31179299999999999</v>
      </c>
      <c r="Y271">
        <v>8228.7272919999996</v>
      </c>
      <c r="Z271">
        <f t="shared" si="24"/>
        <v>26391.635771168691</v>
      </c>
    </row>
    <row r="272" spans="12:26" x14ac:dyDescent="0.55000000000000004">
      <c r="L272">
        <v>267</v>
      </c>
      <c r="M272">
        <v>1.1692739999999999</v>
      </c>
      <c r="N272">
        <v>39623.291803</v>
      </c>
      <c r="O272">
        <f t="shared" si="23"/>
        <v>33887.088743100423</v>
      </c>
      <c r="W272">
        <v>267</v>
      </c>
      <c r="X272">
        <v>0.31102400000000002</v>
      </c>
      <c r="Y272">
        <v>8192.5425730000006</v>
      </c>
      <c r="Z272">
        <f t="shared" si="24"/>
        <v>26340.547909486086</v>
      </c>
    </row>
    <row r="273" spans="12:26" x14ac:dyDescent="0.55000000000000004">
      <c r="L273">
        <v>268</v>
      </c>
      <c r="M273">
        <v>1.167637</v>
      </c>
      <c r="N273">
        <v>39562.715698</v>
      </c>
      <c r="O273">
        <f t="shared" si="23"/>
        <v>33882.71842875825</v>
      </c>
      <c r="W273">
        <v>268</v>
      </c>
      <c r="X273">
        <v>0.31021399999999999</v>
      </c>
      <c r="Y273">
        <v>8157.3203549999998</v>
      </c>
      <c r="Z273">
        <f t="shared" si="24"/>
        <v>26295.784055522963</v>
      </c>
    </row>
    <row r="274" spans="12:26" x14ac:dyDescent="0.55000000000000004">
      <c r="L274">
        <v>269</v>
      </c>
      <c r="M274">
        <v>1.1661550000000001</v>
      </c>
      <c r="N274">
        <v>39504.647191999997</v>
      </c>
      <c r="O274">
        <f t="shared" si="23"/>
        <v>33875.983202918993</v>
      </c>
      <c r="W274">
        <v>269</v>
      </c>
      <c r="X274">
        <v>0.30935699999999999</v>
      </c>
      <c r="Y274">
        <v>8123.0565130000005</v>
      </c>
      <c r="Z274">
        <f t="shared" si="24"/>
        <v>26257.872015179873</v>
      </c>
    </row>
    <row r="275" spans="12:26" x14ac:dyDescent="0.55000000000000004">
      <c r="L275">
        <v>270</v>
      </c>
      <c r="M275">
        <v>1.1648160000000001</v>
      </c>
      <c r="N275">
        <v>39449.018662000002</v>
      </c>
      <c r="O275">
        <f t="shared" si="23"/>
        <v>33867.167571530612</v>
      </c>
      <c r="W275">
        <v>270</v>
      </c>
      <c r="X275">
        <v>0.30845099999999998</v>
      </c>
      <c r="Y275">
        <v>8089.7469330000004</v>
      </c>
      <c r="Z275">
        <f t="shared" si="24"/>
        <v>26227.008286567401</v>
      </c>
    </row>
    <row r="276" spans="12:26" x14ac:dyDescent="0.55000000000000004">
      <c r="L276">
        <v>271</v>
      </c>
      <c r="M276">
        <v>1.163608</v>
      </c>
      <c r="N276">
        <v>39395.762191000002</v>
      </c>
      <c r="O276">
        <f t="shared" si="23"/>
        <v>33856.558386501296</v>
      </c>
      <c r="W276">
        <v>271</v>
      </c>
      <c r="X276">
        <v>0.30749199999999999</v>
      </c>
      <c r="Y276">
        <v>8057.3875180000005</v>
      </c>
      <c r="Z276">
        <f t="shared" si="24"/>
        <v>26203.567956239516</v>
      </c>
    </row>
    <row r="277" spans="12:26" x14ac:dyDescent="0.55000000000000004">
      <c r="L277">
        <v>272</v>
      </c>
      <c r="M277">
        <v>1.16252</v>
      </c>
      <c r="N277">
        <v>39344.809713000002</v>
      </c>
      <c r="O277">
        <f t="shared" si="23"/>
        <v>33844.415333069541</v>
      </c>
      <c r="W277">
        <v>272</v>
      </c>
      <c r="X277">
        <v>0.30647799999999997</v>
      </c>
      <c r="Y277">
        <v>8025.9741860000004</v>
      </c>
      <c r="Z277">
        <f t="shared" si="24"/>
        <v>26187.766123506422</v>
      </c>
    </row>
    <row r="278" spans="12:26" x14ac:dyDescent="0.55000000000000004">
      <c r="L278">
        <v>273</v>
      </c>
      <c r="M278">
        <v>1.16154</v>
      </c>
      <c r="N278">
        <v>39296.093158000003</v>
      </c>
      <c r="O278">
        <f t="shared" si="23"/>
        <v>33831.028770425473</v>
      </c>
      <c r="W278">
        <v>273</v>
      </c>
      <c r="X278">
        <v>0.30540699999999998</v>
      </c>
      <c r="Y278">
        <v>7995.5028750000001</v>
      </c>
      <c r="Z278">
        <f t="shared" si="24"/>
        <v>26179.828474789381</v>
      </c>
    </row>
    <row r="279" spans="12:26" x14ac:dyDescent="0.55000000000000004">
      <c r="L279">
        <v>274</v>
      </c>
      <c r="M279">
        <v>1.1606609999999999</v>
      </c>
      <c r="N279">
        <v>39249.544582000002</v>
      </c>
      <c r="O279">
        <f t="shared" si="23"/>
        <v>33816.544694790296</v>
      </c>
      <c r="W279">
        <v>274</v>
      </c>
      <c r="X279">
        <v>0.30427599999999999</v>
      </c>
      <c r="Y279">
        <v>7965.9695449999999</v>
      </c>
      <c r="Z279">
        <f t="shared" si="24"/>
        <v>26180.078432081402</v>
      </c>
    </row>
    <row r="280" spans="12:26" x14ac:dyDescent="0.55000000000000004">
      <c r="L280">
        <v>275</v>
      </c>
      <c r="M280">
        <v>1.159872</v>
      </c>
      <c r="N280">
        <v>39205.096294000003</v>
      </c>
      <c r="O280">
        <f t="shared" si="23"/>
        <v>33801.226595693319</v>
      </c>
      <c r="W280">
        <v>275</v>
      </c>
      <c r="X280">
        <v>0.30308299999999999</v>
      </c>
      <c r="Y280">
        <v>7937.3701840000003</v>
      </c>
      <c r="Z280">
        <f t="shared" si="24"/>
        <v>26188.767380552523</v>
      </c>
    </row>
    <row r="281" spans="12:26" x14ac:dyDescent="0.55000000000000004">
      <c r="L281">
        <v>276</v>
      </c>
      <c r="M281">
        <v>1.159165</v>
      </c>
      <c r="N281">
        <v>39162.680982999998</v>
      </c>
      <c r="O281">
        <f t="shared" si="23"/>
        <v>33785.251437888481</v>
      </c>
      <c r="W281">
        <v>276</v>
      </c>
      <c r="X281">
        <v>0.30182900000000001</v>
      </c>
      <c r="Y281">
        <v>7909.7008059999998</v>
      </c>
      <c r="Z281">
        <f t="shared" si="24"/>
        <v>26205.900711992552</v>
      </c>
    </row>
    <row r="282" spans="12:26" x14ac:dyDescent="0.55000000000000004">
      <c r="L282">
        <v>277</v>
      </c>
      <c r="M282">
        <v>1.158533</v>
      </c>
      <c r="N282">
        <v>39122.231823000002</v>
      </c>
      <c r="O282">
        <f t="shared" si="23"/>
        <v>33768.76776319708</v>
      </c>
      <c r="W282">
        <v>277</v>
      </c>
      <c r="X282">
        <v>0.300512</v>
      </c>
      <c r="Y282">
        <v>7882.9574560000001</v>
      </c>
      <c r="Z282">
        <f t="shared" si="24"/>
        <v>26231.755989777448</v>
      </c>
    </row>
    <row r="283" spans="12:26" x14ac:dyDescent="0.55000000000000004">
      <c r="L283">
        <v>278</v>
      </c>
      <c r="M283">
        <v>1.1579680000000001</v>
      </c>
      <c r="N283">
        <v>39083.682589999997</v>
      </c>
      <c r="O283">
        <f t="shared" si="23"/>
        <v>33751.953931369426</v>
      </c>
      <c r="W283">
        <v>278</v>
      </c>
      <c r="X283">
        <v>0.29913099999999998</v>
      </c>
      <c r="Y283">
        <v>7857.1362159999999</v>
      </c>
      <c r="Z283">
        <f t="shared" si="24"/>
        <v>26266.539462643457</v>
      </c>
    </row>
    <row r="284" spans="12:26" x14ac:dyDescent="0.55000000000000004">
      <c r="L284">
        <v>279</v>
      </c>
      <c r="M284">
        <v>1.157465</v>
      </c>
      <c r="N284">
        <v>39046.967752999997</v>
      </c>
      <c r="O284">
        <f t="shared" si="23"/>
        <v>33734.901489893862</v>
      </c>
      <c r="W284">
        <v>279</v>
      </c>
      <c r="X284">
        <v>0.29768699999999998</v>
      </c>
      <c r="Y284">
        <v>7832.2332040000001</v>
      </c>
      <c r="Z284">
        <f t="shared" si="24"/>
        <v>26310.296398566283</v>
      </c>
    </row>
    <row r="285" spans="12:26" x14ac:dyDescent="0.55000000000000004">
      <c r="L285">
        <v>280</v>
      </c>
      <c r="M285">
        <v>1.157017</v>
      </c>
      <c r="N285">
        <v>39012.022575000003</v>
      </c>
      <c r="O285">
        <f t="shared" si="23"/>
        <v>33717.760910168137</v>
      </c>
      <c r="W285">
        <v>280</v>
      </c>
      <c r="X285">
        <v>0.29618100000000003</v>
      </c>
      <c r="Y285">
        <v>7808.2445760000001</v>
      </c>
      <c r="Z285">
        <f t="shared" si="24"/>
        <v>26363.083979053346</v>
      </c>
    </row>
    <row r="286" spans="12:26" x14ac:dyDescent="0.55000000000000004">
      <c r="L286">
        <v>281</v>
      </c>
      <c r="M286">
        <v>1.1566179999999999</v>
      </c>
      <c r="N286">
        <v>38978.783196999997</v>
      </c>
      <c r="O286">
        <f t="shared" si="23"/>
        <v>33700.654145966946</v>
      </c>
      <c r="W286">
        <v>281</v>
      </c>
      <c r="X286">
        <v>0.29461399999999999</v>
      </c>
      <c r="Y286">
        <v>7785.1665329999996</v>
      </c>
      <c r="Z286">
        <f t="shared" si="24"/>
        <v>26424.971430414033</v>
      </c>
    </row>
    <row r="287" spans="12:26" x14ac:dyDescent="0.55000000000000004">
      <c r="L287">
        <v>282</v>
      </c>
      <c r="M287">
        <v>1.156264</v>
      </c>
      <c r="N287">
        <v>38947.186717999997</v>
      </c>
      <c r="O287">
        <f t="shared" si="23"/>
        <v>33683.645532508148</v>
      </c>
      <c r="W287">
        <v>282</v>
      </c>
      <c r="X287">
        <v>0.292987</v>
      </c>
      <c r="Y287">
        <v>7762.9953219999998</v>
      </c>
      <c r="Z287">
        <f t="shared" si="24"/>
        <v>26496.040172430858</v>
      </c>
    </row>
    <row r="288" spans="12:26" x14ac:dyDescent="0.55000000000000004">
      <c r="L288">
        <v>283</v>
      </c>
      <c r="M288">
        <v>1.155951</v>
      </c>
      <c r="N288">
        <v>38917.171270999999</v>
      </c>
      <c r="O288">
        <f t="shared" si="23"/>
        <v>33666.800124745772</v>
      </c>
      <c r="W288">
        <v>283</v>
      </c>
      <c r="X288">
        <v>0.29130299999999998</v>
      </c>
      <c r="Y288">
        <v>7741.7272389999998</v>
      </c>
      <c r="Z288">
        <f t="shared" si="24"/>
        <v>26576.201546156408</v>
      </c>
    </row>
    <row r="289" spans="12:26" x14ac:dyDescent="0.55000000000000004">
      <c r="L289">
        <v>284</v>
      </c>
      <c r="M289">
        <v>1.155673</v>
      </c>
      <c r="N289">
        <v>38888.676088</v>
      </c>
      <c r="O289">
        <f t="shared" si="23"/>
        <v>33650.241969830568</v>
      </c>
      <c r="W289">
        <v>284</v>
      </c>
      <c r="X289">
        <v>0.28956399999999999</v>
      </c>
      <c r="Y289">
        <v>7721.358628</v>
      </c>
      <c r="Z289">
        <f t="shared" si="24"/>
        <v>26665.464726278129</v>
      </c>
    </row>
    <row r="290" spans="12:26" x14ac:dyDescent="0.55000000000000004">
      <c r="L290">
        <v>285</v>
      </c>
      <c r="M290">
        <v>1.1554279999999999</v>
      </c>
      <c r="N290">
        <v>38861.641559999996</v>
      </c>
      <c r="O290">
        <f t="shared" si="23"/>
        <v>33633.979408496249</v>
      </c>
      <c r="W290">
        <v>285</v>
      </c>
      <c r="X290">
        <v>0.287773</v>
      </c>
      <c r="Y290">
        <v>7701.8858909999999</v>
      </c>
      <c r="Z290">
        <f t="shared" si="24"/>
        <v>26763.754386269731</v>
      </c>
    </row>
    <row r="291" spans="12:26" x14ac:dyDescent="0.55000000000000004">
      <c r="L291">
        <v>286</v>
      </c>
      <c r="M291">
        <v>1.155211</v>
      </c>
      <c r="N291">
        <v>38836.009296999997</v>
      </c>
      <c r="O291">
        <f t="shared" si="23"/>
        <v>33618.108983553655</v>
      </c>
      <c r="W291">
        <v>286</v>
      </c>
      <c r="X291">
        <v>0.28593299999999999</v>
      </c>
      <c r="Y291">
        <v>7683.3054849999999</v>
      </c>
      <c r="Z291">
        <f t="shared" si="24"/>
        <v>26870.999447422997</v>
      </c>
    </row>
    <row r="292" spans="12:26" x14ac:dyDescent="0.55000000000000004">
      <c r="L292">
        <v>287</v>
      </c>
      <c r="M292">
        <v>1.1550210000000001</v>
      </c>
      <c r="N292">
        <v>38811.722170000001</v>
      </c>
      <c r="O292">
        <f t="shared" si="23"/>
        <v>33602.611701432266</v>
      </c>
      <c r="W292">
        <v>287</v>
      </c>
      <c r="X292">
        <v>0.28405000000000002</v>
      </c>
      <c r="Y292">
        <v>7665.613926</v>
      </c>
      <c r="Z292">
        <f t="shared" si="24"/>
        <v>26986.847125506072</v>
      </c>
    </row>
    <row r="293" spans="12:26" x14ac:dyDescent="0.55000000000000004">
      <c r="L293">
        <v>288</v>
      </c>
      <c r="M293">
        <v>1.1548529999999999</v>
      </c>
      <c r="N293">
        <v>38788.72436</v>
      </c>
      <c r="O293">
        <f t="shared" si="23"/>
        <v>33587.585917861412</v>
      </c>
      <c r="W293">
        <v>288</v>
      </c>
      <c r="X293">
        <v>0.28212700000000002</v>
      </c>
      <c r="Y293">
        <v>7648.8077940000003</v>
      </c>
      <c r="Z293">
        <f t="shared" si="24"/>
        <v>27111.222229705061</v>
      </c>
    </row>
    <row r="294" spans="12:26" x14ac:dyDescent="0.55000000000000004">
      <c r="L294">
        <v>289</v>
      </c>
      <c r="M294">
        <v>1.1547050000000001</v>
      </c>
      <c r="N294">
        <v>38766.961388999996</v>
      </c>
      <c r="O294">
        <f t="shared" si="23"/>
        <v>33573.043668296224</v>
      </c>
      <c r="W294">
        <v>289</v>
      </c>
      <c r="X294">
        <v>0.28016999999999997</v>
      </c>
      <c r="Y294">
        <v>7632.8837309999999</v>
      </c>
      <c r="Z294">
        <f t="shared" si="24"/>
        <v>27243.758186101299</v>
      </c>
    </row>
    <row r="295" spans="12:26" x14ac:dyDescent="0.55000000000000004">
      <c r="L295">
        <v>290</v>
      </c>
      <c r="M295">
        <v>1.154576</v>
      </c>
      <c r="N295">
        <v>38746.380158</v>
      </c>
      <c r="O295">
        <f t="shared" si="23"/>
        <v>33558.968970427239</v>
      </c>
      <c r="W295">
        <v>290</v>
      </c>
      <c r="X295">
        <v>0.27818300000000001</v>
      </c>
      <c r="Y295">
        <v>7617.8384470000001</v>
      </c>
      <c r="Z295">
        <f t="shared" si="24"/>
        <v>27384.270235780044</v>
      </c>
    </row>
    <row r="296" spans="12:26" x14ac:dyDescent="0.55000000000000004">
      <c r="L296">
        <v>291</v>
      </c>
      <c r="M296">
        <v>1.1544620000000001</v>
      </c>
      <c r="N296">
        <v>38726.928967</v>
      </c>
      <c r="O296">
        <f t="shared" si="23"/>
        <v>33545.43412169478</v>
      </c>
      <c r="W296">
        <v>291</v>
      </c>
      <c r="X296">
        <v>0.27617399999999998</v>
      </c>
      <c r="Y296">
        <v>7603.6687220000003</v>
      </c>
      <c r="Z296">
        <f t="shared" si="24"/>
        <v>27532.167119279879</v>
      </c>
    </row>
    <row r="297" spans="12:26" x14ac:dyDescent="0.55000000000000004">
      <c r="L297">
        <v>292</v>
      </c>
      <c r="M297">
        <v>1.154363</v>
      </c>
      <c r="N297">
        <v>38708.557543000003</v>
      </c>
      <c r="O297">
        <f t="shared" si="23"/>
        <v>33532.396259235611</v>
      </c>
      <c r="W297">
        <v>292</v>
      </c>
      <c r="X297">
        <v>0.27414699999999997</v>
      </c>
      <c r="Y297">
        <v>7590.3714049999999</v>
      </c>
      <c r="Z297">
        <f t="shared" si="24"/>
        <v>27687.231321152522</v>
      </c>
    </row>
    <row r="298" spans="12:26" x14ac:dyDescent="0.55000000000000004">
      <c r="L298">
        <v>293</v>
      </c>
      <c r="M298">
        <v>1.154277</v>
      </c>
      <c r="N298">
        <v>38691.217047999999</v>
      </c>
      <c r="O298">
        <f t="shared" si="23"/>
        <v>33519.871788140976</v>
      </c>
      <c r="W298">
        <v>293</v>
      </c>
      <c r="X298">
        <v>0.27210899999999999</v>
      </c>
      <c r="Y298">
        <v>7577.9434229999997</v>
      </c>
      <c r="Z298">
        <f t="shared" si="24"/>
        <v>27848.926066392512</v>
      </c>
    </row>
    <row r="299" spans="12:26" x14ac:dyDescent="0.55000000000000004">
      <c r="L299">
        <v>294</v>
      </c>
      <c r="M299">
        <v>1.154201</v>
      </c>
      <c r="N299">
        <v>38674.860100999998</v>
      </c>
      <c r="O299">
        <f t="shared" si="23"/>
        <v>33507.907289111688</v>
      </c>
      <c r="W299">
        <v>294</v>
      </c>
      <c r="X299">
        <v>0.270067</v>
      </c>
      <c r="Y299">
        <v>7566.3817730000001</v>
      </c>
      <c r="Z299">
        <f t="shared" si="24"/>
        <v>28016.683908067258</v>
      </c>
    </row>
    <row r="300" spans="12:26" x14ac:dyDescent="0.55000000000000004">
      <c r="L300">
        <v>295</v>
      </c>
      <c r="M300">
        <v>1.1541349999999999</v>
      </c>
      <c r="N300">
        <v>38659.440776000003</v>
      </c>
      <c r="O300">
        <f t="shared" si="23"/>
        <v>33496.463391197743</v>
      </c>
      <c r="W300">
        <v>295</v>
      </c>
      <c r="X300">
        <v>0.26802900000000002</v>
      </c>
      <c r="Y300">
        <v>7555.6835389999997</v>
      </c>
      <c r="Z300">
        <f t="shared" si="24"/>
        <v>28189.79863746087</v>
      </c>
    </row>
    <row r="301" spans="12:26" x14ac:dyDescent="0.55000000000000004">
      <c r="L301">
        <v>296</v>
      </c>
      <c r="M301">
        <v>1.1540779999999999</v>
      </c>
      <c r="N301">
        <v>38644.914611</v>
      </c>
      <c r="O301">
        <f t="shared" si="23"/>
        <v>33485.53097017706</v>
      </c>
      <c r="W301">
        <v>296</v>
      </c>
      <c r="X301">
        <v>0.26600099999999999</v>
      </c>
      <c r="Y301">
        <v>7545.8458460000002</v>
      </c>
      <c r="Z301">
        <f t="shared" si="24"/>
        <v>28367.734880695938</v>
      </c>
    </row>
    <row r="302" spans="12:26" x14ac:dyDescent="0.55000000000000004">
      <c r="L302">
        <v>297</v>
      </c>
      <c r="M302">
        <v>1.1540280000000001</v>
      </c>
      <c r="N302">
        <v>38631.238602999998</v>
      </c>
      <c r="O302">
        <f t="shared" si="23"/>
        <v>33475.13110860395</v>
      </c>
      <c r="W302">
        <v>297</v>
      </c>
      <c r="X302">
        <v>0.26399099999999998</v>
      </c>
      <c r="Y302">
        <v>7536.8660120000004</v>
      </c>
      <c r="Z302">
        <f t="shared" si="24"/>
        <v>28549.708179445515</v>
      </c>
    </row>
    <row r="303" spans="12:26" x14ac:dyDescent="0.55000000000000004">
      <c r="L303">
        <v>298</v>
      </c>
      <c r="M303">
        <v>1.153985</v>
      </c>
      <c r="N303">
        <v>38618.371209999998</v>
      </c>
      <c r="O303">
        <f t="shared" si="23"/>
        <v>33465.228066222691</v>
      </c>
      <c r="W303">
        <v>298</v>
      </c>
      <c r="X303">
        <v>0.26200699999999999</v>
      </c>
      <c r="Y303">
        <v>7528.7428909999999</v>
      </c>
      <c r="Z303">
        <f t="shared" si="24"/>
        <v>28734.89216318648</v>
      </c>
    </row>
    <row r="304" spans="12:26" x14ac:dyDescent="0.55000000000000004">
      <c r="L304">
        <v>299</v>
      </c>
      <c r="M304">
        <v>1.153948</v>
      </c>
      <c r="N304">
        <v>38606.272335000001</v>
      </c>
      <c r="O304">
        <f t="shared" si="23"/>
        <v>33455.816323612504</v>
      </c>
      <c r="W304">
        <v>299</v>
      </c>
      <c r="X304">
        <v>0.26005299999999998</v>
      </c>
      <c r="Y304">
        <v>7521.4461369999999</v>
      </c>
      <c r="Z304">
        <f t="shared" si="24"/>
        <v>28922.743198501845</v>
      </c>
    </row>
    <row r="305" spans="12:26" x14ac:dyDescent="0.55000000000000004">
      <c r="L305">
        <v>300</v>
      </c>
      <c r="M305">
        <v>1.1539159999999999</v>
      </c>
      <c r="N305">
        <v>38594.903321999998</v>
      </c>
      <c r="O305">
        <f t="shared" si="23"/>
        <v>33446.891560564203</v>
      </c>
      <c r="W305">
        <v>300</v>
      </c>
      <c r="X305">
        <v>0.25816299999999998</v>
      </c>
      <c r="Y305">
        <v>7515.2403139999997</v>
      </c>
      <c r="Z305">
        <f t="shared" si="24"/>
        <v>29110.446942435596</v>
      </c>
    </row>
    <row r="306" spans="12:26" x14ac:dyDescent="0.55000000000000004">
      <c r="L306">
        <v>301</v>
      </c>
      <c r="M306">
        <v>1.153888</v>
      </c>
      <c r="N306">
        <v>38584.226935999999</v>
      </c>
      <c r="O306">
        <f t="shared" si="23"/>
        <v>33438.450643389995</v>
      </c>
      <c r="W306">
        <v>301</v>
      </c>
      <c r="X306">
        <v>0.256193</v>
      </c>
      <c r="Y306">
        <v>7508.5882949999996</v>
      </c>
      <c r="Z306">
        <f t="shared" si="24"/>
        <v>29308.327296218082</v>
      </c>
    </row>
    <row r="307" spans="12:26" x14ac:dyDescent="0.55000000000000004">
      <c r="L307">
        <v>302</v>
      </c>
      <c r="M307">
        <v>1.153864</v>
      </c>
      <c r="N307">
        <v>38574.207350999997</v>
      </c>
      <c r="O307">
        <f t="shared" si="23"/>
        <v>33430.462646377731</v>
      </c>
      <c r="W307">
        <v>302</v>
      </c>
      <c r="X307">
        <v>0.25417899999999999</v>
      </c>
      <c r="Y307">
        <v>7501.7558760000002</v>
      </c>
      <c r="Z307">
        <f t="shared" si="24"/>
        <v>29513.672947017654</v>
      </c>
    </row>
    <row r="308" spans="12:26" x14ac:dyDescent="0.55000000000000004">
      <c r="L308">
        <v>303</v>
      </c>
      <c r="M308">
        <v>1.153843</v>
      </c>
      <c r="N308">
        <v>38564.810127999997</v>
      </c>
      <c r="O308">
        <f t="shared" si="23"/>
        <v>33422.926800266585</v>
      </c>
      <c r="W308">
        <v>303</v>
      </c>
      <c r="X308">
        <v>0.25212499999999999</v>
      </c>
      <c r="Y308">
        <v>7494.7138759999998</v>
      </c>
      <c r="Z308">
        <f t="shared" si="24"/>
        <v>29726.18294893406</v>
      </c>
    </row>
    <row r="309" spans="12:26" x14ac:dyDescent="0.55000000000000004">
      <c r="L309">
        <v>304</v>
      </c>
      <c r="M309">
        <v>1.1538250000000001</v>
      </c>
      <c r="N309">
        <v>38556.002193</v>
      </c>
      <c r="O309">
        <f t="shared" si="23"/>
        <v>33415.814523866269</v>
      </c>
      <c r="W309">
        <v>304</v>
      </c>
      <c r="X309">
        <v>0.25004100000000001</v>
      </c>
      <c r="Y309">
        <v>7487.4624789999998</v>
      </c>
      <c r="Z309">
        <f t="shared" si="24"/>
        <v>29944.938946012851</v>
      </c>
    </row>
    <row r="310" spans="12:26" x14ac:dyDescent="0.55000000000000004">
      <c r="L310">
        <v>305</v>
      </c>
      <c r="M310">
        <v>1.15381</v>
      </c>
      <c r="N310">
        <v>38547.751814000003</v>
      </c>
      <c r="O310">
        <f t="shared" si="23"/>
        <v>33409.098390549574</v>
      </c>
      <c r="W310">
        <v>305</v>
      </c>
      <c r="X310">
        <v>0.24793499999999999</v>
      </c>
      <c r="Y310">
        <v>7480.0004779999999</v>
      </c>
      <c r="Z310">
        <f t="shared" si="24"/>
        <v>30169.199499868919</v>
      </c>
    </row>
    <row r="311" spans="12:26" x14ac:dyDescent="0.55000000000000004">
      <c r="L311">
        <v>306</v>
      </c>
      <c r="M311">
        <v>1.153797</v>
      </c>
      <c r="N311">
        <v>38540.028574999997</v>
      </c>
      <c r="O311">
        <f t="shared" si="23"/>
        <v>33402.781056806351</v>
      </c>
      <c r="W311">
        <v>306</v>
      </c>
      <c r="X311">
        <v>0.24581500000000001</v>
      </c>
      <c r="Y311">
        <v>7472.3266130000002</v>
      </c>
      <c r="Z311">
        <f t="shared" si="24"/>
        <v>30398.171848748043</v>
      </c>
    </row>
    <row r="312" spans="12:26" x14ac:dyDescent="0.55000000000000004">
      <c r="L312">
        <v>307</v>
      </c>
      <c r="M312">
        <v>1.153786</v>
      </c>
      <c r="N312">
        <v>38532.803349000002</v>
      </c>
      <c r="O312">
        <f t="shared" si="23"/>
        <v>33396.837324252505</v>
      </c>
      <c r="W312">
        <v>307</v>
      </c>
      <c r="X312">
        <v>0.24368899999999999</v>
      </c>
      <c r="Y312">
        <v>7464.4397250000002</v>
      </c>
      <c r="Z312">
        <f t="shared" si="24"/>
        <v>30631.008067660012</v>
      </c>
    </row>
    <row r="313" spans="12:26" x14ac:dyDescent="0.55000000000000004">
      <c r="L313">
        <v>308</v>
      </c>
      <c r="M313">
        <v>1.1537759999999999</v>
      </c>
      <c r="N313">
        <v>38526.048266999998</v>
      </c>
      <c r="O313">
        <f t="shared" si="23"/>
        <v>33391.272020738863</v>
      </c>
      <c r="W313">
        <v>308</v>
      </c>
      <c r="X313">
        <v>0.241565</v>
      </c>
      <c r="Y313">
        <v>7456.3387130000001</v>
      </c>
      <c r="Z313">
        <f t="shared" si="24"/>
        <v>30866.800707884006</v>
      </c>
    </row>
    <row r="314" spans="12:26" x14ac:dyDescent="0.55000000000000004">
      <c r="L314">
        <v>309</v>
      </c>
      <c r="M314">
        <v>1.1537679999999999</v>
      </c>
      <c r="N314">
        <v>38519.736691999999</v>
      </c>
      <c r="O314">
        <f t="shared" si="23"/>
        <v>33386.033147045164</v>
      </c>
      <c r="W314">
        <v>309</v>
      </c>
      <c r="X314">
        <v>0.239451</v>
      </c>
      <c r="Y314">
        <v>7448.0225399999999</v>
      </c>
      <c r="Z314">
        <f t="shared" si="24"/>
        <v>31104.57897440395</v>
      </c>
    </row>
    <row r="315" spans="12:26" x14ac:dyDescent="0.55000000000000004">
      <c r="L315">
        <v>310</v>
      </c>
      <c r="M315">
        <v>1.153761</v>
      </c>
      <c r="N315">
        <v>38513.843180000003</v>
      </c>
      <c r="O315">
        <f t="shared" si="23"/>
        <v>33381.127616551435</v>
      </c>
      <c r="W315">
        <v>310</v>
      </c>
      <c r="X315">
        <v>0.23735400000000001</v>
      </c>
      <c r="Y315">
        <v>7439.4902320000001</v>
      </c>
      <c r="Z315">
        <f t="shared" si="24"/>
        <v>31343.437363600358</v>
      </c>
    </row>
    <row r="316" spans="12:26" x14ac:dyDescent="0.55000000000000004">
      <c r="L316">
        <v>311</v>
      </c>
      <c r="M316">
        <v>1.1537550000000001</v>
      </c>
      <c r="N316">
        <v>38508.343457000003</v>
      </c>
      <c r="O316">
        <f t="shared" si="23"/>
        <v>33376.534408951644</v>
      </c>
      <c r="W316">
        <v>311</v>
      </c>
      <c r="X316">
        <v>0.23527999999999999</v>
      </c>
      <c r="Y316">
        <v>7430.7408809999997</v>
      </c>
      <c r="Z316">
        <f t="shared" si="24"/>
        <v>31582.543696871813</v>
      </c>
    </row>
    <row r="317" spans="12:26" x14ac:dyDescent="0.55000000000000004">
      <c r="L317">
        <v>312</v>
      </c>
      <c r="M317">
        <v>1.1537500000000001</v>
      </c>
      <c r="N317">
        <v>38503.214376999997</v>
      </c>
      <c r="O317">
        <f t="shared" si="23"/>
        <v>33372.233479523289</v>
      </c>
      <c r="W317">
        <v>312</v>
      </c>
      <c r="X317">
        <v>0.233237</v>
      </c>
      <c r="Y317">
        <v>7421.7736439999999</v>
      </c>
      <c r="Z317">
        <f t="shared" si="24"/>
        <v>31820.738750712793</v>
      </c>
    </row>
    <row r="318" spans="12:26" x14ac:dyDescent="0.55000000000000004">
      <c r="L318">
        <v>313</v>
      </c>
      <c r="M318">
        <v>1.1537459999999999</v>
      </c>
      <c r="N318">
        <v>38498.433894000002</v>
      </c>
      <c r="O318">
        <f t="shared" si="23"/>
        <v>33368.205735057803</v>
      </c>
      <c r="W318">
        <v>313</v>
      </c>
      <c r="X318">
        <v>0.23122999999999999</v>
      </c>
      <c r="Y318">
        <v>7412.5877419999997</v>
      </c>
      <c r="Z318">
        <f t="shared" si="24"/>
        <v>32057.205994031916</v>
      </c>
    </row>
    <row r="319" spans="12:26" x14ac:dyDescent="0.55000000000000004">
      <c r="L319">
        <v>314</v>
      </c>
      <c r="M319">
        <v>1.153742</v>
      </c>
      <c r="N319">
        <v>38493.981026000001</v>
      </c>
      <c r="O319">
        <f t="shared" si="23"/>
        <v>33364.461921296097</v>
      </c>
      <c r="W319">
        <v>314</v>
      </c>
      <c r="X319">
        <v>0.229264</v>
      </c>
      <c r="Y319">
        <v>7403.1824630000001</v>
      </c>
      <c r="Z319">
        <f t="shared" si="24"/>
        <v>32291.081299288158</v>
      </c>
    </row>
    <row r="320" spans="12:26" x14ac:dyDescent="0.55000000000000004">
      <c r="L320">
        <v>315</v>
      </c>
      <c r="M320">
        <v>1.1537390000000001</v>
      </c>
      <c r="N320">
        <v>38489.835816999999</v>
      </c>
      <c r="O320">
        <f t="shared" si="23"/>
        <v>33360.955828831298</v>
      </c>
      <c r="W320">
        <v>315</v>
      </c>
      <c r="X320">
        <v>0.22734599999999999</v>
      </c>
      <c r="Y320">
        <v>7393.5571559999998</v>
      </c>
      <c r="Z320">
        <f t="shared" si="24"/>
        <v>32521.166662268086</v>
      </c>
    </row>
    <row r="321" spans="12:26" x14ac:dyDescent="0.55000000000000004">
      <c r="L321">
        <v>316</v>
      </c>
      <c r="M321">
        <v>1.153737</v>
      </c>
      <c r="N321">
        <v>38485.979307000001</v>
      </c>
      <c r="O321">
        <f t="shared" si="23"/>
        <v>33357.671035079919</v>
      </c>
      <c r="W321">
        <v>316</v>
      </c>
      <c r="X321">
        <v>0.22547800000000001</v>
      </c>
      <c r="Y321">
        <v>7383.7112390000002</v>
      </c>
      <c r="Z321">
        <f t="shared" si="24"/>
        <v>32746.925371876634</v>
      </c>
    </row>
    <row r="322" spans="12:26" x14ac:dyDescent="0.55000000000000004">
      <c r="L322">
        <v>317</v>
      </c>
      <c r="M322">
        <v>1.153735</v>
      </c>
      <c r="N322">
        <v>38482.393491000003</v>
      </c>
      <c r="O322">
        <f t="shared" si="23"/>
        <v>33354.620854008943</v>
      </c>
      <c r="W322">
        <v>317</v>
      </c>
      <c r="X322">
        <v>0.223666</v>
      </c>
      <c r="Y322">
        <v>7373.6441910000003</v>
      </c>
      <c r="Z322">
        <f t="shared" si="24"/>
        <v>32967.210890345428</v>
      </c>
    </row>
    <row r="323" spans="12:26" x14ac:dyDescent="0.55000000000000004">
      <c r="L323">
        <v>318</v>
      </c>
      <c r="M323">
        <v>1.1537329999999999</v>
      </c>
      <c r="N323">
        <v>38479.061291999999</v>
      </c>
      <c r="O323">
        <f t="shared" si="23"/>
        <v>33351.790485320264</v>
      </c>
      <c r="W323">
        <v>318</v>
      </c>
      <c r="X323">
        <v>0.221913</v>
      </c>
      <c r="Y323">
        <v>7363.3555550000001</v>
      </c>
      <c r="Z323">
        <f t="shared" si="24"/>
        <v>33181.27173712221</v>
      </c>
    </row>
    <row r="324" spans="12:26" x14ac:dyDescent="0.55000000000000004">
      <c r="L324">
        <v>319</v>
      </c>
      <c r="M324">
        <v>1.1537310000000001</v>
      </c>
      <c r="N324">
        <v>38475.966515</v>
      </c>
      <c r="O324">
        <f t="shared" si="23"/>
        <v>33349.165893089463</v>
      </c>
      <c r="W324">
        <v>319</v>
      </c>
      <c r="X324">
        <v>0.220222</v>
      </c>
      <c r="Y324">
        <v>7352.8449380000002</v>
      </c>
      <c r="Z324">
        <f t="shared" si="24"/>
        <v>33388.330584591909</v>
      </c>
    </row>
    <row r="325" spans="12:26" x14ac:dyDescent="0.55000000000000004">
      <c r="L325">
        <v>320</v>
      </c>
      <c r="M325">
        <v>1.1537299999999999</v>
      </c>
      <c r="N325">
        <v>38473.093821000002</v>
      </c>
      <c r="O325">
        <f t="shared" si="23"/>
        <v>33346.704879824574</v>
      </c>
      <c r="W325">
        <v>320</v>
      </c>
      <c r="X325">
        <v>0.21859500000000001</v>
      </c>
      <c r="Y325">
        <v>7342.1120080000001</v>
      </c>
      <c r="Z325">
        <f t="shared" si="24"/>
        <v>33587.739920858206</v>
      </c>
    </row>
    <row r="326" spans="12:26" x14ac:dyDescent="0.55000000000000004">
      <c r="L326">
        <v>321</v>
      </c>
      <c r="M326">
        <v>1.153729</v>
      </c>
      <c r="N326">
        <v>38470.428688</v>
      </c>
      <c r="O326">
        <f t="shared" ref="O326:O389" si="25">N326/M326</f>
        <v>33344.423766759784</v>
      </c>
      <c r="W326">
        <v>321</v>
      </c>
      <c r="X326">
        <v>0.217034</v>
      </c>
      <c r="Y326">
        <v>7331.1564920000001</v>
      </c>
      <c r="Z326">
        <f t="shared" si="24"/>
        <v>33778.838762590196</v>
      </c>
    </row>
    <row r="327" spans="12:26" x14ac:dyDescent="0.55000000000000004">
      <c r="L327">
        <v>322</v>
      </c>
      <c r="M327">
        <v>1.1537280000000001</v>
      </c>
      <c r="N327">
        <v>38467.957377999999</v>
      </c>
      <c r="O327">
        <f t="shared" si="25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6">Y327/X327</f>
        <v>33960.954908810847</v>
      </c>
    </row>
    <row r="328" spans="12:26" x14ac:dyDescent="0.55000000000000004">
      <c r="L328">
        <v>323</v>
      </c>
      <c r="M328">
        <v>1.1537269999999999</v>
      </c>
      <c r="N328">
        <v>38465.666900999997</v>
      </c>
      <c r="O328">
        <f t="shared" si="25"/>
        <v>33340.354261450062</v>
      </c>
      <c r="W328">
        <v>323</v>
      </c>
      <c r="X328">
        <v>0.214116</v>
      </c>
      <c r="Y328">
        <v>7308.5769250000003</v>
      </c>
      <c r="Z328">
        <f t="shared" si="26"/>
        <v>34133.726227839114</v>
      </c>
    </row>
    <row r="329" spans="12:26" x14ac:dyDescent="0.55000000000000004">
      <c r="L329">
        <v>324</v>
      </c>
      <c r="M329">
        <v>1.1537269999999999</v>
      </c>
      <c r="N329">
        <v>38463.544984</v>
      </c>
      <c r="O329">
        <f t="shared" si="25"/>
        <v>33338.515076790267</v>
      </c>
      <c r="W329">
        <v>324</v>
      </c>
      <c r="X329">
        <v>0.21276100000000001</v>
      </c>
      <c r="Y329">
        <v>7296.9526260000002</v>
      </c>
      <c r="Z329">
        <f t="shared" si="26"/>
        <v>34296.476450101291</v>
      </c>
    </row>
    <row r="330" spans="12:26" x14ac:dyDescent="0.55000000000000004">
      <c r="L330">
        <v>325</v>
      </c>
      <c r="M330">
        <v>1.153726</v>
      </c>
      <c r="N330">
        <v>38461.580034999999</v>
      </c>
      <c r="O330">
        <f t="shared" si="25"/>
        <v>33336.84084002614</v>
      </c>
      <c r="W330">
        <v>325</v>
      </c>
      <c r="X330">
        <v>0.211474</v>
      </c>
      <c r="Y330">
        <v>7285.1052499999996</v>
      </c>
      <c r="Z330">
        <f t="shared" si="26"/>
        <v>34449.176967381332</v>
      </c>
    </row>
    <row r="331" spans="12:26" x14ac:dyDescent="0.55000000000000004">
      <c r="L331">
        <v>326</v>
      </c>
      <c r="M331">
        <v>1.153726</v>
      </c>
      <c r="N331">
        <v>38459.761113</v>
      </c>
      <c r="O331">
        <f t="shared" si="25"/>
        <v>33335.264276786686</v>
      </c>
      <c r="W331">
        <v>326</v>
      </c>
      <c r="X331">
        <v>0.210257</v>
      </c>
      <c r="Y331">
        <v>7273.0348139999996</v>
      </c>
      <c r="Z331">
        <f t="shared" si="26"/>
        <v>34591.166115753578</v>
      </c>
    </row>
    <row r="332" spans="12:26" x14ac:dyDescent="0.55000000000000004">
      <c r="L332">
        <v>327</v>
      </c>
      <c r="M332">
        <v>1.1537249999999999</v>
      </c>
      <c r="N332">
        <v>38458.077895000002</v>
      </c>
      <c r="O332">
        <f t="shared" si="25"/>
        <v>33333.834228260639</v>
      </c>
      <c r="W332">
        <v>327</v>
      </c>
      <c r="X332">
        <v>0.20910799999999999</v>
      </c>
      <c r="Y332">
        <v>7260.7413909999996</v>
      </c>
      <c r="Z332">
        <f t="shared" si="26"/>
        <v>34722.446730875912</v>
      </c>
    </row>
    <row r="333" spans="12:26" x14ac:dyDescent="0.55000000000000004">
      <c r="L333">
        <v>328</v>
      </c>
      <c r="M333">
        <v>1.1537249999999999</v>
      </c>
      <c r="N333">
        <v>38456.520643999997</v>
      </c>
      <c r="O333">
        <f t="shared" si="25"/>
        <v>33332.484469002578</v>
      </c>
      <c r="W333">
        <v>328</v>
      </c>
      <c r="X333">
        <v>0.20802599999999999</v>
      </c>
      <c r="Y333">
        <v>7248.2251050000004</v>
      </c>
      <c r="Z333">
        <f t="shared" si="26"/>
        <v>34842.880721640569</v>
      </c>
    </row>
    <row r="334" spans="12:26" x14ac:dyDescent="0.55000000000000004">
      <c r="L334">
        <v>329</v>
      </c>
      <c r="M334">
        <v>1.1537249999999999</v>
      </c>
      <c r="N334">
        <v>38455.080177999997</v>
      </c>
      <c r="O334">
        <f t="shared" si="25"/>
        <v>33331.235934039738</v>
      </c>
      <c r="W334">
        <v>329</v>
      </c>
      <c r="X334">
        <v>0.207009</v>
      </c>
      <c r="Y334">
        <v>7235.4861330000003</v>
      </c>
      <c r="Z334">
        <f t="shared" si="26"/>
        <v>34952.519615089201</v>
      </c>
    </row>
    <row r="335" spans="12:26" x14ac:dyDescent="0.55000000000000004">
      <c r="L335">
        <v>330</v>
      </c>
      <c r="M335">
        <v>1.153724</v>
      </c>
      <c r="N335">
        <v>38453.747842999997</v>
      </c>
      <c r="O335">
        <f t="shared" si="25"/>
        <v>33330.110011579891</v>
      </c>
      <c r="W335">
        <v>330</v>
      </c>
      <c r="X335">
        <v>0.20605699999999999</v>
      </c>
      <c r="Y335">
        <v>7222.5246989999996</v>
      </c>
      <c r="Z335">
        <f t="shared" si="26"/>
        <v>35051.100904118764</v>
      </c>
    </row>
    <row r="336" spans="12:26" x14ac:dyDescent="0.55000000000000004">
      <c r="L336">
        <v>331</v>
      </c>
      <c r="M336">
        <v>1.153724</v>
      </c>
      <c r="N336">
        <v>38452.515480000002</v>
      </c>
      <c r="O336">
        <f t="shared" si="25"/>
        <v>33329.041850563917</v>
      </c>
      <c r="W336">
        <v>331</v>
      </c>
      <c r="X336">
        <v>0.20516699999999999</v>
      </c>
      <c r="Y336">
        <v>7209.3410800000001</v>
      </c>
      <c r="Z336">
        <f t="shared" si="26"/>
        <v>35138.892122027428</v>
      </c>
    </row>
    <row r="337" spans="12:26" x14ac:dyDescent="0.55000000000000004">
      <c r="L337">
        <v>332</v>
      </c>
      <c r="M337">
        <v>1.153724</v>
      </c>
      <c r="N337">
        <v>38451.375397000003</v>
      </c>
      <c r="O337">
        <f t="shared" si="25"/>
        <v>33328.053674015624</v>
      </c>
      <c r="W337">
        <v>332</v>
      </c>
      <c r="X337">
        <v>0.20433599999999999</v>
      </c>
      <c r="Y337">
        <v>7195.9355939999996</v>
      </c>
      <c r="Z337">
        <f t="shared" si="26"/>
        <v>35216.190950199671</v>
      </c>
    </row>
    <row r="338" spans="12:26" x14ac:dyDescent="0.55000000000000004">
      <c r="L338">
        <v>333</v>
      </c>
      <c r="M338">
        <v>1.153724</v>
      </c>
      <c r="N338">
        <v>38450.320341999999</v>
      </c>
      <c r="O338">
        <f t="shared" si="25"/>
        <v>33327.139196202901</v>
      </c>
      <c r="W338">
        <v>333</v>
      </c>
      <c r="X338">
        <v>0.20356299999999999</v>
      </c>
      <c r="Y338">
        <v>7182.3086069999999</v>
      </c>
      <c r="Z338">
        <f t="shared" si="26"/>
        <v>35282.976803250102</v>
      </c>
    </row>
    <row r="339" spans="12:26" x14ac:dyDescent="0.55000000000000004">
      <c r="L339">
        <v>334</v>
      </c>
      <c r="M339">
        <v>1.153724</v>
      </c>
      <c r="N339">
        <v>38449.343478000003</v>
      </c>
      <c r="O339">
        <f t="shared" si="25"/>
        <v>33326.292491098393</v>
      </c>
      <c r="W339">
        <v>334</v>
      </c>
      <c r="X339">
        <v>0.202846</v>
      </c>
      <c r="Y339">
        <v>7168.4605300000003</v>
      </c>
      <c r="Z339">
        <f t="shared" si="26"/>
        <v>35339.42266547036</v>
      </c>
    </row>
    <row r="340" spans="12:26" x14ac:dyDescent="0.55000000000000004">
      <c r="L340">
        <v>335</v>
      </c>
      <c r="M340">
        <v>1.153724</v>
      </c>
      <c r="N340">
        <v>38448.438348000003</v>
      </c>
      <c r="O340">
        <f t="shared" si="25"/>
        <v>33325.507962042917</v>
      </c>
      <c r="W340">
        <v>335</v>
      </c>
      <c r="X340">
        <v>0.20218</v>
      </c>
      <c r="Y340">
        <v>7154.3918130000002</v>
      </c>
      <c r="Z340">
        <f t="shared" si="26"/>
        <v>35386.248951429421</v>
      </c>
    </row>
    <row r="341" spans="12:26" x14ac:dyDescent="0.55000000000000004">
      <c r="L341">
        <v>336</v>
      </c>
      <c r="M341">
        <v>1.153724</v>
      </c>
      <c r="N341">
        <v>38447.598860999999</v>
      </c>
      <c r="O341">
        <f t="shared" si="25"/>
        <v>33324.780329610898</v>
      </c>
      <c r="W341">
        <v>336</v>
      </c>
      <c r="X341">
        <v>0.20156499999999999</v>
      </c>
      <c r="Y341">
        <v>7140.1029470000003</v>
      </c>
      <c r="Z341">
        <f t="shared" si="26"/>
        <v>35423.327199662643</v>
      </c>
    </row>
    <row r="342" spans="12:26" x14ac:dyDescent="0.55000000000000004">
      <c r="L342">
        <v>337</v>
      </c>
      <c r="M342">
        <v>1.153724</v>
      </c>
      <c r="N342">
        <v>38446.819255000002</v>
      </c>
      <c r="O342">
        <f t="shared" si="25"/>
        <v>33324.104599540275</v>
      </c>
      <c r="W342">
        <v>337</v>
      </c>
      <c r="X342">
        <v>0.20099600000000001</v>
      </c>
      <c r="Y342">
        <v>7125.594462</v>
      </c>
      <c r="Z342">
        <f t="shared" si="26"/>
        <v>35451.424217397362</v>
      </c>
    </row>
    <row r="343" spans="12:26" x14ac:dyDescent="0.55000000000000004">
      <c r="L343">
        <v>338</v>
      </c>
      <c r="M343">
        <v>1.153724</v>
      </c>
      <c r="N343">
        <v>38446.094080000003</v>
      </c>
      <c r="O343">
        <f t="shared" si="25"/>
        <v>33323.476047997618</v>
      </c>
      <c r="W343">
        <v>338</v>
      </c>
      <c r="X343">
        <v>0.20047000000000001</v>
      </c>
      <c r="Y343">
        <v>7110.866927</v>
      </c>
      <c r="Z343">
        <f t="shared" si="26"/>
        <v>35470.977837082857</v>
      </c>
    </row>
    <row r="344" spans="12:26" x14ac:dyDescent="0.55000000000000004">
      <c r="L344">
        <v>339</v>
      </c>
      <c r="M344">
        <v>1.153724</v>
      </c>
      <c r="N344">
        <v>38445.418171999998</v>
      </c>
      <c r="O344">
        <f t="shared" si="25"/>
        <v>33322.890199042406</v>
      </c>
      <c r="W344">
        <v>339</v>
      </c>
      <c r="X344">
        <v>0.199986</v>
      </c>
      <c r="Y344">
        <v>7095.9209419999997</v>
      </c>
      <c r="Z344">
        <f t="shared" si="26"/>
        <v>35482.08845619193</v>
      </c>
    </row>
    <row r="345" spans="12:26" x14ac:dyDescent="0.55000000000000004">
      <c r="L345">
        <v>340</v>
      </c>
      <c r="M345">
        <v>1.153724</v>
      </c>
      <c r="N345">
        <v>38444.786627000001</v>
      </c>
      <c r="O345">
        <f t="shared" si="25"/>
        <v>33322.34280209132</v>
      </c>
      <c r="W345">
        <v>340</v>
      </c>
      <c r="X345">
        <v>0.19953899999999999</v>
      </c>
      <c r="Y345">
        <v>7080.7571449999996</v>
      </c>
      <c r="Z345">
        <f t="shared" si="26"/>
        <v>35485.579986869736</v>
      </c>
    </row>
    <row r="346" spans="12:26" x14ac:dyDescent="0.55000000000000004">
      <c r="L346">
        <v>341</v>
      </c>
      <c r="M346">
        <v>1.153724</v>
      </c>
      <c r="N346">
        <v>38444.194780999998</v>
      </c>
      <c r="O346">
        <f t="shared" si="25"/>
        <v>33321.829814583034</v>
      </c>
      <c r="W346">
        <v>341</v>
      </c>
      <c r="X346">
        <v>0.199127</v>
      </c>
      <c r="Y346">
        <v>7065.3762040000001</v>
      </c>
      <c r="Z346">
        <f t="shared" si="26"/>
        <v>35481.75889758797</v>
      </c>
    </row>
    <row r="347" spans="12:26" x14ac:dyDescent="0.55000000000000004">
      <c r="L347">
        <v>342</v>
      </c>
      <c r="M347">
        <v>1.153724</v>
      </c>
      <c r="N347">
        <v>38443.638185999996</v>
      </c>
      <c r="O347">
        <f t="shared" si="25"/>
        <v>33321.347381176085</v>
      </c>
      <c r="W347">
        <v>342</v>
      </c>
      <c r="X347">
        <v>0.19874700000000001</v>
      </c>
      <c r="Y347">
        <v>7049.7788190000001</v>
      </c>
      <c r="Z347">
        <f t="shared" si="26"/>
        <v>35471.120665972318</v>
      </c>
    </row>
    <row r="348" spans="12:26" x14ac:dyDescent="0.55000000000000004">
      <c r="L348">
        <v>343</v>
      </c>
      <c r="M348">
        <v>1.153724</v>
      </c>
      <c r="N348">
        <v>38443.112588999997</v>
      </c>
      <c r="O348">
        <f t="shared" si="25"/>
        <v>33320.891815546871</v>
      </c>
      <c r="W348">
        <v>343</v>
      </c>
      <c r="X348">
        <v>0.19839599999999999</v>
      </c>
      <c r="Y348">
        <v>7033.9657189999998</v>
      </c>
      <c r="Z348">
        <f t="shared" si="26"/>
        <v>35454.171046795302</v>
      </c>
    </row>
    <row r="349" spans="12:26" x14ac:dyDescent="0.55000000000000004">
      <c r="L349">
        <v>344</v>
      </c>
      <c r="M349">
        <v>1.153724</v>
      </c>
      <c r="N349">
        <v>38442.613909</v>
      </c>
      <c r="O349">
        <f t="shared" si="25"/>
        <v>33320.459580454248</v>
      </c>
      <c r="W349">
        <v>344</v>
      </c>
      <c r="X349">
        <v>0.19807</v>
      </c>
      <c r="Y349">
        <v>7017.9376599999996</v>
      </c>
      <c r="Z349">
        <f t="shared" si="26"/>
        <v>35431.603271570653</v>
      </c>
    </row>
    <row r="350" spans="12:26" x14ac:dyDescent="0.55000000000000004">
      <c r="L350">
        <v>345</v>
      </c>
      <c r="M350">
        <v>1.153724</v>
      </c>
      <c r="N350">
        <v>38442.138217</v>
      </c>
      <c r="O350">
        <f t="shared" si="25"/>
        <v>33320.047270404364</v>
      </c>
      <c r="W350">
        <v>345</v>
      </c>
      <c r="X350">
        <v>0.197767</v>
      </c>
      <c r="Y350">
        <v>7001.6954249999999</v>
      </c>
      <c r="Z350">
        <f t="shared" si="26"/>
        <v>35403.760106590074</v>
      </c>
    </row>
    <row r="351" spans="12:26" x14ac:dyDescent="0.55000000000000004">
      <c r="L351">
        <v>346</v>
      </c>
      <c r="M351">
        <v>1.153724</v>
      </c>
      <c r="N351">
        <v>38441.681715999999</v>
      </c>
      <c r="O351">
        <f t="shared" si="25"/>
        <v>33319.651594315452</v>
      </c>
      <c r="W351">
        <v>346</v>
      </c>
      <c r="X351">
        <v>0.19748399999999999</v>
      </c>
      <c r="Y351">
        <v>6985.2398210000001</v>
      </c>
      <c r="Z351">
        <f t="shared" si="26"/>
        <v>35371.168403516233</v>
      </c>
    </row>
    <row r="352" spans="12:26" x14ac:dyDescent="0.55000000000000004">
      <c r="L352">
        <v>347</v>
      </c>
      <c r="M352">
        <v>1.153724</v>
      </c>
      <c r="N352">
        <v>38441.240717000001</v>
      </c>
      <c r="O352">
        <f t="shared" si="25"/>
        <v>33319.269354715689</v>
      </c>
      <c r="W352">
        <v>347</v>
      </c>
      <c r="X352">
        <v>0.197218</v>
      </c>
      <c r="Y352">
        <v>6968.5716789999997</v>
      </c>
      <c r="Z352">
        <f t="shared" si="26"/>
        <v>35334.359333326567</v>
      </c>
    </row>
    <row r="353" spans="12:26" x14ac:dyDescent="0.55000000000000004">
      <c r="L353">
        <v>348</v>
      </c>
      <c r="M353">
        <v>1.153724</v>
      </c>
      <c r="N353">
        <v>38440.811624000002</v>
      </c>
      <c r="O353">
        <f t="shared" si="25"/>
        <v>33318.897434741761</v>
      </c>
      <c r="W353">
        <v>348</v>
      </c>
      <c r="X353">
        <v>0.196966</v>
      </c>
      <c r="Y353">
        <v>6951.6918509999996</v>
      </c>
      <c r="Z353">
        <f t="shared" si="26"/>
        <v>35293.867220738604</v>
      </c>
    </row>
    <row r="354" spans="12:26" x14ac:dyDescent="0.55000000000000004">
      <c r="L354">
        <v>349</v>
      </c>
      <c r="M354">
        <v>1.153724</v>
      </c>
      <c r="N354">
        <v>38440.390910000002</v>
      </c>
      <c r="O354">
        <f t="shared" si="25"/>
        <v>33318.532777336695</v>
      </c>
      <c r="W354">
        <v>349</v>
      </c>
      <c r="X354">
        <v>0.19672600000000001</v>
      </c>
      <c r="Y354">
        <v>6934.6012110000001</v>
      </c>
      <c r="Z354">
        <f t="shared" si="26"/>
        <v>35250.049363073515</v>
      </c>
    </row>
    <row r="355" spans="12:26" x14ac:dyDescent="0.55000000000000004">
      <c r="L355">
        <v>350</v>
      </c>
      <c r="M355">
        <v>1.153724</v>
      </c>
      <c r="N355">
        <v>38439.975098000003</v>
      </c>
      <c r="O355">
        <f t="shared" si="25"/>
        <v>33318.172368781445</v>
      </c>
      <c r="W355">
        <v>350</v>
      </c>
      <c r="X355">
        <v>0.196493</v>
      </c>
      <c r="Y355">
        <v>6917.3006519999999</v>
      </c>
      <c r="Z355">
        <f t="shared" si="26"/>
        <v>35203.801926786196</v>
      </c>
    </row>
    <row r="356" spans="12:26" x14ac:dyDescent="0.55000000000000004">
      <c r="L356">
        <v>351</v>
      </c>
      <c r="M356">
        <v>1.153724</v>
      </c>
      <c r="N356">
        <v>38439.560744000002</v>
      </c>
      <c r="O356">
        <f t="shared" si="25"/>
        <v>33317.81322395998</v>
      </c>
      <c r="W356">
        <v>351</v>
      </c>
      <c r="X356">
        <v>0.196267</v>
      </c>
      <c r="Y356">
        <v>6899.7910840000004</v>
      </c>
      <c r="Z356">
        <f t="shared" si="26"/>
        <v>35155.125843875947</v>
      </c>
    </row>
    <row r="357" spans="12:26" x14ac:dyDescent="0.55000000000000004">
      <c r="L357">
        <v>352</v>
      </c>
      <c r="M357">
        <v>1.153724</v>
      </c>
      <c r="N357">
        <v>38439.144413000002</v>
      </c>
      <c r="O357">
        <f t="shared" si="25"/>
        <v>33317.452365557103</v>
      </c>
      <c r="W357">
        <v>352</v>
      </c>
      <c r="X357">
        <v>0.196044</v>
      </c>
      <c r="Y357">
        <v>6882.0734339999999</v>
      </c>
      <c r="Z357">
        <f t="shared" si="26"/>
        <v>35104.738905551814</v>
      </c>
    </row>
    <row r="358" spans="12:26" x14ac:dyDescent="0.55000000000000004">
      <c r="L358">
        <v>353</v>
      </c>
      <c r="M358">
        <v>1.153724</v>
      </c>
      <c r="N358">
        <v>38438.722665000001</v>
      </c>
      <c r="O358">
        <f t="shared" si="25"/>
        <v>33317.086811923822</v>
      </c>
      <c r="W358">
        <v>353</v>
      </c>
      <c r="X358">
        <v>0.195821</v>
      </c>
      <c r="Y358">
        <v>6864.1486450000002</v>
      </c>
      <c r="Z358">
        <f t="shared" si="26"/>
        <v>35053.179408745746</v>
      </c>
    </row>
    <row r="359" spans="12:26" x14ac:dyDescent="0.55000000000000004">
      <c r="L359">
        <v>354</v>
      </c>
      <c r="M359">
        <v>1.153724</v>
      </c>
      <c r="N359">
        <v>38438.292029999997</v>
      </c>
      <c r="O359">
        <f t="shared" si="25"/>
        <v>33316.713555408394</v>
      </c>
      <c r="W359">
        <v>354</v>
      </c>
      <c r="X359">
        <v>0.19559699999999999</v>
      </c>
      <c r="Y359">
        <v>6846.0176760000004</v>
      </c>
      <c r="Z359">
        <f t="shared" si="26"/>
        <v>35000.627187533551</v>
      </c>
    </row>
    <row r="360" spans="12:26" x14ac:dyDescent="0.55000000000000004">
      <c r="L360">
        <v>355</v>
      </c>
      <c r="M360">
        <v>1.153724</v>
      </c>
      <c r="N360">
        <v>38437.848991999999</v>
      </c>
      <c r="O360">
        <f t="shared" si="25"/>
        <v>33316.329548488204</v>
      </c>
      <c r="W360">
        <v>355</v>
      </c>
      <c r="X360">
        <v>0.19536700000000001</v>
      </c>
      <c r="Y360">
        <v>6827.6814949999998</v>
      </c>
      <c r="Z360">
        <f t="shared" si="26"/>
        <v>34947.977370794448</v>
      </c>
    </row>
    <row r="361" spans="12:26" x14ac:dyDescent="0.55000000000000004">
      <c r="L361">
        <v>356</v>
      </c>
      <c r="M361">
        <v>1.153724</v>
      </c>
      <c r="N361">
        <v>38437.389969999997</v>
      </c>
      <c r="O361">
        <f t="shared" si="25"/>
        <v>33315.931687301294</v>
      </c>
      <c r="W361">
        <v>356</v>
      </c>
      <c r="X361">
        <v>0.19513</v>
      </c>
      <c r="Y361">
        <v>6809.1410859999996</v>
      </c>
      <c r="Z361">
        <f t="shared" si="26"/>
        <v>34895.408630144004</v>
      </c>
    </row>
    <row r="362" spans="12:26" x14ac:dyDescent="0.55000000000000004">
      <c r="L362">
        <v>357</v>
      </c>
      <c r="M362">
        <v>1.153724</v>
      </c>
      <c r="N362">
        <v>38436.911295999998</v>
      </c>
      <c r="O362">
        <f t="shared" si="25"/>
        <v>33315.516792577771</v>
      </c>
      <c r="W362">
        <v>357</v>
      </c>
      <c r="X362">
        <v>0.194883</v>
      </c>
      <c r="Y362">
        <v>6790.3974429999998</v>
      </c>
      <c r="Z362">
        <f t="shared" si="26"/>
        <v>34843.457063981979</v>
      </c>
    </row>
    <row r="363" spans="12:26" x14ac:dyDescent="0.55000000000000004">
      <c r="L363">
        <v>358</v>
      </c>
      <c r="M363">
        <v>1.153724</v>
      </c>
      <c r="N363">
        <v>38436.409194</v>
      </c>
      <c r="O363">
        <f t="shared" si="25"/>
        <v>33315.081591437811</v>
      </c>
      <c r="W363">
        <v>358</v>
      </c>
      <c r="X363">
        <v>0.19462399999999999</v>
      </c>
      <c r="Y363">
        <v>6771.4515700000002</v>
      </c>
      <c r="Z363">
        <f t="shared" si="26"/>
        <v>34792.479704455771</v>
      </c>
    </row>
    <row r="364" spans="12:26" x14ac:dyDescent="0.55000000000000004">
      <c r="L364">
        <v>359</v>
      </c>
      <c r="M364">
        <v>1.1537230000000001</v>
      </c>
      <c r="N364">
        <v>38435.879766999999</v>
      </c>
      <c r="O364">
        <f t="shared" si="25"/>
        <v>33314.651581878839</v>
      </c>
      <c r="W364">
        <v>359</v>
      </c>
      <c r="X364">
        <v>0.19434999999999999</v>
      </c>
      <c r="Y364">
        <v>6752.3044810000001</v>
      </c>
      <c r="Z364">
        <f t="shared" si="26"/>
        <v>34743.012508361207</v>
      </c>
    </row>
    <row r="365" spans="12:26" x14ac:dyDescent="0.55000000000000004">
      <c r="L365">
        <v>360</v>
      </c>
      <c r="M365">
        <v>1.1537230000000001</v>
      </c>
      <c r="N365">
        <v>38435.318965999999</v>
      </c>
      <c r="O365">
        <f t="shared" si="25"/>
        <v>33314.165502464624</v>
      </c>
      <c r="W365">
        <v>360</v>
      </c>
      <c r="X365">
        <v>0.19405900000000001</v>
      </c>
      <c r="Y365">
        <v>6732.9571960000003</v>
      </c>
      <c r="Z365">
        <f t="shared" si="26"/>
        <v>34695.413229997066</v>
      </c>
    </row>
    <row r="366" spans="12:26" x14ac:dyDescent="0.55000000000000004">
      <c r="L366">
        <v>361</v>
      </c>
      <c r="M366">
        <v>1.1537230000000001</v>
      </c>
      <c r="N366">
        <v>38434.722580000001</v>
      </c>
      <c r="O366">
        <f t="shared" si="25"/>
        <v>33313.64857942504</v>
      </c>
      <c r="W366">
        <v>361</v>
      </c>
      <c r="X366">
        <v>0.193747</v>
      </c>
      <c r="Y366">
        <v>6713.4107439999998</v>
      </c>
      <c r="Z366">
        <f t="shared" si="26"/>
        <v>34650.398426814347</v>
      </c>
    </row>
    <row r="367" spans="12:26" x14ac:dyDescent="0.55000000000000004">
      <c r="L367">
        <v>362</v>
      </c>
      <c r="M367">
        <v>1.1537230000000001</v>
      </c>
      <c r="N367">
        <v>38434.086206</v>
      </c>
      <c r="O367">
        <f t="shared" si="25"/>
        <v>33313.096996419416</v>
      </c>
      <c r="W367">
        <v>362</v>
      </c>
      <c r="X367">
        <v>0.193414</v>
      </c>
      <c r="Y367">
        <v>6693.6661610000001</v>
      </c>
      <c r="Z367">
        <f t="shared" si="26"/>
        <v>34607.971299905905</v>
      </c>
    </row>
    <row r="368" spans="12:26" x14ac:dyDescent="0.55000000000000004">
      <c r="L368">
        <v>363</v>
      </c>
      <c r="M368">
        <v>1.1537230000000001</v>
      </c>
      <c r="N368">
        <v>38433.405234999998</v>
      </c>
      <c r="O368">
        <f t="shared" si="25"/>
        <v>33312.506758554693</v>
      </c>
      <c r="W368">
        <v>363</v>
      </c>
      <c r="X368">
        <v>0.193055</v>
      </c>
      <c r="Y368">
        <v>6673.7244879999998</v>
      </c>
      <c r="Z368">
        <f t="shared" si="26"/>
        <v>34569.032078941236</v>
      </c>
    </row>
    <row r="369" spans="12:26" x14ac:dyDescent="0.55000000000000004">
      <c r="L369">
        <v>364</v>
      </c>
      <c r="M369">
        <v>1.1537230000000001</v>
      </c>
      <c r="N369">
        <v>38432.674826000002</v>
      </c>
      <c r="O369">
        <f t="shared" si="25"/>
        <v>33311.873669849694</v>
      </c>
      <c r="W369">
        <v>364</v>
      </c>
      <c r="X369">
        <v>0.19267000000000001</v>
      </c>
      <c r="Y369">
        <v>6653.5867699999999</v>
      </c>
      <c r="Z369">
        <f t="shared" si="26"/>
        <v>34533.589920589606</v>
      </c>
    </row>
    <row r="370" spans="12:26" x14ac:dyDescent="0.55000000000000004">
      <c r="L370">
        <v>365</v>
      </c>
      <c r="M370">
        <v>1.1537230000000001</v>
      </c>
      <c r="N370">
        <v>38431.889882000003</v>
      </c>
      <c r="O370">
        <f t="shared" si="25"/>
        <v>33311.193312432879</v>
      </c>
      <c r="W370">
        <v>365</v>
      </c>
      <c r="X370">
        <v>0.19225500000000001</v>
      </c>
      <c r="Y370">
        <v>6633.2540580000004</v>
      </c>
      <c r="Z370">
        <f t="shared" si="26"/>
        <v>34502.374752282129</v>
      </c>
    </row>
    <row r="371" spans="12:26" x14ac:dyDescent="0.55000000000000004">
      <c r="L371">
        <v>366</v>
      </c>
      <c r="M371">
        <v>1.1537230000000001</v>
      </c>
      <c r="N371">
        <v>38431.045035000003</v>
      </c>
      <c r="O371">
        <f t="shared" si="25"/>
        <v>33310.461033540982</v>
      </c>
      <c r="W371">
        <v>366</v>
      </c>
      <c r="X371">
        <v>0.19180800000000001</v>
      </c>
      <c r="Y371">
        <v>6612.727406</v>
      </c>
      <c r="Z371">
        <f t="shared" si="26"/>
        <v>34475.764337253917</v>
      </c>
    </row>
    <row r="372" spans="12:26" x14ac:dyDescent="0.55000000000000004">
      <c r="L372">
        <v>367</v>
      </c>
      <c r="M372">
        <v>1.1537230000000001</v>
      </c>
      <c r="N372">
        <v>38430.134615000003</v>
      </c>
      <c r="O372">
        <f t="shared" si="25"/>
        <v>33309.671918649452</v>
      </c>
      <c r="W372">
        <v>367</v>
      </c>
      <c r="X372">
        <v>0.191328</v>
      </c>
      <c r="Y372">
        <v>6592.0078679999997</v>
      </c>
      <c r="Z372">
        <f t="shared" si="26"/>
        <v>34453.963183642751</v>
      </c>
    </row>
    <row r="373" spans="12:26" x14ac:dyDescent="0.55000000000000004">
      <c r="L373">
        <v>368</v>
      </c>
      <c r="M373">
        <v>1.1537230000000001</v>
      </c>
      <c r="N373">
        <v>38429.152628999997</v>
      </c>
      <c r="O373">
        <f t="shared" si="25"/>
        <v>33308.820773270527</v>
      </c>
      <c r="W373">
        <v>368</v>
      </c>
      <c r="X373">
        <v>0.19081100000000001</v>
      </c>
      <c r="Y373">
        <v>6571.0965050000004</v>
      </c>
      <c r="Z373">
        <f t="shared" si="26"/>
        <v>34437.723742341899</v>
      </c>
    </row>
    <row r="374" spans="12:26" x14ac:dyDescent="0.55000000000000004">
      <c r="L374">
        <v>369</v>
      </c>
      <c r="M374">
        <v>1.1537230000000001</v>
      </c>
      <c r="N374">
        <v>38428.092737999999</v>
      </c>
      <c r="O374">
        <f t="shared" si="25"/>
        <v>33307.90210301779</v>
      </c>
      <c r="W374">
        <v>369</v>
      </c>
      <c r="X374">
        <v>0.19025500000000001</v>
      </c>
      <c r="Y374">
        <v>6549.9943750000002</v>
      </c>
      <c r="Z374">
        <f t="shared" si="26"/>
        <v>34427.449344301072</v>
      </c>
    </row>
    <row r="375" spans="12:26" x14ac:dyDescent="0.55000000000000004">
      <c r="L375">
        <v>370</v>
      </c>
      <c r="M375">
        <v>1.1537230000000001</v>
      </c>
      <c r="N375">
        <v>38426.948231000002</v>
      </c>
      <c r="O375">
        <f t="shared" si="25"/>
        <v>33306.910091070386</v>
      </c>
      <c r="W375">
        <v>370</v>
      </c>
      <c r="X375">
        <v>0.18966</v>
      </c>
      <c r="Y375">
        <v>6528.7025389999999</v>
      </c>
      <c r="Z375">
        <f t="shared" si="26"/>
        <v>34423.191706211117</v>
      </c>
    </row>
    <row r="376" spans="12:26" x14ac:dyDescent="0.55000000000000004">
      <c r="L376">
        <v>371</v>
      </c>
      <c r="M376">
        <v>1.1537230000000001</v>
      </c>
      <c r="N376">
        <v>38425.712001</v>
      </c>
      <c r="O376">
        <f t="shared" si="25"/>
        <v>33305.838577370821</v>
      </c>
      <c r="W376">
        <v>371</v>
      </c>
      <c r="X376">
        <v>0.189022</v>
      </c>
      <c r="Y376">
        <v>6507.2220580000003</v>
      </c>
      <c r="Z376">
        <f t="shared" si="26"/>
        <v>34425.739109733258</v>
      </c>
    </row>
    <row r="377" spans="12:26" x14ac:dyDescent="0.55000000000000004">
      <c r="L377">
        <v>372</v>
      </c>
      <c r="M377">
        <v>1.1537230000000001</v>
      </c>
      <c r="N377">
        <v>38424.376515000004</v>
      </c>
      <c r="O377">
        <f t="shared" si="25"/>
        <v>33304.681032622218</v>
      </c>
      <c r="W377">
        <v>372</v>
      </c>
      <c r="X377">
        <v>0.18834000000000001</v>
      </c>
      <c r="Y377">
        <v>6485.5539920000001</v>
      </c>
      <c r="Z377">
        <f t="shared" si="26"/>
        <v>34435.350918551558</v>
      </c>
    </row>
    <row r="378" spans="12:26" x14ac:dyDescent="0.55000000000000004">
      <c r="L378">
        <v>373</v>
      </c>
      <c r="M378">
        <v>1.1537230000000001</v>
      </c>
      <c r="N378">
        <v>38422.933792000003</v>
      </c>
      <c r="O378">
        <f t="shared" si="25"/>
        <v>33303.430539219553</v>
      </c>
      <c r="W378">
        <v>373</v>
      </c>
      <c r="X378">
        <v>0.187613</v>
      </c>
      <c r="Y378">
        <v>6463.6994009999999</v>
      </c>
      <c r="Z378">
        <f t="shared" si="26"/>
        <v>34452.300219067976</v>
      </c>
    </row>
    <row r="379" spans="12:26" x14ac:dyDescent="0.55000000000000004">
      <c r="L379">
        <v>374</v>
      </c>
      <c r="M379">
        <v>1.1537230000000001</v>
      </c>
      <c r="N379">
        <v>38421.375375000003</v>
      </c>
      <c r="O379">
        <f t="shared" si="25"/>
        <v>33302.079766980467</v>
      </c>
      <c r="W379">
        <v>374</v>
      </c>
      <c r="X379">
        <v>0.186838</v>
      </c>
      <c r="Y379">
        <v>6441.6593439999997</v>
      </c>
      <c r="Z379">
        <f t="shared" si="26"/>
        <v>34477.244158040652</v>
      </c>
    </row>
    <row r="380" spans="12:26" x14ac:dyDescent="0.55000000000000004">
      <c r="L380">
        <v>375</v>
      </c>
      <c r="M380">
        <v>1.1537230000000001</v>
      </c>
      <c r="N380">
        <v>38419.692301000003</v>
      </c>
      <c r="O380">
        <f t="shared" si="25"/>
        <v>33300.620947142423</v>
      </c>
      <c r="W380">
        <v>375</v>
      </c>
      <c r="X380">
        <v>0.18601500000000001</v>
      </c>
      <c r="Y380">
        <v>6419.4348760000003</v>
      </c>
      <c r="Z380">
        <f t="shared" si="26"/>
        <v>34510.307641856838</v>
      </c>
    </row>
    <row r="381" spans="12:26" x14ac:dyDescent="0.55000000000000004">
      <c r="L381">
        <v>376</v>
      </c>
      <c r="M381">
        <v>1.1537219999999999</v>
      </c>
      <c r="N381">
        <v>38417.875074000003</v>
      </c>
      <c r="O381">
        <f t="shared" si="25"/>
        <v>33299.074711238936</v>
      </c>
      <c r="W381">
        <v>376</v>
      </c>
      <c r="X381">
        <v>0.185142</v>
      </c>
      <c r="Y381">
        <v>6397.0270520000004</v>
      </c>
      <c r="Z381">
        <f t="shared" si="26"/>
        <v>34552.003608041399</v>
      </c>
    </row>
    <row r="382" spans="12:26" x14ac:dyDescent="0.55000000000000004">
      <c r="L382">
        <v>377</v>
      </c>
      <c r="M382">
        <v>1.1537219999999999</v>
      </c>
      <c r="N382">
        <v>38415.913635999997</v>
      </c>
      <c r="O382">
        <f t="shared" si="25"/>
        <v>33297.37461537528</v>
      </c>
      <c r="W382">
        <v>377</v>
      </c>
      <c r="X382">
        <v>0.18421799999999999</v>
      </c>
      <c r="Y382">
        <v>6374.4369219999999</v>
      </c>
      <c r="Z382">
        <f t="shared" si="26"/>
        <v>34602.682267747994</v>
      </c>
    </row>
    <row r="383" spans="12:26" x14ac:dyDescent="0.55000000000000004">
      <c r="L383">
        <v>378</v>
      </c>
      <c r="M383">
        <v>1.1537219999999999</v>
      </c>
      <c r="N383">
        <v>38413.797338999997</v>
      </c>
      <c r="O383">
        <f t="shared" si="25"/>
        <v>33295.540293935628</v>
      </c>
      <c r="W383">
        <v>378</v>
      </c>
      <c r="X383">
        <v>0.18324299999999999</v>
      </c>
      <c r="Y383">
        <v>6351.6655360000004</v>
      </c>
      <c r="Z383">
        <f t="shared" si="26"/>
        <v>34662.527550847786</v>
      </c>
    </row>
    <row r="384" spans="12:26" x14ac:dyDescent="0.55000000000000004">
      <c r="L384">
        <v>379</v>
      </c>
      <c r="M384">
        <v>1.1537219999999999</v>
      </c>
      <c r="N384">
        <v>38411.514910999998</v>
      </c>
      <c r="O384">
        <f t="shared" si="25"/>
        <v>33293.561976802041</v>
      </c>
      <c r="W384">
        <v>379</v>
      </c>
      <c r="X384">
        <v>0.18221499999999999</v>
      </c>
      <c r="Y384">
        <v>6328.7139370000004</v>
      </c>
      <c r="Z384">
        <f t="shared" si="26"/>
        <v>34732.12379332108</v>
      </c>
    </row>
    <row r="385" spans="12:26" x14ac:dyDescent="0.55000000000000004">
      <c r="L385">
        <v>380</v>
      </c>
      <c r="M385">
        <v>1.153721</v>
      </c>
      <c r="N385">
        <v>38409.054429999997</v>
      </c>
      <c r="O385">
        <f t="shared" si="25"/>
        <v>33291.458186164593</v>
      </c>
      <c r="W385">
        <v>380</v>
      </c>
      <c r="X385">
        <v>0.18113599999999999</v>
      </c>
      <c r="Y385">
        <v>6305.583165</v>
      </c>
      <c r="Z385">
        <f t="shared" si="26"/>
        <v>34811.319478182144</v>
      </c>
    </row>
    <row r="386" spans="12:26" x14ac:dyDescent="0.55000000000000004">
      <c r="L386">
        <v>381</v>
      </c>
      <c r="M386">
        <v>1.153721</v>
      </c>
      <c r="N386">
        <v>38406.403291000002</v>
      </c>
      <c r="O386">
        <f t="shared" si="25"/>
        <v>33289.160283118712</v>
      </c>
      <c r="W386">
        <v>381</v>
      </c>
      <c r="X386">
        <v>0.180004</v>
      </c>
      <c r="Y386">
        <v>6282.2742559999997</v>
      </c>
      <c r="Z386">
        <f t="shared" si="26"/>
        <v>34900.748072265058</v>
      </c>
    </row>
    <row r="387" spans="12:26" x14ac:dyDescent="0.55000000000000004">
      <c r="L387">
        <v>382</v>
      </c>
      <c r="M387">
        <v>1.1537200000000001</v>
      </c>
      <c r="N387">
        <v>38403.548174000003</v>
      </c>
      <c r="O387">
        <f t="shared" si="25"/>
        <v>33286.71443157785</v>
      </c>
      <c r="W387">
        <v>382</v>
      </c>
      <c r="X387">
        <v>0.17881900000000001</v>
      </c>
      <c r="Y387">
        <v>6258.7882410000002</v>
      </c>
      <c r="Z387">
        <f t="shared" si="26"/>
        <v>35000.689194101295</v>
      </c>
    </row>
    <row r="388" spans="12:26" x14ac:dyDescent="0.55000000000000004">
      <c r="L388">
        <v>383</v>
      </c>
      <c r="M388">
        <v>1.1537200000000001</v>
      </c>
      <c r="N388">
        <v>38400.475013000003</v>
      </c>
      <c r="O388">
        <f t="shared" si="25"/>
        <v>33284.050734146935</v>
      </c>
      <c r="W388">
        <v>383</v>
      </c>
      <c r="X388">
        <v>0.17758299999999999</v>
      </c>
      <c r="Y388">
        <v>6235.1261439999998</v>
      </c>
      <c r="Z388">
        <f t="shared" si="26"/>
        <v>35111.053107560969</v>
      </c>
    </row>
    <row r="389" spans="12:26" x14ac:dyDescent="0.55000000000000004">
      <c r="L389">
        <v>384</v>
      </c>
      <c r="M389">
        <v>1.1537189999999999</v>
      </c>
      <c r="N389">
        <v>38397.168963999997</v>
      </c>
      <c r="O389">
        <f t="shared" si="25"/>
        <v>33281.214025252251</v>
      </c>
      <c r="W389">
        <v>384</v>
      </c>
      <c r="X389">
        <v>0.17629600000000001</v>
      </c>
      <c r="Y389">
        <v>6211.2889859999996</v>
      </c>
      <c r="Z389">
        <f t="shared" si="26"/>
        <v>35232.160604891767</v>
      </c>
    </row>
    <row r="390" spans="12:26" x14ac:dyDescent="0.55000000000000004">
      <c r="L390">
        <v>385</v>
      </c>
      <c r="M390">
        <v>1.153718</v>
      </c>
      <c r="N390">
        <v>38393.614372999997</v>
      </c>
      <c r="O390">
        <f t="shared" ref="O390:O453" si="27">N390/M390</f>
        <v>33278.161884446628</v>
      </c>
      <c r="W390">
        <v>385</v>
      </c>
      <c r="X390">
        <v>0.174958</v>
      </c>
      <c r="Y390">
        <v>6187.277779</v>
      </c>
      <c r="Z390">
        <f t="shared" si="26"/>
        <v>35364.360469369793</v>
      </c>
    </row>
    <row r="391" spans="12:26" x14ac:dyDescent="0.55000000000000004">
      <c r="L391">
        <v>386</v>
      </c>
      <c r="M391">
        <v>1.1537170000000001</v>
      </c>
      <c r="N391">
        <v>38389.794741999998</v>
      </c>
      <c r="O391">
        <f t="shared" si="27"/>
        <v>33274.880011302594</v>
      </c>
      <c r="W391">
        <v>386</v>
      </c>
      <c r="X391">
        <v>0.173572</v>
      </c>
      <c r="Y391">
        <v>6163.0935310000004</v>
      </c>
      <c r="Z391">
        <f t="shared" ref="Z391:Z454" si="28">Y391/X391</f>
        <v>35507.417849653175</v>
      </c>
    </row>
    <row r="392" spans="12:26" x14ac:dyDescent="0.55000000000000004">
      <c r="L392">
        <v>387</v>
      </c>
      <c r="M392">
        <v>1.153716</v>
      </c>
      <c r="N392">
        <v>38385.692696999999</v>
      </c>
      <c r="O392">
        <f t="shared" si="27"/>
        <v>33271.353346057433</v>
      </c>
      <c r="W392">
        <v>387</v>
      </c>
      <c r="X392">
        <v>0.17213899999999999</v>
      </c>
      <c r="Y392">
        <v>6138.7372429999996</v>
      </c>
      <c r="Z392">
        <f t="shared" si="28"/>
        <v>35661.513329344307</v>
      </c>
    </row>
    <row r="393" spans="12:26" x14ac:dyDescent="0.55000000000000004">
      <c r="L393">
        <v>388</v>
      </c>
      <c r="M393">
        <v>1.1537139999999999</v>
      </c>
      <c r="N393">
        <v>38381.289959000002</v>
      </c>
      <c r="O393">
        <f t="shared" si="27"/>
        <v>33267.594879666889</v>
      </c>
      <c r="W393">
        <v>388</v>
      </c>
      <c r="X393">
        <v>0.17066000000000001</v>
      </c>
      <c r="Y393">
        <v>6114.209906</v>
      </c>
      <c r="Z393">
        <f t="shared" si="28"/>
        <v>35826.848154224775</v>
      </c>
    </row>
    <row r="394" spans="12:26" x14ac:dyDescent="0.55000000000000004">
      <c r="L394">
        <v>389</v>
      </c>
      <c r="M394">
        <v>1.153713</v>
      </c>
      <c r="N394">
        <v>38376.567303999997</v>
      </c>
      <c r="O394">
        <f t="shared" si="27"/>
        <v>33263.530274860386</v>
      </c>
      <c r="W394">
        <v>389</v>
      </c>
      <c r="X394">
        <v>0.16913800000000001</v>
      </c>
      <c r="Y394">
        <v>6089.5125070000004</v>
      </c>
      <c r="Z394">
        <f t="shared" si="28"/>
        <v>36003.219306128725</v>
      </c>
    </row>
    <row r="395" spans="12:26" x14ac:dyDescent="0.55000000000000004">
      <c r="L395">
        <v>390</v>
      </c>
      <c r="M395">
        <v>1.1537109999999999</v>
      </c>
      <c r="N395">
        <v>38371.504537000001</v>
      </c>
      <c r="O395">
        <f t="shared" si="27"/>
        <v>33259.199692990711</v>
      </c>
      <c r="W395">
        <v>390</v>
      </c>
      <c r="X395">
        <v>0.167575</v>
      </c>
      <c r="Y395">
        <v>6064.6460230000002</v>
      </c>
      <c r="Z395">
        <f t="shared" si="28"/>
        <v>36190.637165448308</v>
      </c>
    </row>
    <row r="396" spans="12:26" x14ac:dyDescent="0.55000000000000004">
      <c r="L396">
        <v>391</v>
      </c>
      <c r="M396">
        <v>1.153708</v>
      </c>
      <c r="N396">
        <v>38366.080457999997</v>
      </c>
      <c r="O396">
        <f t="shared" si="27"/>
        <v>33254.584745880238</v>
      </c>
      <c r="W396">
        <v>391</v>
      </c>
      <c r="X396">
        <v>0.16597400000000001</v>
      </c>
      <c r="Y396">
        <v>6039.6114239999997</v>
      </c>
      <c r="Z396">
        <f t="shared" si="28"/>
        <v>36388.900815790425</v>
      </c>
    </row>
    <row r="397" spans="12:26" x14ac:dyDescent="0.55000000000000004">
      <c r="L397">
        <v>392</v>
      </c>
      <c r="M397">
        <v>1.153705</v>
      </c>
      <c r="N397">
        <v>38360.272829000001</v>
      </c>
      <c r="O397">
        <f t="shared" si="27"/>
        <v>33249.63732409932</v>
      </c>
      <c r="W397">
        <v>392</v>
      </c>
      <c r="X397">
        <v>0.16433800000000001</v>
      </c>
      <c r="Y397">
        <v>6014.40967</v>
      </c>
      <c r="Z397">
        <f t="shared" si="28"/>
        <v>36597.802516764226</v>
      </c>
    </row>
    <row r="398" spans="12:26" x14ac:dyDescent="0.55000000000000004">
      <c r="L398">
        <v>393</v>
      </c>
      <c r="M398">
        <v>1.153702</v>
      </c>
      <c r="N398">
        <v>38354.058343999997</v>
      </c>
      <c r="O398">
        <f t="shared" si="27"/>
        <v>33244.33722399718</v>
      </c>
      <c r="W398">
        <v>393</v>
      </c>
      <c r="X398">
        <v>0.16266900000000001</v>
      </c>
      <c r="Y398">
        <v>5989.0417150000003</v>
      </c>
      <c r="Z398">
        <f t="shared" si="28"/>
        <v>36817.351277748065</v>
      </c>
    </row>
    <row r="399" spans="12:26" x14ac:dyDescent="0.55000000000000004">
      <c r="L399">
        <v>394</v>
      </c>
      <c r="M399">
        <v>1.1536979999999999</v>
      </c>
      <c r="N399">
        <v>38347.412599000003</v>
      </c>
      <c r="O399">
        <f t="shared" si="27"/>
        <v>33238.692100532382</v>
      </c>
      <c r="W399">
        <v>394</v>
      </c>
      <c r="X399">
        <v>0.160971</v>
      </c>
      <c r="Y399">
        <v>5963.5085010000003</v>
      </c>
      <c r="Z399">
        <f t="shared" si="28"/>
        <v>37047.098551913077</v>
      </c>
    </row>
    <row r="400" spans="12:26" x14ac:dyDescent="0.55000000000000004">
      <c r="L400">
        <v>395</v>
      </c>
      <c r="M400">
        <v>1.153694</v>
      </c>
      <c r="N400">
        <v>38340.310060999996</v>
      </c>
      <c r="O400">
        <f t="shared" si="27"/>
        <v>33232.650998444995</v>
      </c>
      <c r="W400">
        <v>395</v>
      </c>
      <c r="X400">
        <v>0.159247</v>
      </c>
      <c r="Y400">
        <v>5937.8109610000001</v>
      </c>
      <c r="Z400">
        <f t="shared" si="28"/>
        <v>37286.799506427124</v>
      </c>
    </row>
    <row r="401" spans="12:26" x14ac:dyDescent="0.55000000000000004">
      <c r="L401">
        <v>396</v>
      </c>
      <c r="M401">
        <v>1.153689</v>
      </c>
      <c r="N401">
        <v>38332.724040000001</v>
      </c>
      <c r="O401">
        <f t="shared" si="27"/>
        <v>33226.219579106677</v>
      </c>
      <c r="W401">
        <v>396</v>
      </c>
      <c r="X401">
        <v>0.157501</v>
      </c>
      <c r="Y401">
        <v>5911.9500310000003</v>
      </c>
      <c r="Z401">
        <f t="shared" si="28"/>
        <v>37535.952349508894</v>
      </c>
    </row>
    <row r="402" spans="12:26" x14ac:dyDescent="0.55000000000000004">
      <c r="L402">
        <v>397</v>
      </c>
      <c r="M402">
        <v>1.153683</v>
      </c>
      <c r="N402">
        <v>38324.626660000002</v>
      </c>
      <c r="O402">
        <f t="shared" si="27"/>
        <v>33219.373658101926</v>
      </c>
      <c r="W402">
        <v>397</v>
      </c>
      <c r="X402">
        <v>0.15573699999999999</v>
      </c>
      <c r="Y402">
        <v>5885.9265949999999</v>
      </c>
      <c r="Z402">
        <f t="shared" si="28"/>
        <v>37794.015519754459</v>
      </c>
    </row>
    <row r="403" spans="12:26" x14ac:dyDescent="0.55000000000000004">
      <c r="L403">
        <v>398</v>
      </c>
      <c r="M403">
        <v>1.1536759999999999</v>
      </c>
      <c r="N403">
        <v>38315.988834000003</v>
      </c>
      <c r="O403">
        <f t="shared" si="27"/>
        <v>33212.087998710216</v>
      </c>
      <c r="W403">
        <v>398</v>
      </c>
      <c r="X403">
        <v>0.15395800000000001</v>
      </c>
      <c r="Y403">
        <v>5859.7409820000003</v>
      </c>
      <c r="Z403">
        <f t="shared" si="28"/>
        <v>38060.646293144884</v>
      </c>
    </row>
    <row r="404" spans="12:26" x14ac:dyDescent="0.55000000000000004">
      <c r="L404">
        <v>399</v>
      </c>
      <c r="M404">
        <v>1.1536679999999999</v>
      </c>
      <c r="N404">
        <v>38306.78024</v>
      </c>
      <c r="O404">
        <f t="shared" si="27"/>
        <v>33204.336290856641</v>
      </c>
      <c r="W404">
        <v>399</v>
      </c>
      <c r="X404">
        <v>0.152168</v>
      </c>
      <c r="Y404">
        <v>5833.4045370000003</v>
      </c>
      <c r="Z404">
        <f t="shared" si="28"/>
        <v>38335.290843015617</v>
      </c>
    </row>
    <row r="405" spans="12:26" x14ac:dyDescent="0.55000000000000004">
      <c r="L405">
        <v>400</v>
      </c>
      <c r="M405">
        <v>1.1536580000000001</v>
      </c>
      <c r="N405">
        <v>38296.969292000002</v>
      </c>
      <c r="O405">
        <f t="shared" si="27"/>
        <v>33196.119900351747</v>
      </c>
      <c r="W405">
        <v>400</v>
      </c>
      <c r="X405">
        <v>0.15037</v>
      </c>
      <c r="Y405">
        <v>5806.8175460000002</v>
      </c>
      <c r="Z405">
        <f t="shared" si="28"/>
        <v>38616.862046950853</v>
      </c>
    </row>
    <row r="406" spans="12:26" x14ac:dyDescent="0.55000000000000004">
      <c r="L406">
        <v>401</v>
      </c>
      <c r="M406">
        <v>1.1536470000000001</v>
      </c>
      <c r="N406">
        <v>38286.523126</v>
      </c>
      <c r="O406">
        <f t="shared" si="27"/>
        <v>33187.381517916656</v>
      </c>
      <c r="W406">
        <v>401</v>
      </c>
      <c r="X406">
        <v>0.14858199999999999</v>
      </c>
      <c r="Y406">
        <v>5780.5590869999996</v>
      </c>
      <c r="Z406">
        <f t="shared" si="28"/>
        <v>38904.841010351185</v>
      </c>
    </row>
    <row r="407" spans="12:26" x14ac:dyDescent="0.55000000000000004">
      <c r="L407">
        <v>402</v>
      </c>
      <c r="M407">
        <v>1.153635</v>
      </c>
      <c r="N407">
        <v>38275.407573999997</v>
      </c>
      <c r="O407">
        <f t="shared" si="27"/>
        <v>33178.091488209007</v>
      </c>
      <c r="W407">
        <v>402</v>
      </c>
      <c r="X407">
        <v>0.14680599999999999</v>
      </c>
      <c r="Y407">
        <v>5754.527247</v>
      </c>
      <c r="Z407">
        <f t="shared" si="28"/>
        <v>39198.174781684676</v>
      </c>
    </row>
    <row r="408" spans="12:26" x14ac:dyDescent="0.55000000000000004">
      <c r="L408">
        <v>403</v>
      </c>
      <c r="M408">
        <v>1.1536200000000001</v>
      </c>
      <c r="N408">
        <v>38263.587149999999</v>
      </c>
      <c r="O408">
        <f t="shared" si="27"/>
        <v>33168.276512196389</v>
      </c>
      <c r="W408">
        <v>403</v>
      </c>
      <c r="X408">
        <v>0.14504500000000001</v>
      </c>
      <c r="Y408">
        <v>5728.7315619999999</v>
      </c>
      <c r="Z408">
        <f t="shared" si="28"/>
        <v>39496.236078458409</v>
      </c>
    </row>
    <row r="409" spans="12:26" x14ac:dyDescent="0.55000000000000004">
      <c r="L409">
        <v>404</v>
      </c>
      <c r="M409">
        <v>1.1536029999999999</v>
      </c>
      <c r="N409">
        <v>38251.025028999997</v>
      </c>
      <c r="O409">
        <f t="shared" si="27"/>
        <v>33157.875828166187</v>
      </c>
      <c r="W409">
        <v>404</v>
      </c>
      <c r="X409">
        <v>0.14330499999999999</v>
      </c>
      <c r="Y409">
        <v>5703.1704829999999</v>
      </c>
      <c r="Z409">
        <f t="shared" si="28"/>
        <v>39797.428442831726</v>
      </c>
    </row>
    <row r="410" spans="12:26" x14ac:dyDescent="0.55000000000000004">
      <c r="L410">
        <v>405</v>
      </c>
      <c r="M410">
        <v>1.1535839999999999</v>
      </c>
      <c r="N410">
        <v>38237.683043999998</v>
      </c>
      <c r="O410">
        <f t="shared" si="27"/>
        <v>33146.856270544667</v>
      </c>
      <c r="W410">
        <v>405</v>
      </c>
      <c r="X410">
        <v>0.14158699999999999</v>
      </c>
      <c r="Y410">
        <v>5677.8429999999998</v>
      </c>
      <c r="Z410">
        <f t="shared" si="28"/>
        <v>40101.442929082477</v>
      </c>
    </row>
    <row r="411" spans="12:26" x14ac:dyDescent="0.55000000000000004">
      <c r="L411">
        <v>406</v>
      </c>
      <c r="M411">
        <v>1.153562</v>
      </c>
      <c r="N411">
        <v>38223.521666000001</v>
      </c>
      <c r="O411">
        <f t="shared" si="27"/>
        <v>33135.212208793288</v>
      </c>
      <c r="W411">
        <v>406</v>
      </c>
      <c r="X411">
        <v>0.13989599999999999</v>
      </c>
      <c r="Y411">
        <v>5652.7481340000004</v>
      </c>
      <c r="Z411">
        <f t="shared" si="28"/>
        <v>40406.788857436957</v>
      </c>
    </row>
    <row r="412" spans="12:26" x14ac:dyDescent="0.55000000000000004">
      <c r="L412">
        <v>407</v>
      </c>
      <c r="M412">
        <v>1.153537</v>
      </c>
      <c r="N412">
        <v>38208.500001</v>
      </c>
      <c r="O412">
        <f t="shared" si="27"/>
        <v>33122.90806536765</v>
      </c>
      <c r="W412">
        <v>407</v>
      </c>
      <c r="X412">
        <v>0.138234</v>
      </c>
      <c r="Y412">
        <v>5627.8848799999996</v>
      </c>
      <c r="Z412">
        <f t="shared" si="28"/>
        <v>40712.739846926226</v>
      </c>
    </row>
    <row r="413" spans="12:26" x14ac:dyDescent="0.55000000000000004">
      <c r="L413">
        <v>408</v>
      </c>
      <c r="M413">
        <v>1.153508</v>
      </c>
      <c r="N413">
        <v>38192.575786000001</v>
      </c>
      <c r="O413">
        <f t="shared" si="27"/>
        <v>33109.935766375267</v>
      </c>
      <c r="W413">
        <v>408</v>
      </c>
      <c r="X413">
        <v>0.13660600000000001</v>
      </c>
      <c r="Y413">
        <v>5603.2522250000002</v>
      </c>
      <c r="Z413">
        <f t="shared" si="28"/>
        <v>41017.614343440262</v>
      </c>
    </row>
    <row r="414" spans="12:26" x14ac:dyDescent="0.55000000000000004">
      <c r="L414">
        <v>409</v>
      </c>
      <c r="M414">
        <v>1.153475</v>
      </c>
      <c r="N414">
        <v>38175.705388000002</v>
      </c>
      <c r="O414">
        <f t="shared" si="27"/>
        <v>33096.257299031189</v>
      </c>
      <c r="W414">
        <v>409</v>
      </c>
      <c r="X414">
        <v>0.135014</v>
      </c>
      <c r="Y414">
        <v>5578.8491430000004</v>
      </c>
      <c r="Z414">
        <f t="shared" si="28"/>
        <v>41320.523375353674</v>
      </c>
    </row>
    <row r="415" spans="12:26" x14ac:dyDescent="0.55000000000000004">
      <c r="L415">
        <v>410</v>
      </c>
      <c r="M415">
        <v>1.153437</v>
      </c>
      <c r="N415">
        <v>38157.843803000003</v>
      </c>
      <c r="O415">
        <f t="shared" si="27"/>
        <v>33081.862124242594</v>
      </c>
      <c r="W415">
        <v>410</v>
      </c>
      <c r="X415">
        <v>0.13346</v>
      </c>
      <c r="Y415">
        <v>5554.6745959999998</v>
      </c>
      <c r="Z415">
        <f t="shared" si="28"/>
        <v>41620.519976022777</v>
      </c>
    </row>
    <row r="416" spans="12:26" x14ac:dyDescent="0.55000000000000004">
      <c r="L416">
        <v>411</v>
      </c>
      <c r="M416">
        <v>1.1533929999999999</v>
      </c>
      <c r="N416">
        <v>38138.944667999996</v>
      </c>
      <c r="O416">
        <f t="shared" si="27"/>
        <v>33066.73845601629</v>
      </c>
      <c r="W416">
        <v>411</v>
      </c>
      <c r="X416">
        <v>0.13194800000000001</v>
      </c>
      <c r="Y416">
        <v>5530.7275380000001</v>
      </c>
      <c r="Z416">
        <f t="shared" si="28"/>
        <v>41915.963394670624</v>
      </c>
    </row>
    <row r="417" spans="12:26" x14ac:dyDescent="0.55000000000000004">
      <c r="L417">
        <v>412</v>
      </c>
      <c r="M417">
        <v>1.1533439999999999</v>
      </c>
      <c r="N417">
        <v>38118.960267000002</v>
      </c>
      <c r="O417">
        <f t="shared" si="27"/>
        <v>33050.815946499919</v>
      </c>
      <c r="W417">
        <v>412</v>
      </c>
      <c r="X417">
        <v>0.13047900000000001</v>
      </c>
      <c r="Y417">
        <v>5507.0069080000003</v>
      </c>
      <c r="Z417">
        <f t="shared" si="28"/>
        <v>42206.078434077514</v>
      </c>
    </row>
    <row r="418" spans="12:26" x14ac:dyDescent="0.55000000000000004">
      <c r="L418">
        <v>413</v>
      </c>
      <c r="M418">
        <v>1.1532880000000001</v>
      </c>
      <c r="N418">
        <v>38097.841547000004</v>
      </c>
      <c r="O418">
        <f t="shared" si="27"/>
        <v>33034.109040413146</v>
      </c>
      <c r="W418">
        <v>413</v>
      </c>
      <c r="X418">
        <v>0.129056</v>
      </c>
      <c r="Y418">
        <v>5483.5116360000002</v>
      </c>
      <c r="Z418">
        <f t="shared" si="28"/>
        <v>42489.397129928097</v>
      </c>
    </row>
    <row r="419" spans="12:26" x14ac:dyDescent="0.55000000000000004">
      <c r="L419">
        <v>414</v>
      </c>
      <c r="M419">
        <v>1.1532249999999999</v>
      </c>
      <c r="N419">
        <v>38075.538134000002</v>
      </c>
      <c r="O419">
        <f t="shared" si="27"/>
        <v>33016.573638275273</v>
      </c>
      <c r="W419">
        <v>414</v>
      </c>
      <c r="X419">
        <v>0.12767999999999999</v>
      </c>
      <c r="Y419">
        <v>5460.2406410000003</v>
      </c>
      <c r="Z419">
        <f t="shared" si="28"/>
        <v>42765.042614348378</v>
      </c>
    </row>
    <row r="420" spans="12:26" x14ac:dyDescent="0.55000000000000004">
      <c r="L420">
        <v>415</v>
      </c>
      <c r="M420">
        <v>1.1531530000000001</v>
      </c>
      <c r="N420">
        <v>38051.998360999998</v>
      </c>
      <c r="O420">
        <f t="shared" si="27"/>
        <v>32998.221711256003</v>
      </c>
      <c r="W420">
        <v>415</v>
      </c>
      <c r="X420">
        <v>0.12635199999999999</v>
      </c>
      <c r="Y420">
        <v>5437.1928280000002</v>
      </c>
      <c r="Z420">
        <f t="shared" si="28"/>
        <v>43032.107350892751</v>
      </c>
    </row>
    <row r="421" spans="12:26" x14ac:dyDescent="0.55000000000000004">
      <c r="L421">
        <v>416</v>
      </c>
      <c r="M421">
        <v>1.153071</v>
      </c>
      <c r="N421">
        <v>38027.169288999998</v>
      </c>
      <c r="O421">
        <f t="shared" si="27"/>
        <v>32979.035366425829</v>
      </c>
      <c r="W421">
        <v>416</v>
      </c>
      <c r="X421">
        <v>0.12507499999999999</v>
      </c>
      <c r="Y421">
        <v>5414.3670959999999</v>
      </c>
      <c r="Z421">
        <f t="shared" si="28"/>
        <v>43288.963389966026</v>
      </c>
    </row>
    <row r="422" spans="12:26" x14ac:dyDescent="0.55000000000000004">
      <c r="L422">
        <v>417</v>
      </c>
      <c r="M422">
        <v>1.152979</v>
      </c>
      <c r="N422">
        <v>38000.996743000003</v>
      </c>
      <c r="O422">
        <f t="shared" si="27"/>
        <v>32958.966939553975</v>
      </c>
      <c r="W422">
        <v>417</v>
      </c>
      <c r="X422">
        <v>0.12385</v>
      </c>
      <c r="Y422">
        <v>5391.7623290000001</v>
      </c>
      <c r="Z422">
        <f t="shared" si="28"/>
        <v>43534.617109406543</v>
      </c>
    </row>
    <row r="423" spans="12:26" x14ac:dyDescent="0.55000000000000004">
      <c r="L423">
        <v>418</v>
      </c>
      <c r="M423">
        <v>1.1528750000000001</v>
      </c>
      <c r="N423">
        <v>37973.425351999998</v>
      </c>
      <c r="O423">
        <f t="shared" si="27"/>
        <v>32938.024809281138</v>
      </c>
      <c r="W423">
        <v>418</v>
      </c>
      <c r="X423">
        <v>0.12267500000000001</v>
      </c>
      <c r="Y423">
        <v>5369.3774030000004</v>
      </c>
      <c r="Z423">
        <f t="shared" si="28"/>
        <v>43769.124948033423</v>
      </c>
    </row>
    <row r="424" spans="12:26" x14ac:dyDescent="0.55000000000000004">
      <c r="L424">
        <v>419</v>
      </c>
      <c r="M424">
        <v>1.1527579999999999</v>
      </c>
      <c r="N424">
        <v>37944.398583000002</v>
      </c>
      <c r="O424">
        <f t="shared" si="27"/>
        <v>32916.187597917349</v>
      </c>
      <c r="W424">
        <v>419</v>
      </c>
      <c r="X424">
        <v>0.12155299999999999</v>
      </c>
      <c r="Y424">
        <v>5347.2111830000003</v>
      </c>
      <c r="Z424">
        <f t="shared" si="28"/>
        <v>43990.779190970199</v>
      </c>
    </row>
    <row r="425" spans="12:26" x14ac:dyDescent="0.55000000000000004">
      <c r="L425">
        <v>420</v>
      </c>
      <c r="M425">
        <v>1.1526259999999999</v>
      </c>
      <c r="N425">
        <v>37913.858798000001</v>
      </c>
      <c r="O425">
        <f t="shared" si="27"/>
        <v>32893.461363876922</v>
      </c>
      <c r="W425">
        <v>420</v>
      </c>
      <c r="X425">
        <v>0.12048399999999999</v>
      </c>
      <c r="Y425">
        <v>5325.2625250000001</v>
      </c>
      <c r="Z425">
        <f t="shared" si="28"/>
        <v>44198.918736097745</v>
      </c>
    </row>
    <row r="426" spans="12:26" x14ac:dyDescent="0.55000000000000004">
      <c r="L426">
        <v>421</v>
      </c>
      <c r="M426">
        <v>1.1524779999999999</v>
      </c>
      <c r="N426">
        <v>37881.747299000002</v>
      </c>
      <c r="O426">
        <f t="shared" si="27"/>
        <v>32869.822503336298</v>
      </c>
      <c r="W426">
        <v>421</v>
      </c>
      <c r="X426">
        <v>0.119467</v>
      </c>
      <c r="Y426">
        <v>5303.5302739999997</v>
      </c>
      <c r="Z426">
        <f t="shared" si="28"/>
        <v>44393.265705173813</v>
      </c>
    </row>
    <row r="427" spans="12:26" x14ac:dyDescent="0.55000000000000004">
      <c r="L427">
        <v>422</v>
      </c>
      <c r="M427">
        <v>1.152312</v>
      </c>
      <c r="N427">
        <v>37848.004393000003</v>
      </c>
      <c r="O427">
        <f t="shared" si="27"/>
        <v>32845.274884753439</v>
      </c>
      <c r="W427">
        <v>422</v>
      </c>
      <c r="X427">
        <v>0.118501</v>
      </c>
      <c r="Y427">
        <v>5282.0132670000003</v>
      </c>
      <c r="Z427">
        <f t="shared" si="28"/>
        <v>44573.575471936951</v>
      </c>
    </row>
    <row r="428" spans="12:26" x14ac:dyDescent="0.55000000000000004">
      <c r="L428">
        <v>423</v>
      </c>
      <c r="M428">
        <v>1.152126</v>
      </c>
      <c r="N428">
        <v>37812.569450000003</v>
      </c>
      <c r="O428">
        <f t="shared" si="27"/>
        <v>32819.821312946675</v>
      </c>
      <c r="W428">
        <v>423</v>
      </c>
      <c r="X428">
        <v>0.117588</v>
      </c>
      <c r="Y428">
        <v>5260.7103319999997</v>
      </c>
      <c r="Z428">
        <f t="shared" si="28"/>
        <v>44738.496547266725</v>
      </c>
    </row>
    <row r="429" spans="12:26" x14ac:dyDescent="0.55000000000000004">
      <c r="L429">
        <v>424</v>
      </c>
      <c r="M429">
        <v>1.151918</v>
      </c>
      <c r="N429">
        <v>37775.380977000001</v>
      </c>
      <c r="O429">
        <f t="shared" si="27"/>
        <v>32793.463577268521</v>
      </c>
      <c r="W429">
        <v>424</v>
      </c>
      <c r="X429">
        <v>0.116725</v>
      </c>
      <c r="Y429">
        <v>5239.6202890000004</v>
      </c>
      <c r="Z429">
        <f t="shared" si="28"/>
        <v>44888.586755193835</v>
      </c>
    </row>
    <row r="430" spans="12:26" x14ac:dyDescent="0.55000000000000004">
      <c r="L430">
        <v>425</v>
      </c>
      <c r="M430">
        <v>1.1516850000000001</v>
      </c>
      <c r="N430">
        <v>37736.376690999998</v>
      </c>
      <c r="O430">
        <f t="shared" si="27"/>
        <v>32766.230949434954</v>
      </c>
      <c r="W430">
        <v>425</v>
      </c>
      <c r="X430">
        <v>0.115911</v>
      </c>
      <c r="Y430">
        <v>5218.741951</v>
      </c>
      <c r="Z430">
        <f t="shared" si="28"/>
        <v>45023.698794764947</v>
      </c>
    </row>
    <row r="431" spans="12:26" x14ac:dyDescent="0.55000000000000004">
      <c r="L431">
        <v>426</v>
      </c>
      <c r="M431">
        <v>1.1514260000000001</v>
      </c>
      <c r="N431">
        <v>37695.493600000002</v>
      </c>
      <c r="O431">
        <f t="shared" si="27"/>
        <v>32738.094849343335</v>
      </c>
      <c r="W431">
        <v>426</v>
      </c>
      <c r="X431">
        <v>0.115147</v>
      </c>
      <c r="Y431">
        <v>5198.074122</v>
      </c>
      <c r="Z431">
        <f t="shared" si="28"/>
        <v>45142.940085282295</v>
      </c>
    </row>
    <row r="432" spans="12:26" x14ac:dyDescent="0.55000000000000004">
      <c r="L432">
        <v>427</v>
      </c>
      <c r="M432">
        <v>1.1511370000000001</v>
      </c>
      <c r="N432">
        <v>37652.668087999999</v>
      </c>
      <c r="O432">
        <f t="shared" si="27"/>
        <v>32709.111155318609</v>
      </c>
      <c r="W432">
        <v>427</v>
      </c>
      <c r="X432">
        <v>0.11443</v>
      </c>
      <c r="Y432">
        <v>5177.6156000000001</v>
      </c>
      <c r="Z432">
        <f t="shared" si="28"/>
        <v>45247.012147164205</v>
      </c>
    </row>
    <row r="433" spans="12:26" x14ac:dyDescent="0.55000000000000004">
      <c r="L433">
        <v>428</v>
      </c>
      <c r="M433">
        <v>1.1508149999999999</v>
      </c>
      <c r="N433">
        <v>37607.836014</v>
      </c>
      <c r="O433">
        <f t="shared" si="27"/>
        <v>32679.306416756823</v>
      </c>
      <c r="W433">
        <v>428</v>
      </c>
      <c r="X433">
        <v>0.113759</v>
      </c>
      <c r="Y433">
        <v>5157.365178</v>
      </c>
      <c r="Z433">
        <f t="shared" si="28"/>
        <v>45335.887077066429</v>
      </c>
    </row>
    <row r="434" spans="12:26" x14ac:dyDescent="0.55000000000000004">
      <c r="L434">
        <v>429</v>
      </c>
      <c r="M434">
        <v>1.150458</v>
      </c>
      <c r="N434">
        <v>37560.932801000003</v>
      </c>
      <c r="O434">
        <f t="shared" si="27"/>
        <v>32648.678005629066</v>
      </c>
      <c r="W434">
        <v>429</v>
      </c>
      <c r="X434">
        <v>0.113132</v>
      </c>
      <c r="Y434">
        <v>5137.3216419999999</v>
      </c>
      <c r="Z434">
        <f t="shared" si="28"/>
        <v>45409.978096382983</v>
      </c>
    </row>
    <row r="435" spans="12:26" x14ac:dyDescent="0.55000000000000004">
      <c r="L435">
        <v>430</v>
      </c>
      <c r="M435">
        <v>1.1500619999999999</v>
      </c>
      <c r="N435">
        <v>37511.893544999999</v>
      </c>
      <c r="O435">
        <f t="shared" si="27"/>
        <v>32617.279368416661</v>
      </c>
      <c r="W435">
        <v>430</v>
      </c>
      <c r="X435">
        <v>0.112548</v>
      </c>
      <c r="Y435">
        <v>5117.483776</v>
      </c>
      <c r="Z435">
        <f t="shared" si="28"/>
        <v>45469.34442193553</v>
      </c>
    </row>
    <row r="436" spans="12:26" x14ac:dyDescent="0.55000000000000004">
      <c r="L436">
        <v>431</v>
      </c>
      <c r="M436">
        <v>1.149624</v>
      </c>
      <c r="N436">
        <v>37460.653123999997</v>
      </c>
      <c r="O436">
        <f t="shared" si="27"/>
        <v>32585.134899758526</v>
      </c>
      <c r="W436">
        <v>431</v>
      </c>
      <c r="X436">
        <v>0.11200499999999999</v>
      </c>
      <c r="Y436">
        <v>5097.8503570000003</v>
      </c>
      <c r="Z436">
        <f t="shared" si="28"/>
        <v>45514.489147805907</v>
      </c>
    </row>
    <row r="437" spans="12:26" x14ac:dyDescent="0.55000000000000004">
      <c r="L437">
        <v>432</v>
      </c>
      <c r="M437">
        <v>1.1491400000000001</v>
      </c>
      <c r="N437">
        <v>37407.146310999997</v>
      </c>
      <c r="O437">
        <f t="shared" si="27"/>
        <v>32552.296770628465</v>
      </c>
      <c r="W437">
        <v>432</v>
      </c>
      <c r="X437">
        <v>0.111502</v>
      </c>
      <c r="Y437">
        <v>5078.4201599999997</v>
      </c>
      <c r="Z437">
        <f t="shared" si="28"/>
        <v>45545.552187404704</v>
      </c>
    </row>
    <row r="438" spans="12:26" x14ac:dyDescent="0.55000000000000004">
      <c r="L438">
        <v>433</v>
      </c>
      <c r="M438">
        <v>1.1486050000000001</v>
      </c>
      <c r="N438">
        <v>37351.307897999999</v>
      </c>
      <c r="O438">
        <f t="shared" si="27"/>
        <v>32518.844944954963</v>
      </c>
      <c r="W438">
        <v>433</v>
      </c>
      <c r="X438">
        <v>0.11103499999999999</v>
      </c>
      <c r="Y438">
        <v>5059.1919600000001</v>
      </c>
      <c r="Z438">
        <f t="shared" si="28"/>
        <v>45563.938938172651</v>
      </c>
    </row>
    <row r="439" spans="12:26" x14ac:dyDescent="0.55000000000000004">
      <c r="L439">
        <v>434</v>
      </c>
      <c r="M439">
        <v>1.148015</v>
      </c>
      <c r="N439">
        <v>37293.072815</v>
      </c>
      <c r="O439">
        <f t="shared" si="27"/>
        <v>32484.830611969355</v>
      </c>
      <c r="W439">
        <v>434</v>
      </c>
      <c r="X439">
        <v>0.11060399999999999</v>
      </c>
      <c r="Y439">
        <v>5040.1645259999996</v>
      </c>
      <c r="Z439">
        <f t="shared" si="28"/>
        <v>45569.4597482912</v>
      </c>
    </row>
    <row r="440" spans="12:26" x14ac:dyDescent="0.55000000000000004">
      <c r="L440">
        <v>435</v>
      </c>
      <c r="M440">
        <v>1.1473660000000001</v>
      </c>
      <c r="N440">
        <v>37232.376265999999</v>
      </c>
      <c r="O440">
        <f t="shared" si="27"/>
        <v>32450.304668257555</v>
      </c>
      <c r="W440">
        <v>435</v>
      </c>
      <c r="X440">
        <v>0.110207</v>
      </c>
      <c r="Y440">
        <v>5021.3366310000001</v>
      </c>
      <c r="Z440">
        <f t="shared" si="28"/>
        <v>45562.773970800401</v>
      </c>
    </row>
    <row r="441" spans="12:26" x14ac:dyDescent="0.55000000000000004">
      <c r="L441">
        <v>436</v>
      </c>
      <c r="M441">
        <v>1.146652</v>
      </c>
      <c r="N441">
        <v>37169.153861999999</v>
      </c>
      <c r="O441">
        <f t="shared" si="27"/>
        <v>32415.374378625773</v>
      </c>
      <c r="W441">
        <v>436</v>
      </c>
      <c r="X441">
        <v>0.10983999999999999</v>
      </c>
      <c r="Y441">
        <v>5002.7070450000001</v>
      </c>
      <c r="Z441">
        <f t="shared" si="28"/>
        <v>45545.402813182816</v>
      </c>
    </row>
    <row r="442" spans="12:26" x14ac:dyDescent="0.55000000000000004">
      <c r="L442">
        <v>437</v>
      </c>
      <c r="M442">
        <v>1.145869</v>
      </c>
      <c r="N442">
        <v>37103.341759000003</v>
      </c>
      <c r="O442">
        <f t="shared" si="27"/>
        <v>32380.09035849648</v>
      </c>
      <c r="W442">
        <v>437</v>
      </c>
      <c r="X442">
        <v>0.109503</v>
      </c>
      <c r="Y442">
        <v>4984.2745420000001</v>
      </c>
      <c r="Z442">
        <f t="shared" si="28"/>
        <v>45517.241920312685</v>
      </c>
    </row>
    <row r="443" spans="12:26" x14ac:dyDescent="0.55000000000000004">
      <c r="L443">
        <v>438</v>
      </c>
      <c r="M443">
        <v>1.1450100000000001</v>
      </c>
      <c r="N443">
        <v>37034.876808000001</v>
      </c>
      <c r="O443">
        <f t="shared" si="27"/>
        <v>32344.588089186993</v>
      </c>
      <c r="W443">
        <v>438</v>
      </c>
      <c r="X443">
        <v>0.109193</v>
      </c>
      <c r="Y443">
        <v>4966.0378959999998</v>
      </c>
      <c r="Z443">
        <f t="shared" si="28"/>
        <v>45479.452858699733</v>
      </c>
    </row>
    <row r="444" spans="12:26" x14ac:dyDescent="0.55000000000000004">
      <c r="L444">
        <v>439</v>
      </c>
      <c r="M444">
        <v>1.1440710000000001</v>
      </c>
      <c r="N444">
        <v>36963.696695999999</v>
      </c>
      <c r="O444">
        <f t="shared" si="27"/>
        <v>32308.918498939311</v>
      </c>
      <c r="W444">
        <v>439</v>
      </c>
      <c r="X444">
        <v>0.10890900000000001</v>
      </c>
      <c r="Y444">
        <v>4947.9958850000003</v>
      </c>
      <c r="Z444">
        <f t="shared" si="28"/>
        <v>45432.387451909395</v>
      </c>
    </row>
    <row r="445" spans="12:26" x14ac:dyDescent="0.55000000000000004">
      <c r="L445">
        <v>440</v>
      </c>
      <c r="M445">
        <v>1.1430439999999999</v>
      </c>
      <c r="N445">
        <v>36889.740102000003</v>
      </c>
      <c r="O445">
        <f t="shared" si="27"/>
        <v>32273.245913543142</v>
      </c>
      <c r="W445">
        <v>440</v>
      </c>
      <c r="X445">
        <v>0.10864799999999999</v>
      </c>
      <c r="Y445">
        <v>4930.147293</v>
      </c>
      <c r="Z445">
        <f t="shared" si="28"/>
        <v>45377.248481334216</v>
      </c>
    </row>
    <row r="446" spans="12:26" x14ac:dyDescent="0.55000000000000004">
      <c r="L446">
        <v>441</v>
      </c>
      <c r="M446">
        <v>1.1419239999999999</v>
      </c>
      <c r="N446">
        <v>36812.946855000002</v>
      </c>
      <c r="O446">
        <f t="shared" si="27"/>
        <v>32237.650539790742</v>
      </c>
      <c r="W446">
        <v>441</v>
      </c>
      <c r="X446">
        <v>0.108408</v>
      </c>
      <c r="Y446">
        <v>4912.4909070000003</v>
      </c>
      <c r="Z446">
        <f t="shared" si="28"/>
        <v>45314.837530440556</v>
      </c>
    </row>
    <row r="447" spans="12:26" x14ac:dyDescent="0.55000000000000004">
      <c r="L447">
        <v>442</v>
      </c>
      <c r="M447">
        <v>1.1407039999999999</v>
      </c>
      <c r="N447">
        <v>36733.258085000001</v>
      </c>
      <c r="O447">
        <f t="shared" si="27"/>
        <v>32202.269900868239</v>
      </c>
      <c r="W447">
        <v>442</v>
      </c>
      <c r="X447">
        <v>0.10818700000000001</v>
      </c>
      <c r="Y447">
        <v>4895.0255230000002</v>
      </c>
      <c r="Z447">
        <f t="shared" si="28"/>
        <v>45245.967842716775</v>
      </c>
    </row>
    <row r="448" spans="12:26" x14ac:dyDescent="0.55000000000000004">
      <c r="L448">
        <v>443</v>
      </c>
      <c r="M448">
        <v>1.1393759999999999</v>
      </c>
      <c r="N448">
        <v>36650.616390000003</v>
      </c>
      <c r="O448">
        <f t="shared" si="27"/>
        <v>32167.270848253786</v>
      </c>
      <c r="W448">
        <v>443</v>
      </c>
      <c r="X448">
        <v>0.107985</v>
      </c>
      <c r="Y448">
        <v>4877.7499420000004</v>
      </c>
      <c r="Z448">
        <f t="shared" si="28"/>
        <v>45170.625012733253</v>
      </c>
    </row>
    <row r="449" spans="12:26" x14ac:dyDescent="0.55000000000000004">
      <c r="L449">
        <v>444</v>
      </c>
      <c r="M449">
        <v>1.1379330000000001</v>
      </c>
      <c r="N449">
        <v>36564.965999</v>
      </c>
      <c r="O449">
        <f t="shared" si="27"/>
        <v>32132.793406114419</v>
      </c>
      <c r="W449">
        <v>444</v>
      </c>
      <c r="X449">
        <v>0.107797</v>
      </c>
      <c r="Y449">
        <v>4860.6629759999996</v>
      </c>
      <c r="Z449">
        <f t="shared" si="28"/>
        <v>45090.892844884358</v>
      </c>
    </row>
    <row r="450" spans="12:26" x14ac:dyDescent="0.55000000000000004">
      <c r="L450">
        <v>445</v>
      </c>
      <c r="M450">
        <v>1.136368</v>
      </c>
      <c r="N450">
        <v>36476.252933999996</v>
      </c>
      <c r="O450">
        <f t="shared" si="27"/>
        <v>32098.979321839401</v>
      </c>
      <c r="W450">
        <v>445</v>
      </c>
      <c r="X450">
        <v>0.107624</v>
      </c>
      <c r="Y450">
        <v>4843.7634470000003</v>
      </c>
      <c r="Z450">
        <f t="shared" si="28"/>
        <v>45006.350321489634</v>
      </c>
    </row>
    <row r="451" spans="12:26" x14ac:dyDescent="0.55000000000000004">
      <c r="L451">
        <v>446</v>
      </c>
      <c r="M451">
        <v>1.134673</v>
      </c>
      <c r="N451">
        <v>36384.425179999998</v>
      </c>
      <c r="O451">
        <f t="shared" si="27"/>
        <v>32066.000671559115</v>
      </c>
      <c r="W451">
        <v>446</v>
      </c>
      <c r="X451">
        <v>0.107463</v>
      </c>
      <c r="Y451">
        <v>4827.0501860000004</v>
      </c>
      <c r="Z451">
        <f t="shared" si="28"/>
        <v>44918.252663707513</v>
      </c>
    </row>
    <row r="452" spans="12:26" x14ac:dyDescent="0.55000000000000004">
      <c r="L452">
        <v>447</v>
      </c>
      <c r="M452">
        <v>1.1328400000000001</v>
      </c>
      <c r="N452">
        <v>36289.432848999997</v>
      </c>
      <c r="O452">
        <f t="shared" si="27"/>
        <v>32034.032033649939</v>
      </c>
      <c r="W452">
        <v>447</v>
      </c>
      <c r="X452">
        <v>0.107312</v>
      </c>
      <c r="Y452">
        <v>4810.5220399999998</v>
      </c>
      <c r="Z452">
        <f t="shared" si="28"/>
        <v>44827.438124347696</v>
      </c>
    </row>
    <row r="453" spans="12:26" x14ac:dyDescent="0.55000000000000004">
      <c r="L453">
        <v>448</v>
      </c>
      <c r="M453">
        <v>1.1308590000000001</v>
      </c>
      <c r="N453">
        <v>36191.228349999998</v>
      </c>
      <c r="O453">
        <f t="shared" si="27"/>
        <v>32003.307529939626</v>
      </c>
      <c r="W453">
        <v>448</v>
      </c>
      <c r="X453">
        <v>0.107169</v>
      </c>
      <c r="Y453">
        <v>4794.1778670000003</v>
      </c>
      <c r="Z453">
        <f t="shared" si="28"/>
        <v>44734.744814265323</v>
      </c>
    </row>
    <row r="454" spans="12:26" x14ac:dyDescent="0.55000000000000004">
      <c r="L454">
        <v>449</v>
      </c>
      <c r="M454">
        <v>1.1287240000000001</v>
      </c>
      <c r="N454">
        <v>36089.766557000003</v>
      </c>
      <c r="O454">
        <f t="shared" ref="O454:O517" si="29">N454/M454</f>
        <v>31973.951609959564</v>
      </c>
      <c r="W454">
        <v>449</v>
      </c>
      <c r="X454">
        <v>0.107034</v>
      </c>
      <c r="Y454">
        <v>4778.0165399999996</v>
      </c>
      <c r="Z454">
        <f t="shared" si="28"/>
        <v>44640.175458265592</v>
      </c>
    </row>
    <row r="455" spans="12:26" x14ac:dyDescent="0.55000000000000004">
      <c r="L455">
        <v>450</v>
      </c>
      <c r="M455">
        <v>1.1264240000000001</v>
      </c>
      <c r="N455">
        <v>35985.004973000003</v>
      </c>
      <c r="O455">
        <f t="shared" si="29"/>
        <v>31946.234253709084</v>
      </c>
      <c r="W455">
        <v>450</v>
      </c>
      <c r="X455">
        <v>0.106904</v>
      </c>
      <c r="Y455">
        <v>4762.0369479999999</v>
      </c>
      <c r="Z455">
        <f t="shared" ref="Z455:Z518" si="30">Y455/X455</f>
        <v>44544.98379854823</v>
      </c>
    </row>
    <row r="456" spans="12:26" x14ac:dyDescent="0.55000000000000004">
      <c r="L456">
        <v>451</v>
      </c>
      <c r="M456">
        <v>1.1239509999999999</v>
      </c>
      <c r="N456">
        <v>35876.903897999997</v>
      </c>
      <c r="O456">
        <f t="shared" si="29"/>
        <v>31920.345191204953</v>
      </c>
      <c r="W456">
        <v>451</v>
      </c>
      <c r="X456">
        <v>0.106778</v>
      </c>
      <c r="Y456">
        <v>4746.2380000000003</v>
      </c>
      <c r="Z456">
        <f t="shared" si="30"/>
        <v>44449.58699357546</v>
      </c>
    </row>
    <row r="457" spans="12:26" x14ac:dyDescent="0.55000000000000004">
      <c r="L457">
        <v>452</v>
      </c>
      <c r="M457">
        <v>1.1212960000000001</v>
      </c>
      <c r="N457">
        <v>35765.426590000003</v>
      </c>
      <c r="O457">
        <f t="shared" si="29"/>
        <v>31896.507782066466</v>
      </c>
      <c r="W457">
        <v>452</v>
      </c>
      <c r="X457">
        <v>0.106654</v>
      </c>
      <c r="Y457">
        <v>4730.6186209999996</v>
      </c>
      <c r="Z457">
        <f t="shared" si="30"/>
        <v>44354.816706358877</v>
      </c>
    </row>
    <row r="458" spans="12:26" x14ac:dyDescent="0.55000000000000004">
      <c r="L458">
        <v>453</v>
      </c>
      <c r="M458">
        <v>1.118449</v>
      </c>
      <c r="N458">
        <v>35650.539430999997</v>
      </c>
      <c r="O458">
        <f t="shared" si="29"/>
        <v>31874.979932924965</v>
      </c>
      <c r="W458">
        <v>453</v>
      </c>
      <c r="X458">
        <v>0.106531</v>
      </c>
      <c r="Y458">
        <v>4715.1777549999997</v>
      </c>
      <c r="Z458">
        <f t="shared" si="30"/>
        <v>44261.086021909112</v>
      </c>
    </row>
    <row r="459" spans="12:26" x14ac:dyDescent="0.55000000000000004">
      <c r="L459">
        <v>454</v>
      </c>
      <c r="M459">
        <v>1.1154010000000001</v>
      </c>
      <c r="N459">
        <v>35532.212079999998</v>
      </c>
      <c r="O459">
        <f t="shared" si="29"/>
        <v>31855.9980491321</v>
      </c>
      <c r="W459">
        <v>454</v>
      </c>
      <c r="X459">
        <v>0.106407</v>
      </c>
      <c r="Y459">
        <v>4699.9143700000004</v>
      </c>
      <c r="Z459">
        <f t="shared" si="30"/>
        <v>44169.221667747428</v>
      </c>
    </row>
    <row r="460" spans="12:26" x14ac:dyDescent="0.55000000000000004">
      <c r="L460">
        <v>455</v>
      </c>
      <c r="M460">
        <v>1.1121430000000001</v>
      </c>
      <c r="N460">
        <v>35410.417630999997</v>
      </c>
      <c r="O460">
        <f t="shared" si="29"/>
        <v>31839.806239845049</v>
      </c>
      <c r="W460">
        <v>455</v>
      </c>
      <c r="X460">
        <v>0.106281</v>
      </c>
      <c r="Y460">
        <v>4684.8274540000002</v>
      </c>
      <c r="Z460">
        <f t="shared" si="30"/>
        <v>44079.632803605535</v>
      </c>
    </row>
    <row r="461" spans="12:26" x14ac:dyDescent="0.55000000000000004">
      <c r="L461">
        <v>456</v>
      </c>
      <c r="M461">
        <v>1.108665</v>
      </c>
      <c r="N461">
        <v>35285.132759</v>
      </c>
      <c r="O461">
        <f t="shared" si="29"/>
        <v>31826.685932179695</v>
      </c>
      <c r="W461">
        <v>456</v>
      </c>
      <c r="X461">
        <v>0.106151</v>
      </c>
      <c r="Y461">
        <v>4669.9160190000002</v>
      </c>
      <c r="Z461">
        <f t="shared" si="30"/>
        <v>43993.142024097753</v>
      </c>
    </row>
    <row r="462" spans="12:26" x14ac:dyDescent="0.55000000000000004">
      <c r="L462">
        <v>457</v>
      </c>
      <c r="M462">
        <v>1.1049580000000001</v>
      </c>
      <c r="N462">
        <v>35156.337872999997</v>
      </c>
      <c r="O462">
        <f t="shared" si="29"/>
        <v>31816.899712930259</v>
      </c>
      <c r="W462">
        <v>457</v>
      </c>
      <c r="X462">
        <v>0.106016</v>
      </c>
      <c r="Y462">
        <v>4655.1791020000001</v>
      </c>
      <c r="Z462">
        <f t="shared" si="30"/>
        <v>43910.156033051615</v>
      </c>
    </row>
    <row r="463" spans="12:26" x14ac:dyDescent="0.55000000000000004">
      <c r="L463">
        <v>458</v>
      </c>
      <c r="M463">
        <v>1.1010120000000001</v>
      </c>
      <c r="N463">
        <v>35024.017247999996</v>
      </c>
      <c r="O463">
        <f t="shared" si="29"/>
        <v>31810.749790193015</v>
      </c>
      <c r="W463">
        <v>458</v>
      </c>
      <c r="X463">
        <v>0.105875</v>
      </c>
      <c r="Y463">
        <v>4640.6157659999999</v>
      </c>
      <c r="Z463">
        <f t="shared" si="30"/>
        <v>43831.081615112162</v>
      </c>
    </row>
    <row r="464" spans="12:26" x14ac:dyDescent="0.55000000000000004">
      <c r="L464">
        <v>459</v>
      </c>
      <c r="M464">
        <v>1.096819</v>
      </c>
      <c r="N464">
        <v>34888.159164999997</v>
      </c>
      <c r="O464">
        <f t="shared" si="29"/>
        <v>31808.49270937137</v>
      </c>
      <c r="W464">
        <v>459</v>
      </c>
      <c r="X464">
        <v>0.105726</v>
      </c>
      <c r="Y464">
        <v>4626.2250999999997</v>
      </c>
      <c r="Z464">
        <f t="shared" si="30"/>
        <v>43756.740063938858</v>
      </c>
    </row>
    <row r="465" spans="12:26" x14ac:dyDescent="0.55000000000000004">
      <c r="L465">
        <v>460</v>
      </c>
      <c r="M465">
        <v>1.0923689999999999</v>
      </c>
      <c r="N465">
        <v>34748.756034999999</v>
      </c>
      <c r="O465">
        <f t="shared" si="29"/>
        <v>31810.456022644365</v>
      </c>
      <c r="W465">
        <v>460</v>
      </c>
      <c r="X465">
        <v>0.10556699999999999</v>
      </c>
      <c r="Y465">
        <v>4612.0062230000003</v>
      </c>
      <c r="Z465">
        <f t="shared" si="30"/>
        <v>43687.953839741589</v>
      </c>
    </row>
    <row r="466" spans="12:26" x14ac:dyDescent="0.55000000000000004">
      <c r="L466">
        <v>461</v>
      </c>
      <c r="M466">
        <v>1.087653</v>
      </c>
      <c r="N466">
        <v>34605.804520999998</v>
      </c>
      <c r="O466">
        <f t="shared" si="29"/>
        <v>31816.953128433423</v>
      </c>
      <c r="W466">
        <v>461</v>
      </c>
      <c r="X466">
        <v>0.10539800000000001</v>
      </c>
      <c r="Y466">
        <v>4597.9582810000002</v>
      </c>
      <c r="Z466">
        <f t="shared" si="30"/>
        <v>43624.720402664185</v>
      </c>
    </row>
    <row r="467" spans="12:26" x14ac:dyDescent="0.55000000000000004">
      <c r="L467">
        <v>462</v>
      </c>
      <c r="M467">
        <v>1.0826629999999999</v>
      </c>
      <c r="N467">
        <v>34459.305649000002</v>
      </c>
      <c r="O467">
        <f t="shared" si="29"/>
        <v>31828.284192772822</v>
      </c>
      <c r="W467">
        <v>462</v>
      </c>
      <c r="X467">
        <v>0.10521800000000001</v>
      </c>
      <c r="Y467">
        <v>4584.0804529999996</v>
      </c>
      <c r="Z467">
        <f t="shared" si="30"/>
        <v>43567.45474158413</v>
      </c>
    </row>
    <row r="468" spans="12:26" x14ac:dyDescent="0.55000000000000004">
      <c r="L468">
        <v>463</v>
      </c>
      <c r="M468">
        <v>1.077391</v>
      </c>
      <c r="N468">
        <v>34309.264916</v>
      </c>
      <c r="O468">
        <f t="shared" si="29"/>
        <v>31844.766585204445</v>
      </c>
      <c r="W468">
        <v>463</v>
      </c>
      <c r="X468">
        <v>0.10502300000000001</v>
      </c>
      <c r="Y468">
        <v>4570.3719460000002</v>
      </c>
      <c r="Z468">
        <f t="shared" si="30"/>
        <v>43517.819391942714</v>
      </c>
    </row>
    <row r="469" spans="12:26" x14ac:dyDescent="0.55000000000000004">
      <c r="L469">
        <v>464</v>
      </c>
      <c r="M469">
        <v>1.0718289999999999</v>
      </c>
      <c r="N469">
        <v>34155.692378</v>
      </c>
      <c r="O469">
        <f t="shared" si="29"/>
        <v>31866.736557790471</v>
      </c>
      <c r="W469">
        <v>464</v>
      </c>
      <c r="X469">
        <v>0.10481500000000001</v>
      </c>
      <c r="Y469">
        <v>4556.8320030000004</v>
      </c>
      <c r="Z469">
        <f t="shared" si="30"/>
        <v>43474.998836044462</v>
      </c>
    </row>
    <row r="470" spans="12:26" x14ac:dyDescent="0.55000000000000004">
      <c r="L470">
        <v>465</v>
      </c>
      <c r="M470">
        <v>1.0659689999999999</v>
      </c>
      <c r="N470">
        <v>33998.602744999997</v>
      </c>
      <c r="O470">
        <f t="shared" si="29"/>
        <v>31894.551103268481</v>
      </c>
      <c r="W470">
        <v>465</v>
      </c>
      <c r="X470">
        <v>0.104591</v>
      </c>
      <c r="Y470">
        <v>4543.4598980000001</v>
      </c>
      <c r="Z470">
        <f t="shared" si="30"/>
        <v>43440.25679073725</v>
      </c>
    </row>
    <row r="471" spans="12:26" x14ac:dyDescent="0.55000000000000004">
      <c r="L471">
        <v>466</v>
      </c>
      <c r="M471">
        <v>1.0598050000000001</v>
      </c>
      <c r="N471">
        <v>33838.015447999998</v>
      </c>
      <c r="O471">
        <f t="shared" si="29"/>
        <v>31928.529727638572</v>
      </c>
      <c r="W471">
        <v>466</v>
      </c>
      <c r="X471">
        <v>0.104349</v>
      </c>
      <c r="Y471">
        <v>4530.2549410000001</v>
      </c>
      <c r="Z471">
        <f t="shared" si="30"/>
        <v>43414.454771967154</v>
      </c>
    </row>
    <row r="472" spans="12:26" x14ac:dyDescent="0.55000000000000004">
      <c r="L472">
        <v>467</v>
      </c>
      <c r="M472">
        <v>1.0533300000000001</v>
      </c>
      <c r="N472">
        <v>33673.954714</v>
      </c>
      <c r="O472">
        <f t="shared" si="29"/>
        <v>31969.045516599734</v>
      </c>
      <c r="W472">
        <v>467</v>
      </c>
      <c r="X472">
        <v>0.10409</v>
      </c>
      <c r="Y472">
        <v>4517.2164750000002</v>
      </c>
      <c r="Z472">
        <f t="shared" si="30"/>
        <v>43397.218512825442</v>
      </c>
    </row>
    <row r="473" spans="12:26" x14ac:dyDescent="0.55000000000000004">
      <c r="L473">
        <v>468</v>
      </c>
      <c r="M473">
        <v>1.0465390000000001</v>
      </c>
      <c r="N473">
        <v>33506.449612999997</v>
      </c>
      <c r="O473">
        <f t="shared" si="29"/>
        <v>32016.436666956506</v>
      </c>
      <c r="W473">
        <v>468</v>
      </c>
      <c r="X473">
        <v>0.103811</v>
      </c>
      <c r="Y473">
        <v>4504.3438820000001</v>
      </c>
      <c r="Z473">
        <f t="shared" si="30"/>
        <v>43389.851576422538</v>
      </c>
    </row>
    <row r="474" spans="12:26" x14ac:dyDescent="0.55000000000000004">
      <c r="L474">
        <v>469</v>
      </c>
      <c r="M474">
        <v>1.039426</v>
      </c>
      <c r="N474">
        <v>33335.534104999999</v>
      </c>
      <c r="O474">
        <f t="shared" si="29"/>
        <v>32071.098957501545</v>
      </c>
      <c r="W474">
        <v>469</v>
      </c>
      <c r="X474">
        <v>0.10351200000000001</v>
      </c>
      <c r="Y474">
        <v>4491.6365779999996</v>
      </c>
      <c r="Z474">
        <f t="shared" si="30"/>
        <v>43392.423854239118</v>
      </c>
    </row>
    <row r="475" spans="12:26" x14ac:dyDescent="0.55000000000000004">
      <c r="L475">
        <v>470</v>
      </c>
      <c r="M475">
        <v>1.0319879999999999</v>
      </c>
      <c r="N475">
        <v>33161.247074999999</v>
      </c>
      <c r="O475">
        <f t="shared" si="29"/>
        <v>32133.364995523207</v>
      </c>
      <c r="W475">
        <v>470</v>
      </c>
      <c r="X475">
        <v>0.103191</v>
      </c>
      <c r="Y475">
        <v>4479.0940190000001</v>
      </c>
      <c r="Z475">
        <f t="shared" si="30"/>
        <v>43405.859222218991</v>
      </c>
    </row>
    <row r="476" spans="12:26" x14ac:dyDescent="0.55000000000000004">
      <c r="L476">
        <v>471</v>
      </c>
      <c r="M476">
        <v>1.024219</v>
      </c>
      <c r="N476">
        <v>32983.632346999999</v>
      </c>
      <c r="O476">
        <f t="shared" si="29"/>
        <v>32203.691151013601</v>
      </c>
      <c r="W476">
        <v>471</v>
      </c>
      <c r="X476">
        <v>0.10284799999999999</v>
      </c>
      <c r="Y476">
        <v>4466.715698</v>
      </c>
      <c r="Z476">
        <f t="shared" si="30"/>
        <v>43430.263087274427</v>
      </c>
    </row>
    <row r="477" spans="12:26" x14ac:dyDescent="0.55000000000000004">
      <c r="L477">
        <v>472</v>
      </c>
      <c r="M477">
        <v>1.016119</v>
      </c>
      <c r="N477">
        <v>32802.738700000002</v>
      </c>
      <c r="O477">
        <f t="shared" si="29"/>
        <v>32282.379032377114</v>
      </c>
      <c r="W477">
        <v>472</v>
      </c>
      <c r="X477">
        <v>0.102481</v>
      </c>
      <c r="Y477">
        <v>4454.5011480000003</v>
      </c>
      <c r="Z477">
        <f t="shared" si="30"/>
        <v>43466.605009709121</v>
      </c>
    </row>
    <row r="478" spans="12:26" x14ac:dyDescent="0.55000000000000004">
      <c r="L478">
        <v>473</v>
      </c>
      <c r="M478">
        <v>1.0076849999999999</v>
      </c>
      <c r="N478">
        <v>32618.619857000002</v>
      </c>
      <c r="O478">
        <f t="shared" si="29"/>
        <v>32369.857502096391</v>
      </c>
      <c r="W478">
        <v>473</v>
      </c>
      <c r="X478">
        <v>0.10209</v>
      </c>
      <c r="Y478">
        <v>4442.4499409999999</v>
      </c>
      <c r="Z478">
        <f t="shared" si="30"/>
        <v>43515.035174845725</v>
      </c>
    </row>
    <row r="479" spans="12:26" x14ac:dyDescent="0.55000000000000004">
      <c r="L479">
        <v>474</v>
      </c>
      <c r="M479">
        <v>0.998915</v>
      </c>
      <c r="N479">
        <v>32431.334471999999</v>
      </c>
      <c r="O479">
        <f t="shared" si="29"/>
        <v>32466.560690349026</v>
      </c>
      <c r="W479">
        <v>474</v>
      </c>
      <c r="X479">
        <v>0.101674</v>
      </c>
      <c r="Y479">
        <v>4430.5616900000005</v>
      </c>
      <c r="Z479">
        <f t="shared" si="30"/>
        <v>43576.152113618038</v>
      </c>
    </row>
    <row r="480" spans="12:26" x14ac:dyDescent="0.55000000000000004">
      <c r="L480">
        <v>475</v>
      </c>
      <c r="M480">
        <v>0.989811</v>
      </c>
      <c r="N480">
        <v>32240.946099000001</v>
      </c>
      <c r="O480">
        <f t="shared" si="29"/>
        <v>32572.830670703803</v>
      </c>
      <c r="W480">
        <v>475</v>
      </c>
      <c r="X480">
        <v>0.101233</v>
      </c>
      <c r="Y480">
        <v>4418.8360469999998</v>
      </c>
      <c r="Z480">
        <f t="shared" si="30"/>
        <v>43650.154070313038</v>
      </c>
    </row>
    <row r="481" spans="12:26" x14ac:dyDescent="0.55000000000000004">
      <c r="L481">
        <v>476</v>
      </c>
      <c r="M481">
        <v>0.98037300000000005</v>
      </c>
      <c r="N481">
        <v>32047.523150000001</v>
      </c>
      <c r="O481">
        <f t="shared" si="29"/>
        <v>32689.112358255479</v>
      </c>
      <c r="W481">
        <v>476</v>
      </c>
      <c r="X481">
        <v>0.10076499999999999</v>
      </c>
      <c r="Y481">
        <v>4407.2727059999997</v>
      </c>
      <c r="Z481">
        <f t="shared" si="30"/>
        <v>43738.130362725155</v>
      </c>
    </row>
    <row r="482" spans="12:26" x14ac:dyDescent="0.55000000000000004">
      <c r="L482">
        <v>477</v>
      </c>
      <c r="M482">
        <v>0.97060199999999996</v>
      </c>
      <c r="N482">
        <v>31851.13884</v>
      </c>
      <c r="O482">
        <f t="shared" si="29"/>
        <v>32815.859476901962</v>
      </c>
      <c r="W482">
        <v>477</v>
      </c>
      <c r="X482">
        <v>0.10027</v>
      </c>
      <c r="Y482">
        <v>4395.8714040000004</v>
      </c>
      <c r="Z482">
        <f t="shared" si="30"/>
        <v>43840.345108207846</v>
      </c>
    </row>
    <row r="483" spans="12:26" x14ac:dyDescent="0.55000000000000004">
      <c r="L483">
        <v>478</v>
      </c>
      <c r="M483">
        <v>0.960503</v>
      </c>
      <c r="N483">
        <v>31651.871115999998</v>
      </c>
      <c r="O483">
        <f t="shared" si="29"/>
        <v>32953.432853411177</v>
      </c>
      <c r="W483">
        <v>478</v>
      </c>
      <c r="X483">
        <v>9.9748000000000003E-2</v>
      </c>
      <c r="Y483">
        <v>4384.6319160000003</v>
      </c>
      <c r="Z483">
        <f t="shared" si="30"/>
        <v>43957.091029394076</v>
      </c>
    </row>
    <row r="484" spans="12:26" x14ac:dyDescent="0.55000000000000004">
      <c r="L484">
        <v>479</v>
      </c>
      <c r="M484">
        <v>0.95007900000000001</v>
      </c>
      <c r="N484">
        <v>31449.802578999999</v>
      </c>
      <c r="O484">
        <f t="shared" si="29"/>
        <v>33102.302628518257</v>
      </c>
      <c r="W484">
        <v>479</v>
      </c>
      <c r="X484">
        <v>9.9199999999999997E-2</v>
      </c>
      <c r="Y484">
        <v>4373.5540620000002</v>
      </c>
      <c r="Z484">
        <f t="shared" si="30"/>
        <v>44088.24659274194</v>
      </c>
    </row>
    <row r="485" spans="12:26" x14ac:dyDescent="0.55000000000000004">
      <c r="L485">
        <v>480</v>
      </c>
      <c r="M485">
        <v>0.93933500000000003</v>
      </c>
      <c r="N485">
        <v>31245.020386</v>
      </c>
      <c r="O485">
        <f t="shared" si="29"/>
        <v>33262.915132513961</v>
      </c>
      <c r="W485">
        <v>480</v>
      </c>
      <c r="X485">
        <v>9.8623000000000002E-2</v>
      </c>
      <c r="Y485">
        <v>4362.6377039999998</v>
      </c>
      <c r="Z485">
        <f t="shared" si="30"/>
        <v>44235.499873254717</v>
      </c>
    </row>
    <row r="486" spans="12:26" x14ac:dyDescent="0.55000000000000004">
      <c r="L486">
        <v>481</v>
      </c>
      <c r="M486">
        <v>0.92827899999999997</v>
      </c>
      <c r="N486">
        <v>31037.616145</v>
      </c>
      <c r="O486">
        <f t="shared" si="29"/>
        <v>33435.654738499958</v>
      </c>
      <c r="W486">
        <v>481</v>
      </c>
      <c r="X486">
        <v>9.8019999999999996E-2</v>
      </c>
      <c r="Y486">
        <v>4351.8827449999999</v>
      </c>
      <c r="Z486">
        <f t="shared" si="30"/>
        <v>44397.905988573759</v>
      </c>
    </row>
    <row r="487" spans="12:26" x14ac:dyDescent="0.55000000000000004">
      <c r="L487">
        <v>482</v>
      </c>
      <c r="M487">
        <v>0.91691599999999995</v>
      </c>
      <c r="N487">
        <v>30827.685795000001</v>
      </c>
      <c r="O487">
        <f t="shared" si="29"/>
        <v>33621.057757744442</v>
      </c>
      <c r="W487">
        <v>482</v>
      </c>
      <c r="X487">
        <v>9.7389000000000003E-2</v>
      </c>
      <c r="Y487">
        <v>4341.2891300000001</v>
      </c>
      <c r="Z487">
        <f t="shared" si="30"/>
        <v>44576.791321401797</v>
      </c>
    </row>
    <row r="488" spans="12:26" x14ac:dyDescent="0.55000000000000004">
      <c r="L488">
        <v>483</v>
      </c>
      <c r="M488">
        <v>0.90525699999999998</v>
      </c>
      <c r="N488">
        <v>30615.329471000001</v>
      </c>
      <c r="O488">
        <f t="shared" si="29"/>
        <v>33819.489350538024</v>
      </c>
      <c r="W488">
        <v>483</v>
      </c>
      <c r="X488">
        <v>9.6731999999999999E-2</v>
      </c>
      <c r="Y488">
        <v>4330.8568459999997</v>
      </c>
      <c r="Z488">
        <f t="shared" si="30"/>
        <v>44771.70787329942</v>
      </c>
    </row>
    <row r="489" spans="12:26" x14ac:dyDescent="0.55000000000000004">
      <c r="L489">
        <v>484</v>
      </c>
      <c r="M489">
        <v>0.89330900000000002</v>
      </c>
      <c r="N489">
        <v>30400.651365000002</v>
      </c>
      <c r="O489">
        <f t="shared" si="29"/>
        <v>34031.506863806368</v>
      </c>
      <c r="W489">
        <v>484</v>
      </c>
      <c r="X489">
        <v>9.6048999999999995E-2</v>
      </c>
      <c r="Y489">
        <v>4320.5859250000003</v>
      </c>
      <c r="Z489">
        <f t="shared" si="30"/>
        <v>44983.143239388235</v>
      </c>
    </row>
    <row r="490" spans="12:26" x14ac:dyDescent="0.55000000000000004">
      <c r="L490">
        <v>485</v>
      </c>
      <c r="M490">
        <v>0.88108500000000001</v>
      </c>
      <c r="N490">
        <v>30183.759563</v>
      </c>
      <c r="O490">
        <f t="shared" si="29"/>
        <v>34257.488849543457</v>
      </c>
      <c r="W490">
        <v>485</v>
      </c>
      <c r="X490">
        <v>9.5339999999999994E-2</v>
      </c>
      <c r="Y490">
        <v>4310.4764370000003</v>
      </c>
      <c r="Z490">
        <f t="shared" si="30"/>
        <v>45211.626148521085</v>
      </c>
    </row>
    <row r="491" spans="12:26" x14ac:dyDescent="0.55000000000000004">
      <c r="L491">
        <v>486</v>
      </c>
      <c r="M491">
        <v>0.86859600000000003</v>
      </c>
      <c r="N491">
        <v>29964.765882</v>
      </c>
      <c r="O491">
        <f t="shared" si="29"/>
        <v>34497.932159484961</v>
      </c>
      <c r="W491">
        <v>486</v>
      </c>
      <c r="X491">
        <v>9.4606999999999997E-2</v>
      </c>
      <c r="Y491">
        <v>4300.5284949999996</v>
      </c>
      <c r="Z491">
        <f t="shared" si="30"/>
        <v>45456.768473791577</v>
      </c>
    </row>
    <row r="492" spans="12:26" x14ac:dyDescent="0.55000000000000004">
      <c r="L492">
        <v>487</v>
      </c>
      <c r="M492">
        <v>0.85585500000000003</v>
      </c>
      <c r="N492">
        <v>29743.785691000001</v>
      </c>
      <c r="O492">
        <f t="shared" si="29"/>
        <v>34753.300139626452</v>
      </c>
      <c r="W492">
        <v>487</v>
      </c>
      <c r="X492">
        <v>9.3849000000000002E-2</v>
      </c>
      <c r="Y492">
        <v>4290.7422550000001</v>
      </c>
      <c r="Z492">
        <f t="shared" si="30"/>
        <v>45719.637449519971</v>
      </c>
    </row>
    <row r="493" spans="12:26" x14ac:dyDescent="0.55000000000000004">
      <c r="L493">
        <v>488</v>
      </c>
      <c r="M493">
        <v>0.84287599999999996</v>
      </c>
      <c r="N493">
        <v>29520.937720000002</v>
      </c>
      <c r="O493">
        <f t="shared" si="29"/>
        <v>35024.057773622699</v>
      </c>
      <c r="W493">
        <v>488</v>
      </c>
      <c r="X493">
        <v>9.307E-2</v>
      </c>
      <c r="Y493">
        <v>4281.1179110000003</v>
      </c>
      <c r="Z493">
        <f t="shared" si="30"/>
        <v>45998.903094445042</v>
      </c>
    </row>
    <row r="494" spans="12:26" x14ac:dyDescent="0.55000000000000004">
      <c r="L494">
        <v>489</v>
      </c>
      <c r="M494">
        <v>0.82967199999999997</v>
      </c>
      <c r="N494">
        <v>29296.343861000001</v>
      </c>
      <c r="O494">
        <f t="shared" si="29"/>
        <v>35310.753961806593</v>
      </c>
      <c r="W494">
        <v>489</v>
      </c>
      <c r="X494">
        <v>9.2269000000000004E-2</v>
      </c>
      <c r="Y494">
        <v>4271.6556989999999</v>
      </c>
      <c r="Z494">
        <f t="shared" si="30"/>
        <v>46295.67567655442</v>
      </c>
    </row>
    <row r="495" spans="12:26" x14ac:dyDescent="0.55000000000000004">
      <c r="L495">
        <v>490</v>
      </c>
      <c r="M495">
        <v>0.81626100000000001</v>
      </c>
      <c r="N495">
        <v>29070.128960999999</v>
      </c>
      <c r="O495">
        <f t="shared" si="29"/>
        <v>35613.766872360677</v>
      </c>
      <c r="W495">
        <v>490</v>
      </c>
      <c r="X495">
        <v>9.1448000000000002E-2</v>
      </c>
      <c r="Y495">
        <v>4262.3558949999997</v>
      </c>
      <c r="Z495">
        <f t="shared" si="30"/>
        <v>46609.613058787501</v>
      </c>
    </row>
    <row r="496" spans="12:26" x14ac:dyDescent="0.55000000000000004">
      <c r="L496">
        <v>491</v>
      </c>
      <c r="M496">
        <v>0.80265799999999998</v>
      </c>
      <c r="N496">
        <v>28842.420601999998</v>
      </c>
      <c r="O496">
        <f t="shared" si="29"/>
        <v>35933.636246072419</v>
      </c>
      <c r="W496">
        <v>491</v>
      </c>
      <c r="X496">
        <v>9.0608999999999995E-2</v>
      </c>
      <c r="Y496">
        <v>4253.2188139999998</v>
      </c>
      <c r="Z496">
        <f t="shared" si="30"/>
        <v>46940.35707269697</v>
      </c>
    </row>
    <row r="497" spans="12:26" x14ac:dyDescent="0.55000000000000004">
      <c r="L497">
        <v>492</v>
      </c>
      <c r="M497">
        <v>0.78888100000000005</v>
      </c>
      <c r="N497">
        <v>28613.348878000001</v>
      </c>
      <c r="O497">
        <f t="shared" si="29"/>
        <v>36270.804947767785</v>
      </c>
      <c r="W497">
        <v>492</v>
      </c>
      <c r="X497">
        <v>8.9754E-2</v>
      </c>
      <c r="Y497">
        <v>4244.2448100000001</v>
      </c>
      <c r="Z497">
        <f t="shared" si="30"/>
        <v>47287.528243866567</v>
      </c>
    </row>
    <row r="498" spans="12:26" x14ac:dyDescent="0.55000000000000004">
      <c r="L498">
        <v>493</v>
      </c>
      <c r="M498">
        <v>0.77494700000000005</v>
      </c>
      <c r="N498">
        <v>28383.046158000001</v>
      </c>
      <c r="O498">
        <f t="shared" si="29"/>
        <v>36625.790096613055</v>
      </c>
      <c r="W498">
        <v>493</v>
      </c>
      <c r="X498">
        <v>8.8884000000000005E-2</v>
      </c>
      <c r="Y498">
        <v>4235.4342749999996</v>
      </c>
      <c r="Z498">
        <f t="shared" si="30"/>
        <v>47651.256412852701</v>
      </c>
    </row>
    <row r="499" spans="12:26" x14ac:dyDescent="0.55000000000000004">
      <c r="L499">
        <v>494</v>
      </c>
      <c r="M499">
        <v>0.760876</v>
      </c>
      <c r="N499">
        <v>28151.646850000001</v>
      </c>
      <c r="O499">
        <f t="shared" si="29"/>
        <v>36998.994382790363</v>
      </c>
      <c r="W499">
        <v>494</v>
      </c>
      <c r="X499">
        <v>8.8000999999999996E-2</v>
      </c>
      <c r="Y499">
        <v>4226.7876370000004</v>
      </c>
      <c r="Z499">
        <f t="shared" si="30"/>
        <v>48031.131884864953</v>
      </c>
    </row>
    <row r="500" spans="12:26" x14ac:dyDescent="0.55000000000000004">
      <c r="L500">
        <v>495</v>
      </c>
      <c r="M500">
        <v>0.74668699999999999</v>
      </c>
      <c r="N500">
        <v>27919.287149</v>
      </c>
      <c r="O500">
        <f t="shared" si="29"/>
        <v>37390.884197796397</v>
      </c>
      <c r="W500">
        <v>495</v>
      </c>
      <c r="X500">
        <v>8.7108000000000005E-2</v>
      </c>
      <c r="Y500">
        <v>4218.3053609999997</v>
      </c>
      <c r="Z500">
        <f t="shared" si="30"/>
        <v>48426.153292464522</v>
      </c>
    </row>
    <row r="501" spans="12:26" x14ac:dyDescent="0.55000000000000004">
      <c r="L501">
        <v>496</v>
      </c>
      <c r="M501">
        <v>0.73239799999999999</v>
      </c>
      <c r="N501">
        <v>27686.104805999999</v>
      </c>
      <c r="O501">
        <f t="shared" si="29"/>
        <v>37801.994005991277</v>
      </c>
      <c r="W501">
        <v>496</v>
      </c>
      <c r="X501">
        <v>8.6206000000000005E-2</v>
      </c>
      <c r="Y501">
        <v>4209.9879449999999</v>
      </c>
      <c r="Z501">
        <f t="shared" si="30"/>
        <v>48836.368060227825</v>
      </c>
    </row>
    <row r="502" spans="12:26" x14ac:dyDescent="0.55000000000000004">
      <c r="L502">
        <v>497</v>
      </c>
      <c r="M502">
        <v>0.71803099999999997</v>
      </c>
      <c r="N502">
        <v>27452.238801</v>
      </c>
      <c r="O502">
        <f t="shared" si="29"/>
        <v>38232.665164874496</v>
      </c>
      <c r="W502">
        <v>497</v>
      </c>
      <c r="X502">
        <v>8.5297999999999999E-2</v>
      </c>
      <c r="Y502">
        <v>4201.8359339999997</v>
      </c>
      <c r="Z502">
        <f t="shared" si="30"/>
        <v>49260.661844357426</v>
      </c>
    </row>
    <row r="503" spans="12:26" x14ac:dyDescent="0.55000000000000004">
      <c r="L503">
        <v>498</v>
      </c>
      <c r="M503">
        <v>0.70360500000000004</v>
      </c>
      <c r="N503">
        <v>27217.828438</v>
      </c>
      <c r="O503">
        <f t="shared" si="29"/>
        <v>38683.392582485911</v>
      </c>
      <c r="W503">
        <v>498</v>
      </c>
      <c r="X503">
        <v>8.4385000000000002E-2</v>
      </c>
      <c r="Y503">
        <v>4193.8500880000001</v>
      </c>
      <c r="Z503">
        <f t="shared" si="30"/>
        <v>49698.999680037923</v>
      </c>
    </row>
    <row r="504" spans="12:26" x14ac:dyDescent="0.55000000000000004">
      <c r="L504">
        <v>499</v>
      </c>
      <c r="M504">
        <v>0.68914200000000003</v>
      </c>
      <c r="N504">
        <v>26983.027844</v>
      </c>
      <c r="O504">
        <f t="shared" si="29"/>
        <v>39154.525256043024</v>
      </c>
      <c r="W504">
        <v>499</v>
      </c>
      <c r="X504">
        <v>8.3471000000000004E-2</v>
      </c>
      <c r="Y504">
        <v>4186.0275069999998</v>
      </c>
      <c r="Z504">
        <f t="shared" si="30"/>
        <v>50149.483137856259</v>
      </c>
    </row>
    <row r="505" spans="12:26" x14ac:dyDescent="0.55000000000000004">
      <c r="L505">
        <v>500</v>
      </c>
      <c r="M505">
        <v>0.67465699999999995</v>
      </c>
      <c r="N505">
        <v>26747.850022999999</v>
      </c>
      <c r="O505">
        <f t="shared" si="29"/>
        <v>39646.590820224206</v>
      </c>
      <c r="W505">
        <v>500</v>
      </c>
      <c r="X505">
        <v>8.2558000000000006E-2</v>
      </c>
      <c r="Y505">
        <v>4178.4025250000004</v>
      </c>
      <c r="Z505">
        <f t="shared" si="30"/>
        <v>50611.721759248045</v>
      </c>
    </row>
    <row r="506" spans="12:26" x14ac:dyDescent="0.55000000000000004">
      <c r="L506">
        <v>501</v>
      </c>
      <c r="M506">
        <v>0.66020100000000004</v>
      </c>
      <c r="N506">
        <v>26513.173997999998</v>
      </c>
      <c r="O506">
        <f t="shared" si="29"/>
        <v>40159.245438889062</v>
      </c>
      <c r="W506">
        <v>501</v>
      </c>
      <c r="X506">
        <v>8.1642999999999993E-2</v>
      </c>
      <c r="Y506">
        <v>4170.782123</v>
      </c>
      <c r="Z506">
        <f t="shared" si="30"/>
        <v>51085.605906201396</v>
      </c>
    </row>
    <row r="507" spans="12:26" x14ac:dyDescent="0.55000000000000004">
      <c r="L507">
        <v>502</v>
      </c>
      <c r="M507">
        <v>0.645787</v>
      </c>
      <c r="N507">
        <v>26279.007386000001</v>
      </c>
      <c r="O507">
        <f t="shared" si="29"/>
        <v>40692.995346762946</v>
      </c>
      <c r="W507">
        <v>502</v>
      </c>
      <c r="X507">
        <v>8.0729999999999996E-2</v>
      </c>
      <c r="Y507">
        <v>4163.2009770000004</v>
      </c>
      <c r="Z507">
        <f t="shared" si="30"/>
        <v>51569.44106280194</v>
      </c>
    </row>
    <row r="508" spans="12:26" x14ac:dyDescent="0.55000000000000004">
      <c r="L508">
        <v>503</v>
      </c>
      <c r="M508">
        <v>0.63143800000000005</v>
      </c>
      <c r="N508">
        <v>26045.499898999999</v>
      </c>
      <c r="O508">
        <f t="shared" si="29"/>
        <v>41247.913332742086</v>
      </c>
      <c r="W508">
        <v>503</v>
      </c>
      <c r="X508">
        <v>7.9820000000000002E-2</v>
      </c>
      <c r="Y508">
        <v>4155.656516</v>
      </c>
      <c r="Z508">
        <f t="shared" si="30"/>
        <v>52062.847857679779</v>
      </c>
    </row>
    <row r="509" spans="12:26" x14ac:dyDescent="0.55000000000000004">
      <c r="L509">
        <v>504</v>
      </c>
      <c r="M509">
        <v>0.617174</v>
      </c>
      <c r="N509">
        <v>25812.786287999999</v>
      </c>
      <c r="O509">
        <f t="shared" si="29"/>
        <v>41824.163506563789</v>
      </c>
      <c r="W509">
        <v>504</v>
      </c>
      <c r="X509">
        <v>7.8914999999999999E-2</v>
      </c>
      <c r="Y509">
        <v>4148.1498869999996</v>
      </c>
      <c r="Z509">
        <f t="shared" si="30"/>
        <v>52564.783463219916</v>
      </c>
    </row>
    <row r="510" spans="12:26" x14ac:dyDescent="0.55000000000000004">
      <c r="L510">
        <v>505</v>
      </c>
      <c r="M510">
        <v>0.60301199999999999</v>
      </c>
      <c r="N510">
        <v>25581.000967</v>
      </c>
      <c r="O510">
        <f t="shared" si="29"/>
        <v>42422.042956027406</v>
      </c>
      <c r="W510">
        <v>505</v>
      </c>
      <c r="X510">
        <v>7.8019000000000005E-2</v>
      </c>
      <c r="Y510">
        <v>4140.6820639999996</v>
      </c>
      <c r="Z510">
        <f t="shared" si="30"/>
        <v>53072.739512170105</v>
      </c>
    </row>
    <row r="511" spans="12:26" x14ac:dyDescent="0.55000000000000004">
      <c r="L511">
        <v>506</v>
      </c>
      <c r="M511">
        <v>0.588974</v>
      </c>
      <c r="N511">
        <v>25350.277108999999</v>
      </c>
      <c r="O511">
        <f t="shared" si="29"/>
        <v>43041.419670477815</v>
      </c>
      <c r="W511">
        <v>506</v>
      </c>
      <c r="X511">
        <v>7.7132999999999993E-2</v>
      </c>
      <c r="Y511">
        <v>4133.2540220000001</v>
      </c>
      <c r="Z511">
        <f t="shared" si="30"/>
        <v>53586.065912125814</v>
      </c>
    </row>
    <row r="512" spans="12:26" x14ac:dyDescent="0.55000000000000004">
      <c r="L512">
        <v>507</v>
      </c>
      <c r="M512">
        <v>0.57507799999999998</v>
      </c>
      <c r="N512">
        <v>25120.746325</v>
      </c>
      <c r="O512">
        <f t="shared" si="29"/>
        <v>43682.328875387342</v>
      </c>
      <c r="W512">
        <v>507</v>
      </c>
      <c r="X512">
        <v>7.6259999999999994E-2</v>
      </c>
      <c r="Y512">
        <v>4125.866747</v>
      </c>
      <c r="Z512">
        <f t="shared" si="30"/>
        <v>54102.6324023079</v>
      </c>
    </row>
    <row r="513" spans="12:26" x14ac:dyDescent="0.55000000000000004">
      <c r="L513">
        <v>508</v>
      </c>
      <c r="M513">
        <v>0.56134099999999998</v>
      </c>
      <c r="N513">
        <v>24892.538438</v>
      </c>
      <c r="O513">
        <f t="shared" si="29"/>
        <v>44344.77160585099</v>
      </c>
      <c r="W513">
        <v>508</v>
      </c>
      <c r="X513">
        <v>7.5400999999999996E-2</v>
      </c>
      <c r="Y513">
        <v>4118.5212369999999</v>
      </c>
      <c r="Z513">
        <f t="shared" si="30"/>
        <v>54621.573148897231</v>
      </c>
    </row>
    <row r="514" spans="12:26" x14ac:dyDescent="0.55000000000000004">
      <c r="L514">
        <v>509</v>
      </c>
      <c r="M514">
        <v>0.54778199999999999</v>
      </c>
      <c r="N514">
        <v>24665.781244999998</v>
      </c>
      <c r="O514">
        <f t="shared" si="29"/>
        <v>45028.462499680529</v>
      </c>
      <c r="W514">
        <v>509</v>
      </c>
      <c r="X514">
        <v>7.4557999999999999E-2</v>
      </c>
      <c r="Y514">
        <v>4111.2184930000003</v>
      </c>
      <c r="Z514">
        <f t="shared" si="30"/>
        <v>55141.212116741335</v>
      </c>
    </row>
    <row r="515" spans="12:26" x14ac:dyDescent="0.55000000000000004">
      <c r="L515">
        <v>510</v>
      </c>
      <c r="M515">
        <v>0.53441799999999995</v>
      </c>
      <c r="N515">
        <v>24440.600280999999</v>
      </c>
      <c r="O515">
        <f t="shared" si="29"/>
        <v>45733.115802611443</v>
      </c>
      <c r="W515">
        <v>510</v>
      </c>
      <c r="X515">
        <v>7.3733000000000007E-2</v>
      </c>
      <c r="Y515">
        <v>4103.9595259999996</v>
      </c>
      <c r="Z515">
        <f t="shared" si="30"/>
        <v>55659.738868620552</v>
      </c>
    </row>
    <row r="516" spans="12:26" x14ac:dyDescent="0.55000000000000004">
      <c r="L516">
        <v>511</v>
      </c>
      <c r="M516">
        <v>0.52126399999999995</v>
      </c>
      <c r="N516">
        <v>24217.118592999999</v>
      </c>
      <c r="O516">
        <f t="shared" si="29"/>
        <v>46458.452133659724</v>
      </c>
      <c r="W516">
        <v>511</v>
      </c>
      <c r="X516">
        <v>7.2927000000000006E-2</v>
      </c>
      <c r="Y516">
        <v>4096.7453500000001</v>
      </c>
      <c r="Z516">
        <f t="shared" si="30"/>
        <v>56175.975290358852</v>
      </c>
    </row>
    <row r="517" spans="12:26" x14ac:dyDescent="0.55000000000000004">
      <c r="L517">
        <v>512</v>
      </c>
      <c r="M517">
        <v>0.50833600000000001</v>
      </c>
      <c r="N517">
        <v>23995.456524000001</v>
      </c>
      <c r="O517">
        <f t="shared" si="29"/>
        <v>47203.929141355322</v>
      </c>
      <c r="W517">
        <v>512</v>
      </c>
      <c r="X517">
        <v>7.2142999999999999E-2</v>
      </c>
      <c r="Y517">
        <v>4089.5769799999998</v>
      </c>
      <c r="Z517">
        <f t="shared" si="30"/>
        <v>56687.093411696216</v>
      </c>
    </row>
    <row r="518" spans="12:26" x14ac:dyDescent="0.55000000000000004">
      <c r="L518">
        <v>513</v>
      </c>
      <c r="M518">
        <v>0.49564900000000001</v>
      </c>
      <c r="N518">
        <v>23775.731497000001</v>
      </c>
      <c r="O518">
        <f t="shared" ref="O518:O581" si="31">N518/M518</f>
        <v>47968.888259635351</v>
      </c>
      <c r="W518">
        <v>513</v>
      </c>
      <c r="X518">
        <v>7.1381E-2</v>
      </c>
      <c r="Y518">
        <v>4082.4554349999999</v>
      </c>
      <c r="Z518">
        <f t="shared" si="30"/>
        <v>57192.466272537509</v>
      </c>
    </row>
    <row r="519" spans="12:26" x14ac:dyDescent="0.55000000000000004">
      <c r="L519">
        <v>514</v>
      </c>
      <c r="M519">
        <v>0.48321500000000001</v>
      </c>
      <c r="N519">
        <v>23558.057815</v>
      </c>
      <c r="O519">
        <f t="shared" si="31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32">Y519/X519</f>
        <v>57689.816839601946</v>
      </c>
    </row>
    <row r="520" spans="12:26" x14ac:dyDescent="0.55000000000000004">
      <c r="L520">
        <v>515</v>
      </c>
      <c r="M520">
        <v>0.47104800000000002</v>
      </c>
      <c r="N520">
        <v>23342.546472999999</v>
      </c>
      <c r="O520">
        <f t="shared" si="31"/>
        <v>49554.49651203274</v>
      </c>
      <c r="W520">
        <v>515</v>
      </c>
      <c r="X520">
        <v>6.9929000000000005E-2</v>
      </c>
      <c r="Y520">
        <v>4068.3568850000001</v>
      </c>
      <c r="Z520">
        <f t="shared" si="32"/>
        <v>58178.393584921847</v>
      </c>
    </row>
    <row r="521" spans="12:26" x14ac:dyDescent="0.55000000000000004">
      <c r="L521">
        <v>516</v>
      </c>
      <c r="M521">
        <v>0.45915899999999998</v>
      </c>
      <c r="N521">
        <v>23129.304964999999</v>
      </c>
      <c r="O521">
        <f t="shared" si="31"/>
        <v>50373.193087797474</v>
      </c>
      <c r="W521">
        <v>516</v>
      </c>
      <c r="X521">
        <v>6.9240999999999997E-2</v>
      </c>
      <c r="Y521">
        <v>4061.3819090000002</v>
      </c>
      <c r="Z521">
        <f t="shared" si="32"/>
        <v>58655.737337704544</v>
      </c>
    </row>
    <row r="522" spans="12:26" x14ac:dyDescent="0.55000000000000004">
      <c r="L522">
        <v>517</v>
      </c>
      <c r="M522">
        <v>0.44755699999999998</v>
      </c>
      <c r="N522">
        <v>22918.437120999999</v>
      </c>
      <c r="O522">
        <f t="shared" si="31"/>
        <v>51207.862062262458</v>
      </c>
      <c r="W522">
        <v>517</v>
      </c>
      <c r="X522">
        <v>6.8579000000000001E-2</v>
      </c>
      <c r="Y522">
        <v>4054.4578110000002</v>
      </c>
      <c r="Z522">
        <f t="shared" si="32"/>
        <v>59120.981802009366</v>
      </c>
    </row>
    <row r="523" spans="12:26" x14ac:dyDescent="0.55000000000000004">
      <c r="L523">
        <v>518</v>
      </c>
      <c r="M523">
        <v>0.43625399999999998</v>
      </c>
      <c r="N523">
        <v>22710.042937999999</v>
      </c>
      <c r="O523">
        <f t="shared" si="31"/>
        <v>52056.927702668632</v>
      </c>
      <c r="W523">
        <v>518</v>
      </c>
      <c r="X523">
        <v>6.7944000000000004E-2</v>
      </c>
      <c r="Y523">
        <v>4047.5855919999999</v>
      </c>
      <c r="Z523">
        <f t="shared" si="32"/>
        <v>59572.377134110437</v>
      </c>
    </row>
    <row r="524" spans="12:26" x14ac:dyDescent="0.55000000000000004">
      <c r="L524">
        <v>519</v>
      </c>
      <c r="M524">
        <v>0.42525600000000002</v>
      </c>
      <c r="N524">
        <v>22504.218433999999</v>
      </c>
      <c r="O524">
        <f t="shared" si="31"/>
        <v>52919.226146133144</v>
      </c>
      <c r="W524">
        <v>519</v>
      </c>
      <c r="X524">
        <v>6.7336999999999994E-2</v>
      </c>
      <c r="Y524">
        <v>4040.7662460000001</v>
      </c>
      <c r="Z524">
        <f t="shared" si="32"/>
        <v>60008.112122607192</v>
      </c>
    </row>
    <row r="525" spans="12:26" x14ac:dyDescent="0.55000000000000004">
      <c r="L525">
        <v>520</v>
      </c>
      <c r="M525">
        <v>0.414572</v>
      </c>
      <c r="N525">
        <v>22301.055507000001</v>
      </c>
      <c r="O525">
        <f t="shared" si="31"/>
        <v>53792.961191300914</v>
      </c>
      <c r="W525">
        <v>520</v>
      </c>
      <c r="X525">
        <v>6.6755999999999996E-2</v>
      </c>
      <c r="Y525">
        <v>4034.0007580000001</v>
      </c>
      <c r="Z525">
        <f t="shared" si="32"/>
        <v>60429.036461142074</v>
      </c>
    </row>
    <row r="526" spans="12:26" x14ac:dyDescent="0.55000000000000004">
      <c r="L526">
        <v>521</v>
      </c>
      <c r="M526">
        <v>0.40420699999999998</v>
      </c>
      <c r="N526">
        <v>22100.641804999999</v>
      </c>
      <c r="O526">
        <f t="shared" si="31"/>
        <v>54676.543961386124</v>
      </c>
      <c r="W526">
        <v>521</v>
      </c>
      <c r="X526">
        <v>6.6203999999999999E-2</v>
      </c>
      <c r="Y526">
        <v>4027.290101</v>
      </c>
      <c r="Z526">
        <f t="shared" si="32"/>
        <v>60831.522279620571</v>
      </c>
    </row>
    <row r="527" spans="12:26" x14ac:dyDescent="0.55000000000000004">
      <c r="L527">
        <v>522</v>
      </c>
      <c r="M527">
        <v>0.39416600000000002</v>
      </c>
      <c r="N527">
        <v>21903.060615999999</v>
      </c>
      <c r="O527">
        <f t="shared" si="31"/>
        <v>55568.112460232485</v>
      </c>
      <c r="W527">
        <v>522</v>
      </c>
      <c r="X527">
        <v>6.5678E-2</v>
      </c>
      <c r="Y527">
        <v>4020.6352360000001</v>
      </c>
      <c r="Z527">
        <f t="shared" si="32"/>
        <v>61217.382319802673</v>
      </c>
    </row>
    <row r="528" spans="12:26" x14ac:dyDescent="0.55000000000000004">
      <c r="L528">
        <v>523</v>
      </c>
      <c r="M528">
        <v>0.38445400000000002</v>
      </c>
      <c r="N528">
        <v>21708.390761999999</v>
      </c>
      <c r="O528">
        <f t="shared" si="31"/>
        <v>56465.508908738098</v>
      </c>
      <c r="W528">
        <v>523</v>
      </c>
      <c r="X528">
        <v>6.5181000000000003E-2</v>
      </c>
      <c r="Y528">
        <v>4014.037112</v>
      </c>
      <c r="Z528">
        <f t="shared" si="32"/>
        <v>61582.93232690508</v>
      </c>
    </row>
    <row r="529" spans="12:26" x14ac:dyDescent="0.55000000000000004">
      <c r="L529">
        <v>524</v>
      </c>
      <c r="M529">
        <v>0.37507200000000002</v>
      </c>
      <c r="N529">
        <v>21516.706505999999</v>
      </c>
      <c r="O529">
        <f t="shared" si="31"/>
        <v>57366.869577041201</v>
      </c>
      <c r="W529">
        <v>524</v>
      </c>
      <c r="X529">
        <v>6.4710000000000004E-2</v>
      </c>
      <c r="Y529">
        <v>4007.4966610000001</v>
      </c>
      <c r="Z529">
        <f t="shared" si="32"/>
        <v>61930.098300108177</v>
      </c>
    </row>
    <row r="530" spans="12:26" x14ac:dyDescent="0.55000000000000004">
      <c r="L530">
        <v>525</v>
      </c>
      <c r="M530">
        <v>0.36602400000000002</v>
      </c>
      <c r="N530">
        <v>21328.07748</v>
      </c>
      <c r="O530">
        <f t="shared" si="31"/>
        <v>58269.61477935873</v>
      </c>
      <c r="W530">
        <v>525</v>
      </c>
      <c r="X530">
        <v>6.4266000000000004E-2</v>
      </c>
      <c r="Y530">
        <v>4001.0147999999999</v>
      </c>
      <c r="Z530">
        <f t="shared" si="32"/>
        <v>62257.100177387729</v>
      </c>
    </row>
    <row r="531" spans="12:26" x14ac:dyDescent="0.55000000000000004">
      <c r="L531">
        <v>526</v>
      </c>
      <c r="M531">
        <v>0.35731000000000002</v>
      </c>
      <c r="N531">
        <v>21142.568618000001</v>
      </c>
      <c r="O531">
        <f t="shared" si="31"/>
        <v>59171.499868461564</v>
      </c>
      <c r="W531">
        <v>526</v>
      </c>
      <c r="X531">
        <v>6.3849000000000003E-2</v>
      </c>
      <c r="Y531">
        <v>3994.5924279999999</v>
      </c>
      <c r="Z531">
        <f t="shared" si="32"/>
        <v>62563.116540587944</v>
      </c>
    </row>
    <row r="532" spans="12:26" x14ac:dyDescent="0.55000000000000004">
      <c r="L532">
        <v>527</v>
      </c>
      <c r="M532">
        <v>0.34893000000000002</v>
      </c>
      <c r="N532">
        <v>20960.240097999998</v>
      </c>
      <c r="O532">
        <f t="shared" si="31"/>
        <v>60070.042982833227</v>
      </c>
      <c r="W532">
        <v>527</v>
      </c>
      <c r="X532">
        <v>6.3457E-2</v>
      </c>
      <c r="Y532">
        <v>3988.2304239999999</v>
      </c>
      <c r="Z532">
        <f t="shared" si="32"/>
        <v>62849.337724758494</v>
      </c>
    </row>
    <row r="533" spans="12:26" x14ac:dyDescent="0.55000000000000004">
      <c r="L533">
        <v>528</v>
      </c>
      <c r="M533">
        <v>0.34088299999999999</v>
      </c>
      <c r="N533">
        <v>20781.147312000001</v>
      </c>
      <c r="O533">
        <f t="shared" si="31"/>
        <v>60962.697793671148</v>
      </c>
      <c r="W533">
        <v>528</v>
      </c>
      <c r="X533">
        <v>6.3089999999999993E-2</v>
      </c>
      <c r="Y533">
        <v>3981.929646</v>
      </c>
      <c r="Z533">
        <f t="shared" si="32"/>
        <v>63115.0680932002</v>
      </c>
    </row>
    <row r="534" spans="12:26" x14ac:dyDescent="0.55000000000000004">
      <c r="L534">
        <v>529</v>
      </c>
      <c r="M534">
        <v>0.33316600000000002</v>
      </c>
      <c r="N534">
        <v>20605.340830000001</v>
      </c>
      <c r="O534">
        <f t="shared" si="31"/>
        <v>61847.069718998937</v>
      </c>
      <c r="W534">
        <v>529</v>
      </c>
      <c r="X534">
        <v>6.2746999999999997E-2</v>
      </c>
      <c r="Y534">
        <v>3975.6909340000002</v>
      </c>
      <c r="Z534">
        <f t="shared" si="32"/>
        <v>63360.653640811521</v>
      </c>
    </row>
    <row r="535" spans="12:26" x14ac:dyDescent="0.55000000000000004">
      <c r="L535">
        <v>530</v>
      </c>
      <c r="M535">
        <v>0.32577699999999998</v>
      </c>
      <c r="N535">
        <v>20432.866393</v>
      </c>
      <c r="O535">
        <f t="shared" si="31"/>
        <v>62720.40811045593</v>
      </c>
      <c r="W535">
        <v>530</v>
      </c>
      <c r="X535">
        <v>6.2427000000000003E-2</v>
      </c>
      <c r="Y535">
        <v>3969.5151019999998</v>
      </c>
      <c r="Z535">
        <f t="shared" si="32"/>
        <v>63586.510676470112</v>
      </c>
    </row>
    <row r="536" spans="12:26" x14ac:dyDescent="0.55000000000000004">
      <c r="L536">
        <v>531</v>
      </c>
      <c r="M536">
        <v>0.31871300000000002</v>
      </c>
      <c r="N536">
        <v>20263.764902999999</v>
      </c>
      <c r="O536">
        <f t="shared" si="31"/>
        <v>63579.976038002838</v>
      </c>
      <c r="W536">
        <v>531</v>
      </c>
      <c r="X536">
        <v>6.2130999999999999E-2</v>
      </c>
      <c r="Y536">
        <v>3963.4029399999999</v>
      </c>
      <c r="Z536">
        <f t="shared" si="32"/>
        <v>63791.069514413095</v>
      </c>
    </row>
    <row r="537" spans="12:26" x14ac:dyDescent="0.55000000000000004">
      <c r="L537">
        <v>532</v>
      </c>
      <c r="M537">
        <v>0.31196800000000002</v>
      </c>
      <c r="N537">
        <v>20098.072441</v>
      </c>
      <c r="O537">
        <f t="shared" si="31"/>
        <v>64423.50638847574</v>
      </c>
      <c r="W537">
        <v>532</v>
      </c>
      <c r="X537">
        <v>6.1855E-2</v>
      </c>
      <c r="Y537">
        <v>3957.3552140000002</v>
      </c>
      <c r="Z537">
        <f t="shared" si="32"/>
        <v>63977.935720636975</v>
      </c>
    </row>
    <row r="538" spans="12:26" x14ac:dyDescent="0.55000000000000004">
      <c r="L538">
        <v>533</v>
      </c>
      <c r="M538">
        <v>0.30553900000000001</v>
      </c>
      <c r="N538">
        <v>19935.82028</v>
      </c>
      <c r="O538">
        <f t="shared" si="31"/>
        <v>65248.037991876648</v>
      </c>
      <c r="W538">
        <v>533</v>
      </c>
      <c r="X538">
        <v>6.1601000000000003E-2</v>
      </c>
      <c r="Y538">
        <v>3951.3726630000001</v>
      </c>
      <c r="Z538">
        <f t="shared" si="32"/>
        <v>64144.618804889527</v>
      </c>
    </row>
    <row r="539" spans="12:26" x14ac:dyDescent="0.55000000000000004">
      <c r="L539">
        <v>534</v>
      </c>
      <c r="M539">
        <v>0.29941800000000002</v>
      </c>
      <c r="N539">
        <v>19777.034927000001</v>
      </c>
      <c r="O539">
        <f t="shared" si="31"/>
        <v>66051.589840958128</v>
      </c>
      <c r="W539">
        <v>534</v>
      </c>
      <c r="X539">
        <v>6.1365999999999997E-2</v>
      </c>
      <c r="Y539">
        <v>3945.4560000000001</v>
      </c>
      <c r="Z539">
        <f t="shared" si="32"/>
        <v>64293.843496398666</v>
      </c>
    </row>
    <row r="540" spans="12:26" x14ac:dyDescent="0.55000000000000004">
      <c r="L540">
        <v>535</v>
      </c>
      <c r="M540">
        <v>0.293601</v>
      </c>
      <c r="N540">
        <v>19621.738161000001</v>
      </c>
      <c r="O540">
        <f t="shared" si="31"/>
        <v>66831.305618850078</v>
      </c>
      <c r="W540">
        <v>535</v>
      </c>
      <c r="X540">
        <v>6.1149000000000002E-2</v>
      </c>
      <c r="Y540">
        <v>3939.6059070000001</v>
      </c>
      <c r="Z540">
        <f t="shared" si="32"/>
        <v>64426.334151008195</v>
      </c>
    </row>
    <row r="541" spans="12:26" x14ac:dyDescent="0.55000000000000004">
      <c r="L541">
        <v>536</v>
      </c>
      <c r="M541">
        <v>0.28807899999999997</v>
      </c>
      <c r="N541">
        <v>19469.947090000001</v>
      </c>
      <c r="O541">
        <f t="shared" si="31"/>
        <v>67585.443888655558</v>
      </c>
      <c r="W541">
        <v>536</v>
      </c>
      <c r="X541">
        <v>6.0950999999999998E-2</v>
      </c>
      <c r="Y541">
        <v>3933.8230410000001</v>
      </c>
      <c r="Z541">
        <f t="shared" si="32"/>
        <v>64540.746517694548</v>
      </c>
    </row>
    <row r="542" spans="12:26" x14ac:dyDescent="0.55000000000000004">
      <c r="L542">
        <v>537</v>
      </c>
      <c r="M542">
        <v>0.28284500000000001</v>
      </c>
      <c r="N542">
        <v>19321.674220000001</v>
      </c>
      <c r="O542">
        <f t="shared" si="31"/>
        <v>68311.88184341247</v>
      </c>
      <c r="W542">
        <v>537</v>
      </c>
      <c r="X542">
        <v>6.0768999999999997E-2</v>
      </c>
      <c r="Y542">
        <v>3928.1080240000001</v>
      </c>
      <c r="Z542">
        <f t="shared" si="32"/>
        <v>64639.997762016821</v>
      </c>
    </row>
    <row r="543" spans="12:26" x14ac:dyDescent="0.55000000000000004">
      <c r="L543">
        <v>538</v>
      </c>
      <c r="M543">
        <v>0.27789199999999997</v>
      </c>
      <c r="N543">
        <v>19176.927527</v>
      </c>
      <c r="O543">
        <f t="shared" si="31"/>
        <v>69008.562776186445</v>
      </c>
      <c r="W543">
        <v>538</v>
      </c>
      <c r="X543">
        <v>6.0602999999999997E-2</v>
      </c>
      <c r="Y543">
        <v>3922.461452</v>
      </c>
      <c r="Z543">
        <f t="shared" si="32"/>
        <v>64723.882514066965</v>
      </c>
    </row>
    <row r="544" spans="12:26" x14ac:dyDescent="0.55000000000000004">
      <c r="L544">
        <v>539</v>
      </c>
      <c r="M544">
        <v>0.27321099999999998</v>
      </c>
      <c r="N544">
        <v>19035.710543000001</v>
      </c>
      <c r="O544">
        <f t="shared" si="31"/>
        <v>69674.02682542066</v>
      </c>
      <c r="W544">
        <v>539</v>
      </c>
      <c r="X544">
        <v>6.0450999999999998E-2</v>
      </c>
      <c r="Y544">
        <v>3916.8838839999999</v>
      </c>
      <c r="Z544">
        <f t="shared" si="32"/>
        <v>64794.360457229821</v>
      </c>
    </row>
    <row r="545" spans="12:26" x14ac:dyDescent="0.55000000000000004">
      <c r="L545">
        <v>540</v>
      </c>
      <c r="M545">
        <v>0.26879500000000001</v>
      </c>
      <c r="N545">
        <v>18898.022452000001</v>
      </c>
      <c r="O545">
        <f t="shared" si="31"/>
        <v>70306.45083427892</v>
      </c>
      <c r="W545">
        <v>540</v>
      </c>
      <c r="X545">
        <v>6.0312999999999999E-2</v>
      </c>
      <c r="Y545">
        <v>3911.3758499999999</v>
      </c>
      <c r="Z545">
        <f t="shared" si="32"/>
        <v>64851.289937492744</v>
      </c>
    </row>
    <row r="546" spans="12:26" x14ac:dyDescent="0.55000000000000004">
      <c r="L546">
        <v>541</v>
      </c>
      <c r="M546">
        <v>0.26463300000000001</v>
      </c>
      <c r="N546">
        <v>18763.858194</v>
      </c>
      <c r="O546">
        <f t="shared" si="31"/>
        <v>70905.209078232874</v>
      </c>
      <c r="W546">
        <v>541</v>
      </c>
      <c r="X546">
        <v>6.0187999999999998E-2</v>
      </c>
      <c r="Y546">
        <v>3905.9378470000001</v>
      </c>
      <c r="Z546">
        <f t="shared" si="32"/>
        <v>64895.624493254472</v>
      </c>
    </row>
    <row r="547" spans="12:26" x14ac:dyDescent="0.55000000000000004">
      <c r="L547">
        <v>542</v>
      </c>
      <c r="M547">
        <v>0.26071800000000001</v>
      </c>
      <c r="N547">
        <v>18633.208573</v>
      </c>
      <c r="O547">
        <f t="shared" si="31"/>
        <v>71468.822915947501</v>
      </c>
      <c r="W547">
        <v>542</v>
      </c>
      <c r="X547">
        <v>6.0075000000000003E-2</v>
      </c>
      <c r="Y547">
        <v>3900.5703360000002</v>
      </c>
      <c r="Z547">
        <f t="shared" si="32"/>
        <v>64928.345168539323</v>
      </c>
    </row>
    <row r="548" spans="12:26" x14ac:dyDescent="0.55000000000000004">
      <c r="L548">
        <v>543</v>
      </c>
      <c r="M548">
        <v>0.25703900000000002</v>
      </c>
      <c r="N548">
        <v>18506.060378999999</v>
      </c>
      <c r="O548">
        <f t="shared" si="31"/>
        <v>71997.091410252906</v>
      </c>
      <c r="W548">
        <v>543</v>
      </c>
      <c r="X548">
        <v>5.9972999999999999E-2</v>
      </c>
      <c r="Y548">
        <v>3895.2737440000001</v>
      </c>
      <c r="Z548">
        <f t="shared" si="32"/>
        <v>64950.456772214166</v>
      </c>
    </row>
    <row r="549" spans="12:26" x14ac:dyDescent="0.55000000000000004">
      <c r="L549">
        <v>544</v>
      </c>
      <c r="M549">
        <v>0.25358799999999998</v>
      </c>
      <c r="N549">
        <v>18382.396510999999</v>
      </c>
      <c r="O549">
        <f t="shared" si="31"/>
        <v>72489.220747827188</v>
      </c>
      <c r="W549">
        <v>544</v>
      </c>
      <c r="X549">
        <v>5.9880999999999997E-2</v>
      </c>
      <c r="Y549">
        <v>3890.048464</v>
      </c>
      <c r="Z549">
        <f t="shared" si="32"/>
        <v>64962.984318899151</v>
      </c>
    </row>
    <row r="550" spans="12:26" x14ac:dyDescent="0.55000000000000004">
      <c r="L550">
        <v>545</v>
      </c>
      <c r="M550">
        <v>0.25035499999999999</v>
      </c>
      <c r="N550">
        <v>18262.196111000001</v>
      </c>
      <c r="O550">
        <f t="shared" si="31"/>
        <v>72945.202256795354</v>
      </c>
      <c r="W550">
        <v>545</v>
      </c>
      <c r="X550">
        <v>5.9798999999999998E-2</v>
      </c>
      <c r="Y550">
        <v>3884.8948540000001</v>
      </c>
      <c r="Z550">
        <f t="shared" si="32"/>
        <v>64965.883275640066</v>
      </c>
    </row>
    <row r="551" spans="12:26" x14ac:dyDescent="0.55000000000000004">
      <c r="L551">
        <v>546</v>
      </c>
      <c r="M551">
        <v>0.247331</v>
      </c>
      <c r="N551">
        <v>18145.434702999999</v>
      </c>
      <c r="O551">
        <f t="shared" si="31"/>
        <v>73364.983374506221</v>
      </c>
      <c r="W551">
        <v>546</v>
      </c>
      <c r="X551">
        <v>5.9725E-2</v>
      </c>
      <c r="Y551">
        <v>3879.8132340000002</v>
      </c>
      <c r="Z551">
        <f t="shared" si="32"/>
        <v>64961.293160318128</v>
      </c>
    </row>
    <row r="552" spans="12:26" x14ac:dyDescent="0.55000000000000004">
      <c r="L552">
        <v>547</v>
      </c>
      <c r="M552">
        <v>0.244507</v>
      </c>
      <c r="N552">
        <v>18032.084330999998</v>
      </c>
      <c r="O552">
        <f t="shared" si="31"/>
        <v>73748.74474350427</v>
      </c>
      <c r="W552">
        <v>547</v>
      </c>
      <c r="X552">
        <v>5.9658000000000003E-2</v>
      </c>
      <c r="Y552">
        <v>3874.8038900000001</v>
      </c>
      <c r="Z552">
        <f t="shared" si="32"/>
        <v>64950.281437527236</v>
      </c>
    </row>
    <row r="553" spans="12:26" x14ac:dyDescent="0.55000000000000004">
      <c r="L553">
        <v>548</v>
      </c>
      <c r="M553">
        <v>0.241873</v>
      </c>
      <c r="N553">
        <v>17922.113716</v>
      </c>
      <c r="O553">
        <f t="shared" si="31"/>
        <v>74097.206864759602</v>
      </c>
      <c r="W553">
        <v>548</v>
      </c>
      <c r="X553">
        <v>5.9598999999999999E-2</v>
      </c>
      <c r="Y553">
        <v>3869.8670689999999</v>
      </c>
      <c r="Z553">
        <f t="shared" si="32"/>
        <v>64931.744978942595</v>
      </c>
    </row>
    <row r="554" spans="12:26" x14ac:dyDescent="0.55000000000000004">
      <c r="L554">
        <v>549</v>
      </c>
      <c r="M554">
        <v>0.23941899999999999</v>
      </c>
      <c r="N554">
        <v>17815.488397000001</v>
      </c>
      <c r="O554">
        <f t="shared" si="31"/>
        <v>74411.339104248211</v>
      </c>
      <c r="W554">
        <v>549</v>
      </c>
      <c r="X554">
        <v>5.9547000000000003E-2</v>
      </c>
      <c r="Y554">
        <v>3865.0029840000002</v>
      </c>
      <c r="Z554">
        <f t="shared" si="32"/>
        <v>64906.76245654693</v>
      </c>
    </row>
    <row r="555" spans="12:26" x14ac:dyDescent="0.55000000000000004">
      <c r="L555">
        <v>550</v>
      </c>
      <c r="M555">
        <v>0.23713799999999999</v>
      </c>
      <c r="N555">
        <v>17712.170894999999</v>
      </c>
      <c r="O555">
        <f t="shared" si="31"/>
        <v>74691.407092072972</v>
      </c>
      <c r="W555">
        <v>550</v>
      </c>
      <c r="X555">
        <v>5.9499999999999997E-2</v>
      </c>
      <c r="Y555">
        <v>3860.2118089999999</v>
      </c>
      <c r="Z555">
        <f t="shared" si="32"/>
        <v>64877.509394957982</v>
      </c>
    </row>
    <row r="556" spans="12:26" x14ac:dyDescent="0.55000000000000004">
      <c r="L556">
        <v>551</v>
      </c>
      <c r="M556">
        <v>0.23502000000000001</v>
      </c>
      <c r="N556">
        <v>17612.120867000001</v>
      </c>
      <c r="O556">
        <f t="shared" si="31"/>
        <v>74938.817407029186</v>
      </c>
      <c r="W556">
        <v>551</v>
      </c>
      <c r="X556">
        <v>5.9458999999999998E-2</v>
      </c>
      <c r="Y556">
        <v>3855.4936809999999</v>
      </c>
      <c r="Z556">
        <f t="shared" si="32"/>
        <v>64842.894784641518</v>
      </c>
    </row>
    <row r="557" spans="12:26" x14ac:dyDescent="0.55000000000000004">
      <c r="L557">
        <v>552</v>
      </c>
      <c r="M557">
        <v>0.23305500000000001</v>
      </c>
      <c r="N557">
        <v>17515.295268000002</v>
      </c>
      <c r="O557">
        <f t="shared" si="31"/>
        <v>75155.200566389918</v>
      </c>
      <c r="W557">
        <v>552</v>
      </c>
      <c r="X557">
        <v>5.9422000000000003E-2</v>
      </c>
      <c r="Y557">
        <v>3850.8487009999999</v>
      </c>
      <c r="Z557">
        <f t="shared" si="32"/>
        <v>64805.100821244654</v>
      </c>
    </row>
    <row r="558" spans="12:26" x14ac:dyDescent="0.55000000000000004">
      <c r="L558">
        <v>553</v>
      </c>
      <c r="M558">
        <v>0.231237</v>
      </c>
      <c r="N558">
        <v>17421.648514</v>
      </c>
      <c r="O558">
        <f t="shared" si="31"/>
        <v>75341.093830139638</v>
      </c>
      <c r="W558">
        <v>553</v>
      </c>
      <c r="X558">
        <v>5.9389999999999998E-2</v>
      </c>
      <c r="Y558">
        <v>3846.2769309999999</v>
      </c>
      <c r="Z558">
        <f t="shared" si="32"/>
        <v>64763.039754167366</v>
      </c>
    </row>
    <row r="559" spans="12:26" x14ac:dyDescent="0.55000000000000004">
      <c r="L559">
        <v>554</v>
      </c>
      <c r="M559">
        <v>0.22955600000000001</v>
      </c>
      <c r="N559">
        <v>17331.132641</v>
      </c>
      <c r="O559">
        <f t="shared" si="31"/>
        <v>75498.495534858594</v>
      </c>
      <c r="W559">
        <v>554</v>
      </c>
      <c r="X559">
        <v>5.9361999999999998E-2</v>
      </c>
      <c r="Y559">
        <v>3841.778397</v>
      </c>
      <c r="Z559">
        <f t="shared" si="32"/>
        <v>64717.805953303461</v>
      </c>
    </row>
    <row r="560" spans="12:26" x14ac:dyDescent="0.55000000000000004">
      <c r="L560">
        <v>555</v>
      </c>
      <c r="M560">
        <v>0.22800400000000001</v>
      </c>
      <c r="N560">
        <v>17243.697477000002</v>
      </c>
      <c r="O560">
        <f t="shared" si="31"/>
        <v>75628.925268854931</v>
      </c>
      <c r="W560">
        <v>555</v>
      </c>
      <c r="X560">
        <v>5.9337000000000001E-2</v>
      </c>
      <c r="Y560">
        <v>3837.353087</v>
      </c>
      <c r="Z560">
        <f t="shared" si="32"/>
        <v>64670.493739150952</v>
      </c>
    </row>
    <row r="561" spans="12:26" x14ac:dyDescent="0.55000000000000004">
      <c r="L561">
        <v>556</v>
      </c>
      <c r="M561">
        <v>0.226573</v>
      </c>
      <c r="N561">
        <v>17159.290799999999</v>
      </c>
      <c r="O561">
        <f t="shared" si="31"/>
        <v>75734.049511636418</v>
      </c>
      <c r="W561">
        <v>556</v>
      </c>
      <c r="X561">
        <v>5.9316000000000001E-2</v>
      </c>
      <c r="Y561">
        <v>3833.0009530000002</v>
      </c>
      <c r="Z561">
        <f t="shared" si="32"/>
        <v>64620.017415199945</v>
      </c>
    </row>
    <row r="562" spans="12:26" x14ac:dyDescent="0.55000000000000004">
      <c r="L562">
        <v>557</v>
      </c>
      <c r="M562">
        <v>0.22525600000000001</v>
      </c>
      <c r="N562">
        <v>17077.858501999999</v>
      </c>
      <c r="O562">
        <f t="shared" si="31"/>
        <v>75815.332341868794</v>
      </c>
      <c r="W562">
        <v>557</v>
      </c>
      <c r="X562">
        <v>5.9297000000000002E-2</v>
      </c>
      <c r="Y562">
        <v>3828.721908</v>
      </c>
      <c r="Z562">
        <f t="shared" si="32"/>
        <v>64568.560095788991</v>
      </c>
    </row>
    <row r="563" spans="12:26" x14ac:dyDescent="0.55000000000000004">
      <c r="L563">
        <v>558</v>
      </c>
      <c r="M563">
        <v>0.224046</v>
      </c>
      <c r="N563">
        <v>16999.344755999999</v>
      </c>
      <c r="O563">
        <f t="shared" si="31"/>
        <v>75874.350606571854</v>
      </c>
      <c r="W563">
        <v>558</v>
      </c>
      <c r="X563">
        <v>5.9279999999999999E-2</v>
      </c>
      <c r="Y563">
        <v>3824.5158310000002</v>
      </c>
      <c r="Z563">
        <f t="shared" si="32"/>
        <v>64516.124004723351</v>
      </c>
    </row>
    <row r="564" spans="12:26" x14ac:dyDescent="0.55000000000000004">
      <c r="L564">
        <v>559</v>
      </c>
      <c r="M564">
        <v>0.22293499999999999</v>
      </c>
      <c r="N564">
        <v>16923.692174</v>
      </c>
      <c r="O564">
        <f t="shared" si="31"/>
        <v>75913.123439567586</v>
      </c>
      <c r="W564">
        <v>559</v>
      </c>
      <c r="X564">
        <v>5.9265999999999999E-2</v>
      </c>
      <c r="Y564">
        <v>3820.3825609999999</v>
      </c>
      <c r="Z564">
        <f t="shared" si="32"/>
        <v>64461.623207235178</v>
      </c>
    </row>
    <row r="565" spans="12:26" x14ac:dyDescent="0.55000000000000004">
      <c r="L565">
        <v>560</v>
      </c>
      <c r="M565">
        <v>0.221917</v>
      </c>
      <c r="N565">
        <v>16850.841970000001</v>
      </c>
      <c r="O565">
        <f t="shared" si="31"/>
        <v>75933.082954437923</v>
      </c>
      <c r="W565">
        <v>560</v>
      </c>
      <c r="X565">
        <v>5.9253E-2</v>
      </c>
      <c r="Y565">
        <v>3816.3219049999998</v>
      </c>
      <c r="Z565">
        <f t="shared" si="32"/>
        <v>64407.235161088887</v>
      </c>
    </row>
    <row r="566" spans="12:26" x14ac:dyDescent="0.55000000000000004">
      <c r="L566">
        <v>561</v>
      </c>
      <c r="M566">
        <v>0.22098499999999999</v>
      </c>
      <c r="N566">
        <v>16780.734113999999</v>
      </c>
      <c r="O566">
        <f t="shared" si="31"/>
        <v>75936.077625178179</v>
      </c>
      <c r="W566">
        <v>561</v>
      </c>
      <c r="X566">
        <v>5.9242999999999997E-2</v>
      </c>
      <c r="Y566">
        <v>3812.333631</v>
      </c>
      <c r="Z566">
        <f t="shared" si="32"/>
        <v>64350.786270107863</v>
      </c>
    </row>
    <row r="567" spans="12:26" x14ac:dyDescent="0.55000000000000004">
      <c r="L567">
        <v>562</v>
      </c>
      <c r="M567">
        <v>0.220134</v>
      </c>
      <c r="N567">
        <v>16713.307486999998</v>
      </c>
      <c r="O567">
        <f t="shared" si="31"/>
        <v>75923.335273060948</v>
      </c>
      <c r="W567">
        <v>562</v>
      </c>
      <c r="X567">
        <v>5.9233000000000001E-2</v>
      </c>
      <c r="Y567">
        <v>3808.417473</v>
      </c>
      <c r="Z567">
        <f t="shared" si="32"/>
        <v>64295.535816183547</v>
      </c>
    </row>
    <row r="568" spans="12:26" x14ac:dyDescent="0.55000000000000004">
      <c r="L568">
        <v>563</v>
      </c>
      <c r="M568">
        <v>0.219358</v>
      </c>
      <c r="N568">
        <v>16648.500037999998</v>
      </c>
      <c r="O568">
        <f t="shared" si="31"/>
        <v>75896.479900436723</v>
      </c>
      <c r="W568">
        <v>563</v>
      </c>
      <c r="X568">
        <v>5.9226000000000001E-2</v>
      </c>
      <c r="Y568">
        <v>3804.573128</v>
      </c>
      <c r="Z568">
        <f t="shared" si="32"/>
        <v>64238.225238915344</v>
      </c>
    </row>
    <row r="569" spans="12:26" x14ac:dyDescent="0.55000000000000004">
      <c r="L569">
        <v>564</v>
      </c>
      <c r="M569">
        <v>0.21865000000000001</v>
      </c>
      <c r="N569">
        <v>16586.248926</v>
      </c>
      <c r="O569">
        <f t="shared" si="31"/>
        <v>75857.529961125081</v>
      </c>
      <c r="W569">
        <v>564</v>
      </c>
      <c r="X569">
        <v>5.9219000000000001E-2</v>
      </c>
      <c r="Y569">
        <v>3800.8002620000002</v>
      </c>
      <c r="Z569">
        <f t="shared" si="32"/>
        <v>64182.108140968274</v>
      </c>
    </row>
    <row r="570" spans="12:26" x14ac:dyDescent="0.55000000000000004">
      <c r="L570">
        <v>565</v>
      </c>
      <c r="M570">
        <v>0.21800600000000001</v>
      </c>
      <c r="N570">
        <v>16526.490667999999</v>
      </c>
      <c r="O570">
        <f t="shared" si="31"/>
        <v>75807.503775125442</v>
      </c>
      <c r="W570">
        <v>565</v>
      </c>
      <c r="X570">
        <v>5.9213000000000002E-2</v>
      </c>
      <c r="Y570">
        <v>3797.098504</v>
      </c>
      <c r="Z570">
        <f t="shared" si="32"/>
        <v>64126.095688446796</v>
      </c>
    </row>
    <row r="571" spans="12:26" x14ac:dyDescent="0.55000000000000004">
      <c r="L571">
        <v>566</v>
      </c>
      <c r="M571">
        <v>0.217422</v>
      </c>
      <c r="N571">
        <v>16469.16128</v>
      </c>
      <c r="O571">
        <f t="shared" si="31"/>
        <v>75747.446348575584</v>
      </c>
      <c r="W571">
        <v>566</v>
      </c>
      <c r="X571">
        <v>5.9207999999999997E-2</v>
      </c>
      <c r="Y571">
        <v>3793.4674500000001</v>
      </c>
      <c r="Z571">
        <f t="shared" si="32"/>
        <v>64070.183927847596</v>
      </c>
    </row>
    <row r="572" spans="12:26" x14ac:dyDescent="0.55000000000000004">
      <c r="L572">
        <v>567</v>
      </c>
      <c r="M572">
        <v>0.216891</v>
      </c>
      <c r="N572">
        <v>16414.196413000001</v>
      </c>
      <c r="O572">
        <f t="shared" si="31"/>
        <v>75679.472237206719</v>
      </c>
      <c r="W572">
        <v>567</v>
      </c>
      <c r="X572">
        <v>5.9204E-2</v>
      </c>
      <c r="Y572">
        <v>3789.906665</v>
      </c>
      <c r="Z572">
        <f t="shared" si="32"/>
        <v>64014.368370380376</v>
      </c>
    </row>
    <row r="573" spans="12:26" x14ac:dyDescent="0.55000000000000004">
      <c r="L573">
        <v>568</v>
      </c>
      <c r="M573">
        <v>0.21641099999999999</v>
      </c>
      <c r="N573">
        <v>16361.531483999999</v>
      </c>
      <c r="O573">
        <f t="shared" si="31"/>
        <v>75603.973383977704</v>
      </c>
      <c r="W573">
        <v>568</v>
      </c>
      <c r="X573">
        <v>5.9200000000000003E-2</v>
      </c>
      <c r="Y573">
        <v>3786.4156779999998</v>
      </c>
      <c r="Z573">
        <f t="shared" si="32"/>
        <v>63959.724290540536</v>
      </c>
    </row>
    <row r="574" spans="12:26" x14ac:dyDescent="0.55000000000000004">
      <c r="L574">
        <v>569</v>
      </c>
      <c r="M574">
        <v>0.215976</v>
      </c>
      <c r="N574">
        <v>16311.101803</v>
      </c>
      <c r="O574">
        <f t="shared" si="31"/>
        <v>75522.751615920279</v>
      </c>
      <c r="W574">
        <v>569</v>
      </c>
      <c r="X574">
        <v>5.9197E-2</v>
      </c>
      <c r="Y574">
        <v>3782.9939899999999</v>
      </c>
      <c r="Z574">
        <f t="shared" si="32"/>
        <v>63905.163944118787</v>
      </c>
    </row>
    <row r="575" spans="12:26" x14ac:dyDescent="0.55000000000000004">
      <c r="L575">
        <v>570</v>
      </c>
      <c r="M575">
        <v>0.215584</v>
      </c>
      <c r="N575">
        <v>16262.842697</v>
      </c>
      <c r="O575">
        <f t="shared" si="31"/>
        <v>75436.222989646732</v>
      </c>
      <c r="W575">
        <v>570</v>
      </c>
      <c r="X575">
        <v>5.9193999999999997E-2</v>
      </c>
      <c r="Y575">
        <v>3779.6410689999998</v>
      </c>
      <c r="Z575">
        <f t="shared" si="32"/>
        <v>63851.759789843563</v>
      </c>
    </row>
    <row r="576" spans="12:26" x14ac:dyDescent="0.55000000000000004">
      <c r="L576">
        <v>571</v>
      </c>
      <c r="M576">
        <v>0.21523</v>
      </c>
      <c r="N576">
        <v>16216.689625000001</v>
      </c>
      <c r="O576">
        <f t="shared" si="31"/>
        <v>75345.860823305309</v>
      </c>
      <c r="W576">
        <v>571</v>
      </c>
      <c r="X576">
        <v>5.9192000000000002E-2</v>
      </c>
      <c r="Y576">
        <v>3776.3563530000001</v>
      </c>
      <c r="Z576">
        <f t="shared" si="32"/>
        <v>63798.42466887417</v>
      </c>
    </row>
    <row r="577" spans="12:26" x14ac:dyDescent="0.55000000000000004">
      <c r="L577">
        <v>572</v>
      </c>
      <c r="M577">
        <v>0.21491199999999999</v>
      </c>
      <c r="N577">
        <v>16172.578293</v>
      </c>
      <c r="O577">
        <f t="shared" si="31"/>
        <v>75252.095243634612</v>
      </c>
      <c r="W577">
        <v>572</v>
      </c>
      <c r="X577">
        <v>5.919E-2</v>
      </c>
      <c r="Y577">
        <v>3773.1392519999999</v>
      </c>
      <c r="Z577">
        <f t="shared" si="32"/>
        <v>63746.22828180436</v>
      </c>
    </row>
    <row r="578" spans="12:26" x14ac:dyDescent="0.55000000000000004">
      <c r="L578">
        <v>573</v>
      </c>
      <c r="M578">
        <v>0.21462500000000001</v>
      </c>
      <c r="N578">
        <v>16130.444756000001</v>
      </c>
      <c r="O578">
        <f t="shared" si="31"/>
        <v>75156.411210250444</v>
      </c>
      <c r="W578">
        <v>573</v>
      </c>
      <c r="X578">
        <v>5.9188999999999999E-2</v>
      </c>
      <c r="Y578">
        <v>3769.9891440000001</v>
      </c>
      <c r="Z578">
        <f t="shared" si="32"/>
        <v>63694.084103465175</v>
      </c>
    </row>
    <row r="579" spans="12:26" x14ac:dyDescent="0.55000000000000004">
      <c r="L579">
        <v>574</v>
      </c>
      <c r="M579">
        <v>0.214368</v>
      </c>
      <c r="N579">
        <v>16090.22552</v>
      </c>
      <c r="O579">
        <f t="shared" si="31"/>
        <v>75058.896477086135</v>
      </c>
      <c r="W579">
        <v>574</v>
      </c>
      <c r="X579">
        <v>5.9187999999999998E-2</v>
      </c>
      <c r="Y579">
        <v>3766.905381</v>
      </c>
      <c r="Z579">
        <f t="shared" si="32"/>
        <v>63643.05908292222</v>
      </c>
    </row>
    <row r="580" spans="12:26" x14ac:dyDescent="0.55000000000000004">
      <c r="L580">
        <v>575</v>
      </c>
      <c r="M580">
        <v>0.21413699999999999</v>
      </c>
      <c r="N580">
        <v>16051.857642000001</v>
      </c>
      <c r="O580">
        <f t="shared" si="31"/>
        <v>74960.691716050947</v>
      </c>
      <c r="W580">
        <v>575</v>
      </c>
      <c r="X580">
        <v>5.9186999999999997E-2</v>
      </c>
      <c r="Y580">
        <v>3763.8872879999999</v>
      </c>
      <c r="Z580">
        <f t="shared" si="32"/>
        <v>63593.141872370623</v>
      </c>
    </row>
    <row r="581" spans="12:26" x14ac:dyDescent="0.55000000000000004">
      <c r="L581">
        <v>576</v>
      </c>
      <c r="M581">
        <v>0.21393100000000001</v>
      </c>
      <c r="N581">
        <v>16015.278812</v>
      </c>
      <c r="O581">
        <f t="shared" si="31"/>
        <v>74861.889169872535</v>
      </c>
      <c r="W581">
        <v>576</v>
      </c>
      <c r="X581">
        <v>5.9186000000000002E-2</v>
      </c>
      <c r="Y581">
        <v>3760.934162</v>
      </c>
      <c r="Z581">
        <f t="shared" si="32"/>
        <v>63544.32065015375</v>
      </c>
    </row>
    <row r="582" spans="12:26" x14ac:dyDescent="0.55000000000000004">
      <c r="L582">
        <v>577</v>
      </c>
      <c r="M582">
        <v>0.21374599999999999</v>
      </c>
      <c r="N582">
        <v>15980.427443</v>
      </c>
      <c r="O582">
        <f t="shared" ref="O582:O645" si="33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32"/>
        <v>63496.58320520402</v>
      </c>
    </row>
    <row r="583" spans="12:26" x14ac:dyDescent="0.55000000000000004">
      <c r="L583">
        <v>578</v>
      </c>
      <c r="M583">
        <v>0.21358199999999999</v>
      </c>
      <c r="N583">
        <v>15947.242748999999</v>
      </c>
      <c r="O583">
        <f t="shared" si="33"/>
        <v>74665.668216422724</v>
      </c>
      <c r="W583">
        <v>578</v>
      </c>
      <c r="X583">
        <v>5.9184E-2</v>
      </c>
      <c r="Y583">
        <v>3755.2198790000002</v>
      </c>
      <c r="Z583">
        <f t="shared" ref="Z583:Z646" si="34">Y583/X583</f>
        <v>63449.916852527713</v>
      </c>
    </row>
    <row r="584" spans="12:26" x14ac:dyDescent="0.55000000000000004">
      <c r="L584">
        <v>579</v>
      </c>
      <c r="M584">
        <v>0.21343500000000001</v>
      </c>
      <c r="N584">
        <v>15915.664812999999</v>
      </c>
      <c r="O584">
        <f t="shared" si="33"/>
        <v>74569.141954224935</v>
      </c>
      <c r="W584">
        <v>579</v>
      </c>
      <c r="X584">
        <v>5.9184E-2</v>
      </c>
      <c r="Y584">
        <v>3752.4571919999998</v>
      </c>
      <c r="Z584">
        <f t="shared" si="34"/>
        <v>63403.237226277372</v>
      </c>
    </row>
    <row r="585" spans="12:26" x14ac:dyDescent="0.55000000000000004">
      <c r="L585">
        <v>580</v>
      </c>
      <c r="M585">
        <v>0.21330399999999999</v>
      </c>
      <c r="N585">
        <v>15885.634662</v>
      </c>
      <c r="O585">
        <f t="shared" si="33"/>
        <v>74474.152674117693</v>
      </c>
      <c r="W585">
        <v>580</v>
      </c>
      <c r="X585">
        <v>5.9182999999999999E-2</v>
      </c>
      <c r="Y585">
        <v>3749.7564170000001</v>
      </c>
      <c r="Z585">
        <f t="shared" si="34"/>
        <v>63358.67423077573</v>
      </c>
    </row>
    <row r="586" spans="12:26" x14ac:dyDescent="0.55000000000000004">
      <c r="L586">
        <v>581</v>
      </c>
      <c r="M586">
        <v>0.21318799999999999</v>
      </c>
      <c r="N586">
        <v>15857.094321</v>
      </c>
      <c r="O586">
        <f t="shared" si="33"/>
        <v>74380.801550743956</v>
      </c>
      <c r="W586">
        <v>581</v>
      </c>
      <c r="X586">
        <v>5.9182999999999999E-2</v>
      </c>
      <c r="Y586">
        <v>3747.1167310000001</v>
      </c>
      <c r="Z586">
        <f t="shared" si="34"/>
        <v>63314.072132200126</v>
      </c>
    </row>
    <row r="587" spans="12:26" x14ac:dyDescent="0.55000000000000004">
      <c r="L587">
        <v>582</v>
      </c>
      <c r="M587">
        <v>0.213085</v>
      </c>
      <c r="N587">
        <v>15829.986875000001</v>
      </c>
      <c r="O587">
        <f t="shared" si="33"/>
        <v>74289.541145552241</v>
      </c>
      <c r="W587">
        <v>582</v>
      </c>
      <c r="X587">
        <v>5.9182999999999999E-2</v>
      </c>
      <c r="Y587">
        <v>3744.537292</v>
      </c>
      <c r="Z587">
        <f t="shared" si="34"/>
        <v>63270.488011760135</v>
      </c>
    </row>
    <row r="588" spans="12:26" x14ac:dyDescent="0.55000000000000004">
      <c r="L588">
        <v>583</v>
      </c>
      <c r="M588">
        <v>0.21299399999999999</v>
      </c>
      <c r="N588">
        <v>15804.256519</v>
      </c>
      <c r="O588">
        <f t="shared" si="33"/>
        <v>74200.477567443217</v>
      </c>
      <c r="W588">
        <v>583</v>
      </c>
      <c r="X588">
        <v>5.9181999999999998E-2</v>
      </c>
      <c r="Y588">
        <v>3742.017237</v>
      </c>
      <c r="Z588">
        <f t="shared" si="34"/>
        <v>63228.97565138049</v>
      </c>
    </row>
    <row r="589" spans="12:26" x14ac:dyDescent="0.55000000000000004">
      <c r="L589">
        <v>584</v>
      </c>
      <c r="M589">
        <v>0.21291299999999999</v>
      </c>
      <c r="N589">
        <v>15779.848599000001</v>
      </c>
      <c r="O589">
        <f t="shared" si="33"/>
        <v>74114.068182778894</v>
      </c>
      <c r="W589">
        <v>584</v>
      </c>
      <c r="X589">
        <v>5.9181999999999998E-2</v>
      </c>
      <c r="Y589">
        <v>3739.5556809999998</v>
      </c>
      <c r="Z589">
        <f t="shared" si="34"/>
        <v>63187.382667027137</v>
      </c>
    </row>
    <row r="590" spans="12:26" x14ac:dyDescent="0.55000000000000004">
      <c r="L590">
        <v>585</v>
      </c>
      <c r="M590">
        <v>0.212842</v>
      </c>
      <c r="N590">
        <v>15756.709661999999</v>
      </c>
      <c r="O590">
        <f t="shared" si="33"/>
        <v>74030.077061858086</v>
      </c>
      <c r="W590">
        <v>585</v>
      </c>
      <c r="X590">
        <v>5.9181999999999998E-2</v>
      </c>
      <c r="Y590">
        <v>3737.1517229999999</v>
      </c>
      <c r="Z590">
        <f t="shared" si="34"/>
        <v>63146.762917779059</v>
      </c>
    </row>
    <row r="591" spans="12:26" x14ac:dyDescent="0.55000000000000004">
      <c r="L591">
        <v>586</v>
      </c>
      <c r="M591">
        <v>0.212779</v>
      </c>
      <c r="N591">
        <v>15734.787482</v>
      </c>
      <c r="O591">
        <f t="shared" si="33"/>
        <v>73948.968093655858</v>
      </c>
      <c r="W591">
        <v>586</v>
      </c>
      <c r="X591">
        <v>5.9181999999999998E-2</v>
      </c>
      <c r="Y591">
        <v>3734.8044439999999</v>
      </c>
      <c r="Z591">
        <f t="shared" si="34"/>
        <v>63107.100875266129</v>
      </c>
    </row>
    <row r="592" spans="12:26" x14ac:dyDescent="0.55000000000000004">
      <c r="L592">
        <v>587</v>
      </c>
      <c r="M592">
        <v>0.212723</v>
      </c>
      <c r="N592">
        <v>15714.031097999999</v>
      </c>
      <c r="O592">
        <f t="shared" si="33"/>
        <v>73870.860687372784</v>
      </c>
      <c r="W592">
        <v>587</v>
      </c>
      <c r="X592">
        <v>5.9181999999999998E-2</v>
      </c>
      <c r="Y592">
        <v>3732.5129069999998</v>
      </c>
      <c r="Z592">
        <f t="shared" si="34"/>
        <v>63068.380706971715</v>
      </c>
    </row>
    <row r="593" spans="12:26" x14ac:dyDescent="0.55000000000000004">
      <c r="L593">
        <v>588</v>
      </c>
      <c r="M593">
        <v>0.212675</v>
      </c>
      <c r="N593">
        <v>15694.390837000001</v>
      </c>
      <c r="O593">
        <f t="shared" si="33"/>
        <v>73795.184375220415</v>
      </c>
      <c r="W593">
        <v>588</v>
      </c>
      <c r="X593">
        <v>5.9181999999999998E-2</v>
      </c>
      <c r="Y593">
        <v>3730.276159</v>
      </c>
      <c r="Z593">
        <f t="shared" si="34"/>
        <v>63030.586310026702</v>
      </c>
    </row>
    <row r="594" spans="12:26" x14ac:dyDescent="0.55000000000000004">
      <c r="L594">
        <v>589</v>
      </c>
      <c r="M594">
        <v>0.21263199999999999</v>
      </c>
      <c r="N594">
        <v>15675.818335</v>
      </c>
      <c r="O594">
        <f t="shared" si="33"/>
        <v>73722.762025471238</v>
      </c>
      <c r="W594">
        <v>589</v>
      </c>
      <c r="X594">
        <v>5.9181999999999998E-2</v>
      </c>
      <c r="Y594">
        <v>3728.0932339999999</v>
      </c>
      <c r="Z594">
        <f t="shared" si="34"/>
        <v>62993.701361900581</v>
      </c>
    </row>
    <row r="595" spans="12:26" x14ac:dyDescent="0.55000000000000004">
      <c r="L595">
        <v>590</v>
      </c>
      <c r="M595">
        <v>0.21259400000000001</v>
      </c>
      <c r="N595">
        <v>15658.266556</v>
      </c>
      <c r="O595">
        <f t="shared" si="33"/>
        <v>73653.379474491288</v>
      </c>
      <c r="W595">
        <v>590</v>
      </c>
      <c r="X595">
        <v>5.9181999999999998E-2</v>
      </c>
      <c r="Y595">
        <v>3725.9631490000002</v>
      </c>
      <c r="Z595">
        <f t="shared" si="34"/>
        <v>62957.709252813358</v>
      </c>
    </row>
    <row r="596" spans="12:26" x14ac:dyDescent="0.55000000000000004">
      <c r="L596">
        <v>591</v>
      </c>
      <c r="M596">
        <v>0.212561</v>
      </c>
      <c r="N596">
        <v>15641.689807999999</v>
      </c>
      <c r="O596">
        <f t="shared" si="33"/>
        <v>73586.828289291065</v>
      </c>
      <c r="W596">
        <v>591</v>
      </c>
      <c r="X596">
        <v>5.9181999999999998E-2</v>
      </c>
      <c r="Y596">
        <v>3723.8849100000002</v>
      </c>
      <c r="Z596">
        <f t="shared" si="34"/>
        <v>62922.593187117709</v>
      </c>
    </row>
    <row r="597" spans="12:26" x14ac:dyDescent="0.55000000000000004">
      <c r="L597">
        <v>592</v>
      </c>
      <c r="M597">
        <v>0.212533</v>
      </c>
      <c r="N597">
        <v>15626.043745999999</v>
      </c>
      <c r="O597">
        <f t="shared" si="33"/>
        <v>73522.905835799611</v>
      </c>
      <c r="W597">
        <v>592</v>
      </c>
      <c r="X597">
        <v>5.9181999999999998E-2</v>
      </c>
      <c r="Y597">
        <v>3721.8575089999999</v>
      </c>
      <c r="Z597">
        <f t="shared" si="34"/>
        <v>62888.336132607888</v>
      </c>
    </row>
    <row r="598" spans="12:26" x14ac:dyDescent="0.55000000000000004">
      <c r="L598">
        <v>593</v>
      </c>
      <c r="M598">
        <v>0.212507</v>
      </c>
      <c r="N598">
        <v>15611.285379999999</v>
      </c>
      <c r="O598">
        <f t="shared" si="33"/>
        <v>73462.452436860898</v>
      </c>
      <c r="W598">
        <v>593</v>
      </c>
      <c r="X598">
        <v>5.9181999999999998E-2</v>
      </c>
      <c r="Y598">
        <v>3719.8799260000001</v>
      </c>
      <c r="Z598">
        <f t="shared" si="34"/>
        <v>62854.920854313816</v>
      </c>
    </row>
    <row r="599" spans="12:26" x14ac:dyDescent="0.55000000000000004">
      <c r="L599">
        <v>594</v>
      </c>
      <c r="M599">
        <v>0.21248600000000001</v>
      </c>
      <c r="N599">
        <v>15597.373082</v>
      </c>
      <c r="O599">
        <f t="shared" si="33"/>
        <v>73404.238782790388</v>
      </c>
      <c r="W599">
        <v>594</v>
      </c>
      <c r="X599">
        <v>5.9181999999999998E-2</v>
      </c>
      <c r="Y599">
        <v>3717.9511320000001</v>
      </c>
      <c r="Z599">
        <f t="shared" si="34"/>
        <v>62822.329965192126</v>
      </c>
    </row>
    <row r="600" spans="12:26" x14ac:dyDescent="0.55000000000000004">
      <c r="L600">
        <v>595</v>
      </c>
      <c r="M600">
        <v>0.21246599999999999</v>
      </c>
      <c r="N600">
        <v>15584.266576</v>
      </c>
      <c r="O600">
        <f t="shared" si="33"/>
        <v>73349.46097728578</v>
      </c>
      <c r="W600">
        <v>595</v>
      </c>
      <c r="X600">
        <v>5.9181999999999998E-2</v>
      </c>
      <c r="Y600">
        <v>3716.0700870000001</v>
      </c>
      <c r="Z600">
        <f t="shared" si="34"/>
        <v>62790.545892332128</v>
      </c>
    </row>
    <row r="601" spans="12:26" x14ac:dyDescent="0.55000000000000004">
      <c r="L601">
        <v>596</v>
      </c>
      <c r="M601">
        <v>0.21245</v>
      </c>
      <c r="N601">
        <v>15571.926939000001</v>
      </c>
      <c r="O601">
        <f t="shared" si="33"/>
        <v>73296.902513532594</v>
      </c>
      <c r="W601">
        <v>596</v>
      </c>
      <c r="X601">
        <v>5.9181999999999998E-2</v>
      </c>
      <c r="Y601">
        <v>3714.2357419999998</v>
      </c>
      <c r="Z601">
        <f t="shared" si="34"/>
        <v>62759.550910749887</v>
      </c>
    </row>
    <row r="602" spans="12:26" x14ac:dyDescent="0.55000000000000004">
      <c r="L602">
        <v>597</v>
      </c>
      <c r="M602">
        <v>0.21243500000000001</v>
      </c>
      <c r="N602">
        <v>15560.316591999999</v>
      </c>
      <c r="O602">
        <f t="shared" si="33"/>
        <v>73247.424350977933</v>
      </c>
      <c r="W602">
        <v>597</v>
      </c>
      <c r="X602">
        <v>5.9181999999999998E-2</v>
      </c>
      <c r="Y602">
        <v>3712.44704</v>
      </c>
      <c r="Z602">
        <f t="shared" si="34"/>
        <v>62729.327160285226</v>
      </c>
    </row>
    <row r="603" spans="12:26" x14ac:dyDescent="0.55000000000000004">
      <c r="L603">
        <v>598</v>
      </c>
      <c r="M603">
        <v>0.212423</v>
      </c>
      <c r="N603">
        <v>15549.399289000001</v>
      </c>
      <c r="O603">
        <f t="shared" si="33"/>
        <v>73200.168009113899</v>
      </c>
      <c r="W603">
        <v>598</v>
      </c>
      <c r="X603">
        <v>5.9180999999999997E-2</v>
      </c>
      <c r="Y603">
        <v>3710.7029170000001</v>
      </c>
      <c r="Z603">
        <f t="shared" si="34"/>
        <v>62700.91612172826</v>
      </c>
    </row>
    <row r="604" spans="12:26" x14ac:dyDescent="0.55000000000000004">
      <c r="L604">
        <v>599</v>
      </c>
      <c r="M604">
        <v>0.21241199999999999</v>
      </c>
      <c r="N604">
        <v>15539.140105</v>
      </c>
      <c r="O604">
        <f t="shared" si="33"/>
        <v>73155.66024989172</v>
      </c>
      <c r="W604">
        <v>599</v>
      </c>
      <c r="X604">
        <v>5.9180999999999997E-2</v>
      </c>
      <c r="Y604">
        <v>3709.002301</v>
      </c>
      <c r="Z604">
        <f t="shared" si="34"/>
        <v>62672.180277453917</v>
      </c>
    </row>
    <row r="605" spans="12:26" x14ac:dyDescent="0.55000000000000004">
      <c r="L605">
        <v>600</v>
      </c>
      <c r="M605">
        <v>0.21240300000000001</v>
      </c>
      <c r="N605">
        <v>15529.505417</v>
      </c>
      <c r="O605">
        <f t="shared" si="33"/>
        <v>73113.399608291787</v>
      </c>
      <c r="W605">
        <v>600</v>
      </c>
      <c r="X605">
        <v>5.9180999999999997E-2</v>
      </c>
      <c r="Y605">
        <v>3707.3441160000002</v>
      </c>
      <c r="Z605">
        <f t="shared" si="34"/>
        <v>62644.161403153048</v>
      </c>
    </row>
    <row r="606" spans="12:26" x14ac:dyDescent="0.55000000000000004">
      <c r="L606">
        <v>601</v>
      </c>
      <c r="M606">
        <v>0.212395</v>
      </c>
      <c r="N606">
        <v>15520.462892</v>
      </c>
      <c r="O606">
        <f t="shared" si="33"/>
        <v>73073.579378045615</v>
      </c>
      <c r="W606">
        <v>601</v>
      </c>
      <c r="X606">
        <v>5.9180999999999997E-2</v>
      </c>
      <c r="Y606">
        <v>3705.7272790000002</v>
      </c>
      <c r="Z606">
        <f t="shared" si="34"/>
        <v>62616.841199033479</v>
      </c>
    </row>
    <row r="607" spans="12:26" x14ac:dyDescent="0.55000000000000004">
      <c r="L607">
        <v>602</v>
      </c>
      <c r="M607">
        <v>0.21238799999999999</v>
      </c>
      <c r="N607">
        <v>15511.981462</v>
      </c>
      <c r="O607">
        <f t="shared" si="33"/>
        <v>73036.054117935098</v>
      </c>
      <c r="W607">
        <v>602</v>
      </c>
      <c r="X607">
        <v>5.9180999999999997E-2</v>
      </c>
      <c r="Y607">
        <v>3704.1507040000001</v>
      </c>
      <c r="Z607">
        <f t="shared" si="34"/>
        <v>62590.201314611113</v>
      </c>
    </row>
    <row r="608" spans="12:26" x14ac:dyDescent="0.55000000000000004">
      <c r="L608">
        <v>603</v>
      </c>
      <c r="M608">
        <v>0.21238199999999999</v>
      </c>
      <c r="N608">
        <v>15504.031306000001</v>
      </c>
      <c r="O608">
        <f t="shared" si="33"/>
        <v>73000.684172858353</v>
      </c>
      <c r="W608">
        <v>603</v>
      </c>
      <c r="X608">
        <v>5.9180999999999997E-2</v>
      </c>
      <c r="Y608">
        <v>3702.6133009999999</v>
      </c>
      <c r="Z608">
        <f t="shared" si="34"/>
        <v>62564.223331812573</v>
      </c>
    </row>
    <row r="609" spans="12:26" x14ac:dyDescent="0.55000000000000004">
      <c r="L609">
        <v>604</v>
      </c>
      <c r="M609">
        <v>0.21237700000000001</v>
      </c>
      <c r="N609">
        <v>15496.583823999999</v>
      </c>
      <c r="O609">
        <f t="shared" si="33"/>
        <v>72967.335558935287</v>
      </c>
      <c r="W609">
        <v>604</v>
      </c>
      <c r="X609">
        <v>5.9180999999999997E-2</v>
      </c>
      <c r="Y609">
        <v>3701.113977</v>
      </c>
      <c r="Z609">
        <f t="shared" si="34"/>
        <v>62538.888781872563</v>
      </c>
    </row>
    <row r="610" spans="12:26" x14ac:dyDescent="0.55000000000000004">
      <c r="L610">
        <v>605</v>
      </c>
      <c r="M610">
        <v>0.21237200000000001</v>
      </c>
      <c r="N610">
        <v>15489.611613999999</v>
      </c>
      <c r="O610">
        <f t="shared" si="33"/>
        <v>72936.223296856449</v>
      </c>
      <c r="W610">
        <v>605</v>
      </c>
      <c r="X610">
        <v>5.9180999999999997E-2</v>
      </c>
      <c r="Y610">
        <v>3699.6516379999998</v>
      </c>
      <c r="Z610">
        <f t="shared" si="34"/>
        <v>62514.179179128434</v>
      </c>
    </row>
    <row r="611" spans="12:26" x14ac:dyDescent="0.55000000000000004">
      <c r="L611">
        <v>606</v>
      </c>
      <c r="M611">
        <v>0.212369</v>
      </c>
      <c r="N611">
        <v>15483.088444999999</v>
      </c>
      <c r="O611">
        <f t="shared" si="33"/>
        <v>72906.537418361433</v>
      </c>
      <c r="W611">
        <v>606</v>
      </c>
      <c r="X611">
        <v>5.9180999999999997E-2</v>
      </c>
      <c r="Y611">
        <v>3698.2251849999998</v>
      </c>
      <c r="Z611">
        <f t="shared" si="34"/>
        <v>62490.075953430998</v>
      </c>
    </row>
    <row r="612" spans="12:26" x14ac:dyDescent="0.55000000000000004">
      <c r="L612">
        <v>607</v>
      </c>
      <c r="M612">
        <v>0.212365</v>
      </c>
      <c r="N612">
        <v>15476.989228</v>
      </c>
      <c r="O612">
        <f t="shared" si="33"/>
        <v>72879.190205542342</v>
      </c>
      <c r="W612">
        <v>607</v>
      </c>
      <c r="X612">
        <v>5.9180999999999997E-2</v>
      </c>
      <c r="Y612">
        <v>3696.8335229999998</v>
      </c>
      <c r="Z612">
        <f t="shared" si="34"/>
        <v>62466.560602220306</v>
      </c>
    </row>
    <row r="613" spans="12:26" x14ac:dyDescent="0.55000000000000004">
      <c r="L613">
        <v>608</v>
      </c>
      <c r="M613">
        <v>0.212363</v>
      </c>
      <c r="N613">
        <v>15471.289993</v>
      </c>
      <c r="O613">
        <f t="shared" si="33"/>
        <v>72853.039338302813</v>
      </c>
      <c r="W613">
        <v>608</v>
      </c>
      <c r="X613">
        <v>5.9180999999999997E-2</v>
      </c>
      <c r="Y613">
        <v>3695.4755530000002</v>
      </c>
      <c r="Z613">
        <f t="shared" si="34"/>
        <v>62443.614555347165</v>
      </c>
    </row>
    <row r="614" spans="12:26" x14ac:dyDescent="0.55000000000000004">
      <c r="L614">
        <v>609</v>
      </c>
      <c r="M614">
        <v>0.21235999999999999</v>
      </c>
      <c r="N614">
        <v>15465.967854</v>
      </c>
      <c r="O614">
        <f t="shared" si="33"/>
        <v>72829.006658504426</v>
      </c>
      <c r="W614">
        <v>609</v>
      </c>
      <c r="X614">
        <v>5.9180999999999997E-2</v>
      </c>
      <c r="Y614">
        <v>3694.1501779999999</v>
      </c>
      <c r="Z614">
        <f t="shared" si="34"/>
        <v>62421.21927645697</v>
      </c>
    </row>
    <row r="615" spans="12:26" x14ac:dyDescent="0.55000000000000004">
      <c r="L615">
        <v>610</v>
      </c>
      <c r="M615">
        <v>0.21235799999999999</v>
      </c>
      <c r="N615">
        <v>15461.000982</v>
      </c>
      <c r="O615">
        <f t="shared" si="33"/>
        <v>72806.303421580538</v>
      </c>
      <c r="W615">
        <v>610</v>
      </c>
      <c r="X615">
        <v>5.9180999999999997E-2</v>
      </c>
      <c r="Y615">
        <v>3692.856303</v>
      </c>
      <c r="Z615">
        <f t="shared" si="34"/>
        <v>62399.356262989815</v>
      </c>
    </row>
    <row r="616" spans="12:26" x14ac:dyDescent="0.55000000000000004">
      <c r="L616">
        <v>611</v>
      </c>
      <c r="M616">
        <v>0.21235699999999999</v>
      </c>
      <c r="N616">
        <v>15456.368573</v>
      </c>
      <c r="O616">
        <f t="shared" si="33"/>
        <v>72784.832018723188</v>
      </c>
      <c r="W616">
        <v>611</v>
      </c>
      <c r="X616">
        <v>5.9180999999999997E-2</v>
      </c>
      <c r="Y616">
        <v>3691.592834</v>
      </c>
      <c r="Z616">
        <f t="shared" si="34"/>
        <v>62378.00702928305</v>
      </c>
    </row>
    <row r="617" spans="12:26" x14ac:dyDescent="0.55000000000000004">
      <c r="L617">
        <v>612</v>
      </c>
      <c r="M617">
        <v>0.21235499999999999</v>
      </c>
      <c r="N617">
        <v>15452.05082</v>
      </c>
      <c r="O617">
        <f t="shared" si="33"/>
        <v>72765.184808457547</v>
      </c>
      <c r="W617">
        <v>612</v>
      </c>
      <c r="X617">
        <v>5.9180999999999997E-2</v>
      </c>
      <c r="Y617">
        <v>3690.3586770000002</v>
      </c>
      <c r="Z617">
        <f t="shared" si="34"/>
        <v>62357.153089674059</v>
      </c>
    </row>
    <row r="618" spans="12:26" x14ac:dyDescent="0.55000000000000004">
      <c r="L618">
        <v>613</v>
      </c>
      <c r="M618">
        <v>0.21235399999999999</v>
      </c>
      <c r="N618">
        <v>15448.028877000001</v>
      </c>
      <c r="O618">
        <f t="shared" si="33"/>
        <v>72746.587664936858</v>
      </c>
      <c r="W618">
        <v>613</v>
      </c>
      <c r="X618">
        <v>5.9180999999999997E-2</v>
      </c>
      <c r="Y618">
        <v>3689.1527449999999</v>
      </c>
      <c r="Z618">
        <f t="shared" si="34"/>
        <v>62336.776076781403</v>
      </c>
    </row>
    <row r="619" spans="12:26" x14ac:dyDescent="0.55000000000000004">
      <c r="L619">
        <v>614</v>
      </c>
      <c r="M619">
        <v>0.21235299999999999</v>
      </c>
      <c r="N619">
        <v>15444.284833</v>
      </c>
      <c r="O619">
        <f t="shared" si="33"/>
        <v>72729.299011551528</v>
      </c>
      <c r="W619">
        <v>614</v>
      </c>
      <c r="X619">
        <v>5.9180999999999997E-2</v>
      </c>
      <c r="Y619">
        <v>3687.9739500000001</v>
      </c>
      <c r="Z619">
        <f t="shared" si="34"/>
        <v>62316.857606326361</v>
      </c>
    </row>
    <row r="620" spans="12:26" x14ac:dyDescent="0.55000000000000004">
      <c r="L620">
        <v>615</v>
      </c>
      <c r="M620">
        <v>0.21235200000000001</v>
      </c>
      <c r="N620">
        <v>15440.801675000001</v>
      </c>
      <c r="O620">
        <f t="shared" si="33"/>
        <v>72713.23874981163</v>
      </c>
      <c r="W620">
        <v>615</v>
      </c>
      <c r="X620">
        <v>5.9180999999999997E-2</v>
      </c>
      <c r="Y620">
        <v>3686.8212119999998</v>
      </c>
      <c r="Z620">
        <f t="shared" si="34"/>
        <v>62297.379429208697</v>
      </c>
    </row>
    <row r="621" spans="12:26" x14ac:dyDescent="0.55000000000000004">
      <c r="L621">
        <v>616</v>
      </c>
      <c r="M621">
        <v>0.21235100000000001</v>
      </c>
      <c r="N621">
        <v>15437.563262</v>
      </c>
      <c r="O621">
        <f t="shared" si="33"/>
        <v>72698.330886127209</v>
      </c>
      <c r="W621">
        <v>616</v>
      </c>
      <c r="X621">
        <v>5.9180999999999997E-2</v>
      </c>
      <c r="Y621">
        <v>3685.6934529999999</v>
      </c>
      <c r="Z621">
        <f t="shared" si="34"/>
        <v>62278.323330122847</v>
      </c>
    </row>
    <row r="622" spans="12:26" x14ac:dyDescent="0.55000000000000004">
      <c r="L622">
        <v>617</v>
      </c>
      <c r="M622">
        <v>0.21235100000000001</v>
      </c>
      <c r="N622">
        <v>15434.554287999999</v>
      </c>
      <c r="O622">
        <f t="shared" si="33"/>
        <v>72684.161072940551</v>
      </c>
      <c r="W622">
        <v>617</v>
      </c>
      <c r="X622">
        <v>5.9180999999999997E-2</v>
      </c>
      <c r="Y622">
        <v>3684.5895999999998</v>
      </c>
      <c r="Z622">
        <f t="shared" si="34"/>
        <v>62259.671178249773</v>
      </c>
    </row>
    <row r="623" spans="12:26" x14ac:dyDescent="0.55000000000000004">
      <c r="L623">
        <v>618</v>
      </c>
      <c r="M623">
        <v>0.21235000000000001</v>
      </c>
      <c r="N623">
        <v>15431.760254000001</v>
      </c>
      <c r="O623">
        <f t="shared" si="33"/>
        <v>72671.345674593831</v>
      </c>
      <c r="W623">
        <v>618</v>
      </c>
      <c r="X623">
        <v>5.9180999999999997E-2</v>
      </c>
      <c r="Y623">
        <v>3683.5085859999999</v>
      </c>
      <c r="Z623">
        <f t="shared" si="34"/>
        <v>62241.404944154376</v>
      </c>
    </row>
    <row r="624" spans="12:26" x14ac:dyDescent="0.55000000000000004">
      <c r="L624">
        <v>619</v>
      </c>
      <c r="M624">
        <v>0.21235000000000001</v>
      </c>
      <c r="N624">
        <v>15429.167437</v>
      </c>
      <c r="O624">
        <f t="shared" si="33"/>
        <v>72659.13556392747</v>
      </c>
      <c r="W624">
        <v>619</v>
      </c>
      <c r="X624">
        <v>5.9180999999999997E-2</v>
      </c>
      <c r="Y624">
        <v>3682.4493510000002</v>
      </c>
      <c r="Z624">
        <f t="shared" si="34"/>
        <v>62223.506716682728</v>
      </c>
    </row>
    <row r="625" spans="12:26" x14ac:dyDescent="0.55000000000000004">
      <c r="L625">
        <v>620</v>
      </c>
      <c r="M625">
        <v>0.21234900000000001</v>
      </c>
      <c r="N625">
        <v>15426.762859</v>
      </c>
      <c r="O625">
        <f t="shared" si="33"/>
        <v>72648.154024742282</v>
      </c>
      <c r="W625">
        <v>620</v>
      </c>
      <c r="X625">
        <v>5.9180999999999997E-2</v>
      </c>
      <c r="Y625">
        <v>3681.4108390000001</v>
      </c>
      <c r="Z625">
        <f t="shared" si="34"/>
        <v>62205.958652270157</v>
      </c>
    </row>
    <row r="626" spans="12:26" x14ac:dyDescent="0.55000000000000004">
      <c r="L626">
        <v>621</v>
      </c>
      <c r="M626">
        <v>0.21234900000000001</v>
      </c>
      <c r="N626">
        <v>15424.534254</v>
      </c>
      <c r="O626">
        <f t="shared" si="33"/>
        <v>72637.659014170073</v>
      </c>
      <c r="W626">
        <v>621</v>
      </c>
      <c r="X626">
        <v>5.9180999999999997E-2</v>
      </c>
      <c r="Y626">
        <v>3680.3920010000002</v>
      </c>
      <c r="Z626">
        <f t="shared" si="34"/>
        <v>62188.74302563323</v>
      </c>
    </row>
    <row r="627" spans="12:26" x14ac:dyDescent="0.55000000000000004">
      <c r="L627">
        <v>622</v>
      </c>
      <c r="M627">
        <v>0.21234900000000001</v>
      </c>
      <c r="N627">
        <v>15422.470042999999</v>
      </c>
      <c r="O627">
        <f t="shared" si="33"/>
        <v>72627.938172536713</v>
      </c>
      <c r="W627">
        <v>622</v>
      </c>
      <c r="X627">
        <v>5.9180999999999997E-2</v>
      </c>
      <c r="Y627">
        <v>3679.391799</v>
      </c>
      <c r="Z627">
        <f t="shared" si="34"/>
        <v>62171.842297358955</v>
      </c>
    </row>
    <row r="628" spans="12:26" x14ac:dyDescent="0.55000000000000004">
      <c r="L628">
        <v>623</v>
      </c>
      <c r="M628">
        <v>0.21234900000000001</v>
      </c>
      <c r="N628">
        <v>15420.559300000001</v>
      </c>
      <c r="O628">
        <f t="shared" si="33"/>
        <v>72618.94004680973</v>
      </c>
      <c r="W628">
        <v>623</v>
      </c>
      <c r="X628">
        <v>5.9180999999999997E-2</v>
      </c>
      <c r="Y628">
        <v>3678.4091969999999</v>
      </c>
      <c r="Z628">
        <f t="shared" si="34"/>
        <v>62155.238961828967</v>
      </c>
    </row>
    <row r="629" spans="12:26" x14ac:dyDescent="0.55000000000000004">
      <c r="L629">
        <v>624</v>
      </c>
      <c r="M629">
        <v>0.21234800000000001</v>
      </c>
      <c r="N629">
        <v>15418.791729</v>
      </c>
      <c r="O629">
        <f t="shared" si="33"/>
        <v>72610.958092376663</v>
      </c>
      <c r="W629">
        <v>624</v>
      </c>
      <c r="X629">
        <v>5.9180999999999997E-2</v>
      </c>
      <c r="Y629">
        <v>3677.4431709999999</v>
      </c>
      <c r="Z629">
        <f t="shared" si="34"/>
        <v>62138.9157161927</v>
      </c>
    </row>
    <row r="630" spans="12:26" x14ac:dyDescent="0.55000000000000004">
      <c r="L630">
        <v>625</v>
      </c>
      <c r="M630">
        <v>0.21234800000000001</v>
      </c>
      <c r="N630">
        <v>15417.157628000001</v>
      </c>
      <c r="O630">
        <f t="shared" si="33"/>
        <v>72603.262700849547</v>
      </c>
      <c r="W630">
        <v>625</v>
      </c>
      <c r="X630">
        <v>5.9180999999999997E-2</v>
      </c>
      <c r="Y630">
        <v>3676.4927050000001</v>
      </c>
      <c r="Z630">
        <f t="shared" si="34"/>
        <v>62122.855392778089</v>
      </c>
    </row>
    <row r="631" spans="12:26" x14ac:dyDescent="0.55000000000000004">
      <c r="L631">
        <v>626</v>
      </c>
      <c r="M631">
        <v>0.21234800000000001</v>
      </c>
      <c r="N631">
        <v>15415.647869</v>
      </c>
      <c r="O631">
        <f t="shared" si="33"/>
        <v>72596.152866991921</v>
      </c>
      <c r="W631">
        <v>626</v>
      </c>
      <c r="X631">
        <v>5.9180999999999997E-2</v>
      </c>
      <c r="Y631">
        <v>3675.5567900000001</v>
      </c>
      <c r="Z631">
        <f t="shared" si="34"/>
        <v>62107.04094219429</v>
      </c>
    </row>
    <row r="632" spans="12:26" x14ac:dyDescent="0.55000000000000004">
      <c r="L632">
        <v>627</v>
      </c>
      <c r="M632">
        <v>0.21234800000000001</v>
      </c>
      <c r="N632">
        <v>15414.253866999999</v>
      </c>
      <c r="O632">
        <f t="shared" si="33"/>
        <v>72589.5881618852</v>
      </c>
      <c r="W632">
        <v>627</v>
      </c>
      <c r="X632">
        <v>5.9180999999999997E-2</v>
      </c>
      <c r="Y632">
        <v>3674.634427</v>
      </c>
      <c r="Z632">
        <f t="shared" si="34"/>
        <v>62091.455484023594</v>
      </c>
    </row>
    <row r="633" spans="12:26" x14ac:dyDescent="0.55000000000000004">
      <c r="L633">
        <v>628</v>
      </c>
      <c r="M633">
        <v>0.21234800000000001</v>
      </c>
      <c r="N633">
        <v>15412.967556</v>
      </c>
      <c r="O633">
        <f t="shared" si="33"/>
        <v>72583.530600712038</v>
      </c>
      <c r="W633">
        <v>628</v>
      </c>
      <c r="X633">
        <v>5.9180999999999997E-2</v>
      </c>
      <c r="Y633">
        <v>3673.7246270000001</v>
      </c>
      <c r="Z633">
        <f t="shared" si="34"/>
        <v>62076.082306821452</v>
      </c>
    </row>
    <row r="634" spans="12:26" x14ac:dyDescent="0.55000000000000004">
      <c r="L634">
        <v>629</v>
      </c>
      <c r="M634">
        <v>0.21234800000000001</v>
      </c>
      <c r="N634">
        <v>15411.781364</v>
      </c>
      <c r="O634">
        <f t="shared" si="33"/>
        <v>72577.944525024956</v>
      </c>
      <c r="W634">
        <v>629</v>
      </c>
      <c r="X634">
        <v>5.9180999999999997E-2</v>
      </c>
      <c r="Y634">
        <v>3672.8264119999999</v>
      </c>
      <c r="Z634">
        <f t="shared" si="34"/>
        <v>62060.90488501377</v>
      </c>
    </row>
    <row r="635" spans="12:26" x14ac:dyDescent="0.55000000000000004">
      <c r="L635">
        <v>630</v>
      </c>
      <c r="M635">
        <v>0.21234800000000001</v>
      </c>
      <c r="N635">
        <v>15410.688184000001</v>
      </c>
      <c r="O635">
        <f t="shared" si="33"/>
        <v>72572.796466178159</v>
      </c>
      <c r="W635">
        <v>630</v>
      </c>
      <c r="X635">
        <v>5.9180999999999997E-2</v>
      </c>
      <c r="Y635">
        <v>3671.938811</v>
      </c>
      <c r="Z635">
        <f t="shared" si="34"/>
        <v>62045.906811307686</v>
      </c>
    </row>
    <row r="636" spans="12:26" x14ac:dyDescent="0.55000000000000004">
      <c r="L636">
        <v>631</v>
      </c>
      <c r="M636">
        <v>0.21234800000000001</v>
      </c>
      <c r="N636">
        <v>15409.681358</v>
      </c>
      <c r="O636">
        <f t="shared" si="33"/>
        <v>72568.055069979469</v>
      </c>
      <c r="W636">
        <v>631</v>
      </c>
      <c r="X636">
        <v>5.9180999999999997E-2</v>
      </c>
      <c r="Y636">
        <v>3671.0608659999998</v>
      </c>
      <c r="Z636">
        <f t="shared" si="34"/>
        <v>62031.071898075395</v>
      </c>
    </row>
    <row r="637" spans="12:26" x14ac:dyDescent="0.55000000000000004">
      <c r="L637">
        <v>632</v>
      </c>
      <c r="M637">
        <v>0.21234800000000001</v>
      </c>
      <c r="N637">
        <v>15408.754645999999</v>
      </c>
      <c r="O637">
        <f t="shared" si="33"/>
        <v>72563.69095070356</v>
      </c>
      <c r="W637">
        <v>632</v>
      </c>
      <c r="X637">
        <v>5.9180999999999997E-2</v>
      </c>
      <c r="Y637">
        <v>3670.1916299999998</v>
      </c>
      <c r="Z637">
        <f t="shared" si="34"/>
        <v>62016.38414355959</v>
      </c>
    </row>
    <row r="638" spans="12:26" x14ac:dyDescent="0.55000000000000004">
      <c r="L638">
        <v>633</v>
      </c>
      <c r="M638">
        <v>0.21234800000000001</v>
      </c>
      <c r="N638">
        <v>15407.902211000001</v>
      </c>
      <c r="O638">
        <f t="shared" si="33"/>
        <v>72559.676620453218</v>
      </c>
      <c r="W638">
        <v>633</v>
      </c>
      <c r="X638">
        <v>5.9180999999999997E-2</v>
      </c>
      <c r="Y638">
        <v>3669.3301660000002</v>
      </c>
      <c r="Z638">
        <f t="shared" si="34"/>
        <v>62001.827714976098</v>
      </c>
    </row>
    <row r="639" spans="12:26" x14ac:dyDescent="0.55000000000000004">
      <c r="L639">
        <v>634</v>
      </c>
      <c r="M639">
        <v>0.21234800000000001</v>
      </c>
      <c r="N639">
        <v>15407.118592000001</v>
      </c>
      <c r="O639">
        <f t="shared" si="33"/>
        <v>72555.986362009528</v>
      </c>
      <c r="W639">
        <v>634</v>
      </c>
      <c r="X639">
        <v>5.9180999999999997E-2</v>
      </c>
      <c r="Y639">
        <v>3668.4755479999999</v>
      </c>
      <c r="Z639">
        <f t="shared" si="34"/>
        <v>61987.386965411199</v>
      </c>
    </row>
    <row r="640" spans="12:26" x14ac:dyDescent="0.55000000000000004">
      <c r="L640">
        <v>635</v>
      </c>
      <c r="M640">
        <v>0.21234800000000001</v>
      </c>
      <c r="N640">
        <v>15406.398686</v>
      </c>
      <c r="O640">
        <f t="shared" si="33"/>
        <v>72552.596144065406</v>
      </c>
      <c r="W640">
        <v>635</v>
      </c>
      <c r="X640">
        <v>5.9180999999999997E-2</v>
      </c>
      <c r="Y640">
        <v>3667.6268650000002</v>
      </c>
      <c r="Z640">
        <f t="shared" si="34"/>
        <v>61973.046501410929</v>
      </c>
    </row>
    <row r="641" spans="12:26" x14ac:dyDescent="0.55000000000000004">
      <c r="L641">
        <v>636</v>
      </c>
      <c r="M641">
        <v>0.21234800000000001</v>
      </c>
      <c r="N641">
        <v>15405.737730000001</v>
      </c>
      <c r="O641">
        <f t="shared" si="33"/>
        <v>72549.483536459025</v>
      </c>
      <c r="W641">
        <v>636</v>
      </c>
      <c r="X641">
        <v>5.9180999999999997E-2</v>
      </c>
      <c r="Y641">
        <v>3666.783214</v>
      </c>
      <c r="Z641">
        <f t="shared" si="34"/>
        <v>61958.791064699821</v>
      </c>
    </row>
    <row r="642" spans="12:26" x14ac:dyDescent="0.55000000000000004">
      <c r="L642">
        <v>637</v>
      </c>
      <c r="M642">
        <v>0.21234800000000001</v>
      </c>
      <c r="N642">
        <v>15405.131277</v>
      </c>
      <c r="O642">
        <f t="shared" si="33"/>
        <v>72546.627597151848</v>
      </c>
      <c r="W642">
        <v>637</v>
      </c>
      <c r="X642">
        <v>5.9180999999999997E-2</v>
      </c>
      <c r="Y642">
        <v>3665.9437069999999</v>
      </c>
      <c r="Z642">
        <f t="shared" si="34"/>
        <v>61944.605650462145</v>
      </c>
    </row>
    <row r="643" spans="12:26" x14ac:dyDescent="0.55000000000000004">
      <c r="L643">
        <v>638</v>
      </c>
      <c r="M643">
        <v>0.21234800000000001</v>
      </c>
      <c r="N643">
        <v>15404.575183999999</v>
      </c>
      <c r="O643">
        <f t="shared" si="33"/>
        <v>72544.008815717592</v>
      </c>
      <c r="W643">
        <v>638</v>
      </c>
      <c r="X643">
        <v>5.9180999999999997E-2</v>
      </c>
      <c r="Y643">
        <v>3665.1074680000002</v>
      </c>
      <c r="Z643">
        <f t="shared" si="34"/>
        <v>61930.475456649947</v>
      </c>
    </row>
    <row r="644" spans="12:26" x14ac:dyDescent="0.55000000000000004">
      <c r="L644">
        <v>639</v>
      </c>
      <c r="M644">
        <v>0.21234800000000001</v>
      </c>
      <c r="N644">
        <v>15404.065589</v>
      </c>
      <c r="O644">
        <f t="shared" si="33"/>
        <v>72541.609005029473</v>
      </c>
      <c r="W644">
        <v>639</v>
      </c>
      <c r="X644">
        <v>5.9180999999999997E-2</v>
      </c>
      <c r="Y644">
        <v>3664.273635</v>
      </c>
      <c r="Z644">
        <f t="shared" si="34"/>
        <v>61916.385917777669</v>
      </c>
    </row>
    <row r="645" spans="12:26" x14ac:dyDescent="0.55000000000000004">
      <c r="L645">
        <v>640</v>
      </c>
      <c r="M645">
        <v>0.21234800000000001</v>
      </c>
      <c r="N645">
        <v>15403.598898</v>
      </c>
      <c r="O645">
        <f t="shared" si="33"/>
        <v>72539.411240039932</v>
      </c>
      <c r="W645">
        <v>640</v>
      </c>
      <c r="X645">
        <v>5.9180999999999997E-2</v>
      </c>
      <c r="Y645">
        <v>3663.4413570000002</v>
      </c>
      <c r="Z645">
        <f t="shared" si="34"/>
        <v>61902.322654230251</v>
      </c>
    </row>
    <row r="646" spans="12:26" x14ac:dyDescent="0.55000000000000004">
      <c r="L646">
        <v>641</v>
      </c>
      <c r="M646">
        <v>0.21234700000000001</v>
      </c>
      <c r="N646">
        <v>15403.171767</v>
      </c>
      <c r="O646">
        <f t="shared" ref="O646:O709" si="35">N646/M646</f>
        <v>72537.741371434488</v>
      </c>
      <c r="W646">
        <v>641</v>
      </c>
      <c r="X646">
        <v>5.9180999999999997E-2</v>
      </c>
      <c r="Y646">
        <v>3662.609798</v>
      </c>
      <c r="Z646">
        <f t="shared" si="34"/>
        <v>61888.271539852321</v>
      </c>
    </row>
    <row r="647" spans="12:26" x14ac:dyDescent="0.55000000000000004">
      <c r="L647">
        <v>642</v>
      </c>
      <c r="M647">
        <v>0.21234700000000001</v>
      </c>
      <c r="N647">
        <v>15402.781089</v>
      </c>
      <c r="O647">
        <f t="shared" si="35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6">Y647/X647</f>
        <v>61874.218701948259</v>
      </c>
    </row>
    <row r="648" spans="12:26" x14ac:dyDescent="0.55000000000000004">
      <c r="L648">
        <v>643</v>
      </c>
      <c r="M648">
        <v>0.21234700000000001</v>
      </c>
      <c r="N648">
        <v>15402.423978000001</v>
      </c>
      <c r="O648">
        <f t="shared" si="35"/>
        <v>72534.219828865025</v>
      </c>
      <c r="W648">
        <v>643</v>
      </c>
      <c r="X648">
        <v>5.9180999999999997E-2</v>
      </c>
      <c r="Y648">
        <v>3660.9455659999999</v>
      </c>
      <c r="Z648">
        <f t="shared" si="36"/>
        <v>61860.150487487539</v>
      </c>
    </row>
    <row r="649" spans="12:26" x14ac:dyDescent="0.55000000000000004">
      <c r="L649">
        <v>644</v>
      </c>
      <c r="M649">
        <v>0.21234700000000001</v>
      </c>
      <c r="N649">
        <v>15402.097755000001</v>
      </c>
      <c r="O649">
        <f t="shared" si="35"/>
        <v>72532.683555689509</v>
      </c>
      <c r="W649">
        <v>644</v>
      </c>
      <c r="X649">
        <v>5.9180999999999997E-2</v>
      </c>
      <c r="Y649">
        <v>3660.1112910000002</v>
      </c>
      <c r="Z649">
        <f t="shared" si="36"/>
        <v>61846.053480002032</v>
      </c>
    </row>
    <row r="650" spans="12:26" x14ac:dyDescent="0.55000000000000004">
      <c r="L650">
        <v>645</v>
      </c>
      <c r="M650">
        <v>0.21234700000000001</v>
      </c>
      <c r="N650">
        <v>15401.799934999999</v>
      </c>
      <c r="O650">
        <f t="shared" si="35"/>
        <v>72531.281039995854</v>
      </c>
      <c r="W650">
        <v>645</v>
      </c>
      <c r="X650">
        <v>5.9180999999999997E-2</v>
      </c>
      <c r="Y650">
        <v>3659.2745329999998</v>
      </c>
      <c r="Z650">
        <f t="shared" si="36"/>
        <v>61831.914516483332</v>
      </c>
    </row>
    <row r="651" spans="12:26" x14ac:dyDescent="0.55000000000000004">
      <c r="L651">
        <v>646</v>
      </c>
      <c r="M651">
        <v>0.21234700000000001</v>
      </c>
      <c r="N651">
        <v>15401.528217999999</v>
      </c>
      <c r="O651">
        <f t="shared" si="35"/>
        <v>72530.001450456082</v>
      </c>
      <c r="W651">
        <v>646</v>
      </c>
      <c r="X651">
        <v>5.9180999999999997E-2</v>
      </c>
      <c r="Y651">
        <v>3658.4345290000001</v>
      </c>
      <c r="Z651">
        <f t="shared" si="36"/>
        <v>61817.720704280095</v>
      </c>
    </row>
    <row r="652" spans="12:26" x14ac:dyDescent="0.55000000000000004">
      <c r="L652">
        <v>647</v>
      </c>
      <c r="M652">
        <v>0.21234700000000001</v>
      </c>
      <c r="N652">
        <v>15401.28047</v>
      </c>
      <c r="O652">
        <f t="shared" si="35"/>
        <v>72528.834737481564</v>
      </c>
      <c r="W652">
        <v>647</v>
      </c>
      <c r="X652">
        <v>5.9180999999999997E-2</v>
      </c>
      <c r="Y652">
        <v>3657.5905309999998</v>
      </c>
      <c r="Z652">
        <f t="shared" si="36"/>
        <v>61803.459404200672</v>
      </c>
    </row>
    <row r="653" spans="12:26" x14ac:dyDescent="0.55000000000000004">
      <c r="L653">
        <v>648</v>
      </c>
      <c r="M653">
        <v>0.21234700000000001</v>
      </c>
      <c r="N653">
        <v>15401.05472</v>
      </c>
      <c r="O653">
        <f t="shared" si="35"/>
        <v>72527.771619095161</v>
      </c>
      <c r="W653">
        <v>648</v>
      </c>
      <c r="X653">
        <v>5.9180999999999997E-2</v>
      </c>
      <c r="Y653">
        <v>3656.7418050000001</v>
      </c>
      <c r="Z653">
        <f t="shared" si="36"/>
        <v>61789.11821361586</v>
      </c>
    </row>
    <row r="654" spans="12:26" x14ac:dyDescent="0.55000000000000004">
      <c r="L654">
        <v>649</v>
      </c>
      <c r="M654">
        <v>0.21234700000000001</v>
      </c>
      <c r="N654">
        <v>15400.849144</v>
      </c>
      <c r="O654">
        <f t="shared" si="35"/>
        <v>72526.803505582837</v>
      </c>
      <c r="W654">
        <v>649</v>
      </c>
      <c r="X654">
        <v>5.9180999999999997E-2</v>
      </c>
      <c r="Y654">
        <v>3655.887635</v>
      </c>
      <c r="Z654">
        <f t="shared" si="36"/>
        <v>61774.685034048096</v>
      </c>
    </row>
    <row r="655" spans="12:26" x14ac:dyDescent="0.55000000000000004">
      <c r="L655">
        <v>650</v>
      </c>
      <c r="M655">
        <v>0.21234700000000001</v>
      </c>
      <c r="N655">
        <v>15400.662055999999</v>
      </c>
      <c r="O655">
        <f t="shared" si="35"/>
        <v>72525.922457110282</v>
      </c>
      <c r="W655">
        <v>650</v>
      </c>
      <c r="X655">
        <v>5.9180999999999997E-2</v>
      </c>
      <c r="Y655">
        <v>3655.027321</v>
      </c>
      <c r="Z655">
        <f t="shared" si="36"/>
        <v>61760.148037376865</v>
      </c>
    </row>
    <row r="656" spans="12:26" x14ac:dyDescent="0.55000000000000004">
      <c r="L656">
        <v>651</v>
      </c>
      <c r="M656">
        <v>0.21234700000000001</v>
      </c>
      <c r="N656">
        <v>15400.491902</v>
      </c>
      <c r="O656">
        <f t="shared" si="35"/>
        <v>72525.121155467234</v>
      </c>
      <c r="W656">
        <v>651</v>
      </c>
      <c r="X656">
        <v>5.9180999999999997E-2</v>
      </c>
      <c r="Y656">
        <v>3654.160179</v>
      </c>
      <c r="Z656">
        <f t="shared" si="36"/>
        <v>61745.495665838702</v>
      </c>
    </row>
    <row r="657" spans="12:26" x14ac:dyDescent="0.55000000000000004">
      <c r="L657">
        <v>652</v>
      </c>
      <c r="M657">
        <v>0.21234700000000001</v>
      </c>
      <c r="N657">
        <v>15400.337245000001</v>
      </c>
      <c r="O657">
        <f t="shared" si="35"/>
        <v>72524.392833428297</v>
      </c>
      <c r="W657">
        <v>652</v>
      </c>
      <c r="X657">
        <v>5.9180999999999997E-2</v>
      </c>
      <c r="Y657">
        <v>3653.2855399999999</v>
      </c>
      <c r="Z657">
        <f t="shared" si="36"/>
        <v>61730.716615129859</v>
      </c>
    </row>
    <row r="658" spans="12:26" x14ac:dyDescent="0.55000000000000004">
      <c r="L658">
        <v>653</v>
      </c>
      <c r="M658">
        <v>0.21234700000000001</v>
      </c>
      <c r="N658">
        <v>15400.196764</v>
      </c>
      <c r="O658">
        <f t="shared" si="35"/>
        <v>72523.731270043849</v>
      </c>
      <c r="W658">
        <v>653</v>
      </c>
      <c r="X658">
        <v>5.9180999999999997E-2</v>
      </c>
      <c r="Y658">
        <v>3652.4027569999998</v>
      </c>
      <c r="Z658">
        <f t="shared" si="36"/>
        <v>61715.799952687521</v>
      </c>
    </row>
    <row r="659" spans="12:26" x14ac:dyDescent="0.55000000000000004">
      <c r="L659">
        <v>654</v>
      </c>
      <c r="M659">
        <v>0.21234700000000001</v>
      </c>
      <c r="N659">
        <v>15400.069238</v>
      </c>
      <c r="O659">
        <f t="shared" si="35"/>
        <v>72523.130715291481</v>
      </c>
      <c r="W659">
        <v>654</v>
      </c>
      <c r="X659">
        <v>5.9180999999999997E-2</v>
      </c>
      <c r="Y659">
        <v>3651.5111959999999</v>
      </c>
      <c r="Z659">
        <f t="shared" si="36"/>
        <v>61700.734965613963</v>
      </c>
    </row>
    <row r="660" spans="12:26" x14ac:dyDescent="0.55000000000000004">
      <c r="L660">
        <v>655</v>
      </c>
      <c r="M660">
        <v>0.21234700000000001</v>
      </c>
      <c r="N660">
        <v>15399.953546000001</v>
      </c>
      <c r="O660">
        <f t="shared" si="35"/>
        <v>72522.585890076152</v>
      </c>
      <c r="W660">
        <v>655</v>
      </c>
      <c r="X660">
        <v>5.9180999999999997E-2</v>
      </c>
      <c r="Y660">
        <v>3650.6102420000002</v>
      </c>
      <c r="Z660">
        <f t="shared" si="36"/>
        <v>61685.511262060463</v>
      </c>
    </row>
    <row r="661" spans="12:26" x14ac:dyDescent="0.55000000000000004">
      <c r="L661">
        <v>656</v>
      </c>
      <c r="M661">
        <v>0.21234700000000001</v>
      </c>
      <c r="N661">
        <v>15399.848655</v>
      </c>
      <c r="O661">
        <f t="shared" si="35"/>
        <v>72522.091929718808</v>
      </c>
      <c r="W661">
        <v>656</v>
      </c>
      <c r="X661">
        <v>5.9180999999999997E-2</v>
      </c>
      <c r="Y661">
        <v>3649.6992989999999</v>
      </c>
      <c r="Z661">
        <f t="shared" si="36"/>
        <v>61670.118771227251</v>
      </c>
    </row>
    <row r="662" spans="12:26" x14ac:dyDescent="0.55000000000000004">
      <c r="L662">
        <v>657</v>
      </c>
      <c r="M662">
        <v>0.21234700000000001</v>
      </c>
      <c r="N662">
        <v>15399.753618000001</v>
      </c>
      <c r="O662">
        <f t="shared" si="35"/>
        <v>72521.644374537907</v>
      </c>
      <c r="W662">
        <v>657</v>
      </c>
      <c r="X662">
        <v>5.9180999999999997E-2</v>
      </c>
      <c r="Y662">
        <v>3648.7777900000001</v>
      </c>
      <c r="Z662">
        <f t="shared" si="36"/>
        <v>61654.547743363582</v>
      </c>
    </row>
    <row r="663" spans="12:26" x14ac:dyDescent="0.55000000000000004">
      <c r="L663">
        <v>658</v>
      </c>
      <c r="M663">
        <v>0.21234700000000001</v>
      </c>
      <c r="N663">
        <v>15399.667562000001</v>
      </c>
      <c r="O663">
        <f t="shared" si="35"/>
        <v>72521.239113338073</v>
      </c>
      <c r="W663">
        <v>658</v>
      </c>
      <c r="X663">
        <v>5.9180999999999997E-2</v>
      </c>
      <c r="Y663">
        <v>3647.8451540000001</v>
      </c>
      <c r="Z663">
        <f t="shared" si="36"/>
        <v>61638.788699075718</v>
      </c>
    </row>
    <row r="664" spans="12:26" x14ac:dyDescent="0.55000000000000004">
      <c r="L664">
        <v>659</v>
      </c>
      <c r="M664">
        <v>0.21234700000000001</v>
      </c>
      <c r="N664">
        <v>15399.589689</v>
      </c>
      <c r="O664">
        <f t="shared" si="35"/>
        <v>72520.872388119446</v>
      </c>
      <c r="W664">
        <v>659</v>
      </c>
      <c r="X664">
        <v>5.9180999999999997E-2</v>
      </c>
      <c r="Y664">
        <v>3646.9008509999999</v>
      </c>
      <c r="Z664">
        <f t="shared" si="36"/>
        <v>61622.832513813555</v>
      </c>
    </row>
    <row r="665" spans="12:26" x14ac:dyDescent="0.55000000000000004">
      <c r="L665">
        <v>660</v>
      </c>
      <c r="M665">
        <v>0.21234700000000001</v>
      </c>
      <c r="N665">
        <v>15399.519263</v>
      </c>
      <c r="O665">
        <f t="shared" si="35"/>
        <v>72520.540732857073</v>
      </c>
      <c r="W665">
        <v>660</v>
      </c>
      <c r="X665">
        <v>5.9180999999999997E-2</v>
      </c>
      <c r="Y665">
        <v>3645.9443609999998</v>
      </c>
      <c r="Z665">
        <f t="shared" si="36"/>
        <v>61606.670400973286</v>
      </c>
    </row>
    <row r="666" spans="12:26" x14ac:dyDescent="0.55000000000000004">
      <c r="L666">
        <v>661</v>
      </c>
      <c r="M666">
        <v>0.21234700000000001</v>
      </c>
      <c r="N666">
        <v>15399.455614</v>
      </c>
      <c r="O666">
        <f t="shared" si="35"/>
        <v>72520.240992338018</v>
      </c>
      <c r="W666">
        <v>661</v>
      </c>
      <c r="X666">
        <v>5.9180999999999997E-2</v>
      </c>
      <c r="Y666">
        <v>3644.9751839999999</v>
      </c>
      <c r="Z666">
        <f t="shared" si="36"/>
        <v>61590.293911897403</v>
      </c>
    </row>
    <row r="667" spans="12:26" x14ac:dyDescent="0.55000000000000004">
      <c r="L667">
        <v>662</v>
      </c>
      <c r="M667">
        <v>0.21234700000000001</v>
      </c>
      <c r="N667">
        <v>15399.398125</v>
      </c>
      <c r="O667">
        <f t="shared" si="35"/>
        <v>72519.970260940812</v>
      </c>
      <c r="W667">
        <v>662</v>
      </c>
      <c r="X667">
        <v>5.9180999999999997E-2</v>
      </c>
      <c r="Y667">
        <v>3643.9928369999998</v>
      </c>
      <c r="Z667">
        <f t="shared" si="36"/>
        <v>61573.69488518274</v>
      </c>
    </row>
    <row r="668" spans="12:26" x14ac:dyDescent="0.55000000000000004">
      <c r="L668">
        <v>663</v>
      </c>
      <c r="M668">
        <v>0.21234700000000001</v>
      </c>
      <c r="N668">
        <v>15399.346232</v>
      </c>
      <c r="O668">
        <f t="shared" si="35"/>
        <v>72519.725882635496</v>
      </c>
      <c r="W668">
        <v>663</v>
      </c>
      <c r="X668">
        <v>5.9180999999999997E-2</v>
      </c>
      <c r="Y668">
        <v>3642.9968610000001</v>
      </c>
      <c r="Z668">
        <f t="shared" si="36"/>
        <v>61556.865564961729</v>
      </c>
    </row>
    <row r="669" spans="12:26" x14ac:dyDescent="0.55000000000000004">
      <c r="L669">
        <v>664</v>
      </c>
      <c r="M669">
        <v>0.21234700000000001</v>
      </c>
      <c r="N669">
        <v>15399.299421</v>
      </c>
      <c r="O669">
        <f t="shared" si="35"/>
        <v>72519.505436855703</v>
      </c>
      <c r="W669">
        <v>664</v>
      </c>
      <c r="X669">
        <v>5.9180999999999997E-2</v>
      </c>
      <c r="Y669">
        <v>3641.9868160000001</v>
      </c>
      <c r="Z669">
        <f t="shared" si="36"/>
        <v>61539.798516415744</v>
      </c>
    </row>
    <row r="670" spans="12:26" x14ac:dyDescent="0.55000000000000004">
      <c r="L670">
        <v>665</v>
      </c>
      <c r="M670">
        <v>0.21234700000000001</v>
      </c>
      <c r="N670">
        <v>15399.25722</v>
      </c>
      <c r="O670">
        <f t="shared" si="35"/>
        <v>72519.306700824585</v>
      </c>
      <c r="W670">
        <v>665</v>
      </c>
      <c r="X670">
        <v>5.9180999999999997E-2</v>
      </c>
      <c r="Y670">
        <v>3640.9622850000001</v>
      </c>
      <c r="Z670">
        <f t="shared" si="36"/>
        <v>61522.48669336443</v>
      </c>
    </row>
    <row r="671" spans="12:26" x14ac:dyDescent="0.55000000000000004">
      <c r="L671">
        <v>666</v>
      </c>
      <c r="M671">
        <v>0.21234700000000001</v>
      </c>
      <c r="N671">
        <v>15399.219198999999</v>
      </c>
      <c r="O671">
        <f t="shared" si="35"/>
        <v>72519.127649554735</v>
      </c>
      <c r="W671">
        <v>666</v>
      </c>
      <c r="X671">
        <v>5.9180999999999997E-2</v>
      </c>
      <c r="Y671">
        <v>3639.922869</v>
      </c>
      <c r="Z671">
        <f t="shared" si="36"/>
        <v>61504.923353779086</v>
      </c>
    </row>
    <row r="672" spans="12:26" x14ac:dyDescent="0.55000000000000004">
      <c r="L672">
        <v>667</v>
      </c>
      <c r="M672">
        <v>0.21234700000000001</v>
      </c>
      <c r="N672">
        <v>15399.184966000001</v>
      </c>
      <c r="O672">
        <f t="shared" si="35"/>
        <v>72518.966437011113</v>
      </c>
      <c r="W672">
        <v>667</v>
      </c>
      <c r="X672">
        <v>5.9180999999999997E-2</v>
      </c>
      <c r="Y672">
        <v>3638.8681959999999</v>
      </c>
      <c r="Z672">
        <f t="shared" si="36"/>
        <v>61487.102211858539</v>
      </c>
    </row>
    <row r="673" spans="12:26" x14ac:dyDescent="0.55000000000000004">
      <c r="L673">
        <v>668</v>
      </c>
      <c r="M673">
        <v>0.21234700000000001</v>
      </c>
      <c r="N673">
        <v>15399.154162999999</v>
      </c>
      <c r="O673">
        <f t="shared" si="35"/>
        <v>72518.821377273984</v>
      </c>
      <c r="W673">
        <v>668</v>
      </c>
      <c r="X673">
        <v>5.9180999999999997E-2</v>
      </c>
      <c r="Y673">
        <v>3637.7979099999998</v>
      </c>
      <c r="Z673">
        <f t="shared" si="36"/>
        <v>61469.017252158628</v>
      </c>
    </row>
    <row r="674" spans="12:26" x14ac:dyDescent="0.55000000000000004">
      <c r="L674">
        <v>669</v>
      </c>
      <c r="M674">
        <v>0.21234700000000001</v>
      </c>
      <c r="N674">
        <v>15399.126464000001</v>
      </c>
      <c r="O674">
        <f t="shared" si="35"/>
        <v>72518.69093512035</v>
      </c>
      <c r="W674">
        <v>669</v>
      </c>
      <c r="X674">
        <v>5.9180999999999997E-2</v>
      </c>
      <c r="Y674">
        <v>3636.7116839999999</v>
      </c>
      <c r="Z674">
        <f t="shared" si="36"/>
        <v>61450.662949257363</v>
      </c>
    </row>
    <row r="675" spans="12:26" x14ac:dyDescent="0.55000000000000004">
      <c r="L675">
        <v>670</v>
      </c>
      <c r="M675">
        <v>0.21234700000000001</v>
      </c>
      <c r="N675">
        <v>15399.101570999999</v>
      </c>
      <c r="O675">
        <f t="shared" si="35"/>
        <v>72518.573707186821</v>
      </c>
      <c r="W675">
        <v>670</v>
      </c>
      <c r="X675">
        <v>5.9180000000000003E-2</v>
      </c>
      <c r="Y675">
        <v>3635.6092100000001</v>
      </c>
      <c r="Z675">
        <f t="shared" si="36"/>
        <v>61433.072152754306</v>
      </c>
    </row>
    <row r="676" spans="12:26" x14ac:dyDescent="0.55000000000000004">
      <c r="L676">
        <v>671</v>
      </c>
      <c r="M676">
        <v>0.21234700000000001</v>
      </c>
      <c r="N676">
        <v>15399.079213999999</v>
      </c>
      <c r="O676">
        <f t="shared" si="35"/>
        <v>72518.468421969694</v>
      </c>
      <c r="W676">
        <v>671</v>
      </c>
      <c r="X676">
        <v>5.9180000000000003E-2</v>
      </c>
      <c r="Y676">
        <v>3634.4902040000002</v>
      </c>
      <c r="Z676">
        <f t="shared" si="36"/>
        <v>61414.163636363635</v>
      </c>
    </row>
    <row r="677" spans="12:26" x14ac:dyDescent="0.55000000000000004">
      <c r="L677">
        <v>672</v>
      </c>
      <c r="M677">
        <v>0.21234700000000001</v>
      </c>
      <c r="N677">
        <v>15399.059148</v>
      </c>
      <c r="O677">
        <f t="shared" si="35"/>
        <v>72518.373925697088</v>
      </c>
      <c r="W677">
        <v>672</v>
      </c>
      <c r="X677">
        <v>5.9180000000000003E-2</v>
      </c>
      <c r="Y677">
        <v>3633.3544059999999</v>
      </c>
      <c r="Z677">
        <f t="shared" si="36"/>
        <v>61394.97137546468</v>
      </c>
    </row>
    <row r="678" spans="12:26" x14ac:dyDescent="0.55000000000000004">
      <c r="L678">
        <v>673</v>
      </c>
      <c r="M678">
        <v>0.21234700000000001</v>
      </c>
      <c r="N678">
        <v>15399.041148</v>
      </c>
      <c r="O678">
        <f t="shared" si="35"/>
        <v>72518.289158782558</v>
      </c>
      <c r="W678">
        <v>673</v>
      </c>
      <c r="X678">
        <v>5.9179000000000002E-2</v>
      </c>
      <c r="Y678">
        <v>3632.2015799999999</v>
      </c>
      <c r="Z678">
        <f t="shared" si="36"/>
        <v>61376.528498284861</v>
      </c>
    </row>
    <row r="679" spans="12:26" x14ac:dyDescent="0.55000000000000004">
      <c r="L679">
        <v>674</v>
      </c>
      <c r="M679">
        <v>0.21234700000000001</v>
      </c>
      <c r="N679">
        <v>15399.025014000001</v>
      </c>
      <c r="O679">
        <f t="shared" si="35"/>
        <v>72518.213179371494</v>
      </c>
      <c r="W679">
        <v>674</v>
      </c>
      <c r="X679">
        <v>5.9179000000000002E-2</v>
      </c>
      <c r="Y679">
        <v>3631.0315150000001</v>
      </c>
      <c r="Z679">
        <f t="shared" si="36"/>
        <v>61356.756873215163</v>
      </c>
    </row>
    <row r="680" spans="12:26" x14ac:dyDescent="0.55000000000000004">
      <c r="L680">
        <v>675</v>
      </c>
      <c r="M680">
        <v>0.21234700000000001</v>
      </c>
      <c r="N680">
        <v>15399.010559</v>
      </c>
      <c r="O680">
        <f t="shared" si="35"/>
        <v>72518.145106829863</v>
      </c>
      <c r="W680">
        <v>675</v>
      </c>
      <c r="X680">
        <v>5.9179000000000002E-2</v>
      </c>
      <c r="Y680">
        <v>3629.8440230000001</v>
      </c>
      <c r="Z680">
        <f t="shared" si="36"/>
        <v>61336.690768684835</v>
      </c>
    </row>
    <row r="681" spans="12:26" x14ac:dyDescent="0.55000000000000004">
      <c r="L681">
        <v>676</v>
      </c>
      <c r="M681">
        <v>0.21234700000000001</v>
      </c>
      <c r="N681">
        <v>15398.997617999999</v>
      </c>
      <c r="O681">
        <f t="shared" si="35"/>
        <v>72518.084164127577</v>
      </c>
      <c r="W681">
        <v>676</v>
      </c>
      <c r="X681">
        <v>5.9178000000000001E-2</v>
      </c>
      <c r="Y681">
        <v>3628.6389439999998</v>
      </c>
      <c r="Z681">
        <f t="shared" si="36"/>
        <v>61317.363614856869</v>
      </c>
    </row>
    <row r="682" spans="12:26" x14ac:dyDescent="0.55000000000000004">
      <c r="L682">
        <v>677</v>
      </c>
      <c r="M682">
        <v>0.21234700000000001</v>
      </c>
      <c r="N682">
        <v>15398.98604</v>
      </c>
      <c r="O682">
        <f t="shared" si="35"/>
        <v>72518.029640164445</v>
      </c>
      <c r="W682">
        <v>677</v>
      </c>
      <c r="X682">
        <v>5.9177E-2</v>
      </c>
      <c r="Y682">
        <v>3627.4161399999998</v>
      </c>
      <c r="Z682">
        <f t="shared" si="36"/>
        <v>61297.73628267739</v>
      </c>
    </row>
    <row r="683" spans="12:26" x14ac:dyDescent="0.55000000000000004">
      <c r="L683">
        <v>678</v>
      </c>
      <c r="M683">
        <v>0.21234700000000001</v>
      </c>
      <c r="N683">
        <v>15398.975687</v>
      </c>
      <c r="O683">
        <f t="shared" si="35"/>
        <v>72517.980885060766</v>
      </c>
      <c r="W683">
        <v>678</v>
      </c>
      <c r="X683">
        <v>5.9175999999999999E-2</v>
      </c>
      <c r="Y683">
        <v>3626.1755020000001</v>
      </c>
      <c r="Z683">
        <f t="shared" si="36"/>
        <v>61277.806914965528</v>
      </c>
    </row>
    <row r="684" spans="12:26" x14ac:dyDescent="0.55000000000000004">
      <c r="L684">
        <v>679</v>
      </c>
      <c r="M684">
        <v>0.21234700000000001</v>
      </c>
      <c r="N684">
        <v>15398.966435</v>
      </c>
      <c r="O684">
        <f t="shared" si="35"/>
        <v>72517.937314866707</v>
      </c>
      <c r="W684">
        <v>679</v>
      </c>
      <c r="X684">
        <v>5.9174999999999998E-2</v>
      </c>
      <c r="Y684">
        <v>3624.9169449999999</v>
      </c>
      <c r="Z684">
        <f t="shared" si="36"/>
        <v>61257.574059991552</v>
      </c>
    </row>
    <row r="685" spans="12:26" x14ac:dyDescent="0.55000000000000004">
      <c r="L685">
        <v>680</v>
      </c>
      <c r="M685">
        <v>0.21234700000000001</v>
      </c>
      <c r="N685">
        <v>15398.958173000001</v>
      </c>
      <c r="O685">
        <f t="shared" si="35"/>
        <v>72517.898406852939</v>
      </c>
      <c r="W685">
        <v>680</v>
      </c>
      <c r="X685">
        <v>5.9173999999999997E-2</v>
      </c>
      <c r="Y685">
        <v>3623.64041</v>
      </c>
      <c r="Z685">
        <f t="shared" si="36"/>
        <v>61237.036705309765</v>
      </c>
    </row>
    <row r="686" spans="12:26" x14ac:dyDescent="0.55000000000000004">
      <c r="L686">
        <v>681</v>
      </c>
      <c r="M686">
        <v>0.21234700000000001</v>
      </c>
      <c r="N686">
        <v>15398.950799</v>
      </c>
      <c r="O686">
        <f t="shared" si="35"/>
        <v>72517.863680673618</v>
      </c>
      <c r="W686">
        <v>681</v>
      </c>
      <c r="X686">
        <v>5.9173000000000003E-2</v>
      </c>
      <c r="Y686">
        <v>3622.345867</v>
      </c>
      <c r="Z686">
        <f t="shared" si="36"/>
        <v>61216.194328494414</v>
      </c>
    </row>
    <row r="687" spans="12:26" x14ac:dyDescent="0.55000000000000004">
      <c r="L687">
        <v>682</v>
      </c>
      <c r="M687">
        <v>0.21234700000000001</v>
      </c>
      <c r="N687">
        <v>15398.944223</v>
      </c>
      <c r="O687">
        <f t="shared" si="35"/>
        <v>72517.832712494172</v>
      </c>
      <c r="W687">
        <v>682</v>
      </c>
      <c r="X687">
        <v>5.9171000000000001E-2</v>
      </c>
      <c r="Y687">
        <v>3621.0333110000001</v>
      </c>
      <c r="Z687">
        <f t="shared" si="36"/>
        <v>61196.081036318465</v>
      </c>
    </row>
    <row r="688" spans="12:26" x14ac:dyDescent="0.55000000000000004">
      <c r="L688">
        <v>683</v>
      </c>
      <c r="M688">
        <v>0.21234700000000001</v>
      </c>
      <c r="N688">
        <v>15398.938361</v>
      </c>
      <c r="O688">
        <f t="shared" si="35"/>
        <v>72517.805106735672</v>
      </c>
      <c r="W688">
        <v>683</v>
      </c>
      <c r="X688">
        <v>5.9168999999999999E-2</v>
      </c>
      <c r="Y688">
        <v>3619.702765</v>
      </c>
      <c r="Z688">
        <f t="shared" si="36"/>
        <v>61175.662340076728</v>
      </c>
    </row>
    <row r="689" spans="12:26" x14ac:dyDescent="0.55000000000000004">
      <c r="L689">
        <v>684</v>
      </c>
      <c r="M689">
        <v>0.21234700000000001</v>
      </c>
      <c r="N689">
        <v>15398.933139000001</v>
      </c>
      <c r="O689">
        <f t="shared" si="35"/>
        <v>72517.780514911909</v>
      </c>
      <c r="W689">
        <v>684</v>
      </c>
      <c r="X689">
        <v>5.9166000000000003E-2</v>
      </c>
      <c r="Y689">
        <v>3618.35428</v>
      </c>
      <c r="Z689">
        <f t="shared" si="36"/>
        <v>61155.97268701619</v>
      </c>
    </row>
    <row r="690" spans="12:26" x14ac:dyDescent="0.55000000000000004">
      <c r="L690">
        <v>685</v>
      </c>
      <c r="M690">
        <v>0.21234700000000001</v>
      </c>
      <c r="N690">
        <v>15398.92849</v>
      </c>
      <c r="O690">
        <f t="shared" si="35"/>
        <v>72517.758621501591</v>
      </c>
      <c r="W690">
        <v>685</v>
      </c>
      <c r="X690">
        <v>5.9164000000000001E-2</v>
      </c>
      <c r="Y690">
        <v>3616.9879350000001</v>
      </c>
      <c r="Z690">
        <f t="shared" si="36"/>
        <v>61134.945828544383</v>
      </c>
    </row>
    <row r="691" spans="12:26" x14ac:dyDescent="0.55000000000000004">
      <c r="L691">
        <v>686</v>
      </c>
      <c r="M691">
        <v>0.21234700000000001</v>
      </c>
      <c r="N691">
        <v>15398.924354000001</v>
      </c>
      <c r="O691">
        <f t="shared" si="35"/>
        <v>72517.739143948347</v>
      </c>
      <c r="W691">
        <v>686</v>
      </c>
      <c r="X691">
        <v>5.9159999999999997E-2</v>
      </c>
      <c r="Y691">
        <v>3615.6038359999998</v>
      </c>
      <c r="Z691">
        <f t="shared" si="36"/>
        <v>61115.683502366461</v>
      </c>
    </row>
    <row r="692" spans="12:26" x14ac:dyDescent="0.55000000000000004">
      <c r="L692">
        <v>687</v>
      </c>
      <c r="M692">
        <v>0.21234700000000001</v>
      </c>
      <c r="N692">
        <v>15398.920677</v>
      </c>
      <c r="O692">
        <f t="shared" si="35"/>
        <v>72517.72182795142</v>
      </c>
      <c r="W692">
        <v>687</v>
      </c>
      <c r="X692">
        <v>5.9157000000000001E-2</v>
      </c>
      <c r="Y692">
        <v>3614.202119</v>
      </c>
      <c r="Z692">
        <f t="shared" si="36"/>
        <v>61095.087969302025</v>
      </c>
    </row>
    <row r="693" spans="12:26" x14ac:dyDescent="0.55000000000000004">
      <c r="L693">
        <v>688</v>
      </c>
      <c r="M693">
        <v>0.21234700000000001</v>
      </c>
      <c r="N693">
        <v>15398.917409</v>
      </c>
      <c r="O693">
        <f t="shared" si="35"/>
        <v>72517.706438047157</v>
      </c>
      <c r="W693">
        <v>688</v>
      </c>
      <c r="X693">
        <v>5.9152000000000003E-2</v>
      </c>
      <c r="Y693">
        <v>3612.7829470000001</v>
      </c>
      <c r="Z693">
        <f t="shared" si="36"/>
        <v>61076.260261698677</v>
      </c>
    </row>
    <row r="694" spans="12:26" x14ac:dyDescent="0.55000000000000004">
      <c r="L694">
        <v>689</v>
      </c>
      <c r="M694">
        <v>0.21234700000000001</v>
      </c>
      <c r="N694">
        <v>15398.914508</v>
      </c>
      <c r="O694">
        <f t="shared" si="35"/>
        <v>72517.6927764461</v>
      </c>
      <c r="W694">
        <v>689</v>
      </c>
      <c r="X694">
        <v>5.9146999999999998E-2</v>
      </c>
      <c r="Y694">
        <v>3611.346513</v>
      </c>
      <c r="Z694">
        <f t="shared" si="36"/>
        <v>61057.1375217678</v>
      </c>
    </row>
    <row r="695" spans="12:26" x14ac:dyDescent="0.55000000000000004">
      <c r="L695">
        <v>690</v>
      </c>
      <c r="M695">
        <v>0.21234700000000001</v>
      </c>
      <c r="N695">
        <v>15398.911932999999</v>
      </c>
      <c r="O695">
        <f t="shared" si="35"/>
        <v>72517.68065006804</v>
      </c>
      <c r="W695">
        <v>690</v>
      </c>
      <c r="X695">
        <v>5.9140999999999999E-2</v>
      </c>
      <c r="Y695">
        <v>3609.893039</v>
      </c>
      <c r="Z695">
        <f t="shared" si="36"/>
        <v>61038.755499568826</v>
      </c>
    </row>
    <row r="696" spans="12:26" x14ac:dyDescent="0.55000000000000004">
      <c r="L696">
        <v>691</v>
      </c>
      <c r="M696">
        <v>0.21234700000000001</v>
      </c>
      <c r="N696">
        <v>15398.90965</v>
      </c>
      <c r="O696">
        <f t="shared" si="35"/>
        <v>72517.669898797714</v>
      </c>
      <c r="W696">
        <v>691</v>
      </c>
      <c r="X696">
        <v>5.9133999999999999E-2</v>
      </c>
      <c r="Y696">
        <v>3608.4227759999999</v>
      </c>
      <c r="Z696">
        <f t="shared" si="36"/>
        <v>61021.117732607301</v>
      </c>
    </row>
    <row r="697" spans="12:26" x14ac:dyDescent="0.55000000000000004">
      <c r="L697">
        <v>692</v>
      </c>
      <c r="M697">
        <v>0.21234700000000001</v>
      </c>
      <c r="N697">
        <v>15398.907626</v>
      </c>
      <c r="O697">
        <f t="shared" si="35"/>
        <v>72517.660367229109</v>
      </c>
      <c r="W697">
        <v>692</v>
      </c>
      <c r="X697">
        <v>5.9125999999999998E-2</v>
      </c>
      <c r="Y697">
        <v>3606.9360029999998</v>
      </c>
      <c r="Z697">
        <f t="shared" si="36"/>
        <v>61004.228309034937</v>
      </c>
    </row>
    <row r="698" spans="12:26" x14ac:dyDescent="0.55000000000000004">
      <c r="L698">
        <v>693</v>
      </c>
      <c r="M698">
        <v>0.21234700000000001</v>
      </c>
      <c r="N698">
        <v>15398.905833000001</v>
      </c>
      <c r="O698">
        <f t="shared" si="35"/>
        <v>72517.651923502563</v>
      </c>
      <c r="W698">
        <v>693</v>
      </c>
      <c r="X698">
        <v>5.9117000000000003E-2</v>
      </c>
      <c r="Y698">
        <v>3605.4330319999999</v>
      </c>
      <c r="Z698">
        <f t="shared" si="36"/>
        <v>60988.091953245254</v>
      </c>
    </row>
    <row r="699" spans="12:26" x14ac:dyDescent="0.55000000000000004">
      <c r="L699">
        <v>694</v>
      </c>
      <c r="M699">
        <v>0.21234700000000001</v>
      </c>
      <c r="N699">
        <v>15398.904246</v>
      </c>
      <c r="O699">
        <f t="shared" si="35"/>
        <v>72517.644449886269</v>
      </c>
      <c r="W699">
        <v>694</v>
      </c>
      <c r="X699">
        <v>5.9107E-2</v>
      </c>
      <c r="Y699">
        <v>3603.914201</v>
      </c>
      <c r="Z699">
        <f t="shared" si="36"/>
        <v>60972.713908674101</v>
      </c>
    </row>
    <row r="700" spans="12:26" x14ac:dyDescent="0.55000000000000004">
      <c r="L700">
        <v>695</v>
      </c>
      <c r="M700">
        <v>0.21234700000000001</v>
      </c>
      <c r="N700">
        <v>15398.902842</v>
      </c>
      <c r="O700">
        <f t="shared" si="35"/>
        <v>72517.637838066934</v>
      </c>
      <c r="W700">
        <v>695</v>
      </c>
      <c r="X700">
        <v>5.9095000000000002E-2</v>
      </c>
      <c r="Y700">
        <v>3602.3798809999998</v>
      </c>
      <c r="Z700">
        <f t="shared" si="36"/>
        <v>60959.131584736439</v>
      </c>
    </row>
    <row r="701" spans="12:26" x14ac:dyDescent="0.55000000000000004">
      <c r="L701">
        <v>696</v>
      </c>
      <c r="M701">
        <v>0.21234700000000001</v>
      </c>
      <c r="N701">
        <v>15398.901601</v>
      </c>
      <c r="O701">
        <f t="shared" si="35"/>
        <v>72517.631993859104</v>
      </c>
      <c r="W701">
        <v>696</v>
      </c>
      <c r="X701">
        <v>5.9082000000000003E-2</v>
      </c>
      <c r="Y701">
        <v>3600.8304699999999</v>
      </c>
      <c r="Z701">
        <f t="shared" si="36"/>
        <v>60946.319860532814</v>
      </c>
    </row>
    <row r="702" spans="12:26" x14ac:dyDescent="0.55000000000000004">
      <c r="L702">
        <v>697</v>
      </c>
      <c r="M702">
        <v>0.21234700000000001</v>
      </c>
      <c r="N702">
        <v>15398.900505</v>
      </c>
      <c r="O702">
        <f t="shared" si="35"/>
        <v>72517.626832495866</v>
      </c>
      <c r="W702">
        <v>697</v>
      </c>
      <c r="X702">
        <v>5.9066E-2</v>
      </c>
      <c r="Y702">
        <v>3599.2663990000001</v>
      </c>
      <c r="Z702">
        <f t="shared" si="36"/>
        <v>60936.349151796298</v>
      </c>
    </row>
    <row r="703" spans="12:26" x14ac:dyDescent="0.55000000000000004">
      <c r="L703">
        <v>698</v>
      </c>
      <c r="M703">
        <v>0.21234700000000001</v>
      </c>
      <c r="N703">
        <v>15398.899536000001</v>
      </c>
      <c r="O703">
        <f t="shared" si="35"/>
        <v>72517.622269210304</v>
      </c>
      <c r="W703">
        <v>698</v>
      </c>
      <c r="X703">
        <v>5.9048999999999997E-2</v>
      </c>
      <c r="Y703">
        <v>3597.688126</v>
      </c>
      <c r="Z703">
        <f t="shared" si="36"/>
        <v>60927.164321157012</v>
      </c>
    </row>
    <row r="704" spans="12:26" x14ac:dyDescent="0.55000000000000004">
      <c r="L704">
        <v>699</v>
      </c>
      <c r="M704">
        <v>0.21234700000000001</v>
      </c>
      <c r="N704">
        <v>15398.898681999999</v>
      </c>
      <c r="O704">
        <f t="shared" si="35"/>
        <v>72517.618247491133</v>
      </c>
      <c r="W704">
        <v>699</v>
      </c>
      <c r="X704">
        <v>5.9028999999999998E-2</v>
      </c>
      <c r="Y704">
        <v>3596.096141</v>
      </c>
      <c r="Z704">
        <f t="shared" si="36"/>
        <v>60920.837910179747</v>
      </c>
    </row>
    <row r="705" spans="12:26" x14ac:dyDescent="0.55000000000000004">
      <c r="L705">
        <v>700</v>
      </c>
      <c r="M705">
        <v>0.21234700000000001</v>
      </c>
      <c r="N705">
        <v>15398.897928</v>
      </c>
      <c r="O705">
        <f t="shared" si="35"/>
        <v>72517.614696699267</v>
      </c>
      <c r="W705">
        <v>700</v>
      </c>
      <c r="X705">
        <v>5.9006999999999997E-2</v>
      </c>
      <c r="Y705">
        <v>3594.4909630000002</v>
      </c>
      <c r="Z705">
        <f t="shared" si="36"/>
        <v>60916.348280712467</v>
      </c>
    </row>
    <row r="706" spans="12:26" x14ac:dyDescent="0.55000000000000004">
      <c r="L706">
        <v>701</v>
      </c>
      <c r="M706">
        <v>0.21234700000000001</v>
      </c>
      <c r="N706">
        <v>15398.897263999999</v>
      </c>
      <c r="O706">
        <f t="shared" si="35"/>
        <v>72517.611569741974</v>
      </c>
      <c r="W706">
        <v>701</v>
      </c>
      <c r="X706">
        <v>5.8982E-2</v>
      </c>
      <c r="Y706">
        <v>3592.8731419999999</v>
      </c>
      <c r="Z706">
        <f t="shared" si="36"/>
        <v>60914.739106846158</v>
      </c>
    </row>
    <row r="707" spans="12:26" x14ac:dyDescent="0.55000000000000004">
      <c r="L707">
        <v>702</v>
      </c>
      <c r="M707">
        <v>0.21234700000000001</v>
      </c>
      <c r="N707">
        <v>15398.89668</v>
      </c>
      <c r="O707">
        <f t="shared" si="35"/>
        <v>72517.608819526533</v>
      </c>
      <c r="W707">
        <v>702</v>
      </c>
      <c r="X707">
        <v>5.8953999999999999E-2</v>
      </c>
      <c r="Y707">
        <v>3591.243258</v>
      </c>
      <c r="Z707">
        <f t="shared" si="36"/>
        <v>60916.02364555416</v>
      </c>
    </row>
    <row r="708" spans="12:26" x14ac:dyDescent="0.55000000000000004">
      <c r="L708">
        <v>703</v>
      </c>
      <c r="M708">
        <v>0.21234700000000001</v>
      </c>
      <c r="N708">
        <v>15398.896165</v>
      </c>
      <c r="O708">
        <f t="shared" si="35"/>
        <v>72517.606394250921</v>
      </c>
      <c r="W708">
        <v>703</v>
      </c>
      <c r="X708">
        <v>5.8922000000000002E-2</v>
      </c>
      <c r="Y708">
        <v>3589.6019200000001</v>
      </c>
      <c r="Z708">
        <f t="shared" si="36"/>
        <v>60921.25046671871</v>
      </c>
    </row>
    <row r="709" spans="12:26" x14ac:dyDescent="0.55000000000000004">
      <c r="L709">
        <v>704</v>
      </c>
      <c r="M709">
        <v>0.21234700000000001</v>
      </c>
      <c r="N709">
        <v>15398.895712</v>
      </c>
      <c r="O709">
        <f t="shared" si="35"/>
        <v>72517.604260950233</v>
      </c>
      <c r="W709">
        <v>704</v>
      </c>
      <c r="X709">
        <v>5.8887000000000002E-2</v>
      </c>
      <c r="Y709">
        <v>3587.9497660000002</v>
      </c>
      <c r="Z709">
        <f t="shared" si="36"/>
        <v>60929.403195951571</v>
      </c>
    </row>
    <row r="710" spans="12:26" x14ac:dyDescent="0.55000000000000004">
      <c r="L710">
        <v>705</v>
      </c>
      <c r="M710">
        <v>0.21234700000000001</v>
      </c>
      <c r="N710">
        <v>15398.895313999999</v>
      </c>
      <c r="O710">
        <f t="shared" ref="O710:O773" si="37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6"/>
        <v>60942.570836236351</v>
      </c>
    </row>
    <row r="711" spans="12:26" x14ac:dyDescent="0.55000000000000004">
      <c r="L711">
        <v>706</v>
      </c>
      <c r="M711">
        <v>0.21234700000000001</v>
      </c>
      <c r="N711">
        <v>15398.894963999999</v>
      </c>
      <c r="O711">
        <f t="shared" si="37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8">Y711/X711</f>
        <v>60959.742156012449</v>
      </c>
    </row>
    <row r="712" spans="12:26" x14ac:dyDescent="0.55000000000000004">
      <c r="L712">
        <v>707</v>
      </c>
      <c r="M712">
        <v>0.21234700000000001</v>
      </c>
      <c r="N712">
        <v>15398.894657000001</v>
      </c>
      <c r="O712">
        <f t="shared" si="37"/>
        <v>72517.59929266719</v>
      </c>
      <c r="W712">
        <v>707</v>
      </c>
      <c r="X712">
        <v>5.8755000000000002E-2</v>
      </c>
      <c r="Y712">
        <v>3582.93525</v>
      </c>
      <c r="Z712">
        <f t="shared" si="38"/>
        <v>60980.942047485318</v>
      </c>
    </row>
    <row r="713" spans="12:26" x14ac:dyDescent="0.55000000000000004">
      <c r="L713">
        <v>708</v>
      </c>
      <c r="M713">
        <v>0.21234700000000001</v>
      </c>
      <c r="N713">
        <v>15398.894388000001</v>
      </c>
      <c r="O713">
        <f t="shared" si="37"/>
        <v>72517.59802587275</v>
      </c>
      <c r="W713">
        <v>708</v>
      </c>
      <c r="X713">
        <v>5.8701000000000003E-2</v>
      </c>
      <c r="Y713">
        <v>3581.2468180000001</v>
      </c>
      <c r="Z713">
        <f t="shared" si="38"/>
        <v>61008.276145210468</v>
      </c>
    </row>
    <row r="714" spans="12:26" x14ac:dyDescent="0.55000000000000004">
      <c r="L714">
        <v>709</v>
      </c>
      <c r="M714">
        <v>0.21234700000000001</v>
      </c>
      <c r="N714">
        <v>15398.894151</v>
      </c>
      <c r="O714">
        <f t="shared" si="37"/>
        <v>72517.596909775035</v>
      </c>
      <c r="W714">
        <v>709</v>
      </c>
      <c r="X714">
        <v>5.8640999999999999E-2</v>
      </c>
      <c r="Y714">
        <v>3579.5512079999999</v>
      </c>
      <c r="Z714">
        <f t="shared" si="38"/>
        <v>61041.783189236201</v>
      </c>
    </row>
    <row r="715" spans="12:26" x14ac:dyDescent="0.55000000000000004">
      <c r="L715">
        <v>710</v>
      </c>
      <c r="M715">
        <v>0.21234700000000001</v>
      </c>
      <c r="N715">
        <v>15398.893943999999</v>
      </c>
      <c r="O715">
        <f t="shared" si="37"/>
        <v>72517.59593495552</v>
      </c>
      <c r="W715">
        <v>710</v>
      </c>
      <c r="X715">
        <v>5.8575000000000002E-2</v>
      </c>
      <c r="Y715">
        <v>3577.8492329999999</v>
      </c>
      <c r="Z715">
        <f t="shared" si="38"/>
        <v>61081.506325224065</v>
      </c>
    </row>
    <row r="716" spans="12:26" x14ac:dyDescent="0.55000000000000004">
      <c r="L716">
        <v>711</v>
      </c>
      <c r="M716">
        <v>0.21234700000000001</v>
      </c>
      <c r="N716">
        <v>15398.893763</v>
      </c>
      <c r="O716">
        <f t="shared" si="37"/>
        <v>72517.5950825771</v>
      </c>
      <c r="W716">
        <v>711</v>
      </c>
      <c r="X716">
        <v>5.8502999999999999E-2</v>
      </c>
      <c r="Y716">
        <v>3576.1417369999999</v>
      </c>
      <c r="Z716">
        <f t="shared" si="38"/>
        <v>61127.493239662923</v>
      </c>
    </row>
    <row r="717" spans="12:26" x14ac:dyDescent="0.55000000000000004">
      <c r="L717">
        <v>712</v>
      </c>
      <c r="M717">
        <v>0.21234700000000001</v>
      </c>
      <c r="N717">
        <v>15398.893604000001</v>
      </c>
      <c r="O717">
        <f t="shared" si="37"/>
        <v>72517.594333802685</v>
      </c>
      <c r="W717">
        <v>712</v>
      </c>
      <c r="X717">
        <v>5.8423999999999997E-2</v>
      </c>
      <c r="Y717">
        <v>3574.4295900000002</v>
      </c>
      <c r="Z717">
        <f t="shared" si="38"/>
        <v>61180.843317814601</v>
      </c>
    </row>
    <row r="718" spans="12:26" x14ac:dyDescent="0.55000000000000004">
      <c r="L718">
        <v>713</v>
      </c>
      <c r="M718">
        <v>0.21234700000000001</v>
      </c>
      <c r="N718">
        <v>15398.893466</v>
      </c>
      <c r="O718">
        <f t="shared" si="37"/>
        <v>72517.593683923013</v>
      </c>
      <c r="W718">
        <v>713</v>
      </c>
      <c r="X718">
        <v>5.8337E-2</v>
      </c>
      <c r="Y718">
        <v>3572.7136890000002</v>
      </c>
      <c r="Z718">
        <f t="shared" si="38"/>
        <v>61242.670843546977</v>
      </c>
    </row>
    <row r="719" spans="12:26" x14ac:dyDescent="0.55000000000000004">
      <c r="L719">
        <v>714</v>
      </c>
      <c r="M719">
        <v>0.21234700000000001</v>
      </c>
      <c r="N719">
        <v>15398.893344</v>
      </c>
      <c r="O719">
        <f t="shared" si="37"/>
        <v>72517.593109391702</v>
      </c>
      <c r="W719">
        <v>714</v>
      </c>
      <c r="X719">
        <v>5.8242000000000002E-2</v>
      </c>
      <c r="Y719">
        <v>3570.99496</v>
      </c>
      <c r="Z719">
        <f t="shared" si="38"/>
        <v>61313.055183544522</v>
      </c>
    </row>
    <row r="720" spans="12:26" x14ac:dyDescent="0.55000000000000004">
      <c r="L720">
        <v>715</v>
      </c>
      <c r="M720">
        <v>0.21234700000000001</v>
      </c>
      <c r="N720">
        <v>15398.893238000001</v>
      </c>
      <c r="O720">
        <f t="shared" si="37"/>
        <v>72517.592610208769</v>
      </c>
      <c r="W720">
        <v>715</v>
      </c>
      <c r="X720">
        <v>5.8139000000000003E-2</v>
      </c>
      <c r="Y720">
        <v>3569.2743540000001</v>
      </c>
      <c r="Z720">
        <f t="shared" si="38"/>
        <v>61392.083695970003</v>
      </c>
    </row>
    <row r="721" spans="12:26" x14ac:dyDescent="0.55000000000000004">
      <c r="L721">
        <v>716</v>
      </c>
      <c r="M721">
        <v>0.21234700000000001</v>
      </c>
      <c r="N721">
        <v>15398.893146</v>
      </c>
      <c r="O721">
        <f t="shared" si="37"/>
        <v>72517.592176955644</v>
      </c>
      <c r="W721">
        <v>716</v>
      </c>
      <c r="X721">
        <v>5.8027000000000002E-2</v>
      </c>
      <c r="Y721">
        <v>3567.55285</v>
      </c>
      <c r="Z721">
        <f t="shared" si="38"/>
        <v>61480.91147224568</v>
      </c>
    </row>
    <row r="722" spans="12:26" x14ac:dyDescent="0.55000000000000004">
      <c r="L722">
        <v>717</v>
      </c>
      <c r="M722">
        <v>0.21234700000000001</v>
      </c>
      <c r="N722">
        <v>15398.893065</v>
      </c>
      <c r="O722">
        <f t="shared" si="37"/>
        <v>72517.59179550453</v>
      </c>
      <c r="W722">
        <v>717</v>
      </c>
      <c r="X722">
        <v>5.7905999999999999E-2</v>
      </c>
      <c r="Y722">
        <v>3565.831451</v>
      </c>
      <c r="Z722">
        <f t="shared" si="38"/>
        <v>61579.654111836426</v>
      </c>
    </row>
    <row r="723" spans="12:26" x14ac:dyDescent="0.55000000000000004">
      <c r="L723">
        <v>718</v>
      </c>
      <c r="M723">
        <v>0.21234700000000001</v>
      </c>
      <c r="N723">
        <v>15398.892995</v>
      </c>
      <c r="O723">
        <f t="shared" si="37"/>
        <v>72517.59146585541</v>
      </c>
      <c r="W723">
        <v>718</v>
      </c>
      <c r="X723">
        <v>5.7775E-2</v>
      </c>
      <c r="Y723">
        <v>3564.111187</v>
      </c>
      <c r="Z723">
        <f t="shared" si="38"/>
        <v>61689.505616616181</v>
      </c>
    </row>
    <row r="724" spans="12:26" x14ac:dyDescent="0.55000000000000004">
      <c r="L724">
        <v>719</v>
      </c>
      <c r="M724">
        <v>0.21234700000000001</v>
      </c>
      <c r="N724">
        <v>15398.892932999999</v>
      </c>
      <c r="O724">
        <f t="shared" si="37"/>
        <v>72517.591173880486</v>
      </c>
      <c r="W724">
        <v>719</v>
      </c>
      <c r="X724">
        <v>5.7633999999999998E-2</v>
      </c>
      <c r="Y724">
        <v>3562.3931130000001</v>
      </c>
      <c r="Z724">
        <f t="shared" si="38"/>
        <v>61810.617222472851</v>
      </c>
    </row>
    <row r="725" spans="12:26" x14ac:dyDescent="0.55000000000000004">
      <c r="L725">
        <v>720</v>
      </c>
      <c r="M725">
        <v>0.21234700000000001</v>
      </c>
      <c r="N725">
        <v>15398.892879999999</v>
      </c>
      <c r="O725">
        <f t="shared" si="37"/>
        <v>72517.590924289019</v>
      </c>
      <c r="W725">
        <v>720</v>
      </c>
      <c r="X725">
        <v>5.7481999999999998E-2</v>
      </c>
      <c r="Y725">
        <v>3560.6783059999998</v>
      </c>
      <c r="Z725">
        <f t="shared" si="38"/>
        <v>61944.231341985316</v>
      </c>
    </row>
    <row r="726" spans="12:26" x14ac:dyDescent="0.55000000000000004">
      <c r="L726">
        <v>721</v>
      </c>
      <c r="M726">
        <v>0.21234700000000001</v>
      </c>
      <c r="N726">
        <v>15398.892833</v>
      </c>
      <c r="O726">
        <f t="shared" si="37"/>
        <v>72517.590702953181</v>
      </c>
      <c r="W726">
        <v>721</v>
      </c>
      <c r="X726">
        <v>5.7318000000000001E-2</v>
      </c>
      <c r="Y726">
        <v>3558.9678680000002</v>
      </c>
      <c r="Z726">
        <f t="shared" si="38"/>
        <v>62091.626853693429</v>
      </c>
    </row>
    <row r="727" spans="12:26" x14ac:dyDescent="0.55000000000000004">
      <c r="L727">
        <v>722</v>
      </c>
      <c r="M727">
        <v>0.21234700000000001</v>
      </c>
      <c r="N727">
        <v>15398.892793000001</v>
      </c>
      <c r="O727">
        <f t="shared" si="37"/>
        <v>72517.590514582262</v>
      </c>
      <c r="W727">
        <v>722</v>
      </c>
      <c r="X727">
        <v>5.7144E-2</v>
      </c>
      <c r="Y727">
        <v>3557.262925</v>
      </c>
      <c r="Z727">
        <f t="shared" si="38"/>
        <v>62250.856170376595</v>
      </c>
    </row>
    <row r="728" spans="12:26" x14ac:dyDescent="0.55000000000000004">
      <c r="L728">
        <v>723</v>
      </c>
      <c r="M728">
        <v>0.21234700000000001</v>
      </c>
      <c r="N728">
        <v>15398.892758</v>
      </c>
      <c r="O728">
        <f t="shared" si="37"/>
        <v>72517.590349757709</v>
      </c>
      <c r="W728">
        <v>723</v>
      </c>
      <c r="X728">
        <v>5.6957000000000001E-2</v>
      </c>
      <c r="Y728">
        <v>3555.5646240000001</v>
      </c>
      <c r="Z728">
        <f t="shared" si="38"/>
        <v>62425.419597240027</v>
      </c>
    </row>
    <row r="729" spans="12:26" x14ac:dyDescent="0.55000000000000004">
      <c r="L729">
        <v>724</v>
      </c>
      <c r="M729">
        <v>0.21234700000000001</v>
      </c>
      <c r="N729">
        <v>15398.892727</v>
      </c>
      <c r="O729">
        <f t="shared" si="37"/>
        <v>72517.590203770247</v>
      </c>
      <c r="W729">
        <v>724</v>
      </c>
      <c r="X729">
        <v>5.6758000000000003E-2</v>
      </c>
      <c r="Y729">
        <v>3553.8741340000001</v>
      </c>
      <c r="Z729">
        <f t="shared" si="38"/>
        <v>62614.506043200956</v>
      </c>
    </row>
    <row r="730" spans="12:26" x14ac:dyDescent="0.55000000000000004">
      <c r="L730">
        <v>725</v>
      </c>
      <c r="M730">
        <v>0.21234700000000001</v>
      </c>
      <c r="N730">
        <v>15398.892701000001</v>
      </c>
      <c r="O730">
        <f t="shared" si="37"/>
        <v>72517.590081329152</v>
      </c>
      <c r="W730">
        <v>725</v>
      </c>
      <c r="X730">
        <v>5.6547E-2</v>
      </c>
      <c r="Y730">
        <v>3552.192646</v>
      </c>
      <c r="Z730">
        <f t="shared" si="38"/>
        <v>62818.410278175674</v>
      </c>
    </row>
    <row r="731" spans="12:26" x14ac:dyDescent="0.55000000000000004">
      <c r="L731">
        <v>726</v>
      </c>
      <c r="M731">
        <v>0.21234700000000001</v>
      </c>
      <c r="N731">
        <v>15398.892678</v>
      </c>
      <c r="O731">
        <f t="shared" si="37"/>
        <v>72517.589973015871</v>
      </c>
      <c r="W731">
        <v>726</v>
      </c>
      <c r="X731">
        <v>5.6322999999999998E-2</v>
      </c>
      <c r="Y731">
        <v>3550.5213680000002</v>
      </c>
      <c r="Z731">
        <f t="shared" si="38"/>
        <v>63038.569820499622</v>
      </c>
    </row>
    <row r="732" spans="12:26" x14ac:dyDescent="0.55000000000000004">
      <c r="L732">
        <v>727</v>
      </c>
      <c r="M732">
        <v>0.21234700000000001</v>
      </c>
      <c r="N732">
        <v>15398.892658000001</v>
      </c>
      <c r="O732">
        <f t="shared" si="37"/>
        <v>72517.589878830404</v>
      </c>
      <c r="W732">
        <v>727</v>
      </c>
      <c r="X732">
        <v>5.6086999999999998E-2</v>
      </c>
      <c r="Y732">
        <v>3548.8615319999999</v>
      </c>
      <c r="Z732">
        <f t="shared" si="38"/>
        <v>63274.226326956334</v>
      </c>
    </row>
    <row r="733" spans="12:26" x14ac:dyDescent="0.55000000000000004">
      <c r="L733">
        <v>728</v>
      </c>
      <c r="M733">
        <v>0.21234700000000001</v>
      </c>
      <c r="N733">
        <v>15398.892641</v>
      </c>
      <c r="O733">
        <f t="shared" si="37"/>
        <v>72517.589798772766</v>
      </c>
      <c r="W733">
        <v>728</v>
      </c>
      <c r="X733">
        <v>5.5836999999999998E-2</v>
      </c>
      <c r="Y733">
        <v>3547.2143860000001</v>
      </c>
      <c r="Z733">
        <f t="shared" si="38"/>
        <v>63528.025968443864</v>
      </c>
    </row>
    <row r="734" spans="12:26" x14ac:dyDescent="0.55000000000000004">
      <c r="L734">
        <v>729</v>
      </c>
      <c r="M734">
        <v>0.21234700000000001</v>
      </c>
      <c r="N734">
        <v>15398.892626000001</v>
      </c>
      <c r="O734">
        <f t="shared" si="37"/>
        <v>72517.589728133666</v>
      </c>
      <c r="W734">
        <v>729</v>
      </c>
      <c r="X734">
        <v>5.5573999999999998E-2</v>
      </c>
      <c r="Y734">
        <v>3545.581197</v>
      </c>
      <c r="Z734">
        <f t="shared" si="38"/>
        <v>63799.28018497859</v>
      </c>
    </row>
    <row r="735" spans="12:26" x14ac:dyDescent="0.55000000000000004">
      <c r="L735">
        <v>730</v>
      </c>
      <c r="M735">
        <v>0.21234700000000001</v>
      </c>
      <c r="N735">
        <v>15398.892613</v>
      </c>
      <c r="O735">
        <f t="shared" si="37"/>
        <v>72517.589666913118</v>
      </c>
      <c r="W735">
        <v>730</v>
      </c>
      <c r="X735">
        <v>5.5299000000000001E-2</v>
      </c>
      <c r="Y735">
        <v>3543.963248</v>
      </c>
      <c r="Z735">
        <f t="shared" si="38"/>
        <v>64087.293585779131</v>
      </c>
    </row>
    <row r="736" spans="12:26" x14ac:dyDescent="0.55000000000000004">
      <c r="L736">
        <v>731</v>
      </c>
      <c r="M736">
        <v>0.21234700000000001</v>
      </c>
      <c r="N736">
        <v>15398.892602</v>
      </c>
      <c r="O736">
        <f t="shared" si="37"/>
        <v>72517.589615111108</v>
      </c>
      <c r="W736">
        <v>731</v>
      </c>
      <c r="X736">
        <v>5.5010000000000003E-2</v>
      </c>
      <c r="Y736">
        <v>3542.3618379999998</v>
      </c>
      <c r="Z736">
        <f t="shared" si="38"/>
        <v>64394.870714415556</v>
      </c>
    </row>
    <row r="737" spans="12:26" x14ac:dyDescent="0.55000000000000004">
      <c r="L737">
        <v>732</v>
      </c>
      <c r="M737">
        <v>0.21234700000000001</v>
      </c>
      <c r="N737">
        <v>15398.892592</v>
      </c>
      <c r="O737">
        <f t="shared" si="37"/>
        <v>72517.589568018389</v>
      </c>
      <c r="W737">
        <v>732</v>
      </c>
      <c r="X737">
        <v>5.4708E-2</v>
      </c>
      <c r="Y737">
        <v>3540.778284</v>
      </c>
      <c r="Z737">
        <f t="shared" si="38"/>
        <v>64721.398771660453</v>
      </c>
    </row>
    <row r="738" spans="12:26" x14ac:dyDescent="0.55000000000000004">
      <c r="L738">
        <v>733</v>
      </c>
      <c r="M738">
        <v>0.21234700000000001</v>
      </c>
      <c r="N738">
        <v>15398.892583000001</v>
      </c>
      <c r="O738">
        <f t="shared" si="37"/>
        <v>72517.589525634932</v>
      </c>
      <c r="W738">
        <v>733</v>
      </c>
      <c r="X738">
        <v>5.4393999999999998E-2</v>
      </c>
      <c r="Y738">
        <v>3539.2139160000002</v>
      </c>
      <c r="Z738">
        <f t="shared" si="38"/>
        <v>65066.25576350333</v>
      </c>
    </row>
    <row r="739" spans="12:26" x14ac:dyDescent="0.55000000000000004">
      <c r="L739">
        <v>734</v>
      </c>
      <c r="M739">
        <v>0.21234700000000001</v>
      </c>
      <c r="N739">
        <v>15398.892576</v>
      </c>
      <c r="O739">
        <f t="shared" si="37"/>
        <v>72517.589492670013</v>
      </c>
      <c r="W739">
        <v>734</v>
      </c>
      <c r="X739">
        <v>5.4067999999999998E-2</v>
      </c>
      <c r="Y739">
        <v>3537.670075</v>
      </c>
      <c r="Z739">
        <f t="shared" si="38"/>
        <v>65430.015443515578</v>
      </c>
    </row>
    <row r="740" spans="12:26" x14ac:dyDescent="0.55000000000000004">
      <c r="L740">
        <v>735</v>
      </c>
      <c r="M740">
        <v>0.21234700000000001</v>
      </c>
      <c r="N740">
        <v>15398.89257</v>
      </c>
      <c r="O740">
        <f t="shared" si="37"/>
        <v>72517.58946441437</v>
      </c>
      <c r="W740">
        <v>735</v>
      </c>
      <c r="X740">
        <v>5.3728999999999999E-2</v>
      </c>
      <c r="Y740">
        <v>3536.1481199999998</v>
      </c>
      <c r="Z740">
        <f t="shared" si="38"/>
        <v>65814.515810828409</v>
      </c>
    </row>
    <row r="741" spans="12:26" x14ac:dyDescent="0.55000000000000004">
      <c r="L741">
        <v>736</v>
      </c>
      <c r="M741">
        <v>0.21234700000000001</v>
      </c>
      <c r="N741">
        <v>15398.892565</v>
      </c>
      <c r="O741">
        <f t="shared" si="37"/>
        <v>72517.589440868018</v>
      </c>
      <c r="W741">
        <v>736</v>
      </c>
      <c r="X741">
        <v>5.3379000000000003E-2</v>
      </c>
      <c r="Y741">
        <v>3534.6494170000001</v>
      </c>
      <c r="Z741">
        <f t="shared" si="38"/>
        <v>66217.977425579345</v>
      </c>
    </row>
    <row r="742" spans="12:26" x14ac:dyDescent="0.55000000000000004">
      <c r="L742">
        <v>737</v>
      </c>
      <c r="M742">
        <v>0.21234700000000001</v>
      </c>
      <c r="N742">
        <v>15398.89256</v>
      </c>
      <c r="O742">
        <f t="shared" si="37"/>
        <v>72517.589417321651</v>
      </c>
      <c r="W742">
        <v>737</v>
      </c>
      <c r="X742">
        <v>5.3018000000000003E-2</v>
      </c>
      <c r="Y742">
        <v>3533.1753450000001</v>
      </c>
      <c r="Z742">
        <f t="shared" si="38"/>
        <v>66641.052944283074</v>
      </c>
    </row>
    <row r="743" spans="12:26" x14ac:dyDescent="0.55000000000000004">
      <c r="L743">
        <v>738</v>
      </c>
      <c r="M743">
        <v>0.21234700000000001</v>
      </c>
      <c r="N743">
        <v>15398.892556000001</v>
      </c>
      <c r="O743">
        <f t="shared" si="37"/>
        <v>72517.589398484561</v>
      </c>
      <c r="W743">
        <v>738</v>
      </c>
      <c r="X743">
        <v>5.2645999999999998E-2</v>
      </c>
      <c r="Y743">
        <v>3531.7272929999999</v>
      </c>
      <c r="Z743">
        <f t="shared" si="38"/>
        <v>67084.437431143873</v>
      </c>
    </row>
    <row r="744" spans="12:26" x14ac:dyDescent="0.55000000000000004">
      <c r="L744">
        <v>739</v>
      </c>
      <c r="M744">
        <v>0.21234700000000001</v>
      </c>
      <c r="N744">
        <v>15398.892551999999</v>
      </c>
      <c r="O744">
        <f t="shared" si="37"/>
        <v>72517.589379647456</v>
      </c>
      <c r="W744">
        <v>739</v>
      </c>
      <c r="X744">
        <v>5.2264999999999999E-2</v>
      </c>
      <c r="Y744">
        <v>3530.3066570000001</v>
      </c>
      <c r="Z744">
        <f t="shared" si="38"/>
        <v>67546.286367549983</v>
      </c>
    </row>
    <row r="745" spans="12:26" x14ac:dyDescent="0.55000000000000004">
      <c r="L745">
        <v>740</v>
      </c>
      <c r="M745">
        <v>0.21234700000000001</v>
      </c>
      <c r="N745">
        <v>15398.892549</v>
      </c>
      <c r="O745">
        <f t="shared" si="37"/>
        <v>72517.589365519641</v>
      </c>
      <c r="W745">
        <v>740</v>
      </c>
      <c r="X745">
        <v>5.1874000000000003E-2</v>
      </c>
      <c r="Y745">
        <v>3528.9148439999999</v>
      </c>
      <c r="Z745">
        <f t="shared" si="38"/>
        <v>68028.585495624007</v>
      </c>
    </row>
    <row r="746" spans="12:26" x14ac:dyDescent="0.55000000000000004">
      <c r="L746">
        <v>741</v>
      </c>
      <c r="M746">
        <v>0.21234700000000001</v>
      </c>
      <c r="N746">
        <v>15398.892546999999</v>
      </c>
      <c r="O746">
        <f t="shared" si="37"/>
        <v>72517.589356101089</v>
      </c>
      <c r="W746">
        <v>741</v>
      </c>
      <c r="X746">
        <v>5.1475E-2</v>
      </c>
      <c r="Y746">
        <v>3527.5532659999999</v>
      </c>
      <c r="Z746">
        <f t="shared" si="38"/>
        <v>68529.446644001946</v>
      </c>
    </row>
    <row r="747" spans="12:26" x14ac:dyDescent="0.55000000000000004">
      <c r="L747">
        <v>742</v>
      </c>
      <c r="M747">
        <v>0.21234700000000001</v>
      </c>
      <c r="N747">
        <v>15398.892545000001</v>
      </c>
      <c r="O747">
        <f t="shared" si="37"/>
        <v>72517.589346682551</v>
      </c>
      <c r="W747">
        <v>742</v>
      </c>
      <c r="X747">
        <v>5.1069000000000003E-2</v>
      </c>
      <c r="Y747">
        <v>3526.2233390000001</v>
      </c>
      <c r="Z747">
        <f t="shared" si="38"/>
        <v>69048.21592355441</v>
      </c>
    </row>
    <row r="748" spans="12:26" x14ac:dyDescent="0.55000000000000004">
      <c r="L748">
        <v>743</v>
      </c>
      <c r="M748">
        <v>0.21234700000000001</v>
      </c>
      <c r="N748">
        <v>15398.892543</v>
      </c>
      <c r="O748">
        <f t="shared" si="37"/>
        <v>72517.589337263998</v>
      </c>
      <c r="W748">
        <v>743</v>
      </c>
      <c r="X748">
        <v>5.0656E-2</v>
      </c>
      <c r="Y748">
        <v>3524.9264870000002</v>
      </c>
      <c r="Z748">
        <f t="shared" si="38"/>
        <v>69585.567099652559</v>
      </c>
    </row>
    <row r="749" spans="12:26" x14ac:dyDescent="0.55000000000000004">
      <c r="L749">
        <v>744</v>
      </c>
      <c r="M749">
        <v>0.21234700000000001</v>
      </c>
      <c r="N749">
        <v>15398.892540999999</v>
      </c>
      <c r="O749">
        <f t="shared" si="37"/>
        <v>72517.589327845461</v>
      </c>
      <c r="W749">
        <v>744</v>
      </c>
      <c r="X749">
        <v>5.0236999999999997E-2</v>
      </c>
      <c r="Y749">
        <v>3523.6641370000002</v>
      </c>
      <c r="Z749">
        <f t="shared" si="38"/>
        <v>70140.81527559369</v>
      </c>
    </row>
    <row r="750" spans="12:26" x14ac:dyDescent="0.55000000000000004">
      <c r="L750">
        <v>745</v>
      </c>
      <c r="M750">
        <v>0.21234700000000001</v>
      </c>
      <c r="N750">
        <v>15398.892539</v>
      </c>
      <c r="O750">
        <f t="shared" si="37"/>
        <v>72517.589318426908</v>
      </c>
      <c r="W750">
        <v>745</v>
      </c>
      <c r="X750">
        <v>4.9813999999999997E-2</v>
      </c>
      <c r="Y750">
        <v>3522.4377169999998</v>
      </c>
      <c r="Z750">
        <f t="shared" si="38"/>
        <v>70711.802244348975</v>
      </c>
    </row>
    <row r="751" spans="12:26" x14ac:dyDescent="0.55000000000000004">
      <c r="L751">
        <v>746</v>
      </c>
      <c r="M751">
        <v>0.21234700000000001</v>
      </c>
      <c r="N751">
        <v>15398.892538</v>
      </c>
      <c r="O751">
        <f t="shared" si="37"/>
        <v>72517.589313717632</v>
      </c>
      <c r="W751">
        <v>746</v>
      </c>
      <c r="X751">
        <v>4.9387E-2</v>
      </c>
      <c r="Y751">
        <v>3521.2486560000002</v>
      </c>
      <c r="Z751">
        <f t="shared" si="38"/>
        <v>71299.100087067447</v>
      </c>
    </row>
    <row r="752" spans="12:26" x14ac:dyDescent="0.55000000000000004">
      <c r="L752">
        <v>747</v>
      </c>
      <c r="M752">
        <v>0.21234700000000001</v>
      </c>
      <c r="N752">
        <v>15398.892537</v>
      </c>
      <c r="O752">
        <f t="shared" si="37"/>
        <v>72517.58930900837</v>
      </c>
      <c r="W752">
        <v>747</v>
      </c>
      <c r="X752">
        <v>4.8958000000000002E-2</v>
      </c>
      <c r="Y752">
        <v>3520.0983930000002</v>
      </c>
      <c r="Z752">
        <f t="shared" si="38"/>
        <v>71900.371604232205</v>
      </c>
    </row>
    <row r="753" spans="12:26" x14ac:dyDescent="0.55000000000000004">
      <c r="L753">
        <v>748</v>
      </c>
      <c r="M753">
        <v>0.21234700000000001</v>
      </c>
      <c r="N753">
        <v>15398.892535999999</v>
      </c>
      <c r="O753">
        <f t="shared" si="37"/>
        <v>72517.589304299094</v>
      </c>
      <c r="W753">
        <v>748</v>
      </c>
      <c r="X753">
        <v>4.8528000000000002E-2</v>
      </c>
      <c r="Y753">
        <v>3518.9884889999998</v>
      </c>
      <c r="Z753">
        <f t="shared" si="38"/>
        <v>72514.599591988124</v>
      </c>
    </row>
    <row r="754" spans="12:26" x14ac:dyDescent="0.55000000000000004">
      <c r="L754">
        <v>749</v>
      </c>
      <c r="M754">
        <v>0.21234700000000001</v>
      </c>
      <c r="N754">
        <v>15398.892535000001</v>
      </c>
      <c r="O754">
        <f t="shared" si="37"/>
        <v>72517.589299589818</v>
      </c>
      <c r="W754">
        <v>749</v>
      </c>
      <c r="X754">
        <v>4.8097000000000001E-2</v>
      </c>
      <c r="Y754">
        <v>3517.918001</v>
      </c>
      <c r="Z754">
        <f t="shared" si="38"/>
        <v>73142.150258851907</v>
      </c>
    </row>
    <row r="755" spans="12:26" x14ac:dyDescent="0.55000000000000004">
      <c r="L755">
        <v>750</v>
      </c>
      <c r="M755">
        <v>0.21234700000000001</v>
      </c>
      <c r="N755">
        <v>15398.892534000001</v>
      </c>
      <c r="O755">
        <f t="shared" si="37"/>
        <v>72517.589294880556</v>
      </c>
      <c r="W755">
        <v>750</v>
      </c>
      <c r="X755">
        <v>4.7667000000000001E-2</v>
      </c>
      <c r="Y755">
        <v>3516.9111939999998</v>
      </c>
      <c r="Z755">
        <f t="shared" si="38"/>
        <v>73780.837770365237</v>
      </c>
    </row>
    <row r="756" spans="12:26" x14ac:dyDescent="0.55000000000000004">
      <c r="L756">
        <v>751</v>
      </c>
      <c r="M756">
        <v>0.21234700000000001</v>
      </c>
      <c r="N756">
        <v>15398.892533</v>
      </c>
      <c r="O756">
        <f t="shared" si="37"/>
        <v>72517.58929017128</v>
      </c>
      <c r="W756">
        <v>751</v>
      </c>
      <c r="X756">
        <v>4.7236E-2</v>
      </c>
      <c r="Y756">
        <v>3515.838268</v>
      </c>
      <c r="Z756">
        <f t="shared" si="38"/>
        <v>74431.329240409861</v>
      </c>
    </row>
    <row r="757" spans="12:26" x14ac:dyDescent="0.55000000000000004">
      <c r="L757">
        <v>752</v>
      </c>
      <c r="M757">
        <v>0.21234700000000001</v>
      </c>
      <c r="N757">
        <v>15398.892532</v>
      </c>
      <c r="O757">
        <f t="shared" si="37"/>
        <v>72517.589285462003</v>
      </c>
      <c r="W757">
        <v>752</v>
      </c>
      <c r="X757">
        <v>4.6804999999999999E-2</v>
      </c>
      <c r="Y757">
        <v>3514.7235209999999</v>
      </c>
      <c r="Z757">
        <f t="shared" si="38"/>
        <v>75092.907189402846</v>
      </c>
    </row>
    <row r="758" spans="12:26" x14ac:dyDescent="0.55000000000000004">
      <c r="L758">
        <v>753</v>
      </c>
      <c r="M758">
        <v>0.21234700000000001</v>
      </c>
      <c r="N758">
        <v>15398.892532</v>
      </c>
      <c r="O758">
        <f t="shared" si="37"/>
        <v>72517.589285462003</v>
      </c>
      <c r="W758">
        <v>753</v>
      </c>
      <c r="X758">
        <v>4.6373999999999999E-2</v>
      </c>
      <c r="Y758">
        <v>3513.5660379999999</v>
      </c>
      <c r="Z758">
        <f t="shared" si="38"/>
        <v>75765.86099969811</v>
      </c>
    </row>
    <row r="759" spans="12:26" x14ac:dyDescent="0.55000000000000004">
      <c r="L759">
        <v>754</v>
      </c>
      <c r="M759">
        <v>0.21234700000000001</v>
      </c>
      <c r="N759">
        <v>15398.892531</v>
      </c>
      <c r="O759">
        <f t="shared" si="37"/>
        <v>72517.589280752727</v>
      </c>
      <c r="W759">
        <v>754</v>
      </c>
      <c r="X759">
        <v>4.5946000000000001E-2</v>
      </c>
      <c r="Y759">
        <v>3512.3674129999999</v>
      </c>
      <c r="Z759">
        <f t="shared" si="38"/>
        <v>76445.553758760288</v>
      </c>
    </row>
    <row r="760" spans="12:26" x14ac:dyDescent="0.55000000000000004">
      <c r="L760">
        <v>755</v>
      </c>
      <c r="M760">
        <v>0.21234700000000001</v>
      </c>
      <c r="N760">
        <v>15398.892529999999</v>
      </c>
      <c r="O760">
        <f t="shared" si="37"/>
        <v>72517.589276043451</v>
      </c>
      <c r="W760">
        <v>755</v>
      </c>
      <c r="X760">
        <v>4.5519999999999998E-2</v>
      </c>
      <c r="Y760">
        <v>3511.1291160000001</v>
      </c>
      <c r="Z760">
        <f t="shared" si="38"/>
        <v>77133.767926186294</v>
      </c>
    </row>
    <row r="761" spans="12:26" x14ac:dyDescent="0.55000000000000004">
      <c r="L761">
        <v>756</v>
      </c>
      <c r="M761">
        <v>0.21234700000000001</v>
      </c>
      <c r="N761">
        <v>15398.892529000001</v>
      </c>
      <c r="O761">
        <f t="shared" si="37"/>
        <v>72517.589271334189</v>
      </c>
      <c r="W761">
        <v>756</v>
      </c>
      <c r="X761">
        <v>4.5099E-2</v>
      </c>
      <c r="Y761">
        <v>3509.8526099999999</v>
      </c>
      <c r="Z761">
        <f t="shared" si="38"/>
        <v>77825.508547861376</v>
      </c>
    </row>
    <row r="762" spans="12:26" x14ac:dyDescent="0.55000000000000004">
      <c r="L762">
        <v>757</v>
      </c>
      <c r="M762">
        <v>0.21234700000000001</v>
      </c>
      <c r="N762">
        <v>15398.892528</v>
      </c>
      <c r="O762">
        <f t="shared" si="37"/>
        <v>72517.589266624913</v>
      </c>
      <c r="W762">
        <v>757</v>
      </c>
      <c r="X762">
        <v>4.4684000000000001E-2</v>
      </c>
      <c r="Y762">
        <v>3508.5393589999999</v>
      </c>
      <c r="Z762">
        <f t="shared" si="38"/>
        <v>78518.918606212508</v>
      </c>
    </row>
    <row r="763" spans="12:26" x14ac:dyDescent="0.55000000000000004">
      <c r="L763">
        <v>758</v>
      </c>
      <c r="M763">
        <v>0.21234700000000001</v>
      </c>
      <c r="N763">
        <v>15398.892527</v>
      </c>
      <c r="O763">
        <f t="shared" si="37"/>
        <v>72517.589261915637</v>
      </c>
      <c r="W763">
        <v>758</v>
      </c>
      <c r="X763">
        <v>4.4274000000000001E-2</v>
      </c>
      <c r="Y763">
        <v>3507.190826</v>
      </c>
      <c r="Z763">
        <f t="shared" si="38"/>
        <v>79215.585354835799</v>
      </c>
    </row>
    <row r="764" spans="12:26" x14ac:dyDescent="0.55000000000000004">
      <c r="L764">
        <v>759</v>
      </c>
      <c r="M764">
        <v>0.21234700000000001</v>
      </c>
      <c r="N764">
        <v>15398.892524999999</v>
      </c>
      <c r="O764">
        <f t="shared" si="37"/>
        <v>72517.589252497084</v>
      </c>
      <c r="W764">
        <v>759</v>
      </c>
      <c r="X764">
        <v>4.3872000000000001E-2</v>
      </c>
      <c r="Y764">
        <v>3505.8084720000002</v>
      </c>
      <c r="Z764">
        <f t="shared" si="38"/>
        <v>79909.93052516412</v>
      </c>
    </row>
    <row r="765" spans="12:26" x14ac:dyDescent="0.55000000000000004">
      <c r="L765">
        <v>760</v>
      </c>
      <c r="M765">
        <v>0.21234700000000001</v>
      </c>
      <c r="N765">
        <v>15398.892524000001</v>
      </c>
      <c r="O765">
        <f t="shared" si="37"/>
        <v>72517.589247787822</v>
      </c>
      <c r="W765">
        <v>760</v>
      </c>
      <c r="X765">
        <v>4.3478999999999997E-2</v>
      </c>
      <c r="Y765">
        <v>3504.3937529999998</v>
      </c>
      <c r="Z765">
        <f t="shared" si="38"/>
        <v>80599.686124335887</v>
      </c>
    </row>
    <row r="766" spans="12:26" x14ac:dyDescent="0.55000000000000004">
      <c r="L766">
        <v>761</v>
      </c>
      <c r="M766">
        <v>0.21234700000000001</v>
      </c>
      <c r="N766">
        <v>15398.892522</v>
      </c>
      <c r="O766">
        <f t="shared" si="37"/>
        <v>72517.58923836927</v>
      </c>
      <c r="W766">
        <v>761</v>
      </c>
      <c r="X766">
        <v>4.3094E-2</v>
      </c>
      <c r="Y766">
        <v>3502.9481190000001</v>
      </c>
      <c r="Z766">
        <f t="shared" si="38"/>
        <v>81286.214298974344</v>
      </c>
    </row>
    <row r="767" spans="12:26" x14ac:dyDescent="0.55000000000000004">
      <c r="L767">
        <v>762</v>
      </c>
      <c r="M767">
        <v>0.21234700000000001</v>
      </c>
      <c r="N767">
        <v>15398.892521</v>
      </c>
      <c r="O767">
        <f t="shared" si="37"/>
        <v>72517.589233659994</v>
      </c>
      <c r="W767">
        <v>762</v>
      </c>
      <c r="X767">
        <v>4.2717999999999999E-2</v>
      </c>
      <c r="Y767">
        <v>3501.4730169999998</v>
      </c>
      <c r="Z767">
        <f t="shared" si="38"/>
        <v>81967.157100051496</v>
      </c>
    </row>
    <row r="768" spans="12:26" x14ac:dyDescent="0.55000000000000004">
      <c r="L768">
        <v>763</v>
      </c>
      <c r="M768">
        <v>0.21234700000000001</v>
      </c>
      <c r="N768">
        <v>15398.892519000001</v>
      </c>
      <c r="O768">
        <f t="shared" si="37"/>
        <v>72517.589224241456</v>
      </c>
      <c r="W768">
        <v>763</v>
      </c>
      <c r="X768">
        <v>4.2354000000000003E-2</v>
      </c>
      <c r="Y768">
        <v>3499.969885</v>
      </c>
      <c r="Z768">
        <f t="shared" si="38"/>
        <v>82636.111937479334</v>
      </c>
    </row>
    <row r="769" spans="12:26" x14ac:dyDescent="0.55000000000000004">
      <c r="L769">
        <v>764</v>
      </c>
      <c r="M769">
        <v>0.21234700000000001</v>
      </c>
      <c r="N769">
        <v>15398.892516</v>
      </c>
      <c r="O769">
        <f t="shared" si="37"/>
        <v>72517.589210113627</v>
      </c>
      <c r="W769">
        <v>764</v>
      </c>
      <c r="X769">
        <v>4.2000000000000003E-2</v>
      </c>
      <c r="Y769">
        <v>3498.440153</v>
      </c>
      <c r="Z769">
        <f t="shared" si="38"/>
        <v>83296.194119047621</v>
      </c>
    </row>
    <row r="770" spans="12:26" x14ac:dyDescent="0.55000000000000004">
      <c r="L770">
        <v>765</v>
      </c>
      <c r="M770">
        <v>0.21234700000000001</v>
      </c>
      <c r="N770">
        <v>15398.892513000001</v>
      </c>
      <c r="O770">
        <f t="shared" si="37"/>
        <v>72517.589195985813</v>
      </c>
      <c r="W770">
        <v>765</v>
      </c>
      <c r="X770">
        <v>4.1657E-2</v>
      </c>
      <c r="Y770">
        <v>3496.885241</v>
      </c>
      <c r="Z770">
        <f t="shared" si="38"/>
        <v>83944.720959262544</v>
      </c>
    </row>
    <row r="771" spans="12:26" x14ac:dyDescent="0.55000000000000004">
      <c r="L771">
        <v>766</v>
      </c>
      <c r="M771">
        <v>0.21234700000000001</v>
      </c>
      <c r="N771">
        <v>15398.89251</v>
      </c>
      <c r="O771">
        <f t="shared" si="37"/>
        <v>72517.589181857998</v>
      </c>
      <c r="W771">
        <v>766</v>
      </c>
      <c r="X771">
        <v>4.1327000000000003E-2</v>
      </c>
      <c r="Y771">
        <v>3495.3065590000001</v>
      </c>
      <c r="Z771">
        <f t="shared" si="38"/>
        <v>84576.82771553706</v>
      </c>
    </row>
    <row r="772" spans="12:26" x14ac:dyDescent="0.55000000000000004">
      <c r="L772">
        <v>767</v>
      </c>
      <c r="M772">
        <v>0.21234700000000001</v>
      </c>
      <c r="N772">
        <v>15398.892507</v>
      </c>
      <c r="O772">
        <f t="shared" si="37"/>
        <v>72517.589167730184</v>
      </c>
      <c r="W772">
        <v>767</v>
      </c>
      <c r="X772">
        <v>4.1008999999999997E-2</v>
      </c>
      <c r="Y772">
        <v>3493.7055070000001</v>
      </c>
      <c r="Z772">
        <f t="shared" si="38"/>
        <v>85193.628398644214</v>
      </c>
    </row>
    <row r="773" spans="12:26" x14ac:dyDescent="0.55000000000000004">
      <c r="L773">
        <v>768</v>
      </c>
      <c r="M773">
        <v>0.21234700000000001</v>
      </c>
      <c r="N773">
        <v>15398.892502000001</v>
      </c>
      <c r="O773">
        <f t="shared" si="37"/>
        <v>72517.589144183818</v>
      </c>
      <c r="W773">
        <v>768</v>
      </c>
      <c r="X773">
        <v>4.0703999999999997E-2</v>
      </c>
      <c r="Y773">
        <v>3492.08347</v>
      </c>
      <c r="Z773">
        <f t="shared" si="38"/>
        <v>85792.144998034593</v>
      </c>
    </row>
    <row r="774" spans="12:26" x14ac:dyDescent="0.55000000000000004">
      <c r="L774">
        <v>769</v>
      </c>
      <c r="M774">
        <v>0.21234700000000001</v>
      </c>
      <c r="N774">
        <v>15398.892497000001</v>
      </c>
      <c r="O774">
        <f t="shared" ref="O774:O837" si="39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8"/>
        <v>86373.557249263802</v>
      </c>
    </row>
    <row r="775" spans="12:26" x14ac:dyDescent="0.55000000000000004">
      <c r="L775">
        <v>770</v>
      </c>
      <c r="M775">
        <v>0.21234700000000001</v>
      </c>
      <c r="N775">
        <v>15398.892492000001</v>
      </c>
      <c r="O775">
        <f t="shared" si="39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40">Y775/X775</f>
        <v>86932.670188378353</v>
      </c>
    </row>
    <row r="776" spans="12:26" x14ac:dyDescent="0.55000000000000004">
      <c r="L776">
        <v>771</v>
      </c>
      <c r="M776">
        <v>0.21234700000000001</v>
      </c>
      <c r="N776">
        <v>15398.892485</v>
      </c>
      <c r="O776">
        <f t="shared" si="39"/>
        <v>72517.589064126165</v>
      </c>
      <c r="W776">
        <v>771</v>
      </c>
      <c r="X776">
        <v>3.9865999999999999E-2</v>
      </c>
      <c r="Y776">
        <v>3487.1051069999999</v>
      </c>
      <c r="Z776">
        <f t="shared" si="40"/>
        <v>87470.654367129886</v>
      </c>
    </row>
    <row r="777" spans="12:26" x14ac:dyDescent="0.55000000000000004">
      <c r="L777">
        <v>772</v>
      </c>
      <c r="M777">
        <v>0.21234700000000001</v>
      </c>
      <c r="N777">
        <v>15398.892478</v>
      </c>
      <c r="O777">
        <f t="shared" si="39"/>
        <v>72517.58903116126</v>
      </c>
      <c r="W777">
        <v>772</v>
      </c>
      <c r="X777">
        <v>3.9613000000000002E-2</v>
      </c>
      <c r="Y777">
        <v>3485.4127100000001</v>
      </c>
      <c r="Z777">
        <f t="shared" si="40"/>
        <v>87986.587988791551</v>
      </c>
    </row>
    <row r="778" spans="12:26" x14ac:dyDescent="0.55000000000000004">
      <c r="L778">
        <v>773</v>
      </c>
      <c r="M778">
        <v>0.21234700000000001</v>
      </c>
      <c r="N778">
        <v>15398.892469</v>
      </c>
      <c r="O778">
        <f t="shared" si="39"/>
        <v>72517.588988777803</v>
      </c>
      <c r="W778">
        <v>773</v>
      </c>
      <c r="X778">
        <v>3.9371999999999997E-2</v>
      </c>
      <c r="Y778">
        <v>3483.706036</v>
      </c>
      <c r="Z778">
        <f t="shared" si="40"/>
        <v>88481.815401808402</v>
      </c>
    </row>
    <row r="779" spans="12:26" x14ac:dyDescent="0.55000000000000004">
      <c r="L779">
        <v>774</v>
      </c>
      <c r="M779">
        <v>0.21234700000000001</v>
      </c>
      <c r="N779">
        <v>15398.892459000001</v>
      </c>
      <c r="O779">
        <f t="shared" si="39"/>
        <v>72517.58894168507</v>
      </c>
      <c r="W779">
        <v>774</v>
      </c>
      <c r="X779">
        <v>3.9144999999999999E-2</v>
      </c>
      <c r="Y779">
        <v>3481.9863770000002</v>
      </c>
      <c r="Z779">
        <f t="shared" si="40"/>
        <v>88950.986767147784</v>
      </c>
    </row>
    <row r="780" spans="12:26" x14ac:dyDescent="0.55000000000000004">
      <c r="L780">
        <v>775</v>
      </c>
      <c r="M780">
        <v>0.21234700000000001</v>
      </c>
      <c r="N780">
        <v>15398.892447</v>
      </c>
      <c r="O780">
        <f t="shared" si="39"/>
        <v>72517.588885173798</v>
      </c>
      <c r="W780">
        <v>775</v>
      </c>
      <c r="X780">
        <v>3.8931E-2</v>
      </c>
      <c r="Y780">
        <v>3480.2550030000002</v>
      </c>
      <c r="Z780">
        <f t="shared" si="40"/>
        <v>89395.468983586354</v>
      </c>
    </row>
    <row r="781" spans="12:26" x14ac:dyDescent="0.55000000000000004">
      <c r="L781">
        <v>776</v>
      </c>
      <c r="M781">
        <v>0.21234700000000001</v>
      </c>
      <c r="N781">
        <v>15398.892433999999</v>
      </c>
      <c r="O781">
        <f t="shared" si="39"/>
        <v>72517.588823953236</v>
      </c>
      <c r="W781">
        <v>776</v>
      </c>
      <c r="X781">
        <v>3.8729E-2</v>
      </c>
      <c r="Y781">
        <v>3478.513164</v>
      </c>
      <c r="Z781">
        <f t="shared" si="40"/>
        <v>89816.7565390276</v>
      </c>
    </row>
    <row r="782" spans="12:26" x14ac:dyDescent="0.55000000000000004">
      <c r="L782">
        <v>777</v>
      </c>
      <c r="M782">
        <v>0.21234700000000001</v>
      </c>
      <c r="N782">
        <v>15398.892419</v>
      </c>
      <c r="O782">
        <f t="shared" si="39"/>
        <v>72517.58875331415</v>
      </c>
      <c r="W782">
        <v>777</v>
      </c>
      <c r="X782">
        <v>3.8539999999999998E-2</v>
      </c>
      <c r="Y782">
        <v>3476.7620910000001</v>
      </c>
      <c r="Z782">
        <f t="shared" si="40"/>
        <v>90211.782330046713</v>
      </c>
    </row>
    <row r="783" spans="12:26" x14ac:dyDescent="0.55000000000000004">
      <c r="L783">
        <v>778</v>
      </c>
      <c r="M783">
        <v>0.21234700000000001</v>
      </c>
      <c r="N783">
        <v>15398.892400999999</v>
      </c>
      <c r="O783">
        <f t="shared" si="39"/>
        <v>72517.588668547236</v>
      </c>
      <c r="W783">
        <v>778</v>
      </c>
      <c r="X783">
        <v>3.8362E-2</v>
      </c>
      <c r="Y783">
        <v>3475.0029909999998</v>
      </c>
      <c r="Z783">
        <f t="shared" si="40"/>
        <v>90584.510479119956</v>
      </c>
    </row>
    <row r="784" spans="12:26" x14ac:dyDescent="0.55000000000000004">
      <c r="L784">
        <v>779</v>
      </c>
      <c r="M784">
        <v>0.21234700000000001</v>
      </c>
      <c r="N784">
        <v>15398.892381</v>
      </c>
      <c r="O784">
        <f t="shared" si="39"/>
        <v>72517.588574361769</v>
      </c>
      <c r="W784">
        <v>779</v>
      </c>
      <c r="X784">
        <v>3.8197000000000002E-2</v>
      </c>
      <c r="Y784">
        <v>3473.237048</v>
      </c>
      <c r="Z784">
        <f t="shared" si="40"/>
        <v>90929.57687776527</v>
      </c>
    </row>
    <row r="785" spans="12:26" x14ac:dyDescent="0.55000000000000004">
      <c r="L785">
        <v>780</v>
      </c>
      <c r="M785">
        <v>0.21234700000000001</v>
      </c>
      <c r="N785">
        <v>15398.892357999999</v>
      </c>
      <c r="O785">
        <f t="shared" si="39"/>
        <v>72517.588466048488</v>
      </c>
      <c r="W785">
        <v>780</v>
      </c>
      <c r="X785">
        <v>3.8041999999999999E-2</v>
      </c>
      <c r="Y785">
        <v>3471.465424</v>
      </c>
      <c r="Z785">
        <f t="shared" si="40"/>
        <v>91253.49413805794</v>
      </c>
    </row>
    <row r="786" spans="12:26" x14ac:dyDescent="0.55000000000000004">
      <c r="L786">
        <v>781</v>
      </c>
      <c r="M786">
        <v>0.21234700000000001</v>
      </c>
      <c r="N786">
        <v>15398.892330999999</v>
      </c>
      <c r="O786">
        <f t="shared" si="39"/>
        <v>72517.588338898116</v>
      </c>
      <c r="W786">
        <v>781</v>
      </c>
      <c r="X786">
        <v>3.7898000000000001E-2</v>
      </c>
      <c r="Y786">
        <v>3469.6892549999998</v>
      </c>
      <c r="Z786">
        <f t="shared" si="40"/>
        <v>91553.360467570834</v>
      </c>
    </row>
    <row r="787" spans="12:26" x14ac:dyDescent="0.55000000000000004">
      <c r="L787">
        <v>782</v>
      </c>
      <c r="M787">
        <v>0.21234700000000001</v>
      </c>
      <c r="N787">
        <v>15398.892301</v>
      </c>
      <c r="O787">
        <f t="shared" si="39"/>
        <v>72517.588197619931</v>
      </c>
      <c r="W787">
        <v>782</v>
      </c>
      <c r="X787">
        <v>3.7765E-2</v>
      </c>
      <c r="Y787">
        <v>3467.9096549999999</v>
      </c>
      <c r="Z787">
        <f t="shared" si="40"/>
        <v>91828.668211306765</v>
      </c>
    </row>
    <row r="788" spans="12:26" x14ac:dyDescent="0.55000000000000004">
      <c r="L788">
        <v>783</v>
      </c>
      <c r="M788">
        <v>0.21234700000000001</v>
      </c>
      <c r="N788">
        <v>15398.892265</v>
      </c>
      <c r="O788">
        <f t="shared" si="39"/>
        <v>72517.588028086102</v>
      </c>
      <c r="W788">
        <v>783</v>
      </c>
      <c r="X788">
        <v>3.7641000000000001E-2</v>
      </c>
      <c r="Y788">
        <v>3466.127708</v>
      </c>
      <c r="Z788">
        <f t="shared" si="40"/>
        <v>92083.836986264971</v>
      </c>
    </row>
    <row r="789" spans="12:26" x14ac:dyDescent="0.55000000000000004">
      <c r="L789">
        <v>784</v>
      </c>
      <c r="M789">
        <v>0.21234700000000001</v>
      </c>
      <c r="N789">
        <v>15398.892225</v>
      </c>
      <c r="O789">
        <f t="shared" si="39"/>
        <v>72517.587839715183</v>
      </c>
      <c r="W789">
        <v>784</v>
      </c>
      <c r="X789">
        <v>3.7527999999999999E-2</v>
      </c>
      <c r="Y789">
        <v>3464.344474</v>
      </c>
      <c r="Z789">
        <f t="shared" si="40"/>
        <v>92313.591824770847</v>
      </c>
    </row>
    <row r="790" spans="12:26" x14ac:dyDescent="0.55000000000000004">
      <c r="L790">
        <v>785</v>
      </c>
      <c r="M790">
        <v>0.21234700000000001</v>
      </c>
      <c r="N790">
        <v>15398.892179</v>
      </c>
      <c r="O790">
        <f t="shared" si="39"/>
        <v>72517.587623088621</v>
      </c>
      <c r="W790">
        <v>785</v>
      </c>
      <c r="X790">
        <v>3.7422999999999998E-2</v>
      </c>
      <c r="Y790">
        <v>3462.560986</v>
      </c>
      <c r="Z790">
        <f t="shared" si="40"/>
        <v>92524.944178713631</v>
      </c>
    </row>
    <row r="791" spans="12:26" x14ac:dyDescent="0.55000000000000004">
      <c r="L791">
        <v>786</v>
      </c>
      <c r="M791">
        <v>0.21234700000000001</v>
      </c>
      <c r="N791">
        <v>15398.892126000001</v>
      </c>
      <c r="O791">
        <f t="shared" si="39"/>
        <v>72517.587373497154</v>
      </c>
      <c r="W791">
        <v>786</v>
      </c>
      <c r="X791">
        <v>3.7325999999999998E-2</v>
      </c>
      <c r="Y791">
        <v>3460.7782470000002</v>
      </c>
      <c r="Z791">
        <f t="shared" si="40"/>
        <v>92717.629721909674</v>
      </c>
    </row>
    <row r="792" spans="12:26" x14ac:dyDescent="0.55000000000000004">
      <c r="L792">
        <v>787</v>
      </c>
      <c r="M792">
        <v>0.21234700000000001</v>
      </c>
      <c r="N792">
        <v>15398.892066</v>
      </c>
      <c r="O792">
        <f t="shared" si="39"/>
        <v>72517.587090940768</v>
      </c>
      <c r="W792">
        <v>787</v>
      </c>
      <c r="X792">
        <v>3.7238E-2</v>
      </c>
      <c r="Y792">
        <v>3458.9972349999998</v>
      </c>
      <c r="Z792">
        <f t="shared" si="40"/>
        <v>92888.910118695945</v>
      </c>
    </row>
    <row r="793" spans="12:26" x14ac:dyDescent="0.55000000000000004">
      <c r="L793">
        <v>788</v>
      </c>
      <c r="M793">
        <v>0.21234700000000001</v>
      </c>
      <c r="N793">
        <v>15398.891997000001</v>
      </c>
      <c r="O793">
        <f t="shared" si="39"/>
        <v>72517.586766000939</v>
      </c>
      <c r="W793">
        <v>788</v>
      </c>
      <c r="X793">
        <v>3.7157000000000003E-2</v>
      </c>
      <c r="Y793">
        <v>3457.2188970000002</v>
      </c>
      <c r="Z793">
        <f t="shared" si="40"/>
        <v>93043.542185860002</v>
      </c>
    </row>
    <row r="794" spans="12:26" x14ac:dyDescent="0.55000000000000004">
      <c r="L794">
        <v>789</v>
      </c>
      <c r="M794">
        <v>0.21234700000000001</v>
      </c>
      <c r="N794">
        <v>15398.891917999999</v>
      </c>
      <c r="O794">
        <f t="shared" si="39"/>
        <v>72517.586393968362</v>
      </c>
      <c r="W794">
        <v>789</v>
      </c>
      <c r="X794">
        <v>3.7083999999999999E-2</v>
      </c>
      <c r="Y794">
        <v>3455.4441499999998</v>
      </c>
      <c r="Z794">
        <f t="shared" si="40"/>
        <v>93178.841279257904</v>
      </c>
    </row>
    <row r="795" spans="12:26" x14ac:dyDescent="0.55000000000000004">
      <c r="L795">
        <v>790</v>
      </c>
      <c r="M795">
        <v>0.21234700000000001</v>
      </c>
      <c r="N795">
        <v>15398.891828</v>
      </c>
      <c r="O795">
        <f t="shared" si="39"/>
        <v>72517.58597013379</v>
      </c>
      <c r="W795">
        <v>790</v>
      </c>
      <c r="X795">
        <v>3.7017000000000001E-2</v>
      </c>
      <c r="Y795">
        <v>3453.6738810000002</v>
      </c>
      <c r="Z795">
        <f t="shared" si="40"/>
        <v>93299.669908420459</v>
      </c>
    </row>
    <row r="796" spans="12:26" x14ac:dyDescent="0.55000000000000004">
      <c r="L796">
        <v>791</v>
      </c>
      <c r="M796">
        <v>0.21234700000000001</v>
      </c>
      <c r="N796">
        <v>15398.891724999999</v>
      </c>
      <c r="O796">
        <f t="shared" si="39"/>
        <v>72517.585485078656</v>
      </c>
      <c r="W796">
        <v>791</v>
      </c>
      <c r="X796">
        <v>3.6956000000000003E-2</v>
      </c>
      <c r="Y796">
        <v>3451.9089479999998</v>
      </c>
      <c r="Z796">
        <f t="shared" si="40"/>
        <v>93405.913735252718</v>
      </c>
    </row>
    <row r="797" spans="12:26" x14ac:dyDescent="0.55000000000000004">
      <c r="L797">
        <v>792</v>
      </c>
      <c r="M797">
        <v>0.21234700000000001</v>
      </c>
      <c r="N797">
        <v>15398.891608</v>
      </c>
      <c r="O797">
        <f t="shared" si="39"/>
        <v>72517.584934093727</v>
      </c>
      <c r="W797">
        <v>792</v>
      </c>
      <c r="X797">
        <v>3.6901000000000003E-2</v>
      </c>
      <c r="Y797">
        <v>3450.150177</v>
      </c>
      <c r="Z797">
        <f t="shared" si="40"/>
        <v>93497.470989946058</v>
      </c>
    </row>
    <row r="798" spans="12:26" x14ac:dyDescent="0.55000000000000004">
      <c r="L798">
        <v>793</v>
      </c>
      <c r="M798">
        <v>0.21234700000000001</v>
      </c>
      <c r="N798">
        <v>15398.891475</v>
      </c>
      <c r="O798">
        <f t="shared" si="39"/>
        <v>72517.584307760408</v>
      </c>
      <c r="W798">
        <v>793</v>
      </c>
      <c r="X798">
        <v>3.6852000000000003E-2</v>
      </c>
      <c r="Y798">
        <v>3448.3983619999999</v>
      </c>
      <c r="Z798">
        <f t="shared" si="40"/>
        <v>93574.252740692493</v>
      </c>
    </row>
    <row r="799" spans="12:26" x14ac:dyDescent="0.55000000000000004">
      <c r="L799">
        <v>794</v>
      </c>
      <c r="M799">
        <v>0.21234700000000001</v>
      </c>
      <c r="N799">
        <v>15398.891323</v>
      </c>
      <c r="O799">
        <f t="shared" si="39"/>
        <v>72517.583591950912</v>
      </c>
      <c r="W799">
        <v>794</v>
      </c>
      <c r="X799">
        <v>3.6806999999999999E-2</v>
      </c>
      <c r="Y799">
        <v>3446.6542669999999</v>
      </c>
      <c r="Z799">
        <f t="shared" si="40"/>
        <v>93641.271144075858</v>
      </c>
    </row>
    <row r="800" spans="12:26" x14ac:dyDescent="0.55000000000000004">
      <c r="L800">
        <v>795</v>
      </c>
      <c r="M800">
        <v>0.21234700000000001</v>
      </c>
      <c r="N800">
        <v>15398.891149999999</v>
      </c>
      <c r="O800">
        <f t="shared" si="39"/>
        <v>72517.582777246673</v>
      </c>
      <c r="W800">
        <v>795</v>
      </c>
      <c r="X800">
        <v>3.6767000000000001E-2</v>
      </c>
      <c r="Y800">
        <v>3444.9186209999998</v>
      </c>
      <c r="Z800">
        <f t="shared" si="40"/>
        <v>93695.939864552449</v>
      </c>
    </row>
    <row r="801" spans="12:26" x14ac:dyDescent="0.55000000000000004">
      <c r="L801">
        <v>796</v>
      </c>
      <c r="M801">
        <v>0.21234700000000001</v>
      </c>
      <c r="N801">
        <v>15398.890953</v>
      </c>
      <c r="O801">
        <f t="shared" si="39"/>
        <v>72517.581849519891</v>
      </c>
      <c r="W801">
        <v>796</v>
      </c>
      <c r="X801">
        <v>3.6731E-2</v>
      </c>
      <c r="Y801">
        <v>3443.1921219999999</v>
      </c>
      <c r="Z801">
        <f t="shared" si="40"/>
        <v>93740.767253818296</v>
      </c>
    </row>
    <row r="802" spans="12:26" x14ac:dyDescent="0.55000000000000004">
      <c r="L802">
        <v>797</v>
      </c>
      <c r="M802">
        <v>0.21234700000000001</v>
      </c>
      <c r="N802">
        <v>15398.890729000001</v>
      </c>
      <c r="O802">
        <f t="shared" si="39"/>
        <v>72517.580794642738</v>
      </c>
      <c r="W802">
        <v>797</v>
      </c>
      <c r="X802">
        <v>3.6698000000000001E-2</v>
      </c>
      <c r="Y802">
        <v>3441.4754360000002</v>
      </c>
      <c r="Z802">
        <f t="shared" si="40"/>
        <v>93778.283176194891</v>
      </c>
    </row>
    <row r="803" spans="12:26" x14ac:dyDescent="0.55000000000000004">
      <c r="L803">
        <v>798</v>
      </c>
      <c r="M803">
        <v>0.21234700000000001</v>
      </c>
      <c r="N803">
        <v>15398.890475</v>
      </c>
      <c r="O803">
        <f t="shared" si="39"/>
        <v>72517.579598487384</v>
      </c>
      <c r="W803">
        <v>798</v>
      </c>
      <c r="X803">
        <v>3.6670000000000001E-2</v>
      </c>
      <c r="Y803">
        <v>3439.769194</v>
      </c>
      <c r="Z803">
        <f t="shared" si="40"/>
        <v>93803.359530951726</v>
      </c>
    </row>
    <row r="804" spans="12:26" x14ac:dyDescent="0.55000000000000004">
      <c r="L804">
        <v>799</v>
      </c>
      <c r="M804">
        <v>0.21234700000000001</v>
      </c>
      <c r="N804">
        <v>15398.890186000001</v>
      </c>
      <c r="O804">
        <f t="shared" si="39"/>
        <v>72517.578237507478</v>
      </c>
      <c r="W804">
        <v>799</v>
      </c>
      <c r="X804">
        <v>3.6644000000000003E-2</v>
      </c>
      <c r="Y804">
        <v>3438.0739939999999</v>
      </c>
      <c r="Z804">
        <f t="shared" si="40"/>
        <v>93823.654459120167</v>
      </c>
    </row>
    <row r="805" spans="12:26" x14ac:dyDescent="0.55000000000000004">
      <c r="L805">
        <v>800</v>
      </c>
      <c r="M805">
        <v>0.21234700000000001</v>
      </c>
      <c r="N805">
        <v>15398.889859000001</v>
      </c>
      <c r="O805">
        <f t="shared" si="39"/>
        <v>72517.57669757519</v>
      </c>
      <c r="W805">
        <v>800</v>
      </c>
      <c r="X805">
        <v>3.6621000000000001E-2</v>
      </c>
      <c r="Y805">
        <v>3436.3904000000002</v>
      </c>
      <c r="Z805">
        <f t="shared" si="40"/>
        <v>93836.607411048317</v>
      </c>
    </row>
    <row r="806" spans="12:26" x14ac:dyDescent="0.55000000000000004">
      <c r="L806">
        <v>801</v>
      </c>
      <c r="M806">
        <v>0.21234700000000001</v>
      </c>
      <c r="N806">
        <v>15398.889488000001</v>
      </c>
      <c r="O806">
        <f t="shared" si="39"/>
        <v>72517.574950434908</v>
      </c>
      <c r="W806">
        <v>801</v>
      </c>
      <c r="X806">
        <v>3.6601000000000002E-2</v>
      </c>
      <c r="Y806">
        <v>3434.7189429999999</v>
      </c>
      <c r="Z806">
        <f t="shared" si="40"/>
        <v>93842.215868418891</v>
      </c>
    </row>
    <row r="807" spans="12:26" x14ac:dyDescent="0.55000000000000004">
      <c r="L807">
        <v>802</v>
      </c>
      <c r="M807">
        <v>0.21234700000000001</v>
      </c>
      <c r="N807">
        <v>15398.889067</v>
      </c>
      <c r="O807">
        <f t="shared" si="39"/>
        <v>72517.572967830958</v>
      </c>
      <c r="W807">
        <v>802</v>
      </c>
      <c r="X807">
        <v>3.6583999999999998E-2</v>
      </c>
      <c r="Y807">
        <v>3433.0601190000002</v>
      </c>
      <c r="Z807">
        <f t="shared" si="40"/>
        <v>93840.479963918668</v>
      </c>
    </row>
    <row r="808" spans="12:26" x14ac:dyDescent="0.55000000000000004">
      <c r="L808">
        <v>803</v>
      </c>
      <c r="M808">
        <v>0.21234700000000001</v>
      </c>
      <c r="N808">
        <v>15398.88859</v>
      </c>
      <c r="O808">
        <f t="shared" si="39"/>
        <v>72517.570721507727</v>
      </c>
      <c r="W808">
        <v>803</v>
      </c>
      <c r="X808">
        <v>3.6568000000000003E-2</v>
      </c>
      <c r="Y808">
        <v>3431.4143899999999</v>
      </c>
      <c r="Z808">
        <f t="shared" si="40"/>
        <v>93836.534401662648</v>
      </c>
    </row>
    <row r="809" spans="12:26" x14ac:dyDescent="0.55000000000000004">
      <c r="L809">
        <v>804</v>
      </c>
      <c r="M809">
        <v>0.21234700000000001</v>
      </c>
      <c r="N809">
        <v>15398.888051</v>
      </c>
      <c r="O809">
        <f t="shared" si="39"/>
        <v>72517.568183209558</v>
      </c>
      <c r="W809">
        <v>804</v>
      </c>
      <c r="X809">
        <v>3.6554000000000003E-2</v>
      </c>
      <c r="Y809">
        <v>3429.7821829999998</v>
      </c>
      <c r="Z809">
        <f t="shared" si="40"/>
        <v>93827.821387536227</v>
      </c>
    </row>
    <row r="810" spans="12:26" x14ac:dyDescent="0.55000000000000004">
      <c r="L810">
        <v>805</v>
      </c>
      <c r="M810">
        <v>0.21234700000000001</v>
      </c>
      <c r="N810">
        <v>15398.887441000001</v>
      </c>
      <c r="O810">
        <f t="shared" si="39"/>
        <v>72517.565310553007</v>
      </c>
      <c r="W810">
        <v>805</v>
      </c>
      <c r="X810">
        <v>3.6541999999999998E-2</v>
      </c>
      <c r="Y810">
        <v>3428.1638910000001</v>
      </c>
      <c r="Z810">
        <f t="shared" si="40"/>
        <v>93814.347627387673</v>
      </c>
    </row>
    <row r="811" spans="12:26" x14ac:dyDescent="0.55000000000000004">
      <c r="L811">
        <v>806</v>
      </c>
      <c r="M811">
        <v>0.21234700000000001</v>
      </c>
      <c r="N811">
        <v>15398.886752</v>
      </c>
      <c r="O811">
        <f t="shared" si="39"/>
        <v>72517.562065863895</v>
      </c>
      <c r="W811">
        <v>806</v>
      </c>
      <c r="X811">
        <v>3.6532000000000002E-2</v>
      </c>
      <c r="Y811">
        <v>3426.5598709999999</v>
      </c>
      <c r="Z811">
        <f t="shared" si="40"/>
        <v>93796.120414978635</v>
      </c>
    </row>
    <row r="812" spans="12:26" x14ac:dyDescent="0.55000000000000004">
      <c r="L812">
        <v>807</v>
      </c>
      <c r="M812">
        <v>0.21234700000000001</v>
      </c>
      <c r="N812">
        <v>15398.885973</v>
      </c>
      <c r="O812">
        <f t="shared" si="39"/>
        <v>72517.558397340195</v>
      </c>
      <c r="W812">
        <v>807</v>
      </c>
      <c r="X812">
        <v>3.6521999999999999E-2</v>
      </c>
      <c r="Y812">
        <v>3424.9704449999999</v>
      </c>
      <c r="Z812">
        <f t="shared" si="40"/>
        <v>93778.282815837025</v>
      </c>
    </row>
    <row r="813" spans="12:26" x14ac:dyDescent="0.55000000000000004">
      <c r="L813">
        <v>808</v>
      </c>
      <c r="M813">
        <v>0.21234700000000001</v>
      </c>
      <c r="N813">
        <v>15398.885093999999</v>
      </c>
      <c r="O813">
        <f t="shared" si="39"/>
        <v>72517.554257889205</v>
      </c>
      <c r="W813">
        <v>808</v>
      </c>
      <c r="X813">
        <v>3.6513999999999998E-2</v>
      </c>
      <c r="Y813">
        <v>3423.3959030000001</v>
      </c>
      <c r="Z813">
        <f t="shared" si="40"/>
        <v>93755.707482061684</v>
      </c>
    </row>
    <row r="814" spans="12:26" x14ac:dyDescent="0.55000000000000004">
      <c r="L814">
        <v>809</v>
      </c>
      <c r="M814">
        <v>0.21234700000000001</v>
      </c>
      <c r="N814">
        <v>15398.884102</v>
      </c>
      <c r="O814">
        <f t="shared" si="39"/>
        <v>72517.549586290363</v>
      </c>
      <c r="W814">
        <v>809</v>
      </c>
      <c r="X814">
        <v>3.6506999999999998E-2</v>
      </c>
      <c r="Y814">
        <v>3421.836495</v>
      </c>
      <c r="Z814">
        <f t="shared" si="40"/>
        <v>93730.969266168133</v>
      </c>
    </row>
    <row r="815" spans="12:26" x14ac:dyDescent="0.55000000000000004">
      <c r="L815">
        <v>810</v>
      </c>
      <c r="M815">
        <v>0.21234700000000001</v>
      </c>
      <c r="N815">
        <v>15398.882984</v>
      </c>
      <c r="O815">
        <f t="shared" si="39"/>
        <v>72517.544321323119</v>
      </c>
      <c r="W815">
        <v>810</v>
      </c>
      <c r="X815">
        <v>3.6500999999999999E-2</v>
      </c>
      <c r="Y815">
        <v>3420.2924419999999</v>
      </c>
      <c r="Z815">
        <f t="shared" si="40"/>
        <v>93704.075011643523</v>
      </c>
    </row>
    <row r="816" spans="12:26" x14ac:dyDescent="0.55000000000000004">
      <c r="L816">
        <v>811</v>
      </c>
      <c r="M816">
        <v>0.21234700000000001</v>
      </c>
      <c r="N816">
        <v>15398.881724000001</v>
      </c>
      <c r="O816">
        <f t="shared" si="39"/>
        <v>72517.538387639099</v>
      </c>
      <c r="W816">
        <v>811</v>
      </c>
      <c r="X816">
        <v>3.6496000000000001E-2</v>
      </c>
      <c r="Y816">
        <v>3418.763923</v>
      </c>
      <c r="Z816">
        <f t="shared" si="40"/>
        <v>93675.030770495388</v>
      </c>
    </row>
    <row r="817" spans="12:26" x14ac:dyDescent="0.55000000000000004">
      <c r="L817">
        <v>812</v>
      </c>
      <c r="M817">
        <v>0.21234700000000001</v>
      </c>
      <c r="N817">
        <v>15398.880305000001</v>
      </c>
      <c r="O817">
        <f t="shared" si="39"/>
        <v>72517.531705180678</v>
      </c>
      <c r="W817">
        <v>812</v>
      </c>
      <c r="X817">
        <v>3.6491999999999997E-2</v>
      </c>
      <c r="Y817">
        <v>3417.2510889999999</v>
      </c>
      <c r="Z817">
        <f t="shared" si="40"/>
        <v>93643.842184588415</v>
      </c>
    </row>
    <row r="818" spans="12:26" x14ac:dyDescent="0.55000000000000004">
      <c r="L818">
        <v>813</v>
      </c>
      <c r="M818">
        <v>0.21234700000000001</v>
      </c>
      <c r="N818">
        <v>15398.878708</v>
      </c>
      <c r="O818">
        <f t="shared" si="39"/>
        <v>72517.524184471637</v>
      </c>
      <c r="W818">
        <v>813</v>
      </c>
      <c r="X818">
        <v>3.6488E-2</v>
      </c>
      <c r="Y818">
        <v>3415.7540490000001</v>
      </c>
      <c r="Z818">
        <f t="shared" si="40"/>
        <v>93613.07961521596</v>
      </c>
    </row>
    <row r="819" spans="12:26" x14ac:dyDescent="0.55000000000000004">
      <c r="L819">
        <v>814</v>
      </c>
      <c r="M819">
        <v>0.21234700000000001</v>
      </c>
      <c r="N819">
        <v>15398.876912</v>
      </c>
      <c r="O819">
        <f t="shared" si="39"/>
        <v>72517.515726617276</v>
      </c>
      <c r="W819">
        <v>814</v>
      </c>
      <c r="X819">
        <v>3.6484000000000003E-2</v>
      </c>
      <c r="Y819">
        <v>3414.2728830000001</v>
      </c>
      <c r="Z819">
        <f t="shared" si="40"/>
        <v>93582.745395241742</v>
      </c>
    </row>
    <row r="820" spans="12:26" x14ac:dyDescent="0.55000000000000004">
      <c r="L820">
        <v>815</v>
      </c>
      <c r="M820">
        <v>0.21234700000000001</v>
      </c>
      <c r="N820">
        <v>15398.874894</v>
      </c>
      <c r="O820">
        <f t="shared" si="39"/>
        <v>72517.506223304314</v>
      </c>
      <c r="W820">
        <v>815</v>
      </c>
      <c r="X820">
        <v>3.6481E-2</v>
      </c>
      <c r="Y820">
        <v>3412.8076310000001</v>
      </c>
      <c r="Z820">
        <f t="shared" si="40"/>
        <v>93550.276335626768</v>
      </c>
    </row>
    <row r="821" spans="12:26" x14ac:dyDescent="0.55000000000000004">
      <c r="L821">
        <v>816</v>
      </c>
      <c r="M821">
        <v>0.21234700000000001</v>
      </c>
      <c r="N821">
        <v>15398.872626</v>
      </c>
      <c r="O821">
        <f t="shared" si="39"/>
        <v>72517.495542673074</v>
      </c>
      <c r="W821">
        <v>816</v>
      </c>
      <c r="X821">
        <v>3.6478999999999998E-2</v>
      </c>
      <c r="Y821">
        <v>3411.3583010000002</v>
      </c>
      <c r="Z821">
        <f t="shared" si="40"/>
        <v>93515.674799199551</v>
      </c>
    </row>
    <row r="822" spans="12:26" x14ac:dyDescent="0.55000000000000004">
      <c r="L822">
        <v>817</v>
      </c>
      <c r="M822">
        <v>0.21234700000000001</v>
      </c>
      <c r="N822">
        <v>15398.870080999999</v>
      </c>
      <c r="O822">
        <f t="shared" si="39"/>
        <v>72517.483557573214</v>
      </c>
      <c r="W822">
        <v>817</v>
      </c>
      <c r="X822">
        <v>3.6477000000000002E-2</v>
      </c>
      <c r="Y822">
        <v>3409.9248659999998</v>
      </c>
      <c r="Z822">
        <f t="shared" si="40"/>
        <v>93481.505222468943</v>
      </c>
    </row>
    <row r="823" spans="12:26" x14ac:dyDescent="0.55000000000000004">
      <c r="L823">
        <v>818</v>
      </c>
      <c r="M823">
        <v>0.21234700000000001</v>
      </c>
      <c r="N823">
        <v>15398.867226</v>
      </c>
      <c r="O823">
        <f t="shared" si="39"/>
        <v>72517.470112598719</v>
      </c>
      <c r="W823">
        <v>818</v>
      </c>
      <c r="X823">
        <v>3.6475E-2</v>
      </c>
      <c r="Y823">
        <v>3408.507263</v>
      </c>
      <c r="Z823">
        <f t="shared" si="40"/>
        <v>93447.765949280321</v>
      </c>
    </row>
    <row r="824" spans="12:26" x14ac:dyDescent="0.55000000000000004">
      <c r="L824">
        <v>819</v>
      </c>
      <c r="M824">
        <v>0.21234700000000001</v>
      </c>
      <c r="N824">
        <v>15398.864025000001</v>
      </c>
      <c r="O824">
        <f t="shared" si="39"/>
        <v>72517.455038215747</v>
      </c>
      <c r="W824">
        <v>819</v>
      </c>
      <c r="X824">
        <v>3.6473999999999999E-2</v>
      </c>
      <c r="Y824">
        <v>3407.1053929999998</v>
      </c>
      <c r="Z824">
        <f t="shared" si="40"/>
        <v>93411.893211602786</v>
      </c>
    </row>
    <row r="825" spans="12:26" x14ac:dyDescent="0.55000000000000004">
      <c r="L825">
        <v>820</v>
      </c>
      <c r="M825">
        <v>0.21234700000000001</v>
      </c>
      <c r="N825">
        <v>15398.860439</v>
      </c>
      <c r="O825">
        <f t="shared" si="39"/>
        <v>72517.438150762668</v>
      </c>
      <c r="W825">
        <v>820</v>
      </c>
      <c r="X825">
        <v>3.6471999999999997E-2</v>
      </c>
      <c r="Y825">
        <v>3405.7191250000001</v>
      </c>
      <c r="Z825">
        <f t="shared" si="40"/>
        <v>93379.006498135568</v>
      </c>
    </row>
    <row r="826" spans="12:26" x14ac:dyDescent="0.55000000000000004">
      <c r="L826">
        <v>821</v>
      </c>
      <c r="M826">
        <v>0.21234700000000001</v>
      </c>
      <c r="N826">
        <v>15398.856424</v>
      </c>
      <c r="O826">
        <f t="shared" si="39"/>
        <v>72517.419243031443</v>
      </c>
      <c r="W826">
        <v>821</v>
      </c>
      <c r="X826">
        <v>3.6471000000000003E-2</v>
      </c>
      <c r="Y826">
        <v>3404.3482920000001</v>
      </c>
      <c r="Z826">
        <f t="shared" si="40"/>
        <v>93343.979929258858</v>
      </c>
    </row>
    <row r="827" spans="12:26" x14ac:dyDescent="0.55000000000000004">
      <c r="L827">
        <v>822</v>
      </c>
      <c r="M827">
        <v>0.21234700000000001</v>
      </c>
      <c r="N827">
        <v>15398.851930000001</v>
      </c>
      <c r="O827">
        <f t="shared" si="39"/>
        <v>72517.398079558465</v>
      </c>
      <c r="W827">
        <v>822</v>
      </c>
      <c r="X827">
        <v>3.6470000000000002E-2</v>
      </c>
      <c r="Y827">
        <v>3402.9926919999998</v>
      </c>
      <c r="Z827">
        <f t="shared" si="40"/>
        <v>93309.369125308454</v>
      </c>
    </row>
    <row r="828" spans="12:26" x14ac:dyDescent="0.55000000000000004">
      <c r="L828">
        <v>823</v>
      </c>
      <c r="M828">
        <v>0.21234700000000001</v>
      </c>
      <c r="N828">
        <v>15398.846905</v>
      </c>
      <c r="O828">
        <f t="shared" si="39"/>
        <v>72517.374415461483</v>
      </c>
      <c r="W828">
        <v>823</v>
      </c>
      <c r="X828">
        <v>3.6470000000000002E-2</v>
      </c>
      <c r="Y828">
        <v>3401.65209</v>
      </c>
      <c r="Z828">
        <f t="shared" si="40"/>
        <v>93272.610090485323</v>
      </c>
    </row>
    <row r="829" spans="12:26" x14ac:dyDescent="0.55000000000000004">
      <c r="L829">
        <v>824</v>
      </c>
      <c r="M829">
        <v>0.21234700000000001</v>
      </c>
      <c r="N829">
        <v>15398.84129</v>
      </c>
      <c r="O829">
        <f t="shared" si="39"/>
        <v>72517.347972893418</v>
      </c>
      <c r="W829">
        <v>824</v>
      </c>
      <c r="X829">
        <v>3.6469000000000001E-2</v>
      </c>
      <c r="Y829">
        <v>3400.3262140000002</v>
      </c>
      <c r="Z829">
        <f t="shared" si="40"/>
        <v>93238.811428884801</v>
      </c>
    </row>
    <row r="830" spans="12:26" x14ac:dyDescent="0.55000000000000004">
      <c r="L830">
        <v>825</v>
      </c>
      <c r="M830">
        <v>0.21234700000000001</v>
      </c>
      <c r="N830">
        <v>15398.835018</v>
      </c>
      <c r="O830">
        <f t="shared" si="39"/>
        <v>72517.318436332978</v>
      </c>
      <c r="W830">
        <v>825</v>
      </c>
      <c r="X830">
        <v>3.6469000000000001E-2</v>
      </c>
      <c r="Y830">
        <v>3399.0147609999999</v>
      </c>
      <c r="Z830">
        <f t="shared" si="40"/>
        <v>93202.850667690363</v>
      </c>
    </row>
    <row r="831" spans="12:26" x14ac:dyDescent="0.55000000000000004">
      <c r="L831">
        <v>826</v>
      </c>
      <c r="M831">
        <v>0.21234700000000001</v>
      </c>
      <c r="N831">
        <v>15398.828017</v>
      </c>
      <c r="O831">
        <f t="shared" si="39"/>
        <v>72517.285466712507</v>
      </c>
      <c r="W831">
        <v>826</v>
      </c>
      <c r="X831">
        <v>3.6468E-2</v>
      </c>
      <c r="Y831">
        <v>3397.717392</v>
      </c>
      <c r="Z831">
        <f t="shared" si="40"/>
        <v>93169.830865416254</v>
      </c>
    </row>
    <row r="832" spans="12:26" x14ac:dyDescent="0.55000000000000004">
      <c r="L832">
        <v>827</v>
      </c>
      <c r="M832">
        <v>0.21234700000000001</v>
      </c>
      <c r="N832">
        <v>15398.820207999999</v>
      </c>
      <c r="O832">
        <f t="shared" si="39"/>
        <v>72517.248691999412</v>
      </c>
      <c r="W832">
        <v>827</v>
      </c>
      <c r="X832">
        <v>3.6468E-2</v>
      </c>
      <c r="Y832">
        <v>3396.4337340000002</v>
      </c>
      <c r="Z832">
        <f t="shared" si="40"/>
        <v>93134.631293188548</v>
      </c>
    </row>
    <row r="833" spans="12:26" x14ac:dyDescent="0.55000000000000004">
      <c r="L833">
        <v>828</v>
      </c>
      <c r="M833">
        <v>0.21234700000000001</v>
      </c>
      <c r="N833">
        <v>15398.811503000001</v>
      </c>
      <c r="O833">
        <f t="shared" si="39"/>
        <v>72517.207697777689</v>
      </c>
      <c r="W833">
        <v>828</v>
      </c>
      <c r="X833">
        <v>3.6466999999999999E-2</v>
      </c>
      <c r="Y833">
        <v>3395.1633809999998</v>
      </c>
      <c r="Z833">
        <f t="shared" si="40"/>
        <v>93102.349548907223</v>
      </c>
    </row>
    <row r="834" spans="12:26" x14ac:dyDescent="0.55000000000000004">
      <c r="L834">
        <v>829</v>
      </c>
      <c r="M834">
        <v>0.21234700000000001</v>
      </c>
      <c r="N834">
        <v>15398.801804000001</v>
      </c>
      <c r="O834">
        <f t="shared" si="39"/>
        <v>72517.162022538585</v>
      </c>
      <c r="W834">
        <v>829</v>
      </c>
      <c r="X834">
        <v>3.6466999999999999E-2</v>
      </c>
      <c r="Y834">
        <v>3393.9058920000002</v>
      </c>
      <c r="Z834">
        <f t="shared" si="40"/>
        <v>93067.866619135122</v>
      </c>
    </row>
    <row r="835" spans="12:26" x14ac:dyDescent="0.55000000000000004">
      <c r="L835">
        <v>830</v>
      </c>
      <c r="M835">
        <v>0.21234700000000001</v>
      </c>
      <c r="N835">
        <v>15398.791005999999</v>
      </c>
      <c r="O835">
        <f t="shared" si="39"/>
        <v>72517.111171808399</v>
      </c>
      <c r="W835">
        <v>830</v>
      </c>
      <c r="X835">
        <v>3.6466999999999999E-2</v>
      </c>
      <c r="Y835">
        <v>3392.6607939999999</v>
      </c>
      <c r="Z835">
        <f t="shared" si="40"/>
        <v>93033.723476019411</v>
      </c>
    </row>
    <row r="836" spans="12:26" x14ac:dyDescent="0.55000000000000004">
      <c r="L836">
        <v>831</v>
      </c>
      <c r="M836">
        <v>0.21234700000000001</v>
      </c>
      <c r="N836">
        <v>15398.778992</v>
      </c>
      <c r="O836">
        <f t="shared" si="39"/>
        <v>72517.054594602232</v>
      </c>
      <c r="W836">
        <v>831</v>
      </c>
      <c r="X836">
        <v>3.6466999999999999E-2</v>
      </c>
      <c r="Y836">
        <v>3391.4275779999998</v>
      </c>
      <c r="Z836">
        <f t="shared" si="40"/>
        <v>92999.906161735271</v>
      </c>
    </row>
    <row r="837" spans="12:26" x14ac:dyDescent="0.55000000000000004">
      <c r="L837">
        <v>832</v>
      </c>
      <c r="M837">
        <v>0.21234700000000001</v>
      </c>
      <c r="N837">
        <v>15398.765632000001</v>
      </c>
      <c r="O837">
        <f t="shared" si="39"/>
        <v>72516.991678714563</v>
      </c>
      <c r="W837">
        <v>832</v>
      </c>
      <c r="X837">
        <v>3.6466999999999999E-2</v>
      </c>
      <c r="Y837">
        <v>3390.2057049999999</v>
      </c>
      <c r="Z837">
        <f t="shared" si="40"/>
        <v>92966.399895796203</v>
      </c>
    </row>
    <row r="838" spans="12:26" x14ac:dyDescent="0.55000000000000004">
      <c r="L838">
        <v>833</v>
      </c>
      <c r="M838">
        <v>0.21234700000000001</v>
      </c>
      <c r="N838">
        <v>15398.750786000001</v>
      </c>
      <c r="O838">
        <f t="shared" ref="O838:O901" si="41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40"/>
        <v>92933.188883099792</v>
      </c>
    </row>
    <row r="839" spans="12:26" x14ac:dyDescent="0.55000000000000004">
      <c r="L839">
        <v>834</v>
      </c>
      <c r="M839">
        <v>0.21234700000000001</v>
      </c>
      <c r="N839">
        <v>15398.734299</v>
      </c>
      <c r="O839">
        <f t="shared" si="41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42">Y839/X839</f>
        <v>92902.804091482481</v>
      </c>
    </row>
    <row r="840" spans="12:26" x14ac:dyDescent="0.55000000000000004">
      <c r="L840">
        <v>835</v>
      </c>
      <c r="M840">
        <v>0.21234700000000001</v>
      </c>
      <c r="N840">
        <v>15398.716</v>
      </c>
      <c r="O840">
        <f t="shared" si="41"/>
        <v>72516.757948075552</v>
      </c>
      <c r="W840">
        <v>835</v>
      </c>
      <c r="X840">
        <v>3.6465999999999998E-2</v>
      </c>
      <c r="Y840">
        <v>3386.6022290000001</v>
      </c>
      <c r="Z840">
        <f t="shared" si="42"/>
        <v>92870.131876268308</v>
      </c>
    </row>
    <row r="841" spans="12:26" x14ac:dyDescent="0.55000000000000004">
      <c r="L841">
        <v>836</v>
      </c>
      <c r="M841">
        <v>0.21234700000000001</v>
      </c>
      <c r="N841">
        <v>15398.695704</v>
      </c>
      <c r="O841">
        <f t="shared" si="41"/>
        <v>72516.66236867015</v>
      </c>
      <c r="W841">
        <v>836</v>
      </c>
      <c r="X841">
        <v>3.6465999999999998E-2</v>
      </c>
      <c r="Y841">
        <v>3385.419652</v>
      </c>
      <c r="Z841">
        <f t="shared" si="42"/>
        <v>92837.702298031043</v>
      </c>
    </row>
    <row r="842" spans="12:26" x14ac:dyDescent="0.55000000000000004">
      <c r="L842">
        <v>837</v>
      </c>
      <c r="M842">
        <v>0.21234700000000001</v>
      </c>
      <c r="N842">
        <v>15398.673207</v>
      </c>
      <c r="O842">
        <f t="shared" si="41"/>
        <v>72516.556424154798</v>
      </c>
      <c r="W842">
        <v>837</v>
      </c>
      <c r="X842">
        <v>3.6465999999999998E-2</v>
      </c>
      <c r="Y842">
        <v>3384.2452149999999</v>
      </c>
      <c r="Z842">
        <f t="shared" si="42"/>
        <v>92805.495941424888</v>
      </c>
    </row>
    <row r="843" spans="12:26" x14ac:dyDescent="0.55000000000000004">
      <c r="L843">
        <v>838</v>
      </c>
      <c r="M843">
        <v>0.21234700000000001</v>
      </c>
      <c r="N843">
        <v>15398.648284000001</v>
      </c>
      <c r="O843">
        <f t="shared" si="41"/>
        <v>72516.439054943083</v>
      </c>
      <c r="W843">
        <v>838</v>
      </c>
      <c r="X843">
        <v>3.6465999999999998E-2</v>
      </c>
      <c r="Y843">
        <v>3383.07818</v>
      </c>
      <c r="Z843">
        <f t="shared" si="42"/>
        <v>92773.492568419897</v>
      </c>
    </row>
    <row r="844" spans="12:26" x14ac:dyDescent="0.55000000000000004">
      <c r="L844">
        <v>839</v>
      </c>
      <c r="M844">
        <v>0.21234700000000001</v>
      </c>
      <c r="N844">
        <v>15398.620693999999</v>
      </c>
      <c r="O844">
        <f t="shared" si="41"/>
        <v>72516.309126100197</v>
      </c>
      <c r="W844">
        <v>839</v>
      </c>
      <c r="X844">
        <v>3.6465999999999998E-2</v>
      </c>
      <c r="Y844">
        <v>3381.9177759999998</v>
      </c>
      <c r="Z844">
        <f t="shared" si="42"/>
        <v>92741.671036033556</v>
      </c>
    </row>
    <row r="845" spans="12:26" x14ac:dyDescent="0.55000000000000004">
      <c r="L845">
        <v>840</v>
      </c>
      <c r="M845">
        <v>0.21234700000000001</v>
      </c>
      <c r="N845">
        <v>15398.590168999999</v>
      </c>
      <c r="O845">
        <f t="shared" si="41"/>
        <v>72516.165375540964</v>
      </c>
      <c r="W845">
        <v>840</v>
      </c>
      <c r="X845">
        <v>3.6465999999999998E-2</v>
      </c>
      <c r="Y845">
        <v>3380.7631980000001</v>
      </c>
      <c r="Z845">
        <f t="shared" si="42"/>
        <v>92710.009268908034</v>
      </c>
    </row>
    <row r="846" spans="12:26" x14ac:dyDescent="0.55000000000000004">
      <c r="L846">
        <v>841</v>
      </c>
      <c r="M846">
        <v>0.21234700000000001</v>
      </c>
      <c r="N846">
        <v>15398.556418</v>
      </c>
      <c r="O846">
        <f t="shared" si="41"/>
        <v>72516.006432866954</v>
      </c>
      <c r="W846">
        <v>841</v>
      </c>
      <c r="X846">
        <v>3.6465999999999998E-2</v>
      </c>
      <c r="Y846">
        <v>3379.6136110000002</v>
      </c>
      <c r="Z846">
        <f t="shared" si="42"/>
        <v>92678.484369001279</v>
      </c>
    </row>
    <row r="847" spans="12:26" x14ac:dyDescent="0.55000000000000004">
      <c r="L847">
        <v>842</v>
      </c>
      <c r="M847">
        <v>0.21234700000000001</v>
      </c>
      <c r="N847">
        <v>15398.519124</v>
      </c>
      <c r="O847">
        <f t="shared" si="41"/>
        <v>72515.830805238598</v>
      </c>
      <c r="W847">
        <v>842</v>
      </c>
      <c r="X847">
        <v>3.6465999999999998E-2</v>
      </c>
      <c r="Y847">
        <v>3378.4681460000002</v>
      </c>
      <c r="Z847">
        <f t="shared" si="42"/>
        <v>92647.072505895907</v>
      </c>
    </row>
    <row r="848" spans="12:26" x14ac:dyDescent="0.55000000000000004">
      <c r="L848">
        <v>843</v>
      </c>
      <c r="M848">
        <v>0.21234700000000001</v>
      </c>
      <c r="N848">
        <v>15398.477940999999</v>
      </c>
      <c r="O848">
        <f t="shared" si="41"/>
        <v>72515.636863247419</v>
      </c>
      <c r="W848">
        <v>843</v>
      </c>
      <c r="X848">
        <v>3.6465999999999998E-2</v>
      </c>
      <c r="Y848">
        <v>3377.325902</v>
      </c>
      <c r="Z848">
        <f t="shared" si="42"/>
        <v>92615.748971644818</v>
      </c>
    </row>
    <row r="849" spans="12:26" x14ac:dyDescent="0.55000000000000004">
      <c r="L849">
        <v>844</v>
      </c>
      <c r="M849">
        <v>0.21234700000000001</v>
      </c>
      <c r="N849">
        <v>15398.432492</v>
      </c>
      <c r="O849">
        <f t="shared" si="41"/>
        <v>72515.422831497504</v>
      </c>
      <c r="W849">
        <v>844</v>
      </c>
      <c r="X849">
        <v>3.6465999999999998E-2</v>
      </c>
      <c r="Y849">
        <v>3376.1859460000001</v>
      </c>
      <c r="Z849">
        <f t="shared" si="42"/>
        <v>92584.488180771135</v>
      </c>
    </row>
    <row r="850" spans="12:26" x14ac:dyDescent="0.55000000000000004">
      <c r="L850">
        <v>845</v>
      </c>
      <c r="M850">
        <v>0.21234700000000001</v>
      </c>
      <c r="N850">
        <v>15398.382366</v>
      </c>
      <c r="O850">
        <f t="shared" si="41"/>
        <v>72515.186774477625</v>
      </c>
      <c r="W850">
        <v>845</v>
      </c>
      <c r="X850">
        <v>3.6465999999999998E-2</v>
      </c>
      <c r="Y850">
        <v>3375.047313</v>
      </c>
      <c r="Z850">
        <f t="shared" si="42"/>
        <v>92553.263670268207</v>
      </c>
    </row>
    <row r="851" spans="12:26" x14ac:dyDescent="0.55000000000000004">
      <c r="L851">
        <v>846</v>
      </c>
      <c r="M851">
        <v>0.21234700000000001</v>
      </c>
      <c r="N851">
        <v>15398.327119</v>
      </c>
      <c r="O851">
        <f t="shared" si="41"/>
        <v>72514.926601270563</v>
      </c>
      <c r="W851">
        <v>846</v>
      </c>
      <c r="X851">
        <v>3.6465999999999998E-2</v>
      </c>
      <c r="Y851">
        <v>3373.9090070000002</v>
      </c>
      <c r="Z851">
        <f t="shared" si="42"/>
        <v>92522.048127022441</v>
      </c>
    </row>
    <row r="852" spans="12:26" x14ac:dyDescent="0.55000000000000004">
      <c r="L852">
        <v>847</v>
      </c>
      <c r="M852">
        <v>0.21234700000000001</v>
      </c>
      <c r="N852">
        <v>15398.266264</v>
      </c>
      <c r="O852">
        <f t="shared" si="41"/>
        <v>72514.640018460341</v>
      </c>
      <c r="W852">
        <v>847</v>
      </c>
      <c r="X852">
        <v>3.6465999999999998E-2</v>
      </c>
      <c r="Y852">
        <v>3372.7699990000001</v>
      </c>
      <c r="Z852">
        <f t="shared" si="42"/>
        <v>92490.813332967708</v>
      </c>
    </row>
    <row r="853" spans="12:26" x14ac:dyDescent="0.55000000000000004">
      <c r="L853">
        <v>848</v>
      </c>
      <c r="M853">
        <v>0.21234700000000001</v>
      </c>
      <c r="N853">
        <v>15398.199274000001</v>
      </c>
      <c r="O853">
        <f t="shared" si="41"/>
        <v>72514.324544260104</v>
      </c>
      <c r="W853">
        <v>848</v>
      </c>
      <c r="X853">
        <v>3.6465999999999998E-2</v>
      </c>
      <c r="Y853">
        <v>3371.6292290000001</v>
      </c>
      <c r="Z853">
        <f t="shared" si="42"/>
        <v>92459.530219930908</v>
      </c>
    </row>
    <row r="854" spans="12:26" x14ac:dyDescent="0.55000000000000004">
      <c r="L854">
        <v>849</v>
      </c>
      <c r="M854">
        <v>0.21234700000000001</v>
      </c>
      <c r="N854">
        <v>15398.125577999999</v>
      </c>
      <c r="O854">
        <f t="shared" si="41"/>
        <v>72513.977489674915</v>
      </c>
      <c r="W854">
        <v>849</v>
      </c>
      <c r="X854">
        <v>3.6465999999999998E-2</v>
      </c>
      <c r="Y854">
        <v>3370.4856049999999</v>
      </c>
      <c r="Z854">
        <f t="shared" si="42"/>
        <v>92428.168842209183</v>
      </c>
    </row>
    <row r="855" spans="12:26" x14ac:dyDescent="0.55000000000000004">
      <c r="L855">
        <v>850</v>
      </c>
      <c r="M855">
        <v>0.21234700000000001</v>
      </c>
      <c r="N855">
        <v>15398.044555</v>
      </c>
      <c r="O855">
        <f t="shared" si="41"/>
        <v>72513.595930246243</v>
      </c>
      <c r="W855">
        <v>850</v>
      </c>
      <c r="X855">
        <v>3.6465999999999998E-2</v>
      </c>
      <c r="Y855">
        <v>3369.3380029999998</v>
      </c>
      <c r="Z855">
        <f t="shared" si="42"/>
        <v>92396.698376569955</v>
      </c>
    </row>
    <row r="856" spans="12:26" x14ac:dyDescent="0.55000000000000004">
      <c r="L856">
        <v>851</v>
      </c>
      <c r="M856">
        <v>0.21234700000000001</v>
      </c>
      <c r="N856">
        <v>15397.955533</v>
      </c>
      <c r="O856">
        <f t="shared" si="41"/>
        <v>72513.176701342614</v>
      </c>
      <c r="W856">
        <v>851</v>
      </c>
      <c r="X856">
        <v>3.6465999999999998E-2</v>
      </c>
      <c r="Y856">
        <v>3368.1852680000002</v>
      </c>
      <c r="Z856">
        <f t="shared" si="42"/>
        <v>92365.08714967368</v>
      </c>
    </row>
    <row r="857" spans="12:26" x14ac:dyDescent="0.55000000000000004">
      <c r="L857">
        <v>852</v>
      </c>
      <c r="M857">
        <v>0.21234700000000001</v>
      </c>
      <c r="N857">
        <v>15397.857784</v>
      </c>
      <c r="O857">
        <f t="shared" si="41"/>
        <v>72512.716374613243</v>
      </c>
      <c r="W857">
        <v>852</v>
      </c>
      <c r="X857">
        <v>3.6465999999999998E-2</v>
      </c>
      <c r="Y857">
        <v>3367.0262149999999</v>
      </c>
      <c r="Z857">
        <f t="shared" si="42"/>
        <v>92333.302665496623</v>
      </c>
    </row>
    <row r="858" spans="12:26" x14ac:dyDescent="0.55000000000000004">
      <c r="L858">
        <v>853</v>
      </c>
      <c r="M858">
        <v>0.21234700000000001</v>
      </c>
      <c r="N858">
        <v>15397.750521</v>
      </c>
      <c r="O858">
        <f t="shared" si="41"/>
        <v>72512.211243860278</v>
      </c>
      <c r="W858">
        <v>853</v>
      </c>
      <c r="X858">
        <v>3.6465999999999998E-2</v>
      </c>
      <c r="Y858">
        <v>3365.8596250000001</v>
      </c>
      <c r="Z858">
        <f t="shared" si="42"/>
        <v>92301.311495639777</v>
      </c>
    </row>
    <row r="859" spans="12:26" x14ac:dyDescent="0.55000000000000004">
      <c r="L859">
        <v>854</v>
      </c>
      <c r="M859">
        <v>0.21234700000000001</v>
      </c>
      <c r="N859">
        <v>15397.632890000001</v>
      </c>
      <c r="O859">
        <f t="shared" si="41"/>
        <v>72511.657287364549</v>
      </c>
      <c r="W859">
        <v>854</v>
      </c>
      <c r="X859">
        <v>3.6465999999999998E-2</v>
      </c>
      <c r="Y859">
        <v>3364.6842510000001</v>
      </c>
      <c r="Z859">
        <f t="shared" si="42"/>
        <v>92269.079443865528</v>
      </c>
    </row>
    <row r="860" spans="12:26" x14ac:dyDescent="0.55000000000000004">
      <c r="L860">
        <v>855</v>
      </c>
      <c r="M860">
        <v>0.21234700000000001</v>
      </c>
      <c r="N860">
        <v>15397.503972</v>
      </c>
      <c r="O860">
        <f t="shared" si="41"/>
        <v>72511.050177304132</v>
      </c>
      <c r="W860">
        <v>855</v>
      </c>
      <c r="X860">
        <v>3.6465999999999998E-2</v>
      </c>
      <c r="Y860">
        <v>3363.4988119999998</v>
      </c>
      <c r="Z860">
        <f t="shared" si="42"/>
        <v>92236.571381560905</v>
      </c>
    </row>
    <row r="861" spans="12:26" x14ac:dyDescent="0.55000000000000004">
      <c r="L861">
        <v>856</v>
      </c>
      <c r="M861">
        <v>0.21234700000000001</v>
      </c>
      <c r="N861">
        <v>15397.362772</v>
      </c>
      <c r="O861">
        <f t="shared" si="41"/>
        <v>72510.385227952356</v>
      </c>
      <c r="W861">
        <v>856</v>
      </c>
      <c r="X861">
        <v>3.6465999999999998E-2</v>
      </c>
      <c r="Y861">
        <v>3362.301997</v>
      </c>
      <c r="Z861">
        <f t="shared" si="42"/>
        <v>92203.751357428846</v>
      </c>
    </row>
    <row r="862" spans="12:26" x14ac:dyDescent="0.55000000000000004">
      <c r="L862">
        <v>857</v>
      </c>
      <c r="M862">
        <v>0.21234700000000001</v>
      </c>
      <c r="N862">
        <v>15397.208216999999</v>
      </c>
      <c r="O862">
        <f t="shared" si="41"/>
        <v>72509.657386259278</v>
      </c>
      <c r="W862">
        <v>857</v>
      </c>
      <c r="X862">
        <v>3.6465999999999998E-2</v>
      </c>
      <c r="Y862">
        <v>3361.0924660000001</v>
      </c>
      <c r="Z862">
        <f t="shared" si="42"/>
        <v>92170.58262491088</v>
      </c>
    </row>
    <row r="863" spans="12:26" x14ac:dyDescent="0.55000000000000004">
      <c r="L863">
        <v>858</v>
      </c>
      <c r="M863">
        <v>0.21234700000000001</v>
      </c>
      <c r="N863">
        <v>15397.039151999999</v>
      </c>
      <c r="O863">
        <f t="shared" si="41"/>
        <v>72508.861213014548</v>
      </c>
      <c r="W863">
        <v>858</v>
      </c>
      <c r="X863">
        <v>3.6465999999999998E-2</v>
      </c>
      <c r="Y863">
        <v>3359.8688459999998</v>
      </c>
      <c r="Z863">
        <f t="shared" si="42"/>
        <v>92137.027532496024</v>
      </c>
    </row>
    <row r="864" spans="12:26" x14ac:dyDescent="0.55000000000000004">
      <c r="L864">
        <v>859</v>
      </c>
      <c r="M864">
        <v>0.21234700000000001</v>
      </c>
      <c r="N864">
        <v>15396.85433</v>
      </c>
      <c r="O864">
        <f t="shared" si="41"/>
        <v>72507.990835754681</v>
      </c>
      <c r="W864">
        <v>859</v>
      </c>
      <c r="X864">
        <v>3.6465999999999998E-2</v>
      </c>
      <c r="Y864">
        <v>3358.6297340000001</v>
      </c>
      <c r="Z864">
        <f t="shared" si="42"/>
        <v>92103.047605989152</v>
      </c>
    </row>
    <row r="865" spans="12:26" x14ac:dyDescent="0.55000000000000004">
      <c r="L865">
        <v>860</v>
      </c>
      <c r="M865">
        <v>0.21234700000000001</v>
      </c>
      <c r="N865">
        <v>15396.652410999999</v>
      </c>
      <c r="O865">
        <f t="shared" si="41"/>
        <v>72507.039944053831</v>
      </c>
      <c r="W865">
        <v>860</v>
      </c>
      <c r="X865">
        <v>3.6465999999999998E-2</v>
      </c>
      <c r="Y865">
        <v>3357.3736979999999</v>
      </c>
      <c r="Z865">
        <f t="shared" si="42"/>
        <v>92068.603575933754</v>
      </c>
    </row>
    <row r="866" spans="12:26" x14ac:dyDescent="0.55000000000000004">
      <c r="L866">
        <v>861</v>
      </c>
      <c r="M866">
        <v>0.21234700000000001</v>
      </c>
      <c r="N866">
        <v>15396.431952000001</v>
      </c>
      <c r="O866">
        <f t="shared" si="41"/>
        <v>72506.001742431021</v>
      </c>
      <c r="W866">
        <v>861</v>
      </c>
      <c r="X866">
        <v>3.6465999999999998E-2</v>
      </c>
      <c r="Y866">
        <v>3356.0992740000002</v>
      </c>
      <c r="Z866">
        <f t="shared" si="42"/>
        <v>92033.655295343618</v>
      </c>
    </row>
    <row r="867" spans="12:26" x14ac:dyDescent="0.55000000000000004">
      <c r="L867">
        <v>862</v>
      </c>
      <c r="M867">
        <v>0.21234700000000001</v>
      </c>
      <c r="N867">
        <v>15396.191401</v>
      </c>
      <c r="O867">
        <f t="shared" si="41"/>
        <v>72504.868922094494</v>
      </c>
      <c r="W867">
        <v>862</v>
      </c>
      <c r="X867">
        <v>3.6465999999999998E-2</v>
      </c>
      <c r="Y867">
        <v>3354.8049679999999</v>
      </c>
      <c r="Z867">
        <f t="shared" si="42"/>
        <v>91998.161794548345</v>
      </c>
    </row>
    <row r="868" spans="12:26" x14ac:dyDescent="0.55000000000000004">
      <c r="L868">
        <v>863</v>
      </c>
      <c r="M868">
        <v>0.21234700000000001</v>
      </c>
      <c r="N868">
        <v>15395.929093999999</v>
      </c>
      <c r="O868">
        <f t="shared" si="41"/>
        <v>72503.633646813934</v>
      </c>
      <c r="W868">
        <v>863</v>
      </c>
      <c r="X868">
        <v>3.6465999999999998E-2</v>
      </c>
      <c r="Y868">
        <v>3353.4892580000001</v>
      </c>
      <c r="Z868">
        <f t="shared" si="42"/>
        <v>91962.08133603906</v>
      </c>
    </row>
    <row r="869" spans="12:26" x14ac:dyDescent="0.55000000000000004">
      <c r="L869">
        <v>864</v>
      </c>
      <c r="M869">
        <v>0.21234700000000001</v>
      </c>
      <c r="N869">
        <v>15395.643243</v>
      </c>
      <c r="O869">
        <f t="shared" si="41"/>
        <v>72502.287496409175</v>
      </c>
      <c r="W869">
        <v>864</v>
      </c>
      <c r="X869">
        <v>3.6465999999999998E-2</v>
      </c>
      <c r="Y869">
        <v>3352.1505900000002</v>
      </c>
      <c r="Z869">
        <f t="shared" si="42"/>
        <v>91925.371304777058</v>
      </c>
    </row>
    <row r="870" spans="12:26" x14ac:dyDescent="0.55000000000000004">
      <c r="L870">
        <v>865</v>
      </c>
      <c r="M870">
        <v>0.21234700000000001</v>
      </c>
      <c r="N870">
        <v>15395.331931000001</v>
      </c>
      <c r="O870">
        <f t="shared" si="41"/>
        <v>72500.821443203808</v>
      </c>
      <c r="W870">
        <v>865</v>
      </c>
      <c r="X870">
        <v>3.6465999999999998E-2</v>
      </c>
      <c r="Y870">
        <v>3350.787382</v>
      </c>
      <c r="Z870">
        <f t="shared" si="42"/>
        <v>91887.98831788516</v>
      </c>
    </row>
    <row r="871" spans="12:26" x14ac:dyDescent="0.55000000000000004">
      <c r="L871">
        <v>866</v>
      </c>
      <c r="M871">
        <v>0.21234700000000001</v>
      </c>
      <c r="N871">
        <v>15394.993103999999</v>
      </c>
      <c r="O871">
        <f t="shared" si="41"/>
        <v>72499.225814351026</v>
      </c>
      <c r="W871">
        <v>866</v>
      </c>
      <c r="X871">
        <v>3.6465999999999998E-2</v>
      </c>
      <c r="Y871">
        <v>3349.398021</v>
      </c>
      <c r="Z871">
        <f t="shared" si="42"/>
        <v>91849.888142379205</v>
      </c>
    </row>
    <row r="872" spans="12:26" x14ac:dyDescent="0.55000000000000004">
      <c r="L872">
        <v>867</v>
      </c>
      <c r="M872">
        <v>0.21234700000000001</v>
      </c>
      <c r="N872">
        <v>15394.624562000001</v>
      </c>
      <c r="O872">
        <f t="shared" si="41"/>
        <v>72497.490249450188</v>
      </c>
      <c r="W872">
        <v>867</v>
      </c>
      <c r="X872">
        <v>3.6465999999999998E-2</v>
      </c>
      <c r="Y872">
        <v>3347.9808680000001</v>
      </c>
      <c r="Z872">
        <f t="shared" si="42"/>
        <v>91811.025832282132</v>
      </c>
    </row>
    <row r="873" spans="12:26" x14ac:dyDescent="0.55000000000000004">
      <c r="L873">
        <v>868</v>
      </c>
      <c r="M873">
        <v>0.21234700000000001</v>
      </c>
      <c r="N873">
        <v>15394.223952</v>
      </c>
      <c r="O873">
        <f t="shared" si="41"/>
        <v>72495.603667581832</v>
      </c>
      <c r="W873">
        <v>868</v>
      </c>
      <c r="X873">
        <v>3.6465999999999998E-2</v>
      </c>
      <c r="Y873">
        <v>3346.5342529999998</v>
      </c>
      <c r="Z873">
        <f t="shared" si="42"/>
        <v>91771.355591509899</v>
      </c>
    </row>
    <row r="874" spans="12:26" x14ac:dyDescent="0.55000000000000004">
      <c r="L874">
        <v>869</v>
      </c>
      <c r="M874">
        <v>0.21234700000000001</v>
      </c>
      <c r="N874">
        <v>15393.788758999999</v>
      </c>
      <c r="O874">
        <f t="shared" si="41"/>
        <v>72493.554224924286</v>
      </c>
      <c r="W874">
        <v>869</v>
      </c>
      <c r="X874">
        <v>3.6465999999999998E-2</v>
      </c>
      <c r="Y874">
        <v>3345.056478</v>
      </c>
      <c r="Z874">
        <f t="shared" si="42"/>
        <v>91730.830856139975</v>
      </c>
    </row>
    <row r="875" spans="12:26" x14ac:dyDescent="0.55000000000000004">
      <c r="L875">
        <v>870</v>
      </c>
      <c r="M875">
        <v>0.21234700000000001</v>
      </c>
      <c r="N875">
        <v>15393.316295000001</v>
      </c>
      <c r="O875">
        <f t="shared" si="41"/>
        <v>72491.32926295168</v>
      </c>
      <c r="W875">
        <v>870</v>
      </c>
      <c r="X875">
        <v>3.6465999999999998E-2</v>
      </c>
      <c r="Y875">
        <v>3343.5458159999998</v>
      </c>
      <c r="Z875">
        <f t="shared" si="42"/>
        <v>91689.404266988422</v>
      </c>
    </row>
    <row r="876" spans="12:26" x14ac:dyDescent="0.55000000000000004">
      <c r="L876">
        <v>871</v>
      </c>
      <c r="M876">
        <v>0.21234700000000001</v>
      </c>
      <c r="N876">
        <v>15392.803690000001</v>
      </c>
      <c r="O876">
        <f t="shared" si="41"/>
        <v>72488.915266050375</v>
      </c>
      <c r="W876">
        <v>871</v>
      </c>
      <c r="X876">
        <v>3.6465999999999998E-2</v>
      </c>
      <c r="Y876">
        <v>3342.0005139999998</v>
      </c>
      <c r="Z876">
        <f t="shared" si="42"/>
        <v>91647.027751878457</v>
      </c>
    </row>
    <row r="877" spans="12:26" x14ac:dyDescent="0.55000000000000004">
      <c r="L877">
        <v>872</v>
      </c>
      <c r="M877">
        <v>0.21234700000000001</v>
      </c>
      <c r="N877">
        <v>15392.247885999999</v>
      </c>
      <c r="O877">
        <f t="shared" si="41"/>
        <v>72486.297833263467</v>
      </c>
      <c r="W877">
        <v>872</v>
      </c>
      <c r="X877">
        <v>3.6465999999999998E-2</v>
      </c>
      <c r="Y877">
        <v>3340.4187900000002</v>
      </c>
      <c r="Z877">
        <f t="shared" si="42"/>
        <v>91603.652443371917</v>
      </c>
    </row>
    <row r="878" spans="12:26" x14ac:dyDescent="0.55000000000000004">
      <c r="L878">
        <v>873</v>
      </c>
      <c r="M878">
        <v>0.21234700000000001</v>
      </c>
      <c r="N878">
        <v>15391.645622</v>
      </c>
      <c r="O878">
        <f t="shared" si="41"/>
        <v>72483.461607651625</v>
      </c>
      <c r="W878">
        <v>873</v>
      </c>
      <c r="X878">
        <v>3.6465999999999998E-2</v>
      </c>
      <c r="Y878">
        <v>3338.7988369999998</v>
      </c>
      <c r="Z878">
        <f t="shared" si="42"/>
        <v>91559.228788460488</v>
      </c>
    </row>
    <row r="879" spans="12:26" x14ac:dyDescent="0.55000000000000004">
      <c r="L879">
        <v>874</v>
      </c>
      <c r="M879">
        <v>0.21234700000000001</v>
      </c>
      <c r="N879">
        <v>15390.993424</v>
      </c>
      <c r="O879">
        <f t="shared" si="41"/>
        <v>72480.390229200319</v>
      </c>
      <c r="W879">
        <v>874</v>
      </c>
      <c r="X879">
        <v>3.6465999999999998E-2</v>
      </c>
      <c r="Y879">
        <v>3337.1388189999998</v>
      </c>
      <c r="Z879">
        <f t="shared" si="42"/>
        <v>91513.706438874564</v>
      </c>
    </row>
    <row r="880" spans="12:26" x14ac:dyDescent="0.55000000000000004">
      <c r="L880">
        <v>875</v>
      </c>
      <c r="M880">
        <v>0.21234700000000001</v>
      </c>
      <c r="N880">
        <v>15390.2876</v>
      </c>
      <c r="O880">
        <f t="shared" si="41"/>
        <v>72477.06631127352</v>
      </c>
      <c r="W880">
        <v>875</v>
      </c>
      <c r="X880">
        <v>3.6465999999999998E-2</v>
      </c>
      <c r="Y880">
        <v>3335.4368749999999</v>
      </c>
      <c r="Z880">
        <f t="shared" si="42"/>
        <v>91467.034360774414</v>
      </c>
    </row>
    <row r="881" spans="12:26" x14ac:dyDescent="0.55000000000000004">
      <c r="L881">
        <v>876</v>
      </c>
      <c r="M881">
        <v>0.21234700000000001</v>
      </c>
      <c r="N881">
        <v>15389.524219000001</v>
      </c>
      <c r="O881">
        <f t="shared" si="41"/>
        <v>72473.471341718978</v>
      </c>
      <c r="W881">
        <v>876</v>
      </c>
      <c r="X881">
        <v>3.6465999999999998E-2</v>
      </c>
      <c r="Y881">
        <v>3333.6911190000001</v>
      </c>
      <c r="Z881">
        <f t="shared" si="42"/>
        <v>91419.16083475019</v>
      </c>
    </row>
    <row r="882" spans="12:26" x14ac:dyDescent="0.55000000000000004">
      <c r="L882">
        <v>877</v>
      </c>
      <c r="M882">
        <v>0.21234700000000001</v>
      </c>
      <c r="N882">
        <v>15388.699111</v>
      </c>
      <c r="O882">
        <f t="shared" si="41"/>
        <v>72469.585682868128</v>
      </c>
      <c r="W882">
        <v>877</v>
      </c>
      <c r="X882">
        <v>3.6465999999999998E-2</v>
      </c>
      <c r="Y882">
        <v>3331.8996400000001</v>
      </c>
      <c r="Z882">
        <f t="shared" si="42"/>
        <v>91370.033455821875</v>
      </c>
    </row>
    <row r="883" spans="12:26" x14ac:dyDescent="0.55000000000000004">
      <c r="L883">
        <v>878</v>
      </c>
      <c r="M883">
        <v>0.21234700000000001</v>
      </c>
      <c r="N883">
        <v>15387.807844000001</v>
      </c>
      <c r="O883">
        <f t="shared" si="41"/>
        <v>72465.388463222931</v>
      </c>
      <c r="W883">
        <v>878</v>
      </c>
      <c r="X883">
        <v>3.6465999999999998E-2</v>
      </c>
      <c r="Y883">
        <v>3330.0605</v>
      </c>
      <c r="Z883">
        <f t="shared" si="42"/>
        <v>91319.599078593761</v>
      </c>
    </row>
    <row r="884" spans="12:26" x14ac:dyDescent="0.55000000000000004">
      <c r="L884">
        <v>879</v>
      </c>
      <c r="M884">
        <v>0.21234700000000001</v>
      </c>
      <c r="N884">
        <v>15386.845722</v>
      </c>
      <c r="O884">
        <f t="shared" si="41"/>
        <v>72460.857568037216</v>
      </c>
      <c r="W884">
        <v>879</v>
      </c>
      <c r="X884">
        <v>3.6465999999999998E-2</v>
      </c>
      <c r="Y884">
        <v>3328.1717400000002</v>
      </c>
      <c r="Z884">
        <f t="shared" si="42"/>
        <v>91267.803981791265</v>
      </c>
    </row>
    <row r="885" spans="12:26" x14ac:dyDescent="0.55000000000000004">
      <c r="L885">
        <v>880</v>
      </c>
      <c r="M885">
        <v>0.21234700000000001</v>
      </c>
      <c r="N885">
        <v>15385.807767</v>
      </c>
      <c r="O885">
        <f t="shared" si="41"/>
        <v>72455.969554549869</v>
      </c>
      <c r="W885">
        <v>880</v>
      </c>
      <c r="X885">
        <v>3.6465999999999998E-2</v>
      </c>
      <c r="Y885">
        <v>3326.2313760000002</v>
      </c>
      <c r="Z885">
        <f t="shared" si="42"/>
        <v>91214.593758569637</v>
      </c>
    </row>
    <row r="886" spans="12:26" x14ac:dyDescent="0.55000000000000004">
      <c r="L886">
        <v>881</v>
      </c>
      <c r="M886">
        <v>0.21234700000000001</v>
      </c>
      <c r="N886">
        <v>15384.688706000001</v>
      </c>
      <c r="O886">
        <f t="shared" si="41"/>
        <v>72450.699590764169</v>
      </c>
      <c r="W886">
        <v>881</v>
      </c>
      <c r="X886">
        <v>3.6465999999999998E-2</v>
      </c>
      <c r="Y886">
        <v>3324.2374020000002</v>
      </c>
      <c r="Z886">
        <f t="shared" si="42"/>
        <v>91159.913398782432</v>
      </c>
    </row>
    <row r="887" spans="12:26" x14ac:dyDescent="0.55000000000000004">
      <c r="L887">
        <v>882</v>
      </c>
      <c r="M887">
        <v>0.21234700000000001</v>
      </c>
      <c r="N887">
        <v>15383.482964000001</v>
      </c>
      <c r="O887">
        <f t="shared" si="41"/>
        <v>72445.021422483012</v>
      </c>
      <c r="W887">
        <v>882</v>
      </c>
      <c r="X887">
        <v>3.6465999999999998E-2</v>
      </c>
      <c r="Y887">
        <v>3322.1877899999999</v>
      </c>
      <c r="Z887">
        <f t="shared" si="42"/>
        <v>91103.707288981517</v>
      </c>
    </row>
    <row r="888" spans="12:26" x14ac:dyDescent="0.55000000000000004">
      <c r="L888">
        <v>883</v>
      </c>
      <c r="M888">
        <v>0.21234700000000001</v>
      </c>
      <c r="N888">
        <v>15382.184644000001</v>
      </c>
      <c r="O888">
        <f t="shared" si="41"/>
        <v>72438.907279123319</v>
      </c>
      <c r="W888">
        <v>883</v>
      </c>
      <c r="X888">
        <v>3.6465999999999998E-2</v>
      </c>
      <c r="Y888">
        <v>3320.0804910000002</v>
      </c>
      <c r="Z888">
        <f t="shared" si="42"/>
        <v>91045.919239839859</v>
      </c>
    </row>
    <row r="889" spans="12:26" x14ac:dyDescent="0.55000000000000004">
      <c r="L889">
        <v>884</v>
      </c>
      <c r="M889">
        <v>0.21234700000000001</v>
      </c>
      <c r="N889">
        <v>15380.787521</v>
      </c>
      <c r="O889">
        <f t="shared" si="41"/>
        <v>72432.327845460488</v>
      </c>
      <c r="W889">
        <v>884</v>
      </c>
      <c r="X889">
        <v>3.6465999999999998E-2</v>
      </c>
      <c r="Y889">
        <v>3317.9134359999998</v>
      </c>
      <c r="Z889">
        <f t="shared" si="42"/>
        <v>90986.492513574281</v>
      </c>
    </row>
    <row r="890" spans="12:26" x14ac:dyDescent="0.55000000000000004">
      <c r="L890">
        <v>885</v>
      </c>
      <c r="M890">
        <v>0.21234600000000001</v>
      </c>
      <c r="N890">
        <v>15379.285021</v>
      </c>
      <c r="O890">
        <f t="shared" si="41"/>
        <v>72425.593234626504</v>
      </c>
      <c r="W890">
        <v>885</v>
      </c>
      <c r="X890">
        <v>3.6465999999999998E-2</v>
      </c>
      <c r="Y890">
        <v>3315.6845360000002</v>
      </c>
      <c r="Z890">
        <f t="shared" si="42"/>
        <v>90925.369823945599</v>
      </c>
    </row>
    <row r="891" spans="12:26" x14ac:dyDescent="0.55000000000000004">
      <c r="L891">
        <v>886</v>
      </c>
      <c r="M891">
        <v>0.21234600000000001</v>
      </c>
      <c r="N891">
        <v>15377.670217999999</v>
      </c>
      <c r="O891">
        <f t="shared" si="41"/>
        <v>72417.988650598549</v>
      </c>
      <c r="W891">
        <v>886</v>
      </c>
      <c r="X891">
        <v>3.6465999999999998E-2</v>
      </c>
      <c r="Y891">
        <v>3313.3916819999999</v>
      </c>
      <c r="Z891">
        <f t="shared" si="42"/>
        <v>90862.493336258442</v>
      </c>
    </row>
    <row r="892" spans="12:26" x14ac:dyDescent="0.55000000000000004">
      <c r="L892">
        <v>887</v>
      </c>
      <c r="M892">
        <v>0.21234600000000001</v>
      </c>
      <c r="N892">
        <v>15375.935809000001</v>
      </c>
      <c r="O892">
        <f t="shared" si="41"/>
        <v>72409.820806608084</v>
      </c>
      <c r="W892">
        <v>887</v>
      </c>
      <c r="X892">
        <v>3.6465999999999998E-2</v>
      </c>
      <c r="Y892">
        <v>3311.0327510000002</v>
      </c>
      <c r="Z892">
        <f t="shared" si="42"/>
        <v>90797.804831898218</v>
      </c>
    </row>
    <row r="893" spans="12:26" x14ac:dyDescent="0.55000000000000004">
      <c r="L893">
        <v>888</v>
      </c>
      <c r="M893">
        <v>0.21234600000000001</v>
      </c>
      <c r="N893">
        <v>15374.074112</v>
      </c>
      <c r="O893">
        <f t="shared" si="41"/>
        <v>72401.053525849318</v>
      </c>
      <c r="W893">
        <v>888</v>
      </c>
      <c r="X893">
        <v>3.6465999999999998E-2</v>
      </c>
      <c r="Y893">
        <v>3308.6056010000002</v>
      </c>
      <c r="Z893">
        <f t="shared" si="42"/>
        <v>90731.245571217034</v>
      </c>
    </row>
    <row r="894" spans="12:26" x14ac:dyDescent="0.55000000000000004">
      <c r="L894">
        <v>889</v>
      </c>
      <c r="M894">
        <v>0.21234500000000001</v>
      </c>
      <c r="N894">
        <v>15372.077044</v>
      </c>
      <c r="O894">
        <f t="shared" si="41"/>
        <v>72391.989658339022</v>
      </c>
      <c r="W894">
        <v>889</v>
      </c>
      <c r="X894">
        <v>3.6465999999999998E-2</v>
      </c>
      <c r="Y894">
        <v>3306.1080729999999</v>
      </c>
      <c r="Z894">
        <f t="shared" si="42"/>
        <v>90662.756348379306</v>
      </c>
    </row>
    <row r="895" spans="12:26" x14ac:dyDescent="0.55000000000000004">
      <c r="L895">
        <v>890</v>
      </c>
      <c r="M895">
        <v>0.21234500000000001</v>
      </c>
      <c r="N895">
        <v>15369.936113</v>
      </c>
      <c r="O895">
        <f t="shared" si="41"/>
        <v>72381.907334761825</v>
      </c>
      <c r="W895">
        <v>890</v>
      </c>
      <c r="X895">
        <v>3.6465999999999998E-2</v>
      </c>
      <c r="Y895">
        <v>3303.5379969999999</v>
      </c>
      <c r="Z895">
        <f t="shared" si="42"/>
        <v>90592.277655898652</v>
      </c>
    </row>
    <row r="896" spans="12:26" x14ac:dyDescent="0.55000000000000004">
      <c r="L896">
        <v>891</v>
      </c>
      <c r="M896">
        <v>0.212344</v>
      </c>
      <c r="N896">
        <v>15367.642400999999</v>
      </c>
      <c r="O896">
        <f t="shared" si="41"/>
        <v>72371.446337075686</v>
      </c>
      <c r="W896">
        <v>891</v>
      </c>
      <c r="X896">
        <v>3.6465999999999998E-2</v>
      </c>
      <c r="Y896">
        <v>3300.8931859999998</v>
      </c>
      <c r="Z896">
        <f t="shared" si="42"/>
        <v>90519.749520100915</v>
      </c>
    </row>
    <row r="897" spans="12:26" x14ac:dyDescent="0.55000000000000004">
      <c r="L897">
        <v>892</v>
      </c>
      <c r="M897">
        <v>0.212344</v>
      </c>
      <c r="N897">
        <v>15365.186556000001</v>
      </c>
      <c r="O897">
        <f t="shared" si="41"/>
        <v>72359.880929058505</v>
      </c>
      <c r="W897">
        <v>892</v>
      </c>
      <c r="X897">
        <v>3.6465999999999998E-2</v>
      </c>
      <c r="Y897">
        <v>3298.1714449999999</v>
      </c>
      <c r="Z897">
        <f t="shared" si="42"/>
        <v>90445.111747929579</v>
      </c>
    </row>
    <row r="898" spans="12:26" x14ac:dyDescent="0.55000000000000004">
      <c r="L898">
        <v>893</v>
      </c>
      <c r="M898">
        <v>0.212343</v>
      </c>
      <c r="N898">
        <v>15362.558775</v>
      </c>
      <c r="O898">
        <f t="shared" si="41"/>
        <v>72347.846526610243</v>
      </c>
      <c r="W898">
        <v>893</v>
      </c>
      <c r="X898">
        <v>3.6465999999999998E-2</v>
      </c>
      <c r="Y898">
        <v>3295.3705639999998</v>
      </c>
      <c r="Z898">
        <f t="shared" si="42"/>
        <v>90368.30373498601</v>
      </c>
    </row>
    <row r="899" spans="12:26" x14ac:dyDescent="0.55000000000000004">
      <c r="L899">
        <v>894</v>
      </c>
      <c r="M899">
        <v>0.212342</v>
      </c>
      <c r="N899">
        <v>15359.748793999999</v>
      </c>
      <c r="O899">
        <f t="shared" si="41"/>
        <v>72334.953961062813</v>
      </c>
      <c r="W899">
        <v>894</v>
      </c>
      <c r="X899">
        <v>3.6465999999999998E-2</v>
      </c>
      <c r="Y899">
        <v>3292.4883260000001</v>
      </c>
      <c r="Z899">
        <f t="shared" si="42"/>
        <v>90289.264684911977</v>
      </c>
    </row>
    <row r="900" spans="12:26" x14ac:dyDescent="0.55000000000000004">
      <c r="L900">
        <v>895</v>
      </c>
      <c r="M900">
        <v>0.212342</v>
      </c>
      <c r="N900">
        <v>15356.745874</v>
      </c>
      <c r="O900">
        <f t="shared" si="41"/>
        <v>72320.812057906587</v>
      </c>
      <c r="W900">
        <v>895</v>
      </c>
      <c r="X900">
        <v>3.6465999999999998E-2</v>
      </c>
      <c r="Y900">
        <v>3289.5225049999999</v>
      </c>
      <c r="Z900">
        <f t="shared" si="42"/>
        <v>90207.933554543954</v>
      </c>
    </row>
    <row r="901" spans="12:26" x14ac:dyDescent="0.55000000000000004">
      <c r="L901">
        <v>896</v>
      </c>
      <c r="M901">
        <v>0.212341</v>
      </c>
      <c r="N901">
        <v>15353.538791000001</v>
      </c>
      <c r="O901">
        <f t="shared" si="41"/>
        <v>72306.049189746685</v>
      </c>
      <c r="W901">
        <v>896</v>
      </c>
      <c r="X901">
        <v>3.6465999999999998E-2</v>
      </c>
      <c r="Y901">
        <v>3286.470867</v>
      </c>
      <c r="Z901">
        <f t="shared" si="42"/>
        <v>90124.249081336049</v>
      </c>
    </row>
    <row r="902" spans="12:26" x14ac:dyDescent="0.55000000000000004">
      <c r="L902">
        <v>897</v>
      </c>
      <c r="M902">
        <v>0.212339</v>
      </c>
      <c r="N902">
        <v>15350.115825000001</v>
      </c>
      <c r="O902">
        <f t="shared" ref="O902:O965" si="43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42"/>
        <v>90038.149920473865</v>
      </c>
    </row>
    <row r="903" spans="12:26" x14ac:dyDescent="0.55000000000000004">
      <c r="L903">
        <v>898</v>
      </c>
      <c r="M903">
        <v>0.212338</v>
      </c>
      <c r="N903">
        <v>15346.464746</v>
      </c>
      <c r="O903">
        <f t="shared" si="43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44">Y903/X903</f>
        <v>89949.574562606271</v>
      </c>
    </row>
    <row r="904" spans="12:26" x14ac:dyDescent="0.55000000000000004">
      <c r="L904">
        <v>899</v>
      </c>
      <c r="M904">
        <v>0.212336</v>
      </c>
      <c r="N904">
        <v>15342.57281</v>
      </c>
      <c r="O904">
        <f t="shared" si="43"/>
        <v>72256.107348730307</v>
      </c>
      <c r="W904">
        <v>899</v>
      </c>
      <c r="X904">
        <v>3.6465999999999998E-2</v>
      </c>
      <c r="Y904">
        <v>3276.778656</v>
      </c>
      <c r="Z904">
        <f t="shared" si="44"/>
        <v>89858.461470959257</v>
      </c>
    </row>
    <row r="905" spans="12:26" x14ac:dyDescent="0.55000000000000004">
      <c r="L905">
        <v>900</v>
      </c>
      <c r="M905">
        <v>0.21233399999999999</v>
      </c>
      <c r="N905">
        <v>15338.426743</v>
      </c>
      <c r="O905">
        <f t="shared" si="43"/>
        <v>72237.261780967718</v>
      </c>
      <c r="W905">
        <v>900</v>
      </c>
      <c r="X905">
        <v>3.6465999999999998E-2</v>
      </c>
      <c r="Y905">
        <v>3273.361339</v>
      </c>
      <c r="Z905">
        <f t="shared" si="44"/>
        <v>89764.749053913241</v>
      </c>
    </row>
    <row r="906" spans="12:26" x14ac:dyDescent="0.55000000000000004">
      <c r="L906">
        <v>901</v>
      </c>
      <c r="M906">
        <v>0.21233199999999999</v>
      </c>
      <c r="N906">
        <v>15334.012736000001</v>
      </c>
      <c r="O906">
        <f t="shared" si="43"/>
        <v>72217.153966429934</v>
      </c>
      <c r="W906">
        <v>901</v>
      </c>
      <c r="X906">
        <v>3.6465999999999998E-2</v>
      </c>
      <c r="Y906">
        <v>3269.8469909999999</v>
      </c>
      <c r="Z906">
        <f t="shared" si="44"/>
        <v>89668.375774694243</v>
      </c>
    </row>
    <row r="907" spans="12:26" x14ac:dyDescent="0.55000000000000004">
      <c r="L907">
        <v>902</v>
      </c>
      <c r="M907">
        <v>0.21232999999999999</v>
      </c>
      <c r="N907">
        <v>15329.316439</v>
      </c>
      <c r="O907">
        <f t="shared" si="43"/>
        <v>72195.71628596996</v>
      </c>
      <c r="W907">
        <v>902</v>
      </c>
      <c r="X907">
        <v>3.6465999999999998E-2</v>
      </c>
      <c r="Y907">
        <v>3266.2333709999998</v>
      </c>
      <c r="Z907">
        <f t="shared" si="44"/>
        <v>89569.280178796689</v>
      </c>
    </row>
    <row r="908" spans="12:26" x14ac:dyDescent="0.55000000000000004">
      <c r="L908">
        <v>903</v>
      </c>
      <c r="M908">
        <v>0.21232699999999999</v>
      </c>
      <c r="N908">
        <v>15324.322948000001</v>
      </c>
      <c r="O908">
        <f t="shared" si="43"/>
        <v>72173.218422527527</v>
      </c>
      <c r="W908">
        <v>903</v>
      </c>
      <c r="X908">
        <v>3.6465999999999998E-2</v>
      </c>
      <c r="Y908">
        <v>3262.5182410000002</v>
      </c>
      <c r="Z908">
        <f t="shared" si="44"/>
        <v>89467.400893983446</v>
      </c>
    </row>
    <row r="909" spans="12:26" x14ac:dyDescent="0.55000000000000004">
      <c r="L909">
        <v>904</v>
      </c>
      <c r="M909">
        <v>0.21232400000000001</v>
      </c>
      <c r="N909">
        <v>15319.016804000001</v>
      </c>
      <c r="O909">
        <f t="shared" si="43"/>
        <v>72149.247395489918</v>
      </c>
      <c r="W909">
        <v>904</v>
      </c>
      <c r="X909">
        <v>3.6465999999999998E-2</v>
      </c>
      <c r="Y909">
        <v>3258.6993689999999</v>
      </c>
      <c r="Z909">
        <f t="shared" si="44"/>
        <v>89362.676712554166</v>
      </c>
    </row>
    <row r="910" spans="12:26" x14ac:dyDescent="0.55000000000000004">
      <c r="L910">
        <v>905</v>
      </c>
      <c r="M910">
        <v>0.21232000000000001</v>
      </c>
      <c r="N910">
        <v>15313.38199</v>
      </c>
      <c r="O910">
        <f t="shared" si="43"/>
        <v>72124.067398266765</v>
      </c>
      <c r="W910">
        <v>905</v>
      </c>
      <c r="X910">
        <v>3.6465999999999998E-2</v>
      </c>
      <c r="Y910">
        <v>3254.7745340000001</v>
      </c>
      <c r="Z910">
        <f t="shared" si="44"/>
        <v>89255.046728459391</v>
      </c>
    </row>
    <row r="911" spans="12:26" x14ac:dyDescent="0.55000000000000004">
      <c r="L911">
        <v>906</v>
      </c>
      <c r="M911">
        <v>0.212315</v>
      </c>
      <c r="N911">
        <v>15307.40192</v>
      </c>
      <c r="O911">
        <f t="shared" si="43"/>
        <v>72097.599886960408</v>
      </c>
      <c r="W911">
        <v>906</v>
      </c>
      <c r="X911">
        <v>3.6465999999999998E-2</v>
      </c>
      <c r="Y911">
        <v>3250.7415230000001</v>
      </c>
      <c r="Z911">
        <f t="shared" si="44"/>
        <v>89144.45025503209</v>
      </c>
    </row>
    <row r="912" spans="12:26" x14ac:dyDescent="0.55000000000000004">
      <c r="L912">
        <v>907</v>
      </c>
      <c r="M912">
        <v>0.21231</v>
      </c>
      <c r="N912">
        <v>15301.059442</v>
      </c>
      <c r="O912">
        <f t="shared" si="43"/>
        <v>72069.424153360655</v>
      </c>
      <c r="W912">
        <v>907</v>
      </c>
      <c r="X912">
        <v>3.6465999999999998E-2</v>
      </c>
      <c r="Y912">
        <v>3246.5981339999998</v>
      </c>
      <c r="Z912">
        <f t="shared" si="44"/>
        <v>89030.82690725608</v>
      </c>
    </row>
    <row r="913" spans="12:26" x14ac:dyDescent="0.55000000000000004">
      <c r="L913">
        <v>908</v>
      </c>
      <c r="M913">
        <v>0.21230499999999999</v>
      </c>
      <c r="N913">
        <v>15294.336837999999</v>
      </c>
      <c r="O913">
        <f t="shared" si="43"/>
        <v>72039.456621370191</v>
      </c>
      <c r="W913">
        <v>908</v>
      </c>
      <c r="X913">
        <v>3.6465999999999998E-2</v>
      </c>
      <c r="Y913">
        <v>3242.3421800000001</v>
      </c>
      <c r="Z913">
        <f t="shared" si="44"/>
        <v>88914.11671145726</v>
      </c>
    </row>
    <row r="914" spans="12:26" x14ac:dyDescent="0.55000000000000004">
      <c r="L914">
        <v>909</v>
      </c>
      <c r="M914">
        <v>0.21229799999999999</v>
      </c>
      <c r="N914">
        <v>15287.215819999999</v>
      </c>
      <c r="O914">
        <f t="shared" si="43"/>
        <v>72008.289385674856</v>
      </c>
      <c r="W914">
        <v>909</v>
      </c>
      <c r="X914">
        <v>3.6465999999999998E-2</v>
      </c>
      <c r="Y914">
        <v>3237.9714909999998</v>
      </c>
      <c r="Z914">
        <f t="shared" si="44"/>
        <v>88794.260160149177</v>
      </c>
    </row>
    <row r="915" spans="12:26" x14ac:dyDescent="0.55000000000000004">
      <c r="L915">
        <v>910</v>
      </c>
      <c r="M915">
        <v>0.21229100000000001</v>
      </c>
      <c r="N915">
        <v>15279.677534</v>
      </c>
      <c r="O915">
        <f t="shared" si="43"/>
        <v>71975.154547295926</v>
      </c>
      <c r="W915">
        <v>910</v>
      </c>
      <c r="X915">
        <v>3.6465999999999998E-2</v>
      </c>
      <c r="Y915">
        <v>3233.483913</v>
      </c>
      <c r="Z915">
        <f t="shared" si="44"/>
        <v>88671.19818461033</v>
      </c>
    </row>
    <row r="916" spans="12:26" x14ac:dyDescent="0.55000000000000004">
      <c r="L916">
        <v>911</v>
      </c>
      <c r="M916">
        <v>0.212282</v>
      </c>
      <c r="N916">
        <v>15271.702563999999</v>
      </c>
      <c r="O916">
        <f t="shared" si="43"/>
        <v>71940.638226510011</v>
      </c>
      <c r="W916">
        <v>911</v>
      </c>
      <c r="X916">
        <v>3.6465999999999998E-2</v>
      </c>
      <c r="Y916">
        <v>3228.8773150000002</v>
      </c>
      <c r="Z916">
        <f t="shared" si="44"/>
        <v>88544.872346843651</v>
      </c>
    </row>
    <row r="917" spans="12:26" x14ac:dyDescent="0.55000000000000004">
      <c r="L917">
        <v>912</v>
      </c>
      <c r="M917">
        <v>0.21227199999999999</v>
      </c>
      <c r="N917">
        <v>15263.270936000001</v>
      </c>
      <c r="O917">
        <f t="shared" si="43"/>
        <v>71904.306437024206</v>
      </c>
      <c r="W917">
        <v>912</v>
      </c>
      <c r="X917">
        <v>3.6465999999999998E-2</v>
      </c>
      <c r="Y917">
        <v>3224.1495869999999</v>
      </c>
      <c r="Z917">
        <f t="shared" si="44"/>
        <v>88415.224784730977</v>
      </c>
    </row>
    <row r="918" spans="12:26" x14ac:dyDescent="0.55000000000000004">
      <c r="L918">
        <v>913</v>
      </c>
      <c r="M918">
        <v>0.21226100000000001</v>
      </c>
      <c r="N918">
        <v>15254.362126</v>
      </c>
      <c r="O918">
        <f t="shared" si="43"/>
        <v>71866.061716471697</v>
      </c>
      <c r="W918">
        <v>913</v>
      </c>
      <c r="X918">
        <v>3.6465999999999998E-2</v>
      </c>
      <c r="Y918">
        <v>3219.2986409999999</v>
      </c>
      <c r="Z918">
        <f t="shared" si="44"/>
        <v>88282.198239455931</v>
      </c>
    </row>
    <row r="919" spans="12:26" x14ac:dyDescent="0.55000000000000004">
      <c r="L919">
        <v>914</v>
      </c>
      <c r="M919">
        <v>0.21224899999999999</v>
      </c>
      <c r="N919">
        <v>15244.955065</v>
      </c>
      <c r="O919">
        <f t="shared" si="43"/>
        <v>71825.803961384983</v>
      </c>
      <c r="W919">
        <v>914</v>
      </c>
      <c r="X919">
        <v>3.6465999999999998E-2</v>
      </c>
      <c r="Y919">
        <v>3214.3224209999998</v>
      </c>
      <c r="Z919">
        <f t="shared" si="44"/>
        <v>88145.736329731808</v>
      </c>
    </row>
    <row r="920" spans="12:26" x14ac:dyDescent="0.55000000000000004">
      <c r="L920">
        <v>915</v>
      </c>
      <c r="M920">
        <v>0.21223400000000001</v>
      </c>
      <c r="N920">
        <v>15235.028156</v>
      </c>
      <c r="O920">
        <f t="shared" si="43"/>
        <v>71784.10695741493</v>
      </c>
      <c r="W920">
        <v>915</v>
      </c>
      <c r="X920">
        <v>3.6465999999999998E-2</v>
      </c>
      <c r="Y920">
        <v>3209.218895</v>
      </c>
      <c r="Z920">
        <f t="shared" si="44"/>
        <v>88005.783332419247</v>
      </c>
    </row>
    <row r="921" spans="12:26" x14ac:dyDescent="0.55000000000000004">
      <c r="L921">
        <v>916</v>
      </c>
      <c r="M921">
        <v>0.21221799999999999</v>
      </c>
      <c r="N921">
        <v>15224.559279999999</v>
      </c>
      <c r="O921">
        <f t="shared" si="43"/>
        <v>71740.188296939945</v>
      </c>
      <c r="W921">
        <v>916</v>
      </c>
      <c r="X921">
        <v>3.6464999999999997E-2</v>
      </c>
      <c r="Y921">
        <v>3203.9860669999998</v>
      </c>
      <c r="Z921">
        <f t="shared" si="44"/>
        <v>87864.694007952829</v>
      </c>
    </row>
    <row r="922" spans="12:26" x14ac:dyDescent="0.55000000000000004">
      <c r="L922">
        <v>917</v>
      </c>
      <c r="M922">
        <v>0.2122</v>
      </c>
      <c r="N922">
        <v>15213.525815999999</v>
      </c>
      <c r="O922">
        <f t="shared" si="43"/>
        <v>71694.278114985864</v>
      </c>
      <c r="W922">
        <v>917</v>
      </c>
      <c r="X922">
        <v>3.6464999999999997E-2</v>
      </c>
      <c r="Y922">
        <v>3198.6219719999999</v>
      </c>
      <c r="Z922">
        <f t="shared" si="44"/>
        <v>87717.591443850266</v>
      </c>
    </row>
    <row r="923" spans="12:26" x14ac:dyDescent="0.55000000000000004">
      <c r="L923">
        <v>918</v>
      </c>
      <c r="M923">
        <v>0.21217900000000001</v>
      </c>
      <c r="N923">
        <v>15201.904653</v>
      </c>
      <c r="O923">
        <f t="shared" si="43"/>
        <v>71646.60335377205</v>
      </c>
      <c r="W923">
        <v>918</v>
      </c>
      <c r="X923">
        <v>3.6464999999999997E-2</v>
      </c>
      <c r="Y923">
        <v>3193.1246799999999</v>
      </c>
      <c r="Z923">
        <f t="shared" si="44"/>
        <v>87566.836144247907</v>
      </c>
    </row>
    <row r="924" spans="12:26" x14ac:dyDescent="0.55000000000000004">
      <c r="L924">
        <v>919</v>
      </c>
      <c r="M924">
        <v>0.21215600000000001</v>
      </c>
      <c r="N924">
        <v>15189.672211999999</v>
      </c>
      <c r="O924">
        <f t="shared" si="43"/>
        <v>71596.71285280642</v>
      </c>
      <c r="W924">
        <v>919</v>
      </c>
      <c r="X924">
        <v>3.6464999999999997E-2</v>
      </c>
      <c r="Y924">
        <v>3187.492303</v>
      </c>
      <c r="Z924">
        <f t="shared" si="44"/>
        <v>87412.376333470456</v>
      </c>
    </row>
    <row r="925" spans="12:26" x14ac:dyDescent="0.55000000000000004">
      <c r="L925">
        <v>920</v>
      </c>
      <c r="M925">
        <v>0.21213000000000001</v>
      </c>
      <c r="N925">
        <v>15176.804464000001</v>
      </c>
      <c r="O925">
        <f t="shared" si="43"/>
        <v>71544.828473106114</v>
      </c>
      <c r="W925">
        <v>920</v>
      </c>
      <c r="X925">
        <v>3.6464000000000003E-2</v>
      </c>
      <c r="Y925">
        <v>3181.7229910000001</v>
      </c>
      <c r="Z925">
        <f t="shared" si="44"/>
        <v>87256.554163010092</v>
      </c>
    </row>
    <row r="926" spans="12:26" x14ac:dyDescent="0.55000000000000004">
      <c r="L926">
        <v>921</v>
      </c>
      <c r="M926">
        <v>0.21210100000000001</v>
      </c>
      <c r="N926">
        <v>15163.276958</v>
      </c>
      <c r="O926">
        <f t="shared" si="43"/>
        <v>71490.831999849121</v>
      </c>
      <c r="W926">
        <v>921</v>
      </c>
      <c r="X926">
        <v>3.6464000000000003E-2</v>
      </c>
      <c r="Y926">
        <v>3175.814938</v>
      </c>
      <c r="Z926">
        <f t="shared" si="44"/>
        <v>87094.529892496706</v>
      </c>
    </row>
    <row r="927" spans="12:26" x14ac:dyDescent="0.55000000000000004">
      <c r="L927">
        <v>922</v>
      </c>
      <c r="M927">
        <v>0.21206800000000001</v>
      </c>
      <c r="N927">
        <v>15149.064842</v>
      </c>
      <c r="O927">
        <f t="shared" si="43"/>
        <v>71434.939934360678</v>
      </c>
      <c r="W927">
        <v>922</v>
      </c>
      <c r="X927">
        <v>3.6464000000000003E-2</v>
      </c>
      <c r="Y927">
        <v>3169.766384</v>
      </c>
      <c r="Z927">
        <f t="shared" si="44"/>
        <v>86928.652479157521</v>
      </c>
    </row>
    <row r="928" spans="12:26" x14ac:dyDescent="0.55000000000000004">
      <c r="L928">
        <v>923</v>
      </c>
      <c r="M928">
        <v>0.212031</v>
      </c>
      <c r="N928">
        <v>15134.142893</v>
      </c>
      <c r="O928">
        <f t="shared" si="43"/>
        <v>71377.029269304956</v>
      </c>
      <c r="W928">
        <v>923</v>
      </c>
      <c r="X928">
        <v>3.6463000000000002E-2</v>
      </c>
      <c r="Y928">
        <v>3163.575617</v>
      </c>
      <c r="Z928">
        <f t="shared" si="44"/>
        <v>86761.254340015905</v>
      </c>
    </row>
    <row r="929" spans="12:26" x14ac:dyDescent="0.55000000000000004">
      <c r="L929">
        <v>924</v>
      </c>
      <c r="M929">
        <v>0.21199000000000001</v>
      </c>
      <c r="N929">
        <v>15118.485549000001</v>
      </c>
      <c r="O929">
        <f t="shared" si="43"/>
        <v>71316.975088447565</v>
      </c>
      <c r="W929">
        <v>924</v>
      </c>
      <c r="X929">
        <v>3.6462000000000001E-2</v>
      </c>
      <c r="Y929">
        <v>3157.2409739999998</v>
      </c>
      <c r="Z929">
        <f t="shared" si="44"/>
        <v>86589.901102517688</v>
      </c>
    </row>
    <row r="930" spans="12:26" x14ac:dyDescent="0.55000000000000004">
      <c r="L930">
        <v>925</v>
      </c>
      <c r="M930">
        <v>0.21194399999999999</v>
      </c>
      <c r="N930">
        <v>15102.066937</v>
      </c>
      <c r="O930">
        <f t="shared" si="43"/>
        <v>71254.986869172993</v>
      </c>
      <c r="W930">
        <v>925</v>
      </c>
      <c r="X930">
        <v>3.6462000000000001E-2</v>
      </c>
      <c r="Y930">
        <v>3150.760847</v>
      </c>
      <c r="Z930">
        <f t="shared" si="44"/>
        <v>86412.17835006307</v>
      </c>
    </row>
    <row r="931" spans="12:26" x14ac:dyDescent="0.55000000000000004">
      <c r="L931">
        <v>926</v>
      </c>
      <c r="M931">
        <v>0.211892</v>
      </c>
      <c r="N931">
        <v>15084.860914999999</v>
      </c>
      <c r="O931">
        <f t="shared" si="43"/>
        <v>71191.271567591029</v>
      </c>
      <c r="W931">
        <v>926</v>
      </c>
      <c r="X931">
        <v>3.6461E-2</v>
      </c>
      <c r="Y931">
        <v>3144.1336820000001</v>
      </c>
      <c r="Z931">
        <f t="shared" si="44"/>
        <v>86232.78796522312</v>
      </c>
    </row>
    <row r="932" spans="12:26" x14ac:dyDescent="0.55000000000000004">
      <c r="L932">
        <v>927</v>
      </c>
      <c r="M932">
        <v>0.211835</v>
      </c>
      <c r="N932">
        <v>15066.841102</v>
      </c>
      <c r="O932">
        <f t="shared" si="43"/>
        <v>71125.362201713608</v>
      </c>
      <c r="W932">
        <v>927</v>
      </c>
      <c r="X932">
        <v>3.6458999999999998E-2</v>
      </c>
      <c r="Y932">
        <v>3137.3579829999999</v>
      </c>
      <c r="Z932">
        <f t="shared" si="44"/>
        <v>86051.674017389392</v>
      </c>
    </row>
    <row r="933" spans="12:26" x14ac:dyDescent="0.55000000000000004">
      <c r="L933">
        <v>928</v>
      </c>
      <c r="M933">
        <v>0.21177099999999999</v>
      </c>
      <c r="N933">
        <v>15047.980926</v>
      </c>
      <c r="O933">
        <f t="shared" si="43"/>
        <v>71057.797932672562</v>
      </c>
      <c r="W933">
        <v>928</v>
      </c>
      <c r="X933">
        <v>3.6457999999999997E-2</v>
      </c>
      <c r="Y933">
        <v>3130.4323140000001</v>
      </c>
      <c r="Z933">
        <f t="shared" si="44"/>
        <v>85864.071369795391</v>
      </c>
    </row>
    <row r="934" spans="12:26" x14ac:dyDescent="0.55000000000000004">
      <c r="L934">
        <v>929</v>
      </c>
      <c r="M934">
        <v>0.211701</v>
      </c>
      <c r="N934">
        <v>15028.253659</v>
      </c>
      <c r="O934">
        <f t="shared" si="43"/>
        <v>70988.108979173456</v>
      </c>
      <c r="W934">
        <v>929</v>
      </c>
      <c r="X934">
        <v>3.6456000000000002E-2</v>
      </c>
      <c r="Y934">
        <v>3123.3553029999998</v>
      </c>
      <c r="Z934">
        <f t="shared" si="44"/>
        <v>85674.657203203853</v>
      </c>
    </row>
    <row r="935" spans="12:26" x14ac:dyDescent="0.55000000000000004">
      <c r="L935">
        <v>930</v>
      </c>
      <c r="M935">
        <v>0.211622</v>
      </c>
      <c r="N935">
        <v>15007.632466999999</v>
      </c>
      <c r="O935">
        <f t="shared" si="43"/>
        <v>70917.16582869456</v>
      </c>
      <c r="W935">
        <v>930</v>
      </c>
      <c r="X935">
        <v>3.6454E-2</v>
      </c>
      <c r="Y935">
        <v>3116.1256389999999</v>
      </c>
      <c r="Z935">
        <f t="shared" si="44"/>
        <v>85481.034701267345</v>
      </c>
    </row>
    <row r="936" spans="12:26" x14ac:dyDescent="0.55000000000000004">
      <c r="L936">
        <v>931</v>
      </c>
      <c r="M936">
        <v>0.211536</v>
      </c>
      <c r="N936">
        <v>14986.090456</v>
      </c>
      <c r="O936">
        <f t="shared" si="43"/>
        <v>70844.161069510621</v>
      </c>
      <c r="W936">
        <v>931</v>
      </c>
      <c r="X936">
        <v>3.6451999999999998E-2</v>
      </c>
      <c r="Y936">
        <v>3108.7420830000001</v>
      </c>
      <c r="Z936">
        <f t="shared" si="44"/>
        <v>85283.169181389225</v>
      </c>
    </row>
    <row r="937" spans="12:26" x14ac:dyDescent="0.55000000000000004">
      <c r="L937">
        <v>932</v>
      </c>
      <c r="M937">
        <v>0.21143999999999999</v>
      </c>
      <c r="N937">
        <v>14963.60072</v>
      </c>
      <c r="O937">
        <f t="shared" si="43"/>
        <v>70769.961785849417</v>
      </c>
      <c r="W937">
        <v>932</v>
      </c>
      <c r="X937">
        <v>3.6449000000000002E-2</v>
      </c>
      <c r="Y937">
        <v>3101.2034619999999</v>
      </c>
      <c r="Z937">
        <f t="shared" si="44"/>
        <v>85083.362012675236</v>
      </c>
    </row>
    <row r="938" spans="12:26" x14ac:dyDescent="0.55000000000000004">
      <c r="L938">
        <v>933</v>
      </c>
      <c r="M938">
        <v>0.21133399999999999</v>
      </c>
      <c r="N938">
        <v>14940.136393000001</v>
      </c>
      <c r="O938">
        <f t="shared" si="43"/>
        <v>70694.428691076682</v>
      </c>
      <c r="W938">
        <v>933</v>
      </c>
      <c r="X938">
        <v>3.6445999999999999E-2</v>
      </c>
      <c r="Y938">
        <v>3093.5086769999998</v>
      </c>
      <c r="Z938">
        <f t="shared" si="44"/>
        <v>84879.23714536574</v>
      </c>
    </row>
    <row r="939" spans="12:26" x14ac:dyDescent="0.55000000000000004">
      <c r="L939">
        <v>934</v>
      </c>
      <c r="M939">
        <v>0.21121699999999999</v>
      </c>
      <c r="N939">
        <v>14915.670708</v>
      </c>
      <c r="O939">
        <f t="shared" si="43"/>
        <v>70617.756657844773</v>
      </c>
      <c r="W939">
        <v>934</v>
      </c>
      <c r="X939">
        <v>3.6443000000000003E-2</v>
      </c>
      <c r="Y939">
        <v>3085.6567</v>
      </c>
      <c r="Z939">
        <f t="shared" si="44"/>
        <v>84670.76530472243</v>
      </c>
    </row>
    <row r="940" spans="12:26" x14ac:dyDescent="0.55000000000000004">
      <c r="L940">
        <v>935</v>
      </c>
      <c r="M940">
        <v>0.211089</v>
      </c>
      <c r="N940">
        <v>14890.177043</v>
      </c>
      <c r="O940">
        <f t="shared" si="43"/>
        <v>70539.805688595807</v>
      </c>
      <c r="W940">
        <v>935</v>
      </c>
      <c r="X940">
        <v>3.6437999999999998E-2</v>
      </c>
      <c r="Y940">
        <v>3077.6465840000001</v>
      </c>
      <c r="Z940">
        <f t="shared" si="44"/>
        <v>84462.555134749447</v>
      </c>
    </row>
    <row r="941" spans="12:26" x14ac:dyDescent="0.55000000000000004">
      <c r="L941">
        <v>936</v>
      </c>
      <c r="M941">
        <v>0.210947</v>
      </c>
      <c r="N941">
        <v>14863.628989999999</v>
      </c>
      <c r="O941">
        <f t="shared" si="43"/>
        <v>70461.438133749238</v>
      </c>
      <c r="W941">
        <v>936</v>
      </c>
      <c r="X941">
        <v>3.6433E-2</v>
      </c>
      <c r="Y941">
        <v>3069.4774560000001</v>
      </c>
      <c r="Z941">
        <f t="shared" si="44"/>
        <v>84249.923311283725</v>
      </c>
    </row>
    <row r="942" spans="12:26" x14ac:dyDescent="0.55000000000000004">
      <c r="L942">
        <v>937</v>
      </c>
      <c r="M942">
        <v>0.21079300000000001</v>
      </c>
      <c r="N942">
        <v>14836.000408</v>
      </c>
      <c r="O942">
        <f t="shared" si="43"/>
        <v>70381.845734915289</v>
      </c>
      <c r="W942">
        <v>937</v>
      </c>
      <c r="X942">
        <v>3.6427000000000001E-2</v>
      </c>
      <c r="Y942">
        <v>3061.1485250000001</v>
      </c>
      <c r="Z942">
        <f t="shared" si="44"/>
        <v>84035.153183078481</v>
      </c>
    </row>
    <row r="943" spans="12:26" x14ac:dyDescent="0.55000000000000004">
      <c r="L943">
        <v>938</v>
      </c>
      <c r="M943">
        <v>0.210623</v>
      </c>
      <c r="N943">
        <v>14807.265485</v>
      </c>
      <c r="O943">
        <f t="shared" si="43"/>
        <v>70302.22475703033</v>
      </c>
      <c r="W943">
        <v>938</v>
      </c>
      <c r="X943">
        <v>3.6420000000000001E-2</v>
      </c>
      <c r="Y943">
        <v>3052.6590849999998</v>
      </c>
      <c r="Z943">
        <f t="shared" si="44"/>
        <v>83818.206617243268</v>
      </c>
    </row>
    <row r="944" spans="12:26" x14ac:dyDescent="0.55000000000000004">
      <c r="L944">
        <v>939</v>
      </c>
      <c r="M944">
        <v>0.21043700000000001</v>
      </c>
      <c r="N944">
        <v>14777.398808</v>
      </c>
      <c r="O944">
        <f t="shared" si="43"/>
        <v>70222.436206560626</v>
      </c>
      <c r="W944">
        <v>939</v>
      </c>
      <c r="X944">
        <v>3.6412E-2</v>
      </c>
      <c r="Y944">
        <v>3044.0085100000001</v>
      </c>
      <c r="Z944">
        <f t="shared" si="44"/>
        <v>83599.047292101503</v>
      </c>
    </row>
    <row r="945" spans="12:26" x14ac:dyDescent="0.55000000000000004">
      <c r="L945">
        <v>940</v>
      </c>
      <c r="M945">
        <v>0.210234</v>
      </c>
      <c r="N945">
        <v>14746.37542</v>
      </c>
      <c r="O945">
        <f t="shared" si="43"/>
        <v>70142.676351113521</v>
      </c>
      <c r="W945">
        <v>940</v>
      </c>
      <c r="X945">
        <v>3.6402999999999998E-2</v>
      </c>
      <c r="Y945">
        <v>3035.196265</v>
      </c>
      <c r="Z945">
        <f t="shared" si="44"/>
        <v>83377.640991127104</v>
      </c>
    </row>
    <row r="946" spans="12:26" x14ac:dyDescent="0.55000000000000004">
      <c r="L946">
        <v>941</v>
      </c>
      <c r="M946">
        <v>0.21001300000000001</v>
      </c>
      <c r="N946">
        <v>14714.170889000001</v>
      </c>
      <c r="O946">
        <f t="shared" si="43"/>
        <v>70063.14318161257</v>
      </c>
      <c r="W946">
        <v>941</v>
      </c>
      <c r="X946">
        <v>3.6392000000000001E-2</v>
      </c>
      <c r="Y946">
        <v>3026.2219020000002</v>
      </c>
      <c r="Z946">
        <f t="shared" si="44"/>
        <v>83156.240437458793</v>
      </c>
    </row>
    <row r="947" spans="12:26" x14ac:dyDescent="0.55000000000000004">
      <c r="L947">
        <v>942</v>
      </c>
      <c r="M947">
        <v>0.20977100000000001</v>
      </c>
      <c r="N947">
        <v>14680.76138</v>
      </c>
      <c r="O947">
        <f t="shared" si="43"/>
        <v>69984.70417741251</v>
      </c>
      <c r="W947">
        <v>942</v>
      </c>
      <c r="X947">
        <v>3.6380000000000003E-2</v>
      </c>
      <c r="Y947">
        <v>3017.0850610000002</v>
      </c>
      <c r="Z947">
        <f t="shared" si="44"/>
        <v>82932.519543705333</v>
      </c>
    </row>
    <row r="948" spans="12:26" x14ac:dyDescent="0.55000000000000004">
      <c r="L948">
        <v>943</v>
      </c>
      <c r="M948">
        <v>0.209509</v>
      </c>
      <c r="N948">
        <v>14646.123718000001</v>
      </c>
      <c r="O948">
        <f t="shared" si="43"/>
        <v>69906.895255096446</v>
      </c>
      <c r="W948">
        <v>943</v>
      </c>
      <c r="X948">
        <v>3.6365000000000001E-2</v>
      </c>
      <c r="Y948">
        <v>3007.7854769999999</v>
      </c>
      <c r="Z948">
        <f t="shared" si="44"/>
        <v>82710.998955039177</v>
      </c>
    </row>
    <row r="949" spans="12:26" x14ac:dyDescent="0.55000000000000004">
      <c r="L949">
        <v>944</v>
      </c>
      <c r="M949">
        <v>0.20922399999999999</v>
      </c>
      <c r="N949">
        <v>14610.235461</v>
      </c>
      <c r="O949">
        <f t="shared" si="43"/>
        <v>69830.590472412339</v>
      </c>
      <c r="W949">
        <v>944</v>
      </c>
      <c r="X949">
        <v>3.6348999999999999E-2</v>
      </c>
      <c r="Y949">
        <v>2998.3229780000001</v>
      </c>
      <c r="Z949">
        <f t="shared" si="44"/>
        <v>82487.082945885719</v>
      </c>
    </row>
    <row r="950" spans="12:26" x14ac:dyDescent="0.55000000000000004">
      <c r="L950">
        <v>945</v>
      </c>
      <c r="M950">
        <v>0.20891499999999999</v>
      </c>
      <c r="N950">
        <v>14573.074968000001</v>
      </c>
      <c r="O950">
        <f t="shared" si="43"/>
        <v>69756.001091352955</v>
      </c>
      <c r="W950">
        <v>945</v>
      </c>
      <c r="X950">
        <v>3.6330000000000001E-2</v>
      </c>
      <c r="Y950">
        <v>2988.6974869999999</v>
      </c>
      <c r="Z950">
        <f t="shared" si="44"/>
        <v>82265.276273052572</v>
      </c>
    </row>
    <row r="951" spans="12:26" x14ac:dyDescent="0.55000000000000004">
      <c r="L951">
        <v>946</v>
      </c>
      <c r="M951">
        <v>0.20857999999999999</v>
      </c>
      <c r="N951">
        <v>14534.621472999999</v>
      </c>
      <c r="O951">
        <f t="shared" si="43"/>
        <v>69683.677596126188</v>
      </c>
      <c r="W951">
        <v>946</v>
      </c>
      <c r="X951">
        <v>3.6309000000000001E-2</v>
      </c>
      <c r="Y951">
        <v>2978.9090230000002</v>
      </c>
      <c r="Z951">
        <f t="shared" si="44"/>
        <v>82043.268142884684</v>
      </c>
    </row>
    <row r="952" spans="12:26" x14ac:dyDescent="0.55000000000000004">
      <c r="L952">
        <v>947</v>
      </c>
      <c r="M952">
        <v>0.20821799999999999</v>
      </c>
      <c r="N952">
        <v>14494.855154000001</v>
      </c>
      <c r="O952">
        <f t="shared" si="43"/>
        <v>69613.842962664145</v>
      </c>
      <c r="W952">
        <v>947</v>
      </c>
      <c r="X952">
        <v>3.6284999999999998E-2</v>
      </c>
      <c r="Y952">
        <v>2968.9577049999998</v>
      </c>
      <c r="Z952">
        <f t="shared" si="44"/>
        <v>81823.279729915943</v>
      </c>
    </row>
    <row r="953" spans="12:26" x14ac:dyDescent="0.55000000000000004">
      <c r="L953">
        <v>948</v>
      </c>
      <c r="M953">
        <v>0.20782700000000001</v>
      </c>
      <c r="N953">
        <v>14453.757202999999</v>
      </c>
      <c r="O953">
        <f t="shared" si="43"/>
        <v>69547.061753285176</v>
      </c>
      <c r="W953">
        <v>948</v>
      </c>
      <c r="X953">
        <v>3.6256999999999998E-2</v>
      </c>
      <c r="Y953">
        <v>2958.84375</v>
      </c>
      <c r="Z953">
        <f t="shared" si="44"/>
        <v>81607.517169098384</v>
      </c>
    </row>
    <row r="954" spans="12:26" x14ac:dyDescent="0.55000000000000004">
      <c r="L954">
        <v>949</v>
      </c>
      <c r="M954">
        <v>0.20740500000000001</v>
      </c>
      <c r="N954">
        <v>14411.309901000001</v>
      </c>
      <c r="O954">
        <f t="shared" si="43"/>
        <v>69483.907818037173</v>
      </c>
      <c r="W954">
        <v>949</v>
      </c>
      <c r="X954">
        <v>3.6226000000000001E-2</v>
      </c>
      <c r="Y954">
        <v>2948.5674760000002</v>
      </c>
      <c r="Z954">
        <f t="shared" si="44"/>
        <v>81393.680671341033</v>
      </c>
    </row>
    <row r="955" spans="12:26" x14ac:dyDescent="0.55000000000000004">
      <c r="L955">
        <v>950</v>
      </c>
      <c r="M955">
        <v>0.206951</v>
      </c>
      <c r="N955">
        <v>14367.496684</v>
      </c>
      <c r="O955">
        <f t="shared" si="43"/>
        <v>69424.630390768827</v>
      </c>
      <c r="W955">
        <v>950</v>
      </c>
      <c r="X955">
        <v>3.6191000000000001E-2</v>
      </c>
      <c r="Y955">
        <v>2938.1293030000002</v>
      </c>
      <c r="Z955">
        <f t="shared" si="44"/>
        <v>81183.976762178441</v>
      </c>
    </row>
    <row r="956" spans="12:26" x14ac:dyDescent="0.55000000000000004">
      <c r="L956">
        <v>951</v>
      </c>
      <c r="M956">
        <v>0.20646300000000001</v>
      </c>
      <c r="N956">
        <v>14322.302218000001</v>
      </c>
      <c r="O956">
        <f t="shared" si="43"/>
        <v>69369.825189016919</v>
      </c>
      <c r="W956">
        <v>951</v>
      </c>
      <c r="X956">
        <v>3.6151000000000003E-2</v>
      </c>
      <c r="Y956">
        <v>2927.529755</v>
      </c>
      <c r="Z956">
        <f t="shared" si="44"/>
        <v>80980.602334651878</v>
      </c>
    </row>
    <row r="957" spans="12:26" x14ac:dyDescent="0.55000000000000004">
      <c r="L957">
        <v>952</v>
      </c>
      <c r="M957">
        <v>0.20593900000000001</v>
      </c>
      <c r="N957">
        <v>14275.712464</v>
      </c>
      <c r="O957">
        <f t="shared" si="43"/>
        <v>69320.101894250241</v>
      </c>
      <c r="W957">
        <v>952</v>
      </c>
      <c r="X957">
        <v>3.6105999999999999E-2</v>
      </c>
      <c r="Y957">
        <v>2916.7694590000001</v>
      </c>
      <c r="Z957">
        <f t="shared" si="44"/>
        <v>80783.511300060942</v>
      </c>
    </row>
    <row r="958" spans="12:26" x14ac:dyDescent="0.55000000000000004">
      <c r="L958">
        <v>953</v>
      </c>
      <c r="M958">
        <v>0.205377</v>
      </c>
      <c r="N958">
        <v>14227.714748</v>
      </c>
      <c r="O958">
        <f t="shared" si="43"/>
        <v>69276.086163494445</v>
      </c>
      <c r="W958">
        <v>953</v>
      </c>
      <c r="X958">
        <v>3.6055999999999998E-2</v>
      </c>
      <c r="Y958">
        <v>2905.8491450000001</v>
      </c>
      <c r="Z958">
        <f t="shared" si="44"/>
        <v>80592.66543709785</v>
      </c>
    </row>
    <row r="959" spans="12:26" x14ac:dyDescent="0.55000000000000004">
      <c r="L959">
        <v>954</v>
      </c>
      <c r="M959">
        <v>0.20477600000000001</v>
      </c>
      <c r="N959">
        <v>14178.297828000001</v>
      </c>
      <c r="O959">
        <f t="shared" si="43"/>
        <v>69238.083701214986</v>
      </c>
      <c r="W959">
        <v>954</v>
      </c>
      <c r="X959">
        <v>3.5999999999999997E-2</v>
      </c>
      <c r="Y959">
        <v>2894.769652</v>
      </c>
      <c r="Z959">
        <f t="shared" si="44"/>
        <v>80410.268111111116</v>
      </c>
    </row>
    <row r="960" spans="12:26" x14ac:dyDescent="0.55000000000000004">
      <c r="L960">
        <v>955</v>
      </c>
      <c r="M960">
        <v>0.20413300000000001</v>
      </c>
      <c r="N960">
        <v>14127.451958</v>
      </c>
      <c r="O960">
        <f t="shared" si="43"/>
        <v>69207.095168346117</v>
      </c>
      <c r="W960">
        <v>955</v>
      </c>
      <c r="X960">
        <v>3.5936999999999997E-2</v>
      </c>
      <c r="Y960">
        <v>2883.5319209999998</v>
      </c>
      <c r="Z960">
        <f t="shared" si="44"/>
        <v>80238.52633775775</v>
      </c>
    </row>
    <row r="961" spans="12:26" x14ac:dyDescent="0.55000000000000004">
      <c r="L961">
        <v>956</v>
      </c>
      <c r="M961">
        <v>0.20344699999999999</v>
      </c>
      <c r="N961">
        <v>14075.168951</v>
      </c>
      <c r="O961">
        <f t="shared" si="43"/>
        <v>69183.467689373647</v>
      </c>
      <c r="W961">
        <v>956</v>
      </c>
      <c r="X961">
        <v>3.5867000000000003E-2</v>
      </c>
      <c r="Y961">
        <v>2872.1370019999999</v>
      </c>
      <c r="Z961">
        <f t="shared" si="44"/>
        <v>80077.424986756625</v>
      </c>
    </row>
    <row r="962" spans="12:26" x14ac:dyDescent="0.55000000000000004">
      <c r="L962">
        <v>957</v>
      </c>
      <c r="M962">
        <v>0.20271700000000001</v>
      </c>
      <c r="N962">
        <v>14021.442241999999</v>
      </c>
      <c r="O962">
        <f t="shared" si="43"/>
        <v>69167.569774611897</v>
      </c>
      <c r="W962">
        <v>957</v>
      </c>
      <c r="X962">
        <v>3.5790000000000002E-2</v>
      </c>
      <c r="Y962">
        <v>2860.5860510000002</v>
      </c>
      <c r="Z962">
        <f t="shared" si="44"/>
        <v>79926.964263760834</v>
      </c>
    </row>
    <row r="963" spans="12:26" x14ac:dyDescent="0.55000000000000004">
      <c r="L963">
        <v>958</v>
      </c>
      <c r="M963">
        <v>0.20193900000000001</v>
      </c>
      <c r="N963">
        <v>13966.266944999999</v>
      </c>
      <c r="O963">
        <f t="shared" si="43"/>
        <v>69160.820569577932</v>
      </c>
      <c r="W963">
        <v>958</v>
      </c>
      <c r="X963">
        <v>3.5702999999999999E-2</v>
      </c>
      <c r="Y963">
        <v>2848.88033</v>
      </c>
      <c r="Z963">
        <f t="shared" si="44"/>
        <v>79793.864101055937</v>
      </c>
    </row>
    <row r="964" spans="12:26" x14ac:dyDescent="0.55000000000000004">
      <c r="L964">
        <v>959</v>
      </c>
      <c r="M964">
        <v>0.20111299999999999</v>
      </c>
      <c r="N964">
        <v>13909.639911</v>
      </c>
      <c r="O964">
        <f t="shared" si="43"/>
        <v>69163.305758454211</v>
      </c>
      <c r="W964">
        <v>959</v>
      </c>
      <c r="X964">
        <v>3.5608000000000001E-2</v>
      </c>
      <c r="Y964">
        <v>2837.0212099999999</v>
      </c>
      <c r="Z964">
        <f t="shared" si="44"/>
        <v>79673.702819591097</v>
      </c>
    </row>
    <row r="965" spans="12:26" x14ac:dyDescent="0.55000000000000004">
      <c r="L965">
        <v>960</v>
      </c>
      <c r="M965">
        <v>0.200236</v>
      </c>
      <c r="N965">
        <v>13851.559776</v>
      </c>
      <c r="O965">
        <f t="shared" si="43"/>
        <v>69176.170998222093</v>
      </c>
      <c r="W965">
        <v>960</v>
      </c>
      <c r="X965">
        <v>3.5503E-2</v>
      </c>
      <c r="Y965">
        <v>2825.0101669999999</v>
      </c>
      <c r="Z965">
        <f t="shared" si="44"/>
        <v>79571.02687096865</v>
      </c>
    </row>
    <row r="966" spans="12:26" x14ac:dyDescent="0.55000000000000004">
      <c r="L966">
        <v>961</v>
      </c>
      <c r="M966">
        <v>0.19930700000000001</v>
      </c>
      <c r="N966">
        <v>13792.027017</v>
      </c>
      <c r="O966">
        <f t="shared" ref="O966:O1004" si="45">N966/M966</f>
        <v>69199.91278279238</v>
      </c>
      <c r="W966">
        <v>961</v>
      </c>
      <c r="X966">
        <v>3.5387000000000002E-2</v>
      </c>
      <c r="Y966">
        <v>2812.848786</v>
      </c>
      <c r="Z966">
        <f t="shared" si="44"/>
        <v>79488.195834628539</v>
      </c>
    </row>
    <row r="967" spans="12:26" x14ac:dyDescent="0.55000000000000004">
      <c r="L967">
        <v>962</v>
      </c>
      <c r="M967">
        <v>0.198324</v>
      </c>
      <c r="N967">
        <v>13731.043996</v>
      </c>
      <c r="O967">
        <f t="shared" si="45"/>
        <v>69235.412738750732</v>
      </c>
      <c r="W967">
        <v>962</v>
      </c>
      <c r="X967">
        <v>3.526E-2</v>
      </c>
      <c r="Y967">
        <v>2800.538755</v>
      </c>
      <c r="Z967">
        <f t="shared" ref="Z967:Z1030" si="46">Y967/X967</f>
        <v>79425.375921724335</v>
      </c>
    </row>
    <row r="968" spans="12:26" x14ac:dyDescent="0.55000000000000004">
      <c r="L968">
        <v>963</v>
      </c>
      <c r="M968">
        <v>0.19728699999999999</v>
      </c>
      <c r="N968">
        <v>13668.615003000001</v>
      </c>
      <c r="O968">
        <f t="shared" si="45"/>
        <v>69282.897519856866</v>
      </c>
      <c r="W968">
        <v>963</v>
      </c>
      <c r="X968">
        <v>3.5120999999999999E-2</v>
      </c>
      <c r="Y968">
        <v>2788.0818730000001</v>
      </c>
      <c r="Z968">
        <f t="shared" si="46"/>
        <v>79385.036673215465</v>
      </c>
    </row>
    <row r="969" spans="12:26" x14ac:dyDescent="0.55000000000000004">
      <c r="L969">
        <v>964</v>
      </c>
      <c r="M969">
        <v>0.19619200000000001</v>
      </c>
      <c r="N969">
        <v>13604.746295000001</v>
      </c>
      <c r="O969">
        <f t="shared" si="45"/>
        <v>69344.042035353123</v>
      </c>
      <c r="W969">
        <v>964</v>
      </c>
      <c r="X969">
        <v>3.4969E-2</v>
      </c>
      <c r="Y969">
        <v>2775.4800399999999</v>
      </c>
      <c r="Z969">
        <f t="shared" si="46"/>
        <v>79369.728616774853</v>
      </c>
    </row>
    <row r="970" spans="12:26" x14ac:dyDescent="0.55000000000000004">
      <c r="L970">
        <v>965</v>
      </c>
      <c r="M970">
        <v>0.19503899999999999</v>
      </c>
      <c r="N970">
        <v>13539.446129</v>
      </c>
      <c r="O970">
        <f t="shared" si="45"/>
        <v>69419.17323714745</v>
      </c>
      <c r="W970">
        <v>965</v>
      </c>
      <c r="X970">
        <v>3.4804000000000002E-2</v>
      </c>
      <c r="Y970">
        <v>2762.7352639999999</v>
      </c>
      <c r="Z970">
        <f t="shared" si="46"/>
        <v>79379.820250545905</v>
      </c>
    </row>
    <row r="971" spans="12:26" x14ac:dyDescent="0.55000000000000004">
      <c r="L971">
        <v>966</v>
      </c>
      <c r="M971">
        <v>0.193826</v>
      </c>
      <c r="N971">
        <v>13472.724797999999</v>
      </c>
      <c r="O971">
        <f t="shared" si="45"/>
        <v>69509.378504431807</v>
      </c>
      <c r="W971">
        <v>966</v>
      </c>
      <c r="X971">
        <v>3.4623000000000001E-2</v>
      </c>
      <c r="Y971">
        <v>2749.8496559999999</v>
      </c>
      <c r="Z971">
        <f t="shared" si="46"/>
        <v>79422.628195130397</v>
      </c>
    </row>
    <row r="972" spans="12:26" x14ac:dyDescent="0.55000000000000004">
      <c r="L972">
        <v>967</v>
      </c>
      <c r="M972">
        <v>0.192553</v>
      </c>
      <c r="N972">
        <v>13404.594650999999</v>
      </c>
      <c r="O972">
        <f t="shared" si="45"/>
        <v>69615.091174897301</v>
      </c>
      <c r="W972">
        <v>967</v>
      </c>
      <c r="X972">
        <v>3.4428E-2</v>
      </c>
      <c r="Y972">
        <v>2736.8254299999999</v>
      </c>
      <c r="Z972">
        <f t="shared" si="46"/>
        <v>79494.174218659231</v>
      </c>
    </row>
    <row r="973" spans="12:26" x14ac:dyDescent="0.55000000000000004">
      <c r="L973">
        <v>968</v>
      </c>
      <c r="M973">
        <v>0.191218</v>
      </c>
      <c r="N973">
        <v>13335.070121000001</v>
      </c>
      <c r="O973">
        <f t="shared" si="45"/>
        <v>69737.525342802459</v>
      </c>
      <c r="W973">
        <v>968</v>
      </c>
      <c r="X973">
        <v>3.4216000000000003E-2</v>
      </c>
      <c r="Y973">
        <v>2723.6649029999999</v>
      </c>
      <c r="Z973">
        <f t="shared" si="46"/>
        <v>79602.083908113156</v>
      </c>
    </row>
    <row r="974" spans="12:26" x14ac:dyDescent="0.55000000000000004">
      <c r="L974">
        <v>969</v>
      </c>
      <c r="M974">
        <v>0.18981999999999999</v>
      </c>
      <c r="N974">
        <v>13264.167735000001</v>
      </c>
      <c r="O974">
        <f t="shared" si="45"/>
        <v>69877.608971657362</v>
      </c>
      <c r="W974">
        <v>969</v>
      </c>
      <c r="X974">
        <v>3.3987000000000003E-2</v>
      </c>
      <c r="Y974">
        <v>2710.3704910000001</v>
      </c>
      <c r="Z974">
        <f t="shared" si="46"/>
        <v>79747.270750581098</v>
      </c>
    </row>
    <row r="975" spans="12:26" x14ac:dyDescent="0.55000000000000004">
      <c r="L975">
        <v>970</v>
      </c>
      <c r="M975">
        <v>0.188359</v>
      </c>
      <c r="N975">
        <v>13191.906129000001</v>
      </c>
      <c r="O975">
        <f t="shared" si="45"/>
        <v>70035.974543292337</v>
      </c>
      <c r="W975">
        <v>970</v>
      </c>
      <c r="X975">
        <v>3.3741E-2</v>
      </c>
      <c r="Y975">
        <v>2696.944712</v>
      </c>
      <c r="Z975">
        <f t="shared" si="46"/>
        <v>79930.787824901461</v>
      </c>
    </row>
    <row r="976" spans="12:26" x14ac:dyDescent="0.55000000000000004">
      <c r="L976">
        <v>971</v>
      </c>
      <c r="M976">
        <v>0.186833</v>
      </c>
      <c r="N976">
        <v>13118.306058</v>
      </c>
      <c r="O976">
        <f t="shared" si="45"/>
        <v>70214.073841344944</v>
      </c>
      <c r="W976">
        <v>971</v>
      </c>
      <c r="X976">
        <v>3.3475999999999999E-2</v>
      </c>
      <c r="Y976">
        <v>2683.3901799999999</v>
      </c>
      <c r="Z976">
        <f t="shared" si="46"/>
        <v>80158.626478671285</v>
      </c>
    </row>
    <row r="977" spans="12:26" x14ac:dyDescent="0.55000000000000004">
      <c r="L977">
        <v>972</v>
      </c>
      <c r="M977">
        <v>0.18524299999999999</v>
      </c>
      <c r="N977">
        <v>13043.390391000001</v>
      </c>
      <c r="O977">
        <f t="shared" si="45"/>
        <v>70412.3253834153</v>
      </c>
      <c r="W977">
        <v>972</v>
      </c>
      <c r="X977">
        <v>3.3193E-2</v>
      </c>
      <c r="Y977">
        <v>2669.7096069999998</v>
      </c>
      <c r="Z977">
        <f t="shared" si="46"/>
        <v>80429.89808092067</v>
      </c>
    </row>
    <row r="978" spans="12:26" x14ac:dyDescent="0.55000000000000004">
      <c r="L978">
        <v>973</v>
      </c>
      <c r="M978">
        <v>0.183588</v>
      </c>
      <c r="N978">
        <v>12967.18411</v>
      </c>
      <c r="O978">
        <f t="shared" si="45"/>
        <v>70631.980902891257</v>
      </c>
      <c r="W978">
        <v>973</v>
      </c>
      <c r="X978">
        <v>3.2889000000000002E-2</v>
      </c>
      <c r="Y978">
        <v>2655.9057979999998</v>
      </c>
      <c r="Z978">
        <f t="shared" si="46"/>
        <v>80753.619690474006</v>
      </c>
    </row>
    <row r="979" spans="12:26" x14ac:dyDescent="0.55000000000000004">
      <c r="L979">
        <v>974</v>
      </c>
      <c r="M979">
        <v>0.181868</v>
      </c>
      <c r="N979">
        <v>12889.714302</v>
      </c>
      <c r="O979">
        <f t="shared" si="45"/>
        <v>70874.009182484006</v>
      </c>
      <c r="W979">
        <v>974</v>
      </c>
      <c r="X979">
        <v>3.2564999999999997E-2</v>
      </c>
      <c r="Y979">
        <v>2641.9816519999999</v>
      </c>
      <c r="Z979">
        <f t="shared" si="46"/>
        <v>81129.484170121301</v>
      </c>
    </row>
    <row r="980" spans="12:26" x14ac:dyDescent="0.55000000000000004">
      <c r="L980">
        <v>975</v>
      </c>
      <c r="M980">
        <v>0.18008199999999999</v>
      </c>
      <c r="N980">
        <v>12811.010141000001</v>
      </c>
      <c r="O980">
        <f t="shared" si="45"/>
        <v>71139.870397929844</v>
      </c>
      <c r="W980">
        <v>975</v>
      </c>
      <c r="X980">
        <v>3.2219999999999999E-2</v>
      </c>
      <c r="Y980">
        <v>2627.9401600000001</v>
      </c>
      <c r="Z980">
        <f t="shared" si="46"/>
        <v>81562.388578522659</v>
      </c>
    </row>
    <row r="981" spans="12:26" x14ac:dyDescent="0.55000000000000004">
      <c r="L981">
        <v>976</v>
      </c>
      <c r="M981">
        <v>0.178232</v>
      </c>
      <c r="N981">
        <v>12731.102870000001</v>
      </c>
      <c r="O981">
        <f t="shared" si="45"/>
        <v>71429.950121190355</v>
      </c>
      <c r="W981">
        <v>976</v>
      </c>
      <c r="X981">
        <v>3.1854E-2</v>
      </c>
      <c r="Y981">
        <v>2613.7843990000001</v>
      </c>
      <c r="Z981">
        <f t="shared" si="46"/>
        <v>82055.139040622846</v>
      </c>
    </row>
    <row r="982" spans="12:26" x14ac:dyDescent="0.55000000000000004">
      <c r="L982">
        <v>977</v>
      </c>
      <c r="M982">
        <v>0.176318</v>
      </c>
      <c r="N982">
        <v>12650.025772999999</v>
      </c>
      <c r="O982">
        <f t="shared" si="45"/>
        <v>71745.515335927121</v>
      </c>
      <c r="W982">
        <v>977</v>
      </c>
      <c r="X982">
        <v>3.1466000000000001E-2</v>
      </c>
      <c r="Y982">
        <v>2599.517535</v>
      </c>
      <c r="Z982">
        <f t="shared" si="46"/>
        <v>82613.536356702461</v>
      </c>
    </row>
    <row r="983" spans="12:26" x14ac:dyDescent="0.55000000000000004">
      <c r="L983">
        <v>978</v>
      </c>
      <c r="M983">
        <v>0.17433999999999999</v>
      </c>
      <c r="N983">
        <v>12567.814146000001</v>
      </c>
      <c r="O983">
        <f t="shared" si="45"/>
        <v>72087.955408970985</v>
      </c>
      <c r="W983">
        <v>978</v>
      </c>
      <c r="X983">
        <v>3.1056E-2</v>
      </c>
      <c r="Y983">
        <v>2585.142816</v>
      </c>
      <c r="Z983">
        <f t="shared" si="46"/>
        <v>83241.332302936629</v>
      </c>
    </row>
    <row r="984" spans="12:26" x14ac:dyDescent="0.55000000000000004">
      <c r="L984">
        <v>979</v>
      </c>
      <c r="M984">
        <v>0.17230000000000001</v>
      </c>
      <c r="N984">
        <v>12484.505255</v>
      </c>
      <c r="O984">
        <f t="shared" si="45"/>
        <v>72457.952727800352</v>
      </c>
      <c r="W984">
        <v>979</v>
      </c>
      <c r="X984">
        <v>3.0623999999999998E-2</v>
      </c>
      <c r="Y984">
        <v>2570.6635740000002</v>
      </c>
      <c r="Z984">
        <f t="shared" si="46"/>
        <v>83942.776057993746</v>
      </c>
    </row>
    <row r="985" spans="12:26" x14ac:dyDescent="0.55000000000000004">
      <c r="L985">
        <v>980</v>
      </c>
      <c r="M985">
        <v>0.17019799999999999</v>
      </c>
      <c r="N985">
        <v>12400.138298</v>
      </c>
      <c r="O985">
        <f t="shared" si="45"/>
        <v>72857.132857025354</v>
      </c>
      <c r="W985">
        <v>980</v>
      </c>
      <c r="X985">
        <v>3.0169000000000001E-2</v>
      </c>
      <c r="Y985">
        <v>2556.0832180000002</v>
      </c>
      <c r="Z985">
        <f t="shared" si="46"/>
        <v>84725.487023103182</v>
      </c>
    </row>
    <row r="986" spans="12:26" x14ac:dyDescent="0.55000000000000004">
      <c r="L986">
        <v>981</v>
      </c>
      <c r="M986">
        <v>0.16803499999999999</v>
      </c>
      <c r="N986">
        <v>12314.754354999999</v>
      </c>
      <c r="O986">
        <f t="shared" si="45"/>
        <v>73286.841164043202</v>
      </c>
      <c r="W986">
        <v>981</v>
      </c>
      <c r="X986">
        <v>2.9690999999999999E-2</v>
      </c>
      <c r="Y986">
        <v>2541.4052360000001</v>
      </c>
      <c r="Z986">
        <f t="shared" si="46"/>
        <v>85595.137785861036</v>
      </c>
    </row>
    <row r="987" spans="12:26" x14ac:dyDescent="0.55000000000000004">
      <c r="L987">
        <v>982</v>
      </c>
      <c r="M987">
        <v>0.16581399999999999</v>
      </c>
      <c r="N987">
        <v>12228.396333000001</v>
      </c>
      <c r="O987">
        <f t="shared" si="45"/>
        <v>73747.671083261972</v>
      </c>
      <c r="W987">
        <v>982</v>
      </c>
      <c r="X987">
        <v>2.9191000000000002E-2</v>
      </c>
      <c r="Y987">
        <v>2526.633186</v>
      </c>
      <c r="Z987">
        <f t="shared" si="46"/>
        <v>86555.211743345542</v>
      </c>
    </row>
    <row r="988" spans="12:26" x14ac:dyDescent="0.55000000000000004">
      <c r="L988">
        <v>983</v>
      </c>
      <c r="M988">
        <v>0.16353699999999999</v>
      </c>
      <c r="N988">
        <v>12141.108909</v>
      </c>
      <c r="O988">
        <f t="shared" si="45"/>
        <v>74240.746185878437</v>
      </c>
      <c r="W988">
        <v>983</v>
      </c>
      <c r="X988">
        <v>2.8669E-2</v>
      </c>
      <c r="Y988">
        <v>2511.7707</v>
      </c>
      <c r="Z988">
        <f t="shared" si="46"/>
        <v>87612.776866999193</v>
      </c>
    </row>
    <row r="989" spans="12:26" x14ac:dyDescent="0.55000000000000004">
      <c r="L989">
        <v>984</v>
      </c>
      <c r="M989">
        <v>0.16120399999999999</v>
      </c>
      <c r="N989">
        <v>12052.938464000001</v>
      </c>
      <c r="O989">
        <f t="shared" si="45"/>
        <v>74768.234435870094</v>
      </c>
      <c r="W989">
        <v>984</v>
      </c>
      <c r="X989">
        <v>2.8125000000000001E-2</v>
      </c>
      <c r="Y989">
        <v>2496.8214760000001</v>
      </c>
      <c r="Z989">
        <f t="shared" si="46"/>
        <v>88775.874702222223</v>
      </c>
    </row>
    <row r="990" spans="12:26" x14ac:dyDescent="0.55000000000000004">
      <c r="L990">
        <v>985</v>
      </c>
      <c r="M990">
        <v>0.15881899999999999</v>
      </c>
      <c r="N990">
        <v>11963.933015000001</v>
      </c>
      <c r="O990">
        <f t="shared" si="45"/>
        <v>75330.615449033183</v>
      </c>
      <c r="W990">
        <v>985</v>
      </c>
      <c r="X990">
        <v>2.7559E-2</v>
      </c>
      <c r="Y990">
        <v>2481.7892769999999</v>
      </c>
      <c r="Z990">
        <f t="shared" si="46"/>
        <v>90053.67672992489</v>
      </c>
    </row>
    <row r="991" spans="12:26" x14ac:dyDescent="0.55000000000000004">
      <c r="L991">
        <v>986</v>
      </c>
      <c r="M991">
        <v>0.156384</v>
      </c>
      <c r="N991">
        <v>11874.14214</v>
      </c>
      <c r="O991">
        <f t="shared" si="45"/>
        <v>75929.392648864334</v>
      </c>
      <c r="W991">
        <v>986</v>
      </c>
      <c r="X991">
        <v>2.6971999999999999E-2</v>
      </c>
      <c r="Y991">
        <v>2466.6779270000002</v>
      </c>
      <c r="Z991">
        <f t="shared" si="46"/>
        <v>91453.282181521587</v>
      </c>
    </row>
    <row r="992" spans="12:26" x14ac:dyDescent="0.55000000000000004">
      <c r="L992">
        <v>987</v>
      </c>
      <c r="M992">
        <v>0.15390100000000001</v>
      </c>
      <c r="N992">
        <v>11783.616900999999</v>
      </c>
      <c r="O992">
        <f t="shared" si="45"/>
        <v>76566.214001208558</v>
      </c>
      <c r="W992">
        <v>987</v>
      </c>
      <c r="X992">
        <v>2.6365E-2</v>
      </c>
      <c r="Y992">
        <v>2451.491309</v>
      </c>
      <c r="Z992">
        <f t="shared" si="46"/>
        <v>92982.791921107535</v>
      </c>
    </row>
    <row r="993" spans="12:26" x14ac:dyDescent="0.55000000000000004">
      <c r="L993">
        <v>988</v>
      </c>
      <c r="M993">
        <v>0.15137400000000001</v>
      </c>
      <c r="N993">
        <v>11692.409758</v>
      </c>
      <c r="O993">
        <f t="shared" si="45"/>
        <v>77241.862922298402</v>
      </c>
      <c r="W993">
        <v>988</v>
      </c>
      <c r="X993">
        <v>2.5736999999999999E-2</v>
      </c>
      <c r="Y993">
        <v>2436.2333610000001</v>
      </c>
      <c r="Z993">
        <f t="shared" si="46"/>
        <v>94658.79321599254</v>
      </c>
    </row>
    <row r="994" spans="12:26" x14ac:dyDescent="0.55000000000000004">
      <c r="L994">
        <v>989</v>
      </c>
      <c r="M994">
        <v>0.14880499999999999</v>
      </c>
      <c r="N994">
        <v>11600.574483</v>
      </c>
      <c r="O994">
        <f t="shared" si="45"/>
        <v>77958.230455965866</v>
      </c>
      <c r="W994">
        <v>989</v>
      </c>
      <c r="X994">
        <v>2.5090999999999999E-2</v>
      </c>
      <c r="Y994">
        <v>2420.90807</v>
      </c>
      <c r="Z994">
        <f t="shared" si="46"/>
        <v>96485.116974213859</v>
      </c>
    </row>
    <row r="995" spans="12:26" x14ac:dyDescent="0.55000000000000004">
      <c r="L995">
        <v>990</v>
      </c>
      <c r="M995">
        <v>0.14619699999999999</v>
      </c>
      <c r="N995">
        <v>11508.166069999999</v>
      </c>
      <c r="O995">
        <f t="shared" si="45"/>
        <v>78716.841453654997</v>
      </c>
      <c r="W995">
        <v>990</v>
      </c>
      <c r="X995">
        <v>2.4427000000000001E-2</v>
      </c>
      <c r="Y995">
        <v>2405.519472</v>
      </c>
      <c r="Z995">
        <f t="shared" si="46"/>
        <v>98477.892168502061</v>
      </c>
    </row>
    <row r="996" spans="12:26" x14ac:dyDescent="0.55000000000000004">
      <c r="L996">
        <v>991</v>
      </c>
      <c r="M996">
        <v>0.14355399999999999</v>
      </c>
      <c r="N996">
        <v>11415.240635</v>
      </c>
      <c r="O996">
        <f t="shared" si="45"/>
        <v>79518.791778703497</v>
      </c>
      <c r="W996">
        <v>991</v>
      </c>
      <c r="X996">
        <v>2.3747000000000001E-2</v>
      </c>
      <c r="Y996">
        <v>2390.071649</v>
      </c>
      <c r="Z996">
        <f t="shared" si="46"/>
        <v>100647.30909167473</v>
      </c>
    </row>
    <row r="997" spans="12:26" x14ac:dyDescent="0.55000000000000004">
      <c r="L997">
        <v>992</v>
      </c>
      <c r="M997">
        <v>0.140879</v>
      </c>
      <c r="N997">
        <v>11321.855321999999</v>
      </c>
      <c r="O997">
        <f t="shared" si="45"/>
        <v>80365.81266192974</v>
      </c>
      <c r="W997">
        <v>992</v>
      </c>
      <c r="X997">
        <v>2.3050000000000001E-2</v>
      </c>
      <c r="Y997">
        <v>2374.568722</v>
      </c>
      <c r="Z997">
        <f t="shared" si="46"/>
        <v>103018.16581344901</v>
      </c>
    </row>
    <row r="998" spans="12:26" x14ac:dyDescent="0.55000000000000004">
      <c r="L998">
        <v>993</v>
      </c>
      <c r="M998">
        <v>0.13817699999999999</v>
      </c>
      <c r="N998">
        <v>11228.0682</v>
      </c>
      <c r="O998">
        <f t="shared" si="45"/>
        <v>81258.590069258993</v>
      </c>
      <c r="W998">
        <v>993</v>
      </c>
      <c r="X998">
        <v>2.2339999999999999E-2</v>
      </c>
      <c r="Y998">
        <v>2359.0148469999999</v>
      </c>
      <c r="Z998">
        <f t="shared" si="46"/>
        <v>105596.00926589078</v>
      </c>
    </row>
    <row r="999" spans="12:26" x14ac:dyDescent="0.55000000000000004">
      <c r="L999">
        <v>994</v>
      </c>
      <c r="M999">
        <v>0.13544999999999999</v>
      </c>
      <c r="N999">
        <v>11133.938155</v>
      </c>
      <c r="O999">
        <f t="shared" si="45"/>
        <v>82199.617238833525</v>
      </c>
      <c r="W999">
        <v>994</v>
      </c>
      <c r="X999">
        <v>2.1616E-2</v>
      </c>
      <c r="Y999">
        <v>2343.4142160000001</v>
      </c>
      <c r="Z999">
        <f t="shared" si="46"/>
        <v>108411.09437453738</v>
      </c>
    </row>
    <row r="1000" spans="12:26" x14ac:dyDescent="0.55000000000000004">
      <c r="L1000">
        <v>995</v>
      </c>
      <c r="M1000">
        <v>0.13270299999999999</v>
      </c>
      <c r="N1000">
        <v>11039.524786</v>
      </c>
      <c r="O1000">
        <f t="shared" si="45"/>
        <v>83189.715273957641</v>
      </c>
      <c r="W1000">
        <v>995</v>
      </c>
      <c r="X1000">
        <v>2.0881E-2</v>
      </c>
      <c r="Y1000">
        <v>2327.7710489999999</v>
      </c>
      <c r="Z1000">
        <f t="shared" si="46"/>
        <v>111477.94880513386</v>
      </c>
    </row>
    <row r="1001" spans="12:26" x14ac:dyDescent="0.55000000000000004">
      <c r="L1001">
        <v>996</v>
      </c>
      <c r="M1001">
        <v>0.12994</v>
      </c>
      <c r="N1001">
        <v>10944.888290999999</v>
      </c>
      <c r="O1001">
        <f t="shared" si="45"/>
        <v>84230.323926427576</v>
      </c>
      <c r="W1001">
        <v>996</v>
      </c>
      <c r="X1001">
        <v>2.0135E-2</v>
      </c>
      <c r="Y1001">
        <v>2312.0895930000001</v>
      </c>
      <c r="Z1001">
        <f t="shared" si="46"/>
        <v>114829.38132604917</v>
      </c>
    </row>
    <row r="1002" spans="12:26" x14ac:dyDescent="0.55000000000000004">
      <c r="L1002">
        <v>997</v>
      </c>
      <c r="M1002">
        <v>0.127164</v>
      </c>
      <c r="N1002">
        <v>10850.089371</v>
      </c>
      <c r="O1002">
        <f t="shared" si="45"/>
        <v>85323.592927243561</v>
      </c>
      <c r="W1002">
        <v>997</v>
      </c>
      <c r="X1002">
        <v>1.9382E-2</v>
      </c>
      <c r="Y1002">
        <v>2296.3741110000001</v>
      </c>
      <c r="Z1002">
        <f t="shared" si="46"/>
        <v>118479.729181715</v>
      </c>
    </row>
    <row r="1003" spans="12:26" x14ac:dyDescent="0.55000000000000004">
      <c r="L1003">
        <v>998</v>
      </c>
      <c r="M1003">
        <v>0.12438100000000001</v>
      </c>
      <c r="N1003">
        <v>10755.189305</v>
      </c>
      <c r="O1003">
        <f t="shared" si="45"/>
        <v>86469.712456082518</v>
      </c>
      <c r="W1003">
        <v>998</v>
      </c>
      <c r="X1003">
        <v>1.8620999999999999E-2</v>
      </c>
      <c r="Y1003">
        <v>2280.6288100000002</v>
      </c>
      <c r="Z1003">
        <f t="shared" si="46"/>
        <v>122476.17260082703</v>
      </c>
    </row>
    <row r="1004" spans="12:26" x14ac:dyDescent="0.55000000000000004">
      <c r="L1004">
        <v>999</v>
      </c>
      <c r="M1004">
        <v>0.12159300000000001</v>
      </c>
      <c r="N1004">
        <v>10660.245617</v>
      </c>
      <c r="O1004">
        <f t="shared" si="45"/>
        <v>87671.540442295198</v>
      </c>
      <c r="W1004">
        <v>999</v>
      </c>
      <c r="X1004">
        <v>1.7856E-2</v>
      </c>
      <c r="Y1004">
        <v>2264.8593839999999</v>
      </c>
      <c r="Z1004">
        <f t="shared" si="46"/>
        <v>126840.24327956988</v>
      </c>
    </row>
    <row r="1005" spans="12:26" x14ac:dyDescent="0.55000000000000004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6"/>
        <v>131654.6693789147</v>
      </c>
    </row>
    <row r="1006" spans="12:26" x14ac:dyDescent="0.55000000000000004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6"/>
        <v>136785.83205732834</v>
      </c>
    </row>
    <row r="1007" spans="12:26" x14ac:dyDescent="0.55000000000000004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6"/>
        <v>142308.06083552589</v>
      </c>
    </row>
    <row r="1008" spans="12:26" x14ac:dyDescent="0.55000000000000004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6"/>
        <v>148237.15746600245</v>
      </c>
    </row>
    <row r="1009" spans="12:26" x14ac:dyDescent="0.55000000000000004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6"/>
        <v>154617.45318246109</v>
      </c>
    </row>
    <row r="1010" spans="12:26" x14ac:dyDescent="0.55000000000000004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6"/>
        <v>161487.7659574468</v>
      </c>
    </row>
    <row r="1011" spans="12:26" x14ac:dyDescent="0.55000000000000004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6"/>
        <v>168889.73364156415</v>
      </c>
    </row>
    <row r="1012" spans="12:26" x14ac:dyDescent="0.55000000000000004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6"/>
        <v>176867.63539428008</v>
      </c>
    </row>
    <row r="1013" spans="12:26" x14ac:dyDescent="0.55000000000000004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6"/>
        <v>185468.01545311679</v>
      </c>
    </row>
    <row r="1014" spans="12:26" x14ac:dyDescent="0.55000000000000004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6"/>
        <v>194757.00960384155</v>
      </c>
    </row>
    <row r="1015" spans="12:26" x14ac:dyDescent="0.55000000000000004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6"/>
        <v>204789.45803990608</v>
      </c>
    </row>
    <row r="1016" spans="12:26" x14ac:dyDescent="0.55000000000000004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6"/>
        <v>215643.28654424733</v>
      </c>
    </row>
    <row r="1017" spans="12:26" x14ac:dyDescent="0.55000000000000004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6"/>
        <v>227380.93377410466</v>
      </c>
    </row>
    <row r="1018" spans="12:26" x14ac:dyDescent="0.55000000000000004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6"/>
        <v>240091.42510548525</v>
      </c>
    </row>
    <row r="1019" spans="12:26" x14ac:dyDescent="0.55000000000000004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6"/>
        <v>253841.39233553861</v>
      </c>
    </row>
    <row r="1020" spans="12:26" x14ac:dyDescent="0.55000000000000004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6"/>
        <v>268762.55491945148</v>
      </c>
    </row>
    <row r="1021" spans="12:26" x14ac:dyDescent="0.55000000000000004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6"/>
        <v>284931.03384046635</v>
      </c>
    </row>
    <row r="1022" spans="12:26" x14ac:dyDescent="0.55000000000000004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6"/>
        <v>302457.05017485173</v>
      </c>
    </row>
    <row r="1023" spans="12:26" x14ac:dyDescent="0.55000000000000004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6"/>
        <v>321455.16164740355</v>
      </c>
    </row>
    <row r="1024" spans="12:26" x14ac:dyDescent="0.55000000000000004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6"/>
        <v>342101.2816753927</v>
      </c>
    </row>
    <row r="1025" spans="12:26" x14ac:dyDescent="0.55000000000000004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6"/>
        <v>364466.58100767934</v>
      </c>
    </row>
    <row r="1026" spans="12:26" x14ac:dyDescent="0.55000000000000004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6"/>
        <v>388816.90479066025</v>
      </c>
    </row>
    <row r="1027" spans="12:26" x14ac:dyDescent="0.55000000000000004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6"/>
        <v>415225.05911650066</v>
      </c>
    </row>
    <row r="1028" spans="12:26" x14ac:dyDescent="0.55000000000000004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6"/>
        <v>443911.11800373136</v>
      </c>
    </row>
    <row r="1029" spans="12:26" x14ac:dyDescent="0.55000000000000004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6"/>
        <v>474890.66071877355</v>
      </c>
    </row>
    <row r="1030" spans="12:26" x14ac:dyDescent="0.55000000000000004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6"/>
        <v>508625.09300433839</v>
      </c>
    </row>
    <row r="1031" spans="12:26" x14ac:dyDescent="0.55000000000000004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7">Y1031/X1031</f>
        <v>545126.41247072595</v>
      </c>
    </row>
    <row r="1032" spans="12:26" x14ac:dyDescent="0.55000000000000004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7"/>
        <v>584636.31973434531</v>
      </c>
    </row>
    <row r="1033" spans="12:26" x14ac:dyDescent="0.55000000000000004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7"/>
        <v>627424.46700854704</v>
      </c>
    </row>
    <row r="1034" spans="12:26" x14ac:dyDescent="0.55000000000000004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7"/>
        <v>673546.72014787432</v>
      </c>
    </row>
    <row r="1035" spans="12:26" x14ac:dyDescent="0.55000000000000004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7"/>
        <v>723521.74919999996</v>
      </c>
    </row>
    <row r="1036" spans="12:26" x14ac:dyDescent="0.55000000000000004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7"/>
        <v>777066.35785374301</v>
      </c>
    </row>
    <row r="1037" spans="12:26" x14ac:dyDescent="0.55000000000000004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7"/>
        <v>834316.34487599437</v>
      </c>
    </row>
    <row r="1038" spans="12:26" x14ac:dyDescent="0.55000000000000004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7"/>
        <v>895854.00657894742</v>
      </c>
    </row>
    <row r="1039" spans="12:26" x14ac:dyDescent="0.55000000000000004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7"/>
        <v>961500.45842450764</v>
      </c>
    </row>
    <row r="1040" spans="12:26" x14ac:dyDescent="0.55000000000000004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7"/>
        <v>1030822.161252215</v>
      </c>
    </row>
    <row r="1041" spans="12:26" x14ac:dyDescent="0.55000000000000004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7"/>
        <v>1104452.8935627788</v>
      </c>
    </row>
    <row r="1042" spans="12:26" x14ac:dyDescent="0.55000000000000004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7"/>
        <v>1181825.948489011</v>
      </c>
    </row>
    <row r="1043" spans="12:26" x14ac:dyDescent="0.55000000000000004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7"/>
        <v>1263860.5961538462</v>
      </c>
    </row>
    <row r="1044" spans="12:26" x14ac:dyDescent="0.55000000000000004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7"/>
        <v>1347808.5472597301</v>
      </c>
    </row>
    <row r="1045" spans="12:26" x14ac:dyDescent="0.55000000000000004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7"/>
        <v>1435429.5749574106</v>
      </c>
    </row>
    <row r="1046" spans="12:26" x14ac:dyDescent="0.55000000000000004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7"/>
        <v>1525661.7520510482</v>
      </c>
    </row>
    <row r="1047" spans="12:26" x14ac:dyDescent="0.55000000000000004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7"/>
        <v>1616986.4406614783</v>
      </c>
    </row>
    <row r="1048" spans="12:26" x14ac:dyDescent="0.55000000000000004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7"/>
        <v>1710910.6891191709</v>
      </c>
    </row>
    <row r="1049" spans="12:26" x14ac:dyDescent="0.55000000000000004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7"/>
        <v>1804127.8789878988</v>
      </c>
    </row>
    <row r="1050" spans="12:26" x14ac:dyDescent="0.55000000000000004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7"/>
        <v>1896429.8963911526</v>
      </c>
    </row>
    <row r="1051" spans="12:26" x14ac:dyDescent="0.55000000000000004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7"/>
        <v>1988050.085995086</v>
      </c>
    </row>
    <row r="1052" spans="12:26" x14ac:dyDescent="0.55000000000000004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7"/>
        <v>2077094.8979328165</v>
      </c>
    </row>
    <row r="1053" spans="12:26" x14ac:dyDescent="0.55000000000000004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7"/>
        <v>2164268.2466124659</v>
      </c>
    </row>
    <row r="1054" spans="12:26" x14ac:dyDescent="0.55000000000000004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7"/>
        <v>2244623.5657708631</v>
      </c>
    </row>
    <row r="1055" spans="12:26" x14ac:dyDescent="0.55000000000000004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7"/>
        <v>2322280.684830633</v>
      </c>
    </row>
    <row r="1056" spans="12:26" x14ac:dyDescent="0.55000000000000004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7"/>
        <v>2395824.9113149848</v>
      </c>
    </row>
    <row r="1057" spans="12:26" x14ac:dyDescent="0.55000000000000004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7"/>
        <v>2463721.2626582282</v>
      </c>
    </row>
    <row r="1058" spans="12:26" x14ac:dyDescent="0.55000000000000004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7"/>
        <v>2524365.0750407828</v>
      </c>
    </row>
    <row r="1059" spans="12:26" x14ac:dyDescent="0.55000000000000004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7"/>
        <v>2580472.1828859062</v>
      </c>
    </row>
    <row r="1060" spans="12:26" x14ac:dyDescent="0.55000000000000004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7"/>
        <v>2626544.176975945</v>
      </c>
    </row>
    <row r="1061" spans="12:26" x14ac:dyDescent="0.55000000000000004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7"/>
        <v>2670470.2126537785</v>
      </c>
    </row>
    <row r="1062" spans="12:26" x14ac:dyDescent="0.55000000000000004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7"/>
        <v>2711863.0969479354</v>
      </c>
    </row>
    <row r="1063" spans="12:26" x14ac:dyDescent="0.55000000000000004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7"/>
        <v>2740290.1605839417</v>
      </c>
    </row>
    <row r="1064" spans="12:26" x14ac:dyDescent="0.55000000000000004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7"/>
        <v>2769964.6975881262</v>
      </c>
    </row>
    <row r="1065" spans="12:26" x14ac:dyDescent="0.55000000000000004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7"/>
        <v>2790419.516917293</v>
      </c>
    </row>
    <row r="1066" spans="12:26" x14ac:dyDescent="0.55000000000000004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7"/>
        <v>2806378.5304182512</v>
      </c>
    </row>
    <row r="1067" spans="12:26" x14ac:dyDescent="0.55000000000000004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7"/>
        <v>2823011.7865384617</v>
      </c>
    </row>
    <row r="1068" spans="12:26" x14ac:dyDescent="0.55000000000000004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7"/>
        <v>2829332.4748062016</v>
      </c>
    </row>
    <row r="1069" spans="12:26" x14ac:dyDescent="0.55000000000000004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7"/>
        <v>2836059.80859375</v>
      </c>
    </row>
    <row r="1070" spans="12:26" x14ac:dyDescent="0.55000000000000004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7"/>
        <v>2843201.7303149607</v>
      </c>
    </row>
    <row r="1071" spans="12:26" x14ac:dyDescent="0.55000000000000004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7"/>
        <v>2845121.217821782</v>
      </c>
    </row>
    <row r="1072" spans="12:26" x14ac:dyDescent="0.55000000000000004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7"/>
        <v>2841711.41749503</v>
      </c>
    </row>
    <row r="1073" spans="12:26" x14ac:dyDescent="0.55000000000000004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7"/>
        <v>2838581.459081836</v>
      </c>
    </row>
    <row r="1074" spans="12:26" x14ac:dyDescent="0.55000000000000004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7"/>
        <v>2835732.4629258518</v>
      </c>
    </row>
    <row r="1075" spans="12:26" x14ac:dyDescent="0.55000000000000004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7"/>
        <v>2833165.4426559354</v>
      </c>
    </row>
    <row r="1076" spans="12:26" x14ac:dyDescent="0.55000000000000004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7"/>
        <v>2825173.8810483869</v>
      </c>
    </row>
    <row r="1077" spans="12:26" x14ac:dyDescent="0.55000000000000004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7"/>
        <v>2817451.0242424244</v>
      </c>
    </row>
    <row r="1078" spans="12:26" x14ac:dyDescent="0.55000000000000004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7"/>
        <v>2809995.7530364371</v>
      </c>
    </row>
    <row r="1079" spans="12:26" x14ac:dyDescent="0.55000000000000004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7"/>
        <v>2802806.8255578093</v>
      </c>
    </row>
    <row r="1080" spans="12:26" x14ac:dyDescent="0.55000000000000004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7"/>
        <v>2790211.7261663289</v>
      </c>
    </row>
    <row r="1081" spans="12:26" x14ac:dyDescent="0.55000000000000004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7"/>
        <v>2783553.3252032516</v>
      </c>
    </row>
    <row r="1082" spans="12:26" x14ac:dyDescent="0.55000000000000004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7"/>
        <v>2771511.7195121949</v>
      </c>
    </row>
    <row r="1083" spans="12:26" x14ac:dyDescent="0.55000000000000004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7"/>
        <v>2759754.8069105693</v>
      </c>
    </row>
    <row r="1084" spans="12:26" x14ac:dyDescent="0.55000000000000004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7"/>
        <v>2753876.5417515272</v>
      </c>
    </row>
    <row r="1085" spans="12:26" x14ac:dyDescent="0.55000000000000004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7"/>
        <v>2742656.0631364561</v>
      </c>
    </row>
    <row r="1086" spans="12:26" x14ac:dyDescent="0.55000000000000004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7"/>
        <v>2731710.5356415478</v>
      </c>
    </row>
    <row r="1087" spans="12:26" x14ac:dyDescent="0.55000000000000004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7"/>
        <v>2721036.3665987779</v>
      </c>
    </row>
    <row r="1088" spans="12:26" x14ac:dyDescent="0.55000000000000004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7"/>
        <v>2710629.8981670062</v>
      </c>
    </row>
    <row r="1089" spans="12:26" x14ac:dyDescent="0.55000000000000004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7"/>
        <v>2705998.6081632655</v>
      </c>
    </row>
    <row r="1090" spans="12:26" x14ac:dyDescent="0.55000000000000004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7"/>
        <v>2696096.1510204081</v>
      </c>
    </row>
    <row r="1091" spans="12:26" x14ac:dyDescent="0.55000000000000004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7"/>
        <v>2686450.5857142857</v>
      </c>
    </row>
    <row r="1092" spans="12:26" x14ac:dyDescent="0.55000000000000004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7"/>
        <v>2677058.0183673468</v>
      </c>
    </row>
    <row r="1093" spans="12:26" x14ac:dyDescent="0.55000000000000004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7"/>
        <v>2667914.5204081633</v>
      </c>
    </row>
    <row r="1094" spans="12:26" x14ac:dyDescent="0.55000000000000004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7"/>
        <v>2659016.114285714</v>
      </c>
    </row>
    <row r="1095" spans="12:26" x14ac:dyDescent="0.55000000000000004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8">Y1095/X1095</f>
        <v>2650358.7938775513</v>
      </c>
    </row>
    <row r="1096" spans="12:26" x14ac:dyDescent="0.55000000000000004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8"/>
        <v>2641938.5183673473</v>
      </c>
    </row>
    <row r="1097" spans="12:26" x14ac:dyDescent="0.55000000000000004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8"/>
        <v>2633751.2204081635</v>
      </c>
    </row>
    <row r="1098" spans="12:26" x14ac:dyDescent="0.55000000000000004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8"/>
        <v>2625792.8102040817</v>
      </c>
    </row>
    <row r="1099" spans="12:26" x14ac:dyDescent="0.55000000000000004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8"/>
        <v>2618059.1816326533</v>
      </c>
    </row>
    <row r="1100" spans="12:26" x14ac:dyDescent="0.55000000000000004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8"/>
        <v>2610546.2102040816</v>
      </c>
    </row>
    <row r="1101" spans="12:26" x14ac:dyDescent="0.55000000000000004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8"/>
        <v>2603249.7653061226</v>
      </c>
    </row>
    <row r="1102" spans="12:26" x14ac:dyDescent="0.55000000000000004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8"/>
        <v>2596165.7061224491</v>
      </c>
    </row>
    <row r="1103" spans="12:26" x14ac:dyDescent="0.55000000000000004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8"/>
        <v>2589289.8918367345</v>
      </c>
    </row>
    <row r="1104" spans="12:26" x14ac:dyDescent="0.55000000000000004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8"/>
        <v>2582618.1795918369</v>
      </c>
    </row>
    <row r="1105" spans="12:26" x14ac:dyDescent="0.55000000000000004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8"/>
        <v>2576146.4306122451</v>
      </c>
    </row>
    <row r="1106" spans="12:26" x14ac:dyDescent="0.55000000000000004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8"/>
        <v>2569870.5183673473</v>
      </c>
    </row>
    <row r="1107" spans="12:26" x14ac:dyDescent="0.55000000000000004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8"/>
        <v>2563786.3224489796</v>
      </c>
    </row>
    <row r="1108" spans="12:26" x14ac:dyDescent="0.55000000000000004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8"/>
        <v>2557889.7387755103</v>
      </c>
    </row>
    <row r="1109" spans="12:26" x14ac:dyDescent="0.55000000000000004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8"/>
        <v>2552176.6795918369</v>
      </c>
    </row>
    <row r="1110" spans="12:26" x14ac:dyDescent="0.55000000000000004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8"/>
        <v>2546643.0775510203</v>
      </c>
    </row>
    <row r="1111" spans="12:26" x14ac:dyDescent="0.55000000000000004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8"/>
        <v>2541284.889795918</v>
      </c>
    </row>
    <row r="1112" spans="12:26" x14ac:dyDescent="0.55000000000000004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8"/>
        <v>2536098.1</v>
      </c>
    </row>
    <row r="1113" spans="12:26" x14ac:dyDescent="0.55000000000000004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8"/>
        <v>2531078.718367347</v>
      </c>
    </row>
    <row r="1114" spans="12:26" x14ac:dyDescent="0.55000000000000004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8"/>
        <v>2526222.7857142859</v>
      </c>
    </row>
    <row r="1115" spans="12:26" x14ac:dyDescent="0.55000000000000004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8"/>
        <v>2521526.3775510206</v>
      </c>
    </row>
    <row r="1116" spans="12:26" x14ac:dyDescent="0.55000000000000004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8"/>
        <v>2516985.6061224495</v>
      </c>
    </row>
    <row r="1117" spans="12:26" x14ac:dyDescent="0.55000000000000004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8"/>
        <v>2512596.6224489794</v>
      </c>
    </row>
    <row r="1118" spans="12:26" x14ac:dyDescent="0.55000000000000004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8"/>
        <v>2508355.6142857145</v>
      </c>
    </row>
    <row r="1119" spans="12:26" x14ac:dyDescent="0.55000000000000004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8"/>
        <v>2504258.8142857146</v>
      </c>
    </row>
    <row r="1120" spans="12:26" x14ac:dyDescent="0.55000000000000004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8"/>
        <v>2500302.497959184</v>
      </c>
    </row>
    <row r="1121" spans="12:26" x14ac:dyDescent="0.55000000000000004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8"/>
        <v>2496482.9857142861</v>
      </c>
    </row>
    <row r="1122" spans="12:26" x14ac:dyDescent="0.55000000000000004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8"/>
        <v>2492796.6489795921</v>
      </c>
    </row>
    <row r="1123" spans="12:26" x14ac:dyDescent="0.55000000000000004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8"/>
        <v>2489239.9020408164</v>
      </c>
    </row>
    <row r="1124" spans="12:26" x14ac:dyDescent="0.55000000000000004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8"/>
        <v>2485809.2142857146</v>
      </c>
    </row>
    <row r="1125" spans="12:26" x14ac:dyDescent="0.55000000000000004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8"/>
        <v>2482501.106122449</v>
      </c>
    </row>
    <row r="1126" spans="12:26" x14ac:dyDescent="0.55000000000000004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8"/>
        <v>2479312.1469387757</v>
      </c>
    </row>
    <row r="1127" spans="12:26" x14ac:dyDescent="0.55000000000000004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8"/>
        <v>2476238.9632653063</v>
      </c>
    </row>
    <row r="1128" spans="12:26" x14ac:dyDescent="0.55000000000000004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8"/>
        <v>2473278.2387755099</v>
      </c>
    </row>
    <row r="1129" spans="12:26" x14ac:dyDescent="0.55000000000000004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8"/>
        <v>2470426.7061224491</v>
      </c>
    </row>
    <row r="1130" spans="12:26" x14ac:dyDescent="0.55000000000000004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8"/>
        <v>2467681.1591836731</v>
      </c>
    </row>
    <row r="1131" spans="12:26" x14ac:dyDescent="0.55000000000000004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8"/>
        <v>2465038.448979592</v>
      </c>
    </row>
    <row r="1132" spans="12:26" x14ac:dyDescent="0.55000000000000004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8"/>
        <v>2462495.4857142856</v>
      </c>
    </row>
    <row r="1133" spans="12:26" x14ac:dyDescent="0.55000000000000004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8"/>
        <v>2460049.2306122449</v>
      </c>
    </row>
    <row r="1134" spans="12:26" x14ac:dyDescent="0.55000000000000004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8"/>
        <v>2457696.7122448981</v>
      </c>
    </row>
    <row r="1135" spans="12:26" x14ac:dyDescent="0.55000000000000004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8"/>
        <v>2455435.0142857144</v>
      </c>
    </row>
    <row r="1136" spans="12:26" x14ac:dyDescent="0.55000000000000004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8"/>
        <v>2453261.279591837</v>
      </c>
    </row>
    <row r="1137" spans="12:26" x14ac:dyDescent="0.55000000000000004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8"/>
        <v>2451172.7142857146</v>
      </c>
    </row>
    <row r="1138" spans="12:26" x14ac:dyDescent="0.55000000000000004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8"/>
        <v>2449166.5775510203</v>
      </c>
    </row>
    <row r="1139" spans="12:26" x14ac:dyDescent="0.55000000000000004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8"/>
        <v>2447240.1959183672</v>
      </c>
    </row>
    <row r="1140" spans="12:26" x14ac:dyDescent="0.55000000000000004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8"/>
        <v>2445390.951020408</v>
      </c>
    </row>
    <row r="1141" spans="12:26" x14ac:dyDescent="0.55000000000000004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8"/>
        <v>2443616.2836734694</v>
      </c>
    </row>
    <row r="1142" spans="12:26" x14ac:dyDescent="0.55000000000000004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8"/>
        <v>2441913.6959183672</v>
      </c>
    </row>
    <row r="1143" spans="12:26" x14ac:dyDescent="0.55000000000000004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8"/>
        <v>2440280.7510204082</v>
      </c>
    </row>
    <row r="1144" spans="12:26" x14ac:dyDescent="0.55000000000000004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8"/>
        <v>2438715.0673469389</v>
      </c>
    </row>
    <row r="1145" spans="12:26" x14ac:dyDescent="0.55000000000000004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8"/>
        <v>2437214.3244897961</v>
      </c>
    </row>
    <row r="1146" spans="12:26" x14ac:dyDescent="0.55000000000000004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8"/>
        <v>2435776.2591836737</v>
      </c>
    </row>
    <row r="1147" spans="12:26" x14ac:dyDescent="0.55000000000000004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8"/>
        <v>2434398.6673469385</v>
      </c>
    </row>
    <row r="1148" spans="12:26" x14ac:dyDescent="0.55000000000000004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8"/>
        <v>2433079.3979591834</v>
      </c>
    </row>
    <row r="1149" spans="12:26" x14ac:dyDescent="0.55000000000000004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8"/>
        <v>2431816.3632653062</v>
      </c>
    </row>
    <row r="1150" spans="12:26" x14ac:dyDescent="0.55000000000000004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8"/>
        <v>2430607.5285714287</v>
      </c>
    </row>
    <row r="1151" spans="12:26" x14ac:dyDescent="0.55000000000000004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8"/>
        <v>2429450.9122448983</v>
      </c>
    </row>
    <row r="1152" spans="12:26" x14ac:dyDescent="0.55000000000000004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8"/>
        <v>2428344.5918367347</v>
      </c>
    </row>
    <row r="1153" spans="12:26" x14ac:dyDescent="0.55000000000000004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8"/>
        <v>2427286.6959183672</v>
      </c>
    </row>
    <row r="1154" spans="12:26" x14ac:dyDescent="0.55000000000000004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8"/>
        <v>2426275.4081632653</v>
      </c>
    </row>
    <row r="1155" spans="12:26" x14ac:dyDescent="0.55000000000000004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8"/>
        <v>2425308.9673469388</v>
      </c>
    </row>
    <row r="1156" spans="12:26" x14ac:dyDescent="0.55000000000000004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8"/>
        <v>2424385.6591836736</v>
      </c>
    </row>
    <row r="1157" spans="12:26" x14ac:dyDescent="0.55000000000000004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8"/>
        <v>2423503.8244897956</v>
      </c>
    </row>
    <row r="1158" spans="12:26" x14ac:dyDescent="0.55000000000000004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8"/>
        <v>2422661.8510204083</v>
      </c>
    </row>
    <row r="1159" spans="12:26" x14ac:dyDescent="0.55000000000000004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9">Y1159/X1159</f>
        <v>2421858.1795918364</v>
      </c>
    </row>
    <row r="1160" spans="12:26" x14ac:dyDescent="0.55000000000000004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9"/>
        <v>2421091.2959183673</v>
      </c>
    </row>
    <row r="1161" spans="12:26" x14ac:dyDescent="0.55000000000000004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9"/>
        <v>2420359.7367346939</v>
      </c>
    </row>
    <row r="1162" spans="12:26" x14ac:dyDescent="0.55000000000000004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9"/>
        <v>2419662.0857142862</v>
      </c>
    </row>
    <row r="1163" spans="12:26" x14ac:dyDescent="0.55000000000000004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9"/>
        <v>2418996.9673469388</v>
      </c>
    </row>
    <row r="1164" spans="12:26" x14ac:dyDescent="0.55000000000000004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9"/>
        <v>2418363.0591836735</v>
      </c>
    </row>
    <row r="1165" spans="12:26" x14ac:dyDescent="0.55000000000000004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9"/>
        <v>2417759.0734693878</v>
      </c>
    </row>
    <row r="1166" spans="12:26" x14ac:dyDescent="0.55000000000000004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9"/>
        <v>2417183.773469388</v>
      </c>
    </row>
    <row r="1167" spans="12:26" x14ac:dyDescent="0.55000000000000004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9"/>
        <v>2416635.9591836738</v>
      </c>
    </row>
    <row r="1168" spans="12:26" x14ac:dyDescent="0.55000000000000004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9"/>
        <v>2416114.4755102042</v>
      </c>
    </row>
    <row r="1169" spans="12:26" x14ac:dyDescent="0.55000000000000004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9"/>
        <v>2415618.2061224491</v>
      </c>
    </row>
    <row r="1170" spans="12:26" x14ac:dyDescent="0.55000000000000004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9"/>
        <v>2415146.0714285718</v>
      </c>
    </row>
    <row r="1171" spans="12:26" x14ac:dyDescent="0.55000000000000004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9"/>
        <v>2414697.0346938772</v>
      </c>
    </row>
    <row r="1172" spans="12:26" x14ac:dyDescent="0.55000000000000004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9"/>
        <v>2414270.0918367347</v>
      </c>
    </row>
    <row r="1173" spans="12:26" x14ac:dyDescent="0.55000000000000004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9"/>
        <v>2413864.281632653</v>
      </c>
    </row>
    <row r="1174" spans="12:26" x14ac:dyDescent="0.55000000000000004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9"/>
        <v>2413478.6693877554</v>
      </c>
    </row>
    <row r="1175" spans="12:26" x14ac:dyDescent="0.55000000000000004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9"/>
        <v>2413112.3632653062</v>
      </c>
    </row>
    <row r="1176" spans="12:26" x14ac:dyDescent="0.55000000000000004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9"/>
        <v>2412764.4979591835</v>
      </c>
    </row>
    <row r="1177" spans="12:26" x14ac:dyDescent="0.55000000000000004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9"/>
        <v>2412434.2489795918</v>
      </c>
    </row>
    <row r="1178" spans="12:26" x14ac:dyDescent="0.55000000000000004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9"/>
        <v>2412120.8122448982</v>
      </c>
    </row>
    <row r="1179" spans="12:26" x14ac:dyDescent="0.55000000000000004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9"/>
        <v>2411823.4265306122</v>
      </c>
    </row>
    <row r="1180" spans="12:26" x14ac:dyDescent="0.55000000000000004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9"/>
        <v>2411541.3510204083</v>
      </c>
    </row>
    <row r="1181" spans="12:26" x14ac:dyDescent="0.55000000000000004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9"/>
        <v>2411273.8816326531</v>
      </c>
    </row>
    <row r="1182" spans="12:26" x14ac:dyDescent="0.55000000000000004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9"/>
        <v>2411020.3346938775</v>
      </c>
    </row>
    <row r="1183" spans="12:26" x14ac:dyDescent="0.55000000000000004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9"/>
        <v>2410780.0591836735</v>
      </c>
    </row>
    <row r="1184" spans="12:26" x14ac:dyDescent="0.55000000000000004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9"/>
        <v>2410552.4285714286</v>
      </c>
    </row>
    <row r="1185" spans="12:26" x14ac:dyDescent="0.55000000000000004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9"/>
        <v>2410336.8428571429</v>
      </c>
    </row>
    <row r="1186" spans="12:26" x14ac:dyDescent="0.55000000000000004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9"/>
        <v>2410132.724489796</v>
      </c>
    </row>
    <row r="1187" spans="12:26" x14ac:dyDescent="0.55000000000000004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9"/>
        <v>2409939.5224489798</v>
      </c>
    </row>
    <row r="1188" spans="12:26" x14ac:dyDescent="0.55000000000000004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9"/>
        <v>2409756.7102040816</v>
      </c>
    </row>
    <row r="1189" spans="12:26" x14ac:dyDescent="0.55000000000000004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9"/>
        <v>2409583.7775510205</v>
      </c>
    </row>
    <row r="1190" spans="12:26" x14ac:dyDescent="0.55000000000000004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9"/>
        <v>2409420.2408163263</v>
      </c>
    </row>
    <row r="1191" spans="12:26" x14ac:dyDescent="0.55000000000000004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9"/>
        <v>2409265.6367346938</v>
      </c>
    </row>
    <row r="1192" spans="12:26" x14ac:dyDescent="0.55000000000000004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9"/>
        <v>2409119.5204081633</v>
      </c>
    </row>
    <row r="1193" spans="12:26" x14ac:dyDescent="0.55000000000000004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9"/>
        <v>2408981.4673469388</v>
      </c>
    </row>
    <row r="1194" spans="12:26" x14ac:dyDescent="0.55000000000000004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9"/>
        <v>2408851.0734693878</v>
      </c>
    </row>
    <row r="1195" spans="12:26" x14ac:dyDescent="0.55000000000000004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9"/>
        <v>2408727.948979592</v>
      </c>
    </row>
    <row r="1196" spans="12:26" x14ac:dyDescent="0.55000000000000004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9"/>
        <v>2408611.7224489795</v>
      </c>
    </row>
    <row r="1197" spans="12:26" x14ac:dyDescent="0.55000000000000004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9"/>
        <v>2408502.0448979591</v>
      </c>
    </row>
    <row r="1198" spans="12:26" x14ac:dyDescent="0.55000000000000004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9"/>
        <v>2408398.5755102038</v>
      </c>
    </row>
    <row r="1199" spans="12:26" x14ac:dyDescent="0.55000000000000004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9"/>
        <v>2408300.9897959186</v>
      </c>
    </row>
    <row r="1200" spans="12:26" x14ac:dyDescent="0.55000000000000004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9"/>
        <v>2408208.9857142856</v>
      </c>
    </row>
    <row r="1201" spans="12:26" x14ac:dyDescent="0.55000000000000004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9"/>
        <v>2408122.2673469386</v>
      </c>
    </row>
    <row r="1202" spans="12:26" x14ac:dyDescent="0.55000000000000004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9"/>
        <v>2408040.5571428575</v>
      </c>
    </row>
    <row r="1203" spans="12:26" x14ac:dyDescent="0.55000000000000004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9"/>
        <v>2407963.5877551022</v>
      </c>
    </row>
    <row r="1204" spans="12:26" x14ac:dyDescent="0.55000000000000004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9"/>
        <v>2407891.106122449</v>
      </c>
    </row>
    <row r="1205" spans="12:26" x14ac:dyDescent="0.55000000000000004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9"/>
        <v>2407822.8714285712</v>
      </c>
    </row>
    <row r="1206" spans="12:26" x14ac:dyDescent="0.55000000000000004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9"/>
        <v>2407758.6530612246</v>
      </c>
    </row>
    <row r="1207" spans="12:26" x14ac:dyDescent="0.55000000000000004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9"/>
        <v>2407698.2346938774</v>
      </c>
    </row>
    <row r="1208" spans="12:26" x14ac:dyDescent="0.55000000000000004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9"/>
        <v>2407641.4061224489</v>
      </c>
    </row>
    <row r="1209" spans="12:26" x14ac:dyDescent="0.55000000000000004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9"/>
        <v>2407587.9734693877</v>
      </c>
    </row>
    <row r="1210" spans="12:26" x14ac:dyDescent="0.55000000000000004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9"/>
        <v>2407537.7448979593</v>
      </c>
    </row>
    <row r="1211" spans="12:26" x14ac:dyDescent="0.55000000000000004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9"/>
        <v>2407490.5469387756</v>
      </c>
    </row>
    <row r="1212" spans="12:26" x14ac:dyDescent="0.55000000000000004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9"/>
        <v>2407446.2061224491</v>
      </c>
    </row>
    <row r="1213" spans="12:26" x14ac:dyDescent="0.55000000000000004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9"/>
        <v>2407404.5653061224</v>
      </c>
    </row>
    <row r="1214" spans="12:26" x14ac:dyDescent="0.55000000000000004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9"/>
        <v>2407365.4673469388</v>
      </c>
    </row>
    <row r="1215" spans="12:26" x14ac:dyDescent="0.55000000000000004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9"/>
        <v>2407328.773469388</v>
      </c>
    </row>
    <row r="1216" spans="12:26" x14ac:dyDescent="0.55000000000000004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9"/>
        <v>2407294.3428571429</v>
      </c>
    </row>
    <row r="1217" spans="12:26" x14ac:dyDescent="0.55000000000000004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9"/>
        <v>2407262.0469387756</v>
      </c>
    </row>
    <row r="1218" spans="12:26" x14ac:dyDescent="0.55000000000000004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9"/>
        <v>2407231.7612244897</v>
      </c>
    </row>
    <row r="1219" spans="12:26" x14ac:dyDescent="0.55000000000000004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9"/>
        <v>2407203.3693877552</v>
      </c>
    </row>
    <row r="1220" spans="12:26" x14ac:dyDescent="0.55000000000000004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9"/>
        <v>2407176.7632653061</v>
      </c>
    </row>
    <row r="1221" spans="12:26" x14ac:dyDescent="0.55000000000000004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9"/>
        <v>2407151.8346938775</v>
      </c>
    </row>
    <row r="1222" spans="12:26" x14ac:dyDescent="0.55000000000000004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9"/>
        <v>2407128.4877551021</v>
      </c>
    </row>
    <row r="1223" spans="12:26" x14ac:dyDescent="0.55000000000000004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50">Y1223/X1223</f>
        <v>2407106.6265306124</v>
      </c>
    </row>
    <row r="1224" spans="12:26" x14ac:dyDescent="0.55000000000000004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50"/>
        <v>2407086.1632653065</v>
      </c>
    </row>
    <row r="1225" spans="12:26" x14ac:dyDescent="0.55000000000000004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50"/>
        <v>2407067.0163265304</v>
      </c>
    </row>
    <row r="1226" spans="12:26" x14ac:dyDescent="0.55000000000000004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50"/>
        <v>2407049.1020408166</v>
      </c>
    </row>
    <row r="1227" spans="12:26" x14ac:dyDescent="0.55000000000000004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50"/>
        <v>2407032.3510204083</v>
      </c>
    </row>
    <row r="1228" spans="12:26" x14ac:dyDescent="0.55000000000000004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50"/>
        <v>2407016.6897959188</v>
      </c>
    </row>
    <row r="1229" spans="12:26" x14ac:dyDescent="0.55000000000000004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50"/>
        <v>2407002.051020408</v>
      </c>
    </row>
    <row r="1230" spans="12:26" x14ac:dyDescent="0.55000000000000004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50"/>
        <v>2406988.3755102041</v>
      </c>
    </row>
    <row r="1231" spans="12:26" x14ac:dyDescent="0.55000000000000004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50"/>
        <v>2406975.6</v>
      </c>
    </row>
    <row r="1232" spans="12:26" x14ac:dyDescent="0.55000000000000004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50"/>
        <v>2406963.669387755</v>
      </c>
    </row>
    <row r="1233" spans="12:26" x14ac:dyDescent="0.55000000000000004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50"/>
        <v>2406952.5346938772</v>
      </c>
    </row>
    <row r="1234" spans="12:26" x14ac:dyDescent="0.55000000000000004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50"/>
        <v>2406942.1428571432</v>
      </c>
    </row>
    <row r="1235" spans="12:26" x14ac:dyDescent="0.55000000000000004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50"/>
        <v>2406932.4469387759</v>
      </c>
    </row>
    <row r="1236" spans="12:26" x14ac:dyDescent="0.55000000000000004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50"/>
        <v>2406923.4040816328</v>
      </c>
    </row>
    <row r="1237" spans="12:26" x14ac:dyDescent="0.55000000000000004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50"/>
        <v>2406914.9714285713</v>
      </c>
    </row>
    <row r="1238" spans="12:26" x14ac:dyDescent="0.55000000000000004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50"/>
        <v>2406907.114285714</v>
      </c>
    </row>
    <row r="1239" spans="12:26" x14ac:dyDescent="0.55000000000000004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50"/>
        <v>2406899.7897959184</v>
      </c>
    </row>
    <row r="1240" spans="12:26" x14ac:dyDescent="0.55000000000000004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50"/>
        <v>2406892.9693877553</v>
      </c>
    </row>
    <row r="1241" spans="12:26" x14ac:dyDescent="0.55000000000000004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50"/>
        <v>2406886.6163265309</v>
      </c>
    </row>
    <row r="1242" spans="12:26" x14ac:dyDescent="0.55000000000000004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50"/>
        <v>2406880.7020408167</v>
      </c>
    </row>
    <row r="1243" spans="12:26" x14ac:dyDescent="0.55000000000000004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50"/>
        <v>2406875.1979591837</v>
      </c>
    </row>
    <row r="1244" spans="12:26" x14ac:dyDescent="0.55000000000000004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50"/>
        <v>2406870.0755102038</v>
      </c>
    </row>
    <row r="1245" spans="12:26" x14ac:dyDescent="0.55000000000000004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50"/>
        <v>2406865.3122448977</v>
      </c>
    </row>
    <row r="1246" spans="12:26" x14ac:dyDescent="0.55000000000000004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50"/>
        <v>2406860.8836734695</v>
      </c>
    </row>
    <row r="1247" spans="12:26" x14ac:dyDescent="0.55000000000000004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50"/>
        <v>2406856.7653061226</v>
      </c>
    </row>
    <row r="1248" spans="12:26" x14ac:dyDescent="0.55000000000000004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50"/>
        <v>2406852.9387755105</v>
      </c>
    </row>
    <row r="1249" spans="12:26" x14ac:dyDescent="0.55000000000000004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50"/>
        <v>2406849.3836734695</v>
      </c>
    </row>
    <row r="1250" spans="12:26" x14ac:dyDescent="0.55000000000000004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50"/>
        <v>2406846.0836734697</v>
      </c>
    </row>
    <row r="1251" spans="12:26" x14ac:dyDescent="0.55000000000000004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50"/>
        <v>2406843.0183673468</v>
      </c>
    </row>
    <row r="1252" spans="12:26" x14ac:dyDescent="0.55000000000000004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50"/>
        <v>2406840.1714285715</v>
      </c>
    </row>
    <row r="1253" spans="12:26" x14ac:dyDescent="0.55000000000000004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50"/>
        <v>2406837.5326530612</v>
      </c>
    </row>
    <row r="1254" spans="12:26" x14ac:dyDescent="0.55000000000000004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50"/>
        <v>2406835.0836734697</v>
      </c>
    </row>
    <row r="1255" spans="12:26" x14ac:dyDescent="0.55000000000000004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50"/>
        <v>2406832.8122448982</v>
      </c>
    </row>
    <row r="1256" spans="12:26" x14ac:dyDescent="0.55000000000000004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50"/>
        <v>2406830.7061224491</v>
      </c>
    </row>
    <row r="1257" spans="12:26" x14ac:dyDescent="0.55000000000000004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50"/>
        <v>2406828.7551020407</v>
      </c>
    </row>
    <row r="1258" spans="12:26" x14ac:dyDescent="0.55000000000000004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50"/>
        <v>2406826.948979592</v>
      </c>
    </row>
    <row r="1259" spans="12:26" x14ac:dyDescent="0.55000000000000004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50"/>
        <v>2406825.273469388</v>
      </c>
    </row>
    <row r="1260" spans="12:26" x14ac:dyDescent="0.55000000000000004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50"/>
        <v>2406823.72244898</v>
      </c>
    </row>
    <row r="1261" spans="12:26" x14ac:dyDescent="0.55000000000000004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50"/>
        <v>2406822.2877551019</v>
      </c>
    </row>
    <row r="1262" spans="12:26" x14ac:dyDescent="0.55000000000000004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50"/>
        <v>2406820.9591836738</v>
      </c>
    </row>
    <row r="1263" spans="12:26" x14ac:dyDescent="0.55000000000000004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50"/>
        <v>2406819.7306122449</v>
      </c>
    </row>
    <row r="1264" spans="12:26" x14ac:dyDescent="0.55000000000000004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50"/>
        <v>2406818.5959183676</v>
      </c>
    </row>
    <row r="1265" spans="12:26" x14ac:dyDescent="0.55000000000000004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50"/>
        <v>2406817.5448979591</v>
      </c>
    </row>
    <row r="1266" spans="12:26" x14ac:dyDescent="0.55000000000000004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50"/>
        <v>2406816.5734693878</v>
      </c>
    </row>
    <row r="1267" spans="12:26" x14ac:dyDescent="0.55000000000000004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50"/>
        <v>2406815.6755102039</v>
      </c>
    </row>
    <row r="1268" spans="12:26" x14ac:dyDescent="0.55000000000000004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50"/>
        <v>2406814.8469387759</v>
      </c>
    </row>
    <row r="1269" spans="12:26" x14ac:dyDescent="0.55000000000000004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50"/>
        <v>2406814.0816326533</v>
      </c>
    </row>
    <row r="1270" spans="12:26" x14ac:dyDescent="0.55000000000000004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50"/>
        <v>2406813.3755102041</v>
      </c>
    </row>
    <row r="1271" spans="12:26" x14ac:dyDescent="0.55000000000000004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50"/>
        <v>2406812.724489796</v>
      </c>
    </row>
    <row r="1272" spans="12:26" x14ac:dyDescent="0.55000000000000004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50"/>
        <v>2406812.1224489794</v>
      </c>
    </row>
    <row r="1273" spans="12:26" x14ac:dyDescent="0.55000000000000004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50"/>
        <v>2406811.5673469384</v>
      </c>
    </row>
    <row r="1274" spans="12:26" x14ac:dyDescent="0.55000000000000004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50"/>
        <v>2406811.0571428575</v>
      </c>
    </row>
    <row r="1275" spans="12:26" x14ac:dyDescent="0.55000000000000004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50"/>
        <v>2406810.5857142862</v>
      </c>
    </row>
    <row r="1276" spans="12:26" x14ac:dyDescent="0.55000000000000004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50"/>
        <v>2406810.1510204081</v>
      </c>
    </row>
    <row r="1277" spans="12:26" x14ac:dyDescent="0.55000000000000004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50"/>
        <v>2406809.7489795918</v>
      </c>
    </row>
    <row r="1278" spans="12:26" x14ac:dyDescent="0.55000000000000004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50"/>
        <v>2406809.3816326531</v>
      </c>
    </row>
    <row r="1279" spans="12:26" x14ac:dyDescent="0.55000000000000004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50"/>
        <v>2406809.0428571426</v>
      </c>
    </row>
    <row r="1280" spans="12:26" x14ac:dyDescent="0.55000000000000004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50"/>
        <v>2406808.7306122449</v>
      </c>
    </row>
    <row r="1281" spans="12:26" x14ac:dyDescent="0.55000000000000004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50"/>
        <v>2406808.442857143</v>
      </c>
    </row>
    <row r="1282" spans="12:26" x14ac:dyDescent="0.55000000000000004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50"/>
        <v>2406808.1775510209</v>
      </c>
    </row>
    <row r="1283" spans="12:26" x14ac:dyDescent="0.55000000000000004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50"/>
        <v>2406807.9346938776</v>
      </c>
    </row>
    <row r="1284" spans="12:26" x14ac:dyDescent="0.55000000000000004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50"/>
        <v>2406807.7122448981</v>
      </c>
    </row>
    <row r="1285" spans="12:26" x14ac:dyDescent="0.55000000000000004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50"/>
        <v>2406807.5061224489</v>
      </c>
    </row>
    <row r="1286" spans="12:26" x14ac:dyDescent="0.55000000000000004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50"/>
        <v>2406807.3163265307</v>
      </c>
    </row>
    <row r="1287" spans="12:26" x14ac:dyDescent="0.55000000000000004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51">Y1287/X1287</f>
        <v>2406807.1448979592</v>
      </c>
    </row>
    <row r="1288" spans="12:26" x14ac:dyDescent="0.55000000000000004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51"/>
        <v>2406806.9857142856</v>
      </c>
    </row>
    <row r="1289" spans="12:26" x14ac:dyDescent="0.55000000000000004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51"/>
        <v>2406806.83877551</v>
      </c>
    </row>
    <row r="1290" spans="12:26" x14ac:dyDescent="0.55000000000000004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51"/>
        <v>2406806.7040816331</v>
      </c>
    </row>
    <row r="1291" spans="12:26" x14ac:dyDescent="0.55000000000000004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51"/>
        <v>2406806.5816326533</v>
      </c>
    </row>
    <row r="1292" spans="12:26" x14ac:dyDescent="0.55000000000000004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51"/>
        <v>2406806.4693877553</v>
      </c>
    </row>
    <row r="1293" spans="12:26" x14ac:dyDescent="0.55000000000000004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51"/>
        <v>2406806.3653061227</v>
      </c>
    </row>
    <row r="1294" spans="12:26" x14ac:dyDescent="0.55000000000000004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51"/>
        <v>2406806.2714285715</v>
      </c>
    </row>
    <row r="1295" spans="12:26" x14ac:dyDescent="0.55000000000000004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51"/>
        <v>2406806.1836734693</v>
      </c>
    </row>
    <row r="1296" spans="12:26" x14ac:dyDescent="0.55000000000000004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51"/>
        <v>2406806.1040816326</v>
      </c>
    </row>
    <row r="1297" spans="12:26" x14ac:dyDescent="0.55000000000000004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51"/>
        <v>2406806.0326530612</v>
      </c>
    </row>
    <row r="1298" spans="12:26" x14ac:dyDescent="0.55000000000000004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51"/>
        <v>2406805.9653061223</v>
      </c>
    </row>
    <row r="1299" spans="12:26" x14ac:dyDescent="0.55000000000000004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51"/>
        <v>2406805.9040816328</v>
      </c>
    </row>
    <row r="1300" spans="12:26" x14ac:dyDescent="0.55000000000000004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51"/>
        <v>2406805.8489795919</v>
      </c>
    </row>
    <row r="1301" spans="12:26" x14ac:dyDescent="0.55000000000000004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51"/>
        <v>2406805.7979591838</v>
      </c>
    </row>
    <row r="1302" spans="12:26" x14ac:dyDescent="0.55000000000000004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51"/>
        <v>2406805.7510204082</v>
      </c>
    </row>
    <row r="1303" spans="12:26" x14ac:dyDescent="0.55000000000000004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51"/>
        <v>2406805.7081632651</v>
      </c>
    </row>
    <row r="1304" spans="12:26" x14ac:dyDescent="0.55000000000000004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51"/>
        <v>2406805.669387755</v>
      </c>
    </row>
    <row r="1305" spans="12:26" x14ac:dyDescent="0.55000000000000004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51"/>
        <v>2406805.6346938778</v>
      </c>
    </row>
    <row r="1306" spans="12:26" x14ac:dyDescent="0.55000000000000004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51"/>
        <v>2406805.6020408166</v>
      </c>
    </row>
    <row r="1307" spans="12:26" x14ac:dyDescent="0.55000000000000004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51"/>
        <v>2406805.5714285714</v>
      </c>
    </row>
    <row r="1308" spans="12:26" x14ac:dyDescent="0.55000000000000004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51"/>
        <v>2406805.5448979591</v>
      </c>
    </row>
    <row r="1309" spans="12:26" x14ac:dyDescent="0.55000000000000004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51"/>
        <v>2406805.5204081633</v>
      </c>
    </row>
    <row r="1310" spans="12:26" x14ac:dyDescent="0.55000000000000004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51"/>
        <v>2406805.4979591835</v>
      </c>
    </row>
    <row r="1311" spans="12:26" x14ac:dyDescent="0.55000000000000004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51"/>
        <v>2406805.4775510202</v>
      </c>
    </row>
    <row r="1312" spans="12:26" x14ac:dyDescent="0.55000000000000004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51"/>
        <v>2406805.4591836738</v>
      </c>
    </row>
    <row r="1313" spans="12:26" x14ac:dyDescent="0.55000000000000004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51"/>
        <v>2406805.4408163265</v>
      </c>
    </row>
    <row r="1314" spans="12:26" x14ac:dyDescent="0.55000000000000004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51"/>
        <v>2406805.4265306126</v>
      </c>
    </row>
    <row r="1315" spans="12:26" x14ac:dyDescent="0.55000000000000004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51"/>
        <v>2406805.4122448983</v>
      </c>
    </row>
    <row r="1316" spans="12:26" x14ac:dyDescent="0.55000000000000004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51"/>
        <v>2406805.3979591834</v>
      </c>
    </row>
    <row r="1317" spans="12:26" x14ac:dyDescent="0.55000000000000004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51"/>
        <v>2406805.387755102</v>
      </c>
    </row>
    <row r="1318" spans="12:26" x14ac:dyDescent="0.55000000000000004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51"/>
        <v>2406805.3755102041</v>
      </c>
    </row>
    <row r="1319" spans="12:26" x14ac:dyDescent="0.55000000000000004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51"/>
        <v>2406805.3673469392</v>
      </c>
    </row>
    <row r="1320" spans="12:26" x14ac:dyDescent="0.55000000000000004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51"/>
        <v>2406805.3571428573</v>
      </c>
    </row>
    <row r="1321" spans="12:26" x14ac:dyDescent="0.55000000000000004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51"/>
        <v>2406805.3489795919</v>
      </c>
    </row>
    <row r="1322" spans="12:26" x14ac:dyDescent="0.55000000000000004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51"/>
        <v>2406805.3428571429</v>
      </c>
    </row>
    <row r="1323" spans="12:26" x14ac:dyDescent="0.55000000000000004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51"/>
        <v>2406805.336734694</v>
      </c>
    </row>
    <row r="1324" spans="12:26" x14ac:dyDescent="0.55000000000000004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51"/>
        <v>2406805.330612245</v>
      </c>
    </row>
    <row r="1325" spans="12:26" x14ac:dyDescent="0.55000000000000004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51"/>
        <v>2406805.3244897961</v>
      </c>
    </row>
    <row r="1326" spans="12:26" x14ac:dyDescent="0.55000000000000004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51"/>
        <v>2406805.3183673467</v>
      </c>
    </row>
    <row r="1327" spans="12:26" x14ac:dyDescent="0.55000000000000004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51"/>
        <v>2406805.3142857142</v>
      </c>
    </row>
    <row r="1328" spans="12:26" x14ac:dyDescent="0.55000000000000004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51"/>
        <v>2406805.3102040817</v>
      </c>
    </row>
    <row r="1329" spans="12:26" x14ac:dyDescent="0.55000000000000004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51"/>
        <v>2406805.3061224488</v>
      </c>
    </row>
    <row r="1330" spans="12:26" x14ac:dyDescent="0.55000000000000004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51"/>
        <v>2406805.3040816328</v>
      </c>
    </row>
    <row r="1331" spans="12:26" x14ac:dyDescent="0.55000000000000004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51"/>
        <v>2406805.3000000003</v>
      </c>
    </row>
    <row r="1332" spans="12:26" x14ac:dyDescent="0.55000000000000004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51"/>
        <v>2406805.2979591838</v>
      </c>
    </row>
    <row r="1333" spans="12:26" x14ac:dyDescent="0.55000000000000004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51"/>
        <v>2406805.2959183673</v>
      </c>
    </row>
    <row r="1334" spans="12:26" x14ac:dyDescent="0.55000000000000004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51"/>
        <v>2406805.2938775509</v>
      </c>
    </row>
    <row r="1335" spans="12:26" x14ac:dyDescent="0.55000000000000004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51"/>
        <v>2406805.2918367349</v>
      </c>
    </row>
    <row r="1336" spans="12:26" x14ac:dyDescent="0.55000000000000004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51"/>
        <v>2406805.2897959184</v>
      </c>
    </row>
    <row r="1337" spans="12:26" x14ac:dyDescent="0.55000000000000004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51"/>
        <v>2406805.2877551024</v>
      </c>
    </row>
    <row r="1338" spans="12:26" x14ac:dyDescent="0.55000000000000004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51"/>
        <v>2406805.2857142854</v>
      </c>
    </row>
    <row r="1339" spans="12:26" x14ac:dyDescent="0.55000000000000004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51"/>
        <v>2406805.2836734694</v>
      </c>
    </row>
    <row r="1340" spans="12:26" x14ac:dyDescent="0.55000000000000004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51"/>
        <v>2406805.2836734694</v>
      </c>
    </row>
    <row r="1341" spans="12:26" x14ac:dyDescent="0.55000000000000004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51"/>
        <v>2406805.281632653</v>
      </c>
    </row>
    <row r="1342" spans="12:26" x14ac:dyDescent="0.55000000000000004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51"/>
        <v>2406805.281632653</v>
      </c>
    </row>
    <row r="1343" spans="12:26" x14ac:dyDescent="0.55000000000000004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51"/>
        <v>2406805.279591837</v>
      </c>
    </row>
    <row r="1344" spans="12:26" x14ac:dyDescent="0.55000000000000004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51"/>
        <v>2406805.279591837</v>
      </c>
    </row>
    <row r="1345" spans="12:26" x14ac:dyDescent="0.55000000000000004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51"/>
        <v>2406805.279591837</v>
      </c>
    </row>
    <row r="1346" spans="12:26" x14ac:dyDescent="0.55000000000000004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51"/>
        <v>2406805.2775510205</v>
      </c>
    </row>
    <row r="1347" spans="12:26" x14ac:dyDescent="0.55000000000000004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51"/>
        <v>2406805.2775510205</v>
      </c>
    </row>
    <row r="1348" spans="12:26" x14ac:dyDescent="0.55000000000000004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51"/>
        <v>2406805.2775510205</v>
      </c>
    </row>
    <row r="1349" spans="12:26" x14ac:dyDescent="0.55000000000000004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51"/>
        <v>2406805.2755102045</v>
      </c>
    </row>
    <row r="1350" spans="12:26" x14ac:dyDescent="0.55000000000000004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51"/>
        <v>2406805.2755102045</v>
      </c>
    </row>
    <row r="1351" spans="12:26" x14ac:dyDescent="0.55000000000000004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52">Y1351/X1351</f>
        <v>2406805.2755102045</v>
      </c>
    </row>
    <row r="1352" spans="12:26" x14ac:dyDescent="0.55000000000000004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52"/>
        <v>2406805.2755102045</v>
      </c>
    </row>
    <row r="1353" spans="12:26" x14ac:dyDescent="0.55000000000000004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52"/>
        <v>2406805.2755102045</v>
      </c>
    </row>
    <row r="1354" spans="12:26" x14ac:dyDescent="0.55000000000000004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52"/>
        <v>2406805.2755102045</v>
      </c>
    </row>
    <row r="1355" spans="12:26" x14ac:dyDescent="0.55000000000000004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52"/>
        <v>2406805.2734693876</v>
      </c>
    </row>
    <row r="1356" spans="12:26" x14ac:dyDescent="0.55000000000000004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52"/>
        <v>2406805.2734693876</v>
      </c>
    </row>
    <row r="1357" spans="12:26" x14ac:dyDescent="0.55000000000000004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52"/>
        <v>2406805.2734693876</v>
      </c>
    </row>
    <row r="1358" spans="12:26" x14ac:dyDescent="0.55000000000000004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52"/>
        <v>2406805.2734693876</v>
      </c>
    </row>
    <row r="1359" spans="12:26" x14ac:dyDescent="0.55000000000000004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52"/>
        <v>2406805.2734693876</v>
      </c>
    </row>
    <row r="1360" spans="12:26" x14ac:dyDescent="0.55000000000000004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52"/>
        <v>2406805.2734693876</v>
      </c>
    </row>
    <row r="1361" spans="12:26" x14ac:dyDescent="0.55000000000000004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52"/>
        <v>2406805.2734693876</v>
      </c>
    </row>
    <row r="1362" spans="12:26" x14ac:dyDescent="0.55000000000000004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52"/>
        <v>2406805.2734693876</v>
      </c>
    </row>
    <row r="1363" spans="12:26" x14ac:dyDescent="0.55000000000000004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52"/>
        <v>2406805.2734693876</v>
      </c>
    </row>
    <row r="1364" spans="12:26" x14ac:dyDescent="0.55000000000000004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52"/>
        <v>2406805.2734693876</v>
      </c>
    </row>
    <row r="1365" spans="12:26" x14ac:dyDescent="0.55000000000000004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52"/>
        <v>2406805.2734693876</v>
      </c>
    </row>
    <row r="1366" spans="12:26" x14ac:dyDescent="0.55000000000000004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52"/>
        <v>2406805.2734693876</v>
      </c>
    </row>
    <row r="1367" spans="12:26" x14ac:dyDescent="0.55000000000000004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52"/>
        <v>2406805.2734693876</v>
      </c>
    </row>
    <row r="1368" spans="12:26" x14ac:dyDescent="0.55000000000000004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52"/>
        <v>2406805.2734693876</v>
      </c>
    </row>
    <row r="1369" spans="12:26" x14ac:dyDescent="0.55000000000000004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52"/>
        <v>2406805.2734693876</v>
      </c>
    </row>
    <row r="1370" spans="12:26" x14ac:dyDescent="0.55000000000000004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52"/>
        <v>2406805.2734693876</v>
      </c>
    </row>
    <row r="1371" spans="12:26" x14ac:dyDescent="0.55000000000000004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52"/>
        <v>2406805.2734693876</v>
      </c>
    </row>
    <row r="1372" spans="12:26" x14ac:dyDescent="0.55000000000000004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52"/>
        <v>2406805.2734693876</v>
      </c>
    </row>
    <row r="1373" spans="12:26" x14ac:dyDescent="0.55000000000000004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52"/>
        <v>2406805.2714285715</v>
      </c>
    </row>
    <row r="1374" spans="12:26" x14ac:dyDescent="0.55000000000000004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52"/>
        <v>2406805.2714285715</v>
      </c>
    </row>
    <row r="1375" spans="12:26" x14ac:dyDescent="0.55000000000000004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52"/>
        <v>2406805.2714285715</v>
      </c>
    </row>
    <row r="1376" spans="12:26" x14ac:dyDescent="0.55000000000000004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52"/>
        <v>2406805.2714285715</v>
      </c>
    </row>
    <row r="1377" spans="12:26" x14ac:dyDescent="0.55000000000000004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52"/>
        <v>2406805.2714285715</v>
      </c>
    </row>
    <row r="1378" spans="12:26" x14ac:dyDescent="0.55000000000000004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52"/>
        <v>2406805.2714285715</v>
      </c>
    </row>
    <row r="1379" spans="12:26" x14ac:dyDescent="0.55000000000000004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52"/>
        <v>2406805.2714285715</v>
      </c>
    </row>
    <row r="1380" spans="12:26" x14ac:dyDescent="0.55000000000000004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52"/>
        <v>2406805.2714285715</v>
      </c>
    </row>
    <row r="1381" spans="12:26" x14ac:dyDescent="0.55000000000000004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52"/>
        <v>2406805.2714285715</v>
      </c>
    </row>
    <row r="1382" spans="12:26" x14ac:dyDescent="0.55000000000000004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52"/>
        <v>2406805.2714285715</v>
      </c>
    </row>
    <row r="1383" spans="12:26" x14ac:dyDescent="0.55000000000000004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52"/>
        <v>2406805.2714285715</v>
      </c>
    </row>
    <row r="1384" spans="12:26" x14ac:dyDescent="0.55000000000000004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52"/>
        <v>2406805.2714285715</v>
      </c>
    </row>
    <row r="1385" spans="12:26" x14ac:dyDescent="0.55000000000000004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52"/>
        <v>2406805.2714285715</v>
      </c>
    </row>
    <row r="1386" spans="12:26" x14ac:dyDescent="0.55000000000000004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52"/>
        <v>2406805.2714285715</v>
      </c>
    </row>
    <row r="1387" spans="12:26" x14ac:dyDescent="0.55000000000000004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52"/>
        <v>2406805.2714285715</v>
      </c>
    </row>
    <row r="1388" spans="12:26" x14ac:dyDescent="0.55000000000000004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52"/>
        <v>2406805.2714285715</v>
      </c>
    </row>
    <row r="1389" spans="12:26" x14ac:dyDescent="0.55000000000000004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52"/>
        <v>2406805.2714285715</v>
      </c>
    </row>
    <row r="1390" spans="12:26" x14ac:dyDescent="0.55000000000000004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52"/>
        <v>2406805.2714285715</v>
      </c>
    </row>
    <row r="1391" spans="12:26" x14ac:dyDescent="0.55000000000000004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52"/>
        <v>2406805.2714285715</v>
      </c>
    </row>
    <row r="1392" spans="12:26" x14ac:dyDescent="0.55000000000000004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52"/>
        <v>2406805.2714285715</v>
      </c>
    </row>
    <row r="1393" spans="12:26" x14ac:dyDescent="0.55000000000000004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52"/>
        <v>2406805.2714285715</v>
      </c>
    </row>
    <row r="1394" spans="12:26" x14ac:dyDescent="0.55000000000000004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52"/>
        <v>2406805.2714285715</v>
      </c>
    </row>
    <row r="1395" spans="12:26" x14ac:dyDescent="0.55000000000000004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52"/>
        <v>2406805.2714285715</v>
      </c>
    </row>
    <row r="1396" spans="12:26" x14ac:dyDescent="0.55000000000000004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52"/>
        <v>2406805.2714285715</v>
      </c>
    </row>
    <row r="1397" spans="12:26" x14ac:dyDescent="0.55000000000000004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52"/>
        <v>2406805.2714285715</v>
      </c>
    </row>
    <row r="1398" spans="12:26" x14ac:dyDescent="0.55000000000000004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52"/>
        <v>2406805.2714285715</v>
      </c>
    </row>
    <row r="1399" spans="12:26" x14ac:dyDescent="0.55000000000000004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52"/>
        <v>2406805.2714285715</v>
      </c>
    </row>
    <row r="1400" spans="12:26" x14ac:dyDescent="0.55000000000000004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52"/>
        <v>2406805.2714285715</v>
      </c>
    </row>
    <row r="1401" spans="12:26" x14ac:dyDescent="0.55000000000000004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52"/>
        <v>2406805.2714285715</v>
      </c>
    </row>
    <row r="1402" spans="12:26" x14ac:dyDescent="0.55000000000000004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52"/>
        <v>2406805.2714285715</v>
      </c>
    </row>
    <row r="1403" spans="12:26" x14ac:dyDescent="0.55000000000000004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52"/>
        <v>2406805.2714285715</v>
      </c>
    </row>
    <row r="1404" spans="12:26" x14ac:dyDescent="0.55000000000000004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52"/>
        <v>2406805.2714285715</v>
      </c>
    </row>
    <row r="1405" spans="12:26" x14ac:dyDescent="0.55000000000000004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52"/>
        <v>2406805.2714285715</v>
      </c>
    </row>
    <row r="1406" spans="12:26" x14ac:dyDescent="0.55000000000000004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52"/>
        <v>2406805.2714285715</v>
      </c>
    </row>
    <row r="1407" spans="12:26" x14ac:dyDescent="0.55000000000000004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52"/>
        <v>2406805.2714285715</v>
      </c>
    </row>
    <row r="1408" spans="12:26" x14ac:dyDescent="0.55000000000000004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52"/>
        <v>2406805.2714285715</v>
      </c>
    </row>
    <row r="1409" spans="12:26" x14ac:dyDescent="0.55000000000000004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52"/>
        <v>2406805.2714285715</v>
      </c>
    </row>
    <row r="1410" spans="12:26" x14ac:dyDescent="0.55000000000000004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52"/>
        <v>2406805.2714285715</v>
      </c>
    </row>
    <row r="1411" spans="12:26" x14ac:dyDescent="0.55000000000000004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52"/>
        <v>2406805.2714285715</v>
      </c>
    </row>
    <row r="1412" spans="12:26" x14ac:dyDescent="0.55000000000000004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52"/>
        <v>2406805.2714285715</v>
      </c>
    </row>
    <row r="1413" spans="12:26" x14ac:dyDescent="0.55000000000000004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52"/>
        <v>2406805.2714285715</v>
      </c>
    </row>
    <row r="1414" spans="12:26" x14ac:dyDescent="0.55000000000000004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52"/>
        <v>2406805.2714285715</v>
      </c>
    </row>
    <row r="1415" spans="12:26" x14ac:dyDescent="0.55000000000000004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53">Y1415/X1415</f>
        <v>2406805.2714285715</v>
      </c>
    </row>
    <row r="1416" spans="12:26" x14ac:dyDescent="0.55000000000000004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53"/>
        <v>2406805.2714285715</v>
      </c>
    </row>
    <row r="1417" spans="12:26" x14ac:dyDescent="0.55000000000000004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53"/>
        <v>2406805.2714285715</v>
      </c>
    </row>
    <row r="1418" spans="12:26" x14ac:dyDescent="0.55000000000000004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53"/>
        <v>2406805.2714285715</v>
      </c>
    </row>
    <row r="1419" spans="12:26" x14ac:dyDescent="0.55000000000000004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53"/>
        <v>2406805.2714285715</v>
      </c>
    </row>
    <row r="1420" spans="12:26" x14ac:dyDescent="0.55000000000000004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53"/>
        <v>2406805.2714285715</v>
      </c>
    </row>
    <row r="1421" spans="12:26" x14ac:dyDescent="0.55000000000000004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53"/>
        <v>2406805.2714285715</v>
      </c>
    </row>
    <row r="1422" spans="12:26" x14ac:dyDescent="0.55000000000000004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53"/>
        <v>2406805.2714285715</v>
      </c>
    </row>
    <row r="1423" spans="12:26" x14ac:dyDescent="0.55000000000000004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53"/>
        <v>2406805.2714285715</v>
      </c>
    </row>
    <row r="1424" spans="12:26" x14ac:dyDescent="0.55000000000000004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53"/>
        <v>2406805.2714285715</v>
      </c>
    </row>
    <row r="1425" spans="12:26" x14ac:dyDescent="0.55000000000000004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53"/>
        <v>2406805.2714285715</v>
      </c>
    </row>
    <row r="1426" spans="12:26" x14ac:dyDescent="0.55000000000000004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53"/>
        <v>2406805.2714285715</v>
      </c>
    </row>
    <row r="1427" spans="12:26" x14ac:dyDescent="0.55000000000000004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53"/>
        <v>2406805.2714285715</v>
      </c>
    </row>
    <row r="1428" spans="12:26" x14ac:dyDescent="0.55000000000000004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53"/>
        <v>2406805.2714285715</v>
      </c>
    </row>
    <row r="1429" spans="12:26" x14ac:dyDescent="0.55000000000000004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53"/>
        <v>2406805.2714285715</v>
      </c>
    </row>
    <row r="1430" spans="12:26" x14ac:dyDescent="0.55000000000000004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53"/>
        <v>2406805.2714285715</v>
      </c>
    </row>
    <row r="1431" spans="12:26" x14ac:dyDescent="0.55000000000000004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53"/>
        <v>2406805.2714285715</v>
      </c>
    </row>
    <row r="1432" spans="12:26" x14ac:dyDescent="0.55000000000000004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53"/>
        <v>2406805.2714285715</v>
      </c>
    </row>
    <row r="1433" spans="12:26" x14ac:dyDescent="0.55000000000000004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53"/>
        <v>2406805.2714285715</v>
      </c>
    </row>
    <row r="1434" spans="12:26" x14ac:dyDescent="0.55000000000000004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53"/>
        <v>2406805.2714285715</v>
      </c>
    </row>
    <row r="1435" spans="12:26" x14ac:dyDescent="0.55000000000000004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53"/>
        <v>2406805.2714285715</v>
      </c>
    </row>
    <row r="1436" spans="12:26" x14ac:dyDescent="0.55000000000000004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53"/>
        <v>2406805.2714285715</v>
      </c>
    </row>
    <row r="1437" spans="12:26" x14ac:dyDescent="0.55000000000000004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53"/>
        <v>2406805.2714285715</v>
      </c>
    </row>
    <row r="1438" spans="12:26" x14ac:dyDescent="0.55000000000000004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53"/>
        <v>2406805.2714285715</v>
      </c>
    </row>
    <row r="1439" spans="12:26" x14ac:dyDescent="0.55000000000000004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53"/>
        <v>2406805.2714285715</v>
      </c>
    </row>
    <row r="1440" spans="12:26" x14ac:dyDescent="0.55000000000000004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53"/>
        <v>2406805.2714285715</v>
      </c>
    </row>
    <row r="1441" spans="12:26" x14ac:dyDescent="0.55000000000000004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53"/>
        <v>2406805.2714285715</v>
      </c>
    </row>
    <row r="1442" spans="12:26" x14ac:dyDescent="0.55000000000000004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53"/>
        <v>2406805.2714285715</v>
      </c>
    </row>
    <row r="1443" spans="12:26" x14ac:dyDescent="0.55000000000000004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53"/>
        <v>2406805.2714285715</v>
      </c>
    </row>
    <row r="1444" spans="12:26" x14ac:dyDescent="0.55000000000000004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53"/>
        <v>2406805.2714285715</v>
      </c>
    </row>
    <row r="1445" spans="12:26" x14ac:dyDescent="0.55000000000000004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53"/>
        <v>2406805.2714285715</v>
      </c>
    </row>
    <row r="1446" spans="12:26" x14ac:dyDescent="0.55000000000000004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53"/>
        <v>2406805.2714285715</v>
      </c>
    </row>
    <row r="1447" spans="12:26" x14ac:dyDescent="0.55000000000000004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53"/>
        <v>2406805.2714285715</v>
      </c>
    </row>
    <row r="1448" spans="12:26" x14ac:dyDescent="0.55000000000000004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53"/>
        <v>2406805.2714285715</v>
      </c>
    </row>
    <row r="1449" spans="12:26" x14ac:dyDescent="0.55000000000000004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53"/>
        <v>2406805.2714285715</v>
      </c>
    </row>
    <row r="1450" spans="12:26" x14ac:dyDescent="0.55000000000000004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53"/>
        <v>2406805.2714285715</v>
      </c>
    </row>
    <row r="1451" spans="12:26" x14ac:dyDescent="0.55000000000000004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53"/>
        <v>2406805.2714285715</v>
      </c>
    </row>
    <row r="1452" spans="12:26" x14ac:dyDescent="0.55000000000000004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53"/>
        <v>2406805.2714285715</v>
      </c>
    </row>
    <row r="1453" spans="12:26" x14ac:dyDescent="0.55000000000000004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53"/>
        <v>2406805.2714285715</v>
      </c>
    </row>
    <row r="1454" spans="12:26" x14ac:dyDescent="0.55000000000000004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53"/>
        <v>2406805.2714285715</v>
      </c>
    </row>
    <row r="1455" spans="12:26" x14ac:dyDescent="0.55000000000000004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53"/>
        <v>2406805.2714285715</v>
      </c>
    </row>
    <row r="1456" spans="12:26" x14ac:dyDescent="0.55000000000000004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53"/>
        <v>2406805.2714285715</v>
      </c>
    </row>
    <row r="1457" spans="12:26" x14ac:dyDescent="0.55000000000000004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53"/>
        <v>2406805.2714285715</v>
      </c>
    </row>
    <row r="1458" spans="12:26" x14ac:dyDescent="0.55000000000000004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53"/>
        <v>2406805.2714285715</v>
      </c>
    </row>
    <row r="1459" spans="12:26" x14ac:dyDescent="0.55000000000000004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53"/>
        <v>2406805.2714285715</v>
      </c>
    </row>
    <row r="1460" spans="12:26" x14ac:dyDescent="0.55000000000000004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53"/>
        <v>2406805.2714285715</v>
      </c>
    </row>
    <row r="1461" spans="12:26" x14ac:dyDescent="0.55000000000000004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53"/>
        <v>2406805.2714285715</v>
      </c>
    </row>
    <row r="1462" spans="12:26" x14ac:dyDescent="0.55000000000000004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53"/>
        <v>2406805.2714285715</v>
      </c>
    </row>
    <row r="1463" spans="12:26" x14ac:dyDescent="0.55000000000000004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53"/>
        <v>2406805.2714285715</v>
      </c>
    </row>
    <row r="1464" spans="12:26" x14ac:dyDescent="0.55000000000000004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53"/>
        <v>2406805.2714285715</v>
      </c>
    </row>
    <row r="1465" spans="12:26" x14ac:dyDescent="0.55000000000000004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53"/>
        <v>2406805.2714285715</v>
      </c>
    </row>
    <row r="1466" spans="12:26" x14ac:dyDescent="0.55000000000000004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53"/>
        <v>2406805.2714285715</v>
      </c>
    </row>
    <row r="1467" spans="12:26" x14ac:dyDescent="0.55000000000000004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53"/>
        <v>2406805.2714285715</v>
      </c>
    </row>
    <row r="1468" spans="12:26" x14ac:dyDescent="0.55000000000000004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53"/>
        <v>2406805.2714285715</v>
      </c>
    </row>
    <row r="1469" spans="12:26" x14ac:dyDescent="0.55000000000000004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53"/>
        <v>2406805.2714285715</v>
      </c>
    </row>
    <row r="1470" spans="12:26" x14ac:dyDescent="0.55000000000000004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53"/>
        <v>2406805.2714285715</v>
      </c>
    </row>
    <row r="1471" spans="12:26" x14ac:dyDescent="0.55000000000000004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53"/>
        <v>2406805.2714285715</v>
      </c>
    </row>
    <row r="1472" spans="12:26" x14ac:dyDescent="0.55000000000000004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53"/>
        <v>2406805.2714285715</v>
      </c>
    </row>
    <row r="1473" spans="12:26" x14ac:dyDescent="0.55000000000000004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53"/>
        <v>2406805.2714285715</v>
      </c>
    </row>
    <row r="1474" spans="12:26" x14ac:dyDescent="0.55000000000000004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53"/>
        <v>2406805.2714285715</v>
      </c>
    </row>
    <row r="1475" spans="12:26" x14ac:dyDescent="0.55000000000000004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53"/>
        <v>2406805.2714285715</v>
      </c>
    </row>
    <row r="1476" spans="12:26" x14ac:dyDescent="0.55000000000000004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53"/>
        <v>2406805.2714285715</v>
      </c>
    </row>
    <row r="1477" spans="12:26" x14ac:dyDescent="0.55000000000000004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53"/>
        <v>2406805.2714285715</v>
      </c>
    </row>
    <row r="1478" spans="12:26" x14ac:dyDescent="0.55000000000000004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53"/>
        <v>2406805.2714285715</v>
      </c>
    </row>
    <row r="1479" spans="12:26" x14ac:dyDescent="0.55000000000000004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54">Y1479/X1479</f>
        <v>2406805.2714285715</v>
      </c>
    </row>
    <row r="1480" spans="12:26" x14ac:dyDescent="0.55000000000000004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54"/>
        <v>2406805.2714285715</v>
      </c>
    </row>
    <row r="1481" spans="12:26" x14ac:dyDescent="0.55000000000000004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54"/>
        <v>2406805.2714285715</v>
      </c>
    </row>
    <row r="1482" spans="12:26" x14ac:dyDescent="0.55000000000000004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54"/>
        <v>2406805.2714285715</v>
      </c>
    </row>
    <row r="1483" spans="12:26" x14ac:dyDescent="0.55000000000000004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54"/>
        <v>2406805.2714285715</v>
      </c>
    </row>
    <row r="1484" spans="12:26" x14ac:dyDescent="0.55000000000000004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54"/>
        <v>2406805.2714285715</v>
      </c>
    </row>
    <row r="1485" spans="12:26" x14ac:dyDescent="0.55000000000000004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54"/>
        <v>2406805.2714285715</v>
      </c>
    </row>
    <row r="1486" spans="12:26" x14ac:dyDescent="0.55000000000000004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54"/>
        <v>2406805.2714285715</v>
      </c>
    </row>
    <row r="1487" spans="12:26" x14ac:dyDescent="0.55000000000000004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54"/>
        <v>2406805.2714285715</v>
      </c>
    </row>
    <row r="1488" spans="12:26" x14ac:dyDescent="0.55000000000000004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54"/>
        <v>2406805.2714285715</v>
      </c>
    </row>
    <row r="1489" spans="12:26" x14ac:dyDescent="0.55000000000000004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54"/>
        <v>2406805.2714285715</v>
      </c>
    </row>
    <row r="1490" spans="12:26" x14ac:dyDescent="0.55000000000000004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54"/>
        <v>2406805.2714285715</v>
      </c>
    </row>
    <row r="1491" spans="12:26" x14ac:dyDescent="0.55000000000000004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54"/>
        <v>2406805.2714285715</v>
      </c>
    </row>
    <row r="1492" spans="12:26" x14ac:dyDescent="0.55000000000000004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54"/>
        <v>2406805.2714285715</v>
      </c>
    </row>
    <row r="1493" spans="12:26" x14ac:dyDescent="0.55000000000000004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54"/>
        <v>2406805.2714285715</v>
      </c>
    </row>
    <row r="1494" spans="12:26" x14ac:dyDescent="0.55000000000000004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54"/>
        <v>2406805.2714285715</v>
      </c>
    </row>
    <row r="1495" spans="12:26" x14ac:dyDescent="0.55000000000000004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54"/>
        <v>2406805.2714285715</v>
      </c>
    </row>
    <row r="1496" spans="12:26" x14ac:dyDescent="0.55000000000000004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54"/>
        <v>2406805.2714285715</v>
      </c>
    </row>
    <row r="1497" spans="12:26" x14ac:dyDescent="0.55000000000000004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54"/>
        <v>2406805.2714285715</v>
      </c>
    </row>
    <row r="1498" spans="12:26" x14ac:dyDescent="0.55000000000000004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54"/>
        <v>2406805.2714285715</v>
      </c>
    </row>
    <row r="1499" spans="12:26" x14ac:dyDescent="0.55000000000000004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54"/>
        <v>2406805.2714285715</v>
      </c>
    </row>
    <row r="1500" spans="12:26" x14ac:dyDescent="0.55000000000000004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54"/>
        <v>2406805.2714285715</v>
      </c>
    </row>
    <row r="1501" spans="12:26" x14ac:dyDescent="0.55000000000000004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54"/>
        <v>2406805.2714285715</v>
      </c>
    </row>
    <row r="1502" spans="12:26" x14ac:dyDescent="0.55000000000000004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54"/>
        <v>2406805.2714285715</v>
      </c>
    </row>
    <row r="1503" spans="12:26" x14ac:dyDescent="0.55000000000000004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54"/>
        <v>2406805.2714285715</v>
      </c>
    </row>
    <row r="1504" spans="12:26" x14ac:dyDescent="0.55000000000000004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54"/>
        <v>2406805.2714285715</v>
      </c>
    </row>
    <row r="1505" spans="12:26" x14ac:dyDescent="0.55000000000000004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54"/>
        <v>2406805.2714285715</v>
      </c>
    </row>
    <row r="1506" spans="12:26" x14ac:dyDescent="0.55000000000000004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54"/>
        <v>2406805.2714285715</v>
      </c>
    </row>
    <row r="1507" spans="12:26" x14ac:dyDescent="0.55000000000000004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54"/>
        <v>2406805.2714285715</v>
      </c>
    </row>
    <row r="1508" spans="12:26" x14ac:dyDescent="0.55000000000000004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54"/>
        <v>2406805.2714285715</v>
      </c>
    </row>
    <row r="1509" spans="12:26" x14ac:dyDescent="0.55000000000000004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54"/>
        <v>2406805.2714285715</v>
      </c>
    </row>
    <row r="1510" spans="12:26" x14ac:dyDescent="0.55000000000000004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54"/>
        <v>2406805.2714285715</v>
      </c>
    </row>
    <row r="1511" spans="12:26" x14ac:dyDescent="0.55000000000000004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54"/>
        <v>2406805.2714285715</v>
      </c>
    </row>
    <row r="1512" spans="12:26" x14ac:dyDescent="0.55000000000000004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54"/>
        <v>2406805.2714285715</v>
      </c>
    </row>
    <row r="1513" spans="12:26" x14ac:dyDescent="0.55000000000000004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54"/>
        <v>2406805.2714285715</v>
      </c>
    </row>
    <row r="1514" spans="12:26" x14ac:dyDescent="0.55000000000000004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54"/>
        <v>2406805.2714285715</v>
      </c>
    </row>
    <row r="1515" spans="12:26" x14ac:dyDescent="0.55000000000000004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54"/>
        <v>2406805.2714285715</v>
      </c>
    </row>
    <row r="1516" spans="12:26" x14ac:dyDescent="0.55000000000000004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54"/>
        <v>2406805.2714285715</v>
      </c>
    </row>
    <row r="1517" spans="12:26" x14ac:dyDescent="0.55000000000000004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54"/>
        <v>2406805.2714285715</v>
      </c>
    </row>
    <row r="1518" spans="12:26" x14ac:dyDescent="0.55000000000000004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54"/>
        <v>2406805.2714285715</v>
      </c>
    </row>
    <row r="1519" spans="12:26" x14ac:dyDescent="0.55000000000000004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54"/>
        <v>2406805.2714285715</v>
      </c>
    </row>
    <row r="1520" spans="12:26" x14ac:dyDescent="0.55000000000000004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54"/>
        <v>2406805.2714285715</v>
      </c>
    </row>
    <row r="1521" spans="12:26" x14ac:dyDescent="0.55000000000000004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54"/>
        <v>2406805.2714285715</v>
      </c>
    </row>
    <row r="1522" spans="12:26" x14ac:dyDescent="0.55000000000000004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54"/>
        <v>2406805.2714285715</v>
      </c>
    </row>
    <row r="1523" spans="12:26" x14ac:dyDescent="0.55000000000000004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54"/>
        <v>2406805.2714285715</v>
      </c>
    </row>
    <row r="1524" spans="12:26" x14ac:dyDescent="0.55000000000000004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54"/>
        <v>2406805.2714285715</v>
      </c>
    </row>
    <row r="1525" spans="12:26" x14ac:dyDescent="0.55000000000000004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54"/>
        <v>2406805.2714285715</v>
      </c>
    </row>
    <row r="1526" spans="12:26" x14ac:dyDescent="0.55000000000000004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54"/>
        <v>2406805.2714285715</v>
      </c>
    </row>
    <row r="1527" spans="12:26" x14ac:dyDescent="0.55000000000000004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54"/>
        <v>2406805.2714285715</v>
      </c>
    </row>
    <row r="1528" spans="12:26" x14ac:dyDescent="0.55000000000000004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54"/>
        <v>2406805.2714285715</v>
      </c>
    </row>
    <row r="1529" spans="12:26" x14ac:dyDescent="0.55000000000000004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54"/>
        <v>2406805.2714285715</v>
      </c>
    </row>
    <row r="1530" spans="12:26" x14ac:dyDescent="0.55000000000000004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54"/>
        <v>2406805.2714285715</v>
      </c>
    </row>
    <row r="1531" spans="12:26" x14ac:dyDescent="0.55000000000000004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54"/>
        <v>2406805.2714285715</v>
      </c>
    </row>
    <row r="1532" spans="12:26" x14ac:dyDescent="0.55000000000000004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54"/>
        <v>2406805.2714285715</v>
      </c>
    </row>
    <row r="1533" spans="12:26" x14ac:dyDescent="0.55000000000000004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54"/>
        <v>2406805.2714285715</v>
      </c>
    </row>
    <row r="1534" spans="12:26" x14ac:dyDescent="0.55000000000000004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54"/>
        <v>2406805.2714285715</v>
      </c>
    </row>
    <row r="1535" spans="12:26" x14ac:dyDescent="0.55000000000000004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54"/>
        <v>2406805.2714285715</v>
      </c>
    </row>
    <row r="1536" spans="12:26" x14ac:dyDescent="0.55000000000000004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54"/>
        <v>2406805.2714285715</v>
      </c>
    </row>
    <row r="1537" spans="12:26" x14ac:dyDescent="0.55000000000000004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54"/>
        <v>2406805.2714285715</v>
      </c>
    </row>
    <row r="1538" spans="12:26" x14ac:dyDescent="0.55000000000000004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54"/>
        <v>2406805.2714285715</v>
      </c>
    </row>
    <row r="1539" spans="12:26" x14ac:dyDescent="0.55000000000000004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54"/>
        <v>2406805.2714285715</v>
      </c>
    </row>
    <row r="1540" spans="12:26" x14ac:dyDescent="0.55000000000000004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54"/>
        <v>2406805.2714285715</v>
      </c>
    </row>
    <row r="1541" spans="12:26" x14ac:dyDescent="0.55000000000000004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54"/>
        <v>2406805.2714285715</v>
      </c>
    </row>
    <row r="1542" spans="12:26" x14ac:dyDescent="0.55000000000000004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54"/>
        <v>2406805.2714285715</v>
      </c>
    </row>
    <row r="1543" spans="12:26" x14ac:dyDescent="0.55000000000000004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5">Y1543/X1543</f>
        <v>2406805.2714285715</v>
      </c>
    </row>
    <row r="1544" spans="12:26" x14ac:dyDescent="0.55000000000000004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5"/>
        <v>2406805.2714285715</v>
      </c>
    </row>
    <row r="1545" spans="12:26" x14ac:dyDescent="0.55000000000000004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5"/>
        <v>2406805.2714285715</v>
      </c>
    </row>
    <row r="1546" spans="12:26" x14ac:dyDescent="0.55000000000000004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5"/>
        <v>2406805.2714285715</v>
      </c>
    </row>
    <row r="1547" spans="12:26" x14ac:dyDescent="0.55000000000000004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5"/>
        <v>2406805.2714285715</v>
      </c>
    </row>
    <row r="1548" spans="12:26" x14ac:dyDescent="0.55000000000000004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5"/>
        <v>2406805.2714285715</v>
      </c>
    </row>
    <row r="1549" spans="12:26" x14ac:dyDescent="0.55000000000000004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5"/>
        <v>2406805.2714285715</v>
      </c>
    </row>
    <row r="1550" spans="12:26" x14ac:dyDescent="0.55000000000000004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5"/>
        <v>2406805.2714285715</v>
      </c>
    </row>
    <row r="1551" spans="12:26" x14ac:dyDescent="0.55000000000000004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5"/>
        <v>2406805.2714285715</v>
      </c>
    </row>
    <row r="1552" spans="12:26" x14ac:dyDescent="0.55000000000000004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5"/>
        <v>2406805.2714285715</v>
      </c>
    </row>
    <row r="1553" spans="12:26" x14ac:dyDescent="0.55000000000000004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5"/>
        <v>2406805.2714285715</v>
      </c>
    </row>
    <row r="1554" spans="12:26" x14ac:dyDescent="0.55000000000000004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5"/>
        <v>2406805.2714285715</v>
      </c>
    </row>
    <row r="1555" spans="12:26" x14ac:dyDescent="0.55000000000000004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5"/>
        <v>2406805.2714285715</v>
      </c>
    </row>
    <row r="1556" spans="12:26" x14ac:dyDescent="0.55000000000000004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5"/>
        <v>2406805.2714285715</v>
      </c>
    </row>
    <row r="1557" spans="12:26" x14ac:dyDescent="0.55000000000000004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5"/>
        <v>2406805.2714285715</v>
      </c>
    </row>
    <row r="1558" spans="12:26" x14ac:dyDescent="0.55000000000000004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5"/>
        <v>2406805.2714285715</v>
      </c>
    </row>
    <row r="1559" spans="12:26" x14ac:dyDescent="0.55000000000000004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5"/>
        <v>2406805.2714285715</v>
      </c>
    </row>
    <row r="1560" spans="12:26" x14ac:dyDescent="0.55000000000000004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5"/>
        <v>2406805.2714285715</v>
      </c>
    </row>
    <row r="1561" spans="12:26" x14ac:dyDescent="0.55000000000000004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5"/>
        <v>2406805.2714285715</v>
      </c>
    </row>
    <row r="1562" spans="12:26" x14ac:dyDescent="0.55000000000000004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5"/>
        <v>2406805.2714285715</v>
      </c>
    </row>
    <row r="1563" spans="12:26" x14ac:dyDescent="0.55000000000000004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5"/>
        <v>2406805.2714285715</v>
      </c>
    </row>
    <row r="1564" spans="12:26" x14ac:dyDescent="0.55000000000000004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5"/>
        <v>2406805.2714285715</v>
      </c>
    </row>
    <row r="1565" spans="12:26" x14ac:dyDescent="0.55000000000000004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5"/>
        <v>2406805.2714285715</v>
      </c>
    </row>
    <row r="1566" spans="12:26" x14ac:dyDescent="0.55000000000000004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5"/>
        <v>2406805.2714285715</v>
      </c>
    </row>
    <row r="1567" spans="12:26" x14ac:dyDescent="0.55000000000000004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5"/>
        <v>2406805.2714285715</v>
      </c>
    </row>
    <row r="1568" spans="12:26" x14ac:dyDescent="0.55000000000000004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5"/>
        <v>2406805.2714285715</v>
      </c>
    </row>
    <row r="1569" spans="12:26" x14ac:dyDescent="0.55000000000000004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5"/>
        <v>2406805.2714285715</v>
      </c>
    </row>
    <row r="1570" spans="12:26" x14ac:dyDescent="0.55000000000000004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5"/>
        <v>2406805.2714285715</v>
      </c>
    </row>
    <row r="1571" spans="12:26" x14ac:dyDescent="0.55000000000000004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5"/>
        <v>2406805.2714285715</v>
      </c>
    </row>
    <row r="1572" spans="12:26" x14ac:dyDescent="0.55000000000000004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5"/>
        <v>2406805.2714285715</v>
      </c>
    </row>
    <row r="1573" spans="12:26" x14ac:dyDescent="0.55000000000000004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5"/>
        <v>2406805.2714285715</v>
      </c>
    </row>
    <row r="1574" spans="12:26" x14ac:dyDescent="0.55000000000000004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5"/>
        <v>2406805.2714285715</v>
      </c>
    </row>
    <row r="1575" spans="12:26" x14ac:dyDescent="0.55000000000000004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5"/>
        <v>2406805.2714285715</v>
      </c>
    </row>
    <row r="1576" spans="12:26" x14ac:dyDescent="0.55000000000000004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5"/>
        <v>2406805.2714285715</v>
      </c>
    </row>
    <row r="1577" spans="12:26" x14ac:dyDescent="0.55000000000000004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5"/>
        <v>2406805.2714285715</v>
      </c>
    </row>
    <row r="1578" spans="12:26" x14ac:dyDescent="0.55000000000000004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5"/>
        <v>2406805.2714285715</v>
      </c>
    </row>
    <row r="1579" spans="12:26" x14ac:dyDescent="0.55000000000000004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5"/>
        <v>2406805.2714285715</v>
      </c>
    </row>
    <row r="1580" spans="12:26" x14ac:dyDescent="0.55000000000000004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5"/>
        <v>2406805.2714285715</v>
      </c>
    </row>
    <row r="1581" spans="12:26" x14ac:dyDescent="0.55000000000000004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5"/>
        <v>2406805.2714285715</v>
      </c>
    </row>
    <row r="1582" spans="12:26" x14ac:dyDescent="0.55000000000000004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5"/>
        <v>2406805.2714285715</v>
      </c>
    </row>
    <row r="1583" spans="12:26" x14ac:dyDescent="0.55000000000000004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5"/>
        <v>2406805.2714285715</v>
      </c>
    </row>
    <row r="1584" spans="12:26" x14ac:dyDescent="0.55000000000000004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5"/>
        <v>2406805.2714285715</v>
      </c>
    </row>
    <row r="1585" spans="12:26" x14ac:dyDescent="0.55000000000000004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5"/>
        <v>2406805.2714285715</v>
      </c>
    </row>
    <row r="1586" spans="12:26" x14ac:dyDescent="0.55000000000000004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5"/>
        <v>2406805.2714285715</v>
      </c>
    </row>
    <row r="1587" spans="12:26" x14ac:dyDescent="0.55000000000000004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5"/>
        <v>2406805.2714285715</v>
      </c>
    </row>
    <row r="1588" spans="12:26" x14ac:dyDescent="0.55000000000000004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5"/>
        <v>2406805.2714285715</v>
      </c>
    </row>
    <row r="1589" spans="12:26" x14ac:dyDescent="0.55000000000000004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5"/>
        <v>2406805.2714285715</v>
      </c>
    </row>
    <row r="1590" spans="12:26" x14ac:dyDescent="0.55000000000000004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5"/>
        <v>2406805.2714285715</v>
      </c>
    </row>
    <row r="1591" spans="12:26" x14ac:dyDescent="0.55000000000000004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5"/>
        <v>2406805.2714285715</v>
      </c>
    </row>
    <row r="1592" spans="12:26" x14ac:dyDescent="0.55000000000000004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5"/>
        <v>2406805.2714285715</v>
      </c>
    </row>
    <row r="1593" spans="12:26" x14ac:dyDescent="0.55000000000000004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5"/>
        <v>2406805.2714285715</v>
      </c>
    </row>
    <row r="1594" spans="12:26" x14ac:dyDescent="0.55000000000000004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5"/>
        <v>2406805.2714285715</v>
      </c>
    </row>
    <row r="1595" spans="12:26" x14ac:dyDescent="0.55000000000000004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5"/>
        <v>2406805.2714285715</v>
      </c>
    </row>
    <row r="1596" spans="12:26" x14ac:dyDescent="0.55000000000000004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5"/>
        <v>2406805.2714285715</v>
      </c>
    </row>
    <row r="1597" spans="12:26" x14ac:dyDescent="0.55000000000000004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5"/>
        <v>2406805.2714285715</v>
      </c>
    </row>
    <row r="1598" spans="12:26" x14ac:dyDescent="0.55000000000000004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5"/>
        <v>2406805.2714285715</v>
      </c>
    </row>
    <row r="1599" spans="12:26" x14ac:dyDescent="0.55000000000000004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5"/>
        <v>2406805.2714285715</v>
      </c>
    </row>
    <row r="1600" spans="12:26" x14ac:dyDescent="0.55000000000000004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5"/>
        <v>2406805.2714285715</v>
      </c>
    </row>
    <row r="1601" spans="12:26" x14ac:dyDescent="0.55000000000000004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5"/>
        <v>2406805.2714285715</v>
      </c>
    </row>
    <row r="1602" spans="12:26" x14ac:dyDescent="0.55000000000000004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5"/>
        <v>2406805.2714285715</v>
      </c>
    </row>
    <row r="1603" spans="12:26" x14ac:dyDescent="0.55000000000000004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5"/>
        <v>2406805.2714285715</v>
      </c>
    </row>
    <row r="1604" spans="12:26" x14ac:dyDescent="0.55000000000000004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5"/>
        <v>2406805.2714285715</v>
      </c>
    </row>
    <row r="1605" spans="12:26" x14ac:dyDescent="0.55000000000000004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5"/>
        <v>2406805.2714285715</v>
      </c>
    </row>
    <row r="1606" spans="12:26" x14ac:dyDescent="0.55000000000000004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5"/>
        <v>2406805.2714285715</v>
      </c>
    </row>
    <row r="1607" spans="12:26" x14ac:dyDescent="0.55000000000000004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6">Y1607/X1607</f>
        <v>2406805.2714285715</v>
      </c>
    </row>
    <row r="1608" spans="12:26" x14ac:dyDescent="0.55000000000000004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6"/>
        <v>2406805.2714285715</v>
      </c>
    </row>
    <row r="1609" spans="12:26" x14ac:dyDescent="0.55000000000000004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6"/>
        <v>2406805.2714285715</v>
      </c>
    </row>
    <row r="1610" spans="12:26" x14ac:dyDescent="0.55000000000000004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6"/>
        <v>2406805.2714285715</v>
      </c>
    </row>
    <row r="1611" spans="12:26" x14ac:dyDescent="0.55000000000000004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6"/>
        <v>2406805.2714285715</v>
      </c>
    </row>
    <row r="1612" spans="12:26" x14ac:dyDescent="0.55000000000000004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6"/>
        <v>2406805.2714285715</v>
      </c>
    </row>
    <row r="1613" spans="12:26" x14ac:dyDescent="0.55000000000000004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6"/>
        <v>2406805.2714285715</v>
      </c>
    </row>
    <row r="1614" spans="12:26" x14ac:dyDescent="0.55000000000000004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6"/>
        <v>2406805.2714285715</v>
      </c>
    </row>
    <row r="1615" spans="12:26" x14ac:dyDescent="0.55000000000000004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6"/>
        <v>2406805.2714285715</v>
      </c>
    </row>
    <row r="1616" spans="12:26" x14ac:dyDescent="0.55000000000000004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6"/>
        <v>2406805.2714285715</v>
      </c>
    </row>
    <row r="1617" spans="12:26" x14ac:dyDescent="0.55000000000000004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6"/>
        <v>2406805.2714285715</v>
      </c>
    </row>
    <row r="1618" spans="12:26" x14ac:dyDescent="0.55000000000000004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6"/>
        <v>2406805.2714285715</v>
      </c>
    </row>
    <row r="1619" spans="12:26" x14ac:dyDescent="0.55000000000000004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6"/>
        <v>2406805.2714285715</v>
      </c>
    </row>
    <row r="1620" spans="12:26" x14ac:dyDescent="0.55000000000000004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6"/>
        <v>2406805.2714285715</v>
      </c>
    </row>
    <row r="1621" spans="12:26" x14ac:dyDescent="0.55000000000000004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6"/>
        <v>2406805.2714285715</v>
      </c>
    </row>
    <row r="1622" spans="12:26" x14ac:dyDescent="0.55000000000000004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6"/>
        <v>2406805.2714285715</v>
      </c>
    </row>
    <row r="1623" spans="12:26" x14ac:dyDescent="0.55000000000000004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6"/>
        <v>2406805.2714285715</v>
      </c>
    </row>
    <row r="1624" spans="12:26" x14ac:dyDescent="0.55000000000000004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6"/>
        <v>2406805.2714285715</v>
      </c>
    </row>
    <row r="1625" spans="12:26" x14ac:dyDescent="0.55000000000000004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6"/>
        <v>2406805.2714285715</v>
      </c>
    </row>
    <row r="1626" spans="12:26" x14ac:dyDescent="0.55000000000000004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6"/>
        <v>2406805.2714285715</v>
      </c>
    </row>
    <row r="1627" spans="12:26" x14ac:dyDescent="0.55000000000000004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6"/>
        <v>2406805.2714285715</v>
      </c>
    </row>
    <row r="1628" spans="12:26" x14ac:dyDescent="0.55000000000000004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6"/>
        <v>2406805.2714285715</v>
      </c>
    </row>
    <row r="1629" spans="12:26" x14ac:dyDescent="0.55000000000000004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6"/>
        <v>2406805.2714285715</v>
      </c>
    </row>
    <row r="1630" spans="12:26" x14ac:dyDescent="0.55000000000000004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6"/>
        <v>2406805.2714285715</v>
      </c>
    </row>
    <row r="1631" spans="12:26" x14ac:dyDescent="0.55000000000000004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6"/>
        <v>2406805.2714285715</v>
      </c>
    </row>
    <row r="1632" spans="12:26" x14ac:dyDescent="0.55000000000000004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6"/>
        <v>2406805.2714285715</v>
      </c>
    </row>
    <row r="1633" spans="12:26" x14ac:dyDescent="0.55000000000000004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6"/>
        <v>2406805.2714285715</v>
      </c>
    </row>
    <row r="1634" spans="12:26" x14ac:dyDescent="0.55000000000000004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6"/>
        <v>2406805.2714285715</v>
      </c>
    </row>
    <row r="1635" spans="12:26" x14ac:dyDescent="0.55000000000000004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6"/>
        <v>2406805.2714285715</v>
      </c>
    </row>
    <row r="1636" spans="12:26" x14ac:dyDescent="0.55000000000000004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6"/>
        <v>2406805.2714285715</v>
      </c>
    </row>
    <row r="1637" spans="12:26" x14ac:dyDescent="0.55000000000000004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6"/>
        <v>2406805.2714285715</v>
      </c>
    </row>
    <row r="1638" spans="12:26" x14ac:dyDescent="0.55000000000000004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6"/>
        <v>2406805.2714285715</v>
      </c>
    </row>
    <row r="1639" spans="12:26" x14ac:dyDescent="0.55000000000000004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6"/>
        <v>2406805.2714285715</v>
      </c>
    </row>
    <row r="1640" spans="12:26" x14ac:dyDescent="0.55000000000000004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6"/>
        <v>2406805.2714285715</v>
      </c>
    </row>
    <row r="1641" spans="12:26" x14ac:dyDescent="0.55000000000000004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6"/>
        <v>2406805.2714285715</v>
      </c>
    </row>
    <row r="1642" spans="12:26" x14ac:dyDescent="0.55000000000000004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6"/>
        <v>2406805.2714285715</v>
      </c>
    </row>
    <row r="1643" spans="12:26" x14ac:dyDescent="0.55000000000000004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6"/>
        <v>2406805.2714285715</v>
      </c>
    </row>
    <row r="1644" spans="12:26" x14ac:dyDescent="0.55000000000000004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6"/>
        <v>2406805.2714285715</v>
      </c>
    </row>
    <row r="1645" spans="12:26" x14ac:dyDescent="0.55000000000000004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6"/>
        <v>2406805.2714285715</v>
      </c>
    </row>
    <row r="1646" spans="12:26" x14ac:dyDescent="0.55000000000000004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6"/>
        <v>2406805.2714285715</v>
      </c>
    </row>
    <row r="1647" spans="12:26" x14ac:dyDescent="0.55000000000000004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6"/>
        <v>2406805.2714285715</v>
      </c>
    </row>
    <row r="1648" spans="12:26" x14ac:dyDescent="0.55000000000000004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6"/>
        <v>2406805.2714285715</v>
      </c>
    </row>
    <row r="1649" spans="12:26" x14ac:dyDescent="0.55000000000000004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6"/>
        <v>2406805.2714285715</v>
      </c>
    </row>
    <row r="1650" spans="12:26" x14ac:dyDescent="0.55000000000000004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6"/>
        <v>2406805.2714285715</v>
      </c>
    </row>
    <row r="1651" spans="12:26" x14ac:dyDescent="0.55000000000000004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6"/>
        <v>2406805.2714285715</v>
      </c>
    </row>
    <row r="1652" spans="12:26" x14ac:dyDescent="0.55000000000000004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6"/>
        <v>2406805.2714285715</v>
      </c>
    </row>
    <row r="1653" spans="12:26" x14ac:dyDescent="0.55000000000000004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6"/>
        <v>2406805.2714285715</v>
      </c>
    </row>
    <row r="1654" spans="12:26" x14ac:dyDescent="0.55000000000000004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6"/>
        <v>2406805.2714285715</v>
      </c>
    </row>
    <row r="1655" spans="12:26" x14ac:dyDescent="0.55000000000000004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6"/>
        <v>2406805.2714285715</v>
      </c>
    </row>
    <row r="1656" spans="12:26" x14ac:dyDescent="0.55000000000000004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6"/>
        <v>2406805.2714285715</v>
      </c>
    </row>
    <row r="1657" spans="12:26" x14ac:dyDescent="0.55000000000000004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6"/>
        <v>2406805.2714285715</v>
      </c>
    </row>
    <row r="1658" spans="12:26" x14ac:dyDescent="0.55000000000000004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6"/>
        <v>2406805.2714285715</v>
      </c>
    </row>
    <row r="1659" spans="12:26" x14ac:dyDescent="0.55000000000000004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6"/>
        <v>2406805.2714285715</v>
      </c>
    </row>
    <row r="1660" spans="12:26" x14ac:dyDescent="0.55000000000000004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6"/>
        <v>2406805.2714285715</v>
      </c>
    </row>
    <row r="1661" spans="12:26" x14ac:dyDescent="0.55000000000000004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6"/>
        <v>2406805.2714285715</v>
      </c>
    </row>
    <row r="1662" spans="12:26" x14ac:dyDescent="0.55000000000000004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6"/>
        <v>2406805.2714285715</v>
      </c>
    </row>
    <row r="1663" spans="12:26" x14ac:dyDescent="0.55000000000000004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6"/>
        <v>2406805.2714285715</v>
      </c>
    </row>
    <row r="1664" spans="12:26" x14ac:dyDescent="0.55000000000000004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6"/>
        <v>2406805.2714285715</v>
      </c>
    </row>
    <row r="1665" spans="12:26" x14ac:dyDescent="0.55000000000000004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6"/>
        <v>2406805.2714285715</v>
      </c>
    </row>
    <row r="1666" spans="12:26" x14ac:dyDescent="0.55000000000000004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6"/>
        <v>2406805.2714285715</v>
      </c>
    </row>
    <row r="1667" spans="12:26" x14ac:dyDescent="0.55000000000000004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6"/>
        <v>2406805.2714285715</v>
      </c>
    </row>
    <row r="1668" spans="12:26" x14ac:dyDescent="0.55000000000000004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6"/>
        <v>2406805.2714285715</v>
      </c>
    </row>
    <row r="1669" spans="12:26" x14ac:dyDescent="0.55000000000000004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6"/>
        <v>2406805.2714285715</v>
      </c>
    </row>
    <row r="1670" spans="12:26" x14ac:dyDescent="0.55000000000000004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6"/>
        <v>2406805.2714285715</v>
      </c>
    </row>
    <row r="1671" spans="12:26" x14ac:dyDescent="0.55000000000000004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7">Y1671/X1671</f>
        <v>2406805.2714285715</v>
      </c>
    </row>
    <row r="1672" spans="12:26" x14ac:dyDescent="0.55000000000000004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7"/>
        <v>2406805.2714285715</v>
      </c>
    </row>
    <row r="1673" spans="12:26" x14ac:dyDescent="0.55000000000000004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7"/>
        <v>2406805.2714285715</v>
      </c>
    </row>
    <row r="1674" spans="12:26" x14ac:dyDescent="0.55000000000000004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7"/>
        <v>2406805.2714285715</v>
      </c>
    </row>
    <row r="1675" spans="12:26" x14ac:dyDescent="0.55000000000000004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7"/>
        <v>2406805.2714285715</v>
      </c>
    </row>
    <row r="1676" spans="12:26" x14ac:dyDescent="0.55000000000000004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7"/>
        <v>2406805.2714285715</v>
      </c>
    </row>
    <row r="1677" spans="12:26" x14ac:dyDescent="0.55000000000000004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7"/>
        <v>2406805.2714285715</v>
      </c>
    </row>
    <row r="1678" spans="12:26" x14ac:dyDescent="0.55000000000000004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7"/>
        <v>2406805.2714285715</v>
      </c>
    </row>
    <row r="1679" spans="12:26" x14ac:dyDescent="0.55000000000000004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7"/>
        <v>2406805.2714285715</v>
      </c>
    </row>
    <row r="1680" spans="12:26" x14ac:dyDescent="0.55000000000000004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7"/>
        <v>2406805.2714285715</v>
      </c>
    </row>
    <row r="1681" spans="12:26" x14ac:dyDescent="0.55000000000000004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7"/>
        <v>2406805.2714285715</v>
      </c>
    </row>
    <row r="1682" spans="12:26" x14ac:dyDescent="0.55000000000000004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7"/>
        <v>2406805.2714285715</v>
      </c>
    </row>
    <row r="1683" spans="12:26" x14ac:dyDescent="0.55000000000000004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7"/>
        <v>2406805.2714285715</v>
      </c>
    </row>
    <row r="1684" spans="12:26" x14ac:dyDescent="0.55000000000000004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7"/>
        <v>2406805.2714285715</v>
      </c>
    </row>
    <row r="1685" spans="12:26" x14ac:dyDescent="0.55000000000000004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7"/>
        <v>2406805.2714285715</v>
      </c>
    </row>
    <row r="1686" spans="12:26" x14ac:dyDescent="0.55000000000000004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7"/>
        <v>2406805.2714285715</v>
      </c>
    </row>
    <row r="1687" spans="12:26" x14ac:dyDescent="0.55000000000000004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7"/>
        <v>2406805.2714285715</v>
      </c>
    </row>
    <row r="1688" spans="12:26" x14ac:dyDescent="0.55000000000000004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7"/>
        <v>2406805.2714285715</v>
      </c>
    </row>
    <row r="1689" spans="12:26" x14ac:dyDescent="0.55000000000000004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7"/>
        <v>2406805.2714285715</v>
      </c>
    </row>
    <row r="1690" spans="12:26" x14ac:dyDescent="0.55000000000000004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7"/>
        <v>2406805.2714285715</v>
      </c>
    </row>
    <row r="1691" spans="12:26" x14ac:dyDescent="0.55000000000000004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7"/>
        <v>2406805.2714285715</v>
      </c>
    </row>
    <row r="1692" spans="12:26" x14ac:dyDescent="0.55000000000000004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7"/>
        <v>2406805.2714285715</v>
      </c>
    </row>
    <row r="1693" spans="12:26" x14ac:dyDescent="0.55000000000000004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7"/>
        <v>2406805.2714285715</v>
      </c>
    </row>
    <row r="1694" spans="12:26" x14ac:dyDescent="0.55000000000000004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7"/>
        <v>2406805.2714285715</v>
      </c>
    </row>
    <row r="1695" spans="12:26" x14ac:dyDescent="0.55000000000000004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7"/>
        <v>2406805.2714285715</v>
      </c>
    </row>
    <row r="1696" spans="12:26" x14ac:dyDescent="0.55000000000000004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7"/>
        <v>2406805.2714285715</v>
      </c>
    </row>
    <row r="1697" spans="12:26" x14ac:dyDescent="0.55000000000000004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7"/>
        <v>2406805.2714285715</v>
      </c>
    </row>
    <row r="1698" spans="12:26" x14ac:dyDescent="0.55000000000000004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7"/>
        <v>2406805.2714285715</v>
      </c>
    </row>
    <row r="1699" spans="12:26" x14ac:dyDescent="0.55000000000000004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7"/>
        <v>2406805.2714285715</v>
      </c>
    </row>
    <row r="1700" spans="12:26" x14ac:dyDescent="0.55000000000000004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7"/>
        <v>2406805.2714285715</v>
      </c>
    </row>
    <row r="1701" spans="12:26" x14ac:dyDescent="0.55000000000000004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7"/>
        <v>2406805.2714285715</v>
      </c>
    </row>
    <row r="1702" spans="12:26" x14ac:dyDescent="0.55000000000000004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7"/>
        <v>2406805.2714285715</v>
      </c>
    </row>
    <row r="1703" spans="12:26" x14ac:dyDescent="0.55000000000000004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7"/>
        <v>2406805.2714285715</v>
      </c>
    </row>
    <row r="1704" spans="12:26" x14ac:dyDescent="0.55000000000000004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7"/>
        <v>2406805.2714285715</v>
      </c>
    </row>
    <row r="1705" spans="12:26" x14ac:dyDescent="0.55000000000000004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7"/>
        <v>2406805.2714285715</v>
      </c>
    </row>
    <row r="1706" spans="12:26" x14ac:dyDescent="0.55000000000000004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7"/>
        <v>2406805.2714285715</v>
      </c>
    </row>
    <row r="1707" spans="12:26" x14ac:dyDescent="0.55000000000000004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7"/>
        <v>2406805.2714285715</v>
      </c>
    </row>
    <row r="1708" spans="12:26" x14ac:dyDescent="0.55000000000000004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7"/>
        <v>2406805.2714285715</v>
      </c>
    </row>
    <row r="1709" spans="12:26" x14ac:dyDescent="0.55000000000000004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7"/>
        <v>2406805.2714285715</v>
      </c>
    </row>
    <row r="1710" spans="12:26" x14ac:dyDescent="0.55000000000000004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7"/>
        <v>2406805.2714285715</v>
      </c>
    </row>
    <row r="1711" spans="12:26" x14ac:dyDescent="0.55000000000000004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7"/>
        <v>2406805.2714285715</v>
      </c>
    </row>
    <row r="1712" spans="12:26" x14ac:dyDescent="0.55000000000000004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7"/>
        <v>2406805.2714285715</v>
      </c>
    </row>
    <row r="1713" spans="12:26" x14ac:dyDescent="0.55000000000000004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7"/>
        <v>2406805.2714285715</v>
      </c>
    </row>
    <row r="1714" spans="12:26" x14ac:dyDescent="0.55000000000000004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7"/>
        <v>2406805.2714285715</v>
      </c>
    </row>
    <row r="1715" spans="12:26" x14ac:dyDescent="0.55000000000000004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7"/>
        <v>2406805.2714285715</v>
      </c>
    </row>
    <row r="1716" spans="12:26" x14ac:dyDescent="0.55000000000000004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7"/>
        <v>2406805.2714285715</v>
      </c>
    </row>
    <row r="1717" spans="12:26" x14ac:dyDescent="0.55000000000000004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7"/>
        <v>2406805.2714285715</v>
      </c>
    </row>
    <row r="1718" spans="12:26" x14ac:dyDescent="0.55000000000000004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7"/>
        <v>2406805.2714285715</v>
      </c>
    </row>
    <row r="1719" spans="12:26" x14ac:dyDescent="0.55000000000000004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7"/>
        <v>2406805.2714285715</v>
      </c>
    </row>
    <row r="1720" spans="12:26" x14ac:dyDescent="0.55000000000000004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7"/>
        <v>2406805.2714285715</v>
      </c>
    </row>
    <row r="1721" spans="12:26" x14ac:dyDescent="0.55000000000000004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7"/>
        <v>2406805.2714285715</v>
      </c>
    </row>
    <row r="1722" spans="12:26" x14ac:dyDescent="0.55000000000000004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7"/>
        <v>2406805.2714285715</v>
      </c>
    </row>
    <row r="1723" spans="12:26" x14ac:dyDescent="0.55000000000000004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7"/>
        <v>2406805.2714285715</v>
      </c>
    </row>
    <row r="1724" spans="12:26" x14ac:dyDescent="0.55000000000000004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7"/>
        <v>2406805.2714285715</v>
      </c>
    </row>
    <row r="1725" spans="12:26" x14ac:dyDescent="0.55000000000000004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7"/>
        <v>2406805.2714285715</v>
      </c>
    </row>
    <row r="1726" spans="12:26" x14ac:dyDescent="0.55000000000000004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7"/>
        <v>2406805.2714285715</v>
      </c>
    </row>
    <row r="1727" spans="12:26" x14ac:dyDescent="0.55000000000000004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7"/>
        <v>2406805.2714285715</v>
      </c>
    </row>
    <row r="1728" spans="12:26" x14ac:dyDescent="0.55000000000000004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7"/>
        <v>2406805.2714285715</v>
      </c>
    </row>
    <row r="1729" spans="12:26" x14ac:dyDescent="0.55000000000000004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7"/>
        <v>2406805.2714285715</v>
      </c>
    </row>
    <row r="1730" spans="12:26" x14ac:dyDescent="0.55000000000000004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7"/>
        <v>2406805.2714285715</v>
      </c>
    </row>
    <row r="1731" spans="12:26" x14ac:dyDescent="0.55000000000000004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7"/>
        <v>2406805.2714285715</v>
      </c>
    </row>
    <row r="1732" spans="12:26" x14ac:dyDescent="0.55000000000000004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7"/>
        <v>2406805.2714285715</v>
      </c>
    </row>
    <row r="1733" spans="12:26" x14ac:dyDescent="0.55000000000000004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7"/>
        <v>2406805.2714285715</v>
      </c>
    </row>
    <row r="1734" spans="12:26" x14ac:dyDescent="0.55000000000000004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7"/>
        <v>2406805.2714285715</v>
      </c>
    </row>
    <row r="1735" spans="12:26" x14ac:dyDescent="0.55000000000000004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8">Y1735/X1735</f>
        <v>2406805.2714285715</v>
      </c>
    </row>
    <row r="1736" spans="12:26" x14ac:dyDescent="0.55000000000000004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8"/>
        <v>2406805.2714285715</v>
      </c>
    </row>
    <row r="1737" spans="12:26" x14ac:dyDescent="0.55000000000000004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8"/>
        <v>2406805.2714285715</v>
      </c>
    </row>
    <row r="1738" spans="12:26" x14ac:dyDescent="0.55000000000000004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8"/>
        <v>2406805.2714285715</v>
      </c>
    </row>
    <row r="1739" spans="12:26" x14ac:dyDescent="0.55000000000000004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8"/>
        <v>2406805.2714285715</v>
      </c>
    </row>
    <row r="1740" spans="12:26" x14ac:dyDescent="0.55000000000000004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8"/>
        <v>2406805.2714285715</v>
      </c>
    </row>
    <row r="1741" spans="12:26" x14ac:dyDescent="0.55000000000000004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8"/>
        <v>2406805.2714285715</v>
      </c>
    </row>
    <row r="1742" spans="12:26" x14ac:dyDescent="0.55000000000000004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8"/>
        <v>2406805.2714285715</v>
      </c>
    </row>
    <row r="1743" spans="12:26" x14ac:dyDescent="0.55000000000000004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8"/>
        <v>2406805.2714285715</v>
      </c>
    </row>
    <row r="1744" spans="12:26" x14ac:dyDescent="0.55000000000000004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8"/>
        <v>2406805.2714285715</v>
      </c>
    </row>
    <row r="1745" spans="12:26" x14ac:dyDescent="0.55000000000000004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8"/>
        <v>2406805.2714285715</v>
      </c>
    </row>
    <row r="1746" spans="12:26" x14ac:dyDescent="0.55000000000000004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8"/>
        <v>2406805.2714285715</v>
      </c>
    </row>
    <row r="1747" spans="12:26" x14ac:dyDescent="0.55000000000000004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8"/>
        <v>2406805.2714285715</v>
      </c>
    </row>
    <row r="1748" spans="12:26" x14ac:dyDescent="0.55000000000000004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8"/>
        <v>2406805.2714285715</v>
      </c>
    </row>
    <row r="1749" spans="12:26" x14ac:dyDescent="0.55000000000000004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8"/>
        <v>2406805.2714285715</v>
      </c>
    </row>
    <row r="1750" spans="12:26" x14ac:dyDescent="0.55000000000000004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8"/>
        <v>2406805.2714285715</v>
      </c>
    </row>
    <row r="1751" spans="12:26" x14ac:dyDescent="0.55000000000000004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8"/>
        <v>2406805.2714285715</v>
      </c>
    </row>
    <row r="1752" spans="12:26" x14ac:dyDescent="0.55000000000000004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8"/>
        <v>2406805.2714285715</v>
      </c>
    </row>
    <row r="1753" spans="12:26" x14ac:dyDescent="0.55000000000000004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8"/>
        <v>2406805.2714285715</v>
      </c>
    </row>
    <row r="1754" spans="12:26" x14ac:dyDescent="0.55000000000000004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8"/>
        <v>2406805.2714285715</v>
      </c>
    </row>
    <row r="1755" spans="12:26" x14ac:dyDescent="0.55000000000000004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8"/>
        <v>2406805.2714285715</v>
      </c>
    </row>
    <row r="1756" spans="12:26" x14ac:dyDescent="0.55000000000000004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8"/>
        <v>2406805.2714285715</v>
      </c>
    </row>
    <row r="1757" spans="12:26" x14ac:dyDescent="0.55000000000000004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8"/>
        <v>2406805.2714285715</v>
      </c>
    </row>
    <row r="1758" spans="12:26" x14ac:dyDescent="0.55000000000000004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8"/>
        <v>2406805.2714285715</v>
      </c>
    </row>
    <row r="1759" spans="12:26" x14ac:dyDescent="0.55000000000000004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8"/>
        <v>2406805.2714285715</v>
      </c>
    </row>
    <row r="1760" spans="12:26" x14ac:dyDescent="0.55000000000000004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8"/>
        <v>2406805.2714285715</v>
      </c>
    </row>
    <row r="1761" spans="12:26" x14ac:dyDescent="0.55000000000000004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8"/>
        <v>2406805.2714285715</v>
      </c>
    </row>
    <row r="1762" spans="12:26" x14ac:dyDescent="0.55000000000000004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8"/>
        <v>2406805.2714285715</v>
      </c>
    </row>
    <row r="1763" spans="12:26" x14ac:dyDescent="0.55000000000000004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8"/>
        <v>2406805.2714285715</v>
      </c>
    </row>
    <row r="1764" spans="12:26" x14ac:dyDescent="0.55000000000000004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8"/>
        <v>2406805.2714285715</v>
      </c>
    </row>
    <row r="1765" spans="12:26" x14ac:dyDescent="0.55000000000000004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8"/>
        <v>2406805.2714285715</v>
      </c>
    </row>
    <row r="1766" spans="12:26" x14ac:dyDescent="0.55000000000000004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8"/>
        <v>2406805.2714285715</v>
      </c>
    </row>
    <row r="1767" spans="12:26" x14ac:dyDescent="0.55000000000000004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8"/>
        <v>2406805.2714285715</v>
      </c>
    </row>
    <row r="1768" spans="12:26" x14ac:dyDescent="0.55000000000000004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8"/>
        <v>2406805.2714285715</v>
      </c>
    </row>
    <row r="1769" spans="12:26" x14ac:dyDescent="0.55000000000000004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8"/>
        <v>2406805.2714285715</v>
      </c>
    </row>
    <row r="1770" spans="12:26" x14ac:dyDescent="0.55000000000000004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8"/>
        <v>2406805.2714285715</v>
      </c>
    </row>
    <row r="1771" spans="12:26" x14ac:dyDescent="0.55000000000000004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8"/>
        <v>2406805.2714285715</v>
      </c>
    </row>
    <row r="1772" spans="12:26" x14ac:dyDescent="0.55000000000000004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8"/>
        <v>2406805.2714285715</v>
      </c>
    </row>
    <row r="1773" spans="12:26" x14ac:dyDescent="0.55000000000000004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8"/>
        <v>2406805.2714285715</v>
      </c>
    </row>
    <row r="1774" spans="12:26" x14ac:dyDescent="0.55000000000000004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8"/>
        <v>2406805.2714285715</v>
      </c>
    </row>
    <row r="1775" spans="12:26" x14ac:dyDescent="0.55000000000000004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8"/>
        <v>2406805.2714285715</v>
      </c>
    </row>
    <row r="1776" spans="12:26" x14ac:dyDescent="0.55000000000000004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8"/>
        <v>2406805.2714285715</v>
      </c>
    </row>
    <row r="1777" spans="12:26" x14ac:dyDescent="0.55000000000000004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8"/>
        <v>2406805.2714285715</v>
      </c>
    </row>
    <row r="1778" spans="12:26" x14ac:dyDescent="0.55000000000000004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8"/>
        <v>2406805.2714285715</v>
      </c>
    </row>
    <row r="1779" spans="12:26" x14ac:dyDescent="0.55000000000000004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8"/>
        <v>2406805.2714285715</v>
      </c>
    </row>
    <row r="1780" spans="12:26" x14ac:dyDescent="0.55000000000000004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8"/>
        <v>2406805.2714285715</v>
      </c>
    </row>
    <row r="1781" spans="12:26" x14ac:dyDescent="0.55000000000000004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8"/>
        <v>2406805.2714285715</v>
      </c>
    </row>
    <row r="1782" spans="12:26" x14ac:dyDescent="0.55000000000000004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8"/>
        <v>2406805.2714285715</v>
      </c>
    </row>
    <row r="1783" spans="12:26" x14ac:dyDescent="0.55000000000000004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8"/>
        <v>2406805.2714285715</v>
      </c>
    </row>
    <row r="1784" spans="12:26" x14ac:dyDescent="0.55000000000000004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8"/>
        <v>2406805.2714285715</v>
      </c>
    </row>
    <row r="1785" spans="12:26" x14ac:dyDescent="0.55000000000000004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8"/>
        <v>2406805.2714285715</v>
      </c>
    </row>
    <row r="1786" spans="12:26" x14ac:dyDescent="0.55000000000000004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8"/>
        <v>2406805.2714285715</v>
      </c>
    </row>
    <row r="1787" spans="12:26" x14ac:dyDescent="0.55000000000000004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8"/>
        <v>2406805.2714285715</v>
      </c>
    </row>
    <row r="1788" spans="12:26" x14ac:dyDescent="0.55000000000000004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8"/>
        <v>2406805.2714285715</v>
      </c>
    </row>
    <row r="1789" spans="12:26" x14ac:dyDescent="0.55000000000000004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8"/>
        <v>2406805.2714285715</v>
      </c>
    </row>
    <row r="1790" spans="12:26" x14ac:dyDescent="0.55000000000000004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8"/>
        <v>2406805.2714285715</v>
      </c>
    </row>
    <row r="1791" spans="12:26" x14ac:dyDescent="0.55000000000000004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8"/>
        <v>2406805.2714285715</v>
      </c>
    </row>
    <row r="1792" spans="12:26" x14ac:dyDescent="0.55000000000000004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8"/>
        <v>2406805.2714285715</v>
      </c>
    </row>
    <row r="1793" spans="12:26" x14ac:dyDescent="0.55000000000000004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8"/>
        <v>2406805.2714285715</v>
      </c>
    </row>
    <row r="1794" spans="12:26" x14ac:dyDescent="0.55000000000000004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8"/>
        <v>2406805.2714285715</v>
      </c>
    </row>
    <row r="1795" spans="12:26" x14ac:dyDescent="0.55000000000000004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8"/>
        <v>2406805.2714285715</v>
      </c>
    </row>
    <row r="1796" spans="12:26" x14ac:dyDescent="0.55000000000000004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8"/>
        <v>2406805.2714285715</v>
      </c>
    </row>
    <row r="1797" spans="12:26" x14ac:dyDescent="0.55000000000000004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8"/>
        <v>2406805.2714285715</v>
      </c>
    </row>
    <row r="1798" spans="12:26" x14ac:dyDescent="0.55000000000000004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8"/>
        <v>2406805.2714285715</v>
      </c>
    </row>
    <row r="1799" spans="12:26" x14ac:dyDescent="0.55000000000000004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9">Y1799/X1799</f>
        <v>2406805.2714285715</v>
      </c>
    </row>
    <row r="1800" spans="12:26" x14ac:dyDescent="0.55000000000000004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9"/>
        <v>2406805.2714285715</v>
      </c>
    </row>
    <row r="1801" spans="12:26" x14ac:dyDescent="0.55000000000000004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9"/>
        <v>2406805.2714285715</v>
      </c>
    </row>
    <row r="1802" spans="12:26" x14ac:dyDescent="0.55000000000000004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9"/>
        <v>2406805.2714285715</v>
      </c>
    </row>
    <row r="1803" spans="12:26" x14ac:dyDescent="0.55000000000000004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9"/>
        <v>2406805.2714285715</v>
      </c>
    </row>
    <row r="1804" spans="12:26" x14ac:dyDescent="0.55000000000000004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9"/>
        <v>2406805.2714285715</v>
      </c>
    </row>
    <row r="1805" spans="12:26" x14ac:dyDescent="0.55000000000000004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9"/>
        <v>2406805.2714285715</v>
      </c>
    </row>
    <row r="1806" spans="12:26" x14ac:dyDescent="0.55000000000000004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9"/>
        <v>2406805.2714285715</v>
      </c>
    </row>
    <row r="1807" spans="12:26" x14ac:dyDescent="0.55000000000000004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9"/>
        <v>2406805.2714285715</v>
      </c>
    </row>
    <row r="1808" spans="12:26" x14ac:dyDescent="0.55000000000000004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9"/>
        <v>2406805.2714285715</v>
      </c>
    </row>
    <row r="1809" spans="12:26" x14ac:dyDescent="0.55000000000000004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9"/>
        <v>2406805.2714285715</v>
      </c>
    </row>
    <row r="1810" spans="12:26" x14ac:dyDescent="0.55000000000000004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9"/>
        <v>2406805.2714285715</v>
      </c>
    </row>
    <row r="1811" spans="12:26" x14ac:dyDescent="0.55000000000000004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9"/>
        <v>2406805.2714285715</v>
      </c>
    </row>
    <row r="1812" spans="12:26" x14ac:dyDescent="0.55000000000000004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9"/>
        <v>2406805.2714285715</v>
      </c>
    </row>
    <row r="1813" spans="12:26" x14ac:dyDescent="0.55000000000000004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9"/>
        <v>2406805.2714285715</v>
      </c>
    </row>
    <row r="1814" spans="12:26" x14ac:dyDescent="0.55000000000000004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9"/>
        <v>2406805.2714285715</v>
      </c>
    </row>
    <row r="1815" spans="12:26" x14ac:dyDescent="0.55000000000000004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9"/>
        <v>2406805.2714285715</v>
      </c>
    </row>
    <row r="1816" spans="12:26" x14ac:dyDescent="0.55000000000000004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9"/>
        <v>2406805.2714285715</v>
      </c>
    </row>
    <row r="1817" spans="12:26" x14ac:dyDescent="0.55000000000000004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9"/>
        <v>2406805.2714285715</v>
      </c>
    </row>
    <row r="1818" spans="12:26" x14ac:dyDescent="0.55000000000000004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9"/>
        <v>2406805.2714285715</v>
      </c>
    </row>
    <row r="1819" spans="12:26" x14ac:dyDescent="0.55000000000000004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9"/>
        <v>2406805.2714285715</v>
      </c>
    </row>
    <row r="1820" spans="12:26" x14ac:dyDescent="0.55000000000000004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9"/>
        <v>2406805.2714285715</v>
      </c>
    </row>
    <row r="1821" spans="12:26" x14ac:dyDescent="0.55000000000000004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9"/>
        <v>2406805.2714285715</v>
      </c>
    </row>
    <row r="1822" spans="12:26" x14ac:dyDescent="0.55000000000000004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9"/>
        <v>2406805.2714285715</v>
      </c>
    </row>
    <row r="1823" spans="12:26" x14ac:dyDescent="0.55000000000000004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9"/>
        <v>2406805.2714285715</v>
      </c>
    </row>
    <row r="1824" spans="12:26" x14ac:dyDescent="0.55000000000000004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9"/>
        <v>2406805.2714285715</v>
      </c>
    </row>
    <row r="1825" spans="12:26" x14ac:dyDescent="0.55000000000000004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9"/>
        <v>2406805.2714285715</v>
      </c>
    </row>
    <row r="1826" spans="12:26" x14ac:dyDescent="0.55000000000000004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9"/>
        <v>2406805.2714285715</v>
      </c>
    </row>
    <row r="1827" spans="12:26" x14ac:dyDescent="0.55000000000000004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9"/>
        <v>2406805.2714285715</v>
      </c>
    </row>
    <row r="1828" spans="12:26" x14ac:dyDescent="0.55000000000000004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9"/>
        <v>2406805.2714285715</v>
      </c>
    </row>
    <row r="1829" spans="12:26" x14ac:dyDescent="0.55000000000000004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9"/>
        <v>2406805.2714285715</v>
      </c>
    </row>
    <row r="1830" spans="12:26" x14ac:dyDescent="0.55000000000000004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9"/>
        <v>2406805.2714285715</v>
      </c>
    </row>
    <row r="1831" spans="12:26" x14ac:dyDescent="0.55000000000000004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9"/>
        <v>2406805.2714285715</v>
      </c>
    </row>
    <row r="1832" spans="12:26" x14ac:dyDescent="0.55000000000000004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9"/>
        <v>2406805.2714285715</v>
      </c>
    </row>
    <row r="1833" spans="12:26" x14ac:dyDescent="0.55000000000000004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9"/>
        <v>2406805.2714285715</v>
      </c>
    </row>
    <row r="1834" spans="12:26" x14ac:dyDescent="0.55000000000000004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9"/>
        <v>2406805.2714285715</v>
      </c>
    </row>
    <row r="1835" spans="12:26" x14ac:dyDescent="0.55000000000000004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9"/>
        <v>2406805.2714285715</v>
      </c>
    </row>
    <row r="1836" spans="12:26" x14ac:dyDescent="0.55000000000000004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9"/>
        <v>2406805.2714285715</v>
      </c>
    </row>
    <row r="1837" spans="12:26" x14ac:dyDescent="0.55000000000000004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9"/>
        <v>2406805.2714285715</v>
      </c>
    </row>
    <row r="1838" spans="12:26" x14ac:dyDescent="0.55000000000000004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9"/>
        <v>2406805.2714285715</v>
      </c>
    </row>
    <row r="1839" spans="12:26" x14ac:dyDescent="0.55000000000000004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9"/>
        <v>2406805.2714285715</v>
      </c>
    </row>
    <row r="1840" spans="12:26" x14ac:dyDescent="0.55000000000000004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9"/>
        <v>2406805.2714285715</v>
      </c>
    </row>
    <row r="1841" spans="12:26" x14ac:dyDescent="0.55000000000000004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9"/>
        <v>2406805.2714285715</v>
      </c>
    </row>
    <row r="1842" spans="12:26" x14ac:dyDescent="0.55000000000000004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9"/>
        <v>2406805.2714285715</v>
      </c>
    </row>
    <row r="1843" spans="12:26" x14ac:dyDescent="0.55000000000000004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9"/>
        <v>2406805.2714285715</v>
      </c>
    </row>
    <row r="1844" spans="12:26" x14ac:dyDescent="0.55000000000000004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9"/>
        <v>2406805.2714285715</v>
      </c>
    </row>
    <row r="1845" spans="12:26" x14ac:dyDescent="0.55000000000000004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9"/>
        <v>2406805.2714285715</v>
      </c>
    </row>
    <row r="1846" spans="12:26" x14ac:dyDescent="0.55000000000000004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9"/>
        <v>2406805.2714285715</v>
      </c>
    </row>
    <row r="1847" spans="12:26" x14ac:dyDescent="0.55000000000000004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9"/>
        <v>2406805.2714285715</v>
      </c>
    </row>
    <row r="1848" spans="12:26" x14ac:dyDescent="0.55000000000000004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9"/>
        <v>2406805.2714285715</v>
      </c>
    </row>
    <row r="1849" spans="12:26" x14ac:dyDescent="0.55000000000000004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9"/>
        <v>2406805.2714285715</v>
      </c>
    </row>
    <row r="1850" spans="12:26" x14ac:dyDescent="0.55000000000000004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9"/>
        <v>2406805.2714285715</v>
      </c>
    </row>
    <row r="1851" spans="12:26" x14ac:dyDescent="0.55000000000000004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9"/>
        <v>2406805.2714285715</v>
      </c>
    </row>
    <row r="1852" spans="12:26" x14ac:dyDescent="0.55000000000000004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9"/>
        <v>2406805.2714285715</v>
      </c>
    </row>
    <row r="1853" spans="12:26" x14ac:dyDescent="0.55000000000000004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9"/>
        <v>2406805.2714285715</v>
      </c>
    </row>
    <row r="1854" spans="12:26" x14ac:dyDescent="0.55000000000000004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9"/>
        <v>2406805.2714285715</v>
      </c>
    </row>
    <row r="1855" spans="12:26" x14ac:dyDescent="0.55000000000000004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9"/>
        <v>2406805.2714285715</v>
      </c>
    </row>
    <row r="1856" spans="12:26" x14ac:dyDescent="0.55000000000000004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9"/>
        <v>2406805.2714285715</v>
      </c>
    </row>
    <row r="1857" spans="12:26" x14ac:dyDescent="0.55000000000000004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9"/>
        <v>2406805.2714285715</v>
      </c>
    </row>
    <row r="1858" spans="12:26" x14ac:dyDescent="0.55000000000000004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9"/>
        <v>2406805.2714285715</v>
      </c>
    </row>
    <row r="1859" spans="12:26" x14ac:dyDescent="0.55000000000000004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9"/>
        <v>2406805.2714285715</v>
      </c>
    </row>
    <row r="1860" spans="12:26" x14ac:dyDescent="0.55000000000000004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9"/>
        <v>2406805.2714285715</v>
      </c>
    </row>
    <row r="1861" spans="12:26" x14ac:dyDescent="0.55000000000000004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9"/>
        <v>2406805.2714285715</v>
      </c>
    </row>
    <row r="1862" spans="12:26" x14ac:dyDescent="0.55000000000000004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9"/>
        <v>2406805.2714285715</v>
      </c>
    </row>
    <row r="1863" spans="12:26" x14ac:dyDescent="0.55000000000000004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60">Y1863/X1863</f>
        <v>2406805.2714285715</v>
      </c>
    </row>
    <row r="1864" spans="12:26" x14ac:dyDescent="0.55000000000000004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60"/>
        <v>2406805.2714285715</v>
      </c>
    </row>
    <row r="1865" spans="12:26" x14ac:dyDescent="0.55000000000000004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60"/>
        <v>2406805.2714285715</v>
      </c>
    </row>
    <row r="1866" spans="12:26" x14ac:dyDescent="0.55000000000000004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60"/>
        <v>2406805.2714285715</v>
      </c>
    </row>
    <row r="1867" spans="12:26" x14ac:dyDescent="0.55000000000000004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60"/>
        <v>2406805.2714285715</v>
      </c>
    </row>
    <row r="1868" spans="12:26" x14ac:dyDescent="0.55000000000000004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60"/>
        <v>2406805.2714285715</v>
      </c>
    </row>
    <row r="1869" spans="12:26" x14ac:dyDescent="0.55000000000000004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60"/>
        <v>2406805.2714285715</v>
      </c>
    </row>
    <row r="1870" spans="12:26" x14ac:dyDescent="0.55000000000000004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60"/>
        <v>2406805.2714285715</v>
      </c>
    </row>
    <row r="1871" spans="12:26" x14ac:dyDescent="0.55000000000000004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60"/>
        <v>2406805.2714285715</v>
      </c>
    </row>
    <row r="1872" spans="12:26" x14ac:dyDescent="0.55000000000000004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60"/>
        <v>2406805.2714285715</v>
      </c>
    </row>
    <row r="1873" spans="12:26" x14ac:dyDescent="0.55000000000000004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60"/>
        <v>2406805.2714285715</v>
      </c>
    </row>
    <row r="1874" spans="12:26" x14ac:dyDescent="0.55000000000000004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60"/>
        <v>2406805.2714285715</v>
      </c>
    </row>
    <row r="1875" spans="12:26" x14ac:dyDescent="0.55000000000000004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60"/>
        <v>2406805.2714285715</v>
      </c>
    </row>
    <row r="1876" spans="12:26" x14ac:dyDescent="0.55000000000000004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60"/>
        <v>2406805.2714285715</v>
      </c>
    </row>
    <row r="1877" spans="12:26" x14ac:dyDescent="0.55000000000000004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60"/>
        <v>2406805.2714285715</v>
      </c>
    </row>
    <row r="1878" spans="12:26" x14ac:dyDescent="0.55000000000000004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60"/>
        <v>2406805.2714285715</v>
      </c>
    </row>
    <row r="1879" spans="12:26" x14ac:dyDescent="0.55000000000000004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60"/>
        <v>2406805.2714285715</v>
      </c>
    </row>
    <row r="1880" spans="12:26" x14ac:dyDescent="0.55000000000000004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60"/>
        <v>2406805.2714285715</v>
      </c>
    </row>
    <row r="1881" spans="12:26" x14ac:dyDescent="0.55000000000000004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60"/>
        <v>2406805.2714285715</v>
      </c>
    </row>
    <row r="1882" spans="12:26" x14ac:dyDescent="0.55000000000000004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60"/>
        <v>2406805.2714285715</v>
      </c>
    </row>
    <row r="1883" spans="12:26" x14ac:dyDescent="0.55000000000000004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60"/>
        <v>2406805.2714285715</v>
      </c>
    </row>
    <row r="1884" spans="12:26" x14ac:dyDescent="0.55000000000000004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60"/>
        <v>2406805.2714285715</v>
      </c>
    </row>
    <row r="1885" spans="12:26" x14ac:dyDescent="0.55000000000000004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60"/>
        <v>2406805.2714285715</v>
      </c>
    </row>
    <row r="1886" spans="12:26" x14ac:dyDescent="0.55000000000000004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60"/>
        <v>2406805.2714285715</v>
      </c>
    </row>
    <row r="1887" spans="12:26" x14ac:dyDescent="0.55000000000000004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60"/>
        <v>2406805.2714285715</v>
      </c>
    </row>
    <row r="1888" spans="12:26" x14ac:dyDescent="0.55000000000000004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60"/>
        <v>2406805.2714285715</v>
      </c>
    </row>
    <row r="1889" spans="12:26" x14ac:dyDescent="0.55000000000000004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60"/>
        <v>2406805.2714285715</v>
      </c>
    </row>
    <row r="1890" spans="12:26" x14ac:dyDescent="0.55000000000000004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60"/>
        <v>2406805.2714285715</v>
      </c>
    </row>
    <row r="1891" spans="12:26" x14ac:dyDescent="0.55000000000000004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60"/>
        <v>2406805.2714285715</v>
      </c>
    </row>
    <row r="1892" spans="12:26" x14ac:dyDescent="0.55000000000000004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60"/>
        <v>2406805.2714285715</v>
      </c>
    </row>
    <row r="1893" spans="12:26" x14ac:dyDescent="0.55000000000000004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60"/>
        <v>2406805.2714285715</v>
      </c>
    </row>
    <row r="1894" spans="12:26" x14ac:dyDescent="0.55000000000000004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60"/>
        <v>2406805.2714285715</v>
      </c>
    </row>
    <row r="1895" spans="12:26" x14ac:dyDescent="0.55000000000000004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60"/>
        <v>2406805.2714285715</v>
      </c>
    </row>
    <row r="1896" spans="12:26" x14ac:dyDescent="0.55000000000000004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60"/>
        <v>2406805.2714285715</v>
      </c>
    </row>
    <row r="1897" spans="12:26" x14ac:dyDescent="0.55000000000000004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60"/>
        <v>2406805.2714285715</v>
      </c>
    </row>
    <row r="1898" spans="12:26" x14ac:dyDescent="0.55000000000000004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60"/>
        <v>2406805.2714285715</v>
      </c>
    </row>
    <row r="1899" spans="12:26" x14ac:dyDescent="0.55000000000000004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60"/>
        <v>2406805.2714285715</v>
      </c>
    </row>
    <row r="1900" spans="12:26" x14ac:dyDescent="0.55000000000000004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60"/>
        <v>2406805.2714285715</v>
      </c>
    </row>
    <row r="1901" spans="12:26" x14ac:dyDescent="0.55000000000000004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60"/>
        <v>2406805.2714285715</v>
      </c>
    </row>
    <row r="1902" spans="12:26" x14ac:dyDescent="0.55000000000000004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60"/>
        <v>2406805.2714285715</v>
      </c>
    </row>
    <row r="1903" spans="12:26" x14ac:dyDescent="0.55000000000000004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60"/>
        <v>2406805.2714285715</v>
      </c>
    </row>
    <row r="1904" spans="12:26" x14ac:dyDescent="0.55000000000000004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60"/>
        <v>2406805.2714285715</v>
      </c>
    </row>
    <row r="1905" spans="12:26" x14ac:dyDescent="0.55000000000000004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60"/>
        <v>2406805.2714285715</v>
      </c>
    </row>
    <row r="1906" spans="12:26" x14ac:dyDescent="0.55000000000000004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60"/>
        <v>2406805.2714285715</v>
      </c>
    </row>
    <row r="1907" spans="12:26" x14ac:dyDescent="0.55000000000000004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60"/>
        <v>2406805.2714285715</v>
      </c>
    </row>
    <row r="1908" spans="12:26" x14ac:dyDescent="0.55000000000000004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60"/>
        <v>2406805.2714285715</v>
      </c>
    </row>
    <row r="1909" spans="12:26" x14ac:dyDescent="0.55000000000000004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60"/>
        <v>2406805.2714285715</v>
      </c>
    </row>
    <row r="1910" spans="12:26" x14ac:dyDescent="0.55000000000000004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60"/>
        <v>2406805.2714285715</v>
      </c>
    </row>
    <row r="1911" spans="12:26" x14ac:dyDescent="0.55000000000000004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60"/>
        <v>2406805.2714285715</v>
      </c>
    </row>
    <row r="1912" spans="12:26" x14ac:dyDescent="0.55000000000000004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60"/>
        <v>2406805.2714285715</v>
      </c>
    </row>
    <row r="1913" spans="12:26" x14ac:dyDescent="0.55000000000000004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60"/>
        <v>2406805.2714285715</v>
      </c>
    </row>
    <row r="1914" spans="12:26" x14ac:dyDescent="0.55000000000000004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60"/>
        <v>2406805.2714285715</v>
      </c>
    </row>
    <row r="1915" spans="12:26" x14ac:dyDescent="0.55000000000000004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60"/>
        <v>2406805.2714285715</v>
      </c>
    </row>
    <row r="1916" spans="12:26" x14ac:dyDescent="0.55000000000000004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60"/>
        <v>2406805.2714285715</v>
      </c>
    </row>
    <row r="1917" spans="12:26" x14ac:dyDescent="0.55000000000000004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60"/>
        <v>2406805.2714285715</v>
      </c>
    </row>
    <row r="1918" spans="12:26" x14ac:dyDescent="0.55000000000000004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60"/>
        <v>2406805.2714285715</v>
      </c>
    </row>
    <row r="1919" spans="12:26" x14ac:dyDescent="0.55000000000000004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60"/>
        <v>2406805.2714285715</v>
      </c>
    </row>
    <row r="1920" spans="12:26" x14ac:dyDescent="0.55000000000000004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60"/>
        <v>2406805.2714285715</v>
      </c>
    </row>
    <row r="1921" spans="12:26" x14ac:dyDescent="0.55000000000000004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60"/>
        <v>2406805.2714285715</v>
      </c>
    </row>
    <row r="1922" spans="12:26" x14ac:dyDescent="0.55000000000000004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60"/>
        <v>2406805.2714285715</v>
      </c>
    </row>
    <row r="1923" spans="12:26" x14ac:dyDescent="0.55000000000000004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60"/>
        <v>2406805.2714285715</v>
      </c>
    </row>
    <row r="1924" spans="12:26" x14ac:dyDescent="0.55000000000000004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60"/>
        <v>2406805.2714285715</v>
      </c>
    </row>
    <row r="1925" spans="12:26" x14ac:dyDescent="0.55000000000000004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60"/>
        <v>2406805.2714285715</v>
      </c>
    </row>
    <row r="1926" spans="12:26" x14ac:dyDescent="0.55000000000000004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60"/>
        <v>2406805.2714285715</v>
      </c>
    </row>
    <row r="1927" spans="12:26" x14ac:dyDescent="0.55000000000000004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61">Y1927/X1927</f>
        <v>2406805.2714285715</v>
      </c>
    </row>
    <row r="1928" spans="12:26" x14ac:dyDescent="0.55000000000000004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61"/>
        <v>2406805.2714285715</v>
      </c>
    </row>
    <row r="1929" spans="12:26" x14ac:dyDescent="0.55000000000000004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61"/>
        <v>2406805.2714285715</v>
      </c>
    </row>
    <row r="1930" spans="12:26" x14ac:dyDescent="0.55000000000000004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61"/>
        <v>2406805.2714285715</v>
      </c>
    </row>
    <row r="1931" spans="12:26" x14ac:dyDescent="0.55000000000000004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61"/>
        <v>2406805.2714285715</v>
      </c>
    </row>
    <row r="1932" spans="12:26" x14ac:dyDescent="0.55000000000000004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61"/>
        <v>2406805.2714285715</v>
      </c>
    </row>
    <row r="1933" spans="12:26" x14ac:dyDescent="0.55000000000000004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61"/>
        <v>2406805.2714285715</v>
      </c>
    </row>
    <row r="1934" spans="12:26" x14ac:dyDescent="0.55000000000000004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61"/>
        <v>2406805.2714285715</v>
      </c>
    </row>
    <row r="1935" spans="12:26" x14ac:dyDescent="0.55000000000000004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61"/>
        <v>2406805.2714285715</v>
      </c>
    </row>
    <row r="1936" spans="12:26" x14ac:dyDescent="0.55000000000000004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61"/>
        <v>2406805.2714285715</v>
      </c>
    </row>
    <row r="1937" spans="12:26" x14ac:dyDescent="0.55000000000000004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61"/>
        <v>2406805.2714285715</v>
      </c>
    </row>
    <row r="1938" spans="12:26" x14ac:dyDescent="0.55000000000000004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61"/>
        <v>2406805.2714285715</v>
      </c>
    </row>
    <row r="1939" spans="12:26" x14ac:dyDescent="0.55000000000000004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61"/>
        <v>2406805.2714285715</v>
      </c>
    </row>
    <row r="1940" spans="12:26" x14ac:dyDescent="0.55000000000000004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61"/>
        <v>2406805.2714285715</v>
      </c>
    </row>
    <row r="1941" spans="12:26" x14ac:dyDescent="0.55000000000000004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61"/>
        <v>2406805.2714285715</v>
      </c>
    </row>
    <row r="1942" spans="12:26" x14ac:dyDescent="0.55000000000000004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61"/>
        <v>2406805.2714285715</v>
      </c>
    </row>
    <row r="1943" spans="12:26" x14ac:dyDescent="0.55000000000000004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61"/>
        <v>2406805.2714285715</v>
      </c>
    </row>
    <row r="1944" spans="12:26" x14ac:dyDescent="0.55000000000000004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61"/>
        <v>2406805.2714285715</v>
      </c>
    </row>
    <row r="1945" spans="12:26" x14ac:dyDescent="0.55000000000000004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61"/>
        <v>2406805.2714285715</v>
      </c>
    </row>
    <row r="1946" spans="12:26" x14ac:dyDescent="0.55000000000000004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61"/>
        <v>2406805.2714285715</v>
      </c>
    </row>
    <row r="1947" spans="12:26" x14ac:dyDescent="0.55000000000000004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61"/>
        <v>2406805.2714285715</v>
      </c>
    </row>
    <row r="1948" spans="12:26" x14ac:dyDescent="0.55000000000000004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61"/>
        <v>2406805.2714285715</v>
      </c>
    </row>
    <row r="1949" spans="12:26" x14ac:dyDescent="0.55000000000000004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61"/>
        <v>2406805.2714285715</v>
      </c>
    </row>
    <row r="1950" spans="12:26" x14ac:dyDescent="0.55000000000000004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61"/>
        <v>2406805.2714285715</v>
      </c>
    </row>
    <row r="1951" spans="12:26" x14ac:dyDescent="0.55000000000000004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61"/>
        <v>2406805.2714285715</v>
      </c>
    </row>
    <row r="1952" spans="12:26" x14ac:dyDescent="0.55000000000000004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61"/>
        <v>2406805.2714285715</v>
      </c>
    </row>
    <row r="1953" spans="12:26" x14ac:dyDescent="0.55000000000000004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61"/>
        <v>2406805.2714285715</v>
      </c>
    </row>
    <row r="1954" spans="12:26" x14ac:dyDescent="0.55000000000000004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61"/>
        <v>2406805.2714285715</v>
      </c>
    </row>
    <row r="1955" spans="12:26" x14ac:dyDescent="0.55000000000000004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61"/>
        <v>2406805.2714285715</v>
      </c>
    </row>
    <row r="1956" spans="12:26" x14ac:dyDescent="0.55000000000000004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61"/>
        <v>2406805.2714285715</v>
      </c>
    </row>
    <row r="1957" spans="12:26" x14ac:dyDescent="0.55000000000000004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61"/>
        <v>2406805.2714285715</v>
      </c>
    </row>
    <row r="1958" spans="12:26" x14ac:dyDescent="0.55000000000000004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61"/>
        <v>2406805.2714285715</v>
      </c>
    </row>
    <row r="1959" spans="12:26" x14ac:dyDescent="0.55000000000000004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61"/>
        <v>2406805.2714285715</v>
      </c>
    </row>
    <row r="1960" spans="12:26" x14ac:dyDescent="0.55000000000000004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61"/>
        <v>2406805.2714285715</v>
      </c>
    </row>
    <row r="1961" spans="12:26" x14ac:dyDescent="0.55000000000000004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61"/>
        <v>2406805.2714285715</v>
      </c>
    </row>
    <row r="1962" spans="12:26" x14ac:dyDescent="0.55000000000000004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61"/>
        <v>2406805.2714285715</v>
      </c>
    </row>
    <row r="1963" spans="12:26" x14ac:dyDescent="0.55000000000000004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61"/>
        <v>2406805.2714285715</v>
      </c>
    </row>
    <row r="1964" spans="12:26" x14ac:dyDescent="0.55000000000000004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61"/>
        <v>2406805.2714285715</v>
      </c>
    </row>
    <row r="1965" spans="12:26" x14ac:dyDescent="0.55000000000000004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61"/>
        <v>2406805.2714285715</v>
      </c>
    </row>
    <row r="1966" spans="12:26" x14ac:dyDescent="0.55000000000000004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61"/>
        <v>2406805.2714285715</v>
      </c>
    </row>
    <row r="1967" spans="12:26" x14ac:dyDescent="0.55000000000000004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61"/>
        <v>2406805.2714285715</v>
      </c>
    </row>
    <row r="1968" spans="12:26" x14ac:dyDescent="0.55000000000000004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61"/>
        <v>2406805.2714285715</v>
      </c>
    </row>
    <row r="1969" spans="12:26" x14ac:dyDescent="0.55000000000000004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61"/>
        <v>2406805.2714285715</v>
      </c>
    </row>
    <row r="1970" spans="12:26" x14ac:dyDescent="0.55000000000000004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61"/>
        <v>2406805.2714285715</v>
      </c>
    </row>
    <row r="1971" spans="12:26" x14ac:dyDescent="0.55000000000000004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61"/>
        <v>2406805.2714285715</v>
      </c>
    </row>
    <row r="1972" spans="12:26" x14ac:dyDescent="0.55000000000000004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61"/>
        <v>2406805.2714285715</v>
      </c>
    </row>
    <row r="1973" spans="12:26" x14ac:dyDescent="0.55000000000000004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61"/>
        <v>2406805.2714285715</v>
      </c>
    </row>
    <row r="1974" spans="12:26" x14ac:dyDescent="0.55000000000000004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61"/>
        <v>2406805.2714285715</v>
      </c>
    </row>
    <row r="1975" spans="12:26" x14ac:dyDescent="0.55000000000000004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61"/>
        <v>2406805.2714285715</v>
      </c>
    </row>
    <row r="1976" spans="12:26" x14ac:dyDescent="0.55000000000000004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61"/>
        <v>2406805.2714285715</v>
      </c>
    </row>
    <row r="1977" spans="12:26" x14ac:dyDescent="0.55000000000000004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61"/>
        <v>2406805.2714285715</v>
      </c>
    </row>
    <row r="1978" spans="12:26" x14ac:dyDescent="0.55000000000000004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61"/>
        <v>2406805.2714285715</v>
      </c>
    </row>
    <row r="1979" spans="12:26" x14ac:dyDescent="0.55000000000000004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61"/>
        <v>2406805.2714285715</v>
      </c>
    </row>
    <row r="1980" spans="12:26" x14ac:dyDescent="0.55000000000000004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61"/>
        <v>2406805.2714285715</v>
      </c>
    </row>
    <row r="1981" spans="12:26" x14ac:dyDescent="0.55000000000000004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61"/>
        <v>2406805.2714285715</v>
      </c>
    </row>
    <row r="1982" spans="12:26" x14ac:dyDescent="0.55000000000000004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61"/>
        <v>2406805.2714285715</v>
      </c>
    </row>
    <row r="1983" spans="12:26" x14ac:dyDescent="0.55000000000000004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61"/>
        <v>2406805.2714285715</v>
      </c>
    </row>
    <row r="1984" spans="12:26" x14ac:dyDescent="0.55000000000000004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61"/>
        <v>2406805.2714285715</v>
      </c>
    </row>
    <row r="1985" spans="12:26" x14ac:dyDescent="0.55000000000000004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61"/>
        <v>2406805.2714285715</v>
      </c>
    </row>
    <row r="1986" spans="12:26" x14ac:dyDescent="0.55000000000000004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61"/>
        <v>2406805.2714285715</v>
      </c>
    </row>
    <row r="1987" spans="12:26" x14ac:dyDescent="0.55000000000000004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61"/>
        <v>2406805.2714285715</v>
      </c>
    </row>
    <row r="1988" spans="12:26" x14ac:dyDescent="0.55000000000000004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61"/>
        <v>2406805.2714285715</v>
      </c>
    </row>
    <row r="1989" spans="12:26" x14ac:dyDescent="0.55000000000000004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61"/>
        <v>2406805.2714285715</v>
      </c>
    </row>
    <row r="1990" spans="12:26" x14ac:dyDescent="0.55000000000000004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61"/>
        <v>2406805.2714285715</v>
      </c>
    </row>
    <row r="1991" spans="12:26" x14ac:dyDescent="0.55000000000000004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62">Y1991/X1991</f>
        <v>2406805.2714285715</v>
      </c>
    </row>
    <row r="1992" spans="12:26" x14ac:dyDescent="0.55000000000000004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62"/>
        <v>2406805.2714285715</v>
      </c>
    </row>
    <row r="1993" spans="12:26" x14ac:dyDescent="0.55000000000000004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62"/>
        <v>2406805.2714285715</v>
      </c>
    </row>
    <row r="1994" spans="12:26" x14ac:dyDescent="0.55000000000000004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62"/>
        <v>2406805.2714285715</v>
      </c>
    </row>
    <row r="1995" spans="12:26" x14ac:dyDescent="0.55000000000000004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62"/>
        <v>2406805.2714285715</v>
      </c>
    </row>
    <row r="1996" spans="12:26" x14ac:dyDescent="0.55000000000000004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62"/>
        <v>2406805.2714285715</v>
      </c>
    </row>
    <row r="1997" spans="12:26" x14ac:dyDescent="0.55000000000000004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62"/>
        <v>2406805.2714285715</v>
      </c>
    </row>
    <row r="1998" spans="12:26" x14ac:dyDescent="0.55000000000000004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62"/>
        <v>2406805.2714285715</v>
      </c>
    </row>
    <row r="1999" spans="12:26" x14ac:dyDescent="0.55000000000000004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62"/>
        <v>2406805.2714285715</v>
      </c>
    </row>
    <row r="2000" spans="12:26" x14ac:dyDescent="0.55000000000000004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62"/>
        <v>2406805.2714285715</v>
      </c>
    </row>
    <row r="2001" spans="12:26" x14ac:dyDescent="0.55000000000000004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62"/>
        <v>2406805.2714285715</v>
      </c>
    </row>
    <row r="2002" spans="12:26" x14ac:dyDescent="0.55000000000000004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62"/>
        <v>2406805.2714285715</v>
      </c>
    </row>
    <row r="2003" spans="12:26" x14ac:dyDescent="0.55000000000000004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62"/>
        <v>2406805.2714285715</v>
      </c>
    </row>
    <row r="2004" spans="12:26" x14ac:dyDescent="0.55000000000000004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62"/>
        <v>2406805.2714285715</v>
      </c>
    </row>
    <row r="2005" spans="12:26" x14ac:dyDescent="0.55000000000000004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62"/>
        <v>2406805.2714285715</v>
      </c>
    </row>
    <row r="2006" spans="12:26" x14ac:dyDescent="0.55000000000000004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62"/>
        <v>2406805.2714285715</v>
      </c>
    </row>
    <row r="2007" spans="12:26" x14ac:dyDescent="0.55000000000000004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62"/>
        <v>2406805.2714285715</v>
      </c>
    </row>
    <row r="2008" spans="12:26" x14ac:dyDescent="0.55000000000000004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62"/>
        <v>2406805.2714285715</v>
      </c>
    </row>
    <row r="2009" spans="12:26" x14ac:dyDescent="0.55000000000000004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62"/>
        <v>2406805.2714285715</v>
      </c>
    </row>
    <row r="2010" spans="12:26" x14ac:dyDescent="0.55000000000000004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62"/>
        <v>2406805.2714285715</v>
      </c>
    </row>
    <row r="2011" spans="12:26" x14ac:dyDescent="0.55000000000000004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62"/>
        <v>2406805.2714285715</v>
      </c>
    </row>
    <row r="2012" spans="12:26" x14ac:dyDescent="0.55000000000000004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62"/>
        <v>2406805.2714285715</v>
      </c>
    </row>
    <row r="2013" spans="12:26" x14ac:dyDescent="0.55000000000000004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62"/>
        <v>2406805.2714285715</v>
      </c>
    </row>
    <row r="2014" spans="12:26" x14ac:dyDescent="0.55000000000000004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62"/>
        <v>2406805.2714285715</v>
      </c>
    </row>
    <row r="2015" spans="12:26" x14ac:dyDescent="0.55000000000000004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62"/>
        <v>2406805.2714285715</v>
      </c>
    </row>
    <row r="2016" spans="12:26" x14ac:dyDescent="0.55000000000000004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62"/>
        <v>2406805.2714285715</v>
      </c>
    </row>
    <row r="2017" spans="12:26" x14ac:dyDescent="0.55000000000000004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62"/>
        <v>2406805.2714285715</v>
      </c>
    </row>
    <row r="2018" spans="12:26" x14ac:dyDescent="0.55000000000000004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62"/>
        <v>2406805.2714285715</v>
      </c>
    </row>
    <row r="2019" spans="12:26" x14ac:dyDescent="0.55000000000000004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62"/>
        <v>2406805.2714285715</v>
      </c>
    </row>
    <row r="2020" spans="12:26" x14ac:dyDescent="0.55000000000000004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62"/>
        <v>2406805.2714285715</v>
      </c>
    </row>
    <row r="2021" spans="12:26" x14ac:dyDescent="0.55000000000000004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62"/>
        <v>2406805.2714285715</v>
      </c>
    </row>
    <row r="2022" spans="12:26" x14ac:dyDescent="0.55000000000000004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62"/>
        <v>2406805.2714285715</v>
      </c>
    </row>
    <row r="2023" spans="12:26" x14ac:dyDescent="0.55000000000000004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62"/>
        <v>2406805.2714285715</v>
      </c>
    </row>
    <row r="2024" spans="12:26" x14ac:dyDescent="0.55000000000000004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62"/>
        <v>2406805.2714285715</v>
      </c>
    </row>
    <row r="2025" spans="12:26" x14ac:dyDescent="0.55000000000000004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62"/>
        <v>2406805.2714285715</v>
      </c>
    </row>
    <row r="2026" spans="12:26" x14ac:dyDescent="0.55000000000000004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62"/>
        <v>2406805.2714285715</v>
      </c>
    </row>
    <row r="2027" spans="12:26" x14ac:dyDescent="0.55000000000000004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62"/>
        <v>2406805.2714285715</v>
      </c>
    </row>
    <row r="2028" spans="12:26" x14ac:dyDescent="0.55000000000000004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62"/>
        <v>2406805.2714285715</v>
      </c>
    </row>
    <row r="2029" spans="12:26" x14ac:dyDescent="0.55000000000000004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62"/>
        <v>2406805.2714285715</v>
      </c>
    </row>
    <row r="2030" spans="12:26" x14ac:dyDescent="0.55000000000000004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62"/>
        <v>2406805.2714285715</v>
      </c>
    </row>
    <row r="2031" spans="12:26" x14ac:dyDescent="0.55000000000000004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62"/>
        <v>2406805.2714285715</v>
      </c>
    </row>
    <row r="2032" spans="12:26" x14ac:dyDescent="0.55000000000000004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62"/>
        <v>2406805.2714285715</v>
      </c>
    </row>
    <row r="2033" spans="12:26" x14ac:dyDescent="0.55000000000000004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62"/>
        <v>2406805.2714285715</v>
      </c>
    </row>
    <row r="2034" spans="12:26" x14ac:dyDescent="0.55000000000000004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62"/>
        <v>2406805.2714285715</v>
      </c>
    </row>
    <row r="2035" spans="12:26" x14ac:dyDescent="0.55000000000000004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62"/>
        <v>2406805.2714285715</v>
      </c>
    </row>
    <row r="2036" spans="12:26" x14ac:dyDescent="0.55000000000000004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62"/>
        <v>2406805.2714285715</v>
      </c>
    </row>
    <row r="2037" spans="12:26" x14ac:dyDescent="0.55000000000000004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62"/>
        <v>2406805.2714285715</v>
      </c>
    </row>
    <row r="2038" spans="12:26" x14ac:dyDescent="0.55000000000000004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62"/>
        <v>2406805.2714285715</v>
      </c>
    </row>
    <row r="2039" spans="12:26" x14ac:dyDescent="0.55000000000000004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62"/>
        <v>2406805.2714285715</v>
      </c>
    </row>
    <row r="2040" spans="12:26" x14ac:dyDescent="0.55000000000000004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62"/>
        <v>2406805.2714285715</v>
      </c>
    </row>
    <row r="2041" spans="12:26" x14ac:dyDescent="0.55000000000000004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62"/>
        <v>2406805.2714285715</v>
      </c>
    </row>
    <row r="2042" spans="12:26" x14ac:dyDescent="0.55000000000000004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62"/>
        <v>2406805.2714285715</v>
      </c>
    </row>
    <row r="2043" spans="12:26" x14ac:dyDescent="0.55000000000000004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62"/>
        <v>2406805.2714285715</v>
      </c>
    </row>
    <row r="2044" spans="12:26" x14ac:dyDescent="0.55000000000000004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62"/>
        <v>2406805.2714285715</v>
      </c>
    </row>
    <row r="2045" spans="12:26" x14ac:dyDescent="0.55000000000000004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62"/>
        <v>2406805.2714285715</v>
      </c>
    </row>
    <row r="2046" spans="12:26" x14ac:dyDescent="0.55000000000000004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62"/>
        <v>2406805.2714285715</v>
      </c>
    </row>
    <row r="2047" spans="12:26" x14ac:dyDescent="0.55000000000000004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62"/>
        <v>2406805.2714285715</v>
      </c>
    </row>
    <row r="2048" spans="12:26" x14ac:dyDescent="0.55000000000000004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62"/>
        <v>2406805.2714285715</v>
      </c>
    </row>
    <row r="2049" spans="12:26" x14ac:dyDescent="0.55000000000000004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62"/>
        <v>2406805.2714285715</v>
      </c>
    </row>
    <row r="2050" spans="12:26" x14ac:dyDescent="0.55000000000000004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62"/>
        <v>2406805.2714285715</v>
      </c>
    </row>
    <row r="2051" spans="12:26" x14ac:dyDescent="0.55000000000000004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62"/>
        <v>2406805.2714285715</v>
      </c>
    </row>
    <row r="2052" spans="12:26" x14ac:dyDescent="0.55000000000000004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62"/>
        <v>2406805.2714285715</v>
      </c>
    </row>
    <row r="2053" spans="12:26" x14ac:dyDescent="0.55000000000000004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62"/>
        <v>2406805.2714285715</v>
      </c>
    </row>
    <row r="2054" spans="12:26" x14ac:dyDescent="0.55000000000000004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62"/>
        <v>2406805.2714285715</v>
      </c>
    </row>
    <row r="2055" spans="12:26" x14ac:dyDescent="0.55000000000000004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63">Y2055/X2055</f>
        <v>2406805.2714285715</v>
      </c>
    </row>
    <row r="2056" spans="12:26" x14ac:dyDescent="0.55000000000000004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63"/>
        <v>2406805.2714285715</v>
      </c>
    </row>
    <row r="2057" spans="12:26" x14ac:dyDescent="0.55000000000000004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63"/>
        <v>2406805.2714285715</v>
      </c>
    </row>
    <row r="2058" spans="12:26" x14ac:dyDescent="0.55000000000000004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63"/>
        <v>2406805.2714285715</v>
      </c>
    </row>
    <row r="2059" spans="12:26" x14ac:dyDescent="0.55000000000000004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63"/>
        <v>2406805.2714285715</v>
      </c>
    </row>
    <row r="2060" spans="12:26" x14ac:dyDescent="0.55000000000000004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63"/>
        <v>2406805.2714285715</v>
      </c>
    </row>
    <row r="2061" spans="12:26" x14ac:dyDescent="0.55000000000000004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63"/>
        <v>2406805.2714285715</v>
      </c>
    </row>
    <row r="2062" spans="12:26" x14ac:dyDescent="0.55000000000000004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63"/>
        <v>2406805.2714285715</v>
      </c>
    </row>
    <row r="2063" spans="12:26" x14ac:dyDescent="0.55000000000000004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63"/>
        <v>2406805.2714285715</v>
      </c>
    </row>
    <row r="2064" spans="12:26" x14ac:dyDescent="0.55000000000000004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63"/>
        <v>2406805.2714285715</v>
      </c>
    </row>
    <row r="2065" spans="12:26" x14ac:dyDescent="0.55000000000000004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63"/>
        <v>2406805.2714285715</v>
      </c>
    </row>
    <row r="2066" spans="12:26" x14ac:dyDescent="0.55000000000000004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63"/>
        <v>2406805.2714285715</v>
      </c>
    </row>
    <row r="2067" spans="12:26" x14ac:dyDescent="0.55000000000000004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63"/>
        <v>2406805.2714285715</v>
      </c>
    </row>
    <row r="2068" spans="12:26" x14ac:dyDescent="0.55000000000000004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63"/>
        <v>2406805.2714285715</v>
      </c>
    </row>
    <row r="2069" spans="12:26" x14ac:dyDescent="0.55000000000000004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63"/>
        <v>2406805.2714285715</v>
      </c>
    </row>
    <row r="2070" spans="12:26" x14ac:dyDescent="0.55000000000000004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63"/>
        <v>2406805.2714285715</v>
      </c>
    </row>
    <row r="2071" spans="12:26" x14ac:dyDescent="0.55000000000000004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63"/>
        <v>2406805.2714285715</v>
      </c>
    </row>
    <row r="2072" spans="12:26" x14ac:dyDescent="0.55000000000000004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63"/>
        <v>2406805.2714285715</v>
      </c>
    </row>
    <row r="2073" spans="12:26" x14ac:dyDescent="0.55000000000000004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63"/>
        <v>2406805.2714285715</v>
      </c>
    </row>
    <row r="2074" spans="12:26" x14ac:dyDescent="0.55000000000000004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63"/>
        <v>2406805.2714285715</v>
      </c>
    </row>
    <row r="2075" spans="12:26" x14ac:dyDescent="0.55000000000000004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63"/>
        <v>2406805.2714285715</v>
      </c>
    </row>
    <row r="2076" spans="12:26" x14ac:dyDescent="0.55000000000000004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63"/>
        <v>2406805.2714285715</v>
      </c>
    </row>
    <row r="2077" spans="12:26" x14ac:dyDescent="0.55000000000000004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63"/>
        <v>2406805.2714285715</v>
      </c>
    </row>
    <row r="2078" spans="12:26" x14ac:dyDescent="0.55000000000000004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63"/>
        <v>2406805.2714285715</v>
      </c>
    </row>
    <row r="2079" spans="12:26" x14ac:dyDescent="0.55000000000000004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63"/>
        <v>2406805.2714285715</v>
      </c>
    </row>
    <row r="2080" spans="12:26" x14ac:dyDescent="0.55000000000000004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63"/>
        <v>2406805.2714285715</v>
      </c>
    </row>
    <row r="2081" spans="12:26" x14ac:dyDescent="0.55000000000000004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63"/>
        <v>2406805.2714285715</v>
      </c>
    </row>
    <row r="2082" spans="12:26" x14ac:dyDescent="0.55000000000000004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63"/>
        <v>2406805.2714285715</v>
      </c>
    </row>
    <row r="2083" spans="12:26" x14ac:dyDescent="0.55000000000000004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63"/>
        <v>2406805.2714285715</v>
      </c>
    </row>
    <row r="2084" spans="12:26" x14ac:dyDescent="0.55000000000000004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63"/>
        <v>2406805.2714285715</v>
      </c>
    </row>
    <row r="2085" spans="12:26" x14ac:dyDescent="0.55000000000000004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63"/>
        <v>2406805.2714285715</v>
      </c>
    </row>
    <row r="2086" spans="12:26" x14ac:dyDescent="0.55000000000000004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63"/>
        <v>2406805.2714285715</v>
      </c>
    </row>
    <row r="2087" spans="12:26" x14ac:dyDescent="0.55000000000000004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63"/>
        <v>2406805.2714285715</v>
      </c>
    </row>
    <row r="2088" spans="12:26" x14ac:dyDescent="0.55000000000000004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63"/>
        <v>2406805.2714285715</v>
      </c>
    </row>
    <row r="2089" spans="12:26" x14ac:dyDescent="0.55000000000000004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63"/>
        <v>2406805.2714285715</v>
      </c>
    </row>
    <row r="2090" spans="12:26" x14ac:dyDescent="0.55000000000000004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63"/>
        <v>2406805.2714285715</v>
      </c>
    </row>
    <row r="2091" spans="12:26" x14ac:dyDescent="0.55000000000000004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63"/>
        <v>2406805.2714285715</v>
      </c>
    </row>
    <row r="2092" spans="12:26" x14ac:dyDescent="0.55000000000000004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63"/>
        <v>2406805.2714285715</v>
      </c>
    </row>
    <row r="2093" spans="12:26" x14ac:dyDescent="0.55000000000000004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63"/>
        <v>2406805.2714285715</v>
      </c>
    </row>
    <row r="2094" spans="12:26" x14ac:dyDescent="0.55000000000000004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63"/>
        <v>2406805.2714285715</v>
      </c>
    </row>
    <row r="2095" spans="12:26" x14ac:dyDescent="0.55000000000000004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63"/>
        <v>2406805.2714285715</v>
      </c>
    </row>
    <row r="2096" spans="12:26" x14ac:dyDescent="0.55000000000000004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63"/>
        <v>2406805.2714285715</v>
      </c>
    </row>
    <row r="2097" spans="12:26" x14ac:dyDescent="0.55000000000000004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63"/>
        <v>2406805.2714285715</v>
      </c>
    </row>
    <row r="2098" spans="12:26" x14ac:dyDescent="0.55000000000000004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63"/>
        <v>2406805.2714285715</v>
      </c>
    </row>
    <row r="2099" spans="12:26" x14ac:dyDescent="0.55000000000000004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63"/>
        <v>2406805.2714285715</v>
      </c>
    </row>
    <row r="2100" spans="12:26" x14ac:dyDescent="0.55000000000000004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63"/>
        <v>2406805.2714285715</v>
      </c>
    </row>
    <row r="2101" spans="12:26" x14ac:dyDescent="0.55000000000000004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63"/>
        <v>2406805.2714285715</v>
      </c>
    </row>
    <row r="2102" spans="12:26" x14ac:dyDescent="0.55000000000000004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63"/>
        <v>2406805.2714285715</v>
      </c>
    </row>
    <row r="2103" spans="12:26" x14ac:dyDescent="0.55000000000000004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63"/>
        <v>2406805.2714285715</v>
      </c>
    </row>
    <row r="2104" spans="12:26" x14ac:dyDescent="0.55000000000000004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63"/>
        <v>2406805.2714285715</v>
      </c>
    </row>
    <row r="2105" spans="12:26" x14ac:dyDescent="0.55000000000000004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63"/>
        <v>2406805.2714285715</v>
      </c>
    </row>
    <row r="2106" spans="12:26" x14ac:dyDescent="0.55000000000000004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63"/>
        <v>2406805.2714285715</v>
      </c>
    </row>
    <row r="2107" spans="12:26" x14ac:dyDescent="0.55000000000000004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63"/>
        <v>2406805.2714285715</v>
      </c>
    </row>
    <row r="2108" spans="12:26" x14ac:dyDescent="0.55000000000000004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63"/>
        <v>2406805.2714285715</v>
      </c>
    </row>
    <row r="2109" spans="12:26" x14ac:dyDescent="0.55000000000000004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63"/>
        <v>2406805.2714285715</v>
      </c>
    </row>
    <row r="2110" spans="12:26" x14ac:dyDescent="0.55000000000000004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63"/>
        <v>2406805.2714285715</v>
      </c>
    </row>
    <row r="2111" spans="12:26" x14ac:dyDescent="0.55000000000000004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63"/>
        <v>2406805.2714285715</v>
      </c>
    </row>
    <row r="2112" spans="12:26" x14ac:dyDescent="0.55000000000000004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63"/>
        <v>2406805.2714285715</v>
      </c>
    </row>
    <row r="2113" spans="12:26" x14ac:dyDescent="0.55000000000000004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63"/>
        <v>2406805.2714285715</v>
      </c>
    </row>
    <row r="2114" spans="12:26" x14ac:dyDescent="0.55000000000000004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63"/>
        <v>2406805.2714285715</v>
      </c>
    </row>
    <row r="2115" spans="12:26" x14ac:dyDescent="0.55000000000000004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63"/>
        <v>2406805.2714285715</v>
      </c>
    </row>
    <row r="2116" spans="12:26" x14ac:dyDescent="0.55000000000000004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63"/>
        <v>2406805.2714285715</v>
      </c>
    </row>
    <row r="2117" spans="12:26" x14ac:dyDescent="0.55000000000000004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63"/>
        <v>2406805.2714285715</v>
      </c>
    </row>
    <row r="2118" spans="12:26" x14ac:dyDescent="0.55000000000000004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63"/>
        <v>2406805.2714285715</v>
      </c>
    </row>
    <row r="2119" spans="12:26" x14ac:dyDescent="0.55000000000000004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64">Y2119/X2119</f>
        <v>2406805.2714285715</v>
      </c>
    </row>
    <row r="2120" spans="12:26" x14ac:dyDescent="0.55000000000000004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64"/>
        <v>2406805.2714285715</v>
      </c>
    </row>
    <row r="2121" spans="12:26" x14ac:dyDescent="0.55000000000000004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64"/>
        <v>2406805.2714285715</v>
      </c>
    </row>
    <row r="2122" spans="12:26" x14ac:dyDescent="0.55000000000000004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64"/>
        <v>2406805.2714285715</v>
      </c>
    </row>
    <row r="2123" spans="12:26" x14ac:dyDescent="0.55000000000000004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64"/>
        <v>2406805.2714285715</v>
      </c>
    </row>
    <row r="2124" spans="12:26" x14ac:dyDescent="0.55000000000000004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64"/>
        <v>2406805.2714285715</v>
      </c>
    </row>
    <row r="2125" spans="12:26" x14ac:dyDescent="0.55000000000000004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64"/>
        <v>2406805.2714285715</v>
      </c>
    </row>
    <row r="2126" spans="12:26" x14ac:dyDescent="0.55000000000000004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64"/>
        <v>2406805.2714285715</v>
      </c>
    </row>
    <row r="2127" spans="12:26" x14ac:dyDescent="0.55000000000000004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64"/>
        <v>2406805.2714285715</v>
      </c>
    </row>
    <row r="2128" spans="12:26" x14ac:dyDescent="0.55000000000000004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64"/>
        <v>2406805.2714285715</v>
      </c>
    </row>
    <row r="2129" spans="12:26" x14ac:dyDescent="0.55000000000000004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64"/>
        <v>2406805.2714285715</v>
      </c>
    </row>
    <row r="2130" spans="12:26" x14ac:dyDescent="0.55000000000000004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64"/>
        <v>2406805.2714285715</v>
      </c>
    </row>
    <row r="2131" spans="12:26" x14ac:dyDescent="0.55000000000000004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64"/>
        <v>2406805.2714285715</v>
      </c>
    </row>
    <row r="2132" spans="12:26" x14ac:dyDescent="0.55000000000000004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64"/>
        <v>2406805.2714285715</v>
      </c>
    </row>
    <row r="2133" spans="12:26" x14ac:dyDescent="0.55000000000000004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64"/>
        <v>2406805.2714285715</v>
      </c>
    </row>
    <row r="2134" spans="12:26" x14ac:dyDescent="0.55000000000000004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64"/>
        <v>2406805.2714285715</v>
      </c>
    </row>
    <row r="2135" spans="12:26" x14ac:dyDescent="0.55000000000000004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64"/>
        <v>2406805.2714285715</v>
      </c>
    </row>
    <row r="2136" spans="12:26" x14ac:dyDescent="0.55000000000000004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64"/>
        <v>2406805.2714285715</v>
      </c>
    </row>
    <row r="2137" spans="12:26" x14ac:dyDescent="0.55000000000000004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64"/>
        <v>2406805.2714285715</v>
      </c>
    </row>
    <row r="2138" spans="12:26" x14ac:dyDescent="0.55000000000000004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64"/>
        <v>2406805.2714285715</v>
      </c>
    </row>
    <row r="2139" spans="12:26" x14ac:dyDescent="0.55000000000000004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64"/>
        <v>2406805.2714285715</v>
      </c>
    </row>
    <row r="2140" spans="12:26" x14ac:dyDescent="0.55000000000000004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64"/>
        <v>2406805.2714285715</v>
      </c>
    </row>
    <row r="2141" spans="12:26" x14ac:dyDescent="0.55000000000000004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64"/>
        <v>2406805.2714285715</v>
      </c>
    </row>
    <row r="2142" spans="12:26" x14ac:dyDescent="0.55000000000000004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64"/>
        <v>2406805.2714285715</v>
      </c>
    </row>
    <row r="2143" spans="12:26" x14ac:dyDescent="0.55000000000000004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64"/>
        <v>2406805.2714285715</v>
      </c>
    </row>
    <row r="2144" spans="12:26" x14ac:dyDescent="0.55000000000000004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64"/>
        <v>2406805.2714285715</v>
      </c>
    </row>
    <row r="2145" spans="12:26" x14ac:dyDescent="0.55000000000000004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64"/>
        <v>2406805.2714285715</v>
      </c>
    </row>
    <row r="2146" spans="12:26" x14ac:dyDescent="0.55000000000000004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64"/>
        <v>2406805.2714285715</v>
      </c>
    </row>
    <row r="2147" spans="12:26" x14ac:dyDescent="0.55000000000000004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64"/>
        <v>2406805.2714285715</v>
      </c>
    </row>
    <row r="2148" spans="12:26" x14ac:dyDescent="0.55000000000000004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64"/>
        <v>2406805.2714285715</v>
      </c>
    </row>
    <row r="2149" spans="12:26" x14ac:dyDescent="0.55000000000000004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64"/>
        <v>2406805.2714285715</v>
      </c>
    </row>
    <row r="2150" spans="12:26" x14ac:dyDescent="0.55000000000000004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64"/>
        <v>2406805.2714285715</v>
      </c>
    </row>
    <row r="2151" spans="12:26" x14ac:dyDescent="0.55000000000000004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64"/>
        <v>2406805.2714285715</v>
      </c>
    </row>
    <row r="2152" spans="12:26" x14ac:dyDescent="0.55000000000000004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64"/>
        <v>2406805.2714285715</v>
      </c>
    </row>
    <row r="2153" spans="12:26" x14ac:dyDescent="0.55000000000000004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64"/>
        <v>2406805.2714285715</v>
      </c>
    </row>
    <row r="2154" spans="12:26" x14ac:dyDescent="0.55000000000000004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64"/>
        <v>2406805.2714285715</v>
      </c>
    </row>
    <row r="2155" spans="12:26" x14ac:dyDescent="0.55000000000000004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64"/>
        <v>2406805.2714285715</v>
      </c>
    </row>
    <row r="2156" spans="12:26" x14ac:dyDescent="0.55000000000000004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64"/>
        <v>2406805.2714285715</v>
      </c>
    </row>
    <row r="2157" spans="12:26" x14ac:dyDescent="0.55000000000000004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64"/>
        <v>2406805.2714285715</v>
      </c>
    </row>
    <row r="2158" spans="12:26" x14ac:dyDescent="0.55000000000000004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64"/>
        <v>2406805.2714285715</v>
      </c>
    </row>
    <row r="2159" spans="12:26" x14ac:dyDescent="0.55000000000000004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64"/>
        <v>2406805.2693877551</v>
      </c>
    </row>
    <row r="2160" spans="12:26" x14ac:dyDescent="0.55000000000000004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64"/>
        <v>2406805.2693877551</v>
      </c>
    </row>
    <row r="2161" spans="12:26" x14ac:dyDescent="0.55000000000000004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64"/>
        <v>2406805.2693877551</v>
      </c>
    </row>
    <row r="2162" spans="12:26" x14ac:dyDescent="0.55000000000000004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64"/>
        <v>2406805.2693877551</v>
      </c>
    </row>
    <row r="2163" spans="12:26" x14ac:dyDescent="0.55000000000000004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64"/>
        <v>2406805.2693877551</v>
      </c>
    </row>
    <row r="2164" spans="12:26" x14ac:dyDescent="0.55000000000000004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64"/>
        <v>2406805.2693877551</v>
      </c>
    </row>
    <row r="2165" spans="12:26" x14ac:dyDescent="0.55000000000000004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64"/>
        <v>2406805.2693877551</v>
      </c>
    </row>
    <row r="2166" spans="12:26" x14ac:dyDescent="0.55000000000000004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64"/>
        <v>2406805.2673469391</v>
      </c>
    </row>
    <row r="2167" spans="12:26" x14ac:dyDescent="0.55000000000000004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64"/>
        <v>2406805.2673469391</v>
      </c>
    </row>
    <row r="2168" spans="12:26" x14ac:dyDescent="0.55000000000000004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64"/>
        <v>2406805.2673469391</v>
      </c>
    </row>
    <row r="2169" spans="12:26" x14ac:dyDescent="0.55000000000000004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64"/>
        <v>2406805.2673469391</v>
      </c>
    </row>
    <row r="2170" spans="12:26" x14ac:dyDescent="0.55000000000000004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64"/>
        <v>2406805.2653061226</v>
      </c>
    </row>
    <row r="2171" spans="12:26" x14ac:dyDescent="0.55000000000000004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64"/>
        <v>2406805.2653061226</v>
      </c>
    </row>
    <row r="2172" spans="12:26" x14ac:dyDescent="0.55000000000000004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64"/>
        <v>2406805.2653061226</v>
      </c>
    </row>
    <row r="2173" spans="12:26" x14ac:dyDescent="0.55000000000000004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64"/>
        <v>2406805.2632653061</v>
      </c>
    </row>
    <row r="2174" spans="12:26" x14ac:dyDescent="0.55000000000000004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64"/>
        <v>2406805.2632653061</v>
      </c>
    </row>
    <row r="2175" spans="12:26" x14ac:dyDescent="0.55000000000000004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64"/>
        <v>2406805.2612244897</v>
      </c>
    </row>
    <row r="2176" spans="12:26" x14ac:dyDescent="0.55000000000000004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64"/>
        <v>2406805.2612244897</v>
      </c>
    </row>
    <row r="2177" spans="12:26" x14ac:dyDescent="0.55000000000000004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64"/>
        <v>2406805.2591836737</v>
      </c>
    </row>
    <row r="2178" spans="12:26" x14ac:dyDescent="0.55000000000000004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64"/>
        <v>2406805.2591836737</v>
      </c>
    </row>
    <row r="2179" spans="12:26" x14ac:dyDescent="0.55000000000000004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64"/>
        <v>2406805.2571428572</v>
      </c>
    </row>
    <row r="2180" spans="12:26" x14ac:dyDescent="0.55000000000000004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64"/>
        <v>2406805.2551020412</v>
      </c>
    </row>
    <row r="2181" spans="12:26" x14ac:dyDescent="0.55000000000000004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64"/>
        <v>2406805.2530612247</v>
      </c>
    </row>
    <row r="2182" spans="12:26" x14ac:dyDescent="0.55000000000000004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64"/>
        <v>2406805.2510204082</v>
      </c>
    </row>
    <row r="2183" spans="12:26" x14ac:dyDescent="0.55000000000000004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5">Y2183/X2183</f>
        <v>2406805.2489795918</v>
      </c>
    </row>
    <row r="2184" spans="12:26" x14ac:dyDescent="0.55000000000000004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5"/>
        <v>2406805.2469387758</v>
      </c>
    </row>
    <row r="2185" spans="12:26" x14ac:dyDescent="0.55000000000000004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5"/>
        <v>2406805.2448979593</v>
      </c>
    </row>
    <row r="2186" spans="12:26" x14ac:dyDescent="0.55000000000000004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5"/>
        <v>2406805.2408163268</v>
      </c>
    </row>
    <row r="2187" spans="12:26" x14ac:dyDescent="0.55000000000000004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5"/>
        <v>2406805.2387755103</v>
      </c>
    </row>
    <row r="2188" spans="12:26" x14ac:dyDescent="0.55000000000000004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5"/>
        <v>2406805.2346938779</v>
      </c>
    </row>
    <row r="2189" spans="12:26" x14ac:dyDescent="0.55000000000000004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5"/>
        <v>2406805.2306122449</v>
      </c>
    </row>
    <row r="2190" spans="12:26" x14ac:dyDescent="0.55000000000000004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5"/>
        <v>2406805.226530612</v>
      </c>
    </row>
    <row r="2191" spans="12:26" x14ac:dyDescent="0.55000000000000004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5"/>
        <v>2406805.2224489795</v>
      </c>
    </row>
    <row r="2192" spans="12:26" x14ac:dyDescent="0.55000000000000004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5"/>
        <v>2406805.2163265306</v>
      </c>
    </row>
    <row r="2193" spans="12:26" x14ac:dyDescent="0.55000000000000004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5"/>
        <v>2406805.2122448981</v>
      </c>
    </row>
    <row r="2194" spans="12:26" x14ac:dyDescent="0.55000000000000004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5"/>
        <v>2406805.2040816327</v>
      </c>
    </row>
    <row r="2195" spans="12:26" x14ac:dyDescent="0.55000000000000004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5"/>
        <v>2406805.1979591837</v>
      </c>
    </row>
    <row r="2196" spans="12:26" x14ac:dyDescent="0.55000000000000004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5"/>
        <v>2406805.1897959183</v>
      </c>
    </row>
    <row r="2197" spans="12:26" x14ac:dyDescent="0.55000000000000004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5"/>
        <v>2406805.1816326529</v>
      </c>
    </row>
    <row r="2198" spans="12:26" x14ac:dyDescent="0.55000000000000004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5"/>
        <v>2406805.1734693879</v>
      </c>
    </row>
    <row r="2199" spans="12:26" x14ac:dyDescent="0.55000000000000004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5"/>
        <v>2406805.1632653065</v>
      </c>
    </row>
    <row r="2200" spans="12:26" x14ac:dyDescent="0.55000000000000004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5"/>
        <v>2406805.1530612246</v>
      </c>
    </row>
    <row r="2201" spans="12:26" x14ac:dyDescent="0.55000000000000004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5"/>
        <v>2406805.1408163267</v>
      </c>
    </row>
    <row r="2202" spans="12:26" x14ac:dyDescent="0.55000000000000004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5"/>
        <v>2406805.1285714288</v>
      </c>
    </row>
    <row r="2203" spans="12:26" x14ac:dyDescent="0.55000000000000004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5"/>
        <v>2406805.114285714</v>
      </c>
    </row>
    <row r="2204" spans="12:26" x14ac:dyDescent="0.55000000000000004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5"/>
        <v>2406805.0979591836</v>
      </c>
    </row>
    <row r="2205" spans="12:26" x14ac:dyDescent="0.55000000000000004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5"/>
        <v>2406805.0816326533</v>
      </c>
    </row>
    <row r="2206" spans="12:26" x14ac:dyDescent="0.55000000000000004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5"/>
        <v>2406805.0632653064</v>
      </c>
    </row>
    <row r="2207" spans="12:26" x14ac:dyDescent="0.55000000000000004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5"/>
        <v>2406805.0408163266</v>
      </c>
    </row>
    <row r="2208" spans="12:26" x14ac:dyDescent="0.55000000000000004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5"/>
        <v>2406805.0183673468</v>
      </c>
    </row>
    <row r="2209" spans="12:26" x14ac:dyDescent="0.55000000000000004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5"/>
        <v>2406804.9938775511</v>
      </c>
    </row>
    <row r="2210" spans="12:26" x14ac:dyDescent="0.55000000000000004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5"/>
        <v>2406804.9673469393</v>
      </c>
    </row>
    <row r="2211" spans="12:26" x14ac:dyDescent="0.55000000000000004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5"/>
        <v>2406804.9387755101</v>
      </c>
    </row>
    <row r="2212" spans="12:26" x14ac:dyDescent="0.55000000000000004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5"/>
        <v>2406804.9061224489</v>
      </c>
    </row>
    <row r="2213" spans="12:26" x14ac:dyDescent="0.55000000000000004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5"/>
        <v>2406804.8714285716</v>
      </c>
    </row>
    <row r="2214" spans="12:26" x14ac:dyDescent="0.55000000000000004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5"/>
        <v>2406804.8326530615</v>
      </c>
    </row>
    <row r="2215" spans="12:26" x14ac:dyDescent="0.55000000000000004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5"/>
        <v>2406804.7918367349</v>
      </c>
    </row>
    <row r="2216" spans="12:26" x14ac:dyDescent="0.55000000000000004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5"/>
        <v>2406804.7469387753</v>
      </c>
    </row>
    <row r="2217" spans="12:26" x14ac:dyDescent="0.55000000000000004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5"/>
        <v>2406804.6959183677</v>
      </c>
    </row>
    <row r="2218" spans="12:26" x14ac:dyDescent="0.55000000000000004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5"/>
        <v>2406804.6428571427</v>
      </c>
    </row>
    <row r="2219" spans="12:26" x14ac:dyDescent="0.55000000000000004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5"/>
        <v>2406804.5836734693</v>
      </c>
    </row>
    <row r="2220" spans="12:26" x14ac:dyDescent="0.55000000000000004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5"/>
        <v>2406804.5183673468</v>
      </c>
    </row>
    <row r="2221" spans="12:26" x14ac:dyDescent="0.55000000000000004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5"/>
        <v>2406804.448979592</v>
      </c>
    </row>
    <row r="2222" spans="12:26" x14ac:dyDescent="0.55000000000000004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5"/>
        <v>2406804.3734693881</v>
      </c>
    </row>
    <row r="2223" spans="12:26" x14ac:dyDescent="0.55000000000000004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5"/>
        <v>2406804.2897959184</v>
      </c>
    </row>
    <row r="2224" spans="12:26" x14ac:dyDescent="0.55000000000000004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5"/>
        <v>2406804.1979591837</v>
      </c>
    </row>
    <row r="2225" spans="12:26" x14ac:dyDescent="0.55000000000000004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5"/>
        <v>2406804.1</v>
      </c>
    </row>
    <row r="2226" spans="12:26" x14ac:dyDescent="0.55000000000000004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5"/>
        <v>2406803.9938775511</v>
      </c>
    </row>
    <row r="2227" spans="12:26" x14ac:dyDescent="0.55000000000000004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5"/>
        <v>2406803.8755102041</v>
      </c>
    </row>
    <row r="2228" spans="12:26" x14ac:dyDescent="0.55000000000000004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5"/>
        <v>2406803.7489795918</v>
      </c>
    </row>
    <row r="2229" spans="12:26" x14ac:dyDescent="0.55000000000000004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5"/>
        <v>2406803.612244898</v>
      </c>
    </row>
    <row r="2230" spans="12:26" x14ac:dyDescent="0.55000000000000004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5"/>
        <v>2406803.4612244898</v>
      </c>
    </row>
    <row r="2231" spans="12:26" x14ac:dyDescent="0.55000000000000004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5"/>
        <v>2406803.2979591833</v>
      </c>
    </row>
    <row r="2232" spans="12:26" x14ac:dyDescent="0.55000000000000004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5"/>
        <v>2406803.1224489799</v>
      </c>
    </row>
    <row r="2233" spans="12:26" x14ac:dyDescent="0.55000000000000004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5"/>
        <v>2406802.9285714286</v>
      </c>
    </row>
    <row r="2234" spans="12:26" x14ac:dyDescent="0.55000000000000004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5"/>
        <v>2406802.7204081635</v>
      </c>
    </row>
    <row r="2235" spans="12:26" x14ac:dyDescent="0.55000000000000004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5"/>
        <v>2406802.4938775511</v>
      </c>
    </row>
    <row r="2236" spans="12:26" x14ac:dyDescent="0.55000000000000004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5"/>
        <v>2406802.2489795922</v>
      </c>
    </row>
    <row r="2237" spans="12:26" x14ac:dyDescent="0.55000000000000004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5"/>
        <v>2406801.9836734692</v>
      </c>
    </row>
    <row r="2238" spans="12:26" x14ac:dyDescent="0.55000000000000004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5"/>
        <v>2406801.6938775512</v>
      </c>
    </row>
    <row r="2239" spans="12:26" x14ac:dyDescent="0.55000000000000004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5"/>
        <v>2406801.3816326535</v>
      </c>
    </row>
    <row r="2240" spans="12:26" x14ac:dyDescent="0.55000000000000004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5"/>
        <v>2406801.0428571431</v>
      </c>
    </row>
    <row r="2241" spans="12:26" x14ac:dyDescent="0.55000000000000004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5"/>
        <v>2406800.6755102044</v>
      </c>
    </row>
    <row r="2242" spans="12:26" x14ac:dyDescent="0.55000000000000004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5"/>
        <v>2406800.2775510205</v>
      </c>
    </row>
    <row r="2243" spans="12:26" x14ac:dyDescent="0.55000000000000004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5"/>
        <v>2406799.8489795919</v>
      </c>
    </row>
    <row r="2244" spans="12:26" x14ac:dyDescent="0.55000000000000004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5"/>
        <v>2406799.3816326531</v>
      </c>
    </row>
    <row r="2245" spans="12:26" x14ac:dyDescent="0.55000000000000004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5"/>
        <v>2406798.8795918371</v>
      </c>
    </row>
    <row r="2246" spans="12:26" x14ac:dyDescent="0.55000000000000004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5"/>
        <v>2406798.3346938775</v>
      </c>
    </row>
    <row r="2247" spans="12:26" x14ac:dyDescent="0.55000000000000004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6">Y2247/X2247</f>
        <v>2406797.7448979593</v>
      </c>
    </row>
    <row r="2248" spans="12:26" x14ac:dyDescent="0.55000000000000004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6"/>
        <v>2406797.108163265</v>
      </c>
    </row>
    <row r="2249" spans="12:26" x14ac:dyDescent="0.55000000000000004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6"/>
        <v>2406796.4204081632</v>
      </c>
    </row>
    <row r="2250" spans="12:26" x14ac:dyDescent="0.55000000000000004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6"/>
        <v>2406795.6775510204</v>
      </c>
    </row>
    <row r="2251" spans="12:26" x14ac:dyDescent="0.55000000000000004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6"/>
        <v>2406794.8734693881</v>
      </c>
    </row>
    <row r="2252" spans="12:26" x14ac:dyDescent="0.55000000000000004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6"/>
        <v>2406794.0081632654</v>
      </c>
    </row>
    <row r="2253" spans="12:26" x14ac:dyDescent="0.55000000000000004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6"/>
        <v>2406793.0734693878</v>
      </c>
    </row>
    <row r="2254" spans="12:26" x14ac:dyDescent="0.55000000000000004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6"/>
        <v>2406792.0632653064</v>
      </c>
    </row>
    <row r="2255" spans="12:26" x14ac:dyDescent="0.55000000000000004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6"/>
        <v>2406790.9755102037</v>
      </c>
    </row>
    <row r="2256" spans="12:26" x14ac:dyDescent="0.55000000000000004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6"/>
        <v>2406789.8020408168</v>
      </c>
    </row>
    <row r="2257" spans="12:26" x14ac:dyDescent="0.55000000000000004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6"/>
        <v>2406788.5367346941</v>
      </c>
    </row>
    <row r="2258" spans="12:26" x14ac:dyDescent="0.55000000000000004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6"/>
        <v>2406787.1755102044</v>
      </c>
    </row>
    <row r="2259" spans="12:26" x14ac:dyDescent="0.55000000000000004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6"/>
        <v>2406785.7061224491</v>
      </c>
    </row>
    <row r="2260" spans="12:26" x14ac:dyDescent="0.55000000000000004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6"/>
        <v>2406784.1244897963</v>
      </c>
    </row>
    <row r="2261" spans="12:26" x14ac:dyDescent="0.55000000000000004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6"/>
        <v>2406782.4224489797</v>
      </c>
    </row>
    <row r="2262" spans="12:26" x14ac:dyDescent="0.55000000000000004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6"/>
        <v>2406780.5897959182</v>
      </c>
    </row>
    <row r="2263" spans="12:26" x14ac:dyDescent="0.55000000000000004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6"/>
        <v>2406778.6183673469</v>
      </c>
    </row>
    <row r="2264" spans="12:26" x14ac:dyDescent="0.55000000000000004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6"/>
        <v>2406776.497959184</v>
      </c>
    </row>
    <row r="2265" spans="12:26" x14ac:dyDescent="0.55000000000000004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6"/>
        <v>2406774.2163265306</v>
      </c>
    </row>
    <row r="2266" spans="12:26" x14ac:dyDescent="0.55000000000000004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6"/>
        <v>2406771.7653061221</v>
      </c>
    </row>
    <row r="2267" spans="12:26" x14ac:dyDescent="0.55000000000000004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6"/>
        <v>2406769.1285714288</v>
      </c>
    </row>
    <row r="2268" spans="12:26" x14ac:dyDescent="0.55000000000000004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6"/>
        <v>2406766.2979591838</v>
      </c>
    </row>
    <row r="2269" spans="12:26" x14ac:dyDescent="0.55000000000000004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6"/>
        <v>2406763.2571428572</v>
      </c>
    </row>
    <row r="2270" spans="12:26" x14ac:dyDescent="0.55000000000000004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6"/>
        <v>2406759.9938775511</v>
      </c>
    </row>
    <row r="2271" spans="12:26" x14ac:dyDescent="0.55000000000000004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6"/>
        <v>2406756.4877551021</v>
      </c>
    </row>
    <row r="2272" spans="12:26" x14ac:dyDescent="0.55000000000000004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6"/>
        <v>2406752.7285714289</v>
      </c>
    </row>
    <row r="2273" spans="12:26" x14ac:dyDescent="0.55000000000000004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6"/>
        <v>2406748.6938775508</v>
      </c>
    </row>
    <row r="2274" spans="12:26" x14ac:dyDescent="0.55000000000000004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6"/>
        <v>2406744.3673469387</v>
      </c>
    </row>
    <row r="2275" spans="12:26" x14ac:dyDescent="0.55000000000000004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6"/>
        <v>2406739.7285714285</v>
      </c>
    </row>
    <row r="2276" spans="12:26" x14ac:dyDescent="0.55000000000000004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6"/>
        <v>2406734.7591836737</v>
      </c>
    </row>
    <row r="2277" spans="12:26" x14ac:dyDescent="0.55000000000000004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6"/>
        <v>2406729.4326530616</v>
      </c>
    </row>
    <row r="2278" spans="12:26" x14ac:dyDescent="0.55000000000000004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6"/>
        <v>2406723.7265306124</v>
      </c>
    </row>
    <row r="2279" spans="12:26" x14ac:dyDescent="0.55000000000000004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6"/>
        <v>2406717.6183673469</v>
      </c>
    </row>
    <row r="2280" spans="12:26" x14ac:dyDescent="0.55000000000000004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6"/>
        <v>2406711.0775510208</v>
      </c>
    </row>
    <row r="2281" spans="12:26" x14ac:dyDescent="0.55000000000000004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6"/>
        <v>2406704.0795918368</v>
      </c>
    </row>
    <row r="2282" spans="12:26" x14ac:dyDescent="0.55000000000000004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6"/>
        <v>2406696.5918367347</v>
      </c>
    </row>
    <row r="2283" spans="12:26" x14ac:dyDescent="0.55000000000000004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6"/>
        <v>2406688.5836734693</v>
      </c>
    </row>
    <row r="2284" spans="12:26" x14ac:dyDescent="0.55000000000000004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6"/>
        <v>2406680.0224489798</v>
      </c>
    </row>
    <row r="2285" spans="12:26" x14ac:dyDescent="0.55000000000000004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6"/>
        <v>2406670.8693877552</v>
      </c>
    </row>
    <row r="2286" spans="12:26" x14ac:dyDescent="0.55000000000000004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6"/>
        <v>2406661.0897959187</v>
      </c>
    </row>
    <row r="2287" spans="12:26" x14ac:dyDescent="0.55000000000000004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6"/>
        <v>2406650.6448979592</v>
      </c>
    </row>
    <row r="2288" spans="12:26" x14ac:dyDescent="0.55000000000000004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6"/>
        <v>2406639.4897959186</v>
      </c>
    </row>
    <row r="2289" spans="12:26" x14ac:dyDescent="0.55000000000000004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6"/>
        <v>2406627.5795918368</v>
      </c>
    </row>
    <row r="2290" spans="12:26" x14ac:dyDescent="0.55000000000000004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6"/>
        <v>2406614.8693877552</v>
      </c>
    </row>
    <row r="2291" spans="12:26" x14ac:dyDescent="0.55000000000000004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6"/>
        <v>2406601.3081632652</v>
      </c>
    </row>
    <row r="2292" spans="12:26" x14ac:dyDescent="0.55000000000000004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6"/>
        <v>2406586.8428571429</v>
      </c>
    </row>
    <row r="2293" spans="12:26" x14ac:dyDescent="0.55000000000000004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6"/>
        <v>2406571.4183673467</v>
      </c>
    </row>
    <row r="2294" spans="12:26" x14ac:dyDescent="0.55000000000000004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6"/>
        <v>2406554.9775510207</v>
      </c>
    </row>
    <row r="2295" spans="12:26" x14ac:dyDescent="0.55000000000000004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6"/>
        <v>2406537.4571428574</v>
      </c>
    </row>
    <row r="2296" spans="12:26" x14ac:dyDescent="0.55000000000000004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6"/>
        <v>2406518.7918367344</v>
      </c>
    </row>
    <row r="2297" spans="12:26" x14ac:dyDescent="0.55000000000000004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6"/>
        <v>2406498.9142857143</v>
      </c>
    </row>
    <row r="2298" spans="12:26" x14ac:dyDescent="0.55000000000000004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6"/>
        <v>2406477.7489795922</v>
      </c>
    </row>
    <row r="2299" spans="12:26" x14ac:dyDescent="0.55000000000000004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6"/>
        <v>2406455.2224489795</v>
      </c>
    </row>
    <row r="2300" spans="12:26" x14ac:dyDescent="0.55000000000000004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6"/>
        <v>2406431.2551020412</v>
      </c>
    </row>
    <row r="2301" spans="12:26" x14ac:dyDescent="0.55000000000000004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6"/>
        <v>2406405.7571428572</v>
      </c>
    </row>
    <row r="2302" spans="12:26" x14ac:dyDescent="0.55000000000000004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6"/>
        <v>2406378.6448979592</v>
      </c>
    </row>
    <row r="2303" spans="12:26" x14ac:dyDescent="0.55000000000000004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6"/>
        <v>2406349.8224489801</v>
      </c>
    </row>
    <row r="2304" spans="12:26" x14ac:dyDescent="0.55000000000000004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6"/>
        <v>2406319.1897959183</v>
      </c>
    </row>
    <row r="2305" spans="12:26" x14ac:dyDescent="0.55000000000000004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6"/>
        <v>2406286.6448979592</v>
      </c>
    </row>
    <row r="2306" spans="12:26" x14ac:dyDescent="0.55000000000000004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6"/>
        <v>2406252.0795918368</v>
      </c>
    </row>
    <row r="2307" spans="12:26" x14ac:dyDescent="0.55000000000000004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6"/>
        <v>2406215.3775510206</v>
      </c>
    </row>
    <row r="2308" spans="12:26" x14ac:dyDescent="0.55000000000000004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6"/>
        <v>2406176.4204081637</v>
      </c>
    </row>
    <row r="2309" spans="12:26" x14ac:dyDescent="0.55000000000000004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6"/>
        <v>2406135.0795918368</v>
      </c>
    </row>
    <row r="2310" spans="12:26" x14ac:dyDescent="0.55000000000000004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6"/>
        <v>2406091.22244898</v>
      </c>
    </row>
    <row r="2311" spans="12:26" x14ac:dyDescent="0.55000000000000004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7">Y2311/X2311</f>
        <v>2406044.7142857146</v>
      </c>
    </row>
    <row r="2312" spans="12:26" x14ac:dyDescent="0.55000000000000004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7"/>
        <v>2405995.4040816328</v>
      </c>
    </row>
    <row r="2313" spans="12:26" x14ac:dyDescent="0.55000000000000004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7"/>
        <v>2405943.1428571427</v>
      </c>
    </row>
    <row r="2314" spans="12:26" x14ac:dyDescent="0.55000000000000004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7"/>
        <v>2405887.7693877555</v>
      </c>
    </row>
    <row r="2315" spans="12:26" x14ac:dyDescent="0.55000000000000004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7"/>
        <v>2405829.1142857145</v>
      </c>
    </row>
    <row r="2316" spans="12:26" x14ac:dyDescent="0.55000000000000004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7"/>
        <v>2405767.0061224494</v>
      </c>
    </row>
    <row r="2317" spans="12:26" x14ac:dyDescent="0.55000000000000004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7"/>
        <v>2405701.2571428572</v>
      </c>
    </row>
    <row r="2318" spans="12:26" x14ac:dyDescent="0.55000000000000004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7"/>
        <v>2405631.6755102039</v>
      </c>
    </row>
    <row r="2319" spans="12:26" x14ac:dyDescent="0.55000000000000004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7"/>
        <v>2405558.0632653064</v>
      </c>
    </row>
    <row r="2320" spans="12:26" x14ac:dyDescent="0.55000000000000004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7"/>
        <v>2405480.2081632656</v>
      </c>
    </row>
    <row r="2321" spans="12:26" x14ac:dyDescent="0.55000000000000004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7"/>
        <v>2405397.8897959185</v>
      </c>
    </row>
    <row r="2322" spans="12:26" x14ac:dyDescent="0.55000000000000004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7"/>
        <v>2405310.8795918371</v>
      </c>
    </row>
    <row r="2323" spans="12:26" x14ac:dyDescent="0.55000000000000004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7"/>
        <v>2405218.9367346941</v>
      </c>
    </row>
    <row r="2324" spans="12:26" x14ac:dyDescent="0.55000000000000004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7"/>
        <v>2405121.8122448982</v>
      </c>
    </row>
    <row r="2325" spans="12:26" x14ac:dyDescent="0.55000000000000004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7"/>
        <v>2405019.2448979593</v>
      </c>
    </row>
    <row r="2326" spans="12:26" x14ac:dyDescent="0.55000000000000004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7"/>
        <v>2404910.9632653059</v>
      </c>
    </row>
    <row r="2327" spans="12:26" x14ac:dyDescent="0.55000000000000004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7"/>
        <v>2404796.6816326533</v>
      </c>
    </row>
    <row r="2328" spans="12:26" x14ac:dyDescent="0.55000000000000004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7"/>
        <v>2404676.1040816326</v>
      </c>
    </row>
    <row r="2329" spans="12:26" x14ac:dyDescent="0.55000000000000004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7"/>
        <v>2404548.9244897962</v>
      </c>
    </row>
    <row r="2330" spans="12:26" x14ac:dyDescent="0.55000000000000004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7"/>
        <v>2404414.8183673467</v>
      </c>
    </row>
    <row r="2331" spans="12:26" x14ac:dyDescent="0.55000000000000004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7"/>
        <v>2404273.4530612249</v>
      </c>
    </row>
    <row r="2332" spans="12:26" x14ac:dyDescent="0.55000000000000004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7"/>
        <v>2404124.4816326532</v>
      </c>
    </row>
    <row r="2333" spans="12:26" x14ac:dyDescent="0.55000000000000004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7"/>
        <v>2403967.5387755102</v>
      </c>
    </row>
    <row r="2334" spans="12:26" x14ac:dyDescent="0.55000000000000004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7"/>
        <v>2403802.2530612247</v>
      </c>
    </row>
    <row r="2335" spans="12:26" x14ac:dyDescent="0.55000000000000004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7"/>
        <v>2403628.2285714285</v>
      </c>
    </row>
    <row r="2336" spans="12:26" x14ac:dyDescent="0.55000000000000004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7"/>
        <v>2403445.0612244895</v>
      </c>
    </row>
    <row r="2337" spans="12:26" x14ac:dyDescent="0.55000000000000004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7"/>
        <v>2403252.3265306125</v>
      </c>
    </row>
    <row r="2338" spans="12:26" x14ac:dyDescent="0.55000000000000004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7"/>
        <v>2403049.5897959182</v>
      </c>
    </row>
    <row r="2339" spans="12:26" x14ac:dyDescent="0.55000000000000004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7"/>
        <v>2402836.393877551</v>
      </c>
    </row>
    <row r="2340" spans="12:26" x14ac:dyDescent="0.55000000000000004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7"/>
        <v>2402612.2653061226</v>
      </c>
    </row>
    <row r="2341" spans="12:26" x14ac:dyDescent="0.55000000000000004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7"/>
        <v>2402376.718367347</v>
      </c>
    </row>
    <row r="2342" spans="12:26" x14ac:dyDescent="0.55000000000000004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7"/>
        <v>2402129.2428571433</v>
      </c>
    </row>
    <row r="2343" spans="12:26" x14ac:dyDescent="0.55000000000000004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7"/>
        <v>2401869.3163265307</v>
      </c>
    </row>
    <row r="2344" spans="12:26" x14ac:dyDescent="0.55000000000000004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7"/>
        <v>2401596.3897959185</v>
      </c>
    </row>
    <row r="2345" spans="12:26" x14ac:dyDescent="0.55000000000000004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7"/>
        <v>2401309.9040816328</v>
      </c>
    </row>
    <row r="2346" spans="12:26" x14ac:dyDescent="0.55000000000000004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7"/>
        <v>2401009.275510204</v>
      </c>
    </row>
    <row r="2347" spans="12:26" x14ac:dyDescent="0.55000000000000004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7"/>
        <v>2400693.9</v>
      </c>
    </row>
    <row r="2348" spans="12:26" x14ac:dyDescent="0.55000000000000004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7"/>
        <v>2400363.1530612246</v>
      </c>
    </row>
    <row r="2349" spans="12:26" x14ac:dyDescent="0.55000000000000004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7"/>
        <v>2400016.3918367345</v>
      </c>
    </row>
    <row r="2350" spans="12:26" x14ac:dyDescent="0.55000000000000004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7"/>
        <v>2399652.948979592</v>
      </c>
    </row>
    <row r="2351" spans="12:26" x14ac:dyDescent="0.55000000000000004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7"/>
        <v>2399272.1387755102</v>
      </c>
    </row>
    <row r="2352" spans="12:26" x14ac:dyDescent="0.55000000000000004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7"/>
        <v>2398873.2530612242</v>
      </c>
    </row>
    <row r="2353" spans="12:26" x14ac:dyDescent="0.55000000000000004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7"/>
        <v>2398455.555102041</v>
      </c>
    </row>
    <row r="2354" spans="12:26" x14ac:dyDescent="0.55000000000000004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7"/>
        <v>2398018.2938775513</v>
      </c>
    </row>
    <row r="2355" spans="12:26" x14ac:dyDescent="0.55000000000000004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7"/>
        <v>2397560.6897959188</v>
      </c>
    </row>
    <row r="2356" spans="12:26" x14ac:dyDescent="0.55000000000000004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7"/>
        <v>2397081.9408163265</v>
      </c>
    </row>
    <row r="2357" spans="12:26" x14ac:dyDescent="0.55000000000000004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7"/>
        <v>2396581.2204081635</v>
      </c>
    </row>
    <row r="2358" spans="12:26" x14ac:dyDescent="0.55000000000000004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7"/>
        <v>2396057.6795918364</v>
      </c>
    </row>
    <row r="2359" spans="12:26" x14ac:dyDescent="0.55000000000000004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7"/>
        <v>2395510.4408163265</v>
      </c>
    </row>
    <row r="2360" spans="12:26" x14ac:dyDescent="0.55000000000000004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7"/>
        <v>2394938.6081632655</v>
      </c>
    </row>
    <row r="2361" spans="12:26" x14ac:dyDescent="0.55000000000000004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7"/>
        <v>2394341.2551020407</v>
      </c>
    </row>
    <row r="2362" spans="12:26" x14ac:dyDescent="0.55000000000000004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7"/>
        <v>2393717.4285714286</v>
      </c>
    </row>
    <row r="2363" spans="12:26" x14ac:dyDescent="0.55000000000000004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7"/>
        <v>2393066.1530612246</v>
      </c>
    </row>
    <row r="2364" spans="12:26" x14ac:dyDescent="0.55000000000000004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7"/>
        <v>2392386.4285714286</v>
      </c>
    </row>
    <row r="2365" spans="12:26" x14ac:dyDescent="0.55000000000000004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7"/>
        <v>2391677.22244898</v>
      </c>
    </row>
    <row r="2366" spans="12:26" x14ac:dyDescent="0.55000000000000004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7"/>
        <v>2390937.4816326532</v>
      </c>
    </row>
    <row r="2367" spans="12:26" x14ac:dyDescent="0.55000000000000004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7"/>
        <v>2390166.1244897959</v>
      </c>
    </row>
    <row r="2368" spans="12:26" x14ac:dyDescent="0.55000000000000004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7"/>
        <v>2389362.0408163266</v>
      </c>
    </row>
    <row r="2369" spans="12:26" x14ac:dyDescent="0.55000000000000004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7"/>
        <v>2388524.0938775511</v>
      </c>
    </row>
    <row r="2370" spans="12:26" x14ac:dyDescent="0.55000000000000004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7"/>
        <v>2387651.1244897959</v>
      </c>
    </row>
    <row r="2371" spans="12:26" x14ac:dyDescent="0.55000000000000004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7"/>
        <v>2386741.9428571425</v>
      </c>
    </row>
    <row r="2372" spans="12:26" x14ac:dyDescent="0.55000000000000004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7"/>
        <v>2385795.3285714285</v>
      </c>
    </row>
    <row r="2373" spans="12:26" x14ac:dyDescent="0.55000000000000004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7"/>
        <v>2384810.0408163266</v>
      </c>
    </row>
    <row r="2374" spans="12:26" x14ac:dyDescent="0.55000000000000004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7"/>
        <v>2383784.8081632657</v>
      </c>
    </row>
    <row r="2375" spans="12:26" x14ac:dyDescent="0.55000000000000004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8">Y2375/X2375</f>
        <v>2382718.3346938775</v>
      </c>
    </row>
    <row r="2376" spans="12:26" x14ac:dyDescent="0.55000000000000004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8"/>
        <v>2381609.2938775513</v>
      </c>
    </row>
    <row r="2377" spans="12:26" x14ac:dyDescent="0.55000000000000004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8"/>
        <v>2380456.334693878</v>
      </c>
    </row>
    <row r="2378" spans="12:26" x14ac:dyDescent="0.55000000000000004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8"/>
        <v>2379258.0816326533</v>
      </c>
    </row>
    <row r="2379" spans="12:26" x14ac:dyDescent="0.55000000000000004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8"/>
        <v>2378013.1285714288</v>
      </c>
    </row>
    <row r="2380" spans="12:26" x14ac:dyDescent="0.55000000000000004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8"/>
        <v>2376720.0448979596</v>
      </c>
    </row>
    <row r="2381" spans="12:26" x14ac:dyDescent="0.55000000000000004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8"/>
        <v>2375377.3775510206</v>
      </c>
    </row>
    <row r="2382" spans="12:26" x14ac:dyDescent="0.55000000000000004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8"/>
        <v>2373983.6448979592</v>
      </c>
    </row>
    <row r="2383" spans="12:26" x14ac:dyDescent="0.55000000000000004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8"/>
        <v>2372537.3408163264</v>
      </c>
    </row>
    <row r="2384" spans="12:26" x14ac:dyDescent="0.55000000000000004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8"/>
        <v>2371036.9346938776</v>
      </c>
    </row>
    <row r="2385" spans="12:26" x14ac:dyDescent="0.55000000000000004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8"/>
        <v>2369480.8714285716</v>
      </c>
    </row>
    <row r="2386" spans="12:26" x14ac:dyDescent="0.55000000000000004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8"/>
        <v>2367867.5755102043</v>
      </c>
    </row>
    <row r="2387" spans="12:26" x14ac:dyDescent="0.55000000000000004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8"/>
        <v>2366195.4448979595</v>
      </c>
    </row>
    <row r="2388" spans="12:26" x14ac:dyDescent="0.55000000000000004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8"/>
        <v>2364462.8571428573</v>
      </c>
    </row>
    <row r="2389" spans="12:26" x14ac:dyDescent="0.55000000000000004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8"/>
        <v>2362668.1653061225</v>
      </c>
    </row>
    <row r="2390" spans="12:26" x14ac:dyDescent="0.55000000000000004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8"/>
        <v>2360809.7061224491</v>
      </c>
    </row>
    <row r="2391" spans="12:26" x14ac:dyDescent="0.55000000000000004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8"/>
        <v>2358885.7959183673</v>
      </c>
    </row>
    <row r="2392" spans="12:26" x14ac:dyDescent="0.55000000000000004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8"/>
        <v>2356894.7265306124</v>
      </c>
    </row>
    <row r="2393" spans="12:26" x14ac:dyDescent="0.55000000000000004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8"/>
        <v>2354834.775510204</v>
      </c>
    </row>
    <row r="2394" spans="12:26" x14ac:dyDescent="0.55000000000000004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8"/>
        <v>2352704.2061224491</v>
      </c>
    </row>
    <row r="2395" spans="12:26" x14ac:dyDescent="0.55000000000000004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8"/>
        <v>2350501.2571428572</v>
      </c>
    </row>
    <row r="2396" spans="12:26" x14ac:dyDescent="0.55000000000000004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8"/>
        <v>2348224.1612244896</v>
      </c>
    </row>
    <row r="2397" spans="12:26" x14ac:dyDescent="0.55000000000000004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8"/>
        <v>2345871.1265306124</v>
      </c>
    </row>
    <row r="2398" spans="12:26" x14ac:dyDescent="0.55000000000000004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8"/>
        <v>2343440.3591836733</v>
      </c>
    </row>
    <row r="2399" spans="12:26" x14ac:dyDescent="0.55000000000000004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8"/>
        <v>2340930.0448979596</v>
      </c>
    </row>
    <row r="2400" spans="12:26" x14ac:dyDescent="0.55000000000000004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8"/>
        <v>2338338.3653061227</v>
      </c>
    </row>
    <row r="2401" spans="12:26" x14ac:dyDescent="0.55000000000000004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8"/>
        <v>2335663.4857142861</v>
      </c>
    </row>
    <row r="2402" spans="12:26" x14ac:dyDescent="0.55000000000000004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8"/>
        <v>2332903.5714285714</v>
      </c>
    </row>
    <row r="2403" spans="12:26" x14ac:dyDescent="0.55000000000000004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8"/>
        <v>2330056.7755102045</v>
      </c>
    </row>
    <row r="2404" spans="12:26" x14ac:dyDescent="0.55000000000000004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8"/>
        <v>2327121.2469387758</v>
      </c>
    </row>
    <row r="2405" spans="12:26" x14ac:dyDescent="0.55000000000000004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8"/>
        <v>2324095.1346938778</v>
      </c>
    </row>
    <row r="2406" spans="12:26" x14ac:dyDescent="0.55000000000000004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8"/>
        <v>2320976.5836734697</v>
      </c>
    </row>
    <row r="2407" spans="12:26" x14ac:dyDescent="0.55000000000000004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8"/>
        <v>2317763.7387755103</v>
      </c>
    </row>
    <row r="2408" spans="12:26" x14ac:dyDescent="0.55000000000000004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8"/>
        <v>2314454.7448979593</v>
      </c>
    </row>
    <row r="2409" spans="12:26" x14ac:dyDescent="0.55000000000000004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8"/>
        <v>2311047.7530612247</v>
      </c>
    </row>
    <row r="2410" spans="12:26" x14ac:dyDescent="0.55000000000000004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8"/>
        <v>2307540.9183673472</v>
      </c>
    </row>
    <row r="2411" spans="12:26" x14ac:dyDescent="0.55000000000000004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8"/>
        <v>2303932.4040816328</v>
      </c>
    </row>
    <row r="2412" spans="12:26" x14ac:dyDescent="0.55000000000000004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8"/>
        <v>2300220.3795918366</v>
      </c>
    </row>
    <row r="2413" spans="12:26" x14ac:dyDescent="0.55000000000000004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8"/>
        <v>2296403.0244897958</v>
      </c>
    </row>
    <row r="2414" spans="12:26" x14ac:dyDescent="0.55000000000000004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8"/>
        <v>2292478.5387755102</v>
      </c>
    </row>
    <row r="2415" spans="12:26" x14ac:dyDescent="0.55000000000000004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8"/>
        <v>2288445.1244897959</v>
      </c>
    </row>
    <row r="2416" spans="12:26" x14ac:dyDescent="0.55000000000000004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8"/>
        <v>2284301.0142857144</v>
      </c>
    </row>
    <row r="2417" spans="12:26" x14ac:dyDescent="0.55000000000000004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8"/>
        <v>2280044.448979592</v>
      </c>
    </row>
    <row r="2418" spans="12:26" x14ac:dyDescent="0.55000000000000004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8"/>
        <v>2275673.6938775512</v>
      </c>
    </row>
    <row r="2419" spans="12:26" x14ac:dyDescent="0.55000000000000004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8"/>
        <v>2271187.0408163266</v>
      </c>
    </row>
    <row r="2420" spans="12:26" x14ac:dyDescent="0.55000000000000004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8"/>
        <v>2266582.8020408163</v>
      </c>
    </row>
    <row r="2421" spans="12:26" x14ac:dyDescent="0.55000000000000004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8"/>
        <v>2261859.3204081636</v>
      </c>
    </row>
    <row r="2422" spans="12:26" x14ac:dyDescent="0.55000000000000004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8"/>
        <v>2257014.9693877553</v>
      </c>
    </row>
    <row r="2423" spans="12:26" x14ac:dyDescent="0.55000000000000004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8"/>
        <v>2252048.1489795917</v>
      </c>
    </row>
    <row r="2424" spans="12:26" x14ac:dyDescent="0.55000000000000004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8"/>
        <v>2246957.2979591838</v>
      </c>
    </row>
    <row r="2425" spans="12:26" x14ac:dyDescent="0.55000000000000004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8"/>
        <v>2241740.8938775514</v>
      </c>
    </row>
    <row r="2426" spans="12:26" x14ac:dyDescent="0.55000000000000004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8"/>
        <v>2236397.4469387759</v>
      </c>
    </row>
    <row r="2427" spans="12:26" x14ac:dyDescent="0.55000000000000004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8"/>
        <v>2230925.5122448979</v>
      </c>
    </row>
    <row r="2428" spans="12:26" x14ac:dyDescent="0.55000000000000004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8"/>
        <v>2225323.6918367348</v>
      </c>
    </row>
    <row r="2429" spans="12:26" x14ac:dyDescent="0.55000000000000004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8"/>
        <v>2219590.6244897959</v>
      </c>
    </row>
    <row r="2430" spans="12:26" x14ac:dyDescent="0.55000000000000004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8"/>
        <v>2213725.0061224494</v>
      </c>
    </row>
    <row r="2431" spans="12:26" x14ac:dyDescent="0.55000000000000004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8"/>
        <v>2207725.5775510203</v>
      </c>
    </row>
    <row r="2432" spans="12:26" x14ac:dyDescent="0.55000000000000004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8"/>
        <v>2201591.1346938773</v>
      </c>
    </row>
    <row r="2433" spans="12:26" x14ac:dyDescent="0.55000000000000004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8"/>
        <v>2195320.5265306123</v>
      </c>
    </row>
    <row r="2434" spans="12:26" x14ac:dyDescent="0.55000000000000004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8"/>
        <v>2188912.6632653065</v>
      </c>
    </row>
    <row r="2435" spans="12:26" x14ac:dyDescent="0.55000000000000004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8"/>
        <v>2182366.5102040819</v>
      </c>
    </row>
    <row r="2436" spans="12:26" x14ac:dyDescent="0.55000000000000004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8"/>
        <v>2175681.0959183672</v>
      </c>
    </row>
    <row r="2437" spans="12:26" x14ac:dyDescent="0.55000000000000004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8"/>
        <v>2168855.5163265308</v>
      </c>
    </row>
    <row r="2438" spans="12:26" x14ac:dyDescent="0.55000000000000004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8"/>
        <v>2161888.9265306122</v>
      </c>
    </row>
    <row r="2439" spans="12:26" x14ac:dyDescent="0.55000000000000004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9">Y2439/X2439</f>
        <v>2154780.557142857</v>
      </c>
    </row>
    <row r="2440" spans="12:26" x14ac:dyDescent="0.55000000000000004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9"/>
        <v>2147529.7040816327</v>
      </c>
    </row>
    <row r="2441" spans="12:26" x14ac:dyDescent="0.55000000000000004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9"/>
        <v>2140135.7387755103</v>
      </c>
    </row>
    <row r="2442" spans="12:26" x14ac:dyDescent="0.55000000000000004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9"/>
        <v>2132598.1040816326</v>
      </c>
    </row>
    <row r="2443" spans="12:26" x14ac:dyDescent="0.55000000000000004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9"/>
        <v>2120588.5906313648</v>
      </c>
    </row>
    <row r="2444" spans="12:26" x14ac:dyDescent="0.55000000000000004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9"/>
        <v>2112778.1995926681</v>
      </c>
    </row>
    <row r="2445" spans="12:26" x14ac:dyDescent="0.55000000000000004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9"/>
        <v>2104823.2362525454</v>
      </c>
    </row>
    <row r="2446" spans="12:26" x14ac:dyDescent="0.55000000000000004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9"/>
        <v>2096723.4602851323</v>
      </c>
    </row>
    <row r="2447" spans="12:26" x14ac:dyDescent="0.55000000000000004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9"/>
        <v>2088478.7189409367</v>
      </c>
    </row>
    <row r="2448" spans="12:26" x14ac:dyDescent="0.55000000000000004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9"/>
        <v>2080088.9409368634</v>
      </c>
    </row>
    <row r="2449" spans="12:26" x14ac:dyDescent="0.55000000000000004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9"/>
        <v>2067343.6666666667</v>
      </c>
    </row>
    <row r="2450" spans="12:26" x14ac:dyDescent="0.55000000000000004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9"/>
        <v>2058681.5955284552</v>
      </c>
    </row>
    <row r="2451" spans="12:26" x14ac:dyDescent="0.55000000000000004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9"/>
        <v>2049875.0995934957</v>
      </c>
    </row>
    <row r="2452" spans="12:26" x14ac:dyDescent="0.55000000000000004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9"/>
        <v>2040924.4613821136</v>
      </c>
    </row>
    <row r="2453" spans="12:26" x14ac:dyDescent="0.55000000000000004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9"/>
        <v>2027708.6997971605</v>
      </c>
    </row>
    <row r="2454" spans="12:26" x14ac:dyDescent="0.55000000000000004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9"/>
        <v>2018489.7403651117</v>
      </c>
    </row>
    <row r="2455" spans="12:26" x14ac:dyDescent="0.55000000000000004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9"/>
        <v>2005061.2773279354</v>
      </c>
    </row>
    <row r="2456" spans="12:26" x14ac:dyDescent="0.55000000000000004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9"/>
        <v>1995577.3279352228</v>
      </c>
    </row>
    <row r="2457" spans="12:26" x14ac:dyDescent="0.55000000000000004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9"/>
        <v>1981940.6060606062</v>
      </c>
    </row>
    <row r="2458" spans="12:26" x14ac:dyDescent="0.55000000000000004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9"/>
        <v>1968219.5362903224</v>
      </c>
    </row>
    <row r="2459" spans="12:26" x14ac:dyDescent="0.55000000000000004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9"/>
        <v>1958355.9193548386</v>
      </c>
    </row>
    <row r="2460" spans="12:26" x14ac:dyDescent="0.55000000000000004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9"/>
        <v>1944434.7142857141</v>
      </c>
    </row>
    <row r="2461" spans="12:26" x14ac:dyDescent="0.55000000000000004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9"/>
        <v>1930433.7429718876</v>
      </c>
    </row>
    <row r="2462" spans="12:26" x14ac:dyDescent="0.55000000000000004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9"/>
        <v>1916354.7074148296</v>
      </c>
    </row>
    <row r="2463" spans="12:26" x14ac:dyDescent="0.55000000000000004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9"/>
        <v>1898402.590818363</v>
      </c>
    </row>
    <row r="2464" spans="12:26" x14ac:dyDescent="0.55000000000000004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9"/>
        <v>1884208.7848605579</v>
      </c>
    </row>
    <row r="2465" spans="12:26" x14ac:dyDescent="0.55000000000000004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9"/>
        <v>1869942.5248508947</v>
      </c>
    </row>
    <row r="2466" spans="12:26" x14ac:dyDescent="0.55000000000000004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9"/>
        <v>1851931.3762376236</v>
      </c>
    </row>
    <row r="2467" spans="12:26" x14ac:dyDescent="0.55000000000000004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9"/>
        <v>1833937.7238658778</v>
      </c>
    </row>
    <row r="2468" spans="12:26" x14ac:dyDescent="0.55000000000000004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9"/>
        <v>1815963.1355599214</v>
      </c>
    </row>
    <row r="2469" spans="12:26" x14ac:dyDescent="0.55000000000000004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9"/>
        <v>1798009.2446183956</v>
      </c>
    </row>
    <row r="2470" spans="12:26" x14ac:dyDescent="0.55000000000000004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9"/>
        <v>1776614.5622568093</v>
      </c>
    </row>
    <row r="2471" spans="12:26" x14ac:dyDescent="0.55000000000000004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9"/>
        <v>1758755.3565891476</v>
      </c>
    </row>
    <row r="2472" spans="12:26" x14ac:dyDescent="0.55000000000000004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9"/>
        <v>1737567.3410404623</v>
      </c>
    </row>
    <row r="2473" spans="12:26" x14ac:dyDescent="0.55000000000000004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9"/>
        <v>1716513.5632183908</v>
      </c>
    </row>
    <row r="2474" spans="12:26" x14ac:dyDescent="0.55000000000000004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9"/>
        <v>1692370.4106463878</v>
      </c>
    </row>
    <row r="2475" spans="12:26" x14ac:dyDescent="0.55000000000000004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9"/>
        <v>1668488.5735849058</v>
      </c>
    </row>
    <row r="2476" spans="12:26" x14ac:dyDescent="0.55000000000000004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9"/>
        <v>1644864.5599250938</v>
      </c>
    </row>
    <row r="2477" spans="12:26" x14ac:dyDescent="0.55000000000000004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9"/>
        <v>1621495.0613382901</v>
      </c>
    </row>
    <row r="2478" spans="12:26" x14ac:dyDescent="0.55000000000000004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9"/>
        <v>1595433.3425414364</v>
      </c>
    </row>
    <row r="2479" spans="12:26" x14ac:dyDescent="0.55000000000000004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9"/>
        <v>1569757.2244525547</v>
      </c>
    </row>
    <row r="2480" spans="12:26" x14ac:dyDescent="0.55000000000000004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9"/>
        <v>1544458.8517179023</v>
      </c>
    </row>
    <row r="2481" spans="12:26" x14ac:dyDescent="0.55000000000000004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9"/>
        <v>1516812.418604651</v>
      </c>
    </row>
    <row r="2482" spans="12:26" x14ac:dyDescent="0.55000000000000004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9"/>
        <v>1487041.8162544169</v>
      </c>
    </row>
    <row r="2483" spans="12:26" x14ac:dyDescent="0.55000000000000004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9"/>
        <v>1460471.8146853144</v>
      </c>
    </row>
    <row r="2484" spans="12:26" x14ac:dyDescent="0.55000000000000004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9"/>
        <v>1431903.9119170986</v>
      </c>
    </row>
    <row r="2485" spans="12:26" x14ac:dyDescent="0.55000000000000004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9"/>
        <v>1401558.3577512777</v>
      </c>
    </row>
    <row r="2486" spans="12:26" x14ac:dyDescent="0.55000000000000004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9"/>
        <v>1371964.2218487393</v>
      </c>
    </row>
    <row r="2487" spans="12:26" x14ac:dyDescent="0.55000000000000004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9"/>
        <v>1343094.4063018241</v>
      </c>
    </row>
    <row r="2488" spans="12:26" x14ac:dyDescent="0.55000000000000004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9"/>
        <v>1312774.7189542484</v>
      </c>
    </row>
    <row r="2489" spans="12:26" x14ac:dyDescent="0.55000000000000004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9"/>
        <v>1283280.305958132</v>
      </c>
    </row>
    <row r="2490" spans="12:26" x14ac:dyDescent="0.55000000000000004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9"/>
        <v>1252590.3914421552</v>
      </c>
    </row>
    <row r="2491" spans="12:26" x14ac:dyDescent="0.55000000000000004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9"/>
        <v>1220907.0716510904</v>
      </c>
    </row>
    <row r="2492" spans="12:26" x14ac:dyDescent="0.55000000000000004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9"/>
        <v>1192074.1042944784</v>
      </c>
    </row>
    <row r="2493" spans="12:26" x14ac:dyDescent="0.55000000000000004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9"/>
        <v>1160566.7560240964</v>
      </c>
    </row>
    <row r="2494" spans="12:26" x14ac:dyDescent="0.55000000000000004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9"/>
        <v>1130142.3875739647</v>
      </c>
    </row>
    <row r="2495" spans="12:26" x14ac:dyDescent="0.55000000000000004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9"/>
        <v>1100747.0973837208</v>
      </c>
    </row>
    <row r="2496" spans="12:26" x14ac:dyDescent="0.55000000000000004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9"/>
        <v>1070800.9942938657</v>
      </c>
    </row>
    <row r="2497" spans="12:26" x14ac:dyDescent="0.55000000000000004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9"/>
        <v>1041919.7142857142</v>
      </c>
    </row>
    <row r="2498" spans="12:26" x14ac:dyDescent="0.55000000000000004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9"/>
        <v>1012655.9024725273</v>
      </c>
    </row>
    <row r="2499" spans="12:26" x14ac:dyDescent="0.55000000000000004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9"/>
        <v>984476.99326145556</v>
      </c>
    </row>
    <row r="2500" spans="12:26" x14ac:dyDescent="0.55000000000000004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9"/>
        <v>956060.7093791283</v>
      </c>
    </row>
    <row r="2501" spans="12:26" x14ac:dyDescent="0.55000000000000004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9"/>
        <v>928735.19689119165</v>
      </c>
    </row>
    <row r="2502" spans="12:26" x14ac:dyDescent="0.55000000000000004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9"/>
        <v>901295.40228426398</v>
      </c>
    </row>
    <row r="2503" spans="12:26" x14ac:dyDescent="0.55000000000000004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70">Y2503/X2503</f>
        <v>874939.76741293538</v>
      </c>
    </row>
    <row r="2504" spans="12:26" x14ac:dyDescent="0.55000000000000004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70"/>
        <v>849607.44512195117</v>
      </c>
    </row>
    <row r="2505" spans="12:26" x14ac:dyDescent="0.55000000000000004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70"/>
        <v>824254.62007168459</v>
      </c>
    </row>
    <row r="2506" spans="12:26" x14ac:dyDescent="0.55000000000000004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70"/>
        <v>799917.97658079618</v>
      </c>
    </row>
    <row r="2507" spans="12:26" x14ac:dyDescent="0.55000000000000004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70"/>
        <v>777431.37126436771</v>
      </c>
    </row>
    <row r="2508" spans="12:26" x14ac:dyDescent="0.55000000000000004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70"/>
        <v>755766.63205417607</v>
      </c>
    </row>
    <row r="2509" spans="12:26" x14ac:dyDescent="0.55000000000000004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70"/>
        <v>734882.18403547676</v>
      </c>
    </row>
    <row r="2510" spans="12:26" x14ac:dyDescent="0.55000000000000004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70"/>
        <v>715518.78625954199</v>
      </c>
    </row>
    <row r="2511" spans="12:26" x14ac:dyDescent="0.55000000000000004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70"/>
        <v>696047.33762057871</v>
      </c>
    </row>
    <row r="2512" spans="12:26" x14ac:dyDescent="0.55000000000000004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70"/>
        <v>678680.01689545927</v>
      </c>
    </row>
    <row r="2513" spans="12:26" x14ac:dyDescent="0.55000000000000004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70"/>
        <v>661837.7481789802</v>
      </c>
    </row>
    <row r="2514" spans="12:26" x14ac:dyDescent="0.55000000000000004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70"/>
        <v>645499.86256410251</v>
      </c>
    </row>
    <row r="2515" spans="12:26" x14ac:dyDescent="0.55000000000000004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70"/>
        <v>629646.85035389278</v>
      </c>
    </row>
    <row r="2516" spans="12:26" x14ac:dyDescent="0.55000000000000004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70"/>
        <v>615487.5624375625</v>
      </c>
    </row>
    <row r="2517" spans="12:26" x14ac:dyDescent="0.55000000000000004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70"/>
        <v>601095.81952662731</v>
      </c>
    </row>
    <row r="2518" spans="12:26" x14ac:dyDescent="0.55000000000000004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70"/>
        <v>587667.53996101371</v>
      </c>
    </row>
    <row r="2519" spans="12:26" x14ac:dyDescent="0.55000000000000004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70"/>
        <v>575132.1706846673</v>
      </c>
    </row>
    <row r="2520" spans="12:26" x14ac:dyDescent="0.55000000000000004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70"/>
        <v>562889.72996183205</v>
      </c>
    </row>
    <row r="2521" spans="12:26" x14ac:dyDescent="0.55000000000000004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70"/>
        <v>550932.74881964107</v>
      </c>
    </row>
    <row r="2522" spans="12:26" x14ac:dyDescent="0.55000000000000004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70"/>
        <v>539758.48643592128</v>
      </c>
    </row>
    <row r="2523" spans="12:26" x14ac:dyDescent="0.55000000000000004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70"/>
        <v>528825.07784986089</v>
      </c>
    </row>
    <row r="2524" spans="12:26" x14ac:dyDescent="0.55000000000000004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70"/>
        <v>518603.6424632353</v>
      </c>
    </row>
    <row r="2525" spans="12:26" x14ac:dyDescent="0.55000000000000004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70"/>
        <v>509050.15875912417</v>
      </c>
    </row>
    <row r="2526" spans="12:26" x14ac:dyDescent="0.55000000000000004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70"/>
        <v>499672.55163043481</v>
      </c>
    </row>
    <row r="2527" spans="12:26" x14ac:dyDescent="0.55000000000000004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70"/>
        <v>490468.44154676259</v>
      </c>
    </row>
    <row r="2528" spans="12:26" x14ac:dyDescent="0.55000000000000004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70"/>
        <v>481865.7193923145</v>
      </c>
    </row>
    <row r="2529" spans="12:26" x14ac:dyDescent="0.55000000000000004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70"/>
        <v>473410.74511545297</v>
      </c>
    </row>
    <row r="2530" spans="12:26" x14ac:dyDescent="0.55000000000000004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70"/>
        <v>465512.93904593639</v>
      </c>
    </row>
    <row r="2531" spans="12:26" x14ac:dyDescent="0.55000000000000004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70"/>
        <v>457741.3093145871</v>
      </c>
    </row>
    <row r="2532" spans="12:26" x14ac:dyDescent="0.55000000000000004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70"/>
        <v>450095.08391608391</v>
      </c>
    </row>
    <row r="2533" spans="12:26" x14ac:dyDescent="0.55000000000000004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70"/>
        <v>442958.65013054828</v>
      </c>
    </row>
    <row r="2534" spans="12:26" x14ac:dyDescent="0.55000000000000004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70"/>
        <v>435929.85788561526</v>
      </c>
    </row>
    <row r="2535" spans="12:26" x14ac:dyDescent="0.55000000000000004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70"/>
        <v>429008.4020707506</v>
      </c>
    </row>
    <row r="2536" spans="12:26" x14ac:dyDescent="0.55000000000000004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70"/>
        <v>422556.97076526226</v>
      </c>
    </row>
    <row r="2537" spans="12:26" x14ac:dyDescent="0.55000000000000004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70"/>
        <v>416555.13636363635</v>
      </c>
    </row>
    <row r="2538" spans="12:26" x14ac:dyDescent="0.55000000000000004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70"/>
        <v>410282.44957264955</v>
      </c>
    </row>
    <row r="2539" spans="12:26" x14ac:dyDescent="0.55000000000000004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70"/>
        <v>404447.03836317139</v>
      </c>
    </row>
    <row r="2540" spans="12:26" x14ac:dyDescent="0.55000000000000004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70"/>
        <v>398692.22874149657</v>
      </c>
    </row>
    <row r="2541" spans="12:26" x14ac:dyDescent="0.55000000000000004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70"/>
        <v>393018.25106022053</v>
      </c>
    </row>
    <row r="2542" spans="12:26" x14ac:dyDescent="0.55000000000000004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70"/>
        <v>387753.3420829805</v>
      </c>
    </row>
    <row r="2543" spans="12:26" x14ac:dyDescent="0.55000000000000004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70"/>
        <v>382236.06503378379</v>
      </c>
    </row>
    <row r="2544" spans="12:26" x14ac:dyDescent="0.55000000000000004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70"/>
        <v>377117.86424957844</v>
      </c>
    </row>
    <row r="2545" spans="12:26" x14ac:dyDescent="0.55000000000000004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70"/>
        <v>372384.46840775065</v>
      </c>
    </row>
    <row r="2546" spans="12:26" x14ac:dyDescent="0.55000000000000004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70"/>
        <v>367404.53742640879</v>
      </c>
    </row>
    <row r="2547" spans="12:26" x14ac:dyDescent="0.55000000000000004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70"/>
        <v>362496.55331654073</v>
      </c>
    </row>
    <row r="2548" spans="12:26" x14ac:dyDescent="0.55000000000000004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70"/>
        <v>357960.7634228188</v>
      </c>
    </row>
    <row r="2549" spans="12:26" x14ac:dyDescent="0.55000000000000004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70"/>
        <v>353488.78457669739</v>
      </c>
    </row>
    <row r="2550" spans="12:26" x14ac:dyDescent="0.55000000000000004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70"/>
        <v>349080.93551088776</v>
      </c>
    </row>
    <row r="2551" spans="12:26" x14ac:dyDescent="0.55000000000000004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70"/>
        <v>344737.4937238493</v>
      </c>
    </row>
    <row r="2552" spans="12:26" x14ac:dyDescent="0.55000000000000004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70"/>
        <v>340458.69816053513</v>
      </c>
    </row>
    <row r="2553" spans="12:26" x14ac:dyDescent="0.55000000000000004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70"/>
        <v>336244.74603174604</v>
      </c>
    </row>
    <row r="2554" spans="12:26" x14ac:dyDescent="0.55000000000000004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70"/>
        <v>332095.79382303834</v>
      </c>
    </row>
    <row r="2555" spans="12:26" x14ac:dyDescent="0.55000000000000004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70"/>
        <v>328285.76126878127</v>
      </c>
    </row>
    <row r="2556" spans="12:26" x14ac:dyDescent="0.55000000000000004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70"/>
        <v>324263.54795663053</v>
      </c>
    </row>
    <row r="2557" spans="12:26" x14ac:dyDescent="0.55000000000000004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70"/>
        <v>320573.78065054212</v>
      </c>
    </row>
    <row r="2558" spans="12:26" x14ac:dyDescent="0.55000000000000004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70"/>
        <v>316678.70750000002</v>
      </c>
    </row>
    <row r="2559" spans="12:26" x14ac:dyDescent="0.55000000000000004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70"/>
        <v>313109.67333333334</v>
      </c>
    </row>
    <row r="2560" spans="12:26" x14ac:dyDescent="0.55000000000000004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70"/>
        <v>309599.62583333335</v>
      </c>
    </row>
    <row r="2561" spans="12:26" x14ac:dyDescent="0.55000000000000004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70"/>
        <v>305893.70940882602</v>
      </c>
    </row>
    <row r="2562" spans="12:26" x14ac:dyDescent="0.55000000000000004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70"/>
        <v>302504.59367194003</v>
      </c>
    </row>
    <row r="2563" spans="12:26" x14ac:dyDescent="0.55000000000000004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70"/>
        <v>299174.47876769362</v>
      </c>
    </row>
    <row r="2564" spans="12:26" x14ac:dyDescent="0.55000000000000004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70"/>
        <v>295903.31557035801</v>
      </c>
    </row>
    <row r="2565" spans="12:26" x14ac:dyDescent="0.55000000000000004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70"/>
        <v>292691.02081598667</v>
      </c>
    </row>
    <row r="2566" spans="12:26" x14ac:dyDescent="0.55000000000000004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70"/>
        <v>289296.60066555743</v>
      </c>
    </row>
    <row r="2567" spans="12:26" x14ac:dyDescent="0.55000000000000004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71">Y2567/X2567</f>
        <v>286204.23960066558</v>
      </c>
    </row>
    <row r="2568" spans="12:26" x14ac:dyDescent="0.55000000000000004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71"/>
        <v>283170.25457570719</v>
      </c>
    </row>
    <row r="2569" spans="12:26" x14ac:dyDescent="0.55000000000000004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71"/>
        <v>280194.4342762063</v>
      </c>
    </row>
    <row r="2570" spans="12:26" x14ac:dyDescent="0.55000000000000004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71"/>
        <v>277276.53743760404</v>
      </c>
    </row>
    <row r="2571" spans="12:26" x14ac:dyDescent="0.55000000000000004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71"/>
        <v>274416.2936772047</v>
      </c>
    </row>
    <row r="2572" spans="12:26" x14ac:dyDescent="0.55000000000000004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71"/>
        <v>271613.40266222961</v>
      </c>
    </row>
    <row r="2573" spans="12:26" x14ac:dyDescent="0.55000000000000004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71"/>
        <v>268867.53660565725</v>
      </c>
    </row>
    <row r="2574" spans="12:26" x14ac:dyDescent="0.55000000000000004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71"/>
        <v>266178.34193011647</v>
      </c>
    </row>
    <row r="2575" spans="12:26" x14ac:dyDescent="0.55000000000000004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71"/>
        <v>263545.43677204661</v>
      </c>
    </row>
    <row r="2576" spans="12:26" x14ac:dyDescent="0.55000000000000004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71"/>
        <v>260968.41680532446</v>
      </c>
    </row>
    <row r="2577" spans="12:26" x14ac:dyDescent="0.55000000000000004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71"/>
        <v>258446.85024958407</v>
      </c>
    </row>
    <row r="2578" spans="12:26" x14ac:dyDescent="0.55000000000000004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71"/>
        <v>255980.28452579037</v>
      </c>
    </row>
    <row r="2579" spans="12:26" x14ac:dyDescent="0.55000000000000004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71"/>
        <v>253568.24209650583</v>
      </c>
    </row>
    <row r="2580" spans="12:26" x14ac:dyDescent="0.55000000000000004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71"/>
        <v>251210.22545757075</v>
      </c>
    </row>
    <row r="2581" spans="12:26" x14ac:dyDescent="0.55000000000000004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71"/>
        <v>248905.71547420966</v>
      </c>
    </row>
    <row r="2582" spans="12:26" x14ac:dyDescent="0.55000000000000004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71"/>
        <v>246654.17304492515</v>
      </c>
    </row>
    <row r="2583" spans="12:26" x14ac:dyDescent="0.55000000000000004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71"/>
        <v>244455.04076539105</v>
      </c>
    </row>
    <row r="2584" spans="12:26" x14ac:dyDescent="0.55000000000000004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71"/>
        <v>242307.74292845262</v>
      </c>
    </row>
    <row r="2585" spans="12:26" x14ac:dyDescent="0.55000000000000004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71"/>
        <v>240211.68635607322</v>
      </c>
    </row>
    <row r="2586" spans="12:26" x14ac:dyDescent="0.55000000000000004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71"/>
        <v>238166.2628951747</v>
      </c>
    </row>
    <row r="2587" spans="12:26" x14ac:dyDescent="0.55000000000000004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71"/>
        <v>236170.84775374379</v>
      </c>
    </row>
    <row r="2588" spans="12:26" x14ac:dyDescent="0.55000000000000004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71"/>
        <v>234224.80199667221</v>
      </c>
    </row>
    <row r="2589" spans="12:26" x14ac:dyDescent="0.55000000000000004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71"/>
        <v>232327.47504159735</v>
      </c>
    </row>
    <row r="2590" spans="12:26" x14ac:dyDescent="0.55000000000000004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71"/>
        <v>230478.20049916807</v>
      </c>
    </row>
    <row r="2591" spans="12:26" x14ac:dyDescent="0.55000000000000004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71"/>
        <v>228676.30449251249</v>
      </c>
    </row>
    <row r="2592" spans="12:26" x14ac:dyDescent="0.55000000000000004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71"/>
        <v>226921.09900166391</v>
      </c>
    </row>
    <row r="2593" spans="12:26" x14ac:dyDescent="0.55000000000000004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71"/>
        <v>225211.88768718802</v>
      </c>
    </row>
    <row r="2594" spans="12:26" x14ac:dyDescent="0.55000000000000004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71"/>
        <v>223547.96589018306</v>
      </c>
    </row>
    <row r="2595" spans="12:26" x14ac:dyDescent="0.55000000000000004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71"/>
        <v>221928.61896838603</v>
      </c>
    </row>
    <row r="2596" spans="12:26" x14ac:dyDescent="0.55000000000000004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71"/>
        <v>220353.12562396008</v>
      </c>
    </row>
    <row r="2597" spans="12:26" x14ac:dyDescent="0.55000000000000004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71"/>
        <v>218820.76039933445</v>
      </c>
    </row>
    <row r="2598" spans="12:26" x14ac:dyDescent="0.55000000000000004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71"/>
        <v>217330.7895174709</v>
      </c>
    </row>
    <row r="2599" spans="12:26" x14ac:dyDescent="0.55000000000000004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71"/>
        <v>215882.47504159732</v>
      </c>
    </row>
    <row r="2600" spans="12:26" x14ac:dyDescent="0.55000000000000004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71"/>
        <v>214475.07570715476</v>
      </c>
    </row>
    <row r="2601" spans="12:26" x14ac:dyDescent="0.55000000000000004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71"/>
        <v>213107.8460898503</v>
      </c>
    </row>
    <row r="2602" spans="12:26" x14ac:dyDescent="0.55000000000000004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71"/>
        <v>211780.0391014975</v>
      </c>
    </row>
    <row r="2603" spans="12:26" x14ac:dyDescent="0.55000000000000004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71"/>
        <v>210490.90599001665</v>
      </c>
    </row>
    <row r="2604" spans="12:26" x14ac:dyDescent="0.55000000000000004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71"/>
        <v>209239.69550748751</v>
      </c>
    </row>
    <row r="2605" spans="12:26" x14ac:dyDescent="0.55000000000000004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71"/>
        <v>208025.65806988353</v>
      </c>
    </row>
    <row r="2606" spans="12:26" x14ac:dyDescent="0.55000000000000004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71"/>
        <v>206848.04242928454</v>
      </c>
    </row>
    <row r="2607" spans="12:26" x14ac:dyDescent="0.55000000000000004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71"/>
        <v>205706.09983361067</v>
      </c>
    </row>
    <row r="2608" spans="12:26" x14ac:dyDescent="0.55000000000000004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71"/>
        <v>204599.08319467556</v>
      </c>
    </row>
    <row r="2609" spans="12:26" x14ac:dyDescent="0.55000000000000004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71"/>
        <v>203526.24542429284</v>
      </c>
    </row>
    <row r="2610" spans="12:26" x14ac:dyDescent="0.55000000000000004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71"/>
        <v>202486.84442595675</v>
      </c>
    </row>
    <row r="2611" spans="12:26" x14ac:dyDescent="0.55000000000000004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71"/>
        <v>201480.14226289518</v>
      </c>
    </row>
    <row r="2612" spans="12:26" x14ac:dyDescent="0.55000000000000004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71"/>
        <v>200505.40183028288</v>
      </c>
    </row>
    <row r="2613" spans="12:26" x14ac:dyDescent="0.55000000000000004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71"/>
        <v>199561.89267886855</v>
      </c>
    </row>
    <row r="2614" spans="12:26" x14ac:dyDescent="0.55000000000000004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71"/>
        <v>198648.88851913478</v>
      </c>
    </row>
    <row r="2615" spans="12:26" x14ac:dyDescent="0.55000000000000004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71"/>
        <v>197765.66971713811</v>
      </c>
    </row>
    <row r="2616" spans="12:26" x14ac:dyDescent="0.55000000000000004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71"/>
        <v>196911.52079866888</v>
      </c>
    </row>
    <row r="2617" spans="12:26" x14ac:dyDescent="0.55000000000000004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71"/>
        <v>196085.73294509153</v>
      </c>
    </row>
    <row r="2618" spans="12:26" x14ac:dyDescent="0.55000000000000004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71"/>
        <v>195287.60648918469</v>
      </c>
    </row>
    <row r="2619" spans="12:26" x14ac:dyDescent="0.55000000000000004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71"/>
        <v>194516.44509151415</v>
      </c>
    </row>
    <row r="2620" spans="12:26" x14ac:dyDescent="0.55000000000000004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71"/>
        <v>193771.56239600666</v>
      </c>
    </row>
    <row r="2621" spans="12:26" x14ac:dyDescent="0.55000000000000004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71"/>
        <v>193052.2803660566</v>
      </c>
    </row>
    <row r="2622" spans="12:26" x14ac:dyDescent="0.55000000000000004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71"/>
        <v>192357.92678868552</v>
      </c>
    </row>
    <row r="2623" spans="12:26" x14ac:dyDescent="0.55000000000000004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71"/>
        <v>191687.83943427622</v>
      </c>
    </row>
    <row r="2624" spans="12:26" x14ac:dyDescent="0.55000000000000004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71"/>
        <v>191041.36605657238</v>
      </c>
    </row>
    <row r="2625" spans="12:26" x14ac:dyDescent="0.55000000000000004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71"/>
        <v>190417.86189683861</v>
      </c>
    </row>
    <row r="2626" spans="12:26" x14ac:dyDescent="0.55000000000000004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71"/>
        <v>189816.69051580699</v>
      </c>
    </row>
    <row r="2627" spans="12:26" x14ac:dyDescent="0.55000000000000004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71"/>
        <v>189237.22795341097</v>
      </c>
    </row>
    <row r="2628" spans="12:26" x14ac:dyDescent="0.55000000000000004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71"/>
        <v>188678.85773710485</v>
      </c>
    </row>
    <row r="2629" spans="12:26" x14ac:dyDescent="0.55000000000000004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71"/>
        <v>188140.97420965059</v>
      </c>
    </row>
    <row r="2630" spans="12:26" x14ac:dyDescent="0.55000000000000004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71"/>
        <v>187622.9816971714</v>
      </c>
    </row>
    <row r="2631" spans="12:26" x14ac:dyDescent="0.55000000000000004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72">Y2631/X2631</f>
        <v>187124.29534109819</v>
      </c>
    </row>
    <row r="2632" spans="12:26" x14ac:dyDescent="0.55000000000000004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72"/>
        <v>186644.33860232946</v>
      </c>
    </row>
    <row r="2633" spans="12:26" x14ac:dyDescent="0.55000000000000004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72"/>
        <v>186182.54825291183</v>
      </c>
    </row>
    <row r="2634" spans="12:26" x14ac:dyDescent="0.55000000000000004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72"/>
        <v>185738.37021630615</v>
      </c>
    </row>
    <row r="2635" spans="12:26" x14ac:dyDescent="0.55000000000000004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72"/>
        <v>185311.26206322797</v>
      </c>
    </row>
    <row r="2636" spans="12:26" x14ac:dyDescent="0.55000000000000004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72"/>
        <v>184900.68968386026</v>
      </c>
    </row>
    <row r="2637" spans="12:26" x14ac:dyDescent="0.55000000000000004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72"/>
        <v>184506.13394342765</v>
      </c>
    </row>
    <row r="2638" spans="12:26" x14ac:dyDescent="0.55000000000000004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72"/>
        <v>184127.0823627288</v>
      </c>
    </row>
    <row r="2639" spans="12:26" x14ac:dyDescent="0.55000000000000004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72"/>
        <v>183763.03660565725</v>
      </c>
    </row>
    <row r="2640" spans="12:26" x14ac:dyDescent="0.55000000000000004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72"/>
        <v>183413.50748752081</v>
      </c>
    </row>
    <row r="2641" spans="12:26" x14ac:dyDescent="0.55000000000000004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72"/>
        <v>183078.01663893511</v>
      </c>
    </row>
    <row r="2642" spans="12:26" x14ac:dyDescent="0.55000000000000004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72"/>
        <v>182756.09816971715</v>
      </c>
    </row>
    <row r="2643" spans="12:26" x14ac:dyDescent="0.55000000000000004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72"/>
        <v>182447.29534109819</v>
      </c>
    </row>
    <row r="2644" spans="12:26" x14ac:dyDescent="0.55000000000000004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72"/>
        <v>182151.16389351082</v>
      </c>
    </row>
    <row r="2645" spans="12:26" x14ac:dyDescent="0.55000000000000004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72"/>
        <v>181867.26871880199</v>
      </c>
    </row>
    <row r="2646" spans="12:26" x14ac:dyDescent="0.55000000000000004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72"/>
        <v>181595.18552412646</v>
      </c>
    </row>
    <row r="2647" spans="12:26" x14ac:dyDescent="0.55000000000000004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72"/>
        <v>181334.50249584025</v>
      </c>
    </row>
    <row r="2648" spans="12:26" x14ac:dyDescent="0.55000000000000004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72"/>
        <v>181084.81697171382</v>
      </c>
    </row>
    <row r="2649" spans="12:26" x14ac:dyDescent="0.55000000000000004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72"/>
        <v>180845.7371048253</v>
      </c>
    </row>
    <row r="2650" spans="12:26" x14ac:dyDescent="0.55000000000000004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72"/>
        <v>180616.881031614</v>
      </c>
    </row>
    <row r="2651" spans="12:26" x14ac:dyDescent="0.55000000000000004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72"/>
        <v>180397.87770382696</v>
      </c>
    </row>
    <row r="2652" spans="12:26" x14ac:dyDescent="0.55000000000000004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72"/>
        <v>180188.36688851914</v>
      </c>
    </row>
    <row r="2653" spans="12:26" x14ac:dyDescent="0.55000000000000004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72"/>
        <v>179987.99584026623</v>
      </c>
    </row>
    <row r="2654" spans="12:26" x14ac:dyDescent="0.55000000000000004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72"/>
        <v>179796.42429284527</v>
      </c>
    </row>
    <row r="2655" spans="12:26" x14ac:dyDescent="0.55000000000000004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72"/>
        <v>179613.32196339435</v>
      </c>
    </row>
    <row r="2656" spans="12:26" x14ac:dyDescent="0.55000000000000004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72"/>
        <v>179438.36605657238</v>
      </c>
    </row>
    <row r="2657" spans="12:26" x14ac:dyDescent="0.55000000000000004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72"/>
        <v>179271.24459234611</v>
      </c>
    </row>
    <row r="2658" spans="12:26" x14ac:dyDescent="0.55000000000000004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72"/>
        <v>179111.65557404328</v>
      </c>
    </row>
    <row r="2659" spans="12:26" x14ac:dyDescent="0.55000000000000004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72"/>
        <v>178959.30449251249</v>
      </c>
    </row>
    <row r="2660" spans="12:26" x14ac:dyDescent="0.55000000000000004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72"/>
        <v>178813.90765391017</v>
      </c>
    </row>
    <row r="2661" spans="12:26" x14ac:dyDescent="0.55000000000000004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72"/>
        <v>178675.18968386023</v>
      </c>
    </row>
    <row r="2662" spans="12:26" x14ac:dyDescent="0.55000000000000004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72"/>
        <v>178542.88269550749</v>
      </c>
    </row>
    <row r="2663" spans="12:26" x14ac:dyDescent="0.55000000000000004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72"/>
        <v>178416.72878535776</v>
      </c>
    </row>
    <row r="2664" spans="12:26" x14ac:dyDescent="0.55000000000000004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72"/>
        <v>178296.4775374376</v>
      </c>
    </row>
    <row r="2665" spans="12:26" x14ac:dyDescent="0.55000000000000004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72"/>
        <v>178181.88935108154</v>
      </c>
    </row>
    <row r="2666" spans="12:26" x14ac:dyDescent="0.55000000000000004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72"/>
        <v>178072.727953411</v>
      </c>
    </row>
    <row r="2667" spans="12:26" x14ac:dyDescent="0.55000000000000004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72"/>
        <v>177968.76871880202</v>
      </c>
    </row>
    <row r="2668" spans="12:26" x14ac:dyDescent="0.55000000000000004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72"/>
        <v>177869.79450915143</v>
      </c>
    </row>
    <row r="2669" spans="12:26" x14ac:dyDescent="0.55000000000000004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72"/>
        <v>177775.59317803662</v>
      </c>
    </row>
    <row r="2670" spans="12:26" x14ac:dyDescent="0.55000000000000004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72"/>
        <v>177685.96173044926</v>
      </c>
    </row>
    <row r="2671" spans="12:26" x14ac:dyDescent="0.55000000000000004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72"/>
        <v>177600.70549084857</v>
      </c>
    </row>
    <row r="2672" spans="12:26" x14ac:dyDescent="0.55000000000000004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72"/>
        <v>177519.63394342765</v>
      </c>
    </row>
    <row r="2673" spans="12:26" x14ac:dyDescent="0.55000000000000004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72"/>
        <v>177442.5657237937</v>
      </c>
    </row>
    <row r="2674" spans="12:26" x14ac:dyDescent="0.55000000000000004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72"/>
        <v>177369.32529118136</v>
      </c>
    </row>
    <row r="2675" spans="12:26" x14ac:dyDescent="0.55000000000000004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72"/>
        <v>177299.74292845259</v>
      </c>
    </row>
    <row r="2676" spans="12:26" x14ac:dyDescent="0.55000000000000004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72"/>
        <v>177233.65557404325</v>
      </c>
    </row>
    <row r="2677" spans="12:26" x14ac:dyDescent="0.55000000000000004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72"/>
        <v>177170.90765391017</v>
      </c>
    </row>
    <row r="2678" spans="12:26" x14ac:dyDescent="0.55000000000000004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72"/>
        <v>177111.34775374379</v>
      </c>
    </row>
    <row r="2679" spans="12:26" x14ac:dyDescent="0.55000000000000004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72"/>
        <v>177054.83111480865</v>
      </c>
    </row>
    <row r="2680" spans="12:26" x14ac:dyDescent="0.55000000000000004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72"/>
        <v>177001.21880199667</v>
      </c>
    </row>
    <row r="2681" spans="12:26" x14ac:dyDescent="0.55000000000000004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72"/>
        <v>176950.37603993347</v>
      </c>
    </row>
    <row r="2682" spans="12:26" x14ac:dyDescent="0.55000000000000004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72"/>
        <v>176902.17470881864</v>
      </c>
    </row>
    <row r="2683" spans="12:26" x14ac:dyDescent="0.55000000000000004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72"/>
        <v>176856.49168053246</v>
      </c>
    </row>
    <row r="2684" spans="12:26" x14ac:dyDescent="0.55000000000000004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72"/>
        <v>176813.20798668885</v>
      </c>
    </row>
    <row r="2685" spans="12:26" x14ac:dyDescent="0.55000000000000004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72"/>
        <v>176772.21048252913</v>
      </c>
    </row>
    <row r="2686" spans="12:26" x14ac:dyDescent="0.55000000000000004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72"/>
        <v>176733.38935108154</v>
      </c>
    </row>
    <row r="2687" spans="12:26" x14ac:dyDescent="0.55000000000000004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72"/>
        <v>176696.64059900166</v>
      </c>
    </row>
    <row r="2688" spans="12:26" x14ac:dyDescent="0.55000000000000004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72"/>
        <v>176661.8635607321</v>
      </c>
    </row>
    <row r="2689" spans="12:26" x14ac:dyDescent="0.55000000000000004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72"/>
        <v>176628.96339434278</v>
      </c>
    </row>
    <row r="2690" spans="12:26" x14ac:dyDescent="0.55000000000000004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72"/>
        <v>176597.84775374376</v>
      </c>
    </row>
    <row r="2691" spans="12:26" x14ac:dyDescent="0.55000000000000004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72"/>
        <v>176568.42845257904</v>
      </c>
    </row>
    <row r="2692" spans="12:26" x14ac:dyDescent="0.55000000000000004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72"/>
        <v>176540.62146422631</v>
      </c>
    </row>
    <row r="2693" spans="12:26" x14ac:dyDescent="0.55000000000000004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72"/>
        <v>176514.346921797</v>
      </c>
    </row>
    <row r="2694" spans="12:26" x14ac:dyDescent="0.55000000000000004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72"/>
        <v>176489.52745424293</v>
      </c>
    </row>
    <row r="2695" spans="12:26" x14ac:dyDescent="0.55000000000000004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73">Y2695/X2695</f>
        <v>176466.08901830282</v>
      </c>
    </row>
    <row r="2696" spans="12:26" x14ac:dyDescent="0.55000000000000004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73"/>
        <v>176443.96173044926</v>
      </c>
    </row>
    <row r="2697" spans="12:26" x14ac:dyDescent="0.55000000000000004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73"/>
        <v>176423.07903494177</v>
      </c>
    </row>
    <row r="2698" spans="12:26" x14ac:dyDescent="0.55000000000000004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73"/>
        <v>176403.3768718802</v>
      </c>
    </row>
    <row r="2699" spans="12:26" x14ac:dyDescent="0.55000000000000004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73"/>
        <v>176384.79367720467</v>
      </c>
    </row>
    <row r="2700" spans="12:26" x14ac:dyDescent="0.55000000000000004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73"/>
        <v>176367.27121464227</v>
      </c>
    </row>
    <row r="2701" spans="12:26" x14ac:dyDescent="0.55000000000000004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73"/>
        <v>176350.7537437604</v>
      </c>
    </row>
    <row r="2702" spans="12:26" x14ac:dyDescent="0.55000000000000004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73"/>
        <v>176335.18885191347</v>
      </c>
    </row>
    <row r="2703" spans="12:26" x14ac:dyDescent="0.55000000000000004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73"/>
        <v>176320.52579034943</v>
      </c>
    </row>
    <row r="2704" spans="12:26" x14ac:dyDescent="0.55000000000000004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73"/>
        <v>176306.71630615642</v>
      </c>
    </row>
    <row r="2705" spans="12:26" x14ac:dyDescent="0.55000000000000004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73"/>
        <v>176293.7146422629</v>
      </c>
    </row>
    <row r="2706" spans="12:26" x14ac:dyDescent="0.55000000000000004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73"/>
        <v>176281.4775374376</v>
      </c>
    </row>
    <row r="2707" spans="12:26" x14ac:dyDescent="0.55000000000000004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73"/>
        <v>176269.96339434278</v>
      </c>
    </row>
    <row r="2708" spans="12:26" x14ac:dyDescent="0.55000000000000004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73"/>
        <v>176259.13311148086</v>
      </c>
    </row>
    <row r="2709" spans="12:26" x14ac:dyDescent="0.55000000000000004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73"/>
        <v>176248.94841930116</v>
      </c>
    </row>
    <row r="2710" spans="12:26" x14ac:dyDescent="0.55000000000000004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73"/>
        <v>176239.37354409319</v>
      </c>
    </row>
    <row r="2711" spans="12:26" x14ac:dyDescent="0.55000000000000004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73"/>
        <v>176230.37603993344</v>
      </c>
    </row>
    <row r="2712" spans="12:26" x14ac:dyDescent="0.55000000000000004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73"/>
        <v>176221.92262895175</v>
      </c>
    </row>
    <row r="2713" spans="12:26" x14ac:dyDescent="0.55000000000000004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73"/>
        <v>176213.98252911813</v>
      </c>
    </row>
    <row r="2714" spans="12:26" x14ac:dyDescent="0.55000000000000004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73"/>
        <v>176206.52745424293</v>
      </c>
    </row>
    <row r="2715" spans="12:26" x14ac:dyDescent="0.55000000000000004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73"/>
        <v>176199.5299500832</v>
      </c>
    </row>
    <row r="2716" spans="12:26" x14ac:dyDescent="0.55000000000000004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73"/>
        <v>176192.96339434278</v>
      </c>
    </row>
    <row r="2717" spans="12:26" x14ac:dyDescent="0.55000000000000004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73"/>
        <v>176186.80366056573</v>
      </c>
    </row>
    <row r="2718" spans="12:26" x14ac:dyDescent="0.55000000000000004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73"/>
        <v>176181.02662229619</v>
      </c>
    </row>
    <row r="2719" spans="12:26" x14ac:dyDescent="0.55000000000000004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73"/>
        <v>176175.61064891846</v>
      </c>
    </row>
    <row r="2720" spans="12:26" x14ac:dyDescent="0.55000000000000004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73"/>
        <v>176170.53494176373</v>
      </c>
    </row>
    <row r="2721" spans="12:26" x14ac:dyDescent="0.55000000000000004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73"/>
        <v>176165.77870216305</v>
      </c>
    </row>
    <row r="2722" spans="12:26" x14ac:dyDescent="0.55000000000000004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73"/>
        <v>176161.32445923463</v>
      </c>
    </row>
    <row r="2723" spans="12:26" x14ac:dyDescent="0.55000000000000004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73"/>
        <v>176157.15224625624</v>
      </c>
    </row>
    <row r="2724" spans="12:26" x14ac:dyDescent="0.55000000000000004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73"/>
        <v>176153.24792013312</v>
      </c>
    </row>
    <row r="2725" spans="12:26" x14ac:dyDescent="0.55000000000000004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73"/>
        <v>176149.59317803662</v>
      </c>
    </row>
    <row r="2726" spans="12:26" x14ac:dyDescent="0.55000000000000004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73"/>
        <v>176146.17470881864</v>
      </c>
    </row>
    <row r="2727" spans="12:26" x14ac:dyDescent="0.55000000000000004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73"/>
        <v>176142.97670549087</v>
      </c>
    </row>
    <row r="2728" spans="12:26" x14ac:dyDescent="0.55000000000000004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73"/>
        <v>176139.98752079869</v>
      </c>
    </row>
    <row r="2729" spans="12:26" x14ac:dyDescent="0.55000000000000004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73"/>
        <v>176137.19301164726</v>
      </c>
    </row>
    <row r="2730" spans="12:26" x14ac:dyDescent="0.55000000000000004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73"/>
        <v>176134.58153078202</v>
      </c>
    </row>
    <row r="2731" spans="12:26" x14ac:dyDescent="0.55000000000000004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73"/>
        <v>176132.14226289518</v>
      </c>
    </row>
    <row r="2732" spans="12:26" x14ac:dyDescent="0.55000000000000004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73"/>
        <v>176129.86439267889</v>
      </c>
    </row>
    <row r="2733" spans="12:26" x14ac:dyDescent="0.55000000000000004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73"/>
        <v>176127.73793677206</v>
      </c>
    </row>
    <row r="2734" spans="12:26" x14ac:dyDescent="0.55000000000000004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73"/>
        <v>176125.7537437604</v>
      </c>
    </row>
    <row r="2735" spans="12:26" x14ac:dyDescent="0.55000000000000004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73"/>
        <v>176123.90183028288</v>
      </c>
    </row>
    <row r="2736" spans="12:26" x14ac:dyDescent="0.55000000000000004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73"/>
        <v>176122.17470881867</v>
      </c>
    </row>
    <row r="2737" spans="12:26" x14ac:dyDescent="0.55000000000000004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73"/>
        <v>176120.56405990018</v>
      </c>
    </row>
    <row r="2738" spans="12:26" x14ac:dyDescent="0.55000000000000004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73"/>
        <v>176119.06322795342</v>
      </c>
    </row>
    <row r="2739" spans="12:26" x14ac:dyDescent="0.55000000000000004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73"/>
        <v>176117.66389351082</v>
      </c>
    </row>
    <row r="2740" spans="12:26" x14ac:dyDescent="0.55000000000000004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73"/>
        <v>176116.36106489185</v>
      </c>
    </row>
    <row r="2741" spans="12:26" x14ac:dyDescent="0.55000000000000004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73"/>
        <v>176115.14725457571</v>
      </c>
    </row>
    <row r="2742" spans="12:26" x14ac:dyDescent="0.55000000000000004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73"/>
        <v>176114.01663893514</v>
      </c>
    </row>
    <row r="2743" spans="12:26" x14ac:dyDescent="0.55000000000000004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73"/>
        <v>176112.96505823627</v>
      </c>
    </row>
    <row r="2744" spans="12:26" x14ac:dyDescent="0.55000000000000004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73"/>
        <v>176111.98668885193</v>
      </c>
    </row>
    <row r="2745" spans="12:26" x14ac:dyDescent="0.55000000000000004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73"/>
        <v>176111.07653910152</v>
      </c>
    </row>
    <row r="2746" spans="12:26" x14ac:dyDescent="0.55000000000000004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73"/>
        <v>176110.22961730449</v>
      </c>
    </row>
    <row r="2747" spans="12:26" x14ac:dyDescent="0.55000000000000004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73"/>
        <v>176109.44259567387</v>
      </c>
    </row>
    <row r="2748" spans="12:26" x14ac:dyDescent="0.55000000000000004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73"/>
        <v>176108.71131447589</v>
      </c>
    </row>
    <row r="2749" spans="12:26" x14ac:dyDescent="0.55000000000000004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73"/>
        <v>176108.03161397669</v>
      </c>
    </row>
    <row r="2750" spans="12:26" x14ac:dyDescent="0.55000000000000004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73"/>
        <v>176107.40016638936</v>
      </c>
    </row>
    <row r="2751" spans="12:26" x14ac:dyDescent="0.55000000000000004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73"/>
        <v>176106.81447587354</v>
      </c>
    </row>
    <row r="2752" spans="12:26" x14ac:dyDescent="0.55000000000000004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73"/>
        <v>176106.27038269551</v>
      </c>
    </row>
    <row r="2753" spans="12:26" x14ac:dyDescent="0.55000000000000004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73"/>
        <v>176105.76539101498</v>
      </c>
    </row>
    <row r="2754" spans="12:26" x14ac:dyDescent="0.55000000000000004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73"/>
        <v>176105.29783693847</v>
      </c>
    </row>
    <row r="2755" spans="12:26" x14ac:dyDescent="0.55000000000000004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73"/>
        <v>176104.8635607321</v>
      </c>
    </row>
    <row r="2756" spans="12:26" x14ac:dyDescent="0.55000000000000004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73"/>
        <v>176104.4608985025</v>
      </c>
    </row>
    <row r="2757" spans="12:26" x14ac:dyDescent="0.55000000000000004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73"/>
        <v>176104.0873544093</v>
      </c>
    </row>
    <row r="2758" spans="12:26" x14ac:dyDescent="0.55000000000000004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73"/>
        <v>176103.74209650583</v>
      </c>
    </row>
    <row r="2759" spans="12:26" x14ac:dyDescent="0.55000000000000004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74">Y2759/X2759</f>
        <v>176103.42179700499</v>
      </c>
    </row>
    <row r="2760" spans="12:26" x14ac:dyDescent="0.55000000000000004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74"/>
        <v>176103.12479201332</v>
      </c>
    </row>
    <row r="2761" spans="12:26" x14ac:dyDescent="0.55000000000000004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74"/>
        <v>176102.85024958404</v>
      </c>
    </row>
    <row r="2762" spans="12:26" x14ac:dyDescent="0.55000000000000004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74"/>
        <v>176102.59650582363</v>
      </c>
    </row>
    <row r="2763" spans="12:26" x14ac:dyDescent="0.55000000000000004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74"/>
        <v>176102.36106489185</v>
      </c>
    </row>
    <row r="2764" spans="12:26" x14ac:dyDescent="0.55000000000000004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74"/>
        <v>176102.1439267887</v>
      </c>
    </row>
    <row r="2765" spans="12:26" x14ac:dyDescent="0.55000000000000004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74"/>
        <v>176101.94259567387</v>
      </c>
    </row>
    <row r="2766" spans="12:26" x14ac:dyDescent="0.55000000000000004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74"/>
        <v>176101.75707154741</v>
      </c>
    </row>
    <row r="2767" spans="12:26" x14ac:dyDescent="0.55000000000000004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74"/>
        <v>176101.58569051581</v>
      </c>
    </row>
    <row r="2768" spans="12:26" x14ac:dyDescent="0.55000000000000004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74"/>
        <v>176101.42678868552</v>
      </c>
    </row>
    <row r="2769" spans="12:26" x14ac:dyDescent="0.55000000000000004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74"/>
        <v>176101.2803660566</v>
      </c>
    </row>
    <row r="2770" spans="12:26" x14ac:dyDescent="0.55000000000000004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74"/>
        <v>176101.14475873543</v>
      </c>
    </row>
    <row r="2771" spans="12:26" x14ac:dyDescent="0.55000000000000004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74"/>
        <v>176101.01996672215</v>
      </c>
    </row>
    <row r="2772" spans="12:26" x14ac:dyDescent="0.55000000000000004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74"/>
        <v>176100.90515806992</v>
      </c>
    </row>
    <row r="2773" spans="12:26" x14ac:dyDescent="0.55000000000000004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74"/>
        <v>176100.7986688852</v>
      </c>
    </row>
    <row r="2774" spans="12:26" x14ac:dyDescent="0.55000000000000004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74"/>
        <v>176100.70133111483</v>
      </c>
    </row>
    <row r="2775" spans="12:26" x14ac:dyDescent="0.55000000000000004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74"/>
        <v>176100.61064891849</v>
      </c>
    </row>
    <row r="2776" spans="12:26" x14ac:dyDescent="0.55000000000000004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74"/>
        <v>176100.52745424293</v>
      </c>
    </row>
    <row r="2777" spans="12:26" x14ac:dyDescent="0.55000000000000004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74"/>
        <v>176100.45091514144</v>
      </c>
    </row>
    <row r="2778" spans="12:26" x14ac:dyDescent="0.55000000000000004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74"/>
        <v>176100.38019966721</v>
      </c>
    </row>
    <row r="2779" spans="12:26" x14ac:dyDescent="0.55000000000000004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74"/>
        <v>176100.31530782033</v>
      </c>
    </row>
    <row r="2780" spans="12:26" x14ac:dyDescent="0.55000000000000004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74"/>
        <v>176100.25540765392</v>
      </c>
    </row>
    <row r="2781" spans="12:26" x14ac:dyDescent="0.55000000000000004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74"/>
        <v>176100.20049916804</v>
      </c>
    </row>
    <row r="2782" spans="12:26" x14ac:dyDescent="0.55000000000000004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74"/>
        <v>176100.14975041599</v>
      </c>
    </row>
    <row r="2783" spans="12:26" x14ac:dyDescent="0.55000000000000004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74"/>
        <v>176100.10316139768</v>
      </c>
    </row>
    <row r="2784" spans="12:26" x14ac:dyDescent="0.55000000000000004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74"/>
        <v>176100.06073211314</v>
      </c>
    </row>
    <row r="2785" spans="12:26" x14ac:dyDescent="0.55000000000000004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74"/>
        <v>176100.02163061564</v>
      </c>
    </row>
    <row r="2786" spans="12:26" x14ac:dyDescent="0.55000000000000004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74"/>
        <v>176099.98502495841</v>
      </c>
    </row>
    <row r="2787" spans="12:26" x14ac:dyDescent="0.55000000000000004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74"/>
        <v>176099.9517470882</v>
      </c>
    </row>
    <row r="2788" spans="12:26" x14ac:dyDescent="0.55000000000000004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74"/>
        <v>176099.92179700502</v>
      </c>
    </row>
    <row r="2789" spans="12:26" x14ac:dyDescent="0.55000000000000004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74"/>
        <v>176099.89351081534</v>
      </c>
    </row>
    <row r="2790" spans="12:26" x14ac:dyDescent="0.55000000000000004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74"/>
        <v>176099.8677204659</v>
      </c>
    </row>
    <row r="2791" spans="12:26" x14ac:dyDescent="0.55000000000000004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74"/>
        <v>176099.84442595675</v>
      </c>
    </row>
    <row r="2792" spans="12:26" x14ac:dyDescent="0.55000000000000004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74"/>
        <v>176099.82279534111</v>
      </c>
    </row>
    <row r="2793" spans="12:26" x14ac:dyDescent="0.55000000000000004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74"/>
        <v>176099.80282861899</v>
      </c>
    </row>
    <row r="2794" spans="12:26" x14ac:dyDescent="0.55000000000000004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74"/>
        <v>176099.78452579037</v>
      </c>
    </row>
    <row r="2795" spans="12:26" x14ac:dyDescent="0.55000000000000004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74"/>
        <v>176099.76788685526</v>
      </c>
    </row>
    <row r="2796" spans="12:26" x14ac:dyDescent="0.55000000000000004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74"/>
        <v>176099.75291181364</v>
      </c>
    </row>
    <row r="2797" spans="12:26" x14ac:dyDescent="0.55000000000000004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74"/>
        <v>176099.73876871882</v>
      </c>
    </row>
    <row r="2798" spans="12:26" x14ac:dyDescent="0.55000000000000004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74"/>
        <v>176099.72628951748</v>
      </c>
    </row>
    <row r="2799" spans="12:26" x14ac:dyDescent="0.55000000000000004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74"/>
        <v>176099.7146422629</v>
      </c>
    </row>
    <row r="2800" spans="12:26" x14ac:dyDescent="0.55000000000000004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74"/>
        <v>176099.70382695508</v>
      </c>
    </row>
    <row r="2801" spans="12:26" x14ac:dyDescent="0.55000000000000004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74"/>
        <v>176099.69384359402</v>
      </c>
    </row>
    <row r="2802" spans="12:26" x14ac:dyDescent="0.55000000000000004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74"/>
        <v>176099.6846921797</v>
      </c>
    </row>
    <row r="2803" spans="12:26" x14ac:dyDescent="0.55000000000000004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74"/>
        <v>176099.67720465889</v>
      </c>
    </row>
    <row r="2804" spans="12:26" x14ac:dyDescent="0.55000000000000004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74"/>
        <v>176099.66971713811</v>
      </c>
    </row>
    <row r="2805" spans="12:26" x14ac:dyDescent="0.55000000000000004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74"/>
        <v>176099.66222961733</v>
      </c>
    </row>
    <row r="2806" spans="12:26" x14ac:dyDescent="0.55000000000000004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74"/>
        <v>176099.65640599001</v>
      </c>
    </row>
    <row r="2807" spans="12:26" x14ac:dyDescent="0.55000000000000004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74"/>
        <v>176099.65058236275</v>
      </c>
    </row>
    <row r="2808" spans="12:26" x14ac:dyDescent="0.55000000000000004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74"/>
        <v>176099.64559068219</v>
      </c>
    </row>
    <row r="2809" spans="12:26" x14ac:dyDescent="0.55000000000000004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74"/>
        <v>176099.64059900166</v>
      </c>
    </row>
    <row r="2810" spans="12:26" x14ac:dyDescent="0.55000000000000004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74"/>
        <v>176099.6364392679</v>
      </c>
    </row>
    <row r="2811" spans="12:26" x14ac:dyDescent="0.55000000000000004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74"/>
        <v>176099.63227953413</v>
      </c>
    </row>
    <row r="2812" spans="12:26" x14ac:dyDescent="0.55000000000000004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74"/>
        <v>176099.62895174709</v>
      </c>
    </row>
    <row r="2813" spans="12:26" x14ac:dyDescent="0.55000000000000004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74"/>
        <v>176099.62562396008</v>
      </c>
    </row>
    <row r="2814" spans="12:26" x14ac:dyDescent="0.55000000000000004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74"/>
        <v>176099.62229617307</v>
      </c>
    </row>
    <row r="2815" spans="12:26" x14ac:dyDescent="0.55000000000000004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74"/>
        <v>176099.61980033279</v>
      </c>
    </row>
    <row r="2816" spans="12:26" x14ac:dyDescent="0.55000000000000004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74"/>
        <v>176099.61730449251</v>
      </c>
    </row>
    <row r="2817" spans="12:26" x14ac:dyDescent="0.55000000000000004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74"/>
        <v>176099.61564059902</v>
      </c>
    </row>
    <row r="2818" spans="12:26" x14ac:dyDescent="0.55000000000000004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74"/>
        <v>176099.61314475874</v>
      </c>
    </row>
    <row r="2819" spans="12:26" x14ac:dyDescent="0.55000000000000004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74"/>
        <v>176099.61148086522</v>
      </c>
    </row>
    <row r="2820" spans="12:26" x14ac:dyDescent="0.55000000000000004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74"/>
        <v>176099.60981697173</v>
      </c>
    </row>
    <row r="2821" spans="12:26" x14ac:dyDescent="0.55000000000000004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74"/>
        <v>176099.60815307821</v>
      </c>
    </row>
    <row r="2822" spans="12:26" x14ac:dyDescent="0.55000000000000004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74"/>
        <v>176099.60648918469</v>
      </c>
    </row>
    <row r="2823" spans="12:26" x14ac:dyDescent="0.55000000000000004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5">Y2823/X2823</f>
        <v>176099.60565723796</v>
      </c>
    </row>
    <row r="2824" spans="12:26" x14ac:dyDescent="0.55000000000000004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5"/>
        <v>176099.60399334444</v>
      </c>
    </row>
    <row r="2825" spans="12:26" x14ac:dyDescent="0.55000000000000004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5"/>
        <v>176099.60316139768</v>
      </c>
    </row>
    <row r="2826" spans="12:26" x14ac:dyDescent="0.55000000000000004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5"/>
        <v>176099.60232945092</v>
      </c>
    </row>
    <row r="2827" spans="12:26" x14ac:dyDescent="0.55000000000000004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5"/>
        <v>176099.60149750416</v>
      </c>
    </row>
    <row r="2828" spans="12:26" x14ac:dyDescent="0.55000000000000004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5"/>
        <v>176099.6006655574</v>
      </c>
    </row>
    <row r="2829" spans="12:26" x14ac:dyDescent="0.55000000000000004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5"/>
        <v>176099.59983361064</v>
      </c>
    </row>
    <row r="2830" spans="12:26" x14ac:dyDescent="0.55000000000000004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5"/>
        <v>176099.59900166391</v>
      </c>
    </row>
    <row r="2831" spans="12:26" x14ac:dyDescent="0.55000000000000004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5"/>
        <v>176099.59900166391</v>
      </c>
    </row>
    <row r="2832" spans="12:26" x14ac:dyDescent="0.55000000000000004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5"/>
        <v>176099.59816971715</v>
      </c>
    </row>
    <row r="2833" spans="12:26" x14ac:dyDescent="0.55000000000000004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5"/>
        <v>176099.59733777039</v>
      </c>
    </row>
    <row r="2834" spans="12:26" x14ac:dyDescent="0.55000000000000004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5"/>
        <v>176099.59733777039</v>
      </c>
    </row>
    <row r="2835" spans="12:26" x14ac:dyDescent="0.55000000000000004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5"/>
        <v>176099.59650582363</v>
      </c>
    </row>
    <row r="2836" spans="12:26" x14ac:dyDescent="0.55000000000000004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5"/>
        <v>176099.59650582363</v>
      </c>
    </row>
    <row r="2837" spans="12:26" x14ac:dyDescent="0.55000000000000004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5"/>
        <v>176099.59650582363</v>
      </c>
    </row>
    <row r="2838" spans="12:26" x14ac:dyDescent="0.55000000000000004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5"/>
        <v>176099.59567387687</v>
      </c>
    </row>
    <row r="2839" spans="12:26" x14ac:dyDescent="0.55000000000000004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5"/>
        <v>176099.59567387687</v>
      </c>
    </row>
    <row r="2840" spans="12:26" x14ac:dyDescent="0.55000000000000004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5"/>
        <v>176099.59567387687</v>
      </c>
    </row>
    <row r="2841" spans="12:26" x14ac:dyDescent="0.55000000000000004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5"/>
        <v>176099.59484193014</v>
      </c>
    </row>
    <row r="2842" spans="12:26" x14ac:dyDescent="0.55000000000000004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5"/>
        <v>176099.59484193014</v>
      </c>
    </row>
    <row r="2843" spans="12:26" x14ac:dyDescent="0.55000000000000004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5"/>
        <v>176099.59484193014</v>
      </c>
    </row>
    <row r="2844" spans="12:26" x14ac:dyDescent="0.55000000000000004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5"/>
        <v>176099.59484193014</v>
      </c>
    </row>
    <row r="2845" spans="12:26" x14ac:dyDescent="0.55000000000000004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5"/>
        <v>176099.59484193014</v>
      </c>
    </row>
    <row r="2846" spans="12:26" x14ac:dyDescent="0.55000000000000004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5"/>
        <v>176099.59400998338</v>
      </c>
    </row>
    <row r="2847" spans="12:26" x14ac:dyDescent="0.55000000000000004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5"/>
        <v>176099.59400998338</v>
      </c>
    </row>
    <row r="2848" spans="12:26" x14ac:dyDescent="0.55000000000000004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5"/>
        <v>176099.59400998338</v>
      </c>
    </row>
    <row r="2849" spans="12:26" x14ac:dyDescent="0.55000000000000004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5"/>
        <v>176099.59400998338</v>
      </c>
    </row>
    <row r="2850" spans="12:26" x14ac:dyDescent="0.55000000000000004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5"/>
        <v>176099.59400998338</v>
      </c>
    </row>
    <row r="2851" spans="12:26" x14ac:dyDescent="0.55000000000000004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5"/>
        <v>176099.59400998338</v>
      </c>
    </row>
    <row r="2852" spans="12:26" x14ac:dyDescent="0.55000000000000004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5"/>
        <v>176099.59400998338</v>
      </c>
    </row>
    <row r="2853" spans="12:26" x14ac:dyDescent="0.55000000000000004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5"/>
        <v>176099.59400998338</v>
      </c>
    </row>
    <row r="2854" spans="12:26" x14ac:dyDescent="0.55000000000000004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5"/>
        <v>176099.59400998338</v>
      </c>
    </row>
    <row r="2855" spans="12:26" x14ac:dyDescent="0.55000000000000004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5"/>
        <v>176099.59400998338</v>
      </c>
    </row>
    <row r="2856" spans="12:26" x14ac:dyDescent="0.55000000000000004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5"/>
        <v>176099.59400998338</v>
      </c>
    </row>
    <row r="2857" spans="12:26" x14ac:dyDescent="0.55000000000000004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5"/>
        <v>176099.59400998338</v>
      </c>
    </row>
    <row r="2858" spans="12:26" x14ac:dyDescent="0.55000000000000004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5"/>
        <v>176099.59317803659</v>
      </c>
    </row>
    <row r="2859" spans="12:26" x14ac:dyDescent="0.55000000000000004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5"/>
        <v>176099.59317803659</v>
      </c>
    </row>
    <row r="2860" spans="12:26" x14ac:dyDescent="0.55000000000000004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5"/>
        <v>176099.59317803659</v>
      </c>
    </row>
    <row r="2861" spans="12:26" x14ac:dyDescent="0.55000000000000004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5"/>
        <v>176099.59317803659</v>
      </c>
    </row>
    <row r="2862" spans="12:26" x14ac:dyDescent="0.55000000000000004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5"/>
        <v>176099.59317803659</v>
      </c>
    </row>
    <row r="2863" spans="12:26" x14ac:dyDescent="0.55000000000000004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5"/>
        <v>176099.59317803659</v>
      </c>
    </row>
    <row r="2864" spans="12:26" x14ac:dyDescent="0.55000000000000004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5"/>
        <v>176099.59317803659</v>
      </c>
    </row>
    <row r="2865" spans="12:26" x14ac:dyDescent="0.55000000000000004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5"/>
        <v>176099.59317803659</v>
      </c>
    </row>
    <row r="2866" spans="12:26" x14ac:dyDescent="0.55000000000000004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5"/>
        <v>176099.59317803659</v>
      </c>
    </row>
    <row r="2867" spans="12:26" x14ac:dyDescent="0.55000000000000004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5"/>
        <v>176099.59317803659</v>
      </c>
    </row>
    <row r="2868" spans="12:26" x14ac:dyDescent="0.55000000000000004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5"/>
        <v>176099.59317803659</v>
      </c>
    </row>
    <row r="2869" spans="12:26" x14ac:dyDescent="0.55000000000000004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5"/>
        <v>176099.59317803659</v>
      </c>
    </row>
    <row r="2870" spans="12:26" x14ac:dyDescent="0.55000000000000004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5"/>
        <v>176099.59317803659</v>
      </c>
    </row>
    <row r="2871" spans="12:26" x14ac:dyDescent="0.55000000000000004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5"/>
        <v>176099.59317803659</v>
      </c>
    </row>
    <row r="2872" spans="12:26" x14ac:dyDescent="0.55000000000000004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5"/>
        <v>176099.59317803659</v>
      </c>
    </row>
    <row r="2873" spans="12:26" x14ac:dyDescent="0.55000000000000004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5"/>
        <v>176099.59317803659</v>
      </c>
    </row>
    <row r="2874" spans="12:26" x14ac:dyDescent="0.55000000000000004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5"/>
        <v>176099.59317803659</v>
      </c>
    </row>
    <row r="2875" spans="12:26" x14ac:dyDescent="0.55000000000000004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5"/>
        <v>176099.59317803659</v>
      </c>
    </row>
    <row r="2876" spans="12:26" x14ac:dyDescent="0.55000000000000004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5"/>
        <v>176099.59317803659</v>
      </c>
    </row>
    <row r="2877" spans="12:26" x14ac:dyDescent="0.55000000000000004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5"/>
        <v>176099.59317803659</v>
      </c>
    </row>
    <row r="2878" spans="12:26" x14ac:dyDescent="0.55000000000000004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5"/>
        <v>176099.59317803659</v>
      </c>
    </row>
    <row r="2879" spans="12:26" x14ac:dyDescent="0.55000000000000004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5"/>
        <v>176099.59317803659</v>
      </c>
    </row>
    <row r="2880" spans="12:26" x14ac:dyDescent="0.55000000000000004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5"/>
        <v>176099.59317803659</v>
      </c>
    </row>
    <row r="2881" spans="12:26" x14ac:dyDescent="0.55000000000000004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5"/>
        <v>176099.59317803659</v>
      </c>
    </row>
    <row r="2882" spans="12:26" x14ac:dyDescent="0.55000000000000004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5"/>
        <v>176099.59317803659</v>
      </c>
    </row>
    <row r="2883" spans="12:26" x14ac:dyDescent="0.55000000000000004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5"/>
        <v>176099.59317803659</v>
      </c>
    </row>
    <row r="2884" spans="12:26" x14ac:dyDescent="0.55000000000000004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5"/>
        <v>176099.59317803659</v>
      </c>
    </row>
    <row r="2885" spans="12:26" x14ac:dyDescent="0.55000000000000004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5"/>
        <v>176099.59317803659</v>
      </c>
    </row>
    <row r="2886" spans="12:26" x14ac:dyDescent="0.55000000000000004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5"/>
        <v>176099.59317803659</v>
      </c>
    </row>
    <row r="2887" spans="12:26" x14ac:dyDescent="0.55000000000000004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6">Y2887/X2887</f>
        <v>176099.59317803659</v>
      </c>
    </row>
    <row r="2888" spans="12:26" x14ac:dyDescent="0.55000000000000004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6"/>
        <v>176099.59317803659</v>
      </c>
    </row>
    <row r="2889" spans="12:26" x14ac:dyDescent="0.55000000000000004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6"/>
        <v>176099.59317803659</v>
      </c>
    </row>
    <row r="2890" spans="12:26" x14ac:dyDescent="0.55000000000000004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6"/>
        <v>176099.59317803659</v>
      </c>
    </row>
    <row r="2891" spans="12:26" x14ac:dyDescent="0.55000000000000004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6"/>
        <v>176099.59317803659</v>
      </c>
    </row>
    <row r="2892" spans="12:26" x14ac:dyDescent="0.55000000000000004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6"/>
        <v>176099.59317803659</v>
      </c>
    </row>
    <row r="2893" spans="12:26" x14ac:dyDescent="0.55000000000000004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6"/>
        <v>176099.59317803659</v>
      </c>
    </row>
    <row r="2894" spans="12:26" x14ac:dyDescent="0.55000000000000004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6"/>
        <v>176099.59317803659</v>
      </c>
    </row>
    <row r="2895" spans="12:26" x14ac:dyDescent="0.55000000000000004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6"/>
        <v>176099.59317803659</v>
      </c>
    </row>
    <row r="2896" spans="12:26" x14ac:dyDescent="0.55000000000000004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6"/>
        <v>176099.59317803659</v>
      </c>
    </row>
    <row r="2897" spans="12:26" x14ac:dyDescent="0.55000000000000004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6"/>
        <v>176099.59317803659</v>
      </c>
    </row>
    <row r="2898" spans="12:26" x14ac:dyDescent="0.55000000000000004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6"/>
        <v>176099.59317803659</v>
      </c>
    </row>
    <row r="2899" spans="12:26" x14ac:dyDescent="0.55000000000000004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6"/>
        <v>176099.59317803659</v>
      </c>
    </row>
    <row r="2900" spans="12:26" x14ac:dyDescent="0.55000000000000004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6"/>
        <v>176099.59317803659</v>
      </c>
    </row>
    <row r="2901" spans="12:26" x14ac:dyDescent="0.55000000000000004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6"/>
        <v>176099.59317803659</v>
      </c>
    </row>
    <row r="2902" spans="12:26" x14ac:dyDescent="0.55000000000000004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6"/>
        <v>176099.59317803659</v>
      </c>
    </row>
    <row r="2903" spans="12:26" x14ac:dyDescent="0.55000000000000004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6"/>
        <v>176099.59317803659</v>
      </c>
    </row>
    <row r="2904" spans="12:26" x14ac:dyDescent="0.55000000000000004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6"/>
        <v>176099.59317803659</v>
      </c>
    </row>
    <row r="2905" spans="12:26" x14ac:dyDescent="0.55000000000000004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6"/>
        <v>176099.59317803659</v>
      </c>
    </row>
    <row r="2906" spans="12:26" x14ac:dyDescent="0.55000000000000004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6"/>
        <v>176099.59317803659</v>
      </c>
    </row>
    <row r="2907" spans="12:26" x14ac:dyDescent="0.55000000000000004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6"/>
        <v>176099.59317803659</v>
      </c>
    </row>
    <row r="2908" spans="12:26" x14ac:dyDescent="0.55000000000000004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6"/>
        <v>176099.59317803659</v>
      </c>
    </row>
    <row r="2909" spans="12:26" x14ac:dyDescent="0.55000000000000004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6"/>
        <v>176099.59317803659</v>
      </c>
    </row>
    <row r="2910" spans="12:26" x14ac:dyDescent="0.55000000000000004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6"/>
        <v>176099.59317803659</v>
      </c>
    </row>
    <row r="2911" spans="12:26" x14ac:dyDescent="0.55000000000000004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6"/>
        <v>176099.59317803659</v>
      </c>
    </row>
    <row r="2912" spans="12:26" x14ac:dyDescent="0.55000000000000004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6"/>
        <v>176099.59317803659</v>
      </c>
    </row>
    <row r="2913" spans="12:26" x14ac:dyDescent="0.55000000000000004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6"/>
        <v>176099.59317803659</v>
      </c>
    </row>
    <row r="2914" spans="12:26" x14ac:dyDescent="0.55000000000000004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6"/>
        <v>176099.59317803659</v>
      </c>
    </row>
    <row r="2915" spans="12:26" x14ac:dyDescent="0.55000000000000004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6"/>
        <v>176099.59317803659</v>
      </c>
    </row>
    <row r="2916" spans="12:26" x14ac:dyDescent="0.55000000000000004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6"/>
        <v>176099.59317803659</v>
      </c>
    </row>
    <row r="2917" spans="12:26" x14ac:dyDescent="0.55000000000000004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6"/>
        <v>176099.59317803659</v>
      </c>
    </row>
    <row r="2918" spans="12:26" x14ac:dyDescent="0.55000000000000004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6"/>
        <v>176099.59317803659</v>
      </c>
    </row>
    <row r="2919" spans="12:26" x14ac:dyDescent="0.55000000000000004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6"/>
        <v>176099.59317803659</v>
      </c>
    </row>
    <row r="2920" spans="12:26" x14ac:dyDescent="0.55000000000000004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6"/>
        <v>176099.59317803659</v>
      </c>
    </row>
    <row r="2921" spans="12:26" x14ac:dyDescent="0.55000000000000004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6"/>
        <v>176099.59317803659</v>
      </c>
    </row>
    <row r="2922" spans="12:26" x14ac:dyDescent="0.55000000000000004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6"/>
        <v>176099.59317803659</v>
      </c>
    </row>
    <row r="2923" spans="12:26" x14ac:dyDescent="0.55000000000000004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6"/>
        <v>176099.59317803659</v>
      </c>
    </row>
    <row r="2924" spans="12:26" x14ac:dyDescent="0.55000000000000004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6"/>
        <v>176099.59317803659</v>
      </c>
    </row>
    <row r="2925" spans="12:26" x14ac:dyDescent="0.55000000000000004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6"/>
        <v>176099.59317803659</v>
      </c>
    </row>
    <row r="2926" spans="12:26" x14ac:dyDescent="0.55000000000000004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6"/>
        <v>176099.59317803659</v>
      </c>
    </row>
    <row r="2927" spans="12:26" x14ac:dyDescent="0.55000000000000004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6"/>
        <v>176099.59317803659</v>
      </c>
    </row>
    <row r="2928" spans="12:26" x14ac:dyDescent="0.55000000000000004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6"/>
        <v>176099.59317803659</v>
      </c>
    </row>
    <row r="2929" spans="12:26" x14ac:dyDescent="0.55000000000000004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6"/>
        <v>176099.59317803659</v>
      </c>
    </row>
    <row r="2930" spans="12:26" x14ac:dyDescent="0.55000000000000004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6"/>
        <v>176099.59317803659</v>
      </c>
    </row>
    <row r="2931" spans="12:26" x14ac:dyDescent="0.55000000000000004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6"/>
        <v>176099.59317803659</v>
      </c>
    </row>
    <row r="2932" spans="12:26" x14ac:dyDescent="0.55000000000000004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6"/>
        <v>176099.59317803659</v>
      </c>
    </row>
    <row r="2933" spans="12:26" x14ac:dyDescent="0.55000000000000004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6"/>
        <v>176099.59317803659</v>
      </c>
    </row>
    <row r="2934" spans="12:26" x14ac:dyDescent="0.55000000000000004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6"/>
        <v>176099.59317803659</v>
      </c>
    </row>
    <row r="2935" spans="12:26" x14ac:dyDescent="0.55000000000000004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6"/>
        <v>176099.59317803659</v>
      </c>
    </row>
    <row r="2936" spans="12:26" x14ac:dyDescent="0.55000000000000004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6"/>
        <v>176099.59317803659</v>
      </c>
    </row>
    <row r="2937" spans="12:26" x14ac:dyDescent="0.55000000000000004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6"/>
        <v>176099.59317803659</v>
      </c>
    </row>
    <row r="2938" spans="12:26" x14ac:dyDescent="0.55000000000000004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6"/>
        <v>176099.59317803659</v>
      </c>
    </row>
    <row r="2939" spans="12:26" x14ac:dyDescent="0.55000000000000004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6"/>
        <v>176099.59317803659</v>
      </c>
    </row>
    <row r="2940" spans="12:26" x14ac:dyDescent="0.55000000000000004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6"/>
        <v>176099.59317803659</v>
      </c>
    </row>
    <row r="2941" spans="12:26" x14ac:dyDescent="0.55000000000000004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6"/>
        <v>176099.59317803659</v>
      </c>
    </row>
    <row r="2942" spans="12:26" x14ac:dyDescent="0.55000000000000004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6"/>
        <v>176099.59317803659</v>
      </c>
    </row>
    <row r="2943" spans="12:26" x14ac:dyDescent="0.55000000000000004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6"/>
        <v>176099.59317803659</v>
      </c>
    </row>
    <row r="2944" spans="12:26" x14ac:dyDescent="0.55000000000000004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6"/>
        <v>176099.59317803659</v>
      </c>
    </row>
    <row r="2945" spans="12:26" x14ac:dyDescent="0.55000000000000004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6"/>
        <v>176099.59317803659</v>
      </c>
    </row>
    <row r="2946" spans="12:26" x14ac:dyDescent="0.55000000000000004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6"/>
        <v>176099.59317803659</v>
      </c>
    </row>
    <row r="2947" spans="12:26" x14ac:dyDescent="0.55000000000000004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6"/>
        <v>176099.59317803659</v>
      </c>
    </row>
    <row r="2948" spans="12:26" x14ac:dyDescent="0.55000000000000004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6"/>
        <v>176099.59317803659</v>
      </c>
    </row>
    <row r="2949" spans="12:26" x14ac:dyDescent="0.55000000000000004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6"/>
        <v>176099.59317803659</v>
      </c>
    </row>
    <row r="2950" spans="12:26" x14ac:dyDescent="0.55000000000000004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6"/>
        <v>176099.59317803659</v>
      </c>
    </row>
    <row r="2951" spans="12:26" x14ac:dyDescent="0.55000000000000004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7">Y2951/X2951</f>
        <v>176099.59317803659</v>
      </c>
    </row>
    <row r="2952" spans="12:26" x14ac:dyDescent="0.55000000000000004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7"/>
        <v>176099.59317803659</v>
      </c>
    </row>
    <row r="2953" spans="12:26" x14ac:dyDescent="0.55000000000000004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7"/>
        <v>176099.59317803659</v>
      </c>
    </row>
    <row r="2954" spans="12:26" x14ac:dyDescent="0.55000000000000004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7"/>
        <v>176099.59317803659</v>
      </c>
    </row>
    <row r="2955" spans="12:26" x14ac:dyDescent="0.55000000000000004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7"/>
        <v>176099.59317803659</v>
      </c>
    </row>
    <row r="2956" spans="12:26" x14ac:dyDescent="0.55000000000000004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7"/>
        <v>176099.59317803659</v>
      </c>
    </row>
    <row r="2957" spans="12:26" x14ac:dyDescent="0.55000000000000004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7"/>
        <v>176099.59317803659</v>
      </c>
    </row>
    <row r="2958" spans="12:26" x14ac:dyDescent="0.55000000000000004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7"/>
        <v>176099.59317803659</v>
      </c>
    </row>
    <row r="2959" spans="12:26" x14ac:dyDescent="0.55000000000000004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7"/>
        <v>176099.59317803659</v>
      </c>
    </row>
    <row r="2960" spans="12:26" x14ac:dyDescent="0.55000000000000004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7"/>
        <v>176099.59317803659</v>
      </c>
    </row>
    <row r="2961" spans="12:26" x14ac:dyDescent="0.55000000000000004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7"/>
        <v>176099.59317803659</v>
      </c>
    </row>
    <row r="2962" spans="12:26" x14ac:dyDescent="0.55000000000000004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7"/>
        <v>176099.59317803659</v>
      </c>
    </row>
    <row r="2963" spans="12:26" x14ac:dyDescent="0.55000000000000004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7"/>
        <v>176099.59317803659</v>
      </c>
    </row>
    <row r="2964" spans="12:26" x14ac:dyDescent="0.55000000000000004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7"/>
        <v>176099.59317803659</v>
      </c>
    </row>
    <row r="2965" spans="12:26" x14ac:dyDescent="0.55000000000000004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7"/>
        <v>176099.59317803659</v>
      </c>
    </row>
    <row r="2966" spans="12:26" x14ac:dyDescent="0.55000000000000004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7"/>
        <v>176099.59317803659</v>
      </c>
    </row>
    <row r="2967" spans="12:26" x14ac:dyDescent="0.55000000000000004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7"/>
        <v>176099.59317803659</v>
      </c>
    </row>
    <row r="2968" spans="12:26" x14ac:dyDescent="0.55000000000000004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7"/>
        <v>176099.59317803659</v>
      </c>
    </row>
    <row r="2969" spans="12:26" x14ac:dyDescent="0.55000000000000004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7"/>
        <v>176099.59317803659</v>
      </c>
    </row>
    <row r="2970" spans="12:26" x14ac:dyDescent="0.55000000000000004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7"/>
        <v>176099.59317803659</v>
      </c>
    </row>
    <row r="2971" spans="12:26" x14ac:dyDescent="0.55000000000000004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7"/>
        <v>176099.59317803659</v>
      </c>
    </row>
    <row r="2972" spans="12:26" x14ac:dyDescent="0.55000000000000004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7"/>
        <v>176099.59317803659</v>
      </c>
    </row>
    <row r="2973" spans="12:26" x14ac:dyDescent="0.55000000000000004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7"/>
        <v>176099.59317803659</v>
      </c>
    </row>
    <row r="2974" spans="12:26" x14ac:dyDescent="0.55000000000000004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7"/>
        <v>176099.59317803659</v>
      </c>
    </row>
    <row r="2975" spans="12:26" x14ac:dyDescent="0.55000000000000004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7"/>
        <v>176099.59317803659</v>
      </c>
    </row>
    <row r="2976" spans="12:26" x14ac:dyDescent="0.55000000000000004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7"/>
        <v>176099.59317803659</v>
      </c>
    </row>
    <row r="2977" spans="12:26" x14ac:dyDescent="0.55000000000000004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7"/>
        <v>176099.59317803659</v>
      </c>
    </row>
    <row r="2978" spans="12:26" x14ac:dyDescent="0.55000000000000004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7"/>
        <v>176099.59317803659</v>
      </c>
    </row>
    <row r="2979" spans="12:26" x14ac:dyDescent="0.55000000000000004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7"/>
        <v>176099.59317803659</v>
      </c>
    </row>
    <row r="2980" spans="12:26" x14ac:dyDescent="0.55000000000000004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7"/>
        <v>176099.59317803659</v>
      </c>
    </row>
    <row r="2981" spans="12:26" x14ac:dyDescent="0.55000000000000004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7"/>
        <v>176099.59317803659</v>
      </c>
    </row>
    <row r="2982" spans="12:26" x14ac:dyDescent="0.55000000000000004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7"/>
        <v>176099.59317803659</v>
      </c>
    </row>
    <row r="2983" spans="12:26" x14ac:dyDescent="0.55000000000000004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7"/>
        <v>176099.59317803659</v>
      </c>
    </row>
    <row r="2984" spans="12:26" x14ac:dyDescent="0.55000000000000004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7"/>
        <v>176099.59317803659</v>
      </c>
    </row>
    <row r="2985" spans="12:26" x14ac:dyDescent="0.55000000000000004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7"/>
        <v>176099.59317803659</v>
      </c>
    </row>
    <row r="2986" spans="12:26" x14ac:dyDescent="0.55000000000000004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7"/>
        <v>176099.59317803659</v>
      </c>
    </row>
    <row r="2987" spans="12:26" x14ac:dyDescent="0.55000000000000004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7"/>
        <v>176099.59317803659</v>
      </c>
    </row>
    <row r="2988" spans="12:26" x14ac:dyDescent="0.55000000000000004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7"/>
        <v>176099.59317803659</v>
      </c>
    </row>
    <row r="2989" spans="12:26" x14ac:dyDescent="0.55000000000000004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7"/>
        <v>176099.59317803659</v>
      </c>
    </row>
    <row r="2990" spans="12:26" x14ac:dyDescent="0.55000000000000004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7"/>
        <v>176099.59317803659</v>
      </c>
    </row>
    <row r="2991" spans="12:26" x14ac:dyDescent="0.55000000000000004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7"/>
        <v>176099.59317803659</v>
      </c>
    </row>
    <row r="2992" spans="12:26" x14ac:dyDescent="0.55000000000000004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7"/>
        <v>176099.59317803659</v>
      </c>
    </row>
    <row r="2993" spans="12:26" x14ac:dyDescent="0.55000000000000004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7"/>
        <v>176099.59317803659</v>
      </c>
    </row>
    <row r="2994" spans="12:26" x14ac:dyDescent="0.55000000000000004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7"/>
        <v>176099.59317803659</v>
      </c>
    </row>
    <row r="2995" spans="12:26" x14ac:dyDescent="0.55000000000000004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7"/>
        <v>176099.59317803659</v>
      </c>
    </row>
    <row r="2996" spans="12:26" x14ac:dyDescent="0.55000000000000004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7"/>
        <v>176099.59317803659</v>
      </c>
    </row>
    <row r="2997" spans="12:26" x14ac:dyDescent="0.55000000000000004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7"/>
        <v>176099.59317803659</v>
      </c>
    </row>
    <row r="2998" spans="12:26" x14ac:dyDescent="0.55000000000000004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7"/>
        <v>176099.59317803659</v>
      </c>
    </row>
    <row r="2999" spans="12:26" x14ac:dyDescent="0.55000000000000004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7"/>
        <v>176099.59317803659</v>
      </c>
    </row>
    <row r="3000" spans="12:26" x14ac:dyDescent="0.55000000000000004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7"/>
        <v>176099.59317803659</v>
      </c>
    </row>
    <row r="3001" spans="12:26" x14ac:dyDescent="0.55000000000000004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7"/>
        <v>176099.59317803659</v>
      </c>
    </row>
    <row r="3002" spans="12:26" x14ac:dyDescent="0.55000000000000004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7"/>
        <v>176099.59317803659</v>
      </c>
    </row>
    <row r="3003" spans="12:26" x14ac:dyDescent="0.55000000000000004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7"/>
        <v>176099.59317803659</v>
      </c>
    </row>
    <row r="3004" spans="12:26" x14ac:dyDescent="0.55000000000000004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7"/>
        <v>176099.59317803659</v>
      </c>
    </row>
    <row r="3005" spans="12:26" x14ac:dyDescent="0.55000000000000004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7"/>
        <v>176099.59317803659</v>
      </c>
    </row>
    <row r="3006" spans="12:26" x14ac:dyDescent="0.55000000000000004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7"/>
        <v>176099.59317803659</v>
      </c>
    </row>
    <row r="3007" spans="12:26" x14ac:dyDescent="0.55000000000000004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7"/>
        <v>176099.59317803659</v>
      </c>
    </row>
    <row r="3008" spans="12:26" x14ac:dyDescent="0.55000000000000004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7"/>
        <v>176099.59317803659</v>
      </c>
    </row>
    <row r="3009" spans="12:26" x14ac:dyDescent="0.55000000000000004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7"/>
        <v>176099.59317803659</v>
      </c>
    </row>
    <row r="3010" spans="12:26" x14ac:dyDescent="0.55000000000000004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7"/>
        <v>176099.59317803659</v>
      </c>
    </row>
    <row r="3011" spans="12:26" x14ac:dyDescent="0.55000000000000004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7"/>
        <v>176099.59317803659</v>
      </c>
    </row>
    <row r="3012" spans="12:26" x14ac:dyDescent="0.55000000000000004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7"/>
        <v>176099.59317803659</v>
      </c>
    </row>
    <row r="3013" spans="12:26" x14ac:dyDescent="0.55000000000000004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7"/>
        <v>176099.59317803659</v>
      </c>
    </row>
    <row r="3014" spans="12:26" x14ac:dyDescent="0.55000000000000004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7"/>
        <v>176099.59317803659</v>
      </c>
    </row>
    <row r="3015" spans="12:26" x14ac:dyDescent="0.55000000000000004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8">Y3015/X3015</f>
        <v>176099.59317803659</v>
      </c>
    </row>
    <row r="3016" spans="12:26" x14ac:dyDescent="0.55000000000000004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8"/>
        <v>176099.59317803659</v>
      </c>
    </row>
    <row r="3017" spans="12:26" x14ac:dyDescent="0.55000000000000004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8"/>
        <v>176099.59317803659</v>
      </c>
    </row>
    <row r="3018" spans="12:26" x14ac:dyDescent="0.55000000000000004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8"/>
        <v>176099.59317803659</v>
      </c>
    </row>
    <row r="3019" spans="12:26" x14ac:dyDescent="0.55000000000000004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8"/>
        <v>176099.59317803659</v>
      </c>
    </row>
    <row r="3020" spans="12:26" x14ac:dyDescent="0.55000000000000004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8"/>
        <v>176099.59317803659</v>
      </c>
    </row>
    <row r="3021" spans="12:26" x14ac:dyDescent="0.55000000000000004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8"/>
        <v>176099.59317803659</v>
      </c>
    </row>
    <row r="3022" spans="12:26" x14ac:dyDescent="0.55000000000000004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8"/>
        <v>176099.59317803659</v>
      </c>
    </row>
    <row r="3023" spans="12:26" x14ac:dyDescent="0.55000000000000004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8"/>
        <v>176099.59317803659</v>
      </c>
    </row>
    <row r="3024" spans="12:26" x14ac:dyDescent="0.55000000000000004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8"/>
        <v>176099.59317803659</v>
      </c>
    </row>
    <row r="3025" spans="12:26" x14ac:dyDescent="0.55000000000000004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8"/>
        <v>176099.59317803659</v>
      </c>
    </row>
    <row r="3026" spans="12:26" x14ac:dyDescent="0.55000000000000004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8"/>
        <v>176099.59317803659</v>
      </c>
    </row>
    <row r="3027" spans="12:26" x14ac:dyDescent="0.55000000000000004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8"/>
        <v>176099.59317803659</v>
      </c>
    </row>
    <row r="3028" spans="12:26" x14ac:dyDescent="0.55000000000000004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8"/>
        <v>176099.59317803659</v>
      </c>
    </row>
    <row r="3029" spans="12:26" x14ac:dyDescent="0.55000000000000004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8"/>
        <v>176099.59317803659</v>
      </c>
    </row>
    <row r="3030" spans="12:26" x14ac:dyDescent="0.55000000000000004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8"/>
        <v>176099.59317803659</v>
      </c>
    </row>
    <row r="3031" spans="12:26" x14ac:dyDescent="0.55000000000000004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8"/>
        <v>176099.59317803659</v>
      </c>
    </row>
    <row r="3032" spans="12:26" x14ac:dyDescent="0.55000000000000004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8"/>
        <v>176099.59317803659</v>
      </c>
    </row>
    <row r="3033" spans="12:26" x14ac:dyDescent="0.55000000000000004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8"/>
        <v>176099.59317803659</v>
      </c>
    </row>
    <row r="3034" spans="12:26" x14ac:dyDescent="0.55000000000000004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8"/>
        <v>176099.59317803659</v>
      </c>
    </row>
    <row r="3035" spans="12:26" x14ac:dyDescent="0.55000000000000004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8"/>
        <v>176099.59317803659</v>
      </c>
    </row>
    <row r="3036" spans="12:26" x14ac:dyDescent="0.55000000000000004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8"/>
        <v>176099.59317803659</v>
      </c>
    </row>
    <row r="3037" spans="12:26" x14ac:dyDescent="0.55000000000000004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8"/>
        <v>176099.59317803659</v>
      </c>
    </row>
    <row r="3038" spans="12:26" x14ac:dyDescent="0.55000000000000004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8"/>
        <v>176099.59317803659</v>
      </c>
    </row>
    <row r="3039" spans="12:26" x14ac:dyDescent="0.55000000000000004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8"/>
        <v>176099.59317803659</v>
      </c>
    </row>
    <row r="3040" spans="12:26" x14ac:dyDescent="0.55000000000000004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8"/>
        <v>176099.59317803659</v>
      </c>
    </row>
    <row r="3041" spans="12:26" x14ac:dyDescent="0.55000000000000004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8"/>
        <v>176099.59317803659</v>
      </c>
    </row>
    <row r="3042" spans="12:26" x14ac:dyDescent="0.55000000000000004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8"/>
        <v>176099.59317803659</v>
      </c>
    </row>
    <row r="3043" spans="12:26" x14ac:dyDescent="0.55000000000000004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8"/>
        <v>176099.59317803659</v>
      </c>
    </row>
    <row r="3044" spans="12:26" x14ac:dyDescent="0.55000000000000004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8"/>
        <v>176099.59317803659</v>
      </c>
    </row>
    <row r="3045" spans="12:26" x14ac:dyDescent="0.55000000000000004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8"/>
        <v>176099.59317803659</v>
      </c>
    </row>
    <row r="3046" spans="12:26" x14ac:dyDescent="0.55000000000000004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8"/>
        <v>176099.59317803659</v>
      </c>
    </row>
    <row r="3047" spans="12:26" x14ac:dyDescent="0.55000000000000004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8"/>
        <v>176099.59317803659</v>
      </c>
    </row>
    <row r="3048" spans="12:26" x14ac:dyDescent="0.55000000000000004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8"/>
        <v>176099.59317803659</v>
      </c>
    </row>
    <row r="3049" spans="12:26" x14ac:dyDescent="0.55000000000000004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8"/>
        <v>176099.59317803659</v>
      </c>
    </row>
    <row r="3050" spans="12:26" x14ac:dyDescent="0.55000000000000004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8"/>
        <v>176099.59317803659</v>
      </c>
    </row>
    <row r="3051" spans="12:26" x14ac:dyDescent="0.55000000000000004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8"/>
        <v>176099.59317803659</v>
      </c>
    </row>
    <row r="3052" spans="12:26" x14ac:dyDescent="0.55000000000000004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8"/>
        <v>176099.59317803659</v>
      </c>
    </row>
    <row r="3053" spans="12:26" x14ac:dyDescent="0.55000000000000004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8"/>
        <v>176099.59317803659</v>
      </c>
    </row>
    <row r="3054" spans="12:26" x14ac:dyDescent="0.55000000000000004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8"/>
        <v>176099.59317803659</v>
      </c>
    </row>
    <row r="3055" spans="12:26" x14ac:dyDescent="0.55000000000000004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8"/>
        <v>176099.59317803659</v>
      </c>
    </row>
    <row r="3056" spans="12:26" x14ac:dyDescent="0.55000000000000004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8"/>
        <v>176099.59317803659</v>
      </c>
    </row>
    <row r="3057" spans="12:26" x14ac:dyDescent="0.55000000000000004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8"/>
        <v>176099.59317803659</v>
      </c>
    </row>
    <row r="3058" spans="12:26" x14ac:dyDescent="0.55000000000000004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8"/>
        <v>176099.59317803659</v>
      </c>
    </row>
    <row r="3059" spans="12:26" x14ac:dyDescent="0.55000000000000004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8"/>
        <v>176099.59317803659</v>
      </c>
    </row>
    <row r="3060" spans="12:26" x14ac:dyDescent="0.55000000000000004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8"/>
        <v>176099.59317803659</v>
      </c>
    </row>
    <row r="3061" spans="12:26" x14ac:dyDescent="0.55000000000000004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8"/>
        <v>176099.59317803659</v>
      </c>
    </row>
    <row r="3062" spans="12:26" x14ac:dyDescent="0.55000000000000004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8"/>
        <v>176099.59317803659</v>
      </c>
    </row>
    <row r="3063" spans="12:26" x14ac:dyDescent="0.55000000000000004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8"/>
        <v>176099.59317803659</v>
      </c>
    </row>
    <row r="3064" spans="12:26" x14ac:dyDescent="0.55000000000000004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8"/>
        <v>176099.59317803659</v>
      </c>
    </row>
    <row r="3065" spans="12:26" x14ac:dyDescent="0.55000000000000004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8"/>
        <v>176099.59317803659</v>
      </c>
    </row>
    <row r="3066" spans="12:26" x14ac:dyDescent="0.55000000000000004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8"/>
        <v>176099.59317803659</v>
      </c>
    </row>
    <row r="3067" spans="12:26" x14ac:dyDescent="0.55000000000000004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8"/>
        <v>176099.59317803659</v>
      </c>
    </row>
    <row r="3068" spans="12:26" x14ac:dyDescent="0.55000000000000004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8"/>
        <v>176099.59317803659</v>
      </c>
    </row>
    <row r="3069" spans="12:26" x14ac:dyDescent="0.55000000000000004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8"/>
        <v>176099.59317803659</v>
      </c>
    </row>
    <row r="3070" spans="12:26" x14ac:dyDescent="0.55000000000000004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8"/>
        <v>176099.59317803659</v>
      </c>
    </row>
    <row r="3071" spans="12:26" x14ac:dyDescent="0.55000000000000004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8"/>
        <v>176099.59317803659</v>
      </c>
    </row>
    <row r="3072" spans="12:26" x14ac:dyDescent="0.55000000000000004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8"/>
        <v>176099.59317803659</v>
      </c>
    </row>
    <row r="3073" spans="12:26" x14ac:dyDescent="0.55000000000000004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8"/>
        <v>176099.59317803659</v>
      </c>
    </row>
    <row r="3074" spans="12:26" x14ac:dyDescent="0.55000000000000004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8"/>
        <v>176099.59317803659</v>
      </c>
    </row>
    <row r="3075" spans="12:26" x14ac:dyDescent="0.55000000000000004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8"/>
        <v>176099.59317803659</v>
      </c>
    </row>
    <row r="3076" spans="12:26" x14ac:dyDescent="0.55000000000000004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8"/>
        <v>176099.59317803659</v>
      </c>
    </row>
    <row r="3077" spans="12:26" x14ac:dyDescent="0.55000000000000004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8"/>
        <v>176099.59317803659</v>
      </c>
    </row>
    <row r="3078" spans="12:26" x14ac:dyDescent="0.55000000000000004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8"/>
        <v>176099.59317803659</v>
      </c>
    </row>
    <row r="3079" spans="12:26" x14ac:dyDescent="0.55000000000000004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9">Y3079/X3079</f>
        <v>176099.59317803659</v>
      </c>
    </row>
    <row r="3080" spans="12:26" x14ac:dyDescent="0.55000000000000004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9"/>
        <v>176099.59317803659</v>
      </c>
    </row>
    <row r="3081" spans="12:26" x14ac:dyDescent="0.55000000000000004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9"/>
        <v>176099.59317803659</v>
      </c>
    </row>
    <row r="3082" spans="12:26" x14ac:dyDescent="0.55000000000000004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9"/>
        <v>176099.59317803659</v>
      </c>
    </row>
    <row r="3083" spans="12:26" x14ac:dyDescent="0.55000000000000004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9"/>
        <v>176099.59317803659</v>
      </c>
    </row>
    <row r="3084" spans="12:26" x14ac:dyDescent="0.55000000000000004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9"/>
        <v>176099.59317803659</v>
      </c>
    </row>
    <row r="3085" spans="12:26" x14ac:dyDescent="0.55000000000000004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9"/>
        <v>176099.59317803659</v>
      </c>
    </row>
    <row r="3086" spans="12:26" x14ac:dyDescent="0.55000000000000004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9"/>
        <v>176099.59317803659</v>
      </c>
    </row>
    <row r="3087" spans="12:26" x14ac:dyDescent="0.55000000000000004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9"/>
        <v>176099.59317803659</v>
      </c>
    </row>
    <row r="3088" spans="12:26" x14ac:dyDescent="0.55000000000000004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9"/>
        <v>176099.59317803659</v>
      </c>
    </row>
    <row r="3089" spans="12:26" x14ac:dyDescent="0.55000000000000004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9"/>
        <v>176099.59317803659</v>
      </c>
    </row>
    <row r="3090" spans="12:26" x14ac:dyDescent="0.55000000000000004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9"/>
        <v>176099.59317803659</v>
      </c>
    </row>
    <row r="3091" spans="12:26" x14ac:dyDescent="0.55000000000000004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9"/>
        <v>176099.59317803659</v>
      </c>
    </row>
    <row r="3092" spans="12:26" x14ac:dyDescent="0.55000000000000004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9"/>
        <v>176099.59317803659</v>
      </c>
    </row>
    <row r="3093" spans="12:26" x14ac:dyDescent="0.55000000000000004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9"/>
        <v>176099.59317803659</v>
      </c>
    </row>
    <row r="3094" spans="12:26" x14ac:dyDescent="0.55000000000000004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9"/>
        <v>176099.59317803659</v>
      </c>
    </row>
    <row r="3095" spans="12:26" x14ac:dyDescent="0.55000000000000004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9"/>
        <v>176099.59317803659</v>
      </c>
    </row>
    <row r="3096" spans="12:26" x14ac:dyDescent="0.55000000000000004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9"/>
        <v>176099.59317803659</v>
      </c>
    </row>
    <row r="3097" spans="12:26" x14ac:dyDescent="0.55000000000000004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9"/>
        <v>176099.59317803659</v>
      </c>
    </row>
    <row r="3098" spans="12:26" x14ac:dyDescent="0.55000000000000004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9"/>
        <v>176099.59317803659</v>
      </c>
    </row>
    <row r="3099" spans="12:26" x14ac:dyDescent="0.55000000000000004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9"/>
        <v>176099.59317803659</v>
      </c>
    </row>
    <row r="3100" spans="12:26" x14ac:dyDescent="0.55000000000000004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9"/>
        <v>176099.59317803659</v>
      </c>
    </row>
    <row r="3101" spans="12:26" x14ac:dyDescent="0.55000000000000004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9"/>
        <v>176099.59317803659</v>
      </c>
    </row>
    <row r="3102" spans="12:26" x14ac:dyDescent="0.55000000000000004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9"/>
        <v>176099.59317803659</v>
      </c>
    </row>
    <row r="3103" spans="12:26" x14ac:dyDescent="0.55000000000000004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9"/>
        <v>176099.59317803659</v>
      </c>
    </row>
    <row r="3104" spans="12:26" x14ac:dyDescent="0.55000000000000004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9"/>
        <v>176099.59317803659</v>
      </c>
    </row>
    <row r="3105" spans="12:26" x14ac:dyDescent="0.55000000000000004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9"/>
        <v>176099.59317803659</v>
      </c>
    </row>
    <row r="3106" spans="12:26" x14ac:dyDescent="0.55000000000000004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9"/>
        <v>176099.59317803659</v>
      </c>
    </row>
    <row r="3107" spans="12:26" x14ac:dyDescent="0.55000000000000004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9"/>
        <v>176099.59317803659</v>
      </c>
    </row>
    <row r="3108" spans="12:26" x14ac:dyDescent="0.55000000000000004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9"/>
        <v>176099.59317803659</v>
      </c>
    </row>
    <row r="3109" spans="12:26" x14ac:dyDescent="0.55000000000000004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9"/>
        <v>176099.59317803659</v>
      </c>
    </row>
    <row r="3110" spans="12:26" x14ac:dyDescent="0.55000000000000004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9"/>
        <v>176099.59317803659</v>
      </c>
    </row>
    <row r="3111" spans="12:26" x14ac:dyDescent="0.55000000000000004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9"/>
        <v>176099.59317803659</v>
      </c>
    </row>
    <row r="3112" spans="12:26" x14ac:dyDescent="0.55000000000000004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9"/>
        <v>176099.59317803659</v>
      </c>
    </row>
    <row r="3113" spans="12:26" x14ac:dyDescent="0.55000000000000004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9"/>
        <v>176099.59317803659</v>
      </c>
    </row>
    <row r="3114" spans="12:26" x14ac:dyDescent="0.55000000000000004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9"/>
        <v>176099.59317803659</v>
      </c>
    </row>
    <row r="3115" spans="12:26" x14ac:dyDescent="0.55000000000000004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9"/>
        <v>176099.59317803659</v>
      </c>
    </row>
    <row r="3116" spans="12:26" x14ac:dyDescent="0.55000000000000004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9"/>
        <v>176099.59317803659</v>
      </c>
    </row>
    <row r="3117" spans="12:26" x14ac:dyDescent="0.55000000000000004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9"/>
        <v>176099.59317803659</v>
      </c>
    </row>
    <row r="3118" spans="12:26" x14ac:dyDescent="0.55000000000000004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9"/>
        <v>176099.59317803659</v>
      </c>
    </row>
    <row r="3119" spans="12:26" x14ac:dyDescent="0.55000000000000004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9"/>
        <v>176099.59317803659</v>
      </c>
    </row>
    <row r="3120" spans="12:26" x14ac:dyDescent="0.55000000000000004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9"/>
        <v>176099.59317803659</v>
      </c>
    </row>
    <row r="3121" spans="12:26" x14ac:dyDescent="0.55000000000000004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9"/>
        <v>176099.59317803659</v>
      </c>
    </row>
    <row r="3122" spans="12:26" x14ac:dyDescent="0.55000000000000004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9"/>
        <v>176099.59317803659</v>
      </c>
    </row>
    <row r="3123" spans="12:26" x14ac:dyDescent="0.55000000000000004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9"/>
        <v>176099.59317803659</v>
      </c>
    </row>
    <row r="3124" spans="12:26" x14ac:dyDescent="0.55000000000000004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9"/>
        <v>176099.59317803659</v>
      </c>
    </row>
    <row r="3125" spans="12:26" x14ac:dyDescent="0.55000000000000004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9"/>
        <v>176099.59317803659</v>
      </c>
    </row>
    <row r="3126" spans="12:26" x14ac:dyDescent="0.55000000000000004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9"/>
        <v>176099.59317803659</v>
      </c>
    </row>
    <row r="3127" spans="12:26" x14ac:dyDescent="0.55000000000000004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9"/>
        <v>176099.59317803659</v>
      </c>
    </row>
    <row r="3128" spans="12:26" x14ac:dyDescent="0.55000000000000004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9"/>
        <v>176099.59317803659</v>
      </c>
    </row>
    <row r="3129" spans="12:26" x14ac:dyDescent="0.55000000000000004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9"/>
        <v>176099.59317803659</v>
      </c>
    </row>
    <row r="3130" spans="12:26" x14ac:dyDescent="0.55000000000000004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9"/>
        <v>176099.59317803659</v>
      </c>
    </row>
    <row r="3131" spans="12:26" x14ac:dyDescent="0.55000000000000004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9"/>
        <v>176099.59317803659</v>
      </c>
    </row>
    <row r="3132" spans="12:26" x14ac:dyDescent="0.55000000000000004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9"/>
        <v>176099.59317803659</v>
      </c>
    </row>
    <row r="3133" spans="12:26" x14ac:dyDescent="0.55000000000000004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9"/>
        <v>176099.59317803659</v>
      </c>
    </row>
    <row r="3134" spans="12:26" x14ac:dyDescent="0.55000000000000004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9"/>
        <v>176099.59317803659</v>
      </c>
    </row>
    <row r="3135" spans="12:26" x14ac:dyDescent="0.55000000000000004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9"/>
        <v>176099.59317803659</v>
      </c>
    </row>
    <row r="3136" spans="12:26" x14ac:dyDescent="0.55000000000000004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9"/>
        <v>176099.59317803659</v>
      </c>
    </row>
    <row r="3137" spans="12:26" x14ac:dyDescent="0.55000000000000004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9"/>
        <v>176099.59317803659</v>
      </c>
    </row>
    <row r="3138" spans="12:26" x14ac:dyDescent="0.55000000000000004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9"/>
        <v>176099.59317803659</v>
      </c>
    </row>
    <row r="3139" spans="12:26" x14ac:dyDescent="0.55000000000000004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9"/>
        <v>176099.59317803659</v>
      </c>
    </row>
    <row r="3140" spans="12:26" x14ac:dyDescent="0.55000000000000004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9"/>
        <v>176099.59317803659</v>
      </c>
    </row>
    <row r="3141" spans="12:26" x14ac:dyDescent="0.55000000000000004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9"/>
        <v>176099.59317803659</v>
      </c>
    </row>
    <row r="3142" spans="12:26" x14ac:dyDescent="0.55000000000000004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9"/>
        <v>176099.59317803659</v>
      </c>
    </row>
    <row r="3143" spans="12:26" x14ac:dyDescent="0.55000000000000004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80">Y3143/X3143</f>
        <v>176099.59317803659</v>
      </c>
    </row>
    <row r="3144" spans="12:26" x14ac:dyDescent="0.55000000000000004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80"/>
        <v>176099.59317803659</v>
      </c>
    </row>
    <row r="3145" spans="12:26" x14ac:dyDescent="0.55000000000000004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80"/>
        <v>176099.59317803659</v>
      </c>
    </row>
    <row r="3146" spans="12:26" x14ac:dyDescent="0.55000000000000004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80"/>
        <v>176099.59317803659</v>
      </c>
    </row>
    <row r="3147" spans="12:26" x14ac:dyDescent="0.55000000000000004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80"/>
        <v>176099.59317803659</v>
      </c>
    </row>
    <row r="3148" spans="12:26" x14ac:dyDescent="0.55000000000000004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80"/>
        <v>176099.59317803659</v>
      </c>
    </row>
    <row r="3149" spans="12:26" x14ac:dyDescent="0.55000000000000004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80"/>
        <v>176099.59317803659</v>
      </c>
    </row>
    <row r="3150" spans="12:26" x14ac:dyDescent="0.55000000000000004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80"/>
        <v>176099.59317803659</v>
      </c>
    </row>
    <row r="3151" spans="12:26" x14ac:dyDescent="0.55000000000000004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80"/>
        <v>176099.59317803659</v>
      </c>
    </row>
    <row r="3152" spans="12:26" x14ac:dyDescent="0.55000000000000004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80"/>
        <v>176099.59317803659</v>
      </c>
    </row>
    <row r="3153" spans="12:26" x14ac:dyDescent="0.55000000000000004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80"/>
        <v>176099.59317803659</v>
      </c>
    </row>
    <row r="3154" spans="12:26" x14ac:dyDescent="0.55000000000000004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80"/>
        <v>176099.59317803659</v>
      </c>
    </row>
    <row r="3155" spans="12:26" x14ac:dyDescent="0.55000000000000004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80"/>
        <v>176099.59317803659</v>
      </c>
    </row>
    <row r="3156" spans="12:26" x14ac:dyDescent="0.55000000000000004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80"/>
        <v>176099.59317803659</v>
      </c>
    </row>
    <row r="3157" spans="12:26" x14ac:dyDescent="0.55000000000000004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80"/>
        <v>176099.59317803659</v>
      </c>
    </row>
    <row r="3158" spans="12:26" x14ac:dyDescent="0.55000000000000004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80"/>
        <v>176099.59317803659</v>
      </c>
    </row>
    <row r="3159" spans="12:26" x14ac:dyDescent="0.55000000000000004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80"/>
        <v>176099.59317803659</v>
      </c>
    </row>
    <row r="3160" spans="12:26" x14ac:dyDescent="0.55000000000000004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80"/>
        <v>176099.59317803659</v>
      </c>
    </row>
    <row r="3161" spans="12:26" x14ac:dyDescent="0.55000000000000004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80"/>
        <v>176099.59317803659</v>
      </c>
    </row>
    <row r="3162" spans="12:26" x14ac:dyDescent="0.55000000000000004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80"/>
        <v>176099.59317803659</v>
      </c>
    </row>
    <row r="3163" spans="12:26" x14ac:dyDescent="0.55000000000000004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80"/>
        <v>176099.59317803659</v>
      </c>
    </row>
    <row r="3164" spans="12:26" x14ac:dyDescent="0.55000000000000004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80"/>
        <v>176099.59317803659</v>
      </c>
    </row>
    <row r="3165" spans="12:26" x14ac:dyDescent="0.55000000000000004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80"/>
        <v>176099.59317803659</v>
      </c>
    </row>
    <row r="3166" spans="12:26" x14ac:dyDescent="0.55000000000000004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80"/>
        <v>176099.59317803659</v>
      </c>
    </row>
    <row r="3167" spans="12:26" x14ac:dyDescent="0.55000000000000004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80"/>
        <v>176099.59317803659</v>
      </c>
    </row>
    <row r="3168" spans="12:26" x14ac:dyDescent="0.55000000000000004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80"/>
        <v>176099.59317803659</v>
      </c>
    </row>
    <row r="3169" spans="12:26" x14ac:dyDescent="0.55000000000000004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80"/>
        <v>176099.59317803659</v>
      </c>
    </row>
    <row r="3170" spans="12:26" x14ac:dyDescent="0.55000000000000004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80"/>
        <v>176099.59317803659</v>
      </c>
    </row>
    <row r="3171" spans="12:26" x14ac:dyDescent="0.55000000000000004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80"/>
        <v>176099.59317803659</v>
      </c>
    </row>
    <row r="3172" spans="12:26" x14ac:dyDescent="0.55000000000000004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80"/>
        <v>176099.59317803659</v>
      </c>
    </row>
    <row r="3173" spans="12:26" x14ac:dyDescent="0.55000000000000004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80"/>
        <v>176099.59317803659</v>
      </c>
    </row>
    <row r="3174" spans="12:26" x14ac:dyDescent="0.55000000000000004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80"/>
        <v>176099.59317803659</v>
      </c>
    </row>
    <row r="3175" spans="12:26" x14ac:dyDescent="0.55000000000000004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80"/>
        <v>176099.59317803659</v>
      </c>
    </row>
    <row r="3176" spans="12:26" x14ac:dyDescent="0.55000000000000004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80"/>
        <v>176099.59317803659</v>
      </c>
    </row>
    <row r="3177" spans="12:26" x14ac:dyDescent="0.55000000000000004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80"/>
        <v>176099.59317803659</v>
      </c>
    </row>
    <row r="3178" spans="12:26" x14ac:dyDescent="0.55000000000000004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80"/>
        <v>176099.59317803659</v>
      </c>
    </row>
    <row r="3179" spans="12:26" x14ac:dyDescent="0.55000000000000004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80"/>
        <v>176099.59317803659</v>
      </c>
    </row>
    <row r="3180" spans="12:26" x14ac:dyDescent="0.55000000000000004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80"/>
        <v>176099.59317803659</v>
      </c>
    </row>
    <row r="3181" spans="12:26" x14ac:dyDescent="0.55000000000000004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80"/>
        <v>176099.59317803659</v>
      </c>
    </row>
    <row r="3182" spans="12:26" x14ac:dyDescent="0.55000000000000004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80"/>
        <v>176099.59317803659</v>
      </c>
    </row>
    <row r="3183" spans="12:26" x14ac:dyDescent="0.55000000000000004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80"/>
        <v>176099.59317803659</v>
      </c>
    </row>
    <row r="3184" spans="12:26" x14ac:dyDescent="0.55000000000000004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80"/>
        <v>176099.59317803659</v>
      </c>
    </row>
    <row r="3185" spans="12:26" x14ac:dyDescent="0.55000000000000004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80"/>
        <v>176099.59317803659</v>
      </c>
    </row>
    <row r="3186" spans="12:26" x14ac:dyDescent="0.55000000000000004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80"/>
        <v>176099.59317803659</v>
      </c>
    </row>
    <row r="3187" spans="12:26" x14ac:dyDescent="0.55000000000000004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80"/>
        <v>176099.59317803659</v>
      </c>
    </row>
    <row r="3188" spans="12:26" x14ac:dyDescent="0.55000000000000004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80"/>
        <v>176099.59317803659</v>
      </c>
    </row>
    <row r="3189" spans="12:26" x14ac:dyDescent="0.55000000000000004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80"/>
        <v>176099.59317803659</v>
      </c>
    </row>
    <row r="3190" spans="12:26" x14ac:dyDescent="0.55000000000000004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80"/>
        <v>176099.59317803659</v>
      </c>
    </row>
    <row r="3191" spans="12:26" x14ac:dyDescent="0.55000000000000004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80"/>
        <v>176099.59317803659</v>
      </c>
    </row>
    <row r="3192" spans="12:26" x14ac:dyDescent="0.55000000000000004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80"/>
        <v>176099.59317803659</v>
      </c>
    </row>
    <row r="3193" spans="12:26" x14ac:dyDescent="0.55000000000000004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80"/>
        <v>176099.59317803659</v>
      </c>
    </row>
    <row r="3194" spans="12:26" x14ac:dyDescent="0.55000000000000004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80"/>
        <v>176099.59317803659</v>
      </c>
    </row>
    <row r="3195" spans="12:26" x14ac:dyDescent="0.55000000000000004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80"/>
        <v>176099.59317803659</v>
      </c>
    </row>
    <row r="3196" spans="12:26" x14ac:dyDescent="0.55000000000000004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80"/>
        <v>176099.59317803659</v>
      </c>
    </row>
    <row r="3197" spans="12:26" x14ac:dyDescent="0.55000000000000004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80"/>
        <v>176099.59317803659</v>
      </c>
    </row>
    <row r="3198" spans="12:26" x14ac:dyDescent="0.55000000000000004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80"/>
        <v>176099.59317803659</v>
      </c>
    </row>
    <row r="3199" spans="12:26" x14ac:dyDescent="0.55000000000000004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80"/>
        <v>176099.59317803659</v>
      </c>
    </row>
    <row r="3200" spans="12:26" x14ac:dyDescent="0.55000000000000004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80"/>
        <v>176099.59317803659</v>
      </c>
    </row>
    <row r="3201" spans="12:26" x14ac:dyDescent="0.55000000000000004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80"/>
        <v>176099.59317803659</v>
      </c>
    </row>
    <row r="3202" spans="12:26" x14ac:dyDescent="0.55000000000000004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80"/>
        <v>176099.59317803659</v>
      </c>
    </row>
    <row r="3203" spans="12:26" x14ac:dyDescent="0.55000000000000004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80"/>
        <v>176099.59317803659</v>
      </c>
    </row>
    <row r="3204" spans="12:26" x14ac:dyDescent="0.55000000000000004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80"/>
        <v>176099.59317803659</v>
      </c>
    </row>
    <row r="3205" spans="12:26" x14ac:dyDescent="0.55000000000000004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80"/>
        <v>176099.59317803659</v>
      </c>
    </row>
    <row r="3206" spans="12:26" x14ac:dyDescent="0.55000000000000004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80"/>
        <v>176099.59317803659</v>
      </c>
    </row>
    <row r="3207" spans="12:26" x14ac:dyDescent="0.55000000000000004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81">Y3207/X3207</f>
        <v>176099.59317803659</v>
      </c>
    </row>
    <row r="3208" spans="12:26" x14ac:dyDescent="0.55000000000000004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81"/>
        <v>176099.59317803659</v>
      </c>
    </row>
    <row r="3209" spans="12:26" x14ac:dyDescent="0.55000000000000004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81"/>
        <v>176099.59317803659</v>
      </c>
    </row>
    <row r="3210" spans="12:26" x14ac:dyDescent="0.55000000000000004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81"/>
        <v>176099.59317803659</v>
      </c>
    </row>
    <row r="3211" spans="12:26" x14ac:dyDescent="0.55000000000000004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81"/>
        <v>176099.59317803659</v>
      </c>
    </row>
    <row r="3212" spans="12:26" x14ac:dyDescent="0.55000000000000004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81"/>
        <v>176099.59317803659</v>
      </c>
    </row>
    <row r="3213" spans="12:26" x14ac:dyDescent="0.55000000000000004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81"/>
        <v>176099.59317803659</v>
      </c>
    </row>
    <row r="3214" spans="12:26" x14ac:dyDescent="0.55000000000000004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81"/>
        <v>176099.59317803659</v>
      </c>
    </row>
    <row r="3215" spans="12:26" x14ac:dyDescent="0.55000000000000004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81"/>
        <v>176099.59317803659</v>
      </c>
    </row>
    <row r="3216" spans="12:26" x14ac:dyDescent="0.55000000000000004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81"/>
        <v>176099.59317803659</v>
      </c>
    </row>
    <row r="3217" spans="12:26" x14ac:dyDescent="0.55000000000000004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81"/>
        <v>176099.59317803659</v>
      </c>
    </row>
    <row r="3218" spans="12:26" x14ac:dyDescent="0.55000000000000004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81"/>
        <v>176099.59317803659</v>
      </c>
    </row>
    <row r="3219" spans="12:26" x14ac:dyDescent="0.55000000000000004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81"/>
        <v>176099.59317803659</v>
      </c>
    </row>
    <row r="3220" spans="12:26" x14ac:dyDescent="0.55000000000000004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81"/>
        <v>176099.59317803659</v>
      </c>
    </row>
    <row r="3221" spans="12:26" x14ac:dyDescent="0.55000000000000004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81"/>
        <v>176099.59317803659</v>
      </c>
    </row>
    <row r="3222" spans="12:26" x14ac:dyDescent="0.55000000000000004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81"/>
        <v>176099.59317803659</v>
      </c>
    </row>
    <row r="3223" spans="12:26" x14ac:dyDescent="0.55000000000000004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81"/>
        <v>176099.59317803659</v>
      </c>
    </row>
    <row r="3224" spans="12:26" x14ac:dyDescent="0.55000000000000004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81"/>
        <v>176099.59317803659</v>
      </c>
    </row>
    <row r="3225" spans="12:26" x14ac:dyDescent="0.55000000000000004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81"/>
        <v>176099.59317803659</v>
      </c>
    </row>
    <row r="3226" spans="12:26" x14ac:dyDescent="0.55000000000000004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81"/>
        <v>176099.59317803659</v>
      </c>
    </row>
    <row r="3227" spans="12:26" x14ac:dyDescent="0.55000000000000004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81"/>
        <v>176099.59317803659</v>
      </c>
    </row>
    <row r="3228" spans="12:26" x14ac:dyDescent="0.55000000000000004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81"/>
        <v>176099.59317803659</v>
      </c>
    </row>
    <row r="3229" spans="12:26" x14ac:dyDescent="0.55000000000000004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81"/>
        <v>176099.59317803659</v>
      </c>
    </row>
    <row r="3230" spans="12:26" x14ac:dyDescent="0.55000000000000004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81"/>
        <v>176099.59317803659</v>
      </c>
    </row>
    <row r="3231" spans="12:26" x14ac:dyDescent="0.55000000000000004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81"/>
        <v>176099.59317803659</v>
      </c>
    </row>
    <row r="3232" spans="12:26" x14ac:dyDescent="0.55000000000000004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81"/>
        <v>176099.59317803659</v>
      </c>
    </row>
    <row r="3233" spans="12:26" x14ac:dyDescent="0.55000000000000004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81"/>
        <v>176099.59317803659</v>
      </c>
    </row>
    <row r="3234" spans="12:26" x14ac:dyDescent="0.55000000000000004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81"/>
        <v>176099.59317803659</v>
      </c>
    </row>
    <row r="3235" spans="12:26" x14ac:dyDescent="0.55000000000000004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81"/>
        <v>176099.59317803659</v>
      </c>
    </row>
    <row r="3236" spans="12:26" x14ac:dyDescent="0.55000000000000004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81"/>
        <v>176099.59317803659</v>
      </c>
    </row>
    <row r="3237" spans="12:26" x14ac:dyDescent="0.55000000000000004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81"/>
        <v>176099.59317803659</v>
      </c>
    </row>
    <row r="3238" spans="12:26" x14ac:dyDescent="0.55000000000000004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81"/>
        <v>176099.59317803659</v>
      </c>
    </row>
    <row r="3239" spans="12:26" x14ac:dyDescent="0.55000000000000004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81"/>
        <v>176099.59317803659</v>
      </c>
    </row>
    <row r="3240" spans="12:26" x14ac:dyDescent="0.55000000000000004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81"/>
        <v>176099.59317803659</v>
      </c>
    </row>
    <row r="3241" spans="12:26" x14ac:dyDescent="0.55000000000000004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81"/>
        <v>176099.59317803659</v>
      </c>
    </row>
    <row r="3242" spans="12:26" x14ac:dyDescent="0.55000000000000004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81"/>
        <v>176099.59317803659</v>
      </c>
    </row>
    <row r="3243" spans="12:26" x14ac:dyDescent="0.55000000000000004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81"/>
        <v>176099.59317803659</v>
      </c>
    </row>
    <row r="3244" spans="12:26" x14ac:dyDescent="0.55000000000000004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81"/>
        <v>176099.59317803659</v>
      </c>
    </row>
    <row r="3245" spans="12:26" x14ac:dyDescent="0.55000000000000004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81"/>
        <v>176099.59317803659</v>
      </c>
    </row>
    <row r="3246" spans="12:26" x14ac:dyDescent="0.55000000000000004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81"/>
        <v>176099.59317803659</v>
      </c>
    </row>
    <row r="3247" spans="12:26" x14ac:dyDescent="0.55000000000000004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81"/>
        <v>176099.59317803659</v>
      </c>
    </row>
    <row r="3248" spans="12:26" x14ac:dyDescent="0.55000000000000004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81"/>
        <v>176099.59317803659</v>
      </c>
    </row>
    <row r="3249" spans="12:26" x14ac:dyDescent="0.55000000000000004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81"/>
        <v>176099.59317803659</v>
      </c>
    </row>
    <row r="3250" spans="12:26" x14ac:dyDescent="0.55000000000000004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81"/>
        <v>176099.59317803659</v>
      </c>
    </row>
    <row r="3251" spans="12:26" x14ac:dyDescent="0.55000000000000004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81"/>
        <v>176099.59317803659</v>
      </c>
    </row>
    <row r="3252" spans="12:26" x14ac:dyDescent="0.55000000000000004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81"/>
        <v>176099.59317803659</v>
      </c>
    </row>
    <row r="3253" spans="12:26" x14ac:dyDescent="0.55000000000000004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81"/>
        <v>176099.59317803659</v>
      </c>
    </row>
    <row r="3254" spans="12:26" x14ac:dyDescent="0.55000000000000004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81"/>
        <v>176099.59317803659</v>
      </c>
    </row>
    <row r="3255" spans="12:26" x14ac:dyDescent="0.55000000000000004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81"/>
        <v>176099.59317803659</v>
      </c>
    </row>
    <row r="3256" spans="12:26" x14ac:dyDescent="0.55000000000000004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81"/>
        <v>176099.59317803659</v>
      </c>
    </row>
    <row r="3257" spans="12:26" x14ac:dyDescent="0.55000000000000004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81"/>
        <v>176099.59317803659</v>
      </c>
    </row>
    <row r="3258" spans="12:26" x14ac:dyDescent="0.55000000000000004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81"/>
        <v>176099.59317803659</v>
      </c>
    </row>
    <row r="3259" spans="12:26" x14ac:dyDescent="0.55000000000000004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81"/>
        <v>176099.59317803659</v>
      </c>
    </row>
    <row r="3260" spans="12:26" x14ac:dyDescent="0.55000000000000004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81"/>
        <v>176099.59317803659</v>
      </c>
    </row>
    <row r="3261" spans="12:26" x14ac:dyDescent="0.55000000000000004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81"/>
        <v>176099.59317803659</v>
      </c>
    </row>
    <row r="3262" spans="12:26" x14ac:dyDescent="0.55000000000000004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81"/>
        <v>176099.59317803659</v>
      </c>
    </row>
    <row r="3263" spans="12:26" x14ac:dyDescent="0.55000000000000004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81"/>
        <v>176099.59317803659</v>
      </c>
    </row>
    <row r="3264" spans="12:26" x14ac:dyDescent="0.55000000000000004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81"/>
        <v>176099.59317803659</v>
      </c>
    </row>
    <row r="3265" spans="12:26" x14ac:dyDescent="0.55000000000000004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81"/>
        <v>176099.59317803659</v>
      </c>
    </row>
    <row r="3266" spans="12:26" x14ac:dyDescent="0.55000000000000004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81"/>
        <v>176099.59317803659</v>
      </c>
    </row>
    <row r="3267" spans="12:26" x14ac:dyDescent="0.55000000000000004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81"/>
        <v>176099.59317803659</v>
      </c>
    </row>
    <row r="3268" spans="12:26" x14ac:dyDescent="0.55000000000000004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81"/>
        <v>176099.59317803659</v>
      </c>
    </row>
    <row r="3269" spans="12:26" x14ac:dyDescent="0.55000000000000004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81"/>
        <v>176099.59317803659</v>
      </c>
    </row>
    <row r="3270" spans="12:26" x14ac:dyDescent="0.55000000000000004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81"/>
        <v>176099.59317803659</v>
      </c>
    </row>
    <row r="3271" spans="12:26" x14ac:dyDescent="0.55000000000000004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82">Y3271/X3271</f>
        <v>176099.59317803659</v>
      </c>
    </row>
    <row r="3272" spans="12:26" x14ac:dyDescent="0.55000000000000004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82"/>
        <v>176099.59317803659</v>
      </c>
    </row>
    <row r="3273" spans="12:26" x14ac:dyDescent="0.55000000000000004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82"/>
        <v>176099.59317803659</v>
      </c>
    </row>
    <row r="3274" spans="12:26" x14ac:dyDescent="0.55000000000000004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82"/>
        <v>176099.59317803659</v>
      </c>
    </row>
    <row r="3275" spans="12:26" x14ac:dyDescent="0.55000000000000004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82"/>
        <v>176099.59317803659</v>
      </c>
    </row>
    <row r="3276" spans="12:26" x14ac:dyDescent="0.55000000000000004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82"/>
        <v>176099.59317803659</v>
      </c>
    </row>
    <row r="3277" spans="12:26" x14ac:dyDescent="0.55000000000000004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82"/>
        <v>176099.59317803659</v>
      </c>
    </row>
    <row r="3278" spans="12:26" x14ac:dyDescent="0.55000000000000004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82"/>
        <v>176099.59317803659</v>
      </c>
    </row>
    <row r="3279" spans="12:26" x14ac:dyDescent="0.55000000000000004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82"/>
        <v>176099.59317803659</v>
      </c>
    </row>
    <row r="3280" spans="12:26" x14ac:dyDescent="0.55000000000000004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82"/>
        <v>176099.59317803659</v>
      </c>
    </row>
    <row r="3281" spans="12:26" x14ac:dyDescent="0.55000000000000004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82"/>
        <v>176099.59317803659</v>
      </c>
    </row>
    <row r="3282" spans="12:26" x14ac:dyDescent="0.55000000000000004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82"/>
        <v>176099.59317803659</v>
      </c>
    </row>
    <row r="3283" spans="12:26" x14ac:dyDescent="0.55000000000000004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82"/>
        <v>176099.59317803659</v>
      </c>
    </row>
    <row r="3284" spans="12:26" x14ac:dyDescent="0.55000000000000004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82"/>
        <v>176099.59317803659</v>
      </c>
    </row>
    <row r="3285" spans="12:26" x14ac:dyDescent="0.55000000000000004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82"/>
        <v>176099.59317803659</v>
      </c>
    </row>
    <row r="3286" spans="12:26" x14ac:dyDescent="0.55000000000000004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82"/>
        <v>176099.59317803659</v>
      </c>
    </row>
    <row r="3287" spans="12:26" x14ac:dyDescent="0.55000000000000004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82"/>
        <v>176099.59317803659</v>
      </c>
    </row>
    <row r="3288" spans="12:26" x14ac:dyDescent="0.55000000000000004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82"/>
        <v>176099.59317803659</v>
      </c>
    </row>
    <row r="3289" spans="12:26" x14ac:dyDescent="0.55000000000000004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82"/>
        <v>176099.59317803659</v>
      </c>
    </row>
    <row r="3290" spans="12:26" x14ac:dyDescent="0.55000000000000004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82"/>
        <v>176099.59317803659</v>
      </c>
    </row>
    <row r="3291" spans="12:26" x14ac:dyDescent="0.55000000000000004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82"/>
        <v>176099.59317803659</v>
      </c>
    </row>
    <row r="3292" spans="12:26" x14ac:dyDescent="0.55000000000000004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82"/>
        <v>176099.59317803659</v>
      </c>
    </row>
    <row r="3293" spans="12:26" x14ac:dyDescent="0.55000000000000004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82"/>
        <v>176099.59317803659</v>
      </c>
    </row>
    <row r="3294" spans="12:26" x14ac:dyDescent="0.55000000000000004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82"/>
        <v>176099.59317803659</v>
      </c>
    </row>
    <row r="3295" spans="12:26" x14ac:dyDescent="0.55000000000000004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82"/>
        <v>176099.59317803659</v>
      </c>
    </row>
    <row r="3296" spans="12:26" x14ac:dyDescent="0.55000000000000004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82"/>
        <v>176099.59317803659</v>
      </c>
    </row>
    <row r="3297" spans="12:26" x14ac:dyDescent="0.55000000000000004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82"/>
        <v>176099.59317803659</v>
      </c>
    </row>
    <row r="3298" spans="12:26" x14ac:dyDescent="0.55000000000000004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82"/>
        <v>176099.59317803659</v>
      </c>
    </row>
    <row r="3299" spans="12:26" x14ac:dyDescent="0.55000000000000004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82"/>
        <v>176099.59317803659</v>
      </c>
    </row>
    <row r="3300" spans="12:26" x14ac:dyDescent="0.55000000000000004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82"/>
        <v>176099.59317803659</v>
      </c>
    </row>
    <row r="3301" spans="12:26" x14ac:dyDescent="0.55000000000000004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82"/>
        <v>176099.59317803659</v>
      </c>
    </row>
    <row r="3302" spans="12:26" x14ac:dyDescent="0.55000000000000004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82"/>
        <v>176099.59317803659</v>
      </c>
    </row>
    <row r="3303" spans="12:26" x14ac:dyDescent="0.55000000000000004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82"/>
        <v>176099.59317803659</v>
      </c>
    </row>
    <row r="3304" spans="12:26" x14ac:dyDescent="0.55000000000000004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82"/>
        <v>176099.59317803659</v>
      </c>
    </row>
    <row r="3305" spans="12:26" x14ac:dyDescent="0.55000000000000004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82"/>
        <v>176099.59317803659</v>
      </c>
    </row>
    <row r="3306" spans="12:26" x14ac:dyDescent="0.55000000000000004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82"/>
        <v>176099.59317803659</v>
      </c>
    </row>
    <row r="3307" spans="12:26" x14ac:dyDescent="0.55000000000000004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82"/>
        <v>176099.59317803659</v>
      </c>
    </row>
    <row r="3308" spans="12:26" x14ac:dyDescent="0.55000000000000004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82"/>
        <v>176099.59317803659</v>
      </c>
    </row>
    <row r="3309" spans="12:26" x14ac:dyDescent="0.55000000000000004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82"/>
        <v>176099.59317803659</v>
      </c>
    </row>
    <row r="3310" spans="12:26" x14ac:dyDescent="0.55000000000000004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82"/>
        <v>176099.59317803659</v>
      </c>
    </row>
    <row r="3311" spans="12:26" x14ac:dyDescent="0.55000000000000004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82"/>
        <v>176099.59317803659</v>
      </c>
    </row>
    <row r="3312" spans="12:26" x14ac:dyDescent="0.55000000000000004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82"/>
        <v>176099.59317803659</v>
      </c>
    </row>
    <row r="3313" spans="12:26" x14ac:dyDescent="0.55000000000000004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82"/>
        <v>176099.59317803659</v>
      </c>
    </row>
    <row r="3314" spans="12:26" x14ac:dyDescent="0.55000000000000004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82"/>
        <v>176099.59317803659</v>
      </c>
    </row>
    <row r="3315" spans="12:26" x14ac:dyDescent="0.55000000000000004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82"/>
        <v>176099.59317803659</v>
      </c>
    </row>
    <row r="3316" spans="12:26" x14ac:dyDescent="0.55000000000000004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82"/>
        <v>176099.59317803659</v>
      </c>
    </row>
    <row r="3317" spans="12:26" x14ac:dyDescent="0.55000000000000004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82"/>
        <v>176099.59317803659</v>
      </c>
    </row>
    <row r="3318" spans="12:26" x14ac:dyDescent="0.55000000000000004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82"/>
        <v>176099.59317803659</v>
      </c>
    </row>
    <row r="3319" spans="12:26" x14ac:dyDescent="0.55000000000000004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82"/>
        <v>176099.59317803659</v>
      </c>
    </row>
    <row r="3320" spans="12:26" x14ac:dyDescent="0.55000000000000004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82"/>
        <v>176099.59317803659</v>
      </c>
    </row>
    <row r="3321" spans="12:26" x14ac:dyDescent="0.55000000000000004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82"/>
        <v>176099.59317803659</v>
      </c>
    </row>
    <row r="3322" spans="12:26" x14ac:dyDescent="0.55000000000000004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82"/>
        <v>176099.59317803659</v>
      </c>
    </row>
    <row r="3323" spans="12:26" x14ac:dyDescent="0.55000000000000004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82"/>
        <v>176099.59317803659</v>
      </c>
    </row>
    <row r="3324" spans="12:26" x14ac:dyDescent="0.55000000000000004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82"/>
        <v>176099.59317803659</v>
      </c>
    </row>
    <row r="3325" spans="12:26" x14ac:dyDescent="0.55000000000000004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82"/>
        <v>176099.59317803659</v>
      </c>
    </row>
    <row r="3326" spans="12:26" x14ac:dyDescent="0.55000000000000004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82"/>
        <v>176099.59317803659</v>
      </c>
    </row>
    <row r="3327" spans="12:26" x14ac:dyDescent="0.55000000000000004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82"/>
        <v>176099.59317803659</v>
      </c>
    </row>
    <row r="3328" spans="12:26" x14ac:dyDescent="0.55000000000000004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82"/>
        <v>176099.59317803659</v>
      </c>
    </row>
    <row r="3329" spans="12:26" x14ac:dyDescent="0.55000000000000004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82"/>
        <v>176099.59317803659</v>
      </c>
    </row>
    <row r="3330" spans="12:26" x14ac:dyDescent="0.55000000000000004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82"/>
        <v>176099.59317803659</v>
      </c>
    </row>
    <row r="3331" spans="12:26" x14ac:dyDescent="0.55000000000000004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82"/>
        <v>176099.59317803659</v>
      </c>
    </row>
    <row r="3332" spans="12:26" x14ac:dyDescent="0.55000000000000004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82"/>
        <v>176099.59317803659</v>
      </c>
    </row>
    <row r="3333" spans="12:26" x14ac:dyDescent="0.55000000000000004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82"/>
        <v>176099.59317803659</v>
      </c>
    </row>
    <row r="3334" spans="12:26" x14ac:dyDescent="0.55000000000000004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82"/>
        <v>176099.59317803659</v>
      </c>
    </row>
    <row r="3335" spans="12:26" x14ac:dyDescent="0.55000000000000004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83">Y3335/X3335</f>
        <v>176099.59317803659</v>
      </c>
    </row>
    <row r="3336" spans="12:26" x14ac:dyDescent="0.55000000000000004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83"/>
        <v>176099.59317803659</v>
      </c>
    </row>
    <row r="3337" spans="12:26" x14ac:dyDescent="0.55000000000000004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83"/>
        <v>176099.59317803659</v>
      </c>
    </row>
    <row r="3338" spans="12:26" x14ac:dyDescent="0.55000000000000004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83"/>
        <v>176099.59317803659</v>
      </c>
    </row>
    <row r="3339" spans="12:26" x14ac:dyDescent="0.55000000000000004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83"/>
        <v>176099.59317803659</v>
      </c>
    </row>
    <row r="3340" spans="12:26" x14ac:dyDescent="0.55000000000000004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83"/>
        <v>176099.59317803659</v>
      </c>
    </row>
    <row r="3341" spans="12:26" x14ac:dyDescent="0.55000000000000004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83"/>
        <v>176099.59317803659</v>
      </c>
    </row>
    <row r="3342" spans="12:26" x14ac:dyDescent="0.55000000000000004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83"/>
        <v>176099.59317803659</v>
      </c>
    </row>
    <row r="3343" spans="12:26" x14ac:dyDescent="0.55000000000000004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83"/>
        <v>176099.59317803659</v>
      </c>
    </row>
    <row r="3344" spans="12:26" x14ac:dyDescent="0.55000000000000004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83"/>
        <v>176099.59317803659</v>
      </c>
    </row>
    <row r="3345" spans="12:26" x14ac:dyDescent="0.55000000000000004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83"/>
        <v>176099.59317803659</v>
      </c>
    </row>
    <row r="3346" spans="12:26" x14ac:dyDescent="0.55000000000000004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83"/>
        <v>176099.59317803659</v>
      </c>
    </row>
    <row r="3347" spans="12:26" x14ac:dyDescent="0.55000000000000004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83"/>
        <v>176099.59317803659</v>
      </c>
    </row>
    <row r="3348" spans="12:26" x14ac:dyDescent="0.55000000000000004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83"/>
        <v>176099.59317803659</v>
      </c>
    </row>
    <row r="3349" spans="12:26" x14ac:dyDescent="0.55000000000000004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83"/>
        <v>176099.59317803659</v>
      </c>
    </row>
    <row r="3350" spans="12:26" x14ac:dyDescent="0.55000000000000004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83"/>
        <v>176099.59317803659</v>
      </c>
    </row>
    <row r="3351" spans="12:26" x14ac:dyDescent="0.55000000000000004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83"/>
        <v>176099.59317803659</v>
      </c>
    </row>
    <row r="3352" spans="12:26" x14ac:dyDescent="0.55000000000000004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83"/>
        <v>176099.59317803659</v>
      </c>
    </row>
    <row r="3353" spans="12:26" x14ac:dyDescent="0.55000000000000004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83"/>
        <v>176099.59317803659</v>
      </c>
    </row>
    <row r="3354" spans="12:26" x14ac:dyDescent="0.55000000000000004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83"/>
        <v>176099.59317803659</v>
      </c>
    </row>
    <row r="3355" spans="12:26" x14ac:dyDescent="0.55000000000000004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83"/>
        <v>176099.59317803659</v>
      </c>
    </row>
    <row r="3356" spans="12:26" x14ac:dyDescent="0.55000000000000004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83"/>
        <v>176099.59317803659</v>
      </c>
    </row>
    <row r="3357" spans="12:26" x14ac:dyDescent="0.55000000000000004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83"/>
        <v>176099.59317803659</v>
      </c>
    </row>
    <row r="3358" spans="12:26" x14ac:dyDescent="0.55000000000000004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83"/>
        <v>176099.59317803659</v>
      </c>
    </row>
    <row r="3359" spans="12:26" x14ac:dyDescent="0.55000000000000004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83"/>
        <v>176099.59317803659</v>
      </c>
    </row>
    <row r="3360" spans="12:26" x14ac:dyDescent="0.55000000000000004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83"/>
        <v>176099.59317803659</v>
      </c>
    </row>
    <row r="3361" spans="12:26" x14ac:dyDescent="0.55000000000000004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83"/>
        <v>176099.59317803659</v>
      </c>
    </row>
    <row r="3362" spans="12:26" x14ac:dyDescent="0.55000000000000004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83"/>
        <v>176099.59317803659</v>
      </c>
    </row>
    <row r="3363" spans="12:26" x14ac:dyDescent="0.55000000000000004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83"/>
        <v>176099.59317803659</v>
      </c>
    </row>
    <row r="3364" spans="12:26" x14ac:dyDescent="0.55000000000000004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83"/>
        <v>176099.59317803659</v>
      </c>
    </row>
    <row r="3365" spans="12:26" x14ac:dyDescent="0.55000000000000004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83"/>
        <v>176099.59317803659</v>
      </c>
    </row>
    <row r="3366" spans="12:26" x14ac:dyDescent="0.55000000000000004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83"/>
        <v>176099.59317803659</v>
      </c>
    </row>
    <row r="3367" spans="12:26" x14ac:dyDescent="0.55000000000000004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83"/>
        <v>176099.59317803659</v>
      </c>
    </row>
    <row r="3368" spans="12:26" x14ac:dyDescent="0.55000000000000004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83"/>
        <v>176099.59317803659</v>
      </c>
    </row>
    <row r="3369" spans="12:26" x14ac:dyDescent="0.55000000000000004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83"/>
        <v>176099.59317803659</v>
      </c>
    </row>
    <row r="3370" spans="12:26" x14ac:dyDescent="0.55000000000000004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83"/>
        <v>176099.59317803659</v>
      </c>
    </row>
    <row r="3371" spans="12:26" x14ac:dyDescent="0.55000000000000004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83"/>
        <v>176099.59317803659</v>
      </c>
    </row>
    <row r="3372" spans="12:26" x14ac:dyDescent="0.55000000000000004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83"/>
        <v>176099.59317803659</v>
      </c>
    </row>
    <row r="3373" spans="12:26" x14ac:dyDescent="0.55000000000000004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83"/>
        <v>176099.59317803659</v>
      </c>
    </row>
    <row r="3374" spans="12:26" x14ac:dyDescent="0.55000000000000004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83"/>
        <v>176099.59317803659</v>
      </c>
    </row>
    <row r="3375" spans="12:26" x14ac:dyDescent="0.55000000000000004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83"/>
        <v>176099.59317803659</v>
      </c>
    </row>
    <row r="3376" spans="12:26" x14ac:dyDescent="0.55000000000000004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83"/>
        <v>176099.59317803659</v>
      </c>
    </row>
    <row r="3377" spans="12:26" x14ac:dyDescent="0.55000000000000004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83"/>
        <v>176099.59317803659</v>
      </c>
    </row>
    <row r="3378" spans="12:26" x14ac:dyDescent="0.55000000000000004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83"/>
        <v>176099.59317803659</v>
      </c>
    </row>
    <row r="3379" spans="12:26" x14ac:dyDescent="0.55000000000000004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83"/>
        <v>176099.59317803659</v>
      </c>
    </row>
    <row r="3380" spans="12:26" x14ac:dyDescent="0.55000000000000004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83"/>
        <v>176099.59317803659</v>
      </c>
    </row>
    <row r="3381" spans="12:26" x14ac:dyDescent="0.55000000000000004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83"/>
        <v>176099.59317803659</v>
      </c>
    </row>
    <row r="3382" spans="12:26" x14ac:dyDescent="0.55000000000000004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83"/>
        <v>176099.59317803659</v>
      </c>
    </row>
    <row r="3383" spans="12:26" x14ac:dyDescent="0.55000000000000004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83"/>
        <v>176099.59317803659</v>
      </c>
    </row>
    <row r="3384" spans="12:26" x14ac:dyDescent="0.55000000000000004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83"/>
        <v>176099.59317803659</v>
      </c>
    </row>
    <row r="3385" spans="12:26" x14ac:dyDescent="0.55000000000000004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83"/>
        <v>176099.59317803659</v>
      </c>
    </row>
    <row r="3386" spans="12:26" x14ac:dyDescent="0.55000000000000004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83"/>
        <v>176099.59317803659</v>
      </c>
    </row>
    <row r="3387" spans="12:26" x14ac:dyDescent="0.55000000000000004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83"/>
        <v>176099.59317803659</v>
      </c>
    </row>
    <row r="3388" spans="12:26" x14ac:dyDescent="0.55000000000000004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83"/>
        <v>176099.59317803659</v>
      </c>
    </row>
    <row r="3389" spans="12:26" x14ac:dyDescent="0.55000000000000004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83"/>
        <v>176099.59317803659</v>
      </c>
    </row>
    <row r="3390" spans="12:26" x14ac:dyDescent="0.55000000000000004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83"/>
        <v>176099.59317803659</v>
      </c>
    </row>
    <row r="3391" spans="12:26" x14ac:dyDescent="0.55000000000000004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83"/>
        <v>176099.59317803659</v>
      </c>
    </row>
    <row r="3392" spans="12:26" x14ac:dyDescent="0.55000000000000004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83"/>
        <v>176099.59317803659</v>
      </c>
    </row>
    <row r="3393" spans="12:26" x14ac:dyDescent="0.55000000000000004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83"/>
        <v>176099.59317803659</v>
      </c>
    </row>
    <row r="3394" spans="12:26" x14ac:dyDescent="0.55000000000000004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83"/>
        <v>176099.59317803659</v>
      </c>
    </row>
    <row r="3395" spans="12:26" x14ac:dyDescent="0.55000000000000004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83"/>
        <v>176099.59317803659</v>
      </c>
    </row>
    <row r="3396" spans="12:26" x14ac:dyDescent="0.55000000000000004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83"/>
        <v>176099.59317803659</v>
      </c>
    </row>
    <row r="3397" spans="12:26" x14ac:dyDescent="0.55000000000000004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83"/>
        <v>176099.59317803659</v>
      </c>
    </row>
    <row r="3398" spans="12:26" x14ac:dyDescent="0.55000000000000004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83"/>
        <v>176099.59317803659</v>
      </c>
    </row>
    <row r="3399" spans="12:26" x14ac:dyDescent="0.55000000000000004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84">Y3399/X3399</f>
        <v>176099.59317803659</v>
      </c>
    </row>
    <row r="3400" spans="12:26" x14ac:dyDescent="0.55000000000000004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84"/>
        <v>176099.59317803659</v>
      </c>
    </row>
    <row r="3401" spans="12:26" x14ac:dyDescent="0.55000000000000004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84"/>
        <v>176099.59317803659</v>
      </c>
    </row>
    <row r="3402" spans="12:26" x14ac:dyDescent="0.55000000000000004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84"/>
        <v>176099.59317803659</v>
      </c>
    </row>
    <row r="3403" spans="12:26" x14ac:dyDescent="0.55000000000000004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84"/>
        <v>176099.59317803659</v>
      </c>
    </row>
    <row r="3404" spans="12:26" x14ac:dyDescent="0.55000000000000004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84"/>
        <v>176099.59317803659</v>
      </c>
    </row>
    <row r="3405" spans="12:26" x14ac:dyDescent="0.55000000000000004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84"/>
        <v>176099.59317803659</v>
      </c>
    </row>
    <row r="3406" spans="12:26" x14ac:dyDescent="0.55000000000000004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84"/>
        <v>176099.59317803659</v>
      </c>
    </row>
    <row r="3407" spans="12:26" x14ac:dyDescent="0.55000000000000004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84"/>
        <v>176099.59317803659</v>
      </c>
    </row>
    <row r="3408" spans="12:26" x14ac:dyDescent="0.55000000000000004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84"/>
        <v>176099.59317803659</v>
      </c>
    </row>
    <row r="3409" spans="12:26" x14ac:dyDescent="0.55000000000000004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84"/>
        <v>176099.59317803659</v>
      </c>
    </row>
    <row r="3410" spans="12:26" x14ac:dyDescent="0.55000000000000004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84"/>
        <v>176099.59317803659</v>
      </c>
    </row>
    <row r="3411" spans="12:26" x14ac:dyDescent="0.55000000000000004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84"/>
        <v>176099.59317803659</v>
      </c>
    </row>
    <row r="3412" spans="12:26" x14ac:dyDescent="0.55000000000000004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84"/>
        <v>176099.59317803659</v>
      </c>
    </row>
    <row r="3413" spans="12:26" x14ac:dyDescent="0.55000000000000004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84"/>
        <v>176099.59317803659</v>
      </c>
    </row>
    <row r="3414" spans="12:26" x14ac:dyDescent="0.55000000000000004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84"/>
        <v>176099.59317803659</v>
      </c>
    </row>
    <row r="3415" spans="12:26" x14ac:dyDescent="0.55000000000000004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84"/>
        <v>176099.59317803659</v>
      </c>
    </row>
    <row r="3416" spans="12:26" x14ac:dyDescent="0.55000000000000004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84"/>
        <v>176099.59317803659</v>
      </c>
    </row>
    <row r="3417" spans="12:26" x14ac:dyDescent="0.55000000000000004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84"/>
        <v>176099.59317803659</v>
      </c>
    </row>
    <row r="3418" spans="12:26" x14ac:dyDescent="0.55000000000000004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84"/>
        <v>176099.59317803659</v>
      </c>
    </row>
    <row r="3419" spans="12:26" x14ac:dyDescent="0.55000000000000004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84"/>
        <v>176099.59317803659</v>
      </c>
    </row>
    <row r="3420" spans="12:26" x14ac:dyDescent="0.55000000000000004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84"/>
        <v>176099.59317803659</v>
      </c>
    </row>
    <row r="3421" spans="12:26" x14ac:dyDescent="0.55000000000000004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84"/>
        <v>176099.59317803659</v>
      </c>
    </row>
    <row r="3422" spans="12:26" x14ac:dyDescent="0.55000000000000004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84"/>
        <v>176099.59317803659</v>
      </c>
    </row>
    <row r="3423" spans="12:26" x14ac:dyDescent="0.55000000000000004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84"/>
        <v>176099.59317803659</v>
      </c>
    </row>
    <row r="3424" spans="12:26" x14ac:dyDescent="0.55000000000000004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84"/>
        <v>176099.59317803659</v>
      </c>
    </row>
    <row r="3425" spans="12:26" x14ac:dyDescent="0.55000000000000004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84"/>
        <v>176099.59317803659</v>
      </c>
    </row>
    <row r="3426" spans="12:26" x14ac:dyDescent="0.55000000000000004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84"/>
        <v>176099.59317803659</v>
      </c>
    </row>
    <row r="3427" spans="12:26" x14ac:dyDescent="0.55000000000000004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84"/>
        <v>176099.59317803659</v>
      </c>
    </row>
    <row r="3428" spans="12:26" x14ac:dyDescent="0.55000000000000004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84"/>
        <v>176099.59317803659</v>
      </c>
    </row>
    <row r="3429" spans="12:26" x14ac:dyDescent="0.55000000000000004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84"/>
        <v>176099.59317803659</v>
      </c>
    </row>
    <row r="3430" spans="12:26" x14ac:dyDescent="0.55000000000000004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84"/>
        <v>176099.59317803659</v>
      </c>
    </row>
    <row r="3431" spans="12:26" x14ac:dyDescent="0.55000000000000004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84"/>
        <v>176099.59317803659</v>
      </c>
    </row>
    <row r="3432" spans="12:26" x14ac:dyDescent="0.55000000000000004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84"/>
        <v>176099.59317803659</v>
      </c>
    </row>
    <row r="3433" spans="12:26" x14ac:dyDescent="0.55000000000000004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84"/>
        <v>176099.59317803659</v>
      </c>
    </row>
    <row r="3434" spans="12:26" x14ac:dyDescent="0.55000000000000004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84"/>
        <v>176099.59317803659</v>
      </c>
    </row>
    <row r="3435" spans="12:26" x14ac:dyDescent="0.55000000000000004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84"/>
        <v>176099.59317803659</v>
      </c>
    </row>
    <row r="3436" spans="12:26" x14ac:dyDescent="0.55000000000000004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84"/>
        <v>176099.59317803659</v>
      </c>
    </row>
    <row r="3437" spans="12:26" x14ac:dyDescent="0.55000000000000004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84"/>
        <v>176099.59317803659</v>
      </c>
    </row>
    <row r="3438" spans="12:26" x14ac:dyDescent="0.55000000000000004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84"/>
        <v>176099.59317803659</v>
      </c>
    </row>
    <row r="3439" spans="12:26" x14ac:dyDescent="0.55000000000000004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84"/>
        <v>176099.59317803659</v>
      </c>
    </row>
    <row r="3440" spans="12:26" x14ac:dyDescent="0.55000000000000004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84"/>
        <v>176099.59317803659</v>
      </c>
    </row>
    <row r="3441" spans="12:26" x14ac:dyDescent="0.55000000000000004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84"/>
        <v>176099.59317803659</v>
      </c>
    </row>
    <row r="3442" spans="12:26" x14ac:dyDescent="0.55000000000000004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84"/>
        <v>176099.59317803659</v>
      </c>
    </row>
    <row r="3443" spans="12:26" x14ac:dyDescent="0.55000000000000004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84"/>
        <v>176099.59317803659</v>
      </c>
    </row>
    <row r="3444" spans="12:26" x14ac:dyDescent="0.55000000000000004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84"/>
        <v>176099.59317803659</v>
      </c>
    </row>
    <row r="3445" spans="12:26" x14ac:dyDescent="0.55000000000000004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84"/>
        <v>176099.59317803659</v>
      </c>
    </row>
    <row r="3446" spans="12:26" x14ac:dyDescent="0.55000000000000004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84"/>
        <v>176099.59317803659</v>
      </c>
    </row>
    <row r="3447" spans="12:26" x14ac:dyDescent="0.55000000000000004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84"/>
        <v>176099.59317803659</v>
      </c>
    </row>
    <row r="3448" spans="12:26" x14ac:dyDescent="0.55000000000000004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84"/>
        <v>176099.59317803659</v>
      </c>
    </row>
    <row r="3449" spans="12:26" x14ac:dyDescent="0.55000000000000004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84"/>
        <v>176099.59317803659</v>
      </c>
    </row>
    <row r="3450" spans="12:26" x14ac:dyDescent="0.55000000000000004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84"/>
        <v>176099.59317803659</v>
      </c>
    </row>
    <row r="3451" spans="12:26" x14ac:dyDescent="0.55000000000000004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84"/>
        <v>176099.59317803659</v>
      </c>
    </row>
    <row r="3452" spans="12:26" x14ac:dyDescent="0.55000000000000004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84"/>
        <v>176099.59317803659</v>
      </c>
    </row>
    <row r="3453" spans="12:26" x14ac:dyDescent="0.55000000000000004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84"/>
        <v>176099.59317803659</v>
      </c>
    </row>
    <row r="3454" spans="12:26" x14ac:dyDescent="0.55000000000000004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84"/>
        <v>176099.59317803659</v>
      </c>
    </row>
    <row r="3455" spans="12:26" x14ac:dyDescent="0.55000000000000004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84"/>
        <v>176099.59317803659</v>
      </c>
    </row>
    <row r="3456" spans="12:26" x14ac:dyDescent="0.55000000000000004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84"/>
        <v>176099.59317803659</v>
      </c>
    </row>
    <row r="3457" spans="12:26" x14ac:dyDescent="0.55000000000000004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84"/>
        <v>176099.59317803659</v>
      </c>
    </row>
    <row r="3458" spans="12:26" x14ac:dyDescent="0.55000000000000004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84"/>
        <v>176099.59317803659</v>
      </c>
    </row>
    <row r="3459" spans="12:26" x14ac:dyDescent="0.55000000000000004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84"/>
        <v>176099.59317803659</v>
      </c>
    </row>
    <row r="3460" spans="12:26" x14ac:dyDescent="0.55000000000000004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84"/>
        <v>176099.59317803659</v>
      </c>
    </row>
    <row r="3461" spans="12:26" x14ac:dyDescent="0.55000000000000004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84"/>
        <v>176099.59317803659</v>
      </c>
    </row>
    <row r="3462" spans="12:26" x14ac:dyDescent="0.55000000000000004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84"/>
        <v>176099.59317803659</v>
      </c>
    </row>
    <row r="3463" spans="12:26" x14ac:dyDescent="0.55000000000000004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5">Y3463/X3463</f>
        <v>176099.59317803659</v>
      </c>
    </row>
    <row r="3464" spans="12:26" x14ac:dyDescent="0.55000000000000004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5"/>
        <v>176099.59317803659</v>
      </c>
    </row>
    <row r="3465" spans="12:26" x14ac:dyDescent="0.55000000000000004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5"/>
        <v>176099.59317803659</v>
      </c>
    </row>
    <row r="3466" spans="12:26" x14ac:dyDescent="0.55000000000000004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5"/>
        <v>176099.59317803659</v>
      </c>
    </row>
    <row r="3467" spans="12:26" x14ac:dyDescent="0.55000000000000004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5"/>
        <v>176099.59317803659</v>
      </c>
    </row>
    <row r="3468" spans="12:26" x14ac:dyDescent="0.55000000000000004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5"/>
        <v>176099.59317803659</v>
      </c>
    </row>
    <row r="3469" spans="12:26" x14ac:dyDescent="0.55000000000000004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5"/>
        <v>176099.59317803659</v>
      </c>
    </row>
    <row r="3470" spans="12:26" x14ac:dyDescent="0.55000000000000004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5"/>
        <v>176099.59317803659</v>
      </c>
    </row>
    <row r="3471" spans="12:26" x14ac:dyDescent="0.55000000000000004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5"/>
        <v>176099.59317803659</v>
      </c>
    </row>
    <row r="3472" spans="12:26" x14ac:dyDescent="0.55000000000000004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5"/>
        <v>176099.59317803659</v>
      </c>
    </row>
    <row r="3473" spans="12:26" x14ac:dyDescent="0.55000000000000004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5"/>
        <v>176099.59317803659</v>
      </c>
    </row>
    <row r="3474" spans="12:26" x14ac:dyDescent="0.55000000000000004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5"/>
        <v>176099.59317803659</v>
      </c>
    </row>
    <row r="3475" spans="12:26" x14ac:dyDescent="0.55000000000000004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5"/>
        <v>176099.59317803659</v>
      </c>
    </row>
    <row r="3476" spans="12:26" x14ac:dyDescent="0.55000000000000004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5"/>
        <v>176099.59317803659</v>
      </c>
    </row>
    <row r="3477" spans="12:26" x14ac:dyDescent="0.55000000000000004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5"/>
        <v>176099.59317803659</v>
      </c>
    </row>
    <row r="3478" spans="12:26" x14ac:dyDescent="0.55000000000000004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5"/>
        <v>176099.59317803659</v>
      </c>
    </row>
    <row r="3479" spans="12:26" x14ac:dyDescent="0.55000000000000004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5"/>
        <v>176099.59317803659</v>
      </c>
    </row>
    <row r="3480" spans="12:26" x14ac:dyDescent="0.55000000000000004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5"/>
        <v>176099.59317803659</v>
      </c>
    </row>
    <row r="3481" spans="12:26" x14ac:dyDescent="0.55000000000000004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5"/>
        <v>176099.59317803659</v>
      </c>
    </row>
    <row r="3482" spans="12:26" x14ac:dyDescent="0.55000000000000004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5"/>
        <v>176099.59317803659</v>
      </c>
    </row>
    <row r="3483" spans="12:26" x14ac:dyDescent="0.55000000000000004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5"/>
        <v>176099.59317803659</v>
      </c>
    </row>
    <row r="3484" spans="12:26" x14ac:dyDescent="0.55000000000000004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5"/>
        <v>176099.59317803659</v>
      </c>
    </row>
    <row r="3485" spans="12:26" x14ac:dyDescent="0.55000000000000004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5"/>
        <v>176099.59317803659</v>
      </c>
    </row>
    <row r="3486" spans="12:26" x14ac:dyDescent="0.55000000000000004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5"/>
        <v>176099.59317803659</v>
      </c>
    </row>
    <row r="3487" spans="12:26" x14ac:dyDescent="0.55000000000000004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5"/>
        <v>176099.59317803659</v>
      </c>
    </row>
    <row r="3488" spans="12:26" x14ac:dyDescent="0.55000000000000004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5"/>
        <v>176099.59317803659</v>
      </c>
    </row>
    <row r="3489" spans="12:26" x14ac:dyDescent="0.55000000000000004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5"/>
        <v>176099.59317803659</v>
      </c>
    </row>
    <row r="3490" spans="12:26" x14ac:dyDescent="0.55000000000000004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5"/>
        <v>176099.59317803659</v>
      </c>
    </row>
    <row r="3491" spans="12:26" x14ac:dyDescent="0.55000000000000004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5"/>
        <v>176099.59317803659</v>
      </c>
    </row>
    <row r="3492" spans="12:26" x14ac:dyDescent="0.55000000000000004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5"/>
        <v>176099.59317803659</v>
      </c>
    </row>
    <row r="3493" spans="12:26" x14ac:dyDescent="0.55000000000000004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5"/>
        <v>176099.59317803659</v>
      </c>
    </row>
    <row r="3494" spans="12:26" x14ac:dyDescent="0.55000000000000004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5"/>
        <v>176099.59317803659</v>
      </c>
    </row>
    <row r="3495" spans="12:26" x14ac:dyDescent="0.55000000000000004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5"/>
        <v>176099.59317803659</v>
      </c>
    </row>
    <row r="3496" spans="12:26" x14ac:dyDescent="0.55000000000000004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5"/>
        <v>176099.59317803659</v>
      </c>
    </row>
    <row r="3497" spans="12:26" x14ac:dyDescent="0.55000000000000004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5"/>
        <v>176099.59317803659</v>
      </c>
    </row>
    <row r="3498" spans="12:26" x14ac:dyDescent="0.55000000000000004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5"/>
        <v>176099.59317803659</v>
      </c>
    </row>
    <row r="3499" spans="12:26" x14ac:dyDescent="0.55000000000000004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5"/>
        <v>176099.59317803659</v>
      </c>
    </row>
    <row r="3500" spans="12:26" x14ac:dyDescent="0.55000000000000004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5"/>
        <v>176099.59317803659</v>
      </c>
    </row>
    <row r="3501" spans="12:26" x14ac:dyDescent="0.55000000000000004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5"/>
        <v>176099.59317803659</v>
      </c>
    </row>
    <row r="3502" spans="12:26" x14ac:dyDescent="0.55000000000000004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5"/>
        <v>176099.59317803659</v>
      </c>
    </row>
    <row r="3503" spans="12:26" x14ac:dyDescent="0.55000000000000004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5"/>
        <v>176099.59317803659</v>
      </c>
    </row>
    <row r="3504" spans="12:26" x14ac:dyDescent="0.55000000000000004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5"/>
        <v>176099.59317803659</v>
      </c>
    </row>
    <row r="3505" spans="12:26" x14ac:dyDescent="0.55000000000000004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5"/>
        <v>176099.59317803659</v>
      </c>
    </row>
    <row r="3506" spans="12:26" x14ac:dyDescent="0.55000000000000004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5"/>
        <v>176099.59317803659</v>
      </c>
    </row>
    <row r="3507" spans="12:26" x14ac:dyDescent="0.55000000000000004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5"/>
        <v>176099.59317803659</v>
      </c>
    </row>
    <row r="3508" spans="12:26" x14ac:dyDescent="0.55000000000000004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5"/>
        <v>176099.59317803659</v>
      </c>
    </row>
    <row r="3509" spans="12:26" x14ac:dyDescent="0.55000000000000004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5"/>
        <v>176099.59317803659</v>
      </c>
    </row>
    <row r="3510" spans="12:26" x14ac:dyDescent="0.55000000000000004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5"/>
        <v>176099.59317803659</v>
      </c>
    </row>
    <row r="3511" spans="12:26" x14ac:dyDescent="0.55000000000000004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5"/>
        <v>176099.59317803659</v>
      </c>
    </row>
    <row r="3512" spans="12:26" x14ac:dyDescent="0.55000000000000004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5"/>
        <v>176099.59317803659</v>
      </c>
    </row>
    <row r="3513" spans="12:26" x14ac:dyDescent="0.55000000000000004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5"/>
        <v>176099.59317803659</v>
      </c>
    </row>
    <row r="3514" spans="12:26" x14ac:dyDescent="0.55000000000000004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5"/>
        <v>176099.59317803659</v>
      </c>
    </row>
    <row r="3515" spans="12:26" x14ac:dyDescent="0.55000000000000004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5"/>
        <v>176099.59317803659</v>
      </c>
    </row>
    <row r="3516" spans="12:26" x14ac:dyDescent="0.55000000000000004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5"/>
        <v>176099.59317803659</v>
      </c>
    </row>
    <row r="3517" spans="12:26" x14ac:dyDescent="0.55000000000000004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5"/>
        <v>176099.59317803659</v>
      </c>
    </row>
    <row r="3518" spans="12:26" x14ac:dyDescent="0.55000000000000004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5"/>
        <v>176099.59317803659</v>
      </c>
    </row>
    <row r="3519" spans="12:26" x14ac:dyDescent="0.55000000000000004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5"/>
        <v>176099.59317803659</v>
      </c>
    </row>
    <row r="3520" spans="12:26" x14ac:dyDescent="0.55000000000000004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5"/>
        <v>176099.59317803659</v>
      </c>
    </row>
    <row r="3521" spans="12:26" x14ac:dyDescent="0.55000000000000004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5"/>
        <v>176099.59317803659</v>
      </c>
    </row>
    <row r="3522" spans="12:26" x14ac:dyDescent="0.55000000000000004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5"/>
        <v>176099.59317803659</v>
      </c>
    </row>
    <row r="3523" spans="12:26" x14ac:dyDescent="0.55000000000000004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5"/>
        <v>176099.59317803659</v>
      </c>
    </row>
    <row r="3524" spans="12:26" x14ac:dyDescent="0.55000000000000004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5"/>
        <v>176099.59317803659</v>
      </c>
    </row>
    <row r="3525" spans="12:26" x14ac:dyDescent="0.55000000000000004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5"/>
        <v>176099.59317803659</v>
      </c>
    </row>
    <row r="3526" spans="12:26" x14ac:dyDescent="0.55000000000000004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5"/>
        <v>176099.59317803659</v>
      </c>
    </row>
    <row r="3527" spans="12:26" x14ac:dyDescent="0.55000000000000004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6">Y3527/X3527</f>
        <v>176099.59317803659</v>
      </c>
    </row>
    <row r="3528" spans="12:26" x14ac:dyDescent="0.55000000000000004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6"/>
        <v>176099.59317803659</v>
      </c>
    </row>
    <row r="3529" spans="12:26" x14ac:dyDescent="0.55000000000000004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6"/>
        <v>176099.59317803659</v>
      </c>
    </row>
    <row r="3530" spans="12:26" x14ac:dyDescent="0.55000000000000004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6"/>
        <v>176099.59317803659</v>
      </c>
    </row>
    <row r="3531" spans="12:26" x14ac:dyDescent="0.55000000000000004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6"/>
        <v>176099.59317803659</v>
      </c>
    </row>
    <row r="3532" spans="12:26" x14ac:dyDescent="0.55000000000000004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6"/>
        <v>176099.59317803659</v>
      </c>
    </row>
    <row r="3533" spans="12:26" x14ac:dyDescent="0.55000000000000004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6"/>
        <v>176099.59317803659</v>
      </c>
    </row>
    <row r="3534" spans="12:26" x14ac:dyDescent="0.55000000000000004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6"/>
        <v>176099.59317803659</v>
      </c>
    </row>
    <row r="3535" spans="12:26" x14ac:dyDescent="0.55000000000000004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6"/>
        <v>176099.59317803659</v>
      </c>
    </row>
    <row r="3536" spans="12:26" x14ac:dyDescent="0.55000000000000004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6"/>
        <v>176099.59317803659</v>
      </c>
    </row>
    <row r="3537" spans="12:26" x14ac:dyDescent="0.55000000000000004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6"/>
        <v>176099.59317803659</v>
      </c>
    </row>
    <row r="3538" spans="12:26" x14ac:dyDescent="0.55000000000000004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6"/>
        <v>176099.59317803659</v>
      </c>
    </row>
    <row r="3539" spans="12:26" x14ac:dyDescent="0.55000000000000004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6"/>
        <v>176099.59317803659</v>
      </c>
    </row>
    <row r="3540" spans="12:26" x14ac:dyDescent="0.55000000000000004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6"/>
        <v>176099.59317803659</v>
      </c>
    </row>
    <row r="3541" spans="12:26" x14ac:dyDescent="0.55000000000000004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6"/>
        <v>176099.59317803659</v>
      </c>
    </row>
    <row r="3542" spans="12:26" x14ac:dyDescent="0.55000000000000004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6"/>
        <v>176099.59317803659</v>
      </c>
    </row>
    <row r="3543" spans="12:26" x14ac:dyDescent="0.55000000000000004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6"/>
        <v>176099.59317803659</v>
      </c>
    </row>
    <row r="3544" spans="12:26" x14ac:dyDescent="0.55000000000000004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6"/>
        <v>176099.59317803659</v>
      </c>
    </row>
    <row r="3545" spans="12:26" x14ac:dyDescent="0.55000000000000004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6"/>
        <v>176099.59317803659</v>
      </c>
    </row>
    <row r="3546" spans="12:26" x14ac:dyDescent="0.55000000000000004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6"/>
        <v>176099.59317803659</v>
      </c>
    </row>
    <row r="3547" spans="12:26" x14ac:dyDescent="0.55000000000000004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6"/>
        <v>176099.59317803659</v>
      </c>
    </row>
    <row r="3548" spans="12:26" x14ac:dyDescent="0.55000000000000004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6"/>
        <v>176099.59317803659</v>
      </c>
    </row>
    <row r="3549" spans="12:26" x14ac:dyDescent="0.55000000000000004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6"/>
        <v>176099.59317803659</v>
      </c>
    </row>
    <row r="3550" spans="12:26" x14ac:dyDescent="0.55000000000000004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6"/>
        <v>176099.59317803659</v>
      </c>
    </row>
    <row r="3551" spans="12:26" x14ac:dyDescent="0.55000000000000004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6"/>
        <v>176099.59317803659</v>
      </c>
    </row>
    <row r="3552" spans="12:26" x14ac:dyDescent="0.55000000000000004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6"/>
        <v>176099.59317803659</v>
      </c>
    </row>
    <row r="3553" spans="12:26" x14ac:dyDescent="0.55000000000000004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6"/>
        <v>176099.59317803659</v>
      </c>
    </row>
    <row r="3554" spans="12:26" x14ac:dyDescent="0.55000000000000004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6"/>
        <v>176099.59317803659</v>
      </c>
    </row>
    <row r="3555" spans="12:26" x14ac:dyDescent="0.55000000000000004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6"/>
        <v>176099.59317803659</v>
      </c>
    </row>
    <row r="3556" spans="12:26" x14ac:dyDescent="0.55000000000000004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6"/>
        <v>176099.59317803659</v>
      </c>
    </row>
    <row r="3557" spans="12:26" x14ac:dyDescent="0.55000000000000004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6"/>
        <v>176099.59317803659</v>
      </c>
    </row>
    <row r="3558" spans="12:26" x14ac:dyDescent="0.55000000000000004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6"/>
        <v>176099.59317803659</v>
      </c>
    </row>
    <row r="3559" spans="12:26" x14ac:dyDescent="0.55000000000000004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6"/>
        <v>176099.59317803659</v>
      </c>
    </row>
    <row r="3560" spans="12:26" x14ac:dyDescent="0.55000000000000004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6"/>
        <v>176099.59317803659</v>
      </c>
    </row>
    <row r="3561" spans="12:26" x14ac:dyDescent="0.55000000000000004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6"/>
        <v>176099.59317803659</v>
      </c>
    </row>
    <row r="3562" spans="12:26" x14ac:dyDescent="0.55000000000000004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6"/>
        <v>176099.59317803659</v>
      </c>
    </row>
    <row r="3563" spans="12:26" x14ac:dyDescent="0.55000000000000004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6"/>
        <v>176099.59317803659</v>
      </c>
    </row>
    <row r="3564" spans="12:26" x14ac:dyDescent="0.55000000000000004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6"/>
        <v>176099.59317803659</v>
      </c>
    </row>
    <row r="3565" spans="12:26" x14ac:dyDescent="0.55000000000000004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6"/>
        <v>176099.59317803659</v>
      </c>
    </row>
    <row r="3566" spans="12:26" x14ac:dyDescent="0.55000000000000004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6"/>
        <v>176099.59317803659</v>
      </c>
    </row>
    <row r="3567" spans="12:26" x14ac:dyDescent="0.55000000000000004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6"/>
        <v>176099.59317803659</v>
      </c>
    </row>
    <row r="3568" spans="12:26" x14ac:dyDescent="0.55000000000000004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6"/>
        <v>176099.59317803659</v>
      </c>
    </row>
    <row r="3569" spans="12:26" x14ac:dyDescent="0.55000000000000004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6"/>
        <v>176099.59317803659</v>
      </c>
    </row>
    <row r="3570" spans="12:26" x14ac:dyDescent="0.55000000000000004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6"/>
        <v>176099.59317803659</v>
      </c>
    </row>
    <row r="3571" spans="12:26" x14ac:dyDescent="0.55000000000000004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6"/>
        <v>176099.59317803659</v>
      </c>
    </row>
    <row r="3572" spans="12:26" x14ac:dyDescent="0.55000000000000004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6"/>
        <v>176099.59317803659</v>
      </c>
    </row>
    <row r="3573" spans="12:26" x14ac:dyDescent="0.55000000000000004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6"/>
        <v>176099.59317803659</v>
      </c>
    </row>
    <row r="3574" spans="12:26" x14ac:dyDescent="0.55000000000000004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6"/>
        <v>176099.59317803659</v>
      </c>
    </row>
    <row r="3575" spans="12:26" x14ac:dyDescent="0.55000000000000004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6"/>
        <v>176099.59317803659</v>
      </c>
    </row>
    <row r="3576" spans="12:26" x14ac:dyDescent="0.55000000000000004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6"/>
        <v>176099.59317803659</v>
      </c>
    </row>
    <row r="3577" spans="12:26" x14ac:dyDescent="0.55000000000000004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6"/>
        <v>176099.59317803659</v>
      </c>
    </row>
    <row r="3578" spans="12:26" x14ac:dyDescent="0.55000000000000004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6"/>
        <v>176099.59317803659</v>
      </c>
    </row>
    <row r="3579" spans="12:26" x14ac:dyDescent="0.55000000000000004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6"/>
        <v>176099.59317803659</v>
      </c>
    </row>
    <row r="3580" spans="12:26" x14ac:dyDescent="0.55000000000000004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6"/>
        <v>176099.59317803659</v>
      </c>
    </row>
    <row r="3581" spans="12:26" x14ac:dyDescent="0.55000000000000004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6"/>
        <v>176099.59317803659</v>
      </c>
    </row>
    <row r="3582" spans="12:26" x14ac:dyDescent="0.55000000000000004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6"/>
        <v>176099.59317803659</v>
      </c>
    </row>
    <row r="3583" spans="12:26" x14ac:dyDescent="0.55000000000000004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6"/>
        <v>176099.59317803659</v>
      </c>
    </row>
    <row r="3584" spans="12:26" x14ac:dyDescent="0.55000000000000004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6"/>
        <v>176099.59317803659</v>
      </c>
    </row>
    <row r="3585" spans="12:26" x14ac:dyDescent="0.55000000000000004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6"/>
        <v>176099.59317803659</v>
      </c>
    </row>
    <row r="3586" spans="12:26" x14ac:dyDescent="0.55000000000000004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6"/>
        <v>176099.59317803659</v>
      </c>
    </row>
    <row r="3587" spans="12:26" x14ac:dyDescent="0.55000000000000004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6"/>
        <v>176099.59317803659</v>
      </c>
    </row>
    <row r="3588" spans="12:26" x14ac:dyDescent="0.55000000000000004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6"/>
        <v>176099.59317803659</v>
      </c>
    </row>
    <row r="3589" spans="12:26" x14ac:dyDescent="0.55000000000000004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6"/>
        <v>176099.59317803659</v>
      </c>
    </row>
    <row r="3590" spans="12:26" x14ac:dyDescent="0.55000000000000004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6"/>
        <v>176099.59317803659</v>
      </c>
    </row>
    <row r="3591" spans="12:26" x14ac:dyDescent="0.55000000000000004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7">Y3591/X3591</f>
        <v>176099.59317803659</v>
      </c>
    </row>
    <row r="3592" spans="12:26" x14ac:dyDescent="0.55000000000000004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7"/>
        <v>176099.59317803659</v>
      </c>
    </row>
    <row r="3593" spans="12:26" x14ac:dyDescent="0.55000000000000004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7"/>
        <v>176099.59317803659</v>
      </c>
    </row>
    <row r="3594" spans="12:26" x14ac:dyDescent="0.55000000000000004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7"/>
        <v>176099.59317803659</v>
      </c>
    </row>
    <row r="3595" spans="12:26" x14ac:dyDescent="0.55000000000000004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7"/>
        <v>176099.59317803659</v>
      </c>
    </row>
    <row r="3596" spans="12:26" x14ac:dyDescent="0.55000000000000004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7"/>
        <v>176099.59317803659</v>
      </c>
    </row>
    <row r="3597" spans="12:26" x14ac:dyDescent="0.55000000000000004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7"/>
        <v>176099.59317803659</v>
      </c>
    </row>
    <row r="3598" spans="12:26" x14ac:dyDescent="0.55000000000000004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7"/>
        <v>176099.59317803659</v>
      </c>
    </row>
    <row r="3599" spans="12:26" x14ac:dyDescent="0.55000000000000004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7"/>
        <v>176099.59317803659</v>
      </c>
    </row>
    <row r="3600" spans="12:26" x14ac:dyDescent="0.55000000000000004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7"/>
        <v>176099.59317803659</v>
      </c>
    </row>
    <row r="3601" spans="12:26" x14ac:dyDescent="0.55000000000000004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7"/>
        <v>176099.59317803659</v>
      </c>
    </row>
    <row r="3602" spans="12:26" x14ac:dyDescent="0.55000000000000004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7"/>
        <v>176099.59317803659</v>
      </c>
    </row>
    <row r="3603" spans="12:26" x14ac:dyDescent="0.55000000000000004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7"/>
        <v>176099.59317803659</v>
      </c>
    </row>
    <row r="3604" spans="12:26" x14ac:dyDescent="0.55000000000000004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7"/>
        <v>176099.59317803659</v>
      </c>
    </row>
    <row r="3605" spans="12:26" x14ac:dyDescent="0.55000000000000004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7"/>
        <v>176099.59317803659</v>
      </c>
    </row>
    <row r="3606" spans="12:26" x14ac:dyDescent="0.55000000000000004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7"/>
        <v>176099.59317803659</v>
      </c>
    </row>
    <row r="3607" spans="12:26" x14ac:dyDescent="0.55000000000000004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7"/>
        <v>176099.59317803659</v>
      </c>
    </row>
    <row r="3608" spans="12:26" x14ac:dyDescent="0.55000000000000004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7"/>
        <v>176099.59317803659</v>
      </c>
    </row>
    <row r="3609" spans="12:26" x14ac:dyDescent="0.55000000000000004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7"/>
        <v>176099.59317803659</v>
      </c>
    </row>
    <row r="3610" spans="12:26" x14ac:dyDescent="0.55000000000000004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7"/>
        <v>176099.59317803659</v>
      </c>
    </row>
    <row r="3611" spans="12:26" x14ac:dyDescent="0.55000000000000004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7"/>
        <v>176099.59317803659</v>
      </c>
    </row>
    <row r="3612" spans="12:26" x14ac:dyDescent="0.55000000000000004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7"/>
        <v>176099.59317803659</v>
      </c>
    </row>
    <row r="3613" spans="12:26" x14ac:dyDescent="0.55000000000000004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7"/>
        <v>176099.59317803659</v>
      </c>
    </row>
    <row r="3614" spans="12:26" x14ac:dyDescent="0.55000000000000004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7"/>
        <v>176099.59317803659</v>
      </c>
    </row>
    <row r="3615" spans="12:26" x14ac:dyDescent="0.55000000000000004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7"/>
        <v>176099.59317803659</v>
      </c>
    </row>
    <row r="3616" spans="12:26" x14ac:dyDescent="0.55000000000000004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7"/>
        <v>176099.59317803659</v>
      </c>
    </row>
    <row r="3617" spans="12:26" x14ac:dyDescent="0.55000000000000004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7"/>
        <v>176099.59317803659</v>
      </c>
    </row>
    <row r="3618" spans="12:26" x14ac:dyDescent="0.55000000000000004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7"/>
        <v>176099.59317803659</v>
      </c>
    </row>
    <row r="3619" spans="12:26" x14ac:dyDescent="0.55000000000000004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7"/>
        <v>176099.59317803659</v>
      </c>
    </row>
    <row r="3620" spans="12:26" x14ac:dyDescent="0.55000000000000004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7"/>
        <v>176099.59317803659</v>
      </c>
    </row>
    <row r="3621" spans="12:26" x14ac:dyDescent="0.55000000000000004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7"/>
        <v>176099.59317803659</v>
      </c>
    </row>
    <row r="3622" spans="12:26" x14ac:dyDescent="0.55000000000000004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7"/>
        <v>176099.59317803659</v>
      </c>
    </row>
    <row r="3623" spans="12:26" x14ac:dyDescent="0.55000000000000004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7"/>
        <v>176099.59317803659</v>
      </c>
    </row>
    <row r="3624" spans="12:26" x14ac:dyDescent="0.55000000000000004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7"/>
        <v>176099.59317803659</v>
      </c>
    </row>
    <row r="3625" spans="12:26" x14ac:dyDescent="0.55000000000000004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7"/>
        <v>176099.59317803659</v>
      </c>
    </row>
    <row r="3626" spans="12:26" x14ac:dyDescent="0.55000000000000004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7"/>
        <v>176099.59317803659</v>
      </c>
    </row>
    <row r="3627" spans="12:26" x14ac:dyDescent="0.55000000000000004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7"/>
        <v>176099.59317803659</v>
      </c>
    </row>
    <row r="3628" spans="12:26" x14ac:dyDescent="0.55000000000000004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7"/>
        <v>176099.59317803659</v>
      </c>
    </row>
    <row r="3629" spans="12:26" x14ac:dyDescent="0.55000000000000004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7"/>
        <v>176099.59317803659</v>
      </c>
    </row>
    <row r="3630" spans="12:26" x14ac:dyDescent="0.55000000000000004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7"/>
        <v>176099.59317803659</v>
      </c>
    </row>
    <row r="3631" spans="12:26" x14ac:dyDescent="0.55000000000000004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7"/>
        <v>176099.59317803659</v>
      </c>
    </row>
    <row r="3632" spans="12:26" x14ac:dyDescent="0.55000000000000004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7"/>
        <v>176099.59317803659</v>
      </c>
    </row>
    <row r="3633" spans="12:26" x14ac:dyDescent="0.55000000000000004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7"/>
        <v>176099.59317803659</v>
      </c>
    </row>
    <row r="3634" spans="12:26" x14ac:dyDescent="0.55000000000000004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7"/>
        <v>176099.59317803659</v>
      </c>
    </row>
    <row r="3635" spans="12:26" x14ac:dyDescent="0.55000000000000004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7"/>
        <v>176099.59317803659</v>
      </c>
    </row>
    <row r="3636" spans="12:26" x14ac:dyDescent="0.55000000000000004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7"/>
        <v>176099.59317803659</v>
      </c>
    </row>
    <row r="3637" spans="12:26" x14ac:dyDescent="0.55000000000000004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7"/>
        <v>176099.59317803659</v>
      </c>
    </row>
    <row r="3638" spans="12:26" x14ac:dyDescent="0.55000000000000004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7"/>
        <v>176099.59317803659</v>
      </c>
    </row>
    <row r="3639" spans="12:26" x14ac:dyDescent="0.55000000000000004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7"/>
        <v>176099.59317803659</v>
      </c>
    </row>
    <row r="3640" spans="12:26" x14ac:dyDescent="0.55000000000000004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7"/>
        <v>176099.59317803659</v>
      </c>
    </row>
    <row r="3641" spans="12:26" x14ac:dyDescent="0.55000000000000004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7"/>
        <v>176099.59317803659</v>
      </c>
    </row>
    <row r="3642" spans="12:26" x14ac:dyDescent="0.55000000000000004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7"/>
        <v>176099.59317803659</v>
      </c>
    </row>
    <row r="3643" spans="12:26" x14ac:dyDescent="0.55000000000000004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7"/>
        <v>176099.59317803659</v>
      </c>
    </row>
    <row r="3644" spans="12:26" x14ac:dyDescent="0.55000000000000004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7"/>
        <v>176099.59317803659</v>
      </c>
    </row>
    <row r="3645" spans="12:26" x14ac:dyDescent="0.55000000000000004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7"/>
        <v>176099.59317803659</v>
      </c>
    </row>
    <row r="3646" spans="12:26" x14ac:dyDescent="0.55000000000000004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7"/>
        <v>176099.59317803659</v>
      </c>
    </row>
    <row r="3647" spans="12:26" x14ac:dyDescent="0.55000000000000004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7"/>
        <v>176099.59317803659</v>
      </c>
    </row>
    <row r="3648" spans="12:26" x14ac:dyDescent="0.55000000000000004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7"/>
        <v>176099.59317803659</v>
      </c>
    </row>
    <row r="3649" spans="12:26" x14ac:dyDescent="0.55000000000000004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7"/>
        <v>176099.59317803659</v>
      </c>
    </row>
    <row r="3650" spans="12:26" x14ac:dyDescent="0.55000000000000004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7"/>
        <v>176099.59317803659</v>
      </c>
    </row>
    <row r="3651" spans="12:26" x14ac:dyDescent="0.55000000000000004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7"/>
        <v>176099.59317803659</v>
      </c>
    </row>
    <row r="3652" spans="12:26" x14ac:dyDescent="0.55000000000000004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7"/>
        <v>176099.59317803659</v>
      </c>
    </row>
    <row r="3653" spans="12:26" x14ac:dyDescent="0.55000000000000004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7"/>
        <v>176099.59317803659</v>
      </c>
    </row>
    <row r="3654" spans="12:26" x14ac:dyDescent="0.55000000000000004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7"/>
        <v>176099.59317803659</v>
      </c>
    </row>
    <row r="3655" spans="12:26" x14ac:dyDescent="0.55000000000000004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8">Y3655/X3655</f>
        <v>176099.59317803659</v>
      </c>
    </row>
    <row r="3656" spans="12:26" x14ac:dyDescent="0.55000000000000004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8"/>
        <v>176099.59317803659</v>
      </c>
    </row>
    <row r="3657" spans="12:26" x14ac:dyDescent="0.55000000000000004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8"/>
        <v>176099.59317803659</v>
      </c>
    </row>
    <row r="3658" spans="12:26" x14ac:dyDescent="0.55000000000000004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8"/>
        <v>176099.59317803659</v>
      </c>
    </row>
    <row r="3659" spans="12:26" x14ac:dyDescent="0.55000000000000004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8"/>
        <v>176099.59317803659</v>
      </c>
    </row>
    <row r="3660" spans="12:26" x14ac:dyDescent="0.55000000000000004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8"/>
        <v>176099.59317803659</v>
      </c>
    </row>
    <row r="3661" spans="12:26" x14ac:dyDescent="0.55000000000000004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8"/>
        <v>176099.59317803659</v>
      </c>
    </row>
    <row r="3662" spans="12:26" x14ac:dyDescent="0.55000000000000004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8"/>
        <v>176099.59317803659</v>
      </c>
    </row>
    <row r="3663" spans="12:26" x14ac:dyDescent="0.55000000000000004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8"/>
        <v>176099.59317803659</v>
      </c>
    </row>
    <row r="3664" spans="12:26" x14ac:dyDescent="0.55000000000000004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8"/>
        <v>176099.59317803659</v>
      </c>
    </row>
    <row r="3665" spans="12:26" x14ac:dyDescent="0.55000000000000004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8"/>
        <v>176099.59317803659</v>
      </c>
    </row>
    <row r="3666" spans="12:26" x14ac:dyDescent="0.55000000000000004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8"/>
        <v>176099.59317803659</v>
      </c>
    </row>
    <row r="3667" spans="12:26" x14ac:dyDescent="0.55000000000000004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8"/>
        <v>176099.59317803659</v>
      </c>
    </row>
    <row r="3668" spans="12:26" x14ac:dyDescent="0.55000000000000004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8"/>
        <v>176099.59317803659</v>
      </c>
    </row>
    <row r="3669" spans="12:26" x14ac:dyDescent="0.55000000000000004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8"/>
        <v>176099.59317803659</v>
      </c>
    </row>
    <row r="3670" spans="12:26" x14ac:dyDescent="0.55000000000000004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8"/>
        <v>176099.59317803659</v>
      </c>
    </row>
    <row r="3671" spans="12:26" x14ac:dyDescent="0.55000000000000004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8"/>
        <v>176099.59317803659</v>
      </c>
    </row>
    <row r="3672" spans="12:26" x14ac:dyDescent="0.55000000000000004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8"/>
        <v>176099.59317803659</v>
      </c>
    </row>
    <row r="3673" spans="12:26" x14ac:dyDescent="0.55000000000000004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8"/>
        <v>176099.59317803659</v>
      </c>
    </row>
    <row r="3674" spans="12:26" x14ac:dyDescent="0.55000000000000004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8"/>
        <v>176099.59317803659</v>
      </c>
    </row>
    <row r="3675" spans="12:26" x14ac:dyDescent="0.55000000000000004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8"/>
        <v>176099.59317803659</v>
      </c>
    </row>
    <row r="3676" spans="12:26" x14ac:dyDescent="0.55000000000000004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8"/>
        <v>176099.59317803659</v>
      </c>
    </row>
    <row r="3677" spans="12:26" x14ac:dyDescent="0.55000000000000004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8"/>
        <v>176099.59317803659</v>
      </c>
    </row>
    <row r="3678" spans="12:26" x14ac:dyDescent="0.55000000000000004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8"/>
        <v>176099.59317803659</v>
      </c>
    </row>
    <row r="3679" spans="12:26" x14ac:dyDescent="0.55000000000000004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8"/>
        <v>176099.59317803659</v>
      </c>
    </row>
    <row r="3680" spans="12:26" x14ac:dyDescent="0.55000000000000004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8"/>
        <v>176099.59317803659</v>
      </c>
    </row>
    <row r="3681" spans="12:26" x14ac:dyDescent="0.55000000000000004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8"/>
        <v>176099.59317803659</v>
      </c>
    </row>
    <row r="3682" spans="12:26" x14ac:dyDescent="0.55000000000000004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8"/>
        <v>176099.59317803659</v>
      </c>
    </row>
    <row r="3683" spans="12:26" x14ac:dyDescent="0.55000000000000004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8"/>
        <v>176099.59317803659</v>
      </c>
    </row>
    <row r="3684" spans="12:26" x14ac:dyDescent="0.55000000000000004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8"/>
        <v>176099.59317803659</v>
      </c>
    </row>
    <row r="3685" spans="12:26" x14ac:dyDescent="0.55000000000000004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8"/>
        <v>176099.59317803659</v>
      </c>
    </row>
    <row r="3686" spans="12:26" x14ac:dyDescent="0.55000000000000004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8"/>
        <v>176099.59317803659</v>
      </c>
    </row>
    <row r="3687" spans="12:26" x14ac:dyDescent="0.55000000000000004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8"/>
        <v>176099.59317803659</v>
      </c>
    </row>
    <row r="3688" spans="12:26" x14ac:dyDescent="0.55000000000000004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8"/>
        <v>176099.59317803659</v>
      </c>
    </row>
    <row r="3689" spans="12:26" x14ac:dyDescent="0.55000000000000004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8"/>
        <v>176099.59317803659</v>
      </c>
    </row>
    <row r="3690" spans="12:26" x14ac:dyDescent="0.55000000000000004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8"/>
        <v>176099.59317803659</v>
      </c>
    </row>
    <row r="3691" spans="12:26" x14ac:dyDescent="0.55000000000000004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8"/>
        <v>176099.59317803659</v>
      </c>
    </row>
    <row r="3692" spans="12:26" x14ac:dyDescent="0.55000000000000004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8"/>
        <v>176099.59317803659</v>
      </c>
    </row>
    <row r="3693" spans="12:26" x14ac:dyDescent="0.55000000000000004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8"/>
        <v>176099.59317803659</v>
      </c>
    </row>
    <row r="3694" spans="12:26" x14ac:dyDescent="0.55000000000000004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8"/>
        <v>176099.59317803659</v>
      </c>
    </row>
    <row r="3695" spans="12:26" x14ac:dyDescent="0.55000000000000004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8"/>
        <v>176099.59317803659</v>
      </c>
    </row>
    <row r="3696" spans="12:26" x14ac:dyDescent="0.55000000000000004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8"/>
        <v>176099.59317803659</v>
      </c>
    </row>
    <row r="3697" spans="12:26" x14ac:dyDescent="0.55000000000000004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8"/>
        <v>176099.59317803659</v>
      </c>
    </row>
    <row r="3698" spans="12:26" x14ac:dyDescent="0.55000000000000004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8"/>
        <v>176099.59317803659</v>
      </c>
    </row>
    <row r="3699" spans="12:26" x14ac:dyDescent="0.55000000000000004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8"/>
        <v>176099.59317803659</v>
      </c>
    </row>
    <row r="3700" spans="12:26" x14ac:dyDescent="0.55000000000000004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8"/>
        <v>176099.59317803659</v>
      </c>
    </row>
    <row r="3701" spans="12:26" x14ac:dyDescent="0.55000000000000004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8"/>
        <v>176099.59317803659</v>
      </c>
    </row>
    <row r="3702" spans="12:26" x14ac:dyDescent="0.55000000000000004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8"/>
        <v>176099.59317803659</v>
      </c>
    </row>
    <row r="3703" spans="12:26" x14ac:dyDescent="0.55000000000000004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8"/>
        <v>176099.59317803659</v>
      </c>
    </row>
    <row r="3704" spans="12:26" x14ac:dyDescent="0.55000000000000004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8"/>
        <v>176099.59317803659</v>
      </c>
    </row>
    <row r="3705" spans="12:26" x14ac:dyDescent="0.55000000000000004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8"/>
        <v>176099.59317803659</v>
      </c>
    </row>
    <row r="3706" spans="12:26" x14ac:dyDescent="0.55000000000000004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8"/>
        <v>176099.59317803659</v>
      </c>
    </row>
    <row r="3707" spans="12:26" x14ac:dyDescent="0.55000000000000004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8"/>
        <v>176099.59317803659</v>
      </c>
    </row>
    <row r="3708" spans="12:26" x14ac:dyDescent="0.55000000000000004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8"/>
        <v>176099.59317803659</v>
      </c>
    </row>
    <row r="3709" spans="12:26" x14ac:dyDescent="0.55000000000000004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8"/>
        <v>176099.59317803659</v>
      </c>
    </row>
    <row r="3710" spans="12:26" x14ac:dyDescent="0.55000000000000004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8"/>
        <v>176099.59317803659</v>
      </c>
    </row>
    <row r="3711" spans="12:26" x14ac:dyDescent="0.55000000000000004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8"/>
        <v>176099.59317803659</v>
      </c>
    </row>
    <row r="3712" spans="12:26" x14ac:dyDescent="0.55000000000000004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8"/>
        <v>176099.59317803659</v>
      </c>
    </row>
    <row r="3713" spans="12:26" x14ac:dyDescent="0.55000000000000004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8"/>
        <v>176099.59317803659</v>
      </c>
    </row>
    <row r="3714" spans="12:26" x14ac:dyDescent="0.55000000000000004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8"/>
        <v>176099.59317803659</v>
      </c>
    </row>
    <row r="3715" spans="12:26" x14ac:dyDescent="0.55000000000000004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8"/>
        <v>176099.59317803659</v>
      </c>
    </row>
    <row r="3716" spans="12:26" x14ac:dyDescent="0.55000000000000004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8"/>
        <v>176099.59317803659</v>
      </c>
    </row>
    <row r="3717" spans="12:26" x14ac:dyDescent="0.55000000000000004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8"/>
        <v>176099.59317803659</v>
      </c>
    </row>
    <row r="3718" spans="12:26" x14ac:dyDescent="0.55000000000000004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8"/>
        <v>176099.59317803659</v>
      </c>
    </row>
    <row r="3719" spans="12:26" x14ac:dyDescent="0.55000000000000004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9">Y3719/X3719</f>
        <v>176099.59317803659</v>
      </c>
    </row>
    <row r="3720" spans="12:26" x14ac:dyDescent="0.55000000000000004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9"/>
        <v>176099.59317803659</v>
      </c>
    </row>
    <row r="3721" spans="12:26" x14ac:dyDescent="0.55000000000000004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9"/>
        <v>176099.59317803659</v>
      </c>
    </row>
    <row r="3722" spans="12:26" x14ac:dyDescent="0.55000000000000004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9"/>
        <v>176099.59317803659</v>
      </c>
    </row>
    <row r="3723" spans="12:26" x14ac:dyDescent="0.55000000000000004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9"/>
        <v>176099.59317803659</v>
      </c>
    </row>
    <row r="3724" spans="12:26" x14ac:dyDescent="0.55000000000000004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9"/>
        <v>176099.59317803659</v>
      </c>
    </row>
    <row r="3725" spans="12:26" x14ac:dyDescent="0.55000000000000004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9"/>
        <v>176099.59317803659</v>
      </c>
    </row>
    <row r="3726" spans="12:26" x14ac:dyDescent="0.55000000000000004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9"/>
        <v>176099.59317803659</v>
      </c>
    </row>
    <row r="3727" spans="12:26" x14ac:dyDescent="0.55000000000000004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9"/>
        <v>176099.59317803659</v>
      </c>
    </row>
    <row r="3728" spans="12:26" x14ac:dyDescent="0.55000000000000004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9"/>
        <v>176099.59317803659</v>
      </c>
    </row>
    <row r="3729" spans="12:26" x14ac:dyDescent="0.55000000000000004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9"/>
        <v>176099.59317803659</v>
      </c>
    </row>
    <row r="3730" spans="12:26" x14ac:dyDescent="0.55000000000000004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9"/>
        <v>176099.59317803659</v>
      </c>
    </row>
    <row r="3731" spans="12:26" x14ac:dyDescent="0.55000000000000004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9"/>
        <v>176099.59317803659</v>
      </c>
    </row>
    <row r="3732" spans="12:26" x14ac:dyDescent="0.55000000000000004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9"/>
        <v>176099.59317803659</v>
      </c>
    </row>
    <row r="3733" spans="12:26" x14ac:dyDescent="0.55000000000000004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9"/>
        <v>176099.59317803659</v>
      </c>
    </row>
    <row r="3734" spans="12:26" x14ac:dyDescent="0.55000000000000004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9"/>
        <v>176099.59317803659</v>
      </c>
    </row>
    <row r="3735" spans="12:26" x14ac:dyDescent="0.55000000000000004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9"/>
        <v>176099.59317803659</v>
      </c>
    </row>
    <row r="3736" spans="12:26" x14ac:dyDescent="0.55000000000000004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9"/>
        <v>176099.59317803659</v>
      </c>
    </row>
    <row r="3737" spans="12:26" x14ac:dyDescent="0.55000000000000004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9"/>
        <v>176099.59317803659</v>
      </c>
    </row>
    <row r="3738" spans="12:26" x14ac:dyDescent="0.55000000000000004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9"/>
        <v>176099.59317803659</v>
      </c>
    </row>
    <row r="3739" spans="12:26" x14ac:dyDescent="0.55000000000000004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9"/>
        <v>176099.59317803659</v>
      </c>
    </row>
    <row r="3740" spans="12:26" x14ac:dyDescent="0.55000000000000004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9"/>
        <v>176099.59317803659</v>
      </c>
    </row>
    <row r="3741" spans="12:26" x14ac:dyDescent="0.55000000000000004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9"/>
        <v>176099.59317803659</v>
      </c>
    </row>
    <row r="3742" spans="12:26" x14ac:dyDescent="0.55000000000000004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9"/>
        <v>176099.59317803659</v>
      </c>
    </row>
    <row r="3743" spans="12:26" x14ac:dyDescent="0.55000000000000004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9"/>
        <v>176099.59317803659</v>
      </c>
    </row>
    <row r="3744" spans="12:26" x14ac:dyDescent="0.55000000000000004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9"/>
        <v>176099.59317803659</v>
      </c>
    </row>
    <row r="3745" spans="12:26" x14ac:dyDescent="0.55000000000000004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9"/>
        <v>176099.59317803659</v>
      </c>
    </row>
    <row r="3746" spans="12:26" x14ac:dyDescent="0.55000000000000004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9"/>
        <v>176099.59317803659</v>
      </c>
    </row>
    <row r="3747" spans="12:26" x14ac:dyDescent="0.55000000000000004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9"/>
        <v>176099.59317803659</v>
      </c>
    </row>
    <row r="3748" spans="12:26" x14ac:dyDescent="0.55000000000000004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9"/>
        <v>176099.59317803659</v>
      </c>
    </row>
    <row r="3749" spans="12:26" x14ac:dyDescent="0.55000000000000004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9"/>
        <v>176099.59317803659</v>
      </c>
    </row>
    <row r="3750" spans="12:26" x14ac:dyDescent="0.55000000000000004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9"/>
        <v>176099.59317803659</v>
      </c>
    </row>
    <row r="3751" spans="12:26" x14ac:dyDescent="0.55000000000000004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9"/>
        <v>176099.59317803659</v>
      </c>
    </row>
    <row r="3752" spans="12:26" x14ac:dyDescent="0.55000000000000004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9"/>
        <v>176099.59317803659</v>
      </c>
    </row>
    <row r="3753" spans="12:26" x14ac:dyDescent="0.55000000000000004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9"/>
        <v>176099.59317803659</v>
      </c>
    </row>
    <row r="3754" spans="12:26" x14ac:dyDescent="0.55000000000000004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9"/>
        <v>176099.59317803659</v>
      </c>
    </row>
    <row r="3755" spans="12:26" x14ac:dyDescent="0.55000000000000004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9"/>
        <v>176099.59317803659</v>
      </c>
    </row>
    <row r="3756" spans="12:26" x14ac:dyDescent="0.55000000000000004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9"/>
        <v>176099.59317803659</v>
      </c>
    </row>
    <row r="3757" spans="12:26" x14ac:dyDescent="0.55000000000000004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9"/>
        <v>176099.59317803659</v>
      </c>
    </row>
    <row r="3758" spans="12:26" x14ac:dyDescent="0.55000000000000004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9"/>
        <v>176099.59317803659</v>
      </c>
    </row>
    <row r="3759" spans="12:26" x14ac:dyDescent="0.55000000000000004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9"/>
        <v>176099.59317803659</v>
      </c>
    </row>
    <row r="3760" spans="12:26" x14ac:dyDescent="0.55000000000000004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9"/>
        <v>176099.59317803659</v>
      </c>
    </row>
    <row r="3761" spans="12:26" x14ac:dyDescent="0.55000000000000004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9"/>
        <v>176099.59317803659</v>
      </c>
    </row>
    <row r="3762" spans="12:26" x14ac:dyDescent="0.55000000000000004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9"/>
        <v>176099.59317803659</v>
      </c>
    </row>
    <row r="3763" spans="12:26" x14ac:dyDescent="0.55000000000000004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9"/>
        <v>176099.59317803659</v>
      </c>
    </row>
    <row r="3764" spans="12:26" x14ac:dyDescent="0.55000000000000004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9"/>
        <v>176099.59317803659</v>
      </c>
    </row>
    <row r="3765" spans="12:26" x14ac:dyDescent="0.55000000000000004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9"/>
        <v>176099.59317803659</v>
      </c>
    </row>
    <row r="3766" spans="12:26" x14ac:dyDescent="0.55000000000000004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9"/>
        <v>176099.59317803659</v>
      </c>
    </row>
    <row r="3767" spans="12:26" x14ac:dyDescent="0.55000000000000004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9"/>
        <v>176099.59317803659</v>
      </c>
    </row>
    <row r="3768" spans="12:26" x14ac:dyDescent="0.55000000000000004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9"/>
        <v>176099.59317803659</v>
      </c>
    </row>
    <row r="3769" spans="12:26" x14ac:dyDescent="0.55000000000000004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9"/>
        <v>176099.59317803659</v>
      </c>
    </row>
    <row r="3770" spans="12:26" x14ac:dyDescent="0.55000000000000004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9"/>
        <v>176099.59317803659</v>
      </c>
    </row>
    <row r="3771" spans="12:26" x14ac:dyDescent="0.55000000000000004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9"/>
        <v>176099.59317803659</v>
      </c>
    </row>
    <row r="3772" spans="12:26" x14ac:dyDescent="0.55000000000000004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9"/>
        <v>176099.59317803659</v>
      </c>
    </row>
    <row r="3773" spans="12:26" x14ac:dyDescent="0.55000000000000004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9"/>
        <v>176099.59317803659</v>
      </c>
    </row>
    <row r="3774" spans="12:26" x14ac:dyDescent="0.55000000000000004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9"/>
        <v>176099.59317803659</v>
      </c>
    </row>
    <row r="3775" spans="12:26" x14ac:dyDescent="0.55000000000000004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9"/>
        <v>176099.59317803659</v>
      </c>
    </row>
    <row r="3776" spans="12:26" x14ac:dyDescent="0.55000000000000004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9"/>
        <v>176099.59317803659</v>
      </c>
    </row>
    <row r="3777" spans="12:26" x14ac:dyDescent="0.55000000000000004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9"/>
        <v>176099.59317803659</v>
      </c>
    </row>
    <row r="3778" spans="12:26" x14ac:dyDescent="0.55000000000000004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9"/>
        <v>176099.59317803659</v>
      </c>
    </row>
    <row r="3779" spans="12:26" x14ac:dyDescent="0.55000000000000004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9"/>
        <v>176099.59317803659</v>
      </c>
    </row>
    <row r="3780" spans="12:26" x14ac:dyDescent="0.55000000000000004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9"/>
        <v>176099.59317803659</v>
      </c>
    </row>
    <row r="3781" spans="12:26" x14ac:dyDescent="0.55000000000000004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9"/>
        <v>176099.59317803659</v>
      </c>
    </row>
    <row r="3782" spans="12:26" x14ac:dyDescent="0.55000000000000004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9"/>
        <v>176099.59317803659</v>
      </c>
    </row>
    <row r="3783" spans="12:26" x14ac:dyDescent="0.55000000000000004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90">Y3783/X3783</f>
        <v>176099.59317803659</v>
      </c>
    </row>
    <row r="3784" spans="12:26" x14ac:dyDescent="0.55000000000000004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90"/>
        <v>176099.59317803659</v>
      </c>
    </row>
    <row r="3785" spans="12:26" x14ac:dyDescent="0.55000000000000004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90"/>
        <v>176099.59317803659</v>
      </c>
    </row>
    <row r="3786" spans="12:26" x14ac:dyDescent="0.55000000000000004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90"/>
        <v>176099.59317803659</v>
      </c>
    </row>
    <row r="3787" spans="12:26" x14ac:dyDescent="0.55000000000000004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90"/>
        <v>176099.59317803659</v>
      </c>
    </row>
    <row r="3788" spans="12:26" x14ac:dyDescent="0.55000000000000004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90"/>
        <v>176099.59317803659</v>
      </c>
    </row>
    <row r="3789" spans="12:26" x14ac:dyDescent="0.55000000000000004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90"/>
        <v>176099.59317803659</v>
      </c>
    </row>
    <row r="3790" spans="12:26" x14ac:dyDescent="0.55000000000000004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90"/>
        <v>176099.59317803659</v>
      </c>
    </row>
    <row r="3791" spans="12:26" x14ac:dyDescent="0.55000000000000004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90"/>
        <v>176099.59317803659</v>
      </c>
    </row>
    <row r="3792" spans="12:26" x14ac:dyDescent="0.55000000000000004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90"/>
        <v>176099.59317803659</v>
      </c>
    </row>
    <row r="3793" spans="12:26" x14ac:dyDescent="0.55000000000000004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90"/>
        <v>176099.59317803659</v>
      </c>
    </row>
    <row r="3794" spans="12:26" x14ac:dyDescent="0.55000000000000004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90"/>
        <v>176099.59317803659</v>
      </c>
    </row>
    <row r="3795" spans="12:26" x14ac:dyDescent="0.55000000000000004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90"/>
        <v>176099.59317803659</v>
      </c>
    </row>
    <row r="3796" spans="12:26" x14ac:dyDescent="0.55000000000000004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90"/>
        <v>176099.59317803659</v>
      </c>
    </row>
    <row r="3797" spans="12:26" x14ac:dyDescent="0.55000000000000004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90"/>
        <v>176099.59317803659</v>
      </c>
    </row>
    <row r="3798" spans="12:26" x14ac:dyDescent="0.55000000000000004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90"/>
        <v>176099.59317803659</v>
      </c>
    </row>
    <row r="3799" spans="12:26" x14ac:dyDescent="0.55000000000000004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90"/>
        <v>176099.59317803659</v>
      </c>
    </row>
    <row r="3800" spans="12:26" x14ac:dyDescent="0.55000000000000004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90"/>
        <v>176099.59317803659</v>
      </c>
    </row>
    <row r="3801" spans="12:26" x14ac:dyDescent="0.55000000000000004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90"/>
        <v>176099.59317803659</v>
      </c>
    </row>
    <row r="3802" spans="12:26" x14ac:dyDescent="0.55000000000000004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90"/>
        <v>176099.59317803659</v>
      </c>
    </row>
    <row r="3803" spans="12:26" x14ac:dyDescent="0.55000000000000004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90"/>
        <v>176099.59317803659</v>
      </c>
    </row>
    <row r="3804" spans="12:26" x14ac:dyDescent="0.55000000000000004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90"/>
        <v>176099.59317803659</v>
      </c>
    </row>
    <row r="3805" spans="12:26" x14ac:dyDescent="0.55000000000000004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90"/>
        <v>176099.59317803659</v>
      </c>
    </row>
    <row r="3806" spans="12:26" x14ac:dyDescent="0.55000000000000004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90"/>
        <v>176099.59317803659</v>
      </c>
    </row>
    <row r="3807" spans="12:26" x14ac:dyDescent="0.55000000000000004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90"/>
        <v>176099.59317803659</v>
      </c>
    </row>
    <row r="3808" spans="12:26" x14ac:dyDescent="0.55000000000000004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90"/>
        <v>176099.59317803659</v>
      </c>
    </row>
    <row r="3809" spans="12:26" x14ac:dyDescent="0.55000000000000004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90"/>
        <v>176099.59317803659</v>
      </c>
    </row>
    <row r="3810" spans="12:26" x14ac:dyDescent="0.55000000000000004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90"/>
        <v>176099.59317803659</v>
      </c>
    </row>
    <row r="3811" spans="12:26" x14ac:dyDescent="0.55000000000000004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90"/>
        <v>176099.59317803659</v>
      </c>
    </row>
    <row r="3812" spans="12:26" x14ac:dyDescent="0.55000000000000004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90"/>
        <v>176099.59317803659</v>
      </c>
    </row>
    <row r="3813" spans="12:26" x14ac:dyDescent="0.55000000000000004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90"/>
        <v>176099.59317803659</v>
      </c>
    </row>
    <row r="3814" spans="12:26" x14ac:dyDescent="0.55000000000000004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90"/>
        <v>176099.59317803659</v>
      </c>
    </row>
    <row r="3815" spans="12:26" x14ac:dyDescent="0.55000000000000004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90"/>
        <v>176099.59317803659</v>
      </c>
    </row>
    <row r="3816" spans="12:26" x14ac:dyDescent="0.55000000000000004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90"/>
        <v>176099.59317803659</v>
      </c>
    </row>
    <row r="3817" spans="12:26" x14ac:dyDescent="0.55000000000000004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90"/>
        <v>176099.59317803659</v>
      </c>
    </row>
    <row r="3818" spans="12:26" x14ac:dyDescent="0.55000000000000004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90"/>
        <v>176099.59317803659</v>
      </c>
    </row>
    <row r="3819" spans="12:26" x14ac:dyDescent="0.55000000000000004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90"/>
        <v>176099.59317803659</v>
      </c>
    </row>
    <row r="3820" spans="12:26" x14ac:dyDescent="0.55000000000000004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90"/>
        <v>176099.59317803659</v>
      </c>
    </row>
    <row r="3821" spans="12:26" x14ac:dyDescent="0.55000000000000004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90"/>
        <v>176099.59317803659</v>
      </c>
    </row>
    <row r="3822" spans="12:26" x14ac:dyDescent="0.55000000000000004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90"/>
        <v>176099.59317803659</v>
      </c>
    </row>
    <row r="3823" spans="12:26" x14ac:dyDescent="0.55000000000000004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90"/>
        <v>176099.59317803659</v>
      </c>
    </row>
    <row r="3824" spans="12:26" x14ac:dyDescent="0.55000000000000004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90"/>
        <v>176099.59317803659</v>
      </c>
    </row>
    <row r="3825" spans="12:26" x14ac:dyDescent="0.55000000000000004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90"/>
        <v>176099.59317803659</v>
      </c>
    </row>
    <row r="3826" spans="12:26" x14ac:dyDescent="0.55000000000000004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90"/>
        <v>176099.59317803659</v>
      </c>
    </row>
    <row r="3827" spans="12:26" x14ac:dyDescent="0.55000000000000004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90"/>
        <v>176099.59317803659</v>
      </c>
    </row>
    <row r="3828" spans="12:26" x14ac:dyDescent="0.55000000000000004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90"/>
        <v>176099.59317803659</v>
      </c>
    </row>
    <row r="3829" spans="12:26" x14ac:dyDescent="0.55000000000000004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90"/>
        <v>176099.59317803659</v>
      </c>
    </row>
    <row r="3830" spans="12:26" x14ac:dyDescent="0.55000000000000004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90"/>
        <v>176099.59317803659</v>
      </c>
    </row>
    <row r="3831" spans="12:26" x14ac:dyDescent="0.55000000000000004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90"/>
        <v>176099.59317803659</v>
      </c>
    </row>
    <row r="3832" spans="12:26" x14ac:dyDescent="0.55000000000000004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90"/>
        <v>176099.59317803659</v>
      </c>
    </row>
    <row r="3833" spans="12:26" x14ac:dyDescent="0.55000000000000004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90"/>
        <v>176099.59317803659</v>
      </c>
    </row>
    <row r="3834" spans="12:26" x14ac:dyDescent="0.55000000000000004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90"/>
        <v>176099.59317803659</v>
      </c>
    </row>
    <row r="3835" spans="12:26" x14ac:dyDescent="0.55000000000000004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90"/>
        <v>176099.59317803659</v>
      </c>
    </row>
    <row r="3836" spans="12:26" x14ac:dyDescent="0.55000000000000004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90"/>
        <v>176099.59317803659</v>
      </c>
    </row>
    <row r="3837" spans="12:26" x14ac:dyDescent="0.55000000000000004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90"/>
        <v>176099.59317803659</v>
      </c>
    </row>
    <row r="3838" spans="12:26" x14ac:dyDescent="0.55000000000000004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90"/>
        <v>176099.59317803659</v>
      </c>
    </row>
    <row r="3839" spans="12:26" x14ac:dyDescent="0.55000000000000004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90"/>
        <v>176099.59317803659</v>
      </c>
    </row>
    <row r="3840" spans="12:26" x14ac:dyDescent="0.55000000000000004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90"/>
        <v>176099.59317803659</v>
      </c>
    </row>
    <row r="3841" spans="12:26" x14ac:dyDescent="0.55000000000000004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90"/>
        <v>176099.59317803659</v>
      </c>
    </row>
    <row r="3842" spans="12:26" x14ac:dyDescent="0.55000000000000004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90"/>
        <v>176099.59317803659</v>
      </c>
    </row>
    <row r="3843" spans="12:26" x14ac:dyDescent="0.55000000000000004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90"/>
        <v>176099.59317803659</v>
      </c>
    </row>
    <row r="3844" spans="12:26" x14ac:dyDescent="0.55000000000000004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90"/>
        <v>176099.59317803659</v>
      </c>
    </row>
    <row r="3845" spans="12:26" x14ac:dyDescent="0.55000000000000004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90"/>
        <v>176099.59317803659</v>
      </c>
    </row>
    <row r="3846" spans="12:26" x14ac:dyDescent="0.55000000000000004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90"/>
        <v>176099.59317803659</v>
      </c>
    </row>
    <row r="3847" spans="12:26" x14ac:dyDescent="0.55000000000000004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91">Y3847/X3847</f>
        <v>176099.59317803659</v>
      </c>
    </row>
    <row r="3848" spans="12:26" x14ac:dyDescent="0.55000000000000004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91"/>
        <v>176099.59317803659</v>
      </c>
    </row>
    <row r="3849" spans="12:26" x14ac:dyDescent="0.55000000000000004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91"/>
        <v>176099.59317803659</v>
      </c>
    </row>
    <row r="3850" spans="12:26" x14ac:dyDescent="0.55000000000000004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91"/>
        <v>176099.59317803659</v>
      </c>
    </row>
    <row r="3851" spans="12:26" x14ac:dyDescent="0.55000000000000004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91"/>
        <v>176099.59317803659</v>
      </c>
    </row>
    <row r="3852" spans="12:26" x14ac:dyDescent="0.55000000000000004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91"/>
        <v>176099.59317803659</v>
      </c>
    </row>
    <row r="3853" spans="12:26" x14ac:dyDescent="0.55000000000000004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91"/>
        <v>176099.59317803659</v>
      </c>
    </row>
    <row r="3854" spans="12:26" x14ac:dyDescent="0.55000000000000004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91"/>
        <v>176099.59317803659</v>
      </c>
    </row>
    <row r="3855" spans="12:26" x14ac:dyDescent="0.55000000000000004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91"/>
        <v>176099.59317803659</v>
      </c>
    </row>
    <row r="3856" spans="12:26" x14ac:dyDescent="0.55000000000000004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91"/>
        <v>176099.59317803659</v>
      </c>
    </row>
    <row r="3857" spans="12:26" x14ac:dyDescent="0.55000000000000004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91"/>
        <v>176099.59317803659</v>
      </c>
    </row>
    <row r="3858" spans="12:26" x14ac:dyDescent="0.55000000000000004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91"/>
        <v>176099.59317803659</v>
      </c>
    </row>
    <row r="3859" spans="12:26" x14ac:dyDescent="0.55000000000000004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91"/>
        <v>176099.59317803659</v>
      </c>
    </row>
    <row r="3860" spans="12:26" x14ac:dyDescent="0.55000000000000004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91"/>
        <v>176099.59317803659</v>
      </c>
    </row>
    <row r="3861" spans="12:26" x14ac:dyDescent="0.55000000000000004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91"/>
        <v>176099.59317803659</v>
      </c>
    </row>
    <row r="3862" spans="12:26" x14ac:dyDescent="0.55000000000000004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91"/>
        <v>176099.59317803659</v>
      </c>
    </row>
    <row r="3863" spans="12:26" x14ac:dyDescent="0.55000000000000004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91"/>
        <v>176099.59317803659</v>
      </c>
    </row>
    <row r="3864" spans="12:26" x14ac:dyDescent="0.55000000000000004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91"/>
        <v>176099.59317803659</v>
      </c>
    </row>
    <row r="3865" spans="12:26" x14ac:dyDescent="0.55000000000000004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91"/>
        <v>176099.59317803659</v>
      </c>
    </row>
    <row r="3866" spans="12:26" x14ac:dyDescent="0.55000000000000004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91"/>
        <v>176099.59317803659</v>
      </c>
    </row>
    <row r="3867" spans="12:26" x14ac:dyDescent="0.55000000000000004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91"/>
        <v>176099.59317803659</v>
      </c>
    </row>
    <row r="3868" spans="12:26" x14ac:dyDescent="0.55000000000000004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91"/>
        <v>176099.59317803659</v>
      </c>
    </row>
    <row r="3869" spans="12:26" x14ac:dyDescent="0.55000000000000004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91"/>
        <v>176099.59317803659</v>
      </c>
    </row>
    <row r="3870" spans="12:26" x14ac:dyDescent="0.55000000000000004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91"/>
        <v>176099.59317803659</v>
      </c>
    </row>
    <row r="3871" spans="12:26" x14ac:dyDescent="0.55000000000000004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91"/>
        <v>176099.59317803659</v>
      </c>
    </row>
    <row r="3872" spans="12:26" x14ac:dyDescent="0.55000000000000004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91"/>
        <v>176099.59317803659</v>
      </c>
    </row>
    <row r="3873" spans="12:26" x14ac:dyDescent="0.55000000000000004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91"/>
        <v>176099.59317803659</v>
      </c>
    </row>
    <row r="3874" spans="12:26" x14ac:dyDescent="0.55000000000000004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91"/>
        <v>176099.59317803659</v>
      </c>
    </row>
    <row r="3875" spans="12:26" x14ac:dyDescent="0.55000000000000004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91"/>
        <v>176099.59317803659</v>
      </c>
    </row>
    <row r="3876" spans="12:26" x14ac:dyDescent="0.55000000000000004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91"/>
        <v>176099.59317803659</v>
      </c>
    </row>
    <row r="3877" spans="12:26" x14ac:dyDescent="0.55000000000000004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91"/>
        <v>176099.59317803659</v>
      </c>
    </row>
    <row r="3878" spans="12:26" x14ac:dyDescent="0.55000000000000004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91"/>
        <v>176099.59317803659</v>
      </c>
    </row>
    <row r="3879" spans="12:26" x14ac:dyDescent="0.55000000000000004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91"/>
        <v>176099.59317803659</v>
      </c>
    </row>
    <row r="3880" spans="12:26" x14ac:dyDescent="0.55000000000000004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91"/>
        <v>176099.59317803659</v>
      </c>
    </row>
    <row r="3881" spans="12:26" x14ac:dyDescent="0.55000000000000004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91"/>
        <v>176099.59317803659</v>
      </c>
    </row>
    <row r="3882" spans="12:26" x14ac:dyDescent="0.55000000000000004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91"/>
        <v>176099.59317803659</v>
      </c>
    </row>
    <row r="3883" spans="12:26" x14ac:dyDescent="0.55000000000000004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91"/>
        <v>176099.59317803659</v>
      </c>
    </row>
    <row r="3884" spans="12:26" x14ac:dyDescent="0.55000000000000004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91"/>
        <v>176099.59317803659</v>
      </c>
    </row>
    <row r="3885" spans="12:26" x14ac:dyDescent="0.55000000000000004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91"/>
        <v>176099.59317803659</v>
      </c>
    </row>
    <row r="3886" spans="12:26" x14ac:dyDescent="0.55000000000000004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91"/>
        <v>176099.59317803659</v>
      </c>
    </row>
    <row r="3887" spans="12:26" x14ac:dyDescent="0.55000000000000004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91"/>
        <v>176099.59317803659</v>
      </c>
    </row>
    <row r="3888" spans="12:26" x14ac:dyDescent="0.55000000000000004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91"/>
        <v>176099.59317803659</v>
      </c>
    </row>
    <row r="3889" spans="12:26" x14ac:dyDescent="0.55000000000000004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91"/>
        <v>176099.59317803659</v>
      </c>
    </row>
    <row r="3890" spans="12:26" x14ac:dyDescent="0.55000000000000004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91"/>
        <v>176099.59317803659</v>
      </c>
    </row>
    <row r="3891" spans="12:26" x14ac:dyDescent="0.55000000000000004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91"/>
        <v>176099.59317803659</v>
      </c>
    </row>
    <row r="3892" spans="12:26" x14ac:dyDescent="0.55000000000000004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91"/>
        <v>176099.59317803659</v>
      </c>
    </row>
    <row r="3893" spans="12:26" x14ac:dyDescent="0.55000000000000004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91"/>
        <v>176099.59317803659</v>
      </c>
    </row>
    <row r="3894" spans="12:26" x14ac:dyDescent="0.55000000000000004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91"/>
        <v>176099.59317803659</v>
      </c>
    </row>
    <row r="3895" spans="12:26" x14ac:dyDescent="0.55000000000000004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91"/>
        <v>176099.59317803659</v>
      </c>
    </row>
    <row r="3896" spans="12:26" x14ac:dyDescent="0.55000000000000004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91"/>
        <v>176099.59317803659</v>
      </c>
    </row>
    <row r="3897" spans="12:26" x14ac:dyDescent="0.55000000000000004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91"/>
        <v>176099.59317803659</v>
      </c>
    </row>
    <row r="3898" spans="12:26" x14ac:dyDescent="0.55000000000000004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91"/>
        <v>176099.59317803659</v>
      </c>
    </row>
    <row r="3899" spans="12:26" x14ac:dyDescent="0.55000000000000004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91"/>
        <v>176099.59317803659</v>
      </c>
    </row>
    <row r="3900" spans="12:26" x14ac:dyDescent="0.55000000000000004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91"/>
        <v>176099.59317803659</v>
      </c>
    </row>
    <row r="3901" spans="12:26" x14ac:dyDescent="0.55000000000000004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91"/>
        <v>176099.59317803659</v>
      </c>
    </row>
    <row r="3902" spans="12:26" x14ac:dyDescent="0.55000000000000004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91"/>
        <v>176099.59317803659</v>
      </c>
    </row>
    <row r="3903" spans="12:26" x14ac:dyDescent="0.55000000000000004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91"/>
        <v>176099.59317803659</v>
      </c>
    </row>
    <row r="3904" spans="12:26" x14ac:dyDescent="0.55000000000000004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91"/>
        <v>176099.59317803659</v>
      </c>
    </row>
    <row r="3905" spans="12:26" x14ac:dyDescent="0.55000000000000004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91"/>
        <v>176099.59317803659</v>
      </c>
    </row>
    <row r="3906" spans="12:26" x14ac:dyDescent="0.55000000000000004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91"/>
        <v>176099.59317803659</v>
      </c>
    </row>
    <row r="3907" spans="12:26" x14ac:dyDescent="0.55000000000000004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91"/>
        <v>176099.59317803659</v>
      </c>
    </row>
    <row r="3908" spans="12:26" x14ac:dyDescent="0.55000000000000004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91"/>
        <v>176099.59317803659</v>
      </c>
    </row>
    <row r="3909" spans="12:26" x14ac:dyDescent="0.55000000000000004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91"/>
        <v>176099.59317803659</v>
      </c>
    </row>
    <row r="3910" spans="12:26" x14ac:dyDescent="0.55000000000000004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91"/>
        <v>176099.59317803659</v>
      </c>
    </row>
    <row r="3911" spans="12:26" x14ac:dyDescent="0.55000000000000004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92">Y3911/X3911</f>
        <v>176099.59317803659</v>
      </c>
    </row>
    <row r="3912" spans="12:26" x14ac:dyDescent="0.55000000000000004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92"/>
        <v>176099.59317803659</v>
      </c>
    </row>
    <row r="3913" spans="12:26" x14ac:dyDescent="0.55000000000000004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92"/>
        <v>176099.59317803659</v>
      </c>
    </row>
    <row r="3914" spans="12:26" x14ac:dyDescent="0.55000000000000004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92"/>
        <v>176099.59317803659</v>
      </c>
    </row>
    <row r="3915" spans="12:26" x14ac:dyDescent="0.55000000000000004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92"/>
        <v>176099.59317803659</v>
      </c>
    </row>
    <row r="3916" spans="12:26" x14ac:dyDescent="0.55000000000000004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92"/>
        <v>176099.59317803659</v>
      </c>
    </row>
    <row r="3917" spans="12:26" x14ac:dyDescent="0.55000000000000004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92"/>
        <v>176099.59317803659</v>
      </c>
    </row>
    <row r="3918" spans="12:26" x14ac:dyDescent="0.55000000000000004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92"/>
        <v>176099.59317803659</v>
      </c>
    </row>
    <row r="3919" spans="12:26" x14ac:dyDescent="0.55000000000000004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92"/>
        <v>176099.59317803659</v>
      </c>
    </row>
    <row r="3920" spans="12:26" x14ac:dyDescent="0.55000000000000004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92"/>
        <v>176099.59317803659</v>
      </c>
    </row>
    <row r="3921" spans="12:26" x14ac:dyDescent="0.55000000000000004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92"/>
        <v>176099.59317803659</v>
      </c>
    </row>
    <row r="3922" spans="12:26" x14ac:dyDescent="0.55000000000000004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92"/>
        <v>176099.59317803659</v>
      </c>
    </row>
    <row r="3923" spans="12:26" x14ac:dyDescent="0.55000000000000004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92"/>
        <v>176099.59317803659</v>
      </c>
    </row>
    <row r="3924" spans="12:26" x14ac:dyDescent="0.55000000000000004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92"/>
        <v>176099.59317803659</v>
      </c>
    </row>
    <row r="3925" spans="12:26" x14ac:dyDescent="0.55000000000000004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92"/>
        <v>176099.59317803659</v>
      </c>
    </row>
    <row r="3926" spans="12:26" x14ac:dyDescent="0.55000000000000004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92"/>
        <v>176099.59317803659</v>
      </c>
    </row>
    <row r="3927" spans="12:26" x14ac:dyDescent="0.55000000000000004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92"/>
        <v>176099.59317803659</v>
      </c>
    </row>
    <row r="3928" spans="12:26" x14ac:dyDescent="0.55000000000000004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92"/>
        <v>176099.59317803659</v>
      </c>
    </row>
    <row r="3929" spans="12:26" x14ac:dyDescent="0.55000000000000004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92"/>
        <v>176099.59317803659</v>
      </c>
    </row>
    <row r="3930" spans="12:26" x14ac:dyDescent="0.55000000000000004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92"/>
        <v>176099.59317803659</v>
      </c>
    </row>
    <row r="3931" spans="12:26" x14ac:dyDescent="0.55000000000000004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92"/>
        <v>176099.59317803659</v>
      </c>
    </row>
    <row r="3932" spans="12:26" x14ac:dyDescent="0.55000000000000004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92"/>
        <v>176099.59317803659</v>
      </c>
    </row>
    <row r="3933" spans="12:26" x14ac:dyDescent="0.55000000000000004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92"/>
        <v>176099.59317803659</v>
      </c>
    </row>
    <row r="3934" spans="12:26" x14ac:dyDescent="0.55000000000000004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92"/>
        <v>176099.59317803659</v>
      </c>
    </row>
    <row r="3935" spans="12:26" x14ac:dyDescent="0.55000000000000004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92"/>
        <v>176099.59317803659</v>
      </c>
    </row>
    <row r="3936" spans="12:26" x14ac:dyDescent="0.55000000000000004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92"/>
        <v>176099.59317803659</v>
      </c>
    </row>
    <row r="3937" spans="12:26" x14ac:dyDescent="0.55000000000000004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92"/>
        <v>176099.59317803659</v>
      </c>
    </row>
    <row r="3938" spans="12:26" x14ac:dyDescent="0.55000000000000004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92"/>
        <v>176099.59317803659</v>
      </c>
    </row>
    <row r="3939" spans="12:26" x14ac:dyDescent="0.55000000000000004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92"/>
        <v>176099.59317803659</v>
      </c>
    </row>
    <row r="3940" spans="12:26" x14ac:dyDescent="0.55000000000000004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92"/>
        <v>176099.59317803659</v>
      </c>
    </row>
    <row r="3941" spans="12:26" x14ac:dyDescent="0.55000000000000004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92"/>
        <v>176099.59317803659</v>
      </c>
    </row>
    <row r="3942" spans="12:26" x14ac:dyDescent="0.55000000000000004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92"/>
        <v>176099.59317803659</v>
      </c>
    </row>
    <row r="3943" spans="12:26" x14ac:dyDescent="0.55000000000000004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92"/>
        <v>176099.59317803659</v>
      </c>
    </row>
    <row r="3944" spans="12:26" x14ac:dyDescent="0.55000000000000004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92"/>
        <v>176099.59317803659</v>
      </c>
    </row>
    <row r="3945" spans="12:26" x14ac:dyDescent="0.55000000000000004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92"/>
        <v>176099.59317803659</v>
      </c>
    </row>
    <row r="3946" spans="12:26" x14ac:dyDescent="0.55000000000000004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92"/>
        <v>176099.59317803659</v>
      </c>
    </row>
    <row r="3947" spans="12:26" x14ac:dyDescent="0.55000000000000004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92"/>
        <v>176099.59317803659</v>
      </c>
    </row>
    <row r="3948" spans="12:26" x14ac:dyDescent="0.55000000000000004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92"/>
        <v>176099.59317803659</v>
      </c>
    </row>
    <row r="3949" spans="12:26" x14ac:dyDescent="0.55000000000000004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92"/>
        <v>176099.59317803659</v>
      </c>
    </row>
    <row r="3950" spans="12:26" x14ac:dyDescent="0.55000000000000004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92"/>
        <v>176099.59317803659</v>
      </c>
    </row>
    <row r="3951" spans="12:26" x14ac:dyDescent="0.55000000000000004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92"/>
        <v>176099.59317803659</v>
      </c>
    </row>
    <row r="3952" spans="12:26" x14ac:dyDescent="0.55000000000000004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92"/>
        <v>176099.59317803659</v>
      </c>
    </row>
    <row r="3953" spans="12:26" x14ac:dyDescent="0.55000000000000004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92"/>
        <v>176099.59317803659</v>
      </c>
    </row>
    <row r="3954" spans="12:26" x14ac:dyDescent="0.55000000000000004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92"/>
        <v>176099.59317803659</v>
      </c>
    </row>
    <row r="3955" spans="12:26" x14ac:dyDescent="0.55000000000000004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92"/>
        <v>176099.59317803659</v>
      </c>
    </row>
    <row r="3956" spans="12:26" x14ac:dyDescent="0.55000000000000004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92"/>
        <v>176099.59317803659</v>
      </c>
    </row>
    <row r="3957" spans="12:26" x14ac:dyDescent="0.55000000000000004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92"/>
        <v>176099.59317803659</v>
      </c>
    </row>
    <row r="3958" spans="12:26" x14ac:dyDescent="0.55000000000000004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92"/>
        <v>176099.59317803659</v>
      </c>
    </row>
    <row r="3959" spans="12:26" x14ac:dyDescent="0.55000000000000004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92"/>
        <v>176099.59317803659</v>
      </c>
    </row>
    <row r="3960" spans="12:26" x14ac:dyDescent="0.55000000000000004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92"/>
        <v>176099.59317803659</v>
      </c>
    </row>
    <row r="3961" spans="12:26" x14ac:dyDescent="0.55000000000000004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92"/>
        <v>176099.59317803659</v>
      </c>
    </row>
    <row r="3962" spans="12:26" x14ac:dyDescent="0.55000000000000004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92"/>
        <v>176099.59317803659</v>
      </c>
    </row>
    <row r="3963" spans="12:26" x14ac:dyDescent="0.55000000000000004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92"/>
        <v>176099.59317803659</v>
      </c>
    </row>
    <row r="3964" spans="12:26" x14ac:dyDescent="0.55000000000000004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92"/>
        <v>176099.59317803659</v>
      </c>
    </row>
    <row r="3965" spans="12:26" x14ac:dyDescent="0.55000000000000004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92"/>
        <v>176099.59317803659</v>
      </c>
    </row>
    <row r="3966" spans="12:26" x14ac:dyDescent="0.55000000000000004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92"/>
        <v>176099.59317803659</v>
      </c>
    </row>
    <row r="3967" spans="12:26" x14ac:dyDescent="0.55000000000000004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92"/>
        <v>176099.59317803659</v>
      </c>
    </row>
    <row r="3968" spans="12:26" x14ac:dyDescent="0.55000000000000004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92"/>
        <v>176099.59317803659</v>
      </c>
    </row>
    <row r="3969" spans="12:26" x14ac:dyDescent="0.55000000000000004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92"/>
        <v>176099.59317803659</v>
      </c>
    </row>
    <row r="3970" spans="12:26" x14ac:dyDescent="0.55000000000000004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92"/>
        <v>176099.59317803659</v>
      </c>
    </row>
    <row r="3971" spans="12:26" x14ac:dyDescent="0.55000000000000004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92"/>
        <v>176099.59317803659</v>
      </c>
    </row>
    <row r="3972" spans="12:26" x14ac:dyDescent="0.55000000000000004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92"/>
        <v>176099.59317803659</v>
      </c>
    </row>
    <row r="3973" spans="12:26" x14ac:dyDescent="0.55000000000000004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92"/>
        <v>176099.59317803659</v>
      </c>
    </row>
    <row r="3974" spans="12:26" x14ac:dyDescent="0.55000000000000004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92"/>
        <v>176099.59317803659</v>
      </c>
    </row>
    <row r="3975" spans="12:26" x14ac:dyDescent="0.55000000000000004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93">Y3975/X3975</f>
        <v>176099.59317803659</v>
      </c>
    </row>
    <row r="3976" spans="12:26" x14ac:dyDescent="0.55000000000000004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93"/>
        <v>176099.59317803659</v>
      </c>
    </row>
    <row r="3977" spans="12:26" x14ac:dyDescent="0.55000000000000004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93"/>
        <v>176099.59317803659</v>
      </c>
    </row>
    <row r="3978" spans="12:26" x14ac:dyDescent="0.55000000000000004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93"/>
        <v>176099.59317803659</v>
      </c>
    </row>
    <row r="3979" spans="12:26" x14ac:dyDescent="0.55000000000000004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93"/>
        <v>176099.59317803659</v>
      </c>
    </row>
    <row r="3980" spans="12:26" x14ac:dyDescent="0.55000000000000004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93"/>
        <v>176099.59317803659</v>
      </c>
    </row>
    <row r="3981" spans="12:26" x14ac:dyDescent="0.55000000000000004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93"/>
        <v>176099.59317803659</v>
      </c>
    </row>
    <row r="3982" spans="12:26" x14ac:dyDescent="0.55000000000000004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93"/>
        <v>176099.59317803659</v>
      </c>
    </row>
    <row r="3983" spans="12:26" x14ac:dyDescent="0.55000000000000004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93"/>
        <v>176099.59317803659</v>
      </c>
    </row>
    <row r="3984" spans="12:26" x14ac:dyDescent="0.55000000000000004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93"/>
        <v>176099.59317803659</v>
      </c>
    </row>
    <row r="3985" spans="12:26" x14ac:dyDescent="0.55000000000000004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93"/>
        <v>176099.59317803659</v>
      </c>
    </row>
    <row r="3986" spans="12:26" x14ac:dyDescent="0.55000000000000004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93"/>
        <v>176099.59317803659</v>
      </c>
    </row>
    <row r="3987" spans="12:26" x14ac:dyDescent="0.55000000000000004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93"/>
        <v>176099.59317803659</v>
      </c>
    </row>
    <row r="3988" spans="12:26" x14ac:dyDescent="0.55000000000000004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93"/>
        <v>176099.59317803659</v>
      </c>
    </row>
    <row r="3989" spans="12:26" x14ac:dyDescent="0.55000000000000004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93"/>
        <v>176099.59317803659</v>
      </c>
    </row>
    <row r="3990" spans="12:26" x14ac:dyDescent="0.55000000000000004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93"/>
        <v>176099.59317803659</v>
      </c>
    </row>
    <row r="3991" spans="12:26" x14ac:dyDescent="0.55000000000000004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93"/>
        <v>176099.59317803659</v>
      </c>
    </row>
    <row r="3992" spans="12:26" x14ac:dyDescent="0.55000000000000004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93"/>
        <v>176099.59317803659</v>
      </c>
    </row>
    <row r="3993" spans="12:26" x14ac:dyDescent="0.55000000000000004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93"/>
        <v>176099.59317803659</v>
      </c>
    </row>
    <row r="3994" spans="12:26" x14ac:dyDescent="0.55000000000000004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93"/>
        <v>176099.59317803659</v>
      </c>
    </row>
    <row r="3995" spans="12:26" x14ac:dyDescent="0.55000000000000004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93"/>
        <v>176099.59317803659</v>
      </c>
    </row>
    <row r="3996" spans="12:26" x14ac:dyDescent="0.55000000000000004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93"/>
        <v>176099.59317803659</v>
      </c>
    </row>
    <row r="3997" spans="12:26" x14ac:dyDescent="0.55000000000000004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93"/>
        <v>176099.59317803659</v>
      </c>
    </row>
    <row r="3998" spans="12:26" x14ac:dyDescent="0.55000000000000004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93"/>
        <v>176099.59317803659</v>
      </c>
    </row>
    <row r="3999" spans="12:26" x14ac:dyDescent="0.55000000000000004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93"/>
        <v>176099.59317803659</v>
      </c>
    </row>
    <row r="4000" spans="12:26" x14ac:dyDescent="0.55000000000000004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93"/>
        <v>176099.59317803659</v>
      </c>
    </row>
    <row r="4001" spans="12:26" x14ac:dyDescent="0.55000000000000004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93"/>
        <v>176099.59317803659</v>
      </c>
    </row>
    <row r="4002" spans="12:26" x14ac:dyDescent="0.55000000000000004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93"/>
        <v>176099.59317803659</v>
      </c>
    </row>
    <row r="4003" spans="12:26" x14ac:dyDescent="0.55000000000000004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93"/>
        <v>176099.59317803659</v>
      </c>
    </row>
    <row r="4004" spans="12:26" x14ac:dyDescent="0.55000000000000004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93"/>
        <v>176099.59317803659</v>
      </c>
    </row>
    <row r="4005" spans="12:26" x14ac:dyDescent="0.55000000000000004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93"/>
        <v>176099.59317803659</v>
      </c>
    </row>
    <row r="4006" spans="12:26" x14ac:dyDescent="0.55000000000000004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93"/>
        <v>176099.59317803659</v>
      </c>
    </row>
    <row r="4007" spans="12:26" x14ac:dyDescent="0.55000000000000004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93"/>
        <v>176099.59317803659</v>
      </c>
    </row>
    <row r="4008" spans="12:26" x14ac:dyDescent="0.55000000000000004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93"/>
        <v>176099.59317803659</v>
      </c>
    </row>
    <row r="4009" spans="12:26" x14ac:dyDescent="0.55000000000000004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93"/>
        <v>176099.59317803659</v>
      </c>
    </row>
    <row r="4010" spans="12:26" x14ac:dyDescent="0.55000000000000004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93"/>
        <v>176099.59317803659</v>
      </c>
    </row>
    <row r="4011" spans="12:26" x14ac:dyDescent="0.55000000000000004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93"/>
        <v>176099.59317803659</v>
      </c>
    </row>
    <row r="4012" spans="12:26" x14ac:dyDescent="0.55000000000000004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93"/>
        <v>176099.59317803659</v>
      </c>
    </row>
    <row r="4013" spans="12:26" x14ac:dyDescent="0.55000000000000004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93"/>
        <v>176099.59317803659</v>
      </c>
    </row>
    <row r="4014" spans="12:26" x14ac:dyDescent="0.55000000000000004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93"/>
        <v>176099.59317803659</v>
      </c>
    </row>
    <row r="4015" spans="12:26" x14ac:dyDescent="0.55000000000000004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93"/>
        <v>176099.59317803659</v>
      </c>
    </row>
    <row r="4016" spans="12:26" x14ac:dyDescent="0.55000000000000004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93"/>
        <v>176099.59317803659</v>
      </c>
    </row>
    <row r="4017" spans="12:26" x14ac:dyDescent="0.55000000000000004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93"/>
        <v>176099.59317803659</v>
      </c>
    </row>
    <row r="4018" spans="12:26" x14ac:dyDescent="0.55000000000000004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93"/>
        <v>176099.59317803659</v>
      </c>
    </row>
    <row r="4019" spans="12:26" x14ac:dyDescent="0.55000000000000004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93"/>
        <v>176099.59317803659</v>
      </c>
    </row>
    <row r="4020" spans="12:26" x14ac:dyDescent="0.55000000000000004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93"/>
        <v>176099.59317803659</v>
      </c>
    </row>
    <row r="4021" spans="12:26" x14ac:dyDescent="0.55000000000000004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93"/>
        <v>176099.59317803659</v>
      </c>
    </row>
    <row r="4022" spans="12:26" x14ac:dyDescent="0.55000000000000004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93"/>
        <v>176099.59317803659</v>
      </c>
    </row>
    <row r="4023" spans="12:26" x14ac:dyDescent="0.55000000000000004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93"/>
        <v>176099.59317803659</v>
      </c>
    </row>
    <row r="4024" spans="12:26" x14ac:dyDescent="0.55000000000000004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93"/>
        <v>176099.59317803659</v>
      </c>
    </row>
    <row r="4025" spans="12:26" x14ac:dyDescent="0.55000000000000004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93"/>
        <v>176099.59317803659</v>
      </c>
    </row>
    <row r="4026" spans="12:26" x14ac:dyDescent="0.55000000000000004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93"/>
        <v>176099.59317803659</v>
      </c>
    </row>
    <row r="4027" spans="12:26" x14ac:dyDescent="0.55000000000000004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93"/>
        <v>176099.59317803659</v>
      </c>
    </row>
    <row r="4028" spans="12:26" x14ac:dyDescent="0.55000000000000004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93"/>
        <v>176099.59317803659</v>
      </c>
    </row>
    <row r="4029" spans="12:26" x14ac:dyDescent="0.55000000000000004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93"/>
        <v>176099.59317803659</v>
      </c>
    </row>
    <row r="4030" spans="12:26" x14ac:dyDescent="0.55000000000000004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93"/>
        <v>176099.59317803659</v>
      </c>
    </row>
    <row r="4031" spans="12:26" x14ac:dyDescent="0.55000000000000004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93"/>
        <v>176099.59317803659</v>
      </c>
    </row>
    <row r="4032" spans="12:26" x14ac:dyDescent="0.55000000000000004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93"/>
        <v>176099.59317803659</v>
      </c>
    </row>
    <row r="4033" spans="12:26" x14ac:dyDescent="0.55000000000000004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93"/>
        <v>176099.59317803659</v>
      </c>
    </row>
    <row r="4034" spans="12:26" x14ac:dyDescent="0.55000000000000004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93"/>
        <v>176099.59317803659</v>
      </c>
    </row>
    <row r="4035" spans="12:26" x14ac:dyDescent="0.55000000000000004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93"/>
        <v>176099.59317803659</v>
      </c>
    </row>
    <row r="4036" spans="12:26" x14ac:dyDescent="0.55000000000000004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93"/>
        <v>176099.59317803659</v>
      </c>
    </row>
    <row r="4037" spans="12:26" x14ac:dyDescent="0.55000000000000004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93"/>
        <v>176099.59317803659</v>
      </c>
    </row>
    <row r="4038" spans="12:26" x14ac:dyDescent="0.55000000000000004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93"/>
        <v>176099.59317803659</v>
      </c>
    </row>
    <row r="4039" spans="12:26" x14ac:dyDescent="0.55000000000000004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94">Y4039/X4039</f>
        <v>176099.59317803659</v>
      </c>
    </row>
    <row r="4040" spans="12:26" x14ac:dyDescent="0.55000000000000004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94"/>
        <v>176099.59317803659</v>
      </c>
    </row>
    <row r="4041" spans="12:26" x14ac:dyDescent="0.55000000000000004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94"/>
        <v>176099.59317803659</v>
      </c>
    </row>
    <row r="4042" spans="12:26" x14ac:dyDescent="0.55000000000000004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94"/>
        <v>176099.59317803659</v>
      </c>
    </row>
    <row r="4043" spans="12:26" x14ac:dyDescent="0.55000000000000004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94"/>
        <v>176099.59317803659</v>
      </c>
    </row>
    <row r="4044" spans="12:26" x14ac:dyDescent="0.55000000000000004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94"/>
        <v>176099.59317803659</v>
      </c>
    </row>
    <row r="4045" spans="12:26" x14ac:dyDescent="0.55000000000000004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94"/>
        <v>176099.59317803659</v>
      </c>
    </row>
    <row r="4046" spans="12:26" x14ac:dyDescent="0.55000000000000004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94"/>
        <v>176099.59317803659</v>
      </c>
    </row>
    <row r="4047" spans="12:26" x14ac:dyDescent="0.55000000000000004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94"/>
        <v>176099.59317803659</v>
      </c>
    </row>
    <row r="4048" spans="12:26" x14ac:dyDescent="0.55000000000000004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94"/>
        <v>176099.59317803659</v>
      </c>
    </row>
    <row r="4049" spans="12:26" x14ac:dyDescent="0.55000000000000004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94"/>
        <v>176099.59317803659</v>
      </c>
    </row>
    <row r="4050" spans="12:26" x14ac:dyDescent="0.55000000000000004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94"/>
        <v>176099.59317803659</v>
      </c>
    </row>
    <row r="4051" spans="12:26" x14ac:dyDescent="0.55000000000000004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94"/>
        <v>176099.59317803659</v>
      </c>
    </row>
    <row r="4052" spans="12:26" x14ac:dyDescent="0.55000000000000004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94"/>
        <v>176099.59317803659</v>
      </c>
    </row>
    <row r="4053" spans="12:26" x14ac:dyDescent="0.55000000000000004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94"/>
        <v>176099.59317803659</v>
      </c>
    </row>
    <row r="4054" spans="12:26" x14ac:dyDescent="0.55000000000000004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94"/>
        <v>176099.59317803659</v>
      </c>
    </row>
    <row r="4055" spans="12:26" x14ac:dyDescent="0.55000000000000004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94"/>
        <v>176099.59317803659</v>
      </c>
    </row>
    <row r="4056" spans="12:26" x14ac:dyDescent="0.55000000000000004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94"/>
        <v>176099.59317803659</v>
      </c>
    </row>
    <row r="4057" spans="12:26" x14ac:dyDescent="0.55000000000000004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94"/>
        <v>176099.59317803659</v>
      </c>
    </row>
    <row r="4058" spans="12:26" x14ac:dyDescent="0.55000000000000004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94"/>
        <v>176099.59317803659</v>
      </c>
    </row>
    <row r="4059" spans="12:26" x14ac:dyDescent="0.55000000000000004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94"/>
        <v>176099.59317803659</v>
      </c>
    </row>
    <row r="4060" spans="12:26" x14ac:dyDescent="0.55000000000000004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94"/>
        <v>176099.59317803659</v>
      </c>
    </row>
    <row r="4061" spans="12:26" x14ac:dyDescent="0.55000000000000004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94"/>
        <v>176099.59317803659</v>
      </c>
    </row>
    <row r="4062" spans="12:26" x14ac:dyDescent="0.55000000000000004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94"/>
        <v>176099.59317803659</v>
      </c>
    </row>
    <row r="4063" spans="12:26" x14ac:dyDescent="0.55000000000000004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94"/>
        <v>176099.59317803659</v>
      </c>
    </row>
    <row r="4064" spans="12:26" x14ac:dyDescent="0.55000000000000004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94"/>
        <v>176099.59317803659</v>
      </c>
    </row>
    <row r="4065" spans="12:26" x14ac:dyDescent="0.55000000000000004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94"/>
        <v>176099.59317803659</v>
      </c>
    </row>
    <row r="4066" spans="12:26" x14ac:dyDescent="0.55000000000000004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94"/>
        <v>176099.59317803659</v>
      </c>
    </row>
    <row r="4067" spans="12:26" x14ac:dyDescent="0.55000000000000004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94"/>
        <v>176099.59317803659</v>
      </c>
    </row>
    <row r="4068" spans="12:26" x14ac:dyDescent="0.55000000000000004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94"/>
        <v>176099.59317803659</v>
      </c>
    </row>
    <row r="4069" spans="12:26" x14ac:dyDescent="0.55000000000000004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94"/>
        <v>176099.59317803659</v>
      </c>
    </row>
    <row r="4070" spans="12:26" x14ac:dyDescent="0.55000000000000004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94"/>
        <v>176099.59317803659</v>
      </c>
    </row>
    <row r="4071" spans="12:26" x14ac:dyDescent="0.55000000000000004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94"/>
        <v>176099.59317803659</v>
      </c>
    </row>
    <row r="4072" spans="12:26" x14ac:dyDescent="0.55000000000000004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94"/>
        <v>176099.59317803659</v>
      </c>
    </row>
    <row r="4073" spans="12:26" x14ac:dyDescent="0.55000000000000004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94"/>
        <v>176099.59317803659</v>
      </c>
    </row>
    <row r="4074" spans="12:26" x14ac:dyDescent="0.55000000000000004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94"/>
        <v>176099.59317803659</v>
      </c>
    </row>
    <row r="4075" spans="12:26" x14ac:dyDescent="0.55000000000000004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94"/>
        <v>176099.59317803659</v>
      </c>
    </row>
    <row r="4076" spans="12:26" x14ac:dyDescent="0.55000000000000004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94"/>
        <v>176099.59317803659</v>
      </c>
    </row>
    <row r="4077" spans="12:26" x14ac:dyDescent="0.55000000000000004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94"/>
        <v>176099.59317803659</v>
      </c>
    </row>
    <row r="4078" spans="12:26" x14ac:dyDescent="0.55000000000000004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94"/>
        <v>176099.59317803659</v>
      </c>
    </row>
    <row r="4079" spans="12:26" x14ac:dyDescent="0.55000000000000004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94"/>
        <v>176099.59317803659</v>
      </c>
    </row>
    <row r="4080" spans="12:26" x14ac:dyDescent="0.55000000000000004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94"/>
        <v>176099.59317803659</v>
      </c>
    </row>
    <row r="4081" spans="12:26" x14ac:dyDescent="0.55000000000000004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94"/>
        <v>176099.59317803659</v>
      </c>
    </row>
    <row r="4082" spans="12:26" x14ac:dyDescent="0.55000000000000004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94"/>
        <v>176099.59317803659</v>
      </c>
    </row>
    <row r="4083" spans="12:26" x14ac:dyDescent="0.55000000000000004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94"/>
        <v>176099.59317803659</v>
      </c>
    </row>
    <row r="4084" spans="12:26" x14ac:dyDescent="0.55000000000000004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94"/>
        <v>176099.59317803659</v>
      </c>
    </row>
    <row r="4085" spans="12:26" x14ac:dyDescent="0.55000000000000004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94"/>
        <v>176099.59317803659</v>
      </c>
    </row>
    <row r="4086" spans="12:26" x14ac:dyDescent="0.55000000000000004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94"/>
        <v>176099.59317803659</v>
      </c>
    </row>
    <row r="4087" spans="12:26" x14ac:dyDescent="0.55000000000000004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94"/>
        <v>176099.59317803659</v>
      </c>
    </row>
    <row r="4088" spans="12:26" x14ac:dyDescent="0.55000000000000004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94"/>
        <v>176099.59317803659</v>
      </c>
    </row>
    <row r="4089" spans="12:26" x14ac:dyDescent="0.55000000000000004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94"/>
        <v>176099.59317803659</v>
      </c>
    </row>
    <row r="4090" spans="12:26" x14ac:dyDescent="0.55000000000000004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94"/>
        <v>176099.59317803659</v>
      </c>
    </row>
    <row r="4091" spans="12:26" x14ac:dyDescent="0.55000000000000004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94"/>
        <v>176099.59317803659</v>
      </c>
    </row>
    <row r="4092" spans="12:26" x14ac:dyDescent="0.55000000000000004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94"/>
        <v>176099.59317803659</v>
      </c>
    </row>
    <row r="4093" spans="12:26" x14ac:dyDescent="0.55000000000000004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94"/>
        <v>176099.59317803659</v>
      </c>
    </row>
    <row r="4094" spans="12:26" x14ac:dyDescent="0.55000000000000004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94"/>
        <v>176099.59317803659</v>
      </c>
    </row>
    <row r="4095" spans="12:26" x14ac:dyDescent="0.55000000000000004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94"/>
        <v>176099.59317803659</v>
      </c>
    </row>
    <row r="4096" spans="12:26" x14ac:dyDescent="0.55000000000000004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94"/>
        <v>176099.59317803659</v>
      </c>
    </row>
    <row r="4097" spans="12:26" x14ac:dyDescent="0.55000000000000004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94"/>
        <v>176099.59317803659</v>
      </c>
    </row>
    <row r="4098" spans="12:26" x14ac:dyDescent="0.55000000000000004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94"/>
        <v>176099.59317803659</v>
      </c>
    </row>
    <row r="4099" spans="12:26" x14ac:dyDescent="0.55000000000000004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94"/>
        <v>176099.59317803659</v>
      </c>
    </row>
    <row r="4100" spans="12:26" x14ac:dyDescent="0.55000000000000004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94"/>
        <v>176099.59317803659</v>
      </c>
    </row>
    <row r="4101" spans="12:26" x14ac:dyDescent="0.55000000000000004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94"/>
        <v>176099.59317803659</v>
      </c>
    </row>
    <row r="4102" spans="12:26" x14ac:dyDescent="0.55000000000000004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94"/>
        <v>176099.59317803659</v>
      </c>
    </row>
    <row r="4103" spans="12:26" x14ac:dyDescent="0.55000000000000004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5">Y4103/X4103</f>
        <v>176099.59317803659</v>
      </c>
    </row>
    <row r="4104" spans="12:26" x14ac:dyDescent="0.55000000000000004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5"/>
        <v>176099.59317803659</v>
      </c>
    </row>
    <row r="4105" spans="12:26" x14ac:dyDescent="0.55000000000000004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5"/>
        <v>176099.59317803659</v>
      </c>
    </row>
    <row r="4106" spans="12:26" x14ac:dyDescent="0.55000000000000004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5"/>
        <v>176099.59317803659</v>
      </c>
    </row>
    <row r="4107" spans="12:26" x14ac:dyDescent="0.55000000000000004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5"/>
        <v>176099.59317803659</v>
      </c>
    </row>
    <row r="4108" spans="12:26" x14ac:dyDescent="0.55000000000000004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5"/>
        <v>176099.59317803659</v>
      </c>
    </row>
    <row r="4109" spans="12:26" x14ac:dyDescent="0.55000000000000004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5"/>
        <v>176099.59317803659</v>
      </c>
    </row>
    <row r="4110" spans="12:26" x14ac:dyDescent="0.55000000000000004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5"/>
        <v>176099.59317803659</v>
      </c>
    </row>
    <row r="4111" spans="12:26" x14ac:dyDescent="0.55000000000000004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5"/>
        <v>176099.59317803659</v>
      </c>
    </row>
    <row r="4112" spans="12:26" x14ac:dyDescent="0.55000000000000004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5"/>
        <v>176099.59317803659</v>
      </c>
    </row>
    <row r="4113" spans="12:26" x14ac:dyDescent="0.55000000000000004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5"/>
        <v>176099.59317803659</v>
      </c>
    </row>
    <row r="4114" spans="12:26" x14ac:dyDescent="0.55000000000000004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5"/>
        <v>176099.59317803659</v>
      </c>
    </row>
    <row r="4115" spans="12:26" x14ac:dyDescent="0.55000000000000004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5"/>
        <v>176099.59317803659</v>
      </c>
    </row>
    <row r="4116" spans="12:26" x14ac:dyDescent="0.55000000000000004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5"/>
        <v>176099.59317803659</v>
      </c>
    </row>
    <row r="4117" spans="12:26" x14ac:dyDescent="0.55000000000000004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5"/>
        <v>176099.59317803659</v>
      </c>
    </row>
    <row r="4118" spans="12:26" x14ac:dyDescent="0.55000000000000004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5"/>
        <v>176099.59317803659</v>
      </c>
    </row>
    <row r="4119" spans="12:26" x14ac:dyDescent="0.55000000000000004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5"/>
        <v>176099.59317803659</v>
      </c>
    </row>
    <row r="4120" spans="12:26" x14ac:dyDescent="0.55000000000000004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5"/>
        <v>176099.59317803659</v>
      </c>
    </row>
    <row r="4121" spans="12:26" x14ac:dyDescent="0.55000000000000004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5"/>
        <v>176099.59317803659</v>
      </c>
    </row>
    <row r="4122" spans="12:26" x14ac:dyDescent="0.55000000000000004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5"/>
        <v>176099.59317803659</v>
      </c>
    </row>
    <row r="4123" spans="12:26" x14ac:dyDescent="0.55000000000000004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5"/>
        <v>176099.59317803659</v>
      </c>
    </row>
    <row r="4124" spans="12:26" x14ac:dyDescent="0.55000000000000004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5"/>
        <v>176099.59317803659</v>
      </c>
    </row>
    <row r="4125" spans="12:26" x14ac:dyDescent="0.55000000000000004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5"/>
        <v>176099.59317803659</v>
      </c>
    </row>
    <row r="4126" spans="12:26" x14ac:dyDescent="0.55000000000000004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5"/>
        <v>176099.59317803659</v>
      </c>
    </row>
    <row r="4127" spans="12:26" x14ac:dyDescent="0.55000000000000004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5"/>
        <v>176099.59317803659</v>
      </c>
    </row>
    <row r="4128" spans="12:26" x14ac:dyDescent="0.55000000000000004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5"/>
        <v>176099.59317803659</v>
      </c>
    </row>
    <row r="4129" spans="12:26" x14ac:dyDescent="0.55000000000000004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5"/>
        <v>176099.59317803659</v>
      </c>
    </row>
    <row r="4130" spans="12:26" x14ac:dyDescent="0.55000000000000004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5"/>
        <v>176099.59317803659</v>
      </c>
    </row>
    <row r="4131" spans="12:26" x14ac:dyDescent="0.55000000000000004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5"/>
        <v>176099.59317803659</v>
      </c>
    </row>
    <row r="4132" spans="12:26" x14ac:dyDescent="0.55000000000000004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5"/>
        <v>176099.59317803659</v>
      </c>
    </row>
    <row r="4133" spans="12:26" x14ac:dyDescent="0.55000000000000004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5"/>
        <v>176099.59317803659</v>
      </c>
    </row>
    <row r="4134" spans="12:26" x14ac:dyDescent="0.55000000000000004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5"/>
        <v>176099.59317803659</v>
      </c>
    </row>
    <row r="4135" spans="12:26" x14ac:dyDescent="0.55000000000000004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5"/>
        <v>176099.59317803659</v>
      </c>
    </row>
    <row r="4136" spans="12:26" x14ac:dyDescent="0.55000000000000004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5"/>
        <v>176099.59317803659</v>
      </c>
    </row>
    <row r="4137" spans="12:26" x14ac:dyDescent="0.55000000000000004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5"/>
        <v>176099.59317803659</v>
      </c>
    </row>
    <row r="4138" spans="12:26" x14ac:dyDescent="0.55000000000000004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5"/>
        <v>176099.59317803659</v>
      </c>
    </row>
    <row r="4139" spans="12:26" x14ac:dyDescent="0.55000000000000004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5"/>
        <v>176099.59317803659</v>
      </c>
    </row>
    <row r="4140" spans="12:26" x14ac:dyDescent="0.55000000000000004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5"/>
        <v>176099.59317803659</v>
      </c>
    </row>
    <row r="4141" spans="12:26" x14ac:dyDescent="0.55000000000000004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5"/>
        <v>176099.59317803659</v>
      </c>
    </row>
    <row r="4142" spans="12:26" x14ac:dyDescent="0.55000000000000004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5"/>
        <v>176099.59317803659</v>
      </c>
    </row>
    <row r="4143" spans="12:26" x14ac:dyDescent="0.55000000000000004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5"/>
        <v>176099.59317803659</v>
      </c>
    </row>
    <row r="4144" spans="12:26" x14ac:dyDescent="0.55000000000000004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5"/>
        <v>176099.59317803659</v>
      </c>
    </row>
    <row r="4145" spans="12:26" x14ac:dyDescent="0.55000000000000004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5"/>
        <v>176099.59317803659</v>
      </c>
    </row>
    <row r="4146" spans="12:26" x14ac:dyDescent="0.55000000000000004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5"/>
        <v>176099.59317803659</v>
      </c>
    </row>
    <row r="4147" spans="12:26" x14ac:dyDescent="0.55000000000000004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5"/>
        <v>176099.59317803659</v>
      </c>
    </row>
    <row r="4148" spans="12:26" x14ac:dyDescent="0.55000000000000004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5"/>
        <v>176099.59317803659</v>
      </c>
    </row>
    <row r="4149" spans="12:26" x14ac:dyDescent="0.55000000000000004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5"/>
        <v>176099.59317803659</v>
      </c>
    </row>
    <row r="4150" spans="12:26" x14ac:dyDescent="0.55000000000000004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5"/>
        <v>176099.59317803659</v>
      </c>
    </row>
    <row r="4151" spans="12:26" x14ac:dyDescent="0.55000000000000004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5"/>
        <v>176099.59317803659</v>
      </c>
    </row>
    <row r="4152" spans="12:26" x14ac:dyDescent="0.55000000000000004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5"/>
        <v>176099.59317803659</v>
      </c>
    </row>
    <row r="4153" spans="12:26" x14ac:dyDescent="0.55000000000000004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5"/>
        <v>176099.59317803659</v>
      </c>
    </row>
    <row r="4154" spans="12:26" x14ac:dyDescent="0.55000000000000004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5"/>
        <v>176099.59317803659</v>
      </c>
    </row>
    <row r="4155" spans="12:26" x14ac:dyDescent="0.55000000000000004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5"/>
        <v>176099.59317803659</v>
      </c>
    </row>
    <row r="4156" spans="12:26" x14ac:dyDescent="0.55000000000000004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5"/>
        <v>176099.59317803659</v>
      </c>
    </row>
    <row r="4157" spans="12:26" x14ac:dyDescent="0.55000000000000004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5"/>
        <v>176099.59317803659</v>
      </c>
    </row>
    <row r="4158" spans="12:26" x14ac:dyDescent="0.55000000000000004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5"/>
        <v>176099.59317803659</v>
      </c>
    </row>
    <row r="4159" spans="12:26" x14ac:dyDescent="0.55000000000000004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5"/>
        <v>176099.59317803659</v>
      </c>
    </row>
    <row r="4160" spans="12:26" x14ac:dyDescent="0.55000000000000004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5"/>
        <v>176099.59317803659</v>
      </c>
    </row>
    <row r="4161" spans="12:26" x14ac:dyDescent="0.55000000000000004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5"/>
        <v>176099.59317803659</v>
      </c>
    </row>
    <row r="4162" spans="12:26" x14ac:dyDescent="0.55000000000000004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5"/>
        <v>176099.59317803659</v>
      </c>
    </row>
    <row r="4163" spans="12:26" x14ac:dyDescent="0.55000000000000004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5"/>
        <v>176099.59317803659</v>
      </c>
    </row>
    <row r="4164" spans="12:26" x14ac:dyDescent="0.55000000000000004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5"/>
        <v>176099.59317803659</v>
      </c>
    </row>
    <row r="4165" spans="12:26" x14ac:dyDescent="0.55000000000000004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5"/>
        <v>176099.59317803659</v>
      </c>
    </row>
    <row r="4166" spans="12:26" x14ac:dyDescent="0.55000000000000004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5"/>
        <v>176099.59317803659</v>
      </c>
    </row>
    <row r="4167" spans="12:26" x14ac:dyDescent="0.55000000000000004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6">Y4167/X4167</f>
        <v>176099.59317803659</v>
      </c>
    </row>
    <row r="4168" spans="12:26" x14ac:dyDescent="0.55000000000000004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6"/>
        <v>176099.59317803659</v>
      </c>
    </row>
    <row r="4169" spans="12:26" x14ac:dyDescent="0.55000000000000004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6"/>
        <v>176099.59317803659</v>
      </c>
    </row>
    <row r="4170" spans="12:26" x14ac:dyDescent="0.55000000000000004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6"/>
        <v>176099.59317803659</v>
      </c>
    </row>
    <row r="4171" spans="12:26" x14ac:dyDescent="0.55000000000000004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6"/>
        <v>176099.59317803659</v>
      </c>
    </row>
    <row r="4172" spans="12:26" x14ac:dyDescent="0.55000000000000004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6"/>
        <v>176099.59317803659</v>
      </c>
    </row>
    <row r="4173" spans="12:26" x14ac:dyDescent="0.55000000000000004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6"/>
        <v>176099.59317803659</v>
      </c>
    </row>
    <row r="4174" spans="12:26" x14ac:dyDescent="0.55000000000000004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6"/>
        <v>176099.59317803659</v>
      </c>
    </row>
    <row r="4175" spans="12:26" x14ac:dyDescent="0.55000000000000004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6"/>
        <v>176099.59317803659</v>
      </c>
    </row>
    <row r="4176" spans="12:26" x14ac:dyDescent="0.55000000000000004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6"/>
        <v>176099.59317803659</v>
      </c>
    </row>
    <row r="4177" spans="12:26" x14ac:dyDescent="0.55000000000000004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6"/>
        <v>176099.59317803659</v>
      </c>
    </row>
    <row r="4178" spans="12:26" x14ac:dyDescent="0.55000000000000004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6"/>
        <v>176099.59317803659</v>
      </c>
    </row>
    <row r="4179" spans="12:26" x14ac:dyDescent="0.55000000000000004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6"/>
        <v>176099.59317803659</v>
      </c>
    </row>
    <row r="4180" spans="12:26" x14ac:dyDescent="0.55000000000000004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6"/>
        <v>176099.59317803659</v>
      </c>
    </row>
    <row r="4181" spans="12:26" x14ac:dyDescent="0.55000000000000004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6"/>
        <v>176099.59317803659</v>
      </c>
    </row>
    <row r="4182" spans="12:26" x14ac:dyDescent="0.55000000000000004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6"/>
        <v>176099.59317803659</v>
      </c>
    </row>
    <row r="4183" spans="12:26" x14ac:dyDescent="0.55000000000000004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6"/>
        <v>176099.59317803659</v>
      </c>
    </row>
    <row r="4184" spans="12:26" x14ac:dyDescent="0.55000000000000004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6"/>
        <v>176099.59317803659</v>
      </c>
    </row>
    <row r="4185" spans="12:26" x14ac:dyDescent="0.55000000000000004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6"/>
        <v>176099.59317803659</v>
      </c>
    </row>
    <row r="4186" spans="12:26" x14ac:dyDescent="0.55000000000000004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6"/>
        <v>176099.59317803659</v>
      </c>
    </row>
    <row r="4187" spans="12:26" x14ac:dyDescent="0.55000000000000004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6"/>
        <v>176099.59317803659</v>
      </c>
    </row>
    <row r="4188" spans="12:26" x14ac:dyDescent="0.55000000000000004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6"/>
        <v>176099.59317803659</v>
      </c>
    </row>
    <row r="4189" spans="12:26" x14ac:dyDescent="0.55000000000000004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6"/>
        <v>176099.59317803659</v>
      </c>
    </row>
    <row r="4190" spans="12:26" x14ac:dyDescent="0.55000000000000004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6"/>
        <v>176099.59317803659</v>
      </c>
    </row>
    <row r="4191" spans="12:26" x14ac:dyDescent="0.55000000000000004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6"/>
        <v>176099.59317803659</v>
      </c>
    </row>
    <row r="4192" spans="12:26" x14ac:dyDescent="0.55000000000000004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6"/>
        <v>176099.59317803659</v>
      </c>
    </row>
    <row r="4193" spans="12:26" x14ac:dyDescent="0.55000000000000004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6"/>
        <v>176099.59317803659</v>
      </c>
    </row>
    <row r="4194" spans="12:26" x14ac:dyDescent="0.55000000000000004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6"/>
        <v>176099.59317803659</v>
      </c>
    </row>
    <row r="4195" spans="12:26" x14ac:dyDescent="0.55000000000000004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6"/>
        <v>176099.59317803659</v>
      </c>
    </row>
    <row r="4196" spans="12:26" x14ac:dyDescent="0.55000000000000004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6"/>
        <v>176099.59317803659</v>
      </c>
    </row>
    <row r="4197" spans="12:26" x14ac:dyDescent="0.55000000000000004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6"/>
        <v>176099.59317803659</v>
      </c>
    </row>
    <row r="4198" spans="12:26" x14ac:dyDescent="0.55000000000000004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6"/>
        <v>176099.59317803659</v>
      </c>
    </row>
    <row r="4199" spans="12:26" x14ac:dyDescent="0.55000000000000004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6"/>
        <v>176099.59317803659</v>
      </c>
    </row>
    <row r="4200" spans="12:26" x14ac:dyDescent="0.55000000000000004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6"/>
        <v>176099.59317803659</v>
      </c>
    </row>
    <row r="4201" spans="12:26" x14ac:dyDescent="0.55000000000000004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6"/>
        <v>176099.59317803659</v>
      </c>
    </row>
    <row r="4202" spans="12:26" x14ac:dyDescent="0.55000000000000004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6"/>
        <v>176099.59317803659</v>
      </c>
    </row>
    <row r="4203" spans="12:26" x14ac:dyDescent="0.55000000000000004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6"/>
        <v>176099.59317803659</v>
      </c>
    </row>
    <row r="4204" spans="12:26" x14ac:dyDescent="0.55000000000000004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6"/>
        <v>176099.59317803659</v>
      </c>
    </row>
    <row r="4205" spans="12:26" x14ac:dyDescent="0.55000000000000004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6"/>
        <v>176099.59317803659</v>
      </c>
    </row>
    <row r="4206" spans="12:26" x14ac:dyDescent="0.55000000000000004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6"/>
        <v>176099.59317803659</v>
      </c>
    </row>
    <row r="4207" spans="12:26" x14ac:dyDescent="0.55000000000000004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6"/>
        <v>176099.59317803659</v>
      </c>
    </row>
    <row r="4208" spans="12:26" x14ac:dyDescent="0.55000000000000004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6"/>
        <v>176099.59317803659</v>
      </c>
    </row>
    <row r="4209" spans="12:26" x14ac:dyDescent="0.55000000000000004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6"/>
        <v>176099.59317803659</v>
      </c>
    </row>
    <row r="4210" spans="12:26" x14ac:dyDescent="0.55000000000000004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6"/>
        <v>176099.59317803659</v>
      </c>
    </row>
    <row r="4211" spans="12:26" x14ac:dyDescent="0.55000000000000004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6"/>
        <v>176099.59317803659</v>
      </c>
    </row>
    <row r="4212" spans="12:26" x14ac:dyDescent="0.55000000000000004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6"/>
        <v>176099.59317803659</v>
      </c>
    </row>
    <row r="4213" spans="12:26" x14ac:dyDescent="0.55000000000000004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6"/>
        <v>176099.59317803659</v>
      </c>
    </row>
    <row r="4214" spans="12:26" x14ac:dyDescent="0.55000000000000004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6"/>
        <v>176099.59317803659</v>
      </c>
    </row>
    <row r="4215" spans="12:26" x14ac:dyDescent="0.55000000000000004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6"/>
        <v>176099.59317803659</v>
      </c>
    </row>
    <row r="4216" spans="12:26" x14ac:dyDescent="0.55000000000000004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6"/>
        <v>176099.59317803659</v>
      </c>
    </row>
    <row r="4217" spans="12:26" x14ac:dyDescent="0.55000000000000004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6"/>
        <v>176099.59317803659</v>
      </c>
    </row>
    <row r="4218" spans="12:26" x14ac:dyDescent="0.55000000000000004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6"/>
        <v>176099.59317803659</v>
      </c>
    </row>
    <row r="4219" spans="12:26" x14ac:dyDescent="0.55000000000000004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6"/>
        <v>176099.59317803659</v>
      </c>
    </row>
    <row r="4220" spans="12:26" x14ac:dyDescent="0.55000000000000004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6"/>
        <v>176099.59317803659</v>
      </c>
    </row>
    <row r="4221" spans="12:26" x14ac:dyDescent="0.55000000000000004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6"/>
        <v>176099.59317803659</v>
      </c>
    </row>
    <row r="4222" spans="12:26" x14ac:dyDescent="0.55000000000000004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6"/>
        <v>176099.59317803659</v>
      </c>
    </row>
    <row r="4223" spans="12:26" x14ac:dyDescent="0.55000000000000004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6"/>
        <v>176099.59317803659</v>
      </c>
    </row>
    <row r="4224" spans="12:26" x14ac:dyDescent="0.55000000000000004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6"/>
        <v>176099.59317803659</v>
      </c>
    </row>
    <row r="4225" spans="12:26" x14ac:dyDescent="0.55000000000000004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6"/>
        <v>176099.59317803659</v>
      </c>
    </row>
    <row r="4226" spans="12:26" x14ac:dyDescent="0.55000000000000004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6"/>
        <v>176099.59317803659</v>
      </c>
    </row>
    <row r="4227" spans="12:26" x14ac:dyDescent="0.55000000000000004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6"/>
        <v>176099.59317803659</v>
      </c>
    </row>
    <row r="4228" spans="12:26" x14ac:dyDescent="0.55000000000000004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6"/>
        <v>176099.59317803659</v>
      </c>
    </row>
    <row r="4229" spans="12:26" x14ac:dyDescent="0.55000000000000004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6"/>
        <v>176099.59317803659</v>
      </c>
    </row>
    <row r="4230" spans="12:26" x14ac:dyDescent="0.55000000000000004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6"/>
        <v>176099.59317803659</v>
      </c>
    </row>
    <row r="4231" spans="12:26" x14ac:dyDescent="0.55000000000000004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7">Y4231/X4231</f>
        <v>176099.59317803659</v>
      </c>
    </row>
    <row r="4232" spans="12:26" x14ac:dyDescent="0.55000000000000004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7"/>
        <v>176099.59317803659</v>
      </c>
    </row>
    <row r="4233" spans="12:26" x14ac:dyDescent="0.55000000000000004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7"/>
        <v>176099.59317803659</v>
      </c>
    </row>
    <row r="4234" spans="12:26" x14ac:dyDescent="0.55000000000000004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7"/>
        <v>176099.59317803659</v>
      </c>
    </row>
    <row r="4235" spans="12:26" x14ac:dyDescent="0.55000000000000004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7"/>
        <v>176099.59317803659</v>
      </c>
    </row>
    <row r="4236" spans="12:26" x14ac:dyDescent="0.55000000000000004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7"/>
        <v>176099.59317803659</v>
      </c>
    </row>
    <row r="4237" spans="12:26" x14ac:dyDescent="0.55000000000000004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7"/>
        <v>176099.59317803659</v>
      </c>
    </row>
    <row r="4238" spans="12:26" x14ac:dyDescent="0.55000000000000004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7"/>
        <v>176099.59317803659</v>
      </c>
    </row>
    <row r="4239" spans="12:26" x14ac:dyDescent="0.55000000000000004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7"/>
        <v>176099.59317803659</v>
      </c>
    </row>
    <row r="4240" spans="12:26" x14ac:dyDescent="0.55000000000000004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7"/>
        <v>176099.59317803659</v>
      </c>
    </row>
    <row r="4241" spans="12:26" x14ac:dyDescent="0.55000000000000004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7"/>
        <v>176099.59317803659</v>
      </c>
    </row>
    <row r="4242" spans="12:26" x14ac:dyDescent="0.55000000000000004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7"/>
        <v>176099.59317803659</v>
      </c>
    </row>
    <row r="4243" spans="12:26" x14ac:dyDescent="0.55000000000000004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7"/>
        <v>176099.59317803659</v>
      </c>
    </row>
    <row r="4244" spans="12:26" x14ac:dyDescent="0.55000000000000004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7"/>
        <v>176099.59317803659</v>
      </c>
    </row>
    <row r="4245" spans="12:26" x14ac:dyDescent="0.55000000000000004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7"/>
        <v>176099.59317803659</v>
      </c>
    </row>
    <row r="4246" spans="12:26" x14ac:dyDescent="0.55000000000000004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7"/>
        <v>176099.59317803659</v>
      </c>
    </row>
    <row r="4247" spans="12:26" x14ac:dyDescent="0.55000000000000004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7"/>
        <v>176099.59317803659</v>
      </c>
    </row>
    <row r="4248" spans="12:26" x14ac:dyDescent="0.55000000000000004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7"/>
        <v>176099.59317803659</v>
      </c>
    </row>
    <row r="4249" spans="12:26" x14ac:dyDescent="0.55000000000000004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7"/>
        <v>176099.59317803659</v>
      </c>
    </row>
    <row r="4250" spans="12:26" x14ac:dyDescent="0.55000000000000004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7"/>
        <v>176099.59317803659</v>
      </c>
    </row>
    <row r="4251" spans="12:26" x14ac:dyDescent="0.55000000000000004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7"/>
        <v>176099.59317803659</v>
      </c>
    </row>
    <row r="4252" spans="12:26" x14ac:dyDescent="0.55000000000000004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7"/>
        <v>176099.59317803659</v>
      </c>
    </row>
    <row r="4253" spans="12:26" x14ac:dyDescent="0.55000000000000004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7"/>
        <v>176099.59317803659</v>
      </c>
    </row>
    <row r="4254" spans="12:26" x14ac:dyDescent="0.55000000000000004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7"/>
        <v>176099.59317803659</v>
      </c>
    </row>
    <row r="4255" spans="12:26" x14ac:dyDescent="0.55000000000000004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7"/>
        <v>176099.59317803659</v>
      </c>
    </row>
    <row r="4256" spans="12:26" x14ac:dyDescent="0.55000000000000004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7"/>
        <v>176099.59317803659</v>
      </c>
    </row>
    <row r="4257" spans="12:26" x14ac:dyDescent="0.55000000000000004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7"/>
        <v>176099.59317803659</v>
      </c>
    </row>
    <row r="4258" spans="12:26" x14ac:dyDescent="0.55000000000000004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7"/>
        <v>176099.59317803659</v>
      </c>
    </row>
    <row r="4259" spans="12:26" x14ac:dyDescent="0.55000000000000004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7"/>
        <v>176099.59317803659</v>
      </c>
    </row>
    <row r="4260" spans="12:26" x14ac:dyDescent="0.55000000000000004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7"/>
        <v>176099.59317803659</v>
      </c>
    </row>
    <row r="4261" spans="12:26" x14ac:dyDescent="0.55000000000000004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7"/>
        <v>176099.59317803659</v>
      </c>
    </row>
    <row r="4262" spans="12:26" x14ac:dyDescent="0.55000000000000004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7"/>
        <v>176099.59317803659</v>
      </c>
    </row>
    <row r="4263" spans="12:26" x14ac:dyDescent="0.55000000000000004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7"/>
        <v>176099.59317803659</v>
      </c>
    </row>
    <row r="4264" spans="12:26" x14ac:dyDescent="0.55000000000000004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7"/>
        <v>176099.59317803659</v>
      </c>
    </row>
    <row r="4265" spans="12:26" x14ac:dyDescent="0.55000000000000004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7"/>
        <v>176099.59317803659</v>
      </c>
    </row>
    <row r="4266" spans="12:26" x14ac:dyDescent="0.55000000000000004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7"/>
        <v>176099.59317803659</v>
      </c>
    </row>
    <row r="4267" spans="12:26" x14ac:dyDescent="0.55000000000000004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7"/>
        <v>176099.59317803659</v>
      </c>
    </row>
    <row r="4268" spans="12:26" x14ac:dyDescent="0.55000000000000004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7"/>
        <v>176099.59317803659</v>
      </c>
    </row>
    <row r="4269" spans="12:26" x14ac:dyDescent="0.55000000000000004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7"/>
        <v>176099.59317803659</v>
      </c>
    </row>
    <row r="4270" spans="12:26" x14ac:dyDescent="0.55000000000000004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7"/>
        <v>176099.59317803659</v>
      </c>
    </row>
    <row r="4271" spans="12:26" x14ac:dyDescent="0.55000000000000004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7"/>
        <v>176099.59317803659</v>
      </c>
    </row>
    <row r="4272" spans="12:26" x14ac:dyDescent="0.55000000000000004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7"/>
        <v>176099.59317803659</v>
      </c>
    </row>
    <row r="4273" spans="12:26" x14ac:dyDescent="0.55000000000000004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7"/>
        <v>176099.59317803659</v>
      </c>
    </row>
    <row r="4274" spans="12:26" x14ac:dyDescent="0.55000000000000004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7"/>
        <v>176099.59317803659</v>
      </c>
    </row>
    <row r="4275" spans="12:26" x14ac:dyDescent="0.55000000000000004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7"/>
        <v>176099.59317803659</v>
      </c>
    </row>
    <row r="4276" spans="12:26" x14ac:dyDescent="0.55000000000000004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7"/>
        <v>176099.59317803659</v>
      </c>
    </row>
    <row r="4277" spans="12:26" x14ac:dyDescent="0.55000000000000004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7"/>
        <v>176099.59317803659</v>
      </c>
    </row>
    <row r="4278" spans="12:26" x14ac:dyDescent="0.55000000000000004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7"/>
        <v>176099.59317803659</v>
      </c>
    </row>
    <row r="4279" spans="12:26" x14ac:dyDescent="0.55000000000000004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7"/>
        <v>176099.59317803659</v>
      </c>
    </row>
    <row r="4280" spans="12:26" x14ac:dyDescent="0.55000000000000004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7"/>
        <v>176099.59317803659</v>
      </c>
    </row>
    <row r="4281" spans="12:26" x14ac:dyDescent="0.55000000000000004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7"/>
        <v>176099.59317803659</v>
      </c>
    </row>
    <row r="4282" spans="12:26" x14ac:dyDescent="0.55000000000000004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7"/>
        <v>176099.59317803659</v>
      </c>
    </row>
    <row r="4283" spans="12:26" x14ac:dyDescent="0.55000000000000004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7"/>
        <v>176099.59317803659</v>
      </c>
    </row>
    <row r="4284" spans="12:26" x14ac:dyDescent="0.55000000000000004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7"/>
        <v>176099.59317803659</v>
      </c>
    </row>
    <row r="4285" spans="12:26" x14ac:dyDescent="0.55000000000000004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7"/>
        <v>176099.59317803659</v>
      </c>
    </row>
    <row r="4286" spans="12:26" x14ac:dyDescent="0.55000000000000004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7"/>
        <v>176099.59317803659</v>
      </c>
    </row>
    <row r="4287" spans="12:26" x14ac:dyDescent="0.55000000000000004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7"/>
        <v>176099.59317803659</v>
      </c>
    </row>
    <row r="4288" spans="12:26" x14ac:dyDescent="0.55000000000000004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7"/>
        <v>176099.59317803659</v>
      </c>
    </row>
    <row r="4289" spans="12:26" x14ac:dyDescent="0.55000000000000004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7"/>
        <v>176099.59317803659</v>
      </c>
    </row>
    <row r="4290" spans="12:26" x14ac:dyDescent="0.55000000000000004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7"/>
        <v>176099.59317803659</v>
      </c>
    </row>
    <row r="4291" spans="12:26" x14ac:dyDescent="0.55000000000000004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7"/>
        <v>176099.59317803659</v>
      </c>
    </row>
    <row r="4292" spans="12:26" x14ac:dyDescent="0.55000000000000004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7"/>
        <v>176099.59317803659</v>
      </c>
    </row>
    <row r="4293" spans="12:26" x14ac:dyDescent="0.55000000000000004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7"/>
        <v>176099.59317803659</v>
      </c>
    </row>
    <row r="4294" spans="12:26" x14ac:dyDescent="0.55000000000000004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7"/>
        <v>176099.59317803659</v>
      </c>
    </row>
    <row r="4295" spans="12:26" x14ac:dyDescent="0.55000000000000004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8">Y4295/X4295</f>
        <v>176099.59317803659</v>
      </c>
    </row>
    <row r="4296" spans="12:26" x14ac:dyDescent="0.55000000000000004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8"/>
        <v>176099.59317803659</v>
      </c>
    </row>
    <row r="4297" spans="12:26" x14ac:dyDescent="0.55000000000000004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8"/>
        <v>176099.59317803659</v>
      </c>
    </row>
    <row r="4298" spans="12:26" x14ac:dyDescent="0.55000000000000004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8"/>
        <v>176099.59317803659</v>
      </c>
    </row>
    <row r="4299" spans="12:26" x14ac:dyDescent="0.55000000000000004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8"/>
        <v>176099.59317803659</v>
      </c>
    </row>
    <row r="4300" spans="12:26" x14ac:dyDescent="0.55000000000000004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8"/>
        <v>176099.59317803659</v>
      </c>
    </row>
    <row r="4301" spans="12:26" x14ac:dyDescent="0.55000000000000004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8"/>
        <v>176099.59317803659</v>
      </c>
    </row>
    <row r="4302" spans="12:26" x14ac:dyDescent="0.55000000000000004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8"/>
        <v>176099.59317803659</v>
      </c>
    </row>
    <row r="4303" spans="12:26" x14ac:dyDescent="0.55000000000000004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8"/>
        <v>176099.59317803659</v>
      </c>
    </row>
    <row r="4304" spans="12:26" x14ac:dyDescent="0.55000000000000004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8"/>
        <v>176099.59317803659</v>
      </c>
    </row>
    <row r="4305" spans="12:26" x14ac:dyDescent="0.55000000000000004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8"/>
        <v>176099.59317803659</v>
      </c>
    </row>
    <row r="4306" spans="12:26" x14ac:dyDescent="0.55000000000000004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8"/>
        <v>176099.59317803659</v>
      </c>
    </row>
    <row r="4307" spans="12:26" x14ac:dyDescent="0.55000000000000004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8"/>
        <v>176099.59317803659</v>
      </c>
    </row>
    <row r="4308" spans="12:26" x14ac:dyDescent="0.55000000000000004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8"/>
        <v>176099.59317803659</v>
      </c>
    </row>
    <row r="4309" spans="12:26" x14ac:dyDescent="0.55000000000000004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8"/>
        <v>176099.59317803659</v>
      </c>
    </row>
    <row r="4310" spans="12:26" x14ac:dyDescent="0.55000000000000004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8"/>
        <v>176099.59317803659</v>
      </c>
    </row>
    <row r="4311" spans="12:26" x14ac:dyDescent="0.55000000000000004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8"/>
        <v>176099.59317803659</v>
      </c>
    </row>
    <row r="4312" spans="12:26" x14ac:dyDescent="0.55000000000000004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8"/>
        <v>176099.59317803659</v>
      </c>
    </row>
    <row r="4313" spans="12:26" x14ac:dyDescent="0.55000000000000004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8"/>
        <v>176099.59317803659</v>
      </c>
    </row>
    <row r="4314" spans="12:26" x14ac:dyDescent="0.55000000000000004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8"/>
        <v>176099.59317803659</v>
      </c>
    </row>
    <row r="4315" spans="12:26" x14ac:dyDescent="0.55000000000000004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8"/>
        <v>176099.59317803659</v>
      </c>
    </row>
    <row r="4316" spans="12:26" x14ac:dyDescent="0.55000000000000004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8"/>
        <v>176099.59317803659</v>
      </c>
    </row>
    <row r="4317" spans="12:26" x14ac:dyDescent="0.55000000000000004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8"/>
        <v>176099.59317803659</v>
      </c>
    </row>
    <row r="4318" spans="12:26" x14ac:dyDescent="0.55000000000000004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8"/>
        <v>176099.59317803659</v>
      </c>
    </row>
    <row r="4319" spans="12:26" x14ac:dyDescent="0.55000000000000004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8"/>
        <v>176099.59317803659</v>
      </c>
    </row>
    <row r="4320" spans="12:26" x14ac:dyDescent="0.55000000000000004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8"/>
        <v>176099.59317803659</v>
      </c>
    </row>
    <row r="4321" spans="12:26" x14ac:dyDescent="0.55000000000000004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8"/>
        <v>176099.59317803659</v>
      </c>
    </row>
    <row r="4322" spans="12:26" x14ac:dyDescent="0.55000000000000004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8"/>
        <v>176099.59317803659</v>
      </c>
    </row>
    <row r="4323" spans="12:26" x14ac:dyDescent="0.55000000000000004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8"/>
        <v>176099.59317803659</v>
      </c>
    </row>
    <row r="4324" spans="12:26" x14ac:dyDescent="0.55000000000000004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8"/>
        <v>176099.59317803659</v>
      </c>
    </row>
    <row r="4325" spans="12:26" x14ac:dyDescent="0.55000000000000004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8"/>
        <v>176099.59317803659</v>
      </c>
    </row>
    <row r="4326" spans="12:26" x14ac:dyDescent="0.55000000000000004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8"/>
        <v>176099.59317803659</v>
      </c>
    </row>
    <row r="4327" spans="12:26" x14ac:dyDescent="0.55000000000000004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8"/>
        <v>176099.59317803659</v>
      </c>
    </row>
    <row r="4328" spans="12:26" x14ac:dyDescent="0.55000000000000004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8"/>
        <v>176099.59317803659</v>
      </c>
    </row>
    <row r="4329" spans="12:26" x14ac:dyDescent="0.55000000000000004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8"/>
        <v>176099.59317803659</v>
      </c>
    </row>
    <row r="4330" spans="12:26" x14ac:dyDescent="0.55000000000000004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8"/>
        <v>176099.59317803659</v>
      </c>
    </row>
    <row r="4331" spans="12:26" x14ac:dyDescent="0.55000000000000004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8"/>
        <v>176099.59317803659</v>
      </c>
    </row>
    <row r="4332" spans="12:26" x14ac:dyDescent="0.55000000000000004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8"/>
        <v>176099.59317803659</v>
      </c>
    </row>
    <row r="4333" spans="12:26" x14ac:dyDescent="0.55000000000000004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8"/>
        <v>176099.59317803659</v>
      </c>
    </row>
    <row r="4334" spans="12:26" x14ac:dyDescent="0.55000000000000004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8"/>
        <v>176099.59317803659</v>
      </c>
    </row>
    <row r="4335" spans="12:26" x14ac:dyDescent="0.55000000000000004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8"/>
        <v>176099.59317803659</v>
      </c>
    </row>
    <row r="4336" spans="12:26" x14ac:dyDescent="0.55000000000000004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8"/>
        <v>176099.59317803659</v>
      </c>
    </row>
    <row r="4337" spans="12:26" x14ac:dyDescent="0.55000000000000004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8"/>
        <v>176099.59317803659</v>
      </c>
    </row>
    <row r="4338" spans="12:26" x14ac:dyDescent="0.55000000000000004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8"/>
        <v>176099.59317803659</v>
      </c>
    </row>
    <row r="4339" spans="12:26" x14ac:dyDescent="0.55000000000000004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8"/>
        <v>176099.59317803659</v>
      </c>
    </row>
    <row r="4340" spans="12:26" x14ac:dyDescent="0.55000000000000004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8"/>
        <v>176099.59317803659</v>
      </c>
    </row>
    <row r="4341" spans="12:26" x14ac:dyDescent="0.55000000000000004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8"/>
        <v>176099.59317803659</v>
      </c>
    </row>
    <row r="4342" spans="12:26" x14ac:dyDescent="0.55000000000000004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8"/>
        <v>176099.59317803659</v>
      </c>
    </row>
    <row r="4343" spans="12:26" x14ac:dyDescent="0.55000000000000004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8"/>
        <v>176099.59317803659</v>
      </c>
    </row>
    <row r="4344" spans="12:26" x14ac:dyDescent="0.55000000000000004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8"/>
        <v>176099.59317803659</v>
      </c>
    </row>
    <row r="4345" spans="12:26" x14ac:dyDescent="0.55000000000000004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8"/>
        <v>176099.59317803659</v>
      </c>
    </row>
    <row r="4346" spans="12:26" x14ac:dyDescent="0.55000000000000004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8"/>
        <v>176099.59317803659</v>
      </c>
    </row>
    <row r="4347" spans="12:26" x14ac:dyDescent="0.55000000000000004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8"/>
        <v>176099.59317803659</v>
      </c>
    </row>
    <row r="4348" spans="12:26" x14ac:dyDescent="0.55000000000000004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8"/>
        <v>176099.59317803659</v>
      </c>
    </row>
    <row r="4349" spans="12:26" x14ac:dyDescent="0.55000000000000004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8"/>
        <v>176099.59317803659</v>
      </c>
    </row>
    <row r="4350" spans="12:26" x14ac:dyDescent="0.55000000000000004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8"/>
        <v>176099.59317803659</v>
      </c>
    </row>
    <row r="4351" spans="12:26" x14ac:dyDescent="0.55000000000000004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8"/>
        <v>176099.59317803659</v>
      </c>
    </row>
    <row r="4352" spans="12:26" x14ac:dyDescent="0.55000000000000004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8"/>
        <v>176099.59317803659</v>
      </c>
    </row>
    <row r="4353" spans="12:26" x14ac:dyDescent="0.55000000000000004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8"/>
        <v>176099.59317803659</v>
      </c>
    </row>
    <row r="4354" spans="12:26" x14ac:dyDescent="0.55000000000000004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8"/>
        <v>176099.59317803659</v>
      </c>
    </row>
    <row r="4355" spans="12:26" x14ac:dyDescent="0.55000000000000004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8"/>
        <v>176099.59317803659</v>
      </c>
    </row>
    <row r="4356" spans="12:26" x14ac:dyDescent="0.55000000000000004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8"/>
        <v>176099.59317803659</v>
      </c>
    </row>
    <row r="4357" spans="12:26" x14ac:dyDescent="0.55000000000000004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8"/>
        <v>176099.59317803659</v>
      </c>
    </row>
    <row r="4358" spans="12:26" x14ac:dyDescent="0.55000000000000004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8"/>
        <v>176099.59317803659</v>
      </c>
    </row>
    <row r="4359" spans="12:26" x14ac:dyDescent="0.55000000000000004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9">Y4359/X4359</f>
        <v>176099.59317803659</v>
      </c>
    </row>
    <row r="4360" spans="12:26" x14ac:dyDescent="0.55000000000000004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9"/>
        <v>176099.59317803659</v>
      </c>
    </row>
    <row r="4361" spans="12:26" x14ac:dyDescent="0.55000000000000004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9"/>
        <v>176099.59317803659</v>
      </c>
    </row>
    <row r="4362" spans="12:26" x14ac:dyDescent="0.55000000000000004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9"/>
        <v>176099.59317803659</v>
      </c>
    </row>
    <row r="4363" spans="12:26" x14ac:dyDescent="0.55000000000000004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9"/>
        <v>176099.59317803659</v>
      </c>
    </row>
    <row r="4364" spans="12:26" x14ac:dyDescent="0.55000000000000004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9"/>
        <v>176099.59317803659</v>
      </c>
    </row>
    <row r="4365" spans="12:26" x14ac:dyDescent="0.55000000000000004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9"/>
        <v>176099.59317803659</v>
      </c>
    </row>
    <row r="4366" spans="12:26" x14ac:dyDescent="0.55000000000000004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9"/>
        <v>176099.59317803659</v>
      </c>
    </row>
    <row r="4367" spans="12:26" x14ac:dyDescent="0.55000000000000004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9"/>
        <v>176099.59317803659</v>
      </c>
    </row>
    <row r="4368" spans="12:26" x14ac:dyDescent="0.55000000000000004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9"/>
        <v>176099.59317803659</v>
      </c>
    </row>
    <row r="4369" spans="12:26" x14ac:dyDescent="0.55000000000000004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9"/>
        <v>176099.59317803659</v>
      </c>
    </row>
    <row r="4370" spans="12:26" x14ac:dyDescent="0.55000000000000004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9"/>
        <v>176099.59317803659</v>
      </c>
    </row>
    <row r="4371" spans="12:26" x14ac:dyDescent="0.55000000000000004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9"/>
        <v>176099.59317803659</v>
      </c>
    </row>
    <row r="4372" spans="12:26" x14ac:dyDescent="0.55000000000000004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9"/>
        <v>176099.59317803659</v>
      </c>
    </row>
    <row r="4373" spans="12:26" x14ac:dyDescent="0.55000000000000004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9"/>
        <v>176099.59317803659</v>
      </c>
    </row>
    <row r="4374" spans="12:26" x14ac:dyDescent="0.55000000000000004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9"/>
        <v>176099.59317803659</v>
      </c>
    </row>
    <row r="4375" spans="12:26" x14ac:dyDescent="0.55000000000000004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9"/>
        <v>176099.59317803659</v>
      </c>
    </row>
    <row r="4376" spans="12:26" x14ac:dyDescent="0.55000000000000004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9"/>
        <v>176099.59317803659</v>
      </c>
    </row>
    <row r="4377" spans="12:26" x14ac:dyDescent="0.55000000000000004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9"/>
        <v>176099.59317803659</v>
      </c>
    </row>
    <row r="4378" spans="12:26" x14ac:dyDescent="0.55000000000000004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9"/>
        <v>176099.59317803659</v>
      </c>
    </row>
    <row r="4379" spans="12:26" x14ac:dyDescent="0.55000000000000004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9"/>
        <v>176099.59317803659</v>
      </c>
    </row>
    <row r="4380" spans="12:26" x14ac:dyDescent="0.55000000000000004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9"/>
        <v>176099.59317803659</v>
      </c>
    </row>
    <row r="4381" spans="12:26" x14ac:dyDescent="0.55000000000000004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9"/>
        <v>176099.59317803659</v>
      </c>
    </row>
    <row r="4382" spans="12:26" x14ac:dyDescent="0.55000000000000004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9"/>
        <v>176099.59317803659</v>
      </c>
    </row>
    <row r="4383" spans="12:26" x14ac:dyDescent="0.55000000000000004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9"/>
        <v>176099.59317803659</v>
      </c>
    </row>
    <row r="4384" spans="12:26" x14ac:dyDescent="0.55000000000000004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9"/>
        <v>176099.59317803659</v>
      </c>
    </row>
    <row r="4385" spans="12:26" x14ac:dyDescent="0.55000000000000004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9"/>
        <v>176099.59317803659</v>
      </c>
    </row>
    <row r="4386" spans="12:26" x14ac:dyDescent="0.55000000000000004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9"/>
        <v>176099.59317803659</v>
      </c>
    </row>
    <row r="4387" spans="12:26" x14ac:dyDescent="0.55000000000000004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9"/>
        <v>176099.59317803659</v>
      </c>
    </row>
    <row r="4388" spans="12:26" x14ac:dyDescent="0.55000000000000004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9"/>
        <v>176099.59317803659</v>
      </c>
    </row>
    <row r="4389" spans="12:26" x14ac:dyDescent="0.55000000000000004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9"/>
        <v>176099.59317803659</v>
      </c>
    </row>
    <row r="4390" spans="12:26" x14ac:dyDescent="0.55000000000000004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9"/>
        <v>176099.59317803659</v>
      </c>
    </row>
    <row r="4391" spans="12:26" x14ac:dyDescent="0.55000000000000004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9"/>
        <v>176099.59317803659</v>
      </c>
    </row>
    <row r="4392" spans="12:26" x14ac:dyDescent="0.55000000000000004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9"/>
        <v>176099.59317803659</v>
      </c>
    </row>
    <row r="4393" spans="12:26" x14ac:dyDescent="0.55000000000000004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9"/>
        <v>176099.59317803659</v>
      </c>
    </row>
    <row r="4394" spans="12:26" x14ac:dyDescent="0.55000000000000004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9"/>
        <v>176099.59317803659</v>
      </c>
    </row>
    <row r="4395" spans="12:26" x14ac:dyDescent="0.55000000000000004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9"/>
        <v>176099.59317803659</v>
      </c>
    </row>
    <row r="4396" spans="12:26" x14ac:dyDescent="0.55000000000000004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9"/>
        <v>176099.59317803659</v>
      </c>
    </row>
    <row r="4397" spans="12:26" x14ac:dyDescent="0.55000000000000004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9"/>
        <v>176099.59317803659</v>
      </c>
    </row>
    <row r="4398" spans="12:26" x14ac:dyDescent="0.55000000000000004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9"/>
        <v>176099.59317803659</v>
      </c>
    </row>
    <row r="4399" spans="12:26" x14ac:dyDescent="0.55000000000000004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9"/>
        <v>176099.59317803659</v>
      </c>
    </row>
    <row r="4400" spans="12:26" x14ac:dyDescent="0.55000000000000004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9"/>
        <v>176099.59317803659</v>
      </c>
    </row>
    <row r="4401" spans="12:26" x14ac:dyDescent="0.55000000000000004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9"/>
        <v>176099.59317803659</v>
      </c>
    </row>
    <row r="4402" spans="12:26" x14ac:dyDescent="0.55000000000000004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9"/>
        <v>176099.59317803659</v>
      </c>
    </row>
    <row r="4403" spans="12:26" x14ac:dyDescent="0.55000000000000004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9"/>
        <v>176099.59317803659</v>
      </c>
    </row>
    <row r="4404" spans="12:26" x14ac:dyDescent="0.55000000000000004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9"/>
        <v>176099.59317803659</v>
      </c>
    </row>
    <row r="4405" spans="12:26" x14ac:dyDescent="0.55000000000000004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9"/>
        <v>176099.59317803659</v>
      </c>
    </row>
    <row r="4406" spans="12:26" x14ac:dyDescent="0.55000000000000004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9"/>
        <v>176099.59317803659</v>
      </c>
    </row>
    <row r="4407" spans="12:26" x14ac:dyDescent="0.55000000000000004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9"/>
        <v>176099.59317803659</v>
      </c>
    </row>
    <row r="4408" spans="12:26" x14ac:dyDescent="0.55000000000000004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9"/>
        <v>176099.59317803659</v>
      </c>
    </row>
    <row r="4409" spans="12:26" x14ac:dyDescent="0.55000000000000004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9"/>
        <v>176099.59317803659</v>
      </c>
    </row>
    <row r="4410" spans="12:26" x14ac:dyDescent="0.55000000000000004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9"/>
        <v>176099.59317803659</v>
      </c>
    </row>
    <row r="4411" spans="12:26" x14ac:dyDescent="0.55000000000000004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9"/>
        <v>176099.59317803659</v>
      </c>
    </row>
    <row r="4412" spans="12:26" x14ac:dyDescent="0.55000000000000004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9"/>
        <v>176099.59317803659</v>
      </c>
    </row>
    <row r="4413" spans="12:26" x14ac:dyDescent="0.55000000000000004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9"/>
        <v>176099.59317803659</v>
      </c>
    </row>
    <row r="4414" spans="12:26" x14ac:dyDescent="0.55000000000000004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9"/>
        <v>176099.59317803659</v>
      </c>
    </row>
    <row r="4415" spans="12:26" x14ac:dyDescent="0.55000000000000004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9"/>
        <v>176099.59317803659</v>
      </c>
    </row>
    <row r="4416" spans="12:26" x14ac:dyDescent="0.55000000000000004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9"/>
        <v>176099.59317803659</v>
      </c>
    </row>
    <row r="4417" spans="12:26" x14ac:dyDescent="0.55000000000000004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9"/>
        <v>176099.59317803659</v>
      </c>
    </row>
    <row r="4418" spans="12:26" x14ac:dyDescent="0.55000000000000004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9"/>
        <v>176099.59317803659</v>
      </c>
    </row>
    <row r="4419" spans="12:26" x14ac:dyDescent="0.55000000000000004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9"/>
        <v>176099.59317803659</v>
      </c>
    </row>
    <row r="4420" spans="12:26" x14ac:dyDescent="0.55000000000000004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9"/>
        <v>176099.59317803659</v>
      </c>
    </row>
    <row r="4421" spans="12:26" x14ac:dyDescent="0.55000000000000004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9"/>
        <v>176099.59317803659</v>
      </c>
    </row>
    <row r="4422" spans="12:26" x14ac:dyDescent="0.55000000000000004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9"/>
        <v>176099.59317803659</v>
      </c>
    </row>
    <row r="4423" spans="12:26" x14ac:dyDescent="0.55000000000000004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100">Y4423/X4423</f>
        <v>176099.59317803659</v>
      </c>
    </row>
    <row r="4424" spans="12:26" x14ac:dyDescent="0.55000000000000004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100"/>
        <v>176099.59317803659</v>
      </c>
    </row>
    <row r="4425" spans="12:26" x14ac:dyDescent="0.55000000000000004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100"/>
        <v>176099.59317803659</v>
      </c>
    </row>
    <row r="4426" spans="12:26" x14ac:dyDescent="0.55000000000000004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100"/>
        <v>176099.59317803659</v>
      </c>
    </row>
    <row r="4427" spans="12:26" x14ac:dyDescent="0.55000000000000004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100"/>
        <v>176099.59317803659</v>
      </c>
    </row>
    <row r="4428" spans="12:26" x14ac:dyDescent="0.55000000000000004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100"/>
        <v>176099.59317803659</v>
      </c>
    </row>
    <row r="4429" spans="12:26" x14ac:dyDescent="0.55000000000000004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100"/>
        <v>176099.59317803659</v>
      </c>
    </row>
    <row r="4430" spans="12:26" x14ac:dyDescent="0.55000000000000004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100"/>
        <v>176099.59317803659</v>
      </c>
    </row>
    <row r="4431" spans="12:26" x14ac:dyDescent="0.55000000000000004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100"/>
        <v>176099.59317803659</v>
      </c>
    </row>
    <row r="4432" spans="12:26" x14ac:dyDescent="0.55000000000000004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100"/>
        <v>176099.59317803659</v>
      </c>
    </row>
    <row r="4433" spans="12:26" x14ac:dyDescent="0.55000000000000004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100"/>
        <v>176099.59317803659</v>
      </c>
    </row>
    <row r="4434" spans="12:26" x14ac:dyDescent="0.55000000000000004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100"/>
        <v>176099.59317803659</v>
      </c>
    </row>
    <row r="4435" spans="12:26" x14ac:dyDescent="0.55000000000000004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100"/>
        <v>176099.59317803659</v>
      </c>
    </row>
    <row r="4436" spans="12:26" x14ac:dyDescent="0.55000000000000004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100"/>
        <v>176099.59317803659</v>
      </c>
    </row>
    <row r="4437" spans="12:26" x14ac:dyDescent="0.55000000000000004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100"/>
        <v>176099.59317803659</v>
      </c>
    </row>
    <row r="4438" spans="12:26" x14ac:dyDescent="0.55000000000000004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100"/>
        <v>176099.59317803659</v>
      </c>
    </row>
    <row r="4439" spans="12:26" x14ac:dyDescent="0.55000000000000004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100"/>
        <v>176099.59317803659</v>
      </c>
    </row>
    <row r="4440" spans="12:26" x14ac:dyDescent="0.55000000000000004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100"/>
        <v>176099.59317803659</v>
      </c>
    </row>
    <row r="4441" spans="12:26" x14ac:dyDescent="0.55000000000000004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100"/>
        <v>176099.59317803659</v>
      </c>
    </row>
    <row r="4442" spans="12:26" x14ac:dyDescent="0.55000000000000004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100"/>
        <v>176099.59317803659</v>
      </c>
    </row>
    <row r="4443" spans="12:26" x14ac:dyDescent="0.55000000000000004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100"/>
        <v>176099.59317803659</v>
      </c>
    </row>
    <row r="4444" spans="12:26" x14ac:dyDescent="0.55000000000000004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100"/>
        <v>176099.59317803659</v>
      </c>
    </row>
    <row r="4445" spans="12:26" x14ac:dyDescent="0.55000000000000004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100"/>
        <v>176099.59317803659</v>
      </c>
    </row>
    <row r="4446" spans="12:26" x14ac:dyDescent="0.55000000000000004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100"/>
        <v>176099.59317803659</v>
      </c>
    </row>
    <row r="4447" spans="12:26" x14ac:dyDescent="0.55000000000000004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100"/>
        <v>176099.59317803659</v>
      </c>
    </row>
    <row r="4448" spans="12:26" x14ac:dyDescent="0.55000000000000004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100"/>
        <v>176099.59317803659</v>
      </c>
    </row>
    <row r="4449" spans="12:26" x14ac:dyDescent="0.55000000000000004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100"/>
        <v>176099.59317803659</v>
      </c>
    </row>
    <row r="4450" spans="12:26" x14ac:dyDescent="0.55000000000000004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100"/>
        <v>176099.59317803659</v>
      </c>
    </row>
    <row r="4451" spans="12:26" x14ac:dyDescent="0.55000000000000004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100"/>
        <v>176099.59317803659</v>
      </c>
    </row>
    <row r="4452" spans="12:26" x14ac:dyDescent="0.55000000000000004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100"/>
        <v>176099.59317803659</v>
      </c>
    </row>
    <row r="4453" spans="12:26" x14ac:dyDescent="0.55000000000000004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100"/>
        <v>176099.59317803659</v>
      </c>
    </row>
    <row r="4454" spans="12:26" x14ac:dyDescent="0.55000000000000004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100"/>
        <v>176099.59317803659</v>
      </c>
    </row>
    <row r="4455" spans="12:26" x14ac:dyDescent="0.55000000000000004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100"/>
        <v>176099.59317803659</v>
      </c>
    </row>
    <row r="4456" spans="12:26" x14ac:dyDescent="0.55000000000000004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100"/>
        <v>176099.59317803659</v>
      </c>
    </row>
    <row r="4457" spans="12:26" x14ac:dyDescent="0.55000000000000004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100"/>
        <v>176099.59317803659</v>
      </c>
    </row>
    <row r="4458" spans="12:26" x14ac:dyDescent="0.55000000000000004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100"/>
        <v>176099.59317803659</v>
      </c>
    </row>
    <row r="4459" spans="12:26" x14ac:dyDescent="0.55000000000000004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100"/>
        <v>176099.59317803659</v>
      </c>
    </row>
    <row r="4460" spans="12:26" x14ac:dyDescent="0.55000000000000004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100"/>
        <v>176099.59317803659</v>
      </c>
    </row>
    <row r="4461" spans="12:26" x14ac:dyDescent="0.55000000000000004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100"/>
        <v>176099.59317803659</v>
      </c>
    </row>
    <row r="4462" spans="12:26" x14ac:dyDescent="0.55000000000000004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100"/>
        <v>176099.59317803659</v>
      </c>
    </row>
    <row r="4463" spans="12:26" x14ac:dyDescent="0.55000000000000004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100"/>
        <v>176099.59317803659</v>
      </c>
    </row>
    <row r="4464" spans="12:26" x14ac:dyDescent="0.55000000000000004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100"/>
        <v>176099.59317803659</v>
      </c>
    </row>
    <row r="4465" spans="12:26" x14ac:dyDescent="0.55000000000000004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100"/>
        <v>176099.59317803659</v>
      </c>
    </row>
    <row r="4466" spans="12:26" x14ac:dyDescent="0.55000000000000004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100"/>
        <v>176099.59317803659</v>
      </c>
    </row>
    <row r="4467" spans="12:26" x14ac:dyDescent="0.55000000000000004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100"/>
        <v>176099.59317803659</v>
      </c>
    </row>
    <row r="4468" spans="12:26" x14ac:dyDescent="0.55000000000000004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100"/>
        <v>176099.59317803659</v>
      </c>
    </row>
    <row r="4469" spans="12:26" x14ac:dyDescent="0.55000000000000004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100"/>
        <v>176099.59317803659</v>
      </c>
    </row>
    <row r="4470" spans="12:26" x14ac:dyDescent="0.55000000000000004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100"/>
        <v>176099.59317803659</v>
      </c>
    </row>
    <row r="4471" spans="12:26" x14ac:dyDescent="0.55000000000000004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100"/>
        <v>176099.59317803659</v>
      </c>
    </row>
    <row r="4472" spans="12:26" x14ac:dyDescent="0.55000000000000004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100"/>
        <v>176099.59317803659</v>
      </c>
    </row>
    <row r="4473" spans="12:26" x14ac:dyDescent="0.55000000000000004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100"/>
        <v>176099.59317803659</v>
      </c>
    </row>
    <row r="4474" spans="12:26" x14ac:dyDescent="0.55000000000000004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100"/>
        <v>176099.59317803659</v>
      </c>
    </row>
    <row r="4475" spans="12:26" x14ac:dyDescent="0.55000000000000004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100"/>
        <v>176099.59317803659</v>
      </c>
    </row>
    <row r="4476" spans="12:26" x14ac:dyDescent="0.55000000000000004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100"/>
        <v>176099.59317803659</v>
      </c>
    </row>
    <row r="4477" spans="12:26" x14ac:dyDescent="0.55000000000000004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100"/>
        <v>176099.59317803659</v>
      </c>
    </row>
    <row r="4478" spans="12:26" x14ac:dyDescent="0.55000000000000004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100"/>
        <v>176099.59317803659</v>
      </c>
    </row>
    <row r="4479" spans="12:26" x14ac:dyDescent="0.55000000000000004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100"/>
        <v>176099.59317803659</v>
      </c>
    </row>
    <row r="4480" spans="12:26" x14ac:dyDescent="0.55000000000000004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100"/>
        <v>176099.59317803659</v>
      </c>
    </row>
    <row r="4481" spans="12:26" x14ac:dyDescent="0.55000000000000004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100"/>
        <v>176099.59317803659</v>
      </c>
    </row>
    <row r="4482" spans="12:26" x14ac:dyDescent="0.55000000000000004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100"/>
        <v>176099.59317803659</v>
      </c>
    </row>
    <row r="4483" spans="12:26" x14ac:dyDescent="0.55000000000000004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100"/>
        <v>176099.59317803659</v>
      </c>
    </row>
    <row r="4484" spans="12:26" x14ac:dyDescent="0.55000000000000004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100"/>
        <v>176099.59317803659</v>
      </c>
    </row>
    <row r="4485" spans="12:26" x14ac:dyDescent="0.55000000000000004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100"/>
        <v>176099.59317803659</v>
      </c>
    </row>
    <row r="4486" spans="12:26" x14ac:dyDescent="0.55000000000000004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100"/>
        <v>176099.59317803659</v>
      </c>
    </row>
    <row r="4487" spans="12:26" x14ac:dyDescent="0.55000000000000004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101">Y4487/X4487</f>
        <v>176099.59317803659</v>
      </c>
    </row>
    <row r="4488" spans="12:26" x14ac:dyDescent="0.55000000000000004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101"/>
        <v>176099.59317803659</v>
      </c>
    </row>
    <row r="4489" spans="12:26" x14ac:dyDescent="0.55000000000000004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101"/>
        <v>176099.59317803659</v>
      </c>
    </row>
    <row r="4490" spans="12:26" x14ac:dyDescent="0.55000000000000004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101"/>
        <v>176099.59317803659</v>
      </c>
    </row>
    <row r="4491" spans="12:26" x14ac:dyDescent="0.55000000000000004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101"/>
        <v>176099.59317803659</v>
      </c>
    </row>
    <row r="4492" spans="12:26" x14ac:dyDescent="0.55000000000000004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101"/>
        <v>176099.59317803659</v>
      </c>
    </row>
    <row r="4493" spans="12:26" x14ac:dyDescent="0.55000000000000004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101"/>
        <v>176099.59317803659</v>
      </c>
    </row>
    <row r="4494" spans="12:26" x14ac:dyDescent="0.55000000000000004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101"/>
        <v>176099.59317803659</v>
      </c>
    </row>
    <row r="4495" spans="12:26" x14ac:dyDescent="0.55000000000000004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101"/>
        <v>176099.59317803659</v>
      </c>
    </row>
    <row r="4496" spans="12:26" x14ac:dyDescent="0.55000000000000004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101"/>
        <v>176099.59317803659</v>
      </c>
    </row>
    <row r="4497" spans="12:26" x14ac:dyDescent="0.55000000000000004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101"/>
        <v>176099.59317803659</v>
      </c>
    </row>
    <row r="4498" spans="12:26" x14ac:dyDescent="0.55000000000000004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101"/>
        <v>176099.59317803659</v>
      </c>
    </row>
    <row r="4499" spans="12:26" x14ac:dyDescent="0.55000000000000004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101"/>
        <v>176099.59317803659</v>
      </c>
    </row>
    <row r="4500" spans="12:26" x14ac:dyDescent="0.55000000000000004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101"/>
        <v>176099.59317803659</v>
      </c>
    </row>
    <row r="4501" spans="12:26" x14ac:dyDescent="0.55000000000000004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101"/>
        <v>176099.59317803659</v>
      </c>
    </row>
    <row r="4502" spans="12:26" x14ac:dyDescent="0.55000000000000004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101"/>
        <v>176099.59317803659</v>
      </c>
    </row>
    <row r="4503" spans="12:26" x14ac:dyDescent="0.55000000000000004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101"/>
        <v>176099.59317803659</v>
      </c>
    </row>
    <row r="4504" spans="12:26" x14ac:dyDescent="0.55000000000000004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101"/>
        <v>176099.59317803659</v>
      </c>
    </row>
    <row r="4505" spans="12:26" x14ac:dyDescent="0.55000000000000004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101"/>
        <v>176099.59317803659</v>
      </c>
    </row>
    <row r="4506" spans="12:26" x14ac:dyDescent="0.55000000000000004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101"/>
        <v>176099.59317803659</v>
      </c>
    </row>
    <row r="4507" spans="12:26" x14ac:dyDescent="0.55000000000000004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101"/>
        <v>176099.59317803659</v>
      </c>
    </row>
    <row r="4508" spans="12:26" x14ac:dyDescent="0.55000000000000004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101"/>
        <v>176099.59317803659</v>
      </c>
    </row>
    <row r="4509" spans="12:26" x14ac:dyDescent="0.55000000000000004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101"/>
        <v>176099.59317803659</v>
      </c>
    </row>
    <row r="4510" spans="12:26" x14ac:dyDescent="0.55000000000000004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101"/>
        <v>176099.59317803659</v>
      </c>
    </row>
    <row r="4511" spans="12:26" x14ac:dyDescent="0.55000000000000004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101"/>
        <v>176099.59317803659</v>
      </c>
    </row>
    <row r="4512" spans="12:26" x14ac:dyDescent="0.55000000000000004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101"/>
        <v>176099.59317803659</v>
      </c>
    </row>
    <row r="4513" spans="12:26" x14ac:dyDescent="0.55000000000000004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101"/>
        <v>176099.59317803659</v>
      </c>
    </row>
    <row r="4514" spans="12:26" x14ac:dyDescent="0.55000000000000004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101"/>
        <v>176099.59317803659</v>
      </c>
    </row>
    <row r="4515" spans="12:26" x14ac:dyDescent="0.55000000000000004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101"/>
        <v>176099.59317803659</v>
      </c>
    </row>
    <row r="4516" spans="12:26" x14ac:dyDescent="0.55000000000000004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101"/>
        <v>176099.59317803659</v>
      </c>
    </row>
    <row r="4517" spans="12:26" x14ac:dyDescent="0.55000000000000004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101"/>
        <v>176099.59317803659</v>
      </c>
    </row>
    <row r="4518" spans="12:26" x14ac:dyDescent="0.55000000000000004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101"/>
        <v>176099.59317803659</v>
      </c>
    </row>
    <row r="4519" spans="12:26" x14ac:dyDescent="0.55000000000000004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101"/>
        <v>176099.59317803659</v>
      </c>
    </row>
    <row r="4520" spans="12:26" x14ac:dyDescent="0.55000000000000004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101"/>
        <v>176099.59317803659</v>
      </c>
    </row>
    <row r="4521" spans="12:26" x14ac:dyDescent="0.55000000000000004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101"/>
        <v>176099.59317803659</v>
      </c>
    </row>
    <row r="4522" spans="12:26" x14ac:dyDescent="0.55000000000000004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101"/>
        <v>176099.59317803659</v>
      </c>
    </row>
    <row r="4523" spans="12:26" x14ac:dyDescent="0.55000000000000004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101"/>
        <v>176099.59317803659</v>
      </c>
    </row>
    <row r="4524" spans="12:26" x14ac:dyDescent="0.55000000000000004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101"/>
        <v>176099.59317803659</v>
      </c>
    </row>
    <row r="4525" spans="12:26" x14ac:dyDescent="0.55000000000000004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101"/>
        <v>176099.59317803659</v>
      </c>
    </row>
    <row r="4526" spans="12:26" x14ac:dyDescent="0.55000000000000004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101"/>
        <v>176099.59317803659</v>
      </c>
    </row>
    <row r="4527" spans="12:26" x14ac:dyDescent="0.55000000000000004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101"/>
        <v>176099.59317803659</v>
      </c>
    </row>
    <row r="4528" spans="12:26" x14ac:dyDescent="0.55000000000000004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101"/>
        <v>176099.59317803659</v>
      </c>
    </row>
    <row r="4529" spans="12:26" x14ac:dyDescent="0.55000000000000004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101"/>
        <v>176099.59317803659</v>
      </c>
    </row>
    <row r="4530" spans="12:26" x14ac:dyDescent="0.55000000000000004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101"/>
        <v>176099.59317803659</v>
      </c>
    </row>
    <row r="4531" spans="12:26" x14ac:dyDescent="0.55000000000000004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101"/>
        <v>176099.59317803659</v>
      </c>
    </row>
    <row r="4532" spans="12:26" x14ac:dyDescent="0.55000000000000004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101"/>
        <v>176099.59317803659</v>
      </c>
    </row>
    <row r="4533" spans="12:26" x14ac:dyDescent="0.55000000000000004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101"/>
        <v>176099.59317803659</v>
      </c>
    </row>
    <row r="4534" spans="12:26" x14ac:dyDescent="0.55000000000000004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101"/>
        <v>176099.59317803659</v>
      </c>
    </row>
    <row r="4535" spans="12:26" x14ac:dyDescent="0.55000000000000004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101"/>
        <v>176099.59317803659</v>
      </c>
    </row>
    <row r="4536" spans="12:26" x14ac:dyDescent="0.55000000000000004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101"/>
        <v>176099.59317803659</v>
      </c>
    </row>
    <row r="4537" spans="12:26" x14ac:dyDescent="0.55000000000000004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101"/>
        <v>176099.59317803659</v>
      </c>
    </row>
    <row r="4538" spans="12:26" x14ac:dyDescent="0.55000000000000004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101"/>
        <v>176099.59317803659</v>
      </c>
    </row>
    <row r="4539" spans="12:26" x14ac:dyDescent="0.55000000000000004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101"/>
        <v>176099.59317803659</v>
      </c>
    </row>
    <row r="4540" spans="12:26" x14ac:dyDescent="0.55000000000000004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101"/>
        <v>176099.59317803659</v>
      </c>
    </row>
    <row r="4541" spans="12:26" x14ac:dyDescent="0.55000000000000004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101"/>
        <v>176099.59317803659</v>
      </c>
    </row>
    <row r="4542" spans="12:26" x14ac:dyDescent="0.55000000000000004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101"/>
        <v>176099.59317803659</v>
      </c>
    </row>
    <row r="4543" spans="12:26" x14ac:dyDescent="0.55000000000000004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101"/>
        <v>176099.59317803659</v>
      </c>
    </row>
    <row r="4544" spans="12:26" x14ac:dyDescent="0.55000000000000004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101"/>
        <v>176099.59317803659</v>
      </c>
    </row>
    <row r="4545" spans="12:26" x14ac:dyDescent="0.55000000000000004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101"/>
        <v>176099.59317803659</v>
      </c>
    </row>
    <row r="4546" spans="12:26" x14ac:dyDescent="0.55000000000000004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101"/>
        <v>176099.59317803659</v>
      </c>
    </row>
    <row r="4547" spans="12:26" x14ac:dyDescent="0.55000000000000004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101"/>
        <v>176099.59317803659</v>
      </c>
    </row>
    <row r="4548" spans="12:26" x14ac:dyDescent="0.55000000000000004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101"/>
        <v>176099.59317803659</v>
      </c>
    </row>
    <row r="4549" spans="12:26" x14ac:dyDescent="0.55000000000000004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101"/>
        <v>176099.59317803659</v>
      </c>
    </row>
    <row r="4550" spans="12:26" x14ac:dyDescent="0.55000000000000004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101"/>
        <v>176099.59317803659</v>
      </c>
    </row>
    <row r="4551" spans="12:26" x14ac:dyDescent="0.55000000000000004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102">Y4551/X4551</f>
        <v>176099.59317803659</v>
      </c>
    </row>
    <row r="4552" spans="12:26" x14ac:dyDescent="0.55000000000000004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102"/>
        <v>176099.59317803659</v>
      </c>
    </row>
    <row r="4553" spans="12:26" x14ac:dyDescent="0.55000000000000004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102"/>
        <v>176099.59317803659</v>
      </c>
    </row>
    <row r="4554" spans="12:26" x14ac:dyDescent="0.55000000000000004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102"/>
        <v>176099.59317803659</v>
      </c>
    </row>
    <row r="4555" spans="12:26" x14ac:dyDescent="0.55000000000000004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102"/>
        <v>176099.59317803659</v>
      </c>
    </row>
    <row r="4556" spans="12:26" x14ac:dyDescent="0.55000000000000004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102"/>
        <v>176099.59317803659</v>
      </c>
    </row>
    <row r="4557" spans="12:26" x14ac:dyDescent="0.55000000000000004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102"/>
        <v>176099.59317803659</v>
      </c>
    </row>
    <row r="4558" spans="12:26" x14ac:dyDescent="0.55000000000000004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102"/>
        <v>176099.59317803659</v>
      </c>
    </row>
    <row r="4559" spans="12:26" x14ac:dyDescent="0.55000000000000004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102"/>
        <v>176099.59317803659</v>
      </c>
    </row>
    <row r="4560" spans="12:26" x14ac:dyDescent="0.55000000000000004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102"/>
        <v>176099.59317803659</v>
      </c>
    </row>
    <row r="4561" spans="12:26" x14ac:dyDescent="0.55000000000000004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102"/>
        <v>176099.59317803659</v>
      </c>
    </row>
    <row r="4562" spans="12:26" x14ac:dyDescent="0.55000000000000004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102"/>
        <v>176099.59317803659</v>
      </c>
    </row>
    <row r="4563" spans="12:26" x14ac:dyDescent="0.55000000000000004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102"/>
        <v>176099.59317803659</v>
      </c>
    </row>
    <row r="4564" spans="12:26" x14ac:dyDescent="0.55000000000000004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102"/>
        <v>176099.59317803659</v>
      </c>
    </row>
    <row r="4565" spans="12:26" x14ac:dyDescent="0.55000000000000004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102"/>
        <v>176099.59317803659</v>
      </c>
    </row>
    <row r="4566" spans="12:26" x14ac:dyDescent="0.55000000000000004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102"/>
        <v>176099.59317803659</v>
      </c>
    </row>
    <row r="4567" spans="12:26" x14ac:dyDescent="0.55000000000000004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102"/>
        <v>176099.59317803659</v>
      </c>
    </row>
    <row r="4568" spans="12:26" x14ac:dyDescent="0.55000000000000004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102"/>
        <v>176099.59317803659</v>
      </c>
    </row>
    <row r="4569" spans="12:26" x14ac:dyDescent="0.55000000000000004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102"/>
        <v>176099.59317803659</v>
      </c>
    </row>
    <row r="4570" spans="12:26" x14ac:dyDescent="0.55000000000000004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102"/>
        <v>176099.59317803659</v>
      </c>
    </row>
    <row r="4571" spans="12:26" x14ac:dyDescent="0.55000000000000004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102"/>
        <v>176099.59317803659</v>
      </c>
    </row>
    <row r="4572" spans="12:26" x14ac:dyDescent="0.55000000000000004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102"/>
        <v>176099.59317803659</v>
      </c>
    </row>
    <row r="4573" spans="12:26" x14ac:dyDescent="0.55000000000000004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102"/>
        <v>176099.59317803659</v>
      </c>
    </row>
    <row r="4574" spans="12:26" x14ac:dyDescent="0.55000000000000004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102"/>
        <v>176099.59317803659</v>
      </c>
    </row>
    <row r="4575" spans="12:26" x14ac:dyDescent="0.55000000000000004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102"/>
        <v>176099.59317803659</v>
      </c>
    </row>
    <row r="4576" spans="12:26" x14ac:dyDescent="0.55000000000000004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102"/>
        <v>176099.59317803659</v>
      </c>
    </row>
    <row r="4577" spans="12:26" x14ac:dyDescent="0.55000000000000004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102"/>
        <v>176099.59317803659</v>
      </c>
    </row>
    <row r="4578" spans="12:26" x14ac:dyDescent="0.55000000000000004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102"/>
        <v>176099.59317803659</v>
      </c>
    </row>
    <row r="4579" spans="12:26" x14ac:dyDescent="0.55000000000000004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102"/>
        <v>176099.59317803659</v>
      </c>
    </row>
    <row r="4580" spans="12:26" x14ac:dyDescent="0.55000000000000004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102"/>
        <v>176099.59317803659</v>
      </c>
    </row>
    <row r="4581" spans="12:26" x14ac:dyDescent="0.55000000000000004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102"/>
        <v>176099.59317803659</v>
      </c>
    </row>
    <row r="4582" spans="12:26" x14ac:dyDescent="0.55000000000000004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102"/>
        <v>176099.59317803659</v>
      </c>
    </row>
    <row r="4583" spans="12:26" x14ac:dyDescent="0.55000000000000004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102"/>
        <v>176099.59317803659</v>
      </c>
    </row>
    <row r="4584" spans="12:26" x14ac:dyDescent="0.55000000000000004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102"/>
        <v>176099.59317803659</v>
      </c>
    </row>
    <row r="4585" spans="12:26" x14ac:dyDescent="0.55000000000000004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102"/>
        <v>176099.59317803659</v>
      </c>
    </row>
    <row r="4586" spans="12:26" x14ac:dyDescent="0.55000000000000004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102"/>
        <v>176099.59317803659</v>
      </c>
    </row>
    <row r="4587" spans="12:26" x14ac:dyDescent="0.55000000000000004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102"/>
        <v>176099.59317803659</v>
      </c>
    </row>
    <row r="4588" spans="12:26" x14ac:dyDescent="0.55000000000000004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102"/>
        <v>176099.59317803659</v>
      </c>
    </row>
    <row r="4589" spans="12:26" x14ac:dyDescent="0.55000000000000004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102"/>
        <v>176099.59317803659</v>
      </c>
    </row>
    <row r="4590" spans="12:26" x14ac:dyDescent="0.55000000000000004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102"/>
        <v>176099.59317803659</v>
      </c>
    </row>
    <row r="4591" spans="12:26" x14ac:dyDescent="0.55000000000000004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102"/>
        <v>176099.59317803659</v>
      </c>
    </row>
    <row r="4592" spans="12:26" x14ac:dyDescent="0.55000000000000004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102"/>
        <v>176099.59317803659</v>
      </c>
    </row>
    <row r="4593" spans="12:26" x14ac:dyDescent="0.55000000000000004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102"/>
        <v>176099.59317803659</v>
      </c>
    </row>
    <row r="4594" spans="12:26" x14ac:dyDescent="0.55000000000000004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102"/>
        <v>176099.59317803659</v>
      </c>
    </row>
    <row r="4595" spans="12:26" x14ac:dyDescent="0.55000000000000004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102"/>
        <v>176099.59317803659</v>
      </c>
    </row>
    <row r="4596" spans="12:26" x14ac:dyDescent="0.55000000000000004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102"/>
        <v>176099.59317803659</v>
      </c>
    </row>
    <row r="4597" spans="12:26" x14ac:dyDescent="0.55000000000000004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102"/>
        <v>176099.59317803659</v>
      </c>
    </row>
    <row r="4598" spans="12:26" x14ac:dyDescent="0.55000000000000004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102"/>
        <v>176099.59317803659</v>
      </c>
    </row>
    <row r="4599" spans="12:26" x14ac:dyDescent="0.55000000000000004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102"/>
        <v>176099.59317803659</v>
      </c>
    </row>
    <row r="4600" spans="12:26" x14ac:dyDescent="0.55000000000000004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102"/>
        <v>176099.59317803659</v>
      </c>
    </row>
    <row r="4601" spans="12:26" x14ac:dyDescent="0.55000000000000004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102"/>
        <v>176099.59317803659</v>
      </c>
    </row>
    <row r="4602" spans="12:26" x14ac:dyDescent="0.55000000000000004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102"/>
        <v>176099.59317803659</v>
      </c>
    </row>
    <row r="4603" spans="12:26" x14ac:dyDescent="0.55000000000000004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102"/>
        <v>176099.59317803659</v>
      </c>
    </row>
    <row r="4604" spans="12:26" x14ac:dyDescent="0.55000000000000004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102"/>
        <v>176099.59317803659</v>
      </c>
    </row>
    <row r="4605" spans="12:26" x14ac:dyDescent="0.55000000000000004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102"/>
        <v>176099.59317803659</v>
      </c>
    </row>
    <row r="4606" spans="12:26" x14ac:dyDescent="0.55000000000000004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102"/>
        <v>176099.59317803659</v>
      </c>
    </row>
    <row r="4607" spans="12:26" x14ac:dyDescent="0.55000000000000004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102"/>
        <v>176099.59317803659</v>
      </c>
    </row>
    <row r="4608" spans="12:26" x14ac:dyDescent="0.55000000000000004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102"/>
        <v>176099.59317803659</v>
      </c>
    </row>
    <row r="4609" spans="12:26" x14ac:dyDescent="0.55000000000000004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102"/>
        <v>176099.59317803659</v>
      </c>
    </row>
    <row r="4610" spans="12:26" x14ac:dyDescent="0.55000000000000004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102"/>
        <v>176099.59317803659</v>
      </c>
    </row>
    <row r="4611" spans="12:26" x14ac:dyDescent="0.55000000000000004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102"/>
        <v>176099.59317803659</v>
      </c>
    </row>
    <row r="4612" spans="12:26" x14ac:dyDescent="0.55000000000000004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102"/>
        <v>176099.59317803659</v>
      </c>
    </row>
    <row r="4613" spans="12:26" x14ac:dyDescent="0.55000000000000004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102"/>
        <v>176099.59317803659</v>
      </c>
    </row>
    <row r="4614" spans="12:26" x14ac:dyDescent="0.55000000000000004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102"/>
        <v>176099.59317803659</v>
      </c>
    </row>
    <row r="4615" spans="12:26" x14ac:dyDescent="0.55000000000000004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103">Y4615/X4615</f>
        <v>176099.59317803659</v>
      </c>
    </row>
    <row r="4616" spans="12:26" x14ac:dyDescent="0.55000000000000004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103"/>
        <v>176099.59317803659</v>
      </c>
    </row>
    <row r="4617" spans="12:26" x14ac:dyDescent="0.55000000000000004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103"/>
        <v>176099.59317803659</v>
      </c>
    </row>
    <row r="4618" spans="12:26" x14ac:dyDescent="0.55000000000000004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103"/>
        <v>176099.59317803659</v>
      </c>
    </row>
    <row r="4619" spans="12:26" x14ac:dyDescent="0.55000000000000004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103"/>
        <v>176099.59317803659</v>
      </c>
    </row>
    <row r="4620" spans="12:26" x14ac:dyDescent="0.55000000000000004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103"/>
        <v>176099.59317803659</v>
      </c>
    </row>
    <row r="4621" spans="12:26" x14ac:dyDescent="0.55000000000000004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103"/>
        <v>176099.59317803659</v>
      </c>
    </row>
    <row r="4622" spans="12:26" x14ac:dyDescent="0.55000000000000004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103"/>
        <v>176099.59317803659</v>
      </c>
    </row>
    <row r="4623" spans="12:26" x14ac:dyDescent="0.55000000000000004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103"/>
        <v>176099.59317803659</v>
      </c>
    </row>
    <row r="4624" spans="12:26" x14ac:dyDescent="0.55000000000000004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103"/>
        <v>176099.59317803659</v>
      </c>
    </row>
    <row r="4625" spans="12:26" x14ac:dyDescent="0.55000000000000004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103"/>
        <v>176099.59317803659</v>
      </c>
    </row>
    <row r="4626" spans="12:26" x14ac:dyDescent="0.55000000000000004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103"/>
        <v>176099.59317803659</v>
      </c>
    </row>
    <row r="4627" spans="12:26" x14ac:dyDescent="0.55000000000000004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103"/>
        <v>176099.59317803659</v>
      </c>
    </row>
    <row r="4628" spans="12:26" x14ac:dyDescent="0.55000000000000004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103"/>
        <v>176099.59317803659</v>
      </c>
    </row>
    <row r="4629" spans="12:26" x14ac:dyDescent="0.55000000000000004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103"/>
        <v>176099.59317803659</v>
      </c>
    </row>
    <row r="4630" spans="12:26" x14ac:dyDescent="0.55000000000000004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103"/>
        <v>176099.59317803659</v>
      </c>
    </row>
    <row r="4631" spans="12:26" x14ac:dyDescent="0.55000000000000004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103"/>
        <v>176099.59317803659</v>
      </c>
    </row>
    <row r="4632" spans="12:26" x14ac:dyDescent="0.55000000000000004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103"/>
        <v>176099.59317803659</v>
      </c>
    </row>
    <row r="4633" spans="12:26" x14ac:dyDescent="0.55000000000000004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103"/>
        <v>176099.59317803659</v>
      </c>
    </row>
    <row r="4634" spans="12:26" x14ac:dyDescent="0.55000000000000004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103"/>
        <v>176099.59317803659</v>
      </c>
    </row>
    <row r="4635" spans="12:26" x14ac:dyDescent="0.55000000000000004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103"/>
        <v>176099.59317803659</v>
      </c>
    </row>
    <row r="4636" spans="12:26" x14ac:dyDescent="0.55000000000000004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103"/>
        <v>176099.59317803659</v>
      </c>
    </row>
    <row r="4637" spans="12:26" x14ac:dyDescent="0.55000000000000004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103"/>
        <v>176099.59317803659</v>
      </c>
    </row>
    <row r="4638" spans="12:26" x14ac:dyDescent="0.55000000000000004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103"/>
        <v>176099.59317803659</v>
      </c>
    </row>
    <row r="4639" spans="12:26" x14ac:dyDescent="0.55000000000000004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103"/>
        <v>176099.59317803659</v>
      </c>
    </row>
    <row r="4640" spans="12:26" x14ac:dyDescent="0.55000000000000004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103"/>
        <v>176099.59317803659</v>
      </c>
    </row>
    <row r="4641" spans="12:26" x14ac:dyDescent="0.55000000000000004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103"/>
        <v>176099.59317803659</v>
      </c>
    </row>
    <row r="4642" spans="12:26" x14ac:dyDescent="0.55000000000000004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103"/>
        <v>176099.59317803659</v>
      </c>
    </row>
    <row r="4643" spans="12:26" x14ac:dyDescent="0.55000000000000004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103"/>
        <v>176099.59317803659</v>
      </c>
    </row>
    <row r="4644" spans="12:26" x14ac:dyDescent="0.55000000000000004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103"/>
        <v>176099.59317803659</v>
      </c>
    </row>
    <row r="4645" spans="12:26" x14ac:dyDescent="0.55000000000000004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103"/>
        <v>176099.59317803659</v>
      </c>
    </row>
    <row r="4646" spans="12:26" x14ac:dyDescent="0.55000000000000004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103"/>
        <v>176099.59317803659</v>
      </c>
    </row>
    <row r="4647" spans="12:26" x14ac:dyDescent="0.55000000000000004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103"/>
        <v>176099.59317803659</v>
      </c>
    </row>
    <row r="4648" spans="12:26" x14ac:dyDescent="0.55000000000000004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103"/>
        <v>176099.59317803659</v>
      </c>
    </row>
    <row r="4649" spans="12:26" x14ac:dyDescent="0.55000000000000004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103"/>
        <v>176099.59317803659</v>
      </c>
    </row>
    <row r="4650" spans="12:26" x14ac:dyDescent="0.55000000000000004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103"/>
        <v>176099.59317803659</v>
      </c>
    </row>
    <row r="4651" spans="12:26" x14ac:dyDescent="0.55000000000000004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103"/>
        <v>176099.59317803659</v>
      </c>
    </row>
    <row r="4652" spans="12:26" x14ac:dyDescent="0.55000000000000004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103"/>
        <v>176099.59317803659</v>
      </c>
    </row>
    <row r="4653" spans="12:26" x14ac:dyDescent="0.55000000000000004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103"/>
        <v>176099.59317803659</v>
      </c>
    </row>
    <row r="4654" spans="12:26" x14ac:dyDescent="0.55000000000000004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103"/>
        <v>176099.59317803659</v>
      </c>
    </row>
    <row r="4655" spans="12:26" x14ac:dyDescent="0.55000000000000004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103"/>
        <v>176099.59317803659</v>
      </c>
    </row>
    <row r="4656" spans="12:26" x14ac:dyDescent="0.55000000000000004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103"/>
        <v>176099.59317803659</v>
      </c>
    </row>
    <row r="4657" spans="12:26" x14ac:dyDescent="0.55000000000000004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103"/>
        <v>176099.59317803659</v>
      </c>
    </row>
    <row r="4658" spans="12:26" x14ac:dyDescent="0.55000000000000004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103"/>
        <v>176099.59317803659</v>
      </c>
    </row>
    <row r="4659" spans="12:26" x14ac:dyDescent="0.55000000000000004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103"/>
        <v>176099.59317803659</v>
      </c>
    </row>
    <row r="4660" spans="12:26" x14ac:dyDescent="0.55000000000000004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103"/>
        <v>176099.59317803659</v>
      </c>
    </row>
    <row r="4661" spans="12:26" x14ac:dyDescent="0.55000000000000004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103"/>
        <v>176099.59317803659</v>
      </c>
    </row>
    <row r="4662" spans="12:26" x14ac:dyDescent="0.55000000000000004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103"/>
        <v>176099.59317803659</v>
      </c>
    </row>
    <row r="4663" spans="12:26" x14ac:dyDescent="0.55000000000000004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103"/>
        <v>176099.59317803659</v>
      </c>
    </row>
    <row r="4664" spans="12:26" x14ac:dyDescent="0.55000000000000004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103"/>
        <v>176099.59317803659</v>
      </c>
    </row>
    <row r="4665" spans="12:26" x14ac:dyDescent="0.55000000000000004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103"/>
        <v>176099.59317803659</v>
      </c>
    </row>
    <row r="4666" spans="12:26" x14ac:dyDescent="0.55000000000000004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103"/>
        <v>176099.59317803659</v>
      </c>
    </row>
    <row r="4667" spans="12:26" x14ac:dyDescent="0.55000000000000004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103"/>
        <v>176099.59317803659</v>
      </c>
    </row>
    <row r="4668" spans="12:26" x14ac:dyDescent="0.55000000000000004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103"/>
        <v>176099.59317803659</v>
      </c>
    </row>
    <row r="4669" spans="12:26" x14ac:dyDescent="0.55000000000000004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103"/>
        <v>176099.59317803659</v>
      </c>
    </row>
    <row r="4670" spans="12:26" x14ac:dyDescent="0.55000000000000004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103"/>
        <v>176099.59317803659</v>
      </c>
    </row>
    <row r="4671" spans="12:26" x14ac:dyDescent="0.55000000000000004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103"/>
        <v>176099.59317803659</v>
      </c>
    </row>
    <row r="4672" spans="12:26" x14ac:dyDescent="0.55000000000000004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103"/>
        <v>176099.59317803659</v>
      </c>
    </row>
    <row r="4673" spans="12:26" x14ac:dyDescent="0.55000000000000004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103"/>
        <v>176099.59317803659</v>
      </c>
    </row>
    <row r="4674" spans="12:26" x14ac:dyDescent="0.55000000000000004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103"/>
        <v>176099.59317803659</v>
      </c>
    </row>
    <row r="4675" spans="12:26" x14ac:dyDescent="0.55000000000000004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103"/>
        <v>176099.59317803659</v>
      </c>
    </row>
    <row r="4676" spans="12:26" x14ac:dyDescent="0.55000000000000004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103"/>
        <v>176099.59317803659</v>
      </c>
    </row>
    <row r="4677" spans="12:26" x14ac:dyDescent="0.55000000000000004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103"/>
        <v>176099.59317803659</v>
      </c>
    </row>
    <row r="4678" spans="12:26" x14ac:dyDescent="0.55000000000000004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103"/>
        <v>176099.59317803659</v>
      </c>
    </row>
    <row r="4679" spans="12:26" x14ac:dyDescent="0.55000000000000004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104">Y4679/X4679</f>
        <v>176099.59317803659</v>
      </c>
    </row>
    <row r="4680" spans="12:26" x14ac:dyDescent="0.55000000000000004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104"/>
        <v>176099.59317803659</v>
      </c>
    </row>
    <row r="4681" spans="12:26" x14ac:dyDescent="0.55000000000000004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104"/>
        <v>176099.59317803659</v>
      </c>
    </row>
    <row r="4682" spans="12:26" x14ac:dyDescent="0.55000000000000004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104"/>
        <v>176099.59317803659</v>
      </c>
    </row>
    <row r="4683" spans="12:26" x14ac:dyDescent="0.55000000000000004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104"/>
        <v>176099.59317803659</v>
      </c>
    </row>
    <row r="4684" spans="12:26" x14ac:dyDescent="0.55000000000000004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104"/>
        <v>176099.59317803659</v>
      </c>
    </row>
    <row r="4685" spans="12:26" x14ac:dyDescent="0.55000000000000004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104"/>
        <v>176099.59317803659</v>
      </c>
    </row>
    <row r="4686" spans="12:26" x14ac:dyDescent="0.55000000000000004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104"/>
        <v>176099.59317803659</v>
      </c>
    </row>
    <row r="4687" spans="12:26" x14ac:dyDescent="0.55000000000000004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104"/>
        <v>176099.59317803659</v>
      </c>
    </row>
    <row r="4688" spans="12:26" x14ac:dyDescent="0.55000000000000004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104"/>
        <v>176099.59317803659</v>
      </c>
    </row>
    <row r="4689" spans="12:26" x14ac:dyDescent="0.55000000000000004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104"/>
        <v>176099.59317803659</v>
      </c>
    </row>
    <row r="4690" spans="12:26" x14ac:dyDescent="0.55000000000000004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104"/>
        <v>176099.59317803659</v>
      </c>
    </row>
    <row r="4691" spans="12:26" x14ac:dyDescent="0.55000000000000004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104"/>
        <v>176099.59317803659</v>
      </c>
    </row>
    <row r="4692" spans="12:26" x14ac:dyDescent="0.55000000000000004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104"/>
        <v>176099.59317803659</v>
      </c>
    </row>
    <row r="4693" spans="12:26" x14ac:dyDescent="0.55000000000000004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104"/>
        <v>176099.59317803659</v>
      </c>
    </row>
    <row r="4694" spans="12:26" x14ac:dyDescent="0.55000000000000004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104"/>
        <v>176099.59317803659</v>
      </c>
    </row>
    <row r="4695" spans="12:26" x14ac:dyDescent="0.55000000000000004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104"/>
        <v>176099.59317803659</v>
      </c>
    </row>
    <row r="4696" spans="12:26" x14ac:dyDescent="0.55000000000000004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104"/>
        <v>176099.59317803659</v>
      </c>
    </row>
    <row r="4697" spans="12:26" x14ac:dyDescent="0.55000000000000004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104"/>
        <v>176099.59317803659</v>
      </c>
    </row>
    <row r="4698" spans="12:26" x14ac:dyDescent="0.55000000000000004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104"/>
        <v>176099.59317803659</v>
      </c>
    </row>
    <row r="4699" spans="12:26" x14ac:dyDescent="0.55000000000000004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104"/>
        <v>176099.59317803659</v>
      </c>
    </row>
    <row r="4700" spans="12:26" x14ac:dyDescent="0.55000000000000004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104"/>
        <v>176099.59317803659</v>
      </c>
    </row>
    <row r="4701" spans="12:26" x14ac:dyDescent="0.55000000000000004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104"/>
        <v>176099.59317803659</v>
      </c>
    </row>
    <row r="4702" spans="12:26" x14ac:dyDescent="0.55000000000000004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104"/>
        <v>176099.59317803659</v>
      </c>
    </row>
    <row r="4703" spans="12:26" x14ac:dyDescent="0.55000000000000004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104"/>
        <v>176099.59317803659</v>
      </c>
    </row>
    <row r="4704" spans="12:26" x14ac:dyDescent="0.55000000000000004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104"/>
        <v>176099.59317803659</v>
      </c>
    </row>
    <row r="4705" spans="12:26" x14ac:dyDescent="0.55000000000000004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104"/>
        <v>176099.59317803659</v>
      </c>
    </row>
    <row r="4706" spans="12:26" x14ac:dyDescent="0.55000000000000004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104"/>
        <v>176099.59317803659</v>
      </c>
    </row>
    <row r="4707" spans="12:26" x14ac:dyDescent="0.55000000000000004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104"/>
        <v>176099.59317803659</v>
      </c>
    </row>
    <row r="4708" spans="12:26" x14ac:dyDescent="0.55000000000000004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104"/>
        <v>176099.59317803659</v>
      </c>
    </row>
    <row r="4709" spans="12:26" x14ac:dyDescent="0.55000000000000004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104"/>
        <v>176099.59317803659</v>
      </c>
    </row>
    <row r="4710" spans="12:26" x14ac:dyDescent="0.55000000000000004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104"/>
        <v>176099.59317803659</v>
      </c>
    </row>
    <row r="4711" spans="12:26" x14ac:dyDescent="0.55000000000000004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104"/>
        <v>176099.59317803659</v>
      </c>
    </row>
    <row r="4712" spans="12:26" x14ac:dyDescent="0.55000000000000004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104"/>
        <v>176099.59317803659</v>
      </c>
    </row>
    <row r="4713" spans="12:26" x14ac:dyDescent="0.55000000000000004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104"/>
        <v>176099.59317803659</v>
      </c>
    </row>
    <row r="4714" spans="12:26" x14ac:dyDescent="0.55000000000000004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104"/>
        <v>176099.59317803659</v>
      </c>
    </row>
    <row r="4715" spans="12:26" x14ac:dyDescent="0.55000000000000004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104"/>
        <v>176099.59317803659</v>
      </c>
    </row>
    <row r="4716" spans="12:26" x14ac:dyDescent="0.55000000000000004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104"/>
        <v>176099.59317803659</v>
      </c>
    </row>
    <row r="4717" spans="12:26" x14ac:dyDescent="0.55000000000000004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104"/>
        <v>176099.59317803659</v>
      </c>
    </row>
    <row r="4718" spans="12:26" x14ac:dyDescent="0.55000000000000004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104"/>
        <v>176099.59317803659</v>
      </c>
    </row>
    <row r="4719" spans="12:26" x14ac:dyDescent="0.55000000000000004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104"/>
        <v>176099.59317803659</v>
      </c>
    </row>
    <row r="4720" spans="12:26" x14ac:dyDescent="0.55000000000000004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104"/>
        <v>176099.59317803659</v>
      </c>
    </row>
    <row r="4721" spans="12:26" x14ac:dyDescent="0.55000000000000004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104"/>
        <v>176099.59317803659</v>
      </c>
    </row>
    <row r="4722" spans="12:26" x14ac:dyDescent="0.55000000000000004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104"/>
        <v>176099.59317803659</v>
      </c>
    </row>
    <row r="4723" spans="12:26" x14ac:dyDescent="0.55000000000000004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104"/>
        <v>176099.59317803659</v>
      </c>
    </row>
    <row r="4724" spans="12:26" x14ac:dyDescent="0.55000000000000004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104"/>
        <v>176099.59317803659</v>
      </c>
    </row>
    <row r="4725" spans="12:26" x14ac:dyDescent="0.55000000000000004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104"/>
        <v>176099.59317803659</v>
      </c>
    </row>
    <row r="4726" spans="12:26" x14ac:dyDescent="0.55000000000000004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104"/>
        <v>176099.59317803659</v>
      </c>
    </row>
    <row r="4727" spans="12:26" x14ac:dyDescent="0.55000000000000004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104"/>
        <v>176099.59317803659</v>
      </c>
    </row>
    <row r="4728" spans="12:26" x14ac:dyDescent="0.55000000000000004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104"/>
        <v>176099.59317803659</v>
      </c>
    </row>
    <row r="4729" spans="12:26" x14ac:dyDescent="0.55000000000000004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104"/>
        <v>176099.59317803659</v>
      </c>
    </row>
    <row r="4730" spans="12:26" x14ac:dyDescent="0.55000000000000004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104"/>
        <v>176099.59317803659</v>
      </c>
    </row>
    <row r="4731" spans="12:26" x14ac:dyDescent="0.55000000000000004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104"/>
        <v>176099.59317803659</v>
      </c>
    </row>
    <row r="4732" spans="12:26" x14ac:dyDescent="0.55000000000000004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104"/>
        <v>176099.59317803659</v>
      </c>
    </row>
    <row r="4733" spans="12:26" x14ac:dyDescent="0.55000000000000004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104"/>
        <v>176099.59317803659</v>
      </c>
    </row>
    <row r="4734" spans="12:26" x14ac:dyDescent="0.55000000000000004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104"/>
        <v>176099.59317803659</v>
      </c>
    </row>
    <row r="4735" spans="12:26" x14ac:dyDescent="0.55000000000000004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104"/>
        <v>176099.59317803659</v>
      </c>
    </row>
    <row r="4736" spans="12:26" x14ac:dyDescent="0.55000000000000004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104"/>
        <v>176099.59317803659</v>
      </c>
    </row>
    <row r="4737" spans="12:26" x14ac:dyDescent="0.55000000000000004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104"/>
        <v>176099.59317803659</v>
      </c>
    </row>
    <row r="4738" spans="12:26" x14ac:dyDescent="0.55000000000000004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104"/>
        <v>176099.59317803659</v>
      </c>
    </row>
    <row r="4739" spans="12:26" x14ac:dyDescent="0.55000000000000004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104"/>
        <v>176099.59317803659</v>
      </c>
    </row>
    <row r="4740" spans="12:26" x14ac:dyDescent="0.55000000000000004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104"/>
        <v>176099.59317803659</v>
      </c>
    </row>
    <row r="4741" spans="12:26" x14ac:dyDescent="0.55000000000000004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104"/>
        <v>176099.59317803659</v>
      </c>
    </row>
    <row r="4742" spans="12:26" x14ac:dyDescent="0.55000000000000004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104"/>
        <v>176099.59317803659</v>
      </c>
    </row>
    <row r="4743" spans="12:26" x14ac:dyDescent="0.55000000000000004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5">Y4743/X4743</f>
        <v>176099.59317803659</v>
      </c>
    </row>
    <row r="4744" spans="12:26" x14ac:dyDescent="0.55000000000000004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5"/>
        <v>176099.59317803659</v>
      </c>
    </row>
    <row r="4745" spans="12:26" x14ac:dyDescent="0.55000000000000004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5"/>
        <v>176099.59317803659</v>
      </c>
    </row>
    <row r="4746" spans="12:26" x14ac:dyDescent="0.55000000000000004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5"/>
        <v>176099.59317803659</v>
      </c>
    </row>
    <row r="4747" spans="12:26" x14ac:dyDescent="0.55000000000000004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5"/>
        <v>176099.59317803659</v>
      </c>
    </row>
    <row r="4748" spans="12:26" x14ac:dyDescent="0.55000000000000004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5"/>
        <v>176099.59317803659</v>
      </c>
    </row>
    <row r="4749" spans="12:26" x14ac:dyDescent="0.55000000000000004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5"/>
        <v>176099.59317803659</v>
      </c>
    </row>
    <row r="4750" spans="12:26" x14ac:dyDescent="0.55000000000000004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5"/>
        <v>176099.59317803659</v>
      </c>
    </row>
    <row r="4751" spans="12:26" x14ac:dyDescent="0.55000000000000004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5"/>
        <v>176099.59317803659</v>
      </c>
    </row>
    <row r="4752" spans="12:26" x14ac:dyDescent="0.55000000000000004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5"/>
        <v>176099.59317803659</v>
      </c>
    </row>
    <row r="4753" spans="12:26" x14ac:dyDescent="0.55000000000000004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5"/>
        <v>176099.59317803659</v>
      </c>
    </row>
    <row r="4754" spans="12:26" x14ac:dyDescent="0.55000000000000004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5"/>
        <v>176099.59317803659</v>
      </c>
    </row>
    <row r="4755" spans="12:26" x14ac:dyDescent="0.55000000000000004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5"/>
        <v>176099.59317803659</v>
      </c>
    </row>
    <row r="4756" spans="12:26" x14ac:dyDescent="0.55000000000000004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5"/>
        <v>176099.59317803659</v>
      </c>
    </row>
    <row r="4757" spans="12:26" x14ac:dyDescent="0.55000000000000004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5"/>
        <v>176099.59317803659</v>
      </c>
    </row>
    <row r="4758" spans="12:26" x14ac:dyDescent="0.55000000000000004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5"/>
        <v>176099.59317803659</v>
      </c>
    </row>
    <row r="4759" spans="12:26" x14ac:dyDescent="0.55000000000000004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5"/>
        <v>176099.59317803659</v>
      </c>
    </row>
    <row r="4760" spans="12:26" x14ac:dyDescent="0.55000000000000004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5"/>
        <v>176099.59317803659</v>
      </c>
    </row>
    <row r="4761" spans="12:26" x14ac:dyDescent="0.55000000000000004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5"/>
        <v>176099.59317803659</v>
      </c>
    </row>
    <row r="4762" spans="12:26" x14ac:dyDescent="0.55000000000000004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5"/>
        <v>176099.59317803659</v>
      </c>
    </row>
    <row r="4763" spans="12:26" x14ac:dyDescent="0.55000000000000004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5"/>
        <v>176099.59317803659</v>
      </c>
    </row>
    <row r="4764" spans="12:26" x14ac:dyDescent="0.55000000000000004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5"/>
        <v>176099.59317803659</v>
      </c>
    </row>
    <row r="4765" spans="12:26" x14ac:dyDescent="0.55000000000000004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5"/>
        <v>176099.59317803659</v>
      </c>
    </row>
    <row r="4766" spans="12:26" x14ac:dyDescent="0.55000000000000004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5"/>
        <v>176099.59317803659</v>
      </c>
    </row>
    <row r="4767" spans="12:26" x14ac:dyDescent="0.55000000000000004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5"/>
        <v>176099.59317803659</v>
      </c>
    </row>
    <row r="4768" spans="12:26" x14ac:dyDescent="0.55000000000000004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5"/>
        <v>176099.59317803659</v>
      </c>
    </row>
    <row r="4769" spans="12:26" x14ac:dyDescent="0.55000000000000004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5"/>
        <v>176099.59317803659</v>
      </c>
    </row>
    <row r="4770" spans="12:26" x14ac:dyDescent="0.55000000000000004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5"/>
        <v>176099.59317803659</v>
      </c>
    </row>
    <row r="4771" spans="12:26" x14ac:dyDescent="0.55000000000000004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5"/>
        <v>176099.59317803659</v>
      </c>
    </row>
    <row r="4772" spans="12:26" x14ac:dyDescent="0.55000000000000004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5"/>
        <v>176099.59317803659</v>
      </c>
    </row>
    <row r="4773" spans="12:26" x14ac:dyDescent="0.55000000000000004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5"/>
        <v>176099.59317803659</v>
      </c>
    </row>
    <row r="4774" spans="12:26" x14ac:dyDescent="0.55000000000000004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5"/>
        <v>176099.59317803659</v>
      </c>
    </row>
    <row r="4775" spans="12:26" x14ac:dyDescent="0.55000000000000004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5"/>
        <v>176099.59317803659</v>
      </c>
    </row>
    <row r="4776" spans="12:26" x14ac:dyDescent="0.55000000000000004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5"/>
        <v>176099.59317803659</v>
      </c>
    </row>
    <row r="4777" spans="12:26" x14ac:dyDescent="0.55000000000000004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5"/>
        <v>176099.59317803659</v>
      </c>
    </row>
    <row r="4778" spans="12:26" x14ac:dyDescent="0.55000000000000004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5"/>
        <v>176099.59317803659</v>
      </c>
    </row>
    <row r="4779" spans="12:26" x14ac:dyDescent="0.55000000000000004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5"/>
        <v>176099.59317803659</v>
      </c>
    </row>
    <row r="4780" spans="12:26" x14ac:dyDescent="0.55000000000000004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5"/>
        <v>176099.59317803659</v>
      </c>
    </row>
    <row r="4781" spans="12:26" x14ac:dyDescent="0.55000000000000004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5"/>
        <v>176099.59317803659</v>
      </c>
    </row>
    <row r="4782" spans="12:26" x14ac:dyDescent="0.55000000000000004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5"/>
        <v>176099.59317803659</v>
      </c>
    </row>
    <row r="4783" spans="12:26" x14ac:dyDescent="0.55000000000000004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5"/>
        <v>176099.59317803659</v>
      </c>
    </row>
    <row r="4784" spans="12:26" x14ac:dyDescent="0.55000000000000004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5"/>
        <v>176099.59317803659</v>
      </c>
    </row>
    <row r="4785" spans="12:26" x14ac:dyDescent="0.55000000000000004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5"/>
        <v>176099.59317803659</v>
      </c>
    </row>
    <row r="4786" spans="12:26" x14ac:dyDescent="0.55000000000000004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5"/>
        <v>176099.59317803659</v>
      </c>
    </row>
    <row r="4787" spans="12:26" x14ac:dyDescent="0.55000000000000004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5"/>
        <v>176099.59317803659</v>
      </c>
    </row>
    <row r="4788" spans="12:26" x14ac:dyDescent="0.55000000000000004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5"/>
        <v>176099.59317803659</v>
      </c>
    </row>
    <row r="4789" spans="12:26" x14ac:dyDescent="0.55000000000000004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5"/>
        <v>176099.59317803659</v>
      </c>
    </row>
    <row r="4790" spans="12:26" x14ac:dyDescent="0.55000000000000004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5"/>
        <v>176099.59317803659</v>
      </c>
    </row>
    <row r="4791" spans="12:26" x14ac:dyDescent="0.55000000000000004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5"/>
        <v>176099.59317803659</v>
      </c>
    </row>
    <row r="4792" spans="12:26" x14ac:dyDescent="0.55000000000000004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5"/>
        <v>176099.59317803659</v>
      </c>
    </row>
    <row r="4793" spans="12:26" x14ac:dyDescent="0.55000000000000004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5"/>
        <v>176099.59317803659</v>
      </c>
    </row>
    <row r="4794" spans="12:26" x14ac:dyDescent="0.55000000000000004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5"/>
        <v>176099.59317803659</v>
      </c>
    </row>
    <row r="4795" spans="12:26" x14ac:dyDescent="0.55000000000000004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5"/>
        <v>176099.59317803659</v>
      </c>
    </row>
    <row r="4796" spans="12:26" x14ac:dyDescent="0.55000000000000004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5"/>
        <v>176099.59317803659</v>
      </c>
    </row>
    <row r="4797" spans="12:26" x14ac:dyDescent="0.55000000000000004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5"/>
        <v>176099.59317803659</v>
      </c>
    </row>
    <row r="4798" spans="12:26" x14ac:dyDescent="0.55000000000000004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5"/>
        <v>176099.59317803659</v>
      </c>
    </row>
    <row r="4799" spans="12:26" x14ac:dyDescent="0.55000000000000004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5"/>
        <v>176099.59317803659</v>
      </c>
    </row>
    <row r="4800" spans="12:26" x14ac:dyDescent="0.55000000000000004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5"/>
        <v>176099.59317803659</v>
      </c>
    </row>
    <row r="4801" spans="12:26" x14ac:dyDescent="0.55000000000000004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5"/>
        <v>176099.59317803659</v>
      </c>
    </row>
    <row r="4802" spans="12:26" x14ac:dyDescent="0.55000000000000004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5"/>
        <v>176099.59317803659</v>
      </c>
    </row>
    <row r="4803" spans="12:26" x14ac:dyDescent="0.55000000000000004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5"/>
        <v>176099.59317803659</v>
      </c>
    </row>
    <row r="4804" spans="12:26" x14ac:dyDescent="0.55000000000000004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5"/>
        <v>176099.59317803659</v>
      </c>
    </row>
    <row r="4805" spans="12:26" x14ac:dyDescent="0.55000000000000004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5"/>
        <v>176099.59317803659</v>
      </c>
    </row>
    <row r="4806" spans="12:26" x14ac:dyDescent="0.55000000000000004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5"/>
        <v>176099.59317803659</v>
      </c>
    </row>
    <row r="4807" spans="12:26" x14ac:dyDescent="0.55000000000000004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6">Y4807/X4807</f>
        <v>176099.59317803659</v>
      </c>
    </row>
    <row r="4808" spans="12:26" x14ac:dyDescent="0.55000000000000004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6"/>
        <v>176099.59317803659</v>
      </c>
    </row>
    <row r="4809" spans="12:26" x14ac:dyDescent="0.55000000000000004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6"/>
        <v>176099.59317803659</v>
      </c>
    </row>
    <row r="4810" spans="12:26" x14ac:dyDescent="0.55000000000000004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6"/>
        <v>176099.59317803659</v>
      </c>
    </row>
    <row r="4811" spans="12:26" x14ac:dyDescent="0.55000000000000004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6"/>
        <v>176099.59317803659</v>
      </c>
    </row>
    <row r="4812" spans="12:26" x14ac:dyDescent="0.55000000000000004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6"/>
        <v>176099.59317803659</v>
      </c>
    </row>
    <row r="4813" spans="12:26" x14ac:dyDescent="0.55000000000000004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6"/>
        <v>176099.59317803659</v>
      </c>
    </row>
    <row r="4814" spans="12:26" x14ac:dyDescent="0.55000000000000004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6"/>
        <v>176099.59317803659</v>
      </c>
    </row>
    <row r="4815" spans="12:26" x14ac:dyDescent="0.55000000000000004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6"/>
        <v>176099.59317803659</v>
      </c>
    </row>
    <row r="4816" spans="12:26" x14ac:dyDescent="0.55000000000000004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6"/>
        <v>176099.59317803659</v>
      </c>
    </row>
    <row r="4817" spans="12:26" x14ac:dyDescent="0.55000000000000004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6"/>
        <v>176099.59317803659</v>
      </c>
    </row>
    <row r="4818" spans="12:26" x14ac:dyDescent="0.55000000000000004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6"/>
        <v>176099.59317803659</v>
      </c>
    </row>
    <row r="4819" spans="12:26" x14ac:dyDescent="0.55000000000000004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6"/>
        <v>176099.59317803659</v>
      </c>
    </row>
    <row r="4820" spans="12:26" x14ac:dyDescent="0.55000000000000004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6"/>
        <v>176099.59317803659</v>
      </c>
    </row>
    <row r="4821" spans="12:26" x14ac:dyDescent="0.55000000000000004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6"/>
        <v>176099.59317803659</v>
      </c>
    </row>
    <row r="4822" spans="12:26" x14ac:dyDescent="0.55000000000000004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6"/>
        <v>176099.59317803659</v>
      </c>
    </row>
    <row r="4823" spans="12:26" x14ac:dyDescent="0.55000000000000004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6"/>
        <v>176099.59317803659</v>
      </c>
    </row>
    <row r="4824" spans="12:26" x14ac:dyDescent="0.55000000000000004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6"/>
        <v>176099.59317803659</v>
      </c>
    </row>
    <row r="4825" spans="12:26" x14ac:dyDescent="0.55000000000000004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6"/>
        <v>176099.59317803659</v>
      </c>
    </row>
    <row r="4826" spans="12:26" x14ac:dyDescent="0.55000000000000004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6"/>
        <v>176099.59317803659</v>
      </c>
    </row>
    <row r="4827" spans="12:26" x14ac:dyDescent="0.55000000000000004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6"/>
        <v>176099.59317803659</v>
      </c>
    </row>
    <row r="4828" spans="12:26" x14ac:dyDescent="0.55000000000000004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6"/>
        <v>176099.59317803659</v>
      </c>
    </row>
    <row r="4829" spans="12:26" x14ac:dyDescent="0.55000000000000004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6"/>
        <v>176099.59317803659</v>
      </c>
    </row>
    <row r="4830" spans="12:26" x14ac:dyDescent="0.55000000000000004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6"/>
        <v>176099.59317803659</v>
      </c>
    </row>
    <row r="4831" spans="12:26" x14ac:dyDescent="0.55000000000000004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6"/>
        <v>176099.59317803659</v>
      </c>
    </row>
    <row r="4832" spans="12:26" x14ac:dyDescent="0.55000000000000004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6"/>
        <v>176099.59317803659</v>
      </c>
    </row>
    <row r="4833" spans="12:26" x14ac:dyDescent="0.55000000000000004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6"/>
        <v>176099.59317803659</v>
      </c>
    </row>
    <row r="4834" spans="12:26" x14ac:dyDescent="0.55000000000000004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6"/>
        <v>176099.59317803659</v>
      </c>
    </row>
    <row r="4835" spans="12:26" x14ac:dyDescent="0.55000000000000004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6"/>
        <v>176099.59317803659</v>
      </c>
    </row>
    <row r="4836" spans="12:26" x14ac:dyDescent="0.55000000000000004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6"/>
        <v>176099.59317803659</v>
      </c>
    </row>
    <row r="4837" spans="12:26" x14ac:dyDescent="0.55000000000000004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6"/>
        <v>176099.59317803659</v>
      </c>
    </row>
    <row r="4838" spans="12:26" x14ac:dyDescent="0.55000000000000004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6"/>
        <v>176099.59317803659</v>
      </c>
    </row>
    <row r="4839" spans="12:26" x14ac:dyDescent="0.55000000000000004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6"/>
        <v>176099.59317803659</v>
      </c>
    </row>
    <row r="4840" spans="12:26" x14ac:dyDescent="0.55000000000000004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6"/>
        <v>176099.59317803659</v>
      </c>
    </row>
    <row r="4841" spans="12:26" x14ac:dyDescent="0.55000000000000004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6"/>
        <v>176099.59317803659</v>
      </c>
    </row>
    <row r="4842" spans="12:26" x14ac:dyDescent="0.55000000000000004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6"/>
        <v>176099.59317803659</v>
      </c>
    </row>
    <row r="4843" spans="12:26" x14ac:dyDescent="0.55000000000000004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6"/>
        <v>176099.59317803659</v>
      </c>
    </row>
    <row r="4844" spans="12:26" x14ac:dyDescent="0.55000000000000004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6"/>
        <v>176099.59317803659</v>
      </c>
    </row>
    <row r="4845" spans="12:26" x14ac:dyDescent="0.55000000000000004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6"/>
        <v>176099.59317803659</v>
      </c>
    </row>
    <row r="4846" spans="12:26" x14ac:dyDescent="0.55000000000000004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6"/>
        <v>176099.59317803659</v>
      </c>
    </row>
    <row r="4847" spans="12:26" x14ac:dyDescent="0.55000000000000004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6"/>
        <v>176099.59317803659</v>
      </c>
    </row>
    <row r="4848" spans="12:26" x14ac:dyDescent="0.55000000000000004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6"/>
        <v>176099.59317803659</v>
      </c>
    </row>
    <row r="4849" spans="12:26" x14ac:dyDescent="0.55000000000000004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6"/>
        <v>176099.59317803659</v>
      </c>
    </row>
    <row r="4850" spans="12:26" x14ac:dyDescent="0.55000000000000004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6"/>
        <v>176099.59317803659</v>
      </c>
    </row>
    <row r="4851" spans="12:26" x14ac:dyDescent="0.55000000000000004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6"/>
        <v>176099.59317803659</v>
      </c>
    </row>
    <row r="4852" spans="12:26" x14ac:dyDescent="0.55000000000000004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6"/>
        <v>176099.59317803659</v>
      </c>
    </row>
    <row r="4853" spans="12:26" x14ac:dyDescent="0.55000000000000004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6"/>
        <v>176099.59317803659</v>
      </c>
    </row>
    <row r="4854" spans="12:26" x14ac:dyDescent="0.55000000000000004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6"/>
        <v>176099.59317803659</v>
      </c>
    </row>
    <row r="4855" spans="12:26" x14ac:dyDescent="0.55000000000000004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6"/>
        <v>176099.59317803659</v>
      </c>
    </row>
    <row r="4856" spans="12:26" x14ac:dyDescent="0.55000000000000004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6"/>
        <v>176099.59317803659</v>
      </c>
    </row>
    <row r="4857" spans="12:26" x14ac:dyDescent="0.55000000000000004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6"/>
        <v>176099.59317803659</v>
      </c>
    </row>
    <row r="4858" spans="12:26" x14ac:dyDescent="0.55000000000000004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6"/>
        <v>176099.59317803659</v>
      </c>
    </row>
    <row r="4859" spans="12:26" x14ac:dyDescent="0.55000000000000004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6"/>
        <v>176099.59317803659</v>
      </c>
    </row>
    <row r="4860" spans="12:26" x14ac:dyDescent="0.55000000000000004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6"/>
        <v>176099.59317803659</v>
      </c>
    </row>
    <row r="4861" spans="12:26" x14ac:dyDescent="0.55000000000000004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6"/>
        <v>176099.59317803659</v>
      </c>
    </row>
    <row r="4862" spans="12:26" x14ac:dyDescent="0.55000000000000004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6"/>
        <v>176099.59317803659</v>
      </c>
    </row>
    <row r="4863" spans="12:26" x14ac:dyDescent="0.55000000000000004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6"/>
        <v>176099.59317803659</v>
      </c>
    </row>
    <row r="4864" spans="12:26" x14ac:dyDescent="0.55000000000000004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6"/>
        <v>176099.59317803659</v>
      </c>
    </row>
    <row r="4865" spans="12:26" x14ac:dyDescent="0.55000000000000004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6"/>
        <v>176099.59317803659</v>
      </c>
    </row>
    <row r="4866" spans="12:26" x14ac:dyDescent="0.55000000000000004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6"/>
        <v>176099.59317803659</v>
      </c>
    </row>
    <row r="4867" spans="12:26" x14ac:dyDescent="0.55000000000000004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6"/>
        <v>176099.59317803659</v>
      </c>
    </row>
    <row r="4868" spans="12:26" x14ac:dyDescent="0.55000000000000004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6"/>
        <v>176099.59317803659</v>
      </c>
    </row>
    <row r="4869" spans="12:26" x14ac:dyDescent="0.55000000000000004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6"/>
        <v>176099.59317803659</v>
      </c>
    </row>
    <row r="4870" spans="12:26" x14ac:dyDescent="0.55000000000000004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6"/>
        <v>176099.59317803659</v>
      </c>
    </row>
    <row r="4871" spans="12:26" x14ac:dyDescent="0.55000000000000004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7">Y4871/X4871</f>
        <v>176099.59317803659</v>
      </c>
    </row>
    <row r="4872" spans="12:26" x14ac:dyDescent="0.55000000000000004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7"/>
        <v>176099.59317803659</v>
      </c>
    </row>
    <row r="4873" spans="12:26" x14ac:dyDescent="0.55000000000000004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7"/>
        <v>176099.59317803659</v>
      </c>
    </row>
    <row r="4874" spans="12:26" x14ac:dyDescent="0.55000000000000004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7"/>
        <v>176099.59317803659</v>
      </c>
    </row>
    <row r="4875" spans="12:26" x14ac:dyDescent="0.55000000000000004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7"/>
        <v>176099.59317803659</v>
      </c>
    </row>
    <row r="4876" spans="12:26" x14ac:dyDescent="0.55000000000000004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7"/>
        <v>176099.59317803659</v>
      </c>
    </row>
    <row r="4877" spans="12:26" x14ac:dyDescent="0.55000000000000004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7"/>
        <v>176099.59317803659</v>
      </c>
    </row>
    <row r="4878" spans="12:26" x14ac:dyDescent="0.55000000000000004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7"/>
        <v>176099.59317803659</v>
      </c>
    </row>
    <row r="4879" spans="12:26" x14ac:dyDescent="0.55000000000000004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7"/>
        <v>176099.59317803659</v>
      </c>
    </row>
    <row r="4880" spans="12:26" x14ac:dyDescent="0.55000000000000004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7"/>
        <v>176099.59317803659</v>
      </c>
    </row>
    <row r="4881" spans="12:26" x14ac:dyDescent="0.55000000000000004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7"/>
        <v>176099.59317803659</v>
      </c>
    </row>
    <row r="4882" spans="12:26" x14ac:dyDescent="0.55000000000000004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7"/>
        <v>176099.59317803659</v>
      </c>
    </row>
    <row r="4883" spans="12:26" x14ac:dyDescent="0.55000000000000004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7"/>
        <v>176099.59317803659</v>
      </c>
    </row>
    <row r="4884" spans="12:26" x14ac:dyDescent="0.55000000000000004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7"/>
        <v>176099.59317803659</v>
      </c>
    </row>
    <row r="4885" spans="12:26" x14ac:dyDescent="0.55000000000000004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7"/>
        <v>176099.59317803659</v>
      </c>
    </row>
    <row r="4886" spans="12:26" x14ac:dyDescent="0.55000000000000004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7"/>
        <v>176099.59317803659</v>
      </c>
    </row>
    <row r="4887" spans="12:26" x14ac:dyDescent="0.55000000000000004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7"/>
        <v>176099.59317803659</v>
      </c>
    </row>
    <row r="4888" spans="12:26" x14ac:dyDescent="0.55000000000000004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7"/>
        <v>176099.59317803659</v>
      </c>
    </row>
    <row r="4889" spans="12:26" x14ac:dyDescent="0.55000000000000004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7"/>
        <v>176099.59317803659</v>
      </c>
    </row>
    <row r="4890" spans="12:26" x14ac:dyDescent="0.55000000000000004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7"/>
        <v>176099.59317803659</v>
      </c>
    </row>
    <row r="4891" spans="12:26" x14ac:dyDescent="0.55000000000000004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7"/>
        <v>176099.59317803659</v>
      </c>
    </row>
    <row r="4892" spans="12:26" x14ac:dyDescent="0.55000000000000004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7"/>
        <v>176099.59317803659</v>
      </c>
    </row>
    <row r="4893" spans="12:26" x14ac:dyDescent="0.55000000000000004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7"/>
        <v>176099.59317803659</v>
      </c>
    </row>
    <row r="4894" spans="12:26" x14ac:dyDescent="0.55000000000000004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7"/>
        <v>176099.59317803659</v>
      </c>
    </row>
    <row r="4895" spans="12:26" x14ac:dyDescent="0.55000000000000004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7"/>
        <v>176099.59317803659</v>
      </c>
    </row>
    <row r="4896" spans="12:26" x14ac:dyDescent="0.55000000000000004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7"/>
        <v>176099.59317803659</v>
      </c>
    </row>
    <row r="4897" spans="12:26" x14ac:dyDescent="0.55000000000000004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7"/>
        <v>176099.59317803659</v>
      </c>
    </row>
    <row r="4898" spans="12:26" x14ac:dyDescent="0.55000000000000004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7"/>
        <v>176099.59317803659</v>
      </c>
    </row>
    <row r="4899" spans="12:26" x14ac:dyDescent="0.55000000000000004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7"/>
        <v>176099.59317803659</v>
      </c>
    </row>
    <row r="4900" spans="12:26" x14ac:dyDescent="0.55000000000000004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7"/>
        <v>176099.59317803659</v>
      </c>
    </row>
    <row r="4901" spans="12:26" x14ac:dyDescent="0.55000000000000004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7"/>
        <v>176099.59317803659</v>
      </c>
    </row>
    <row r="4902" spans="12:26" x14ac:dyDescent="0.55000000000000004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7"/>
        <v>176099.59317803659</v>
      </c>
    </row>
    <row r="4903" spans="12:26" x14ac:dyDescent="0.55000000000000004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7"/>
        <v>176099.59317803659</v>
      </c>
    </row>
    <row r="4904" spans="12:26" x14ac:dyDescent="0.55000000000000004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7"/>
        <v>176099.59317803659</v>
      </c>
    </row>
    <row r="4905" spans="12:26" x14ac:dyDescent="0.55000000000000004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7"/>
        <v>176099.59317803659</v>
      </c>
    </row>
    <row r="4906" spans="12:26" x14ac:dyDescent="0.55000000000000004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7"/>
        <v>176099.59317803659</v>
      </c>
    </row>
    <row r="4907" spans="12:26" x14ac:dyDescent="0.55000000000000004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7"/>
        <v>176099.59317803659</v>
      </c>
    </row>
    <row r="4908" spans="12:26" x14ac:dyDescent="0.55000000000000004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7"/>
        <v>176099.59317803659</v>
      </c>
    </row>
    <row r="4909" spans="12:26" x14ac:dyDescent="0.55000000000000004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7"/>
        <v>176099.59317803659</v>
      </c>
    </row>
    <row r="4910" spans="12:26" x14ac:dyDescent="0.55000000000000004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7"/>
        <v>176099.59317803659</v>
      </c>
    </row>
    <row r="4911" spans="12:26" x14ac:dyDescent="0.55000000000000004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7"/>
        <v>176099.59317803659</v>
      </c>
    </row>
    <row r="4912" spans="12:26" x14ac:dyDescent="0.55000000000000004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7"/>
        <v>176099.59317803659</v>
      </c>
    </row>
    <row r="4913" spans="12:26" x14ac:dyDescent="0.55000000000000004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7"/>
        <v>176099.59317803659</v>
      </c>
    </row>
    <row r="4914" spans="12:26" x14ac:dyDescent="0.55000000000000004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7"/>
        <v>176099.59317803659</v>
      </c>
    </row>
    <row r="4915" spans="12:26" x14ac:dyDescent="0.55000000000000004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7"/>
        <v>176099.59317803659</v>
      </c>
    </row>
    <row r="4916" spans="12:26" x14ac:dyDescent="0.55000000000000004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7"/>
        <v>176099.59317803659</v>
      </c>
    </row>
    <row r="4917" spans="12:26" x14ac:dyDescent="0.55000000000000004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7"/>
        <v>176099.59317803659</v>
      </c>
    </row>
    <row r="4918" spans="12:26" x14ac:dyDescent="0.55000000000000004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7"/>
        <v>176099.59317803659</v>
      </c>
    </row>
    <row r="4919" spans="12:26" x14ac:dyDescent="0.55000000000000004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7"/>
        <v>176099.59317803659</v>
      </c>
    </row>
    <row r="4920" spans="12:26" x14ac:dyDescent="0.55000000000000004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7"/>
        <v>176099.59317803659</v>
      </c>
    </row>
    <row r="4921" spans="12:26" x14ac:dyDescent="0.55000000000000004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7"/>
        <v>176099.59317803659</v>
      </c>
    </row>
    <row r="4922" spans="12:26" x14ac:dyDescent="0.55000000000000004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7"/>
        <v>176099.59317803659</v>
      </c>
    </row>
    <row r="4923" spans="12:26" x14ac:dyDescent="0.55000000000000004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7"/>
        <v>176099.59317803659</v>
      </c>
    </row>
    <row r="4924" spans="12:26" x14ac:dyDescent="0.55000000000000004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7"/>
        <v>176099.59317803659</v>
      </c>
    </row>
    <row r="4925" spans="12:26" x14ac:dyDescent="0.55000000000000004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7"/>
        <v>176099.59317803659</v>
      </c>
    </row>
    <row r="4926" spans="12:26" x14ac:dyDescent="0.55000000000000004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7"/>
        <v>176099.59317803659</v>
      </c>
    </row>
    <row r="4927" spans="12:26" x14ac:dyDescent="0.55000000000000004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7"/>
        <v>176099.59317803659</v>
      </c>
    </row>
    <row r="4928" spans="12:26" x14ac:dyDescent="0.55000000000000004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7"/>
        <v>176099.59317803659</v>
      </c>
    </row>
    <row r="4929" spans="12:26" x14ac:dyDescent="0.55000000000000004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7"/>
        <v>176099.59317803659</v>
      </c>
    </row>
    <row r="4930" spans="12:26" x14ac:dyDescent="0.55000000000000004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7"/>
        <v>176099.59317803659</v>
      </c>
    </row>
    <row r="4931" spans="12:26" x14ac:dyDescent="0.55000000000000004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7"/>
        <v>176099.59317803659</v>
      </c>
    </row>
    <row r="4932" spans="12:26" x14ac:dyDescent="0.55000000000000004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7"/>
        <v>176099.59317803659</v>
      </c>
    </row>
    <row r="4933" spans="12:26" x14ac:dyDescent="0.55000000000000004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7"/>
        <v>176099.59317803659</v>
      </c>
    </row>
    <row r="4934" spans="12:26" x14ac:dyDescent="0.55000000000000004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7"/>
        <v>176099.59317803659</v>
      </c>
    </row>
    <row r="4935" spans="12:26" x14ac:dyDescent="0.55000000000000004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8">Y4935/X4935</f>
        <v>176099.59317803659</v>
      </c>
    </row>
    <row r="4936" spans="12:26" x14ac:dyDescent="0.55000000000000004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8"/>
        <v>176099.59317803659</v>
      </c>
    </row>
    <row r="4937" spans="12:26" x14ac:dyDescent="0.55000000000000004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8"/>
        <v>176099.59317803659</v>
      </c>
    </row>
    <row r="4938" spans="12:26" x14ac:dyDescent="0.55000000000000004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8"/>
        <v>176099.59317803659</v>
      </c>
    </row>
    <row r="4939" spans="12:26" x14ac:dyDescent="0.55000000000000004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8"/>
        <v>176099.59317803659</v>
      </c>
    </row>
    <row r="4940" spans="12:26" x14ac:dyDescent="0.55000000000000004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8"/>
        <v>176099.59317803659</v>
      </c>
    </row>
    <row r="4941" spans="12:26" x14ac:dyDescent="0.55000000000000004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8"/>
        <v>176099.59317803659</v>
      </c>
    </row>
    <row r="4942" spans="12:26" x14ac:dyDescent="0.55000000000000004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8"/>
        <v>176099.59317803659</v>
      </c>
    </row>
    <row r="4943" spans="12:26" x14ac:dyDescent="0.55000000000000004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8"/>
        <v>176099.59317803659</v>
      </c>
    </row>
    <row r="4944" spans="12:26" x14ac:dyDescent="0.55000000000000004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8"/>
        <v>176099.59317803659</v>
      </c>
    </row>
    <row r="4945" spans="12:26" x14ac:dyDescent="0.55000000000000004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8"/>
        <v>176099.59317803659</v>
      </c>
    </row>
    <row r="4946" spans="12:26" x14ac:dyDescent="0.55000000000000004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8"/>
        <v>176099.59317803659</v>
      </c>
    </row>
    <row r="4947" spans="12:26" x14ac:dyDescent="0.55000000000000004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8"/>
        <v>176099.59317803659</v>
      </c>
    </row>
    <row r="4948" spans="12:26" x14ac:dyDescent="0.55000000000000004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8"/>
        <v>176099.59317803659</v>
      </c>
    </row>
    <row r="4949" spans="12:26" x14ac:dyDescent="0.55000000000000004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8"/>
        <v>176099.59317803659</v>
      </c>
    </row>
    <row r="4950" spans="12:26" x14ac:dyDescent="0.55000000000000004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8"/>
        <v>176099.59317803659</v>
      </c>
    </row>
    <row r="4951" spans="12:26" x14ac:dyDescent="0.55000000000000004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8"/>
        <v>176099.59317803659</v>
      </c>
    </row>
    <row r="4952" spans="12:26" x14ac:dyDescent="0.55000000000000004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8"/>
        <v>176099.59317803659</v>
      </c>
    </row>
    <row r="4953" spans="12:26" x14ac:dyDescent="0.55000000000000004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8"/>
        <v>176099.59317803659</v>
      </c>
    </row>
    <row r="4954" spans="12:26" x14ac:dyDescent="0.55000000000000004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8"/>
        <v>176099.59317803659</v>
      </c>
    </row>
    <row r="4955" spans="12:26" x14ac:dyDescent="0.55000000000000004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8"/>
        <v>176099.59317803659</v>
      </c>
    </row>
    <row r="4956" spans="12:26" x14ac:dyDescent="0.55000000000000004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8"/>
        <v>176099.59317803659</v>
      </c>
    </row>
    <row r="4957" spans="12:26" x14ac:dyDescent="0.55000000000000004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8"/>
        <v>176099.59317803659</v>
      </c>
    </row>
    <row r="4958" spans="12:26" x14ac:dyDescent="0.55000000000000004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8"/>
        <v>176099.59317803659</v>
      </c>
    </row>
    <row r="4959" spans="12:26" x14ac:dyDescent="0.55000000000000004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8"/>
        <v>176099.59317803659</v>
      </c>
    </row>
    <row r="4960" spans="12:26" x14ac:dyDescent="0.55000000000000004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8"/>
        <v>176099.59317803659</v>
      </c>
    </row>
    <row r="4961" spans="12:26" x14ac:dyDescent="0.55000000000000004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8"/>
        <v>176099.59317803659</v>
      </c>
    </row>
    <row r="4962" spans="12:26" x14ac:dyDescent="0.55000000000000004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8"/>
        <v>176099.59317803659</v>
      </c>
    </row>
    <row r="4963" spans="12:26" x14ac:dyDescent="0.55000000000000004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8"/>
        <v>176099.59317803659</v>
      </c>
    </row>
    <row r="4964" spans="12:26" x14ac:dyDescent="0.55000000000000004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8"/>
        <v>176099.59317803659</v>
      </c>
    </row>
    <row r="4965" spans="12:26" x14ac:dyDescent="0.55000000000000004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8"/>
        <v>176099.59317803659</v>
      </c>
    </row>
    <row r="4966" spans="12:26" x14ac:dyDescent="0.55000000000000004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8"/>
        <v>176099.59317803659</v>
      </c>
    </row>
    <row r="4967" spans="12:26" x14ac:dyDescent="0.55000000000000004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8"/>
        <v>176099.59317803659</v>
      </c>
    </row>
    <row r="4968" spans="12:26" x14ac:dyDescent="0.55000000000000004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8"/>
        <v>176099.59317803659</v>
      </c>
    </row>
    <row r="4969" spans="12:26" x14ac:dyDescent="0.55000000000000004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8"/>
        <v>176099.59317803659</v>
      </c>
    </row>
    <row r="4970" spans="12:26" x14ac:dyDescent="0.55000000000000004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8"/>
        <v>176099.59317803659</v>
      </c>
    </row>
    <row r="4971" spans="12:26" x14ac:dyDescent="0.55000000000000004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8"/>
        <v>176099.59317803659</v>
      </c>
    </row>
    <row r="4972" spans="12:26" x14ac:dyDescent="0.55000000000000004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8"/>
        <v>176099.59317803659</v>
      </c>
    </row>
    <row r="4973" spans="12:26" x14ac:dyDescent="0.55000000000000004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8"/>
        <v>176099.59317803659</v>
      </c>
    </row>
    <row r="4974" spans="12:26" x14ac:dyDescent="0.55000000000000004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8"/>
        <v>176099.59317803659</v>
      </c>
    </row>
    <row r="4975" spans="12:26" x14ac:dyDescent="0.55000000000000004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8"/>
        <v>176099.59317803659</v>
      </c>
    </row>
    <row r="4976" spans="12:26" x14ac:dyDescent="0.55000000000000004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8"/>
        <v>176099.59317803659</v>
      </c>
    </row>
    <row r="4977" spans="12:26" x14ac:dyDescent="0.55000000000000004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8"/>
        <v>176099.59317803659</v>
      </c>
    </row>
    <row r="4978" spans="12:26" x14ac:dyDescent="0.55000000000000004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8"/>
        <v>176099.59317803659</v>
      </c>
    </row>
    <row r="4979" spans="12:26" x14ac:dyDescent="0.55000000000000004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8"/>
        <v>176099.59317803659</v>
      </c>
    </row>
    <row r="4980" spans="12:26" x14ac:dyDescent="0.55000000000000004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8"/>
        <v>176099.59317803659</v>
      </c>
    </row>
    <row r="4981" spans="12:26" x14ac:dyDescent="0.55000000000000004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8"/>
        <v>176099.59317803659</v>
      </c>
    </row>
    <row r="4982" spans="12:26" x14ac:dyDescent="0.55000000000000004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8"/>
        <v>176099.59317803659</v>
      </c>
    </row>
    <row r="4983" spans="12:26" x14ac:dyDescent="0.55000000000000004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8"/>
        <v>176099.59317803659</v>
      </c>
    </row>
    <row r="4984" spans="12:26" x14ac:dyDescent="0.55000000000000004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8"/>
        <v>176099.59317803659</v>
      </c>
    </row>
    <row r="4985" spans="12:26" x14ac:dyDescent="0.55000000000000004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8"/>
        <v>176099.59317803659</v>
      </c>
    </row>
    <row r="4986" spans="12:26" x14ac:dyDescent="0.55000000000000004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8"/>
        <v>176099.59317803659</v>
      </c>
    </row>
    <row r="4987" spans="12:26" x14ac:dyDescent="0.55000000000000004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8"/>
        <v>176099.59317803659</v>
      </c>
    </row>
    <row r="4988" spans="12:26" x14ac:dyDescent="0.55000000000000004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8"/>
        <v>176099.59317803659</v>
      </c>
    </row>
    <row r="4989" spans="12:26" x14ac:dyDescent="0.55000000000000004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8"/>
        <v>176099.59317803659</v>
      </c>
    </row>
    <row r="4990" spans="12:26" x14ac:dyDescent="0.55000000000000004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8"/>
        <v>176099.59317803659</v>
      </c>
    </row>
    <row r="4991" spans="12:26" x14ac:dyDescent="0.55000000000000004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8"/>
        <v>176099.59317803659</v>
      </c>
    </row>
    <row r="4992" spans="12:26" x14ac:dyDescent="0.55000000000000004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8"/>
        <v>176099.59317803659</v>
      </c>
    </row>
    <row r="4993" spans="12:26" x14ac:dyDescent="0.55000000000000004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8"/>
        <v>176099.59317803659</v>
      </c>
    </row>
    <row r="4994" spans="12:26" x14ac:dyDescent="0.55000000000000004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8"/>
        <v>176099.59317803659</v>
      </c>
    </row>
    <row r="4995" spans="12:26" x14ac:dyDescent="0.55000000000000004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8"/>
        <v>176099.59317803659</v>
      </c>
    </row>
    <row r="4996" spans="12:26" x14ac:dyDescent="0.55000000000000004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8"/>
        <v>176099.59317803659</v>
      </c>
    </row>
    <row r="4997" spans="12:26" x14ac:dyDescent="0.55000000000000004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8"/>
        <v>176099.59317803659</v>
      </c>
    </row>
    <row r="4998" spans="12:26" x14ac:dyDescent="0.55000000000000004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8"/>
        <v>176099.59317803659</v>
      </c>
    </row>
    <row r="4999" spans="12:26" x14ac:dyDescent="0.55000000000000004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9">Y4999/X4999</f>
        <v>176099.59317803659</v>
      </c>
    </row>
    <row r="5000" spans="12:26" x14ac:dyDescent="0.55000000000000004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9"/>
        <v>176099.59317803659</v>
      </c>
    </row>
    <row r="5001" spans="12:26" x14ac:dyDescent="0.55000000000000004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9"/>
        <v>176099.59317803659</v>
      </c>
    </row>
    <row r="5002" spans="12:26" x14ac:dyDescent="0.55000000000000004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9"/>
        <v>176099.59317803659</v>
      </c>
    </row>
    <row r="5003" spans="12:26" x14ac:dyDescent="0.55000000000000004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9"/>
        <v>176099.59317803659</v>
      </c>
    </row>
    <row r="5004" spans="12:26" x14ac:dyDescent="0.55000000000000004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9"/>
        <v>176099.59317803659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27"/>
  <sheetViews>
    <sheetView tabSelected="1" workbookViewId="0">
      <selection activeCell="S19" sqref="S19"/>
    </sheetView>
  </sheetViews>
  <sheetFormatPr defaultRowHeight="14.4" x14ac:dyDescent="0.55000000000000004"/>
  <sheetData>
    <row r="1" spans="1:13" ht="18.3" x14ac:dyDescent="0.7">
      <c r="A1" s="11" t="s">
        <v>96</v>
      </c>
    </row>
    <row r="3" spans="1:13" x14ac:dyDescent="0.55000000000000004">
      <c r="C3" s="7" t="s">
        <v>89</v>
      </c>
      <c r="D3" s="7" t="s">
        <v>37</v>
      </c>
      <c r="E3" s="7" t="s">
        <v>32</v>
      </c>
      <c r="K3" s="2" t="s">
        <v>101</v>
      </c>
      <c r="L3" s="2"/>
      <c r="M3" s="2" t="s">
        <v>102</v>
      </c>
    </row>
    <row r="4" spans="1:13" x14ac:dyDescent="0.55000000000000004">
      <c r="A4" s="10" t="s">
        <v>90</v>
      </c>
      <c r="B4" s="16">
        <v>1930</v>
      </c>
      <c r="C4" s="3">
        <v>50</v>
      </c>
      <c r="D4" s="3">
        <v>50.6</v>
      </c>
      <c r="E4" s="3">
        <v>46.2</v>
      </c>
      <c r="K4" s="3">
        <f>E4-C4</f>
        <v>-3.7999999999999972</v>
      </c>
      <c r="M4" s="24">
        <f>E4/C4</f>
        <v>0.92400000000000004</v>
      </c>
    </row>
    <row r="5" spans="1:13" x14ac:dyDescent="0.55000000000000004">
      <c r="A5" s="10" t="s">
        <v>91</v>
      </c>
      <c r="B5" s="16">
        <v>1960</v>
      </c>
      <c r="C5" s="3">
        <v>65</v>
      </c>
      <c r="D5" s="23">
        <v>66.7</v>
      </c>
      <c r="E5" s="23">
        <v>67.400000000000006</v>
      </c>
      <c r="J5" s="3"/>
      <c r="K5" s="3">
        <f>E5-C5</f>
        <v>2.4000000000000057</v>
      </c>
      <c r="L5" s="17"/>
      <c r="M5" s="24">
        <f>E5/C5</f>
        <v>1.0369230769230771</v>
      </c>
    </row>
    <row r="6" spans="1:13" x14ac:dyDescent="0.55000000000000004">
      <c r="B6" s="16">
        <v>1970</v>
      </c>
      <c r="C6" s="3">
        <v>71.900000000000006</v>
      </c>
      <c r="D6" s="23">
        <v>75.400000000000006</v>
      </c>
      <c r="E6" s="23">
        <v>76.5</v>
      </c>
      <c r="K6" s="3">
        <f>E6-C6</f>
        <v>4.5999999999999943</v>
      </c>
      <c r="M6" s="24">
        <f>E6/C6</f>
        <v>1.0639777468706535</v>
      </c>
    </row>
    <row r="7" spans="1:13" x14ac:dyDescent="0.55000000000000004">
      <c r="M7" s="24"/>
    </row>
    <row r="8" spans="1:13" ht="18.3" x14ac:dyDescent="0.7">
      <c r="A8" s="11" t="s">
        <v>64</v>
      </c>
      <c r="M8" s="24"/>
    </row>
    <row r="9" spans="1:13" x14ac:dyDescent="0.55000000000000004">
      <c r="M9" s="24"/>
    </row>
    <row r="10" spans="1:13" x14ac:dyDescent="0.55000000000000004">
      <c r="C10" s="7" t="s">
        <v>89</v>
      </c>
      <c r="D10" s="7" t="s">
        <v>37</v>
      </c>
      <c r="E10" s="7" t="s">
        <v>32</v>
      </c>
      <c r="M10" s="24"/>
    </row>
    <row r="11" spans="1:13" x14ac:dyDescent="0.55000000000000004">
      <c r="A11" s="10" t="s">
        <v>90</v>
      </c>
      <c r="B11" s="16">
        <v>1930</v>
      </c>
      <c r="C11" s="3">
        <v>37.200000000000003</v>
      </c>
      <c r="D11" s="3">
        <v>36</v>
      </c>
      <c r="E11" s="3">
        <v>32.6</v>
      </c>
      <c r="K11" s="3">
        <f>E11-C11</f>
        <v>-4.6000000000000014</v>
      </c>
      <c r="M11" s="24">
        <f>E11/C11</f>
        <v>0.87634408602150538</v>
      </c>
    </row>
    <row r="12" spans="1:13" x14ac:dyDescent="0.55000000000000004">
      <c r="A12" s="10" t="s">
        <v>91</v>
      </c>
      <c r="B12" s="16">
        <v>1960</v>
      </c>
      <c r="C12" s="3">
        <v>53.6</v>
      </c>
      <c r="D12" s="3">
        <v>57.2</v>
      </c>
      <c r="E12" s="3">
        <v>60.4</v>
      </c>
      <c r="K12" s="3">
        <f>E12-C12</f>
        <v>6.7999999999999972</v>
      </c>
      <c r="M12" s="24">
        <f>E12/C12</f>
        <v>1.1268656716417911</v>
      </c>
    </row>
    <row r="13" spans="1:13" x14ac:dyDescent="0.55000000000000004">
      <c r="B13" s="16">
        <v>1970</v>
      </c>
      <c r="C13" s="3">
        <v>61.4</v>
      </c>
      <c r="D13" s="3">
        <v>65.7</v>
      </c>
      <c r="E13" s="3">
        <v>69.7</v>
      </c>
      <c r="K13" s="3">
        <f>E13-C13</f>
        <v>8.3000000000000043</v>
      </c>
      <c r="M13" s="24">
        <f>E13/C13</f>
        <v>1.1351791530944626</v>
      </c>
    </row>
    <row r="14" spans="1:13" x14ac:dyDescent="0.55000000000000004">
      <c r="M14" s="24"/>
    </row>
    <row r="15" spans="1:13" ht="18.3" x14ac:dyDescent="0.7">
      <c r="A15" s="11" t="s">
        <v>65</v>
      </c>
      <c r="M15" s="24"/>
    </row>
    <row r="16" spans="1:13" x14ac:dyDescent="0.55000000000000004">
      <c r="M16" s="24"/>
    </row>
    <row r="17" spans="1:13" x14ac:dyDescent="0.55000000000000004">
      <c r="C17" s="7" t="s">
        <v>89</v>
      </c>
      <c r="D17" s="7" t="s">
        <v>37</v>
      </c>
      <c r="E17" s="7" t="s">
        <v>32</v>
      </c>
      <c r="M17" s="24"/>
    </row>
    <row r="18" spans="1:13" x14ac:dyDescent="0.55000000000000004">
      <c r="A18" s="10" t="s">
        <v>90</v>
      </c>
      <c r="B18" s="16">
        <v>1930</v>
      </c>
      <c r="C18" s="3">
        <v>33.5</v>
      </c>
      <c r="D18" s="3">
        <v>31.6</v>
      </c>
      <c r="E18" s="3">
        <v>28.7</v>
      </c>
      <c r="K18" s="3">
        <f>E18-C18</f>
        <v>-4.8000000000000007</v>
      </c>
      <c r="M18" s="24">
        <f t="shared" ref="M18:M20" si="0">E18/C18</f>
        <v>0.85671641791044773</v>
      </c>
    </row>
    <row r="19" spans="1:13" x14ac:dyDescent="0.55000000000000004">
      <c r="A19" s="10" t="s">
        <v>91</v>
      </c>
      <c r="B19" s="16">
        <v>1960</v>
      </c>
      <c r="C19" s="3">
        <v>50.7</v>
      </c>
      <c r="D19" s="22">
        <v>54.6</v>
      </c>
      <c r="E19" s="22">
        <v>58.5</v>
      </c>
      <c r="K19" s="3">
        <f>E19-C19</f>
        <v>7.7999999999999972</v>
      </c>
      <c r="M19" s="24">
        <f t="shared" si="0"/>
        <v>1.1538461538461537</v>
      </c>
    </row>
    <row r="20" spans="1:13" x14ac:dyDescent="0.55000000000000004">
      <c r="B20" s="16">
        <v>1970</v>
      </c>
      <c r="C20" s="3">
        <v>58.7</v>
      </c>
      <c r="D20" s="22">
        <v>63.1</v>
      </c>
      <c r="E20" s="22">
        <v>67.900000000000006</v>
      </c>
      <c r="K20" s="3">
        <f>E20-C20</f>
        <v>9.2000000000000028</v>
      </c>
      <c r="M20" s="24">
        <f t="shared" si="0"/>
        <v>1.1567291311754686</v>
      </c>
    </row>
    <row r="21" spans="1:13" x14ac:dyDescent="0.55000000000000004">
      <c r="M21" s="24"/>
    </row>
    <row r="22" spans="1:13" ht="18.3" x14ac:dyDescent="0.7">
      <c r="A22" s="11" t="s">
        <v>73</v>
      </c>
      <c r="M22" s="24"/>
    </row>
    <row r="23" spans="1:13" x14ac:dyDescent="0.55000000000000004">
      <c r="M23" s="24"/>
    </row>
    <row r="24" spans="1:13" x14ac:dyDescent="0.55000000000000004">
      <c r="C24" s="7" t="s">
        <v>89</v>
      </c>
      <c r="D24" s="7" t="s">
        <v>37</v>
      </c>
      <c r="E24" s="7" t="s">
        <v>32</v>
      </c>
      <c r="M24" s="24"/>
    </row>
    <row r="25" spans="1:13" x14ac:dyDescent="0.55000000000000004">
      <c r="A25" s="10" t="s">
        <v>90</v>
      </c>
      <c r="B25" s="16">
        <v>1930</v>
      </c>
      <c r="C25" s="3">
        <v>25.6</v>
      </c>
      <c r="D25" s="3">
        <v>21.7</v>
      </c>
      <c r="E25" s="3">
        <v>20.5</v>
      </c>
      <c r="K25" s="3">
        <f>E25-C25</f>
        <v>-5.1000000000000014</v>
      </c>
      <c r="M25" s="24">
        <f t="shared" ref="M25:M27" si="1">E25/C25</f>
        <v>0.80078125</v>
      </c>
    </row>
    <row r="26" spans="1:13" x14ac:dyDescent="0.55000000000000004">
      <c r="A26" s="10" t="s">
        <v>91</v>
      </c>
      <c r="B26" s="16">
        <v>1960</v>
      </c>
      <c r="C26" s="3">
        <v>42.2</v>
      </c>
      <c r="D26" s="3">
        <v>47.8</v>
      </c>
      <c r="E26" s="3">
        <v>52.9</v>
      </c>
      <c r="K26" s="3">
        <f>E26-C26</f>
        <v>10.699999999999996</v>
      </c>
      <c r="M26" s="24">
        <f t="shared" si="1"/>
        <v>1.2535545023696681</v>
      </c>
    </row>
    <row r="27" spans="1:13" x14ac:dyDescent="0.55000000000000004">
      <c r="B27" s="16">
        <v>1970</v>
      </c>
      <c r="C27" s="3">
        <v>50.1</v>
      </c>
      <c r="D27" s="3">
        <v>56.4</v>
      </c>
      <c r="E27" s="3">
        <v>62.6</v>
      </c>
      <c r="K27" s="3">
        <f>E27-C27</f>
        <v>12.5</v>
      </c>
      <c r="M27" s="24">
        <f t="shared" si="1"/>
        <v>1.2495009980039919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2026-05-01T22:49:53Z</dcterms:modified>
</cp:coreProperties>
</file>