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workbooks\"/>
    </mc:Choice>
  </mc:AlternateContent>
  <xr:revisionPtr revIDLastSave="0" documentId="13_ncr:1_{EDC7209B-F39A-4E77-A78D-871E380E8E76}" xr6:coauthVersionLast="45" xr6:coauthVersionMax="45" xr10:uidLastSave="{00000000-0000-0000-0000-000000000000}"/>
  <bookViews>
    <workbookView xWindow="1125" yWindow="2670" windowWidth="18900" windowHeight="15885" firstSheet="5" activeTab="5" xr2:uid="{9806A3BC-D491-4476-99E9-37D3951075C7}"/>
  </bookViews>
  <sheets>
    <sheet name="Notes" sheetId="1" r:id="rId1"/>
    <sheet name="USSR-1926" sheetId="3" r:id="rId2"/>
    <sheet name="USSR-1959" sheetId="2" r:id="rId3"/>
    <sheet name="USSR-1970" sheetId="7" r:id="rId4"/>
    <sheet name="USSR-1979" sheetId="9" r:id="rId5"/>
    <sheet name="RSFSR-1926" sheetId="4" r:id="rId6"/>
    <sheet name="RSFSR-1959" sheetId="6" r:id="rId7"/>
    <sheet name="RSFSR-1970" sheetId="8" r:id="rId8"/>
    <sheet name="RSFSR-1979" sheetId="10" r:id="rId9"/>
    <sheet name="MX-1930" sheetId="13" r:id="rId10"/>
    <sheet name="MX-1960" sheetId="14" r:id="rId11"/>
    <sheet name="MX-1970" sheetId="15" r:id="rId1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17" i="13" l="1"/>
  <c r="E20" i="14"/>
  <c r="E20" i="15"/>
  <c r="E18" i="15"/>
  <c r="C17" i="15"/>
  <c r="C18" i="15" s="1"/>
  <c r="C20" i="15" s="1"/>
  <c r="C20" i="14"/>
  <c r="C18" i="14"/>
  <c r="C4" i="14"/>
  <c r="C17" i="14"/>
  <c r="D4" i="13"/>
  <c r="D14" i="13"/>
  <c r="D15" i="13"/>
  <c r="D17" i="13" s="1"/>
  <c r="D36" i="4"/>
  <c r="D36" i="3"/>
  <c r="D34" i="4"/>
  <c r="D34" i="3"/>
  <c r="D54" i="3"/>
  <c r="D56" i="3" s="1"/>
  <c r="D13" i="10"/>
  <c r="D15" i="10" s="1"/>
  <c r="D13" i="9"/>
  <c r="D15" i="9" s="1"/>
  <c r="D14" i="8"/>
  <c r="D14" i="6"/>
  <c r="D14" i="4"/>
  <c r="D14" i="7"/>
  <c r="D14" i="2"/>
  <c r="D14" i="3"/>
  <c r="D12" i="8"/>
  <c r="D12" i="7"/>
  <c r="D12" i="6"/>
  <c r="D12" i="4"/>
  <c r="D12" i="2"/>
  <c r="D12" i="3"/>
  <c r="C4" i="15" l="1"/>
</calcChain>
</file>

<file path=xl/sharedStrings.xml><?xml version="1.0" encoding="utf-8"?>
<sst xmlns="http://schemas.openxmlformats.org/spreadsheetml/2006/main" count="139" uniqueCount="34">
  <si>
    <t>от</t>
  </si>
  <si>
    <t>до</t>
  </si>
  <si>
    <t>менее</t>
  </si>
  <si>
    <t>и более</t>
  </si>
  <si>
    <t>жителей</t>
  </si>
  <si>
    <t>USSR-1959</t>
  </si>
  <si>
    <t>ЦСУ СССР, "Итоги Всесоюзной переписи населения 1959 года. СССР. Сводный том" (1962), стр. 35</t>
  </si>
  <si>
    <t>USSR-1926</t>
  </si>
  <si>
    <t>RSFSR-1926</t>
  </si>
  <si>
    <t>RSFSR-1959</t>
  </si>
  <si>
    <t>ЦСУ СССР, "Итоги Всесоюзной переписи населения 1959 года. РСФСР", стр. 39</t>
  </si>
  <si>
    <t>RSFSR-1970</t>
  </si>
  <si>
    <t>USSR-1970</t>
  </si>
  <si>
    <t>"Итоги Всесоюзной переписи населения 1970 года. Том I - Численность населения СССР", стр. 61</t>
  </si>
  <si>
    <t>"Итоги Всесоюзной переписи населения 1970 года. Том I - Численность населения СССР",  стр. 62</t>
  </si>
  <si>
    <t>городское население</t>
  </si>
  <si>
    <t>всё население</t>
  </si>
  <si>
    <t>% городского</t>
  </si>
  <si>
    <t>USSR-1979</t>
  </si>
  <si>
    <t>"Итоги Всесоюзной переписи населения 1979 года. Том I - Численность населения СССР, союзных и автономных республик, краев и областей", стр. 112</t>
  </si>
  <si>
    <t>"Итоги Всесоюзной переписи населения 1979 года. Том I - Численность населения СССР, союзных и автономных республик, краев и областей", стр. 113</t>
  </si>
  <si>
    <t>RSFSR-1979</t>
  </si>
  <si>
    <t>ЦСУ СССР, "Всесоюзная перепись населения 17 декабря 1926 года, том XVII, отдел 1, Союз Советских Социалистических Ресупблик",  М. 1929, стр. 4</t>
  </si>
  <si>
    <t>MX-1930</t>
  </si>
  <si>
    <t>сумма &gt; 1000</t>
  </si>
  <si>
    <t>городское</t>
  </si>
  <si>
    <t>гор. офиц.</t>
  </si>
  <si>
    <t>т.е.  живущих в пунктах с более 2500</t>
  </si>
  <si>
    <t>MX-1960</t>
  </si>
  <si>
    <t>"VIII Censo General de Población 1960. 8 de junio de 1960. Resumen general", cтр. 59, 68</t>
  </si>
  <si>
    <t>"Quinto Censo de Población. 15 de mayo de 1930. Resumen general", стр. 39-40</t>
  </si>
  <si>
    <t>MX-1970</t>
  </si>
  <si>
    <t>v</t>
  </si>
  <si>
    <t>см. стр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</si>
</sst>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3" fontId="0" fillId="0" borderId="0" xfId="0" applyNumberFormat="1"/>
    <xf numFmtId="0" fontId="1" fillId="0" borderId="0" xfId="0" applyFont="1"/>
    <xf numFmtId="164" fontId="0" fillId="0" borderId="0" xfId="0" applyNumberFormat="1"/>
    <xf numFmtId="0" fontId="0" fillId="0" borderId="0" xfId="0" applyFont="1"/>
    <xf numFmtId="3" fontId="0" fillId="0" borderId="0" xfId="0" applyNumberFormat="1" applyFont="1"/>
    <xf numFmtId="3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24E3F-1F27-45F2-85D8-EE2D60E7DC98}">
  <dimension ref="A3:B25"/>
  <sheetViews>
    <sheetView workbookViewId="0">
      <selection activeCell="A25" sqref="A25"/>
    </sheetView>
  </sheetViews>
  <sheetFormatPr defaultRowHeight="15" x14ac:dyDescent="0.25"/>
  <cols>
    <col min="1" max="1" width="13.140625" customWidth="1"/>
  </cols>
  <sheetData>
    <row r="3" spans="1:2" x14ac:dyDescent="0.25">
      <c r="A3" s="2" t="s">
        <v>7</v>
      </c>
      <c r="B3" t="s">
        <v>6</v>
      </c>
    </row>
    <row r="4" spans="1:2" x14ac:dyDescent="0.25">
      <c r="A4" s="2"/>
      <c r="B4" t="s">
        <v>22</v>
      </c>
    </row>
    <row r="5" spans="1:2" x14ac:dyDescent="0.25">
      <c r="A5" s="2"/>
    </row>
    <row r="6" spans="1:2" x14ac:dyDescent="0.25">
      <c r="A6" s="2" t="s">
        <v>5</v>
      </c>
      <c r="B6" t="s">
        <v>6</v>
      </c>
    </row>
    <row r="7" spans="1:2" x14ac:dyDescent="0.25">
      <c r="A7" s="2"/>
    </row>
    <row r="8" spans="1:2" x14ac:dyDescent="0.25">
      <c r="A8" s="2" t="s">
        <v>12</v>
      </c>
      <c r="B8" t="s">
        <v>13</v>
      </c>
    </row>
    <row r="9" spans="1:2" x14ac:dyDescent="0.25">
      <c r="A9" s="2"/>
    </row>
    <row r="10" spans="1:2" x14ac:dyDescent="0.25">
      <c r="A10" s="2" t="s">
        <v>18</v>
      </c>
      <c r="B10" t="s">
        <v>19</v>
      </c>
    </row>
    <row r="11" spans="1:2" x14ac:dyDescent="0.25">
      <c r="A11" s="2"/>
    </row>
    <row r="12" spans="1:2" x14ac:dyDescent="0.25">
      <c r="A12" s="2" t="s">
        <v>8</v>
      </c>
      <c r="B12" t="s">
        <v>10</v>
      </c>
    </row>
    <row r="13" spans="1:2" x14ac:dyDescent="0.25">
      <c r="B13" t="s">
        <v>22</v>
      </c>
    </row>
    <row r="15" spans="1:2" x14ac:dyDescent="0.25">
      <c r="A15" s="2" t="s">
        <v>9</v>
      </c>
      <c r="B15" t="s">
        <v>10</v>
      </c>
    </row>
    <row r="17" spans="1:2" x14ac:dyDescent="0.25">
      <c r="A17" s="2" t="s">
        <v>11</v>
      </c>
      <c r="B17" t="s">
        <v>14</v>
      </c>
    </row>
    <row r="19" spans="1:2" x14ac:dyDescent="0.25">
      <c r="A19" s="2" t="s">
        <v>21</v>
      </c>
      <c r="B19" t="s">
        <v>20</v>
      </c>
    </row>
    <row r="21" spans="1:2" x14ac:dyDescent="0.25">
      <c r="A21" s="2" t="s">
        <v>23</v>
      </c>
      <c r="B21" t="s">
        <v>30</v>
      </c>
    </row>
    <row r="23" spans="1:2" x14ac:dyDescent="0.25">
      <c r="A23" s="2" t="s">
        <v>28</v>
      </c>
      <c r="B23" t="s">
        <v>29</v>
      </c>
    </row>
    <row r="25" spans="1:2" x14ac:dyDescent="0.25">
      <c r="A25" s="2" t="s">
        <v>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3E754-2BB4-4F22-A1F6-E30F1A3E2522}">
  <dimension ref="A3:D56"/>
  <sheetViews>
    <sheetView workbookViewId="0">
      <selection activeCell="A3" sqref="A3:B11"/>
    </sheetView>
  </sheetViews>
  <sheetFormatPr defaultRowHeight="15" x14ac:dyDescent="0.25"/>
  <cols>
    <col min="4" max="4" width="11" customWidth="1"/>
  </cols>
  <sheetData>
    <row r="3" spans="1:4" x14ac:dyDescent="0.25">
      <c r="A3" s="2" t="s">
        <v>0</v>
      </c>
      <c r="B3" s="2" t="s">
        <v>1</v>
      </c>
      <c r="C3" s="2"/>
      <c r="D3" s="2" t="s">
        <v>4</v>
      </c>
    </row>
    <row r="4" spans="1:4" x14ac:dyDescent="0.25">
      <c r="A4" t="s">
        <v>2</v>
      </c>
      <c r="B4" s="1">
        <v>3000</v>
      </c>
      <c r="D4" s="1">
        <v>1207383</v>
      </c>
    </row>
    <row r="5" spans="1:4" x14ac:dyDescent="0.25">
      <c r="A5" s="1">
        <v>3000</v>
      </c>
      <c r="B5" s="1">
        <v>5000</v>
      </c>
      <c r="D5" s="1">
        <v>1255602</v>
      </c>
    </row>
    <row r="6" spans="1:4" x14ac:dyDescent="0.25">
      <c r="A6" s="1">
        <v>5000</v>
      </c>
      <c r="B6" s="1">
        <v>10000</v>
      </c>
      <c r="D6" s="1">
        <v>2688141</v>
      </c>
    </row>
    <row r="7" spans="1:4" x14ac:dyDescent="0.25">
      <c r="A7" s="1">
        <v>10000</v>
      </c>
      <c r="B7" s="1">
        <v>20000</v>
      </c>
      <c r="D7" s="1">
        <v>3522835</v>
      </c>
    </row>
    <row r="8" spans="1:4" x14ac:dyDescent="0.25">
      <c r="A8" s="1">
        <v>20000</v>
      </c>
      <c r="B8" s="1">
        <v>50000</v>
      </c>
      <c r="D8" s="1">
        <v>3982819</v>
      </c>
    </row>
    <row r="9" spans="1:4" x14ac:dyDescent="0.25">
      <c r="A9" s="1">
        <v>50000</v>
      </c>
      <c r="B9" s="1">
        <v>100000</v>
      </c>
      <c r="D9" s="1">
        <v>4108692</v>
      </c>
    </row>
    <row r="10" spans="1:4" x14ac:dyDescent="0.25">
      <c r="A10" s="1">
        <v>100000</v>
      </c>
      <c r="B10" s="1">
        <v>500000</v>
      </c>
      <c r="D10" s="1">
        <v>5397349</v>
      </c>
    </row>
    <row r="11" spans="1:4" x14ac:dyDescent="0.25">
      <c r="A11" s="1">
        <v>500000</v>
      </c>
      <c r="B11" t="s">
        <v>3</v>
      </c>
      <c r="D11" s="1">
        <v>4153592</v>
      </c>
    </row>
    <row r="12" spans="1:4" x14ac:dyDescent="0.25">
      <c r="A12" s="2" t="s">
        <v>15</v>
      </c>
      <c r="D12" s="1">
        <f>SUM(D4:D11)</f>
        <v>26316413</v>
      </c>
    </row>
    <row r="13" spans="1:4" x14ac:dyDescent="0.25">
      <c r="A13" s="2" t="s">
        <v>16</v>
      </c>
      <c r="D13" s="1">
        <v>136810000</v>
      </c>
    </row>
    <row r="14" spans="1:4" x14ac:dyDescent="0.25">
      <c r="A14" s="2" t="s">
        <v>17</v>
      </c>
      <c r="D14" s="3">
        <f>100*D12/D13</f>
        <v>19.235737884657553</v>
      </c>
    </row>
    <row r="18" spans="1:4" x14ac:dyDescent="0.25">
      <c r="A18" s="2" t="s">
        <v>0</v>
      </c>
      <c r="B18" s="2" t="s">
        <v>1</v>
      </c>
      <c r="C18" s="2"/>
      <c r="D18" s="2" t="s">
        <v>4</v>
      </c>
    </row>
    <row r="19" spans="1:4" x14ac:dyDescent="0.25">
      <c r="A19" t="s">
        <v>2</v>
      </c>
      <c r="B19" s="5">
        <v>1000</v>
      </c>
      <c r="C19" s="2"/>
      <c r="D19" s="5">
        <v>11126</v>
      </c>
    </row>
    <row r="20" spans="1:4" x14ac:dyDescent="0.25">
      <c r="A20" s="5">
        <v>1000</v>
      </c>
      <c r="B20" s="5">
        <v>2000</v>
      </c>
      <c r="C20" s="4"/>
      <c r="D20" s="5">
        <v>53807</v>
      </c>
    </row>
    <row r="21" spans="1:4" x14ac:dyDescent="0.25">
      <c r="A21" s="5">
        <v>2000</v>
      </c>
      <c r="B21" s="5">
        <v>3000</v>
      </c>
      <c r="C21" s="4"/>
      <c r="D21" s="5">
        <v>120250</v>
      </c>
    </row>
    <row r="22" spans="1:4" x14ac:dyDescent="0.25">
      <c r="A22" s="5">
        <v>3000</v>
      </c>
      <c r="B22" s="5">
        <v>5000</v>
      </c>
      <c r="C22" s="4"/>
      <c r="D22" s="5">
        <v>414313</v>
      </c>
    </row>
    <row r="23" spans="1:4" x14ac:dyDescent="0.25">
      <c r="A23" s="5">
        <v>5000</v>
      </c>
      <c r="B23" s="5">
        <v>7000</v>
      </c>
      <c r="C23" s="4"/>
      <c r="D23" s="5">
        <v>437484</v>
      </c>
    </row>
    <row r="24" spans="1:4" x14ac:dyDescent="0.25">
      <c r="A24" s="5">
        <v>7000</v>
      </c>
      <c r="B24" s="5">
        <v>10000</v>
      </c>
      <c r="C24" s="4"/>
      <c r="D24" s="5">
        <v>611204</v>
      </c>
    </row>
    <row r="25" spans="1:4" x14ac:dyDescent="0.25">
      <c r="A25" s="5">
        <v>10000</v>
      </c>
      <c r="B25" s="5">
        <v>15000</v>
      </c>
      <c r="C25" s="4"/>
      <c r="D25" s="5">
        <v>1214439</v>
      </c>
    </row>
    <row r="26" spans="1:4" x14ac:dyDescent="0.25">
      <c r="A26" s="5">
        <v>15000</v>
      </c>
      <c r="B26" s="5">
        <v>20000</v>
      </c>
      <c r="C26" s="4"/>
      <c r="D26" s="5">
        <v>850914</v>
      </c>
    </row>
    <row r="27" spans="1:4" x14ac:dyDescent="0.25">
      <c r="A27" s="5">
        <v>20000</v>
      </c>
      <c r="B27" s="5">
        <v>25000</v>
      </c>
      <c r="C27" s="4"/>
      <c r="D27" s="5">
        <v>778363</v>
      </c>
    </row>
    <row r="28" spans="1:4" x14ac:dyDescent="0.25">
      <c r="A28" s="5">
        <v>25000</v>
      </c>
      <c r="B28" s="5">
        <v>30000</v>
      </c>
      <c r="C28" s="4"/>
      <c r="D28" s="5">
        <v>563766</v>
      </c>
    </row>
    <row r="29" spans="1:4" x14ac:dyDescent="0.25">
      <c r="A29" s="5">
        <v>30000</v>
      </c>
      <c r="B29" s="5">
        <v>40000</v>
      </c>
      <c r="C29" s="4"/>
      <c r="D29" s="5">
        <v>1243442</v>
      </c>
    </row>
    <row r="30" spans="1:4" x14ac:dyDescent="0.25">
      <c r="A30" s="5">
        <v>40000</v>
      </c>
      <c r="B30" s="5">
        <v>50000</v>
      </c>
      <c r="C30" s="4"/>
      <c r="D30" s="5">
        <v>682374</v>
      </c>
    </row>
    <row r="31" spans="1:4" x14ac:dyDescent="0.25">
      <c r="A31" s="5">
        <v>50000</v>
      </c>
      <c r="B31" s="5">
        <v>70000</v>
      </c>
      <c r="C31" s="4"/>
      <c r="D31" s="5">
        <v>1811560</v>
      </c>
    </row>
    <row r="32" spans="1:4" x14ac:dyDescent="0.25">
      <c r="A32" s="5">
        <v>70000</v>
      </c>
      <c r="B32" s="5">
        <v>100000</v>
      </c>
      <c r="C32" s="4"/>
      <c r="D32" s="5">
        <v>2226166</v>
      </c>
    </row>
    <row r="33" spans="1:4" x14ac:dyDescent="0.25">
      <c r="A33" s="5">
        <v>100000</v>
      </c>
      <c r="B33" s="4" t="s">
        <v>3</v>
      </c>
      <c r="C33" s="4"/>
      <c r="D33" s="5">
        <v>9142693</v>
      </c>
    </row>
    <row r="34" spans="1:4" x14ac:dyDescent="0.25">
      <c r="A34" s="2" t="s">
        <v>15</v>
      </c>
      <c r="B34" s="4"/>
      <c r="C34" s="4"/>
      <c r="D34" s="5">
        <f>SUM(D19:D33)</f>
        <v>20161901</v>
      </c>
    </row>
    <row r="35" spans="1:4" x14ac:dyDescent="0.25">
      <c r="A35" s="2" t="s">
        <v>16</v>
      </c>
      <c r="B35" s="4"/>
      <c r="C35" s="4"/>
      <c r="D35" s="5">
        <v>147027915</v>
      </c>
    </row>
    <row r="36" spans="1:4" x14ac:dyDescent="0.25">
      <c r="A36" s="2" t="s">
        <v>17</v>
      </c>
      <c r="B36" s="4"/>
      <c r="C36" s="4"/>
      <c r="D36" s="3">
        <f>100*D34/D35</f>
        <v>13.712974845627103</v>
      </c>
    </row>
    <row r="37" spans="1:4" x14ac:dyDescent="0.25">
      <c r="A37" s="4"/>
      <c r="B37" s="4"/>
      <c r="C37" s="4"/>
      <c r="D37" s="5"/>
    </row>
    <row r="38" spans="1:4" x14ac:dyDescent="0.25">
      <c r="A38" s="4"/>
      <c r="B38" s="4"/>
      <c r="C38" s="4"/>
      <c r="D38" s="5"/>
    </row>
    <row r="39" spans="1:4" x14ac:dyDescent="0.25">
      <c r="A39" s="4"/>
      <c r="B39" s="4"/>
      <c r="C39" s="4"/>
      <c r="D39" s="5"/>
    </row>
    <row r="40" spans="1:4" x14ac:dyDescent="0.25">
      <c r="A40" s="4"/>
      <c r="B40" s="4"/>
      <c r="C40" s="4"/>
      <c r="D40" s="5"/>
    </row>
    <row r="41" spans="1:4" x14ac:dyDescent="0.25">
      <c r="A41" s="4"/>
      <c r="B41" s="4"/>
      <c r="C41" s="4"/>
      <c r="D41" s="4"/>
    </row>
    <row r="42" spans="1:4" x14ac:dyDescent="0.25">
      <c r="A42" s="4"/>
      <c r="B42" s="4"/>
      <c r="C42" s="4"/>
      <c r="D42" s="4"/>
    </row>
    <row r="43" spans="1:4" x14ac:dyDescent="0.25">
      <c r="A43" s="4"/>
      <c r="B43" s="4"/>
      <c r="C43" s="4"/>
      <c r="D43" s="4"/>
    </row>
    <row r="44" spans="1:4" x14ac:dyDescent="0.25">
      <c r="A44" s="4"/>
      <c r="B44" s="4"/>
      <c r="C44" s="4"/>
      <c r="D44" s="4"/>
    </row>
    <row r="45" spans="1:4" x14ac:dyDescent="0.25">
      <c r="A45" s="4"/>
      <c r="B45" s="4"/>
      <c r="C45" s="4"/>
      <c r="D45" s="4"/>
    </row>
    <row r="46" spans="1:4" x14ac:dyDescent="0.25">
      <c r="A46" t="s">
        <v>2</v>
      </c>
      <c r="B46">
        <v>3</v>
      </c>
      <c r="D46" s="1">
        <v>1207383</v>
      </c>
    </row>
    <row r="47" spans="1:4" x14ac:dyDescent="0.25">
      <c r="A47">
        <v>3</v>
      </c>
      <c r="B47">
        <v>5</v>
      </c>
      <c r="D47" s="1">
        <v>1255602</v>
      </c>
    </row>
    <row r="48" spans="1:4" x14ac:dyDescent="0.25">
      <c r="A48">
        <v>5</v>
      </c>
      <c r="B48">
        <v>10</v>
      </c>
      <c r="D48" s="1">
        <v>2688141</v>
      </c>
    </row>
    <row r="49" spans="1:4" x14ac:dyDescent="0.25">
      <c r="A49">
        <v>10</v>
      </c>
      <c r="B49">
        <v>20</v>
      </c>
      <c r="D49" s="1">
        <v>3522835</v>
      </c>
    </row>
    <row r="50" spans="1:4" x14ac:dyDescent="0.25">
      <c r="A50">
        <v>20</v>
      </c>
      <c r="B50">
        <v>50</v>
      </c>
      <c r="D50" s="1">
        <v>3982819</v>
      </c>
    </row>
    <row r="51" spans="1:4" x14ac:dyDescent="0.25">
      <c r="A51">
        <v>50</v>
      </c>
      <c r="B51">
        <v>100</v>
      </c>
      <c r="D51" s="1">
        <v>4108692</v>
      </c>
    </row>
    <row r="52" spans="1:4" x14ac:dyDescent="0.25">
      <c r="A52">
        <v>100</v>
      </c>
      <c r="B52">
        <v>500</v>
      </c>
      <c r="D52" s="1">
        <v>5397349</v>
      </c>
    </row>
    <row r="53" spans="1:4" x14ac:dyDescent="0.25">
      <c r="A53">
        <v>500</v>
      </c>
      <c r="B53" t="s">
        <v>3</v>
      </c>
      <c r="D53" s="1">
        <v>4153592</v>
      </c>
    </row>
    <row r="54" spans="1:4" x14ac:dyDescent="0.25">
      <c r="A54" s="2" t="s">
        <v>15</v>
      </c>
      <c r="D54" s="1">
        <f>SUM(D46:D53)</f>
        <v>26316413</v>
      </c>
    </row>
    <row r="55" spans="1:4" x14ac:dyDescent="0.25">
      <c r="A55" s="2" t="s">
        <v>16</v>
      </c>
      <c r="D55" s="1">
        <v>136810000</v>
      </c>
    </row>
    <row r="56" spans="1:4" x14ac:dyDescent="0.25">
      <c r="A56" s="2" t="s">
        <v>17</v>
      </c>
      <c r="D56" s="3">
        <f>100*D54/D55</f>
        <v>19.235737884657553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326E9-8D2E-42C0-8EF9-E316006CB136}">
  <dimension ref="A3:D14"/>
  <sheetViews>
    <sheetView workbookViewId="0">
      <selection activeCell="A12" sqref="A12:D14"/>
    </sheetView>
  </sheetViews>
  <sheetFormatPr defaultRowHeight="15" x14ac:dyDescent="0.25"/>
  <cols>
    <col min="4" max="4" width="11.28515625" customWidth="1"/>
    <col min="5" max="5" width="10.140625" bestFit="1" customWidth="1"/>
  </cols>
  <sheetData>
    <row r="3" spans="1:4" x14ac:dyDescent="0.25">
      <c r="A3" s="2" t="s">
        <v>0</v>
      </c>
      <c r="B3" s="2" t="s">
        <v>1</v>
      </c>
      <c r="C3" s="2"/>
      <c r="D3" s="2" t="s">
        <v>4</v>
      </c>
    </row>
    <row r="4" spans="1:4" x14ac:dyDescent="0.25">
      <c r="A4" t="s">
        <v>2</v>
      </c>
      <c r="B4" s="1">
        <v>3000</v>
      </c>
      <c r="D4" s="1">
        <v>1610533</v>
      </c>
    </row>
    <row r="5" spans="1:4" x14ac:dyDescent="0.25">
      <c r="A5" s="1">
        <v>3000</v>
      </c>
      <c r="B5" s="1">
        <v>5000</v>
      </c>
      <c r="D5" s="1">
        <v>3596828</v>
      </c>
    </row>
    <row r="6" spans="1:4" x14ac:dyDescent="0.25">
      <c r="A6" s="1">
        <v>5000</v>
      </c>
      <c r="B6" s="1">
        <v>10000</v>
      </c>
      <c r="D6" s="1">
        <v>9213576</v>
      </c>
    </row>
    <row r="7" spans="1:4" x14ac:dyDescent="0.25">
      <c r="A7" s="1">
        <v>10000</v>
      </c>
      <c r="B7" s="1">
        <v>20000</v>
      </c>
      <c r="D7" s="1">
        <v>11150064</v>
      </c>
    </row>
    <row r="8" spans="1:4" x14ac:dyDescent="0.25">
      <c r="A8" s="1">
        <v>20000</v>
      </c>
      <c r="B8" s="1">
        <v>50000</v>
      </c>
      <c r="D8" s="1">
        <v>14828309</v>
      </c>
    </row>
    <row r="9" spans="1:4" x14ac:dyDescent="0.25">
      <c r="A9" s="1">
        <v>50000</v>
      </c>
      <c r="B9" s="1">
        <v>100000</v>
      </c>
      <c r="D9" s="1">
        <v>10989803</v>
      </c>
    </row>
    <row r="10" spans="1:4" x14ac:dyDescent="0.25">
      <c r="A10" s="1">
        <v>100000</v>
      </c>
      <c r="B10" s="1">
        <v>500000</v>
      </c>
      <c r="D10" s="1">
        <v>24425829</v>
      </c>
    </row>
    <row r="11" spans="1:4" x14ac:dyDescent="0.25">
      <c r="A11" s="1">
        <v>500000</v>
      </c>
      <c r="B11" t="s">
        <v>3</v>
      </c>
      <c r="D11" s="1">
        <v>24162753</v>
      </c>
    </row>
    <row r="12" spans="1:4" x14ac:dyDescent="0.25">
      <c r="A12" s="2" t="s">
        <v>15</v>
      </c>
      <c r="D12" s="1">
        <f>SUM(D4:D11)</f>
        <v>99977695</v>
      </c>
    </row>
    <row r="13" spans="1:4" x14ac:dyDescent="0.25">
      <c r="A13" s="2" t="s">
        <v>16</v>
      </c>
      <c r="D13" s="1">
        <v>208826650</v>
      </c>
    </row>
    <row r="14" spans="1:4" x14ac:dyDescent="0.25">
      <c r="A14" s="2" t="s">
        <v>17</v>
      </c>
      <c r="D14" s="3">
        <f>100*D12/D13</f>
        <v>47.875927234383163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ECCEF-9F8C-4056-9EBF-C43E8745BF26}">
  <dimension ref="A3:D14"/>
  <sheetViews>
    <sheetView workbookViewId="0">
      <selection activeCell="A3" sqref="A3:B11"/>
    </sheetView>
  </sheetViews>
  <sheetFormatPr defaultRowHeight="15" x14ac:dyDescent="0.25"/>
  <cols>
    <col min="4" max="4" width="13.42578125" customWidth="1"/>
  </cols>
  <sheetData>
    <row r="3" spans="1:4" x14ac:dyDescent="0.25">
      <c r="A3" s="2" t="s">
        <v>0</v>
      </c>
      <c r="B3" s="2" t="s">
        <v>1</v>
      </c>
      <c r="C3" s="2"/>
      <c r="D3" s="2" t="s">
        <v>4</v>
      </c>
    </row>
    <row r="4" spans="1:4" x14ac:dyDescent="0.25">
      <c r="A4" t="s">
        <v>2</v>
      </c>
      <c r="B4" s="1">
        <v>3000</v>
      </c>
      <c r="D4" s="1">
        <v>2051695</v>
      </c>
    </row>
    <row r="5" spans="1:4" x14ac:dyDescent="0.25">
      <c r="A5" s="1">
        <v>3000</v>
      </c>
      <c r="B5" s="1">
        <v>5000</v>
      </c>
      <c r="D5" s="1">
        <v>4098169</v>
      </c>
    </row>
    <row r="6" spans="1:4" x14ac:dyDescent="0.25">
      <c r="A6" s="1">
        <v>5000</v>
      </c>
      <c r="B6" s="1">
        <v>10000</v>
      </c>
      <c r="D6" s="1">
        <v>10069839</v>
      </c>
    </row>
    <row r="7" spans="1:4" x14ac:dyDescent="0.25">
      <c r="A7" s="1">
        <v>10000</v>
      </c>
      <c r="B7" s="1">
        <v>20000</v>
      </c>
      <c r="D7" s="1">
        <v>12721674</v>
      </c>
    </row>
    <row r="8" spans="1:4" x14ac:dyDescent="0.25">
      <c r="A8" s="1">
        <v>20000</v>
      </c>
      <c r="B8" s="1">
        <v>50000</v>
      </c>
      <c r="D8" s="1">
        <v>18468944</v>
      </c>
    </row>
    <row r="9" spans="1:4" x14ac:dyDescent="0.25">
      <c r="A9" s="1">
        <v>50000</v>
      </c>
      <c r="B9" s="1">
        <v>100000</v>
      </c>
      <c r="D9" s="1">
        <v>13054945</v>
      </c>
    </row>
    <row r="10" spans="1:4" x14ac:dyDescent="0.25">
      <c r="A10" s="1">
        <v>100000</v>
      </c>
      <c r="B10" s="1">
        <v>500000</v>
      </c>
      <c r="D10" s="1">
        <v>38239651</v>
      </c>
    </row>
    <row r="11" spans="1:4" x14ac:dyDescent="0.25">
      <c r="A11" s="1">
        <v>500000</v>
      </c>
      <c r="B11" t="s">
        <v>3</v>
      </c>
      <c r="D11" s="1">
        <v>37286597</v>
      </c>
    </row>
    <row r="12" spans="1:4" x14ac:dyDescent="0.25">
      <c r="A12" s="2" t="s">
        <v>15</v>
      </c>
      <c r="D12" s="1">
        <f>SUM(D4:D11)</f>
        <v>135991514</v>
      </c>
    </row>
    <row r="13" spans="1:4" x14ac:dyDescent="0.25">
      <c r="A13" s="2" t="s">
        <v>16</v>
      </c>
      <c r="D13" s="1">
        <v>241720134</v>
      </c>
    </row>
    <row r="14" spans="1:4" x14ac:dyDescent="0.25">
      <c r="A14" s="2" t="s">
        <v>17</v>
      </c>
      <c r="D14" s="3">
        <f>100*D12/D13</f>
        <v>56.259903446851474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C2E70-CE4D-4995-8529-70D230642B3F}">
  <dimension ref="A3:D15"/>
  <sheetViews>
    <sheetView workbookViewId="0">
      <selection activeCell="H20" sqref="H20"/>
    </sheetView>
  </sheetViews>
  <sheetFormatPr defaultRowHeight="15" x14ac:dyDescent="0.25"/>
  <cols>
    <col min="4" max="4" width="12.140625" customWidth="1"/>
  </cols>
  <sheetData>
    <row r="3" spans="1:4" x14ac:dyDescent="0.25">
      <c r="A3" s="2" t="s">
        <v>0</v>
      </c>
      <c r="B3" s="2" t="s">
        <v>1</v>
      </c>
      <c r="C3" s="2"/>
      <c r="D3" s="2" t="s">
        <v>4</v>
      </c>
    </row>
    <row r="4" spans="1:4" x14ac:dyDescent="0.25">
      <c r="A4" t="s">
        <v>2</v>
      </c>
      <c r="B4" s="1">
        <v>3000</v>
      </c>
      <c r="D4" s="1">
        <v>2114745</v>
      </c>
    </row>
    <row r="5" spans="1:4" x14ac:dyDescent="0.25">
      <c r="A5" s="1">
        <v>3000</v>
      </c>
      <c r="B5" s="1">
        <v>5000</v>
      </c>
      <c r="D5" s="1">
        <v>4252575</v>
      </c>
    </row>
    <row r="6" spans="1:4" x14ac:dyDescent="0.25">
      <c r="A6" s="1">
        <v>5000</v>
      </c>
      <c r="B6" s="1">
        <v>10000</v>
      </c>
      <c r="D6" s="1">
        <v>10665340</v>
      </c>
    </row>
    <row r="7" spans="1:4" x14ac:dyDescent="0.25">
      <c r="A7" s="1">
        <v>10000</v>
      </c>
      <c r="B7" s="1">
        <v>20000</v>
      </c>
      <c r="D7" s="1">
        <v>13750129</v>
      </c>
    </row>
    <row r="8" spans="1:4" x14ac:dyDescent="0.25">
      <c r="A8" s="1">
        <v>20000</v>
      </c>
      <c r="B8" s="1">
        <v>50000</v>
      </c>
      <c r="D8" s="1">
        <v>20247758</v>
      </c>
    </row>
    <row r="9" spans="1:4" x14ac:dyDescent="0.25">
      <c r="A9" s="1">
        <v>50000</v>
      </c>
      <c r="B9" s="1">
        <v>100000</v>
      </c>
      <c r="D9" s="1">
        <v>14944959</v>
      </c>
    </row>
    <row r="10" spans="1:4" x14ac:dyDescent="0.25">
      <c r="A10" s="1">
        <v>100000</v>
      </c>
      <c r="B10" s="1">
        <v>250000</v>
      </c>
      <c r="D10" s="1">
        <v>24525256</v>
      </c>
    </row>
    <row r="11" spans="1:4" x14ac:dyDescent="0.25">
      <c r="A11" s="1">
        <v>250000</v>
      </c>
      <c r="B11" s="1">
        <v>500000</v>
      </c>
      <c r="D11" s="1">
        <v>22547945</v>
      </c>
    </row>
    <row r="12" spans="1:4" x14ac:dyDescent="0.25">
      <c r="A12" s="1">
        <v>500000</v>
      </c>
      <c r="B12" t="s">
        <v>3</v>
      </c>
      <c r="D12" s="1">
        <v>50537237</v>
      </c>
    </row>
    <row r="13" spans="1:4" x14ac:dyDescent="0.25">
      <c r="A13" s="2" t="s">
        <v>15</v>
      </c>
      <c r="D13" s="1">
        <f>SUM(D4:D12)</f>
        <v>163585944</v>
      </c>
    </row>
    <row r="14" spans="1:4" x14ac:dyDescent="0.25">
      <c r="A14" s="2" t="s">
        <v>16</v>
      </c>
      <c r="D14" s="1">
        <v>241720134</v>
      </c>
    </row>
    <row r="15" spans="1:4" x14ac:dyDescent="0.25">
      <c r="A15" s="2" t="s">
        <v>17</v>
      </c>
      <c r="D15" s="3">
        <f>100*D13/D14</f>
        <v>67.67576258252447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413B-3CBA-4C92-A836-5049A5909C6E}">
  <dimension ref="A3:G36"/>
  <sheetViews>
    <sheetView tabSelected="1" workbookViewId="0">
      <selection activeCell="G23" sqref="G23"/>
    </sheetView>
  </sheetViews>
  <sheetFormatPr defaultRowHeight="15" x14ac:dyDescent="0.25"/>
  <cols>
    <col min="4" max="4" width="11.140625" customWidth="1"/>
  </cols>
  <sheetData>
    <row r="3" spans="1:4" x14ac:dyDescent="0.25">
      <c r="A3" s="2" t="s">
        <v>0</v>
      </c>
      <c r="B3" s="2" t="s">
        <v>1</v>
      </c>
      <c r="C3" s="2"/>
      <c r="D3" s="2" t="s">
        <v>4</v>
      </c>
    </row>
    <row r="4" spans="1:4" x14ac:dyDescent="0.25">
      <c r="A4" t="s">
        <v>2</v>
      </c>
      <c r="B4" s="1">
        <v>3000</v>
      </c>
      <c r="D4" s="1">
        <v>727660</v>
      </c>
    </row>
    <row r="5" spans="1:4" x14ac:dyDescent="0.25">
      <c r="A5" s="1">
        <v>3000</v>
      </c>
      <c r="B5" s="1">
        <v>5000</v>
      </c>
      <c r="D5" s="1">
        <v>779186</v>
      </c>
    </row>
    <row r="6" spans="1:4" x14ac:dyDescent="0.25">
      <c r="A6" s="1">
        <v>5000</v>
      </c>
      <c r="B6" s="1">
        <v>10000</v>
      </c>
      <c r="D6" s="1">
        <v>1632180</v>
      </c>
    </row>
    <row r="7" spans="1:4" x14ac:dyDescent="0.25">
      <c r="A7" s="1">
        <v>10000</v>
      </c>
      <c r="B7" s="1">
        <v>20000</v>
      </c>
      <c r="D7" s="1">
        <v>2145140</v>
      </c>
    </row>
    <row r="8" spans="1:4" x14ac:dyDescent="0.25">
      <c r="A8" s="1">
        <v>20000</v>
      </c>
      <c r="B8" s="1">
        <v>50000</v>
      </c>
      <c r="D8" s="1">
        <v>2157322</v>
      </c>
    </row>
    <row r="9" spans="1:4" x14ac:dyDescent="0.25">
      <c r="A9" s="1">
        <v>50000</v>
      </c>
      <c r="B9" s="1">
        <v>100000</v>
      </c>
      <c r="D9" s="1">
        <v>2566621</v>
      </c>
    </row>
    <row r="10" spans="1:4" x14ac:dyDescent="0.25">
      <c r="A10" s="1">
        <v>100000</v>
      </c>
      <c r="B10" s="1">
        <v>500000</v>
      </c>
      <c r="D10" s="1">
        <v>2807455</v>
      </c>
    </row>
    <row r="11" spans="1:4" x14ac:dyDescent="0.25">
      <c r="A11" s="1">
        <v>500000</v>
      </c>
      <c r="B11" t="s">
        <v>3</v>
      </c>
      <c r="D11" s="1">
        <v>3639955</v>
      </c>
    </row>
    <row r="12" spans="1:4" x14ac:dyDescent="0.25">
      <c r="A12" s="2" t="s">
        <v>15</v>
      </c>
      <c r="D12" s="1">
        <f>SUM(D4:D11)</f>
        <v>16455519</v>
      </c>
    </row>
    <row r="13" spans="1:4" x14ac:dyDescent="0.25">
      <c r="A13" s="2" t="s">
        <v>16</v>
      </c>
      <c r="D13" s="1">
        <v>92736716</v>
      </c>
    </row>
    <row r="14" spans="1:4" x14ac:dyDescent="0.25">
      <c r="A14" s="2" t="s">
        <v>17</v>
      </c>
      <c r="D14" s="3">
        <f>100*D12/D13</f>
        <v>17.744340871419254</v>
      </c>
    </row>
    <row r="18" spans="1:7" x14ac:dyDescent="0.25">
      <c r="A18" s="2" t="s">
        <v>0</v>
      </c>
      <c r="B18" s="2" t="s">
        <v>1</v>
      </c>
      <c r="C18" s="2"/>
      <c r="D18" s="2" t="s">
        <v>4</v>
      </c>
    </row>
    <row r="19" spans="1:7" x14ac:dyDescent="0.25">
      <c r="A19" t="s">
        <v>2</v>
      </c>
      <c r="B19" s="5">
        <v>1000</v>
      </c>
      <c r="C19" s="2"/>
      <c r="D19" s="5">
        <v>6380</v>
      </c>
    </row>
    <row r="20" spans="1:7" x14ac:dyDescent="0.25">
      <c r="A20" s="5">
        <v>1000</v>
      </c>
      <c r="B20" s="5">
        <v>2000</v>
      </c>
      <c r="C20" s="4"/>
      <c r="D20" s="5">
        <v>47916</v>
      </c>
    </row>
    <row r="21" spans="1:7" x14ac:dyDescent="0.25">
      <c r="A21" s="5">
        <v>2000</v>
      </c>
      <c r="B21" s="5">
        <v>3000</v>
      </c>
      <c r="C21" s="4"/>
      <c r="D21" s="5">
        <v>113308</v>
      </c>
    </row>
    <row r="22" spans="1:7" x14ac:dyDescent="0.25">
      <c r="A22" s="5">
        <v>3000</v>
      </c>
      <c r="B22" s="5">
        <v>5000</v>
      </c>
      <c r="C22" s="4"/>
      <c r="D22" s="5">
        <v>353375</v>
      </c>
    </row>
    <row r="23" spans="1:7" x14ac:dyDescent="0.25">
      <c r="A23" s="5">
        <v>5000</v>
      </c>
      <c r="B23" s="5">
        <v>7000</v>
      </c>
      <c r="C23" s="4"/>
      <c r="D23" s="5">
        <v>389605</v>
      </c>
      <c r="G23" s="2" t="s">
        <v>33</v>
      </c>
    </row>
    <row r="24" spans="1:7" x14ac:dyDescent="0.25">
      <c r="A24" s="5">
        <v>7000</v>
      </c>
      <c r="B24" s="5">
        <v>10000</v>
      </c>
      <c r="C24" s="4"/>
      <c r="D24" s="5">
        <v>517796</v>
      </c>
    </row>
    <row r="25" spans="1:7" x14ac:dyDescent="0.25">
      <c r="A25" s="5">
        <v>10000</v>
      </c>
      <c r="B25" s="5">
        <v>15000</v>
      </c>
      <c r="C25" s="4"/>
      <c r="D25" s="5">
        <v>951932</v>
      </c>
    </row>
    <row r="26" spans="1:7" x14ac:dyDescent="0.25">
      <c r="A26" s="5">
        <v>15000</v>
      </c>
      <c r="B26" s="5">
        <v>20000</v>
      </c>
      <c r="C26" s="4"/>
      <c r="D26" s="5">
        <v>749591</v>
      </c>
    </row>
    <row r="27" spans="1:7" x14ac:dyDescent="0.25">
      <c r="A27" s="5">
        <v>20000</v>
      </c>
      <c r="B27" s="5">
        <v>25000</v>
      </c>
      <c r="C27" s="4"/>
      <c r="D27" s="5">
        <v>559670</v>
      </c>
    </row>
    <row r="28" spans="1:7" x14ac:dyDescent="0.25">
      <c r="A28" s="5">
        <v>25000</v>
      </c>
      <c r="B28" s="5">
        <v>30000</v>
      </c>
      <c r="C28" s="4"/>
      <c r="D28" s="5">
        <v>432250</v>
      </c>
    </row>
    <row r="29" spans="1:7" x14ac:dyDescent="0.25">
      <c r="A29" s="5">
        <v>30000</v>
      </c>
      <c r="B29" s="5">
        <v>40000</v>
      </c>
      <c r="C29" s="4"/>
      <c r="D29" s="5">
        <v>854763</v>
      </c>
    </row>
    <row r="30" spans="1:7" x14ac:dyDescent="0.25">
      <c r="A30" s="5">
        <v>40000</v>
      </c>
      <c r="B30" s="5">
        <v>50000</v>
      </c>
      <c r="C30" s="4"/>
      <c r="D30" s="5">
        <v>362266</v>
      </c>
    </row>
    <row r="31" spans="1:7" x14ac:dyDescent="0.25">
      <c r="A31" s="5">
        <v>50000</v>
      </c>
      <c r="B31" s="5">
        <v>70000</v>
      </c>
      <c r="C31" s="4"/>
      <c r="D31" s="5">
        <v>1174773</v>
      </c>
    </row>
    <row r="32" spans="1:7" x14ac:dyDescent="0.25">
      <c r="A32" s="5">
        <v>70000</v>
      </c>
      <c r="B32" s="5">
        <v>100000</v>
      </c>
      <c r="C32" s="4"/>
      <c r="D32" s="5">
        <v>1570708</v>
      </c>
    </row>
    <row r="33" spans="1:4" x14ac:dyDescent="0.25">
      <c r="A33" s="5">
        <v>100000</v>
      </c>
      <c r="B33" s="4" t="s">
        <v>3</v>
      </c>
      <c r="C33" s="4"/>
      <c r="D33" s="5">
        <v>6188683</v>
      </c>
    </row>
    <row r="34" spans="1:4" x14ac:dyDescent="0.25">
      <c r="A34" s="2" t="s">
        <v>15</v>
      </c>
      <c r="B34" s="4"/>
      <c r="C34" s="4"/>
      <c r="D34" s="5">
        <f>SUM(D19:D33)</f>
        <v>14273016</v>
      </c>
    </row>
    <row r="35" spans="1:4" x14ac:dyDescent="0.25">
      <c r="A35" s="2" t="s">
        <v>16</v>
      </c>
      <c r="B35" s="4"/>
      <c r="C35" s="4"/>
      <c r="D35" s="5">
        <v>100891244</v>
      </c>
    </row>
    <row r="36" spans="1:4" x14ac:dyDescent="0.25">
      <c r="A36" s="2" t="s">
        <v>17</v>
      </c>
      <c r="B36" s="4"/>
      <c r="C36" s="4"/>
      <c r="D36" s="3">
        <f>100*D34/D35</f>
        <v>14.146932314562401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2521-C453-4789-9567-9D014E4404BA}">
  <dimension ref="A3:D14"/>
  <sheetViews>
    <sheetView workbookViewId="0">
      <selection activeCell="D19" sqref="D19"/>
    </sheetView>
  </sheetViews>
  <sheetFormatPr defaultRowHeight="15" x14ac:dyDescent="0.25"/>
  <cols>
    <col min="4" max="4" width="11" customWidth="1"/>
  </cols>
  <sheetData>
    <row r="3" spans="1:4" x14ac:dyDescent="0.25">
      <c r="A3" s="2" t="s">
        <v>0</v>
      </c>
      <c r="B3" s="2" t="s">
        <v>1</v>
      </c>
      <c r="C3" s="2"/>
      <c r="D3" s="2" t="s">
        <v>4</v>
      </c>
    </row>
    <row r="4" spans="1:4" x14ac:dyDescent="0.25">
      <c r="A4" t="s">
        <v>2</v>
      </c>
      <c r="B4" s="1">
        <v>3000</v>
      </c>
      <c r="D4" s="1">
        <v>622363</v>
      </c>
    </row>
    <row r="5" spans="1:4" x14ac:dyDescent="0.25">
      <c r="A5" s="1">
        <v>3000</v>
      </c>
      <c r="B5" s="1">
        <v>5000</v>
      </c>
      <c r="D5" s="1">
        <v>1763827</v>
      </c>
    </row>
    <row r="6" spans="1:4" x14ac:dyDescent="0.25">
      <c r="A6" s="1">
        <v>5000</v>
      </c>
      <c r="B6" s="1">
        <v>10000</v>
      </c>
      <c r="D6" s="1">
        <v>4660310</v>
      </c>
    </row>
    <row r="7" spans="1:4" x14ac:dyDescent="0.25">
      <c r="A7" s="1">
        <v>10000</v>
      </c>
      <c r="B7" s="1">
        <v>20000</v>
      </c>
      <c r="D7" s="1">
        <v>6417782</v>
      </c>
    </row>
    <row r="8" spans="1:4" x14ac:dyDescent="0.25">
      <c r="A8" s="1">
        <v>20000</v>
      </c>
      <c r="B8" s="1">
        <v>50000</v>
      </c>
      <c r="D8" s="1">
        <v>9741418</v>
      </c>
    </row>
    <row r="9" spans="1:4" x14ac:dyDescent="0.25">
      <c r="A9" s="1">
        <v>50000</v>
      </c>
      <c r="B9" s="1">
        <v>100000</v>
      </c>
      <c r="D9" s="1">
        <v>6720976</v>
      </c>
    </row>
    <row r="10" spans="1:4" x14ac:dyDescent="0.25">
      <c r="A10" s="1">
        <v>100000</v>
      </c>
      <c r="B10" s="1">
        <v>500000</v>
      </c>
      <c r="D10" s="1">
        <v>15459194</v>
      </c>
    </row>
    <row r="11" spans="1:4" x14ac:dyDescent="0.25">
      <c r="A11" s="1">
        <v>500000</v>
      </c>
      <c r="B11" t="s">
        <v>3</v>
      </c>
      <c r="D11" s="1">
        <v>16225204</v>
      </c>
    </row>
    <row r="12" spans="1:4" x14ac:dyDescent="0.25">
      <c r="A12" s="2" t="s">
        <v>15</v>
      </c>
      <c r="D12" s="1">
        <f>SUM(D4:D11)</f>
        <v>61611074</v>
      </c>
    </row>
    <row r="13" spans="1:4" x14ac:dyDescent="0.25">
      <c r="A13" s="2" t="s">
        <v>16</v>
      </c>
      <c r="D13" s="1">
        <v>117534315</v>
      </c>
    </row>
    <row r="14" spans="1:4" x14ac:dyDescent="0.25">
      <c r="A14" s="2" t="s">
        <v>17</v>
      </c>
      <c r="D14" s="3">
        <f>100*D12/D13</f>
        <v>52.419647827955608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6153-DE52-4DDC-AC00-DEE976B14729}">
  <dimension ref="A3:D14"/>
  <sheetViews>
    <sheetView workbookViewId="0">
      <selection activeCell="A3" sqref="A3:B11"/>
    </sheetView>
  </sheetViews>
  <sheetFormatPr defaultRowHeight="15" x14ac:dyDescent="0.25"/>
  <cols>
    <col min="4" max="4" width="12.85546875" customWidth="1"/>
  </cols>
  <sheetData>
    <row r="3" spans="1:4" x14ac:dyDescent="0.25">
      <c r="A3" s="2" t="s">
        <v>0</v>
      </c>
      <c r="B3" s="2" t="s">
        <v>1</v>
      </c>
      <c r="C3" s="2"/>
      <c r="D3" s="2" t="s">
        <v>4</v>
      </c>
    </row>
    <row r="4" spans="1:4" x14ac:dyDescent="0.25">
      <c r="A4" t="s">
        <v>2</v>
      </c>
      <c r="B4" s="1">
        <v>3000</v>
      </c>
      <c r="D4" s="1">
        <v>875596</v>
      </c>
    </row>
    <row r="5" spans="1:4" x14ac:dyDescent="0.25">
      <c r="A5" s="1">
        <v>3000</v>
      </c>
      <c r="B5" s="1">
        <v>5000</v>
      </c>
      <c r="D5" s="1">
        <v>2137680</v>
      </c>
    </row>
    <row r="6" spans="1:4" x14ac:dyDescent="0.25">
      <c r="A6" s="1">
        <v>5000</v>
      </c>
      <c r="B6" s="1">
        <v>10000</v>
      </c>
      <c r="D6" s="1">
        <v>5330060</v>
      </c>
    </row>
    <row r="7" spans="1:4" x14ac:dyDescent="0.25">
      <c r="A7" s="1">
        <v>10000</v>
      </c>
      <c r="B7" s="1">
        <v>20000</v>
      </c>
      <c r="D7" s="1">
        <v>6616796</v>
      </c>
    </row>
    <row r="8" spans="1:4" x14ac:dyDescent="0.25">
      <c r="A8" s="1">
        <v>20000</v>
      </c>
      <c r="B8" s="1">
        <v>50000</v>
      </c>
      <c r="D8" s="1">
        <v>11565985</v>
      </c>
    </row>
    <row r="9" spans="1:4" x14ac:dyDescent="0.25">
      <c r="A9" s="1">
        <v>50000</v>
      </c>
      <c r="B9" s="1">
        <v>100000</v>
      </c>
      <c r="D9" s="1">
        <v>7908160</v>
      </c>
    </row>
    <row r="10" spans="1:4" x14ac:dyDescent="0.25">
      <c r="A10" s="1">
        <v>100000</v>
      </c>
      <c r="B10" s="1">
        <v>500000</v>
      </c>
      <c r="D10" s="1">
        <v>23315401</v>
      </c>
    </row>
    <row r="11" spans="1:4" x14ac:dyDescent="0.25">
      <c r="A11" s="1">
        <v>500000</v>
      </c>
      <c r="B11" t="s">
        <v>3</v>
      </c>
      <c r="D11" s="1">
        <v>23231465</v>
      </c>
    </row>
    <row r="12" spans="1:4" x14ac:dyDescent="0.25">
      <c r="A12" s="2" t="s">
        <v>15</v>
      </c>
      <c r="D12" s="1">
        <f>SUM(D4:D11)</f>
        <v>80981143</v>
      </c>
    </row>
    <row r="13" spans="1:4" x14ac:dyDescent="0.25">
      <c r="A13" s="2" t="s">
        <v>16</v>
      </c>
      <c r="D13" s="1">
        <v>130079210</v>
      </c>
    </row>
    <row r="14" spans="1:4" x14ac:dyDescent="0.25">
      <c r="A14" s="2" t="s">
        <v>17</v>
      </c>
      <c r="D14" s="3">
        <f>100*D12/D13</f>
        <v>62.255254317734554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0B758-2D8E-4D0F-9152-375389941F4D}">
  <dimension ref="A3:D15"/>
  <sheetViews>
    <sheetView workbookViewId="0">
      <selection activeCell="A3" sqref="A3:B12"/>
    </sheetView>
  </sheetViews>
  <sheetFormatPr defaultRowHeight="15" x14ac:dyDescent="0.25"/>
  <cols>
    <col min="4" max="4" width="22.42578125" customWidth="1"/>
  </cols>
  <sheetData>
    <row r="3" spans="1:4" x14ac:dyDescent="0.25">
      <c r="A3" s="2" t="s">
        <v>0</v>
      </c>
      <c r="B3" s="2" t="s">
        <v>1</v>
      </c>
      <c r="C3" s="2"/>
      <c r="D3" s="2" t="s">
        <v>4</v>
      </c>
    </row>
    <row r="4" spans="1:4" x14ac:dyDescent="0.25">
      <c r="A4" t="s">
        <v>2</v>
      </c>
      <c r="B4" s="1">
        <v>3000</v>
      </c>
      <c r="D4" s="1">
        <v>970800</v>
      </c>
    </row>
    <row r="5" spans="1:4" x14ac:dyDescent="0.25">
      <c r="A5" s="1">
        <v>3000</v>
      </c>
      <c r="B5" s="1">
        <v>5000</v>
      </c>
      <c r="D5" s="1">
        <v>2312878</v>
      </c>
    </row>
    <row r="6" spans="1:4" x14ac:dyDescent="0.25">
      <c r="A6" s="1">
        <v>5000</v>
      </c>
      <c r="B6" s="1">
        <v>10000</v>
      </c>
      <c r="D6" s="1">
        <v>5385703</v>
      </c>
    </row>
    <row r="7" spans="1:4" x14ac:dyDescent="0.25">
      <c r="A7" s="1">
        <v>10000</v>
      </c>
      <c r="B7" s="1">
        <v>20000</v>
      </c>
      <c r="D7" s="1">
        <v>6890054</v>
      </c>
    </row>
    <row r="8" spans="1:4" x14ac:dyDescent="0.25">
      <c r="A8" s="1">
        <v>20000</v>
      </c>
      <c r="B8" s="1">
        <v>50000</v>
      </c>
      <c r="D8" s="1">
        <v>11978294</v>
      </c>
    </row>
    <row r="9" spans="1:4" x14ac:dyDescent="0.25">
      <c r="A9" s="1">
        <v>50000</v>
      </c>
      <c r="B9" s="1">
        <v>100000</v>
      </c>
      <c r="D9" s="1">
        <v>9081267</v>
      </c>
    </row>
    <row r="10" spans="1:4" x14ac:dyDescent="0.25">
      <c r="A10" s="1">
        <v>100000</v>
      </c>
      <c r="B10" s="1">
        <v>250000</v>
      </c>
      <c r="D10" s="1">
        <v>12881225</v>
      </c>
    </row>
    <row r="11" spans="1:4" x14ac:dyDescent="0.25">
      <c r="A11" s="1">
        <v>250000</v>
      </c>
      <c r="B11" s="1">
        <v>500000</v>
      </c>
      <c r="D11" s="1">
        <v>14159420</v>
      </c>
    </row>
    <row r="12" spans="1:4" x14ac:dyDescent="0.25">
      <c r="A12" s="1">
        <v>500000</v>
      </c>
      <c r="B12" t="s">
        <v>3</v>
      </c>
      <c r="D12" s="1">
        <v>31714226</v>
      </c>
    </row>
    <row r="13" spans="1:4" x14ac:dyDescent="0.25">
      <c r="A13" s="2" t="s">
        <v>15</v>
      </c>
      <c r="D13" s="1">
        <f>SUM(D4:D12)</f>
        <v>95373867</v>
      </c>
    </row>
    <row r="14" spans="1:4" x14ac:dyDescent="0.25">
      <c r="A14" s="2" t="s">
        <v>16</v>
      </c>
      <c r="D14" s="1">
        <v>241720134</v>
      </c>
    </row>
    <row r="15" spans="1:4" x14ac:dyDescent="0.25">
      <c r="A15" s="2" t="s">
        <v>17</v>
      </c>
      <c r="D15" s="3">
        <f>100*D13/D14</f>
        <v>39.456318934524504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CEBF5-B4BD-4DD1-AC0A-66E7B41EFED5}">
  <dimension ref="A3:H17"/>
  <sheetViews>
    <sheetView workbookViewId="0">
      <selection activeCell="F17" sqref="F17"/>
    </sheetView>
  </sheetViews>
  <sheetFormatPr defaultRowHeight="15" x14ac:dyDescent="0.25"/>
  <cols>
    <col min="4" max="4" width="20" customWidth="1"/>
    <col min="6" max="6" width="10.7109375" bestFit="1" customWidth="1"/>
  </cols>
  <sheetData>
    <row r="3" spans="1:8" x14ac:dyDescent="0.25">
      <c r="A3" s="2" t="s">
        <v>0</v>
      </c>
      <c r="B3" s="2" t="s">
        <v>1</v>
      </c>
    </row>
    <row r="4" spans="1:8" x14ac:dyDescent="0.25">
      <c r="A4" t="s">
        <v>2</v>
      </c>
      <c r="B4" s="1">
        <v>1000</v>
      </c>
      <c r="D4" s="1">
        <f>D16-D14</f>
        <v>8283369</v>
      </c>
    </row>
    <row r="5" spans="1:8" x14ac:dyDescent="0.25">
      <c r="A5" s="1">
        <v>1000</v>
      </c>
      <c r="B5" s="1">
        <v>1500</v>
      </c>
      <c r="D5" s="1">
        <v>1251217</v>
      </c>
      <c r="F5" s="1"/>
    </row>
    <row r="6" spans="1:8" x14ac:dyDescent="0.25">
      <c r="A6" s="1">
        <v>1500</v>
      </c>
      <c r="B6" s="1">
        <v>2000</v>
      </c>
      <c r="D6" s="1">
        <v>863103</v>
      </c>
    </row>
    <row r="7" spans="1:8" x14ac:dyDescent="0.25">
      <c r="A7" s="1">
        <v>2000</v>
      </c>
      <c r="B7" s="1">
        <v>2500</v>
      </c>
      <c r="D7" s="1">
        <v>614036</v>
      </c>
    </row>
    <row r="8" spans="1:8" x14ac:dyDescent="0.25">
      <c r="A8" s="1">
        <v>2500</v>
      </c>
      <c r="B8" s="1">
        <v>3000</v>
      </c>
      <c r="D8" s="1">
        <v>418091</v>
      </c>
    </row>
    <row r="9" spans="1:8" x14ac:dyDescent="0.25">
      <c r="A9" s="1">
        <v>3000</v>
      </c>
      <c r="B9" s="1">
        <v>3500</v>
      </c>
      <c r="D9" s="1">
        <v>263400</v>
      </c>
    </row>
    <row r="10" spans="1:8" x14ac:dyDescent="0.25">
      <c r="A10" s="1">
        <v>3500</v>
      </c>
      <c r="B10" s="1">
        <v>4000</v>
      </c>
      <c r="D10" s="1">
        <v>216700</v>
      </c>
    </row>
    <row r="11" spans="1:8" x14ac:dyDescent="0.25">
      <c r="A11" s="1">
        <v>4000</v>
      </c>
      <c r="B11" s="1">
        <v>4500</v>
      </c>
      <c r="D11" s="1">
        <v>258876</v>
      </c>
    </row>
    <row r="12" spans="1:8" x14ac:dyDescent="0.25">
      <c r="A12" s="1">
        <v>4500</v>
      </c>
      <c r="B12" s="1">
        <v>5000</v>
      </c>
      <c r="D12" s="1">
        <v>151698</v>
      </c>
    </row>
    <row r="13" spans="1:8" x14ac:dyDescent="0.25">
      <c r="A13" s="1">
        <v>5000</v>
      </c>
      <c r="B13" t="s">
        <v>3</v>
      </c>
      <c r="D13" s="1">
        <v>4232232</v>
      </c>
    </row>
    <row r="14" spans="1:8" x14ac:dyDescent="0.25">
      <c r="A14" s="6" t="s">
        <v>24</v>
      </c>
      <c r="D14" s="1">
        <f>SUM(D5:D13)</f>
        <v>8269353</v>
      </c>
      <c r="F14" s="2" t="s">
        <v>26</v>
      </c>
    </row>
    <row r="15" spans="1:8" x14ac:dyDescent="0.25">
      <c r="A15" s="2" t="s">
        <v>15</v>
      </c>
      <c r="D15" s="1">
        <f>SUM(D5:D13)</f>
        <v>8269353</v>
      </c>
      <c r="F15" s="1">
        <v>5540631</v>
      </c>
      <c r="H15" s="1" t="s">
        <v>27</v>
      </c>
    </row>
    <row r="16" spans="1:8" x14ac:dyDescent="0.25">
      <c r="A16" s="2" t="s">
        <v>16</v>
      </c>
      <c r="D16" s="1">
        <v>16552722</v>
      </c>
    </row>
    <row r="17" spans="1:6" x14ac:dyDescent="0.25">
      <c r="A17" s="2" t="s">
        <v>17</v>
      </c>
      <c r="D17" s="3">
        <f>100*D15/D16</f>
        <v>49.957662552418874</v>
      </c>
      <c r="F17" s="3">
        <f>100*F15/D16</f>
        <v>33.472627643960912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93D3E-D80F-423E-BDEC-5E3B3CDBD631}">
  <dimension ref="A3:G23"/>
  <sheetViews>
    <sheetView workbookViewId="0">
      <selection activeCell="E20" sqref="E20"/>
    </sheetView>
  </sheetViews>
  <sheetFormatPr defaultRowHeight="15" x14ac:dyDescent="0.25"/>
  <cols>
    <col min="3" max="3" width="10.140625" bestFit="1" customWidth="1"/>
    <col min="5" max="5" width="10.140625" bestFit="1" customWidth="1"/>
  </cols>
  <sheetData>
    <row r="3" spans="1:4" x14ac:dyDescent="0.25">
      <c r="A3" s="2" t="s">
        <v>0</v>
      </c>
      <c r="B3" s="2" t="s">
        <v>1</v>
      </c>
    </row>
    <row r="4" spans="1:4" x14ac:dyDescent="0.25">
      <c r="A4" t="s">
        <v>2</v>
      </c>
      <c r="B4" s="1">
        <v>1000</v>
      </c>
      <c r="C4" s="1">
        <f>C19-C17</f>
        <v>12222347</v>
      </c>
      <c r="D4" s="1"/>
    </row>
    <row r="5" spans="1:4" x14ac:dyDescent="0.25">
      <c r="A5" s="1">
        <v>1000</v>
      </c>
      <c r="B5" s="1">
        <v>2500</v>
      </c>
      <c r="C5" s="1">
        <v>4995664</v>
      </c>
      <c r="D5" s="1"/>
    </row>
    <row r="6" spans="1:4" x14ac:dyDescent="0.25">
      <c r="A6" s="1">
        <v>2500</v>
      </c>
      <c r="B6" s="1">
        <v>5000</v>
      </c>
      <c r="C6" s="1">
        <v>2959460</v>
      </c>
      <c r="D6" s="1"/>
    </row>
    <row r="7" spans="1:4" x14ac:dyDescent="0.25">
      <c r="A7" s="1">
        <v>5000</v>
      </c>
      <c r="B7" s="1">
        <v>10000</v>
      </c>
      <c r="C7" s="1">
        <v>2366431</v>
      </c>
      <c r="D7" s="1"/>
    </row>
    <row r="8" spans="1:4" x14ac:dyDescent="0.25">
      <c r="A8" s="1">
        <v>10000</v>
      </c>
      <c r="B8" s="1">
        <v>20000</v>
      </c>
      <c r="C8" s="1">
        <v>2027511</v>
      </c>
      <c r="D8" s="1"/>
    </row>
    <row r="9" spans="1:4" x14ac:dyDescent="0.25">
      <c r="A9" s="1">
        <v>20000</v>
      </c>
      <c r="B9" s="1">
        <v>30000</v>
      </c>
      <c r="C9" s="1">
        <v>939938</v>
      </c>
      <c r="D9" s="1"/>
    </row>
    <row r="10" spans="1:4" x14ac:dyDescent="0.25">
      <c r="A10" s="1">
        <v>30000</v>
      </c>
      <c r="B10" s="1">
        <v>40000</v>
      </c>
      <c r="C10" s="1">
        <v>683971</v>
      </c>
      <c r="D10" s="1"/>
    </row>
    <row r="11" spans="1:4" x14ac:dyDescent="0.25">
      <c r="A11" s="1">
        <v>40000</v>
      </c>
      <c r="B11" s="1">
        <v>50000</v>
      </c>
      <c r="C11" s="1">
        <v>484642</v>
      </c>
      <c r="D11" s="1"/>
    </row>
    <row r="12" spans="1:4" x14ac:dyDescent="0.25">
      <c r="A12" s="1">
        <v>50000</v>
      </c>
      <c r="B12" s="1">
        <v>75000</v>
      </c>
      <c r="C12" s="1">
        <v>932190</v>
      </c>
      <c r="D12" s="1"/>
    </row>
    <row r="13" spans="1:4" x14ac:dyDescent="0.25">
      <c r="A13" s="1">
        <v>75000</v>
      </c>
      <c r="B13" s="1">
        <v>100000</v>
      </c>
      <c r="C13" s="1">
        <v>798743</v>
      </c>
      <c r="D13" s="1"/>
    </row>
    <row r="14" spans="1:4" x14ac:dyDescent="0.25">
      <c r="A14" s="1">
        <v>100000</v>
      </c>
      <c r="B14" s="1">
        <v>250000</v>
      </c>
      <c r="C14" s="1">
        <v>1795192</v>
      </c>
      <c r="D14" s="1"/>
    </row>
    <row r="15" spans="1:4" x14ac:dyDescent="0.25">
      <c r="A15" s="1">
        <v>250000</v>
      </c>
      <c r="B15" s="1">
        <v>500000</v>
      </c>
      <c r="C15" s="1">
        <v>551168</v>
      </c>
      <c r="D15" s="1"/>
    </row>
    <row r="16" spans="1:4" x14ac:dyDescent="0.25">
      <c r="A16" s="1">
        <v>500000</v>
      </c>
      <c r="B16" t="s">
        <v>3</v>
      </c>
      <c r="C16" s="1">
        <v>4165872</v>
      </c>
      <c r="D16" s="1"/>
    </row>
    <row r="17" spans="1:7" x14ac:dyDescent="0.25">
      <c r="A17" s="2" t="s">
        <v>24</v>
      </c>
      <c r="C17" s="1">
        <f>SUM(C5:C16)</f>
        <v>22700782</v>
      </c>
      <c r="D17" s="3"/>
      <c r="E17" s="2" t="s">
        <v>26</v>
      </c>
    </row>
    <row r="18" spans="1:7" x14ac:dyDescent="0.25">
      <c r="A18" s="2" t="s">
        <v>25</v>
      </c>
      <c r="C18" s="1">
        <f>C17</f>
        <v>22700782</v>
      </c>
      <c r="E18" s="1">
        <v>17218011</v>
      </c>
      <c r="G18" s="1" t="s">
        <v>27</v>
      </c>
    </row>
    <row r="19" spans="1:7" x14ac:dyDescent="0.25">
      <c r="A19" s="2" t="s">
        <v>16</v>
      </c>
      <c r="C19" s="1">
        <v>34923129</v>
      </c>
    </row>
    <row r="20" spans="1:7" x14ac:dyDescent="0.25">
      <c r="A20" s="2" t="s">
        <v>17</v>
      </c>
      <c r="C20">
        <f>100*C18/C19</f>
        <v>65.002142276541136</v>
      </c>
      <c r="E20" s="3">
        <f>100*E18/C19</f>
        <v>49.302601150085948</v>
      </c>
    </row>
    <row r="23" spans="1:7" x14ac:dyDescent="0.25">
      <c r="A23">
        <v>59</v>
      </c>
      <c r="B23">
        <v>68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F5240-BC93-4757-9D88-C679B5B701EC}">
  <dimension ref="A3:E26"/>
  <sheetViews>
    <sheetView workbookViewId="0">
      <selection activeCell="E20" sqref="E20"/>
    </sheetView>
  </sheetViews>
  <sheetFormatPr defaultRowHeight="15" x14ac:dyDescent="0.25"/>
  <cols>
    <col min="3" max="3" width="15.140625" customWidth="1"/>
    <col min="5" max="5" width="10.140625" bestFit="1" customWidth="1"/>
  </cols>
  <sheetData>
    <row r="3" spans="1:3" x14ac:dyDescent="0.25">
      <c r="A3" s="2" t="s">
        <v>0</v>
      </c>
      <c r="B3" s="2" t="s">
        <v>1</v>
      </c>
    </row>
    <row r="4" spans="1:3" x14ac:dyDescent="0.25">
      <c r="A4" t="s">
        <v>2</v>
      </c>
      <c r="B4" s="1">
        <v>1000</v>
      </c>
      <c r="C4" s="1">
        <f>C19-C17</f>
        <v>13550397</v>
      </c>
    </row>
    <row r="5" spans="1:3" x14ac:dyDescent="0.25">
      <c r="A5" s="1">
        <v>1000</v>
      </c>
      <c r="B5" s="1">
        <v>2500</v>
      </c>
      <c r="C5" s="1">
        <v>6366285</v>
      </c>
    </row>
    <row r="6" spans="1:3" x14ac:dyDescent="0.25">
      <c r="A6" s="1">
        <v>2500</v>
      </c>
      <c r="B6" s="1">
        <v>5000</v>
      </c>
      <c r="C6" s="1">
        <v>4129872</v>
      </c>
    </row>
    <row r="7" spans="1:3" x14ac:dyDescent="0.25">
      <c r="A7" s="1">
        <v>5000</v>
      </c>
      <c r="B7" s="1">
        <v>10000</v>
      </c>
      <c r="C7" s="1">
        <v>3764208</v>
      </c>
    </row>
    <row r="8" spans="1:3" x14ac:dyDescent="0.25">
      <c r="A8" s="1">
        <v>10000</v>
      </c>
      <c r="B8" s="1">
        <v>20000</v>
      </c>
      <c r="C8" s="1">
        <v>3409846</v>
      </c>
    </row>
    <row r="9" spans="1:3" x14ac:dyDescent="0.25">
      <c r="A9" s="1">
        <v>20000</v>
      </c>
      <c r="B9" s="1">
        <v>30000</v>
      </c>
      <c r="C9" s="1">
        <v>1531569</v>
      </c>
    </row>
    <row r="10" spans="1:3" x14ac:dyDescent="0.25">
      <c r="A10" s="1">
        <v>30000</v>
      </c>
      <c r="B10" s="1">
        <v>40000</v>
      </c>
      <c r="C10" s="1">
        <v>1015827</v>
      </c>
    </row>
    <row r="11" spans="1:3" x14ac:dyDescent="0.25">
      <c r="A11" s="1">
        <v>40000</v>
      </c>
      <c r="B11" s="1">
        <v>50000</v>
      </c>
      <c r="C11" s="1">
        <v>858422</v>
      </c>
    </row>
    <row r="12" spans="1:3" x14ac:dyDescent="0.25">
      <c r="A12" s="1">
        <v>50000</v>
      </c>
      <c r="B12" s="1">
        <v>75000</v>
      </c>
      <c r="C12" s="1">
        <v>1242173</v>
      </c>
    </row>
    <row r="13" spans="1:3" x14ac:dyDescent="0.25">
      <c r="A13" s="1">
        <v>75000</v>
      </c>
      <c r="B13" s="1">
        <v>100000</v>
      </c>
      <c r="C13" s="1">
        <v>1114396</v>
      </c>
    </row>
    <row r="14" spans="1:3" x14ac:dyDescent="0.25">
      <c r="A14" s="1">
        <v>100000</v>
      </c>
      <c r="B14" s="1">
        <v>250000</v>
      </c>
      <c r="C14" s="1">
        <v>3735336</v>
      </c>
    </row>
    <row r="15" spans="1:3" x14ac:dyDescent="0.25">
      <c r="A15" s="1">
        <v>250000</v>
      </c>
      <c r="B15" s="1">
        <v>500000</v>
      </c>
      <c r="C15" s="1">
        <v>1971794</v>
      </c>
    </row>
    <row r="16" spans="1:3" x14ac:dyDescent="0.25">
      <c r="A16" s="1">
        <v>500000</v>
      </c>
      <c r="B16" t="s">
        <v>3</v>
      </c>
      <c r="C16" s="1">
        <v>5535113</v>
      </c>
    </row>
    <row r="17" spans="1:5" x14ac:dyDescent="0.25">
      <c r="A17" s="2" t="s">
        <v>24</v>
      </c>
      <c r="C17" s="1">
        <f>SUM(C5:C16)</f>
        <v>34674841</v>
      </c>
      <c r="E17" s="2" t="s">
        <v>26</v>
      </c>
    </row>
    <row r="18" spans="1:5" x14ac:dyDescent="0.25">
      <c r="A18" s="2" t="s">
        <v>25</v>
      </c>
      <c r="C18" s="1">
        <f>C17</f>
        <v>34674841</v>
      </c>
      <c r="E18" s="1">
        <f>C19-C5-C4</f>
        <v>28308556</v>
      </c>
    </row>
    <row r="19" spans="1:5" x14ac:dyDescent="0.25">
      <c r="A19" s="2" t="s">
        <v>16</v>
      </c>
      <c r="C19" s="1">
        <v>48225238</v>
      </c>
    </row>
    <row r="20" spans="1:5" x14ac:dyDescent="0.25">
      <c r="A20" s="2" t="s">
        <v>17</v>
      </c>
      <c r="C20" s="3">
        <f>100*C18/C19</f>
        <v>71.901855621738974</v>
      </c>
      <c r="E20" s="3">
        <f>100*E18/C19</f>
        <v>58.700707708275075</v>
      </c>
    </row>
    <row r="24" spans="1:5" x14ac:dyDescent="0.25">
      <c r="A24">
        <v>7</v>
      </c>
      <c r="B24">
        <v>4</v>
      </c>
    </row>
    <row r="25" spans="1:5" x14ac:dyDescent="0.25">
      <c r="A25">
        <v>58</v>
      </c>
    </row>
    <row r="26" spans="1:5" x14ac:dyDescent="0.25">
      <c r="A26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Notes</vt:lpstr>
      <vt:lpstr>USSR-1926</vt:lpstr>
      <vt:lpstr>USSR-1959</vt:lpstr>
      <vt:lpstr>USSR-1970</vt:lpstr>
      <vt:lpstr>USSR-1979</vt:lpstr>
      <vt:lpstr>RSFSR-1926</vt:lpstr>
      <vt:lpstr>RSFSR-1959</vt:lpstr>
      <vt:lpstr>RSFSR-1970</vt:lpstr>
      <vt:lpstr>RSFSR-1979</vt:lpstr>
      <vt:lpstr>MX-1930</vt:lpstr>
      <vt:lpstr>MX-1960</vt:lpstr>
      <vt:lpstr>MX-1970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2026-04-27T09:02:17Z</dcterms:created>
  <dcterms:modified xsi:type="dcterms:W3CDTF">2026-04-27T10:55:33Z</dcterms:modified>
</cp:coreProperties>
</file>