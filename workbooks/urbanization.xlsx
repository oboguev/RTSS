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github\RTSS\workbooks\"/>
    </mc:Choice>
  </mc:AlternateContent>
  <xr:revisionPtr revIDLastSave="0" documentId="13_ncr:1_{B949480A-1B9D-450A-AC01-9C753AE13B18}" xr6:coauthVersionLast="47" xr6:coauthVersionMax="47" xr10:uidLastSave="{00000000-0000-0000-0000-000000000000}"/>
  <bookViews>
    <workbookView xWindow="57480" yWindow="-120" windowWidth="51840" windowHeight="21120" activeTab="13" xr2:uid="{9806A3BC-D491-4476-99E9-37D3951075C7}"/>
  </bookViews>
  <sheets>
    <sheet name="Notes" sheetId="1" r:id="rId1"/>
    <sheet name="RU-1926" sheetId="17" r:id="rId2"/>
    <sheet name="USSR-1926" sheetId="3" r:id="rId3"/>
    <sheet name="USSR-1959" sheetId="2" r:id="rId4"/>
    <sheet name="USSR-1970" sheetId="7" r:id="rId5"/>
    <sheet name="USSR-1979" sheetId="9" r:id="rId6"/>
    <sheet name="RSFSR-1926" sheetId="4" r:id="rId7"/>
    <sheet name="RSFSR-1959" sheetId="6" r:id="rId8"/>
    <sheet name="RSFSR-1970" sheetId="8" r:id="rId9"/>
    <sheet name="RSFSR-1979" sheetId="10" r:id="rId10"/>
    <sheet name="MX-1930" sheetId="13" r:id="rId11"/>
    <sheet name="MX-1960" sheetId="14" r:id="rId12"/>
    <sheet name="MX-1970" sheetId="15" r:id="rId13"/>
    <sheet name="Unpack" sheetId="18" r:id="rId1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25" i="18" l="1"/>
  <c r="T25" i="18"/>
  <c r="R30" i="18"/>
  <c r="Q30" i="18"/>
  <c r="O1004" i="18"/>
  <c r="O1003" i="18"/>
  <c r="O1002" i="18"/>
  <c r="O1001" i="18"/>
  <c r="O1000" i="18"/>
  <c r="O999" i="18"/>
  <c r="O998" i="18"/>
  <c r="O997" i="18"/>
  <c r="O996" i="18"/>
  <c r="O995" i="18"/>
  <c r="O994" i="18"/>
  <c r="O993" i="18"/>
  <c r="O992" i="18"/>
  <c r="O991" i="18"/>
  <c r="O990" i="18"/>
  <c r="O989" i="18"/>
  <c r="O988" i="18"/>
  <c r="O987" i="18"/>
  <c r="O986" i="18"/>
  <c r="O985" i="18"/>
  <c r="O984" i="18"/>
  <c r="O983" i="18"/>
  <c r="O982" i="18"/>
  <c r="O981" i="18"/>
  <c r="O980" i="18"/>
  <c r="O979" i="18"/>
  <c r="O978" i="18"/>
  <c r="O977" i="18"/>
  <c r="O976" i="18"/>
  <c r="O975" i="18"/>
  <c r="O974" i="18"/>
  <c r="O973" i="18"/>
  <c r="O972" i="18"/>
  <c r="O971" i="18"/>
  <c r="O970" i="18"/>
  <c r="O969" i="18"/>
  <c r="O968" i="18"/>
  <c r="O967" i="18"/>
  <c r="O966" i="18"/>
  <c r="O965" i="18"/>
  <c r="O964" i="18"/>
  <c r="O963" i="18"/>
  <c r="O962" i="18"/>
  <c r="O961" i="18"/>
  <c r="O960" i="18"/>
  <c r="O959" i="18"/>
  <c r="O958" i="18"/>
  <c r="O957" i="18"/>
  <c r="O956" i="18"/>
  <c r="O955" i="18"/>
  <c r="O954" i="18"/>
  <c r="O953" i="18"/>
  <c r="O952" i="18"/>
  <c r="O951" i="18"/>
  <c r="O950" i="18"/>
  <c r="O949" i="18"/>
  <c r="O948" i="18"/>
  <c r="O947" i="18"/>
  <c r="O946" i="18"/>
  <c r="O945" i="18"/>
  <c r="O944" i="18"/>
  <c r="O943" i="18"/>
  <c r="O942" i="18"/>
  <c r="O941" i="18"/>
  <c r="O940" i="18"/>
  <c r="O939" i="18"/>
  <c r="O938" i="18"/>
  <c r="O937" i="18"/>
  <c r="O936" i="18"/>
  <c r="O935" i="18"/>
  <c r="O934" i="18"/>
  <c r="O933" i="18"/>
  <c r="O932" i="18"/>
  <c r="O931" i="18"/>
  <c r="O930" i="18"/>
  <c r="O929" i="18"/>
  <c r="O928" i="18"/>
  <c r="O927" i="18"/>
  <c r="O926" i="18"/>
  <c r="O925" i="18"/>
  <c r="O924" i="18"/>
  <c r="O923" i="18"/>
  <c r="O922" i="18"/>
  <c r="O921" i="18"/>
  <c r="O920" i="18"/>
  <c r="O919" i="18"/>
  <c r="O918" i="18"/>
  <c r="O917" i="18"/>
  <c r="O916" i="18"/>
  <c r="O915" i="18"/>
  <c r="O914" i="18"/>
  <c r="O913" i="18"/>
  <c r="O912" i="18"/>
  <c r="O911" i="18"/>
  <c r="O910" i="18"/>
  <c r="O909" i="18"/>
  <c r="O908" i="18"/>
  <c r="O907" i="18"/>
  <c r="O906" i="18"/>
  <c r="O905" i="18"/>
  <c r="O904" i="18"/>
  <c r="O903" i="18"/>
  <c r="O902" i="18"/>
  <c r="O901" i="18"/>
  <c r="O900" i="18"/>
  <c r="O899" i="18"/>
  <c r="O898" i="18"/>
  <c r="O897" i="18"/>
  <c r="O896" i="18"/>
  <c r="O895" i="18"/>
  <c r="O894" i="18"/>
  <c r="O893" i="18"/>
  <c r="O892" i="18"/>
  <c r="O891" i="18"/>
  <c r="O890" i="18"/>
  <c r="O889" i="18"/>
  <c r="O888" i="18"/>
  <c r="O887" i="18"/>
  <c r="O886" i="18"/>
  <c r="O885" i="18"/>
  <c r="O884" i="18"/>
  <c r="O883" i="18"/>
  <c r="O882" i="18"/>
  <c r="O881" i="18"/>
  <c r="O880" i="18"/>
  <c r="O879" i="18"/>
  <c r="O878" i="18"/>
  <c r="O877" i="18"/>
  <c r="O876" i="18"/>
  <c r="O875" i="18"/>
  <c r="O874" i="18"/>
  <c r="O873" i="18"/>
  <c r="O872" i="18"/>
  <c r="O871" i="18"/>
  <c r="O870" i="18"/>
  <c r="O869" i="18"/>
  <c r="O868" i="18"/>
  <c r="O867" i="18"/>
  <c r="O866" i="18"/>
  <c r="O865" i="18"/>
  <c r="O864" i="18"/>
  <c r="O863" i="18"/>
  <c r="O862" i="18"/>
  <c r="O861" i="18"/>
  <c r="O860" i="18"/>
  <c r="O859" i="18"/>
  <c r="O858" i="18"/>
  <c r="O857" i="18"/>
  <c r="O856" i="18"/>
  <c r="O855" i="18"/>
  <c r="O854" i="18"/>
  <c r="O853" i="18"/>
  <c r="O852" i="18"/>
  <c r="O851" i="18"/>
  <c r="O850" i="18"/>
  <c r="O849" i="18"/>
  <c r="O848" i="18"/>
  <c r="O847" i="18"/>
  <c r="O846" i="18"/>
  <c r="O845" i="18"/>
  <c r="O844" i="18"/>
  <c r="O843" i="18"/>
  <c r="O842" i="18"/>
  <c r="O841" i="18"/>
  <c r="O840" i="18"/>
  <c r="O839" i="18"/>
  <c r="O838" i="18"/>
  <c r="O837" i="18"/>
  <c r="O836" i="18"/>
  <c r="O835" i="18"/>
  <c r="O834" i="18"/>
  <c r="O833" i="18"/>
  <c r="O832" i="18"/>
  <c r="O831" i="18"/>
  <c r="O830" i="18"/>
  <c r="O829" i="18"/>
  <c r="O828" i="18"/>
  <c r="O827" i="18"/>
  <c r="O826" i="18"/>
  <c r="O825" i="18"/>
  <c r="O824" i="18"/>
  <c r="O823" i="18"/>
  <c r="O822" i="18"/>
  <c r="O821" i="18"/>
  <c r="O820" i="18"/>
  <c r="O819" i="18"/>
  <c r="O818" i="18"/>
  <c r="O817" i="18"/>
  <c r="O816" i="18"/>
  <c r="O815" i="18"/>
  <c r="O814" i="18"/>
  <c r="O813" i="18"/>
  <c r="O812" i="18"/>
  <c r="O811" i="18"/>
  <c r="O810" i="18"/>
  <c r="O809" i="18"/>
  <c r="O808" i="18"/>
  <c r="O807" i="18"/>
  <c r="O806" i="18"/>
  <c r="O805" i="18"/>
  <c r="O804" i="18"/>
  <c r="O803" i="18"/>
  <c r="O802" i="18"/>
  <c r="O801" i="18"/>
  <c r="O800" i="18"/>
  <c r="O799" i="18"/>
  <c r="O798" i="18"/>
  <c r="O797" i="18"/>
  <c r="O796" i="18"/>
  <c r="O795" i="18"/>
  <c r="O794" i="18"/>
  <c r="O793" i="18"/>
  <c r="O792" i="18"/>
  <c r="O791" i="18"/>
  <c r="O790" i="18"/>
  <c r="O789" i="18"/>
  <c r="O788" i="18"/>
  <c r="O787" i="18"/>
  <c r="O786" i="18"/>
  <c r="O785" i="18"/>
  <c r="O784" i="18"/>
  <c r="O783" i="18"/>
  <c r="O782" i="18"/>
  <c r="O781" i="18"/>
  <c r="O780" i="18"/>
  <c r="O779" i="18"/>
  <c r="O778" i="18"/>
  <c r="O777" i="18"/>
  <c r="O776" i="18"/>
  <c r="O775" i="18"/>
  <c r="O774" i="18"/>
  <c r="O773" i="18"/>
  <c r="O772" i="18"/>
  <c r="O771" i="18"/>
  <c r="O770" i="18"/>
  <c r="O769" i="18"/>
  <c r="O768" i="18"/>
  <c r="O767" i="18"/>
  <c r="O766" i="18"/>
  <c r="O765" i="18"/>
  <c r="O764" i="18"/>
  <c r="O763" i="18"/>
  <c r="O762" i="18"/>
  <c r="O761" i="18"/>
  <c r="O760" i="18"/>
  <c r="O759" i="18"/>
  <c r="O758" i="18"/>
  <c r="O757" i="18"/>
  <c r="O756" i="18"/>
  <c r="O755" i="18"/>
  <c r="O754" i="18"/>
  <c r="O753" i="18"/>
  <c r="O752" i="18"/>
  <c r="O751" i="18"/>
  <c r="O750" i="18"/>
  <c r="O749" i="18"/>
  <c r="O748" i="18"/>
  <c r="O747" i="18"/>
  <c r="O746" i="18"/>
  <c r="O745" i="18"/>
  <c r="O744" i="18"/>
  <c r="O743" i="18"/>
  <c r="O742" i="18"/>
  <c r="O741" i="18"/>
  <c r="O740" i="18"/>
  <c r="O739" i="18"/>
  <c r="O738" i="18"/>
  <c r="O737" i="18"/>
  <c r="O736" i="18"/>
  <c r="O735" i="18"/>
  <c r="O734" i="18"/>
  <c r="O733" i="18"/>
  <c r="O732" i="18"/>
  <c r="O731" i="18"/>
  <c r="O730" i="18"/>
  <c r="O729" i="18"/>
  <c r="O728" i="18"/>
  <c r="O727" i="18"/>
  <c r="O726" i="18"/>
  <c r="O725" i="18"/>
  <c r="O724" i="18"/>
  <c r="O723" i="18"/>
  <c r="O722" i="18"/>
  <c r="O721" i="18"/>
  <c r="O720" i="18"/>
  <c r="O719" i="18"/>
  <c r="O718" i="18"/>
  <c r="O717" i="18"/>
  <c r="O716" i="18"/>
  <c r="O715" i="18"/>
  <c r="O714" i="18"/>
  <c r="O713" i="18"/>
  <c r="O712" i="18"/>
  <c r="O711" i="18"/>
  <c r="O710" i="18"/>
  <c r="O709" i="18"/>
  <c r="O708" i="18"/>
  <c r="O707" i="18"/>
  <c r="O706" i="18"/>
  <c r="O705" i="18"/>
  <c r="O704" i="18"/>
  <c r="O703" i="18"/>
  <c r="O702" i="18"/>
  <c r="O701" i="18"/>
  <c r="O700" i="18"/>
  <c r="O699" i="18"/>
  <c r="O698" i="18"/>
  <c r="O697" i="18"/>
  <c r="O696" i="18"/>
  <c r="O695" i="18"/>
  <c r="O694" i="18"/>
  <c r="O693" i="18"/>
  <c r="O692" i="18"/>
  <c r="O691" i="18"/>
  <c r="O690" i="18"/>
  <c r="O689" i="18"/>
  <c r="O688" i="18"/>
  <c r="O687" i="18"/>
  <c r="O686" i="18"/>
  <c r="O685" i="18"/>
  <c r="O684" i="18"/>
  <c r="O683" i="18"/>
  <c r="O682" i="18"/>
  <c r="O681" i="18"/>
  <c r="O680" i="18"/>
  <c r="O679" i="18"/>
  <c r="O678" i="18"/>
  <c r="O677" i="18"/>
  <c r="O676" i="18"/>
  <c r="O675" i="18"/>
  <c r="O674" i="18"/>
  <c r="O673" i="18"/>
  <c r="O672" i="18"/>
  <c r="O671" i="18"/>
  <c r="O670" i="18"/>
  <c r="O669" i="18"/>
  <c r="O668" i="18"/>
  <c r="O667" i="18"/>
  <c r="O666" i="18"/>
  <c r="O665" i="18"/>
  <c r="O664" i="18"/>
  <c r="O663" i="18"/>
  <c r="O662" i="18"/>
  <c r="O661" i="18"/>
  <c r="O660" i="18"/>
  <c r="O659" i="18"/>
  <c r="O658" i="18"/>
  <c r="O657" i="18"/>
  <c r="O656" i="18"/>
  <c r="O655" i="18"/>
  <c r="O654" i="18"/>
  <c r="O653" i="18"/>
  <c r="O652" i="18"/>
  <c r="O651" i="18"/>
  <c r="O650" i="18"/>
  <c r="O649" i="18"/>
  <c r="O648" i="18"/>
  <c r="O647" i="18"/>
  <c r="O646" i="18"/>
  <c r="O645" i="18"/>
  <c r="O644" i="18"/>
  <c r="O643" i="18"/>
  <c r="O642" i="18"/>
  <c r="O641" i="18"/>
  <c r="O640" i="18"/>
  <c r="O639" i="18"/>
  <c r="O638" i="18"/>
  <c r="O637" i="18"/>
  <c r="O636" i="18"/>
  <c r="O635" i="18"/>
  <c r="O634" i="18"/>
  <c r="O633" i="18"/>
  <c r="O632" i="18"/>
  <c r="O631" i="18"/>
  <c r="O630" i="18"/>
  <c r="O629" i="18"/>
  <c r="O628" i="18"/>
  <c r="O627" i="18"/>
  <c r="O626" i="18"/>
  <c r="O625" i="18"/>
  <c r="O624" i="18"/>
  <c r="O623" i="18"/>
  <c r="O622" i="18"/>
  <c r="O621" i="18"/>
  <c r="O620" i="18"/>
  <c r="O619" i="18"/>
  <c r="O618" i="18"/>
  <c r="O617" i="18"/>
  <c r="O616" i="18"/>
  <c r="O615" i="18"/>
  <c r="O614" i="18"/>
  <c r="O613" i="18"/>
  <c r="O612" i="18"/>
  <c r="O611" i="18"/>
  <c r="O610" i="18"/>
  <c r="O609" i="18"/>
  <c r="O608" i="18"/>
  <c r="O607" i="18"/>
  <c r="O606" i="18"/>
  <c r="O605" i="18"/>
  <c r="O604" i="18"/>
  <c r="O603" i="18"/>
  <c r="O602" i="18"/>
  <c r="O601" i="18"/>
  <c r="O600" i="18"/>
  <c r="O599" i="18"/>
  <c r="O598" i="18"/>
  <c r="O597" i="18"/>
  <c r="O596" i="18"/>
  <c r="O595" i="18"/>
  <c r="O594" i="18"/>
  <c r="O593" i="18"/>
  <c r="O592" i="18"/>
  <c r="O591" i="18"/>
  <c r="O590" i="18"/>
  <c r="O589" i="18"/>
  <c r="O588" i="18"/>
  <c r="O587" i="18"/>
  <c r="O586" i="18"/>
  <c r="O585" i="18"/>
  <c r="O584" i="18"/>
  <c r="O583" i="18"/>
  <c r="O582" i="18"/>
  <c r="O581" i="18"/>
  <c r="O580" i="18"/>
  <c r="O579" i="18"/>
  <c r="O578" i="18"/>
  <c r="O577" i="18"/>
  <c r="O576" i="18"/>
  <c r="O575" i="18"/>
  <c r="O574" i="18"/>
  <c r="O573" i="18"/>
  <c r="O572" i="18"/>
  <c r="O571" i="18"/>
  <c r="O570" i="18"/>
  <c r="O569" i="18"/>
  <c r="O568" i="18"/>
  <c r="O567" i="18"/>
  <c r="O566" i="18"/>
  <c r="O565" i="18"/>
  <c r="O564" i="18"/>
  <c r="O563" i="18"/>
  <c r="O562" i="18"/>
  <c r="O561" i="18"/>
  <c r="O560" i="18"/>
  <c r="O559" i="18"/>
  <c r="O558" i="18"/>
  <c r="O557" i="18"/>
  <c r="O556" i="18"/>
  <c r="O555" i="18"/>
  <c r="O554" i="18"/>
  <c r="O553" i="18"/>
  <c r="O552" i="18"/>
  <c r="O551" i="18"/>
  <c r="O550" i="18"/>
  <c r="O549" i="18"/>
  <c r="O548" i="18"/>
  <c r="O547" i="18"/>
  <c r="O546" i="18"/>
  <c r="O545" i="18"/>
  <c r="O544" i="18"/>
  <c r="O543" i="18"/>
  <c r="O542" i="18"/>
  <c r="O541" i="18"/>
  <c r="O540" i="18"/>
  <c r="O539" i="18"/>
  <c r="O538" i="18"/>
  <c r="O537" i="18"/>
  <c r="O536" i="18"/>
  <c r="O535" i="18"/>
  <c r="O534" i="18"/>
  <c r="O533" i="18"/>
  <c r="O532" i="18"/>
  <c r="O531" i="18"/>
  <c r="O530" i="18"/>
  <c r="O529" i="18"/>
  <c r="O528" i="18"/>
  <c r="O527" i="18"/>
  <c r="O526" i="18"/>
  <c r="O525" i="18"/>
  <c r="O524" i="18"/>
  <c r="O523" i="18"/>
  <c r="O522" i="18"/>
  <c r="O521" i="18"/>
  <c r="O520" i="18"/>
  <c r="O519" i="18"/>
  <c r="O518" i="18"/>
  <c r="O517" i="18"/>
  <c r="O516" i="18"/>
  <c r="O515" i="18"/>
  <c r="O514" i="18"/>
  <c r="O513" i="18"/>
  <c r="O512" i="18"/>
  <c r="O511" i="18"/>
  <c r="O510" i="18"/>
  <c r="O509" i="18"/>
  <c r="O508" i="18"/>
  <c r="O507" i="18"/>
  <c r="O506" i="18"/>
  <c r="O505" i="18"/>
  <c r="O504" i="18"/>
  <c r="O503" i="18"/>
  <c r="O502" i="18"/>
  <c r="O501" i="18"/>
  <c r="O500" i="18"/>
  <c r="O499" i="18"/>
  <c r="O498" i="18"/>
  <c r="O497" i="18"/>
  <c r="O496" i="18"/>
  <c r="O495" i="18"/>
  <c r="O494" i="18"/>
  <c r="O493" i="18"/>
  <c r="O492" i="18"/>
  <c r="O491" i="18"/>
  <c r="O490" i="18"/>
  <c r="O489" i="18"/>
  <c r="O488" i="18"/>
  <c r="O487" i="18"/>
  <c r="O486" i="18"/>
  <c r="O485" i="18"/>
  <c r="O484" i="18"/>
  <c r="O483" i="18"/>
  <c r="O482" i="18"/>
  <c r="O481" i="18"/>
  <c r="O480" i="18"/>
  <c r="O479" i="18"/>
  <c r="O478" i="18"/>
  <c r="O477" i="18"/>
  <c r="O476" i="18"/>
  <c r="O475" i="18"/>
  <c r="O474" i="18"/>
  <c r="O473" i="18"/>
  <c r="O472" i="18"/>
  <c r="O471" i="18"/>
  <c r="O470" i="18"/>
  <c r="O469" i="18"/>
  <c r="O468" i="18"/>
  <c r="O467" i="18"/>
  <c r="O466" i="18"/>
  <c r="O465" i="18"/>
  <c r="O464" i="18"/>
  <c r="O463" i="18"/>
  <c r="O462" i="18"/>
  <c r="O461" i="18"/>
  <c r="O460" i="18"/>
  <c r="O459" i="18"/>
  <c r="O458" i="18"/>
  <c r="O457" i="18"/>
  <c r="O456" i="18"/>
  <c r="O455" i="18"/>
  <c r="O454" i="18"/>
  <c r="O453" i="18"/>
  <c r="O452" i="18"/>
  <c r="O451" i="18"/>
  <c r="O450" i="18"/>
  <c r="O449" i="18"/>
  <c r="O448" i="18"/>
  <c r="O447" i="18"/>
  <c r="O446" i="18"/>
  <c r="O445" i="18"/>
  <c r="O444" i="18"/>
  <c r="O443" i="18"/>
  <c r="O442" i="18"/>
  <c r="O441" i="18"/>
  <c r="O440" i="18"/>
  <c r="O439" i="18"/>
  <c r="O438" i="18"/>
  <c r="O437" i="18"/>
  <c r="O436" i="18"/>
  <c r="O435" i="18"/>
  <c r="O434" i="18"/>
  <c r="O433" i="18"/>
  <c r="O432" i="18"/>
  <c r="O431" i="18"/>
  <c r="O430" i="18"/>
  <c r="O429" i="18"/>
  <c r="O428" i="18"/>
  <c r="O427" i="18"/>
  <c r="O426" i="18"/>
  <c r="O425" i="18"/>
  <c r="O424" i="18"/>
  <c r="O423" i="18"/>
  <c r="O422" i="18"/>
  <c r="O421" i="18"/>
  <c r="O420" i="18"/>
  <c r="O419" i="18"/>
  <c r="O418" i="18"/>
  <c r="O417" i="18"/>
  <c r="O416" i="18"/>
  <c r="O415" i="18"/>
  <c r="O414" i="18"/>
  <c r="O413" i="18"/>
  <c r="O412" i="18"/>
  <c r="O411" i="18"/>
  <c r="O410" i="18"/>
  <c r="O409" i="18"/>
  <c r="O408" i="18"/>
  <c r="O407" i="18"/>
  <c r="O406" i="18"/>
  <c r="O405" i="18"/>
  <c r="O404" i="18"/>
  <c r="O403" i="18"/>
  <c r="O402" i="18"/>
  <c r="O401" i="18"/>
  <c r="O400" i="18"/>
  <c r="O399" i="18"/>
  <c r="O398" i="18"/>
  <c r="O397" i="18"/>
  <c r="O396" i="18"/>
  <c r="O395" i="18"/>
  <c r="O394" i="18"/>
  <c r="O393" i="18"/>
  <c r="O392" i="18"/>
  <c r="O391" i="18"/>
  <c r="O390" i="18"/>
  <c r="O389" i="18"/>
  <c r="O388" i="18"/>
  <c r="O387" i="18"/>
  <c r="O386" i="18"/>
  <c r="O385" i="18"/>
  <c r="O384" i="18"/>
  <c r="O383" i="18"/>
  <c r="O382" i="18"/>
  <c r="O381" i="18"/>
  <c r="O380" i="18"/>
  <c r="O379" i="18"/>
  <c r="O378" i="18"/>
  <c r="O377" i="18"/>
  <c r="O376" i="18"/>
  <c r="O375" i="18"/>
  <c r="O374" i="18"/>
  <c r="O373" i="18"/>
  <c r="O372" i="18"/>
  <c r="O371" i="18"/>
  <c r="O370" i="18"/>
  <c r="O369" i="18"/>
  <c r="O368" i="18"/>
  <c r="O367" i="18"/>
  <c r="O366" i="18"/>
  <c r="O365" i="18"/>
  <c r="O364" i="18"/>
  <c r="O363" i="18"/>
  <c r="O362" i="18"/>
  <c r="O361" i="18"/>
  <c r="O360" i="18"/>
  <c r="O359" i="18"/>
  <c r="O358" i="18"/>
  <c r="O357" i="18"/>
  <c r="O356" i="18"/>
  <c r="O355" i="18"/>
  <c r="O354" i="18"/>
  <c r="O353" i="18"/>
  <c r="O352" i="18"/>
  <c r="O351" i="18"/>
  <c r="O350" i="18"/>
  <c r="O349" i="18"/>
  <c r="O348" i="18"/>
  <c r="O347" i="18"/>
  <c r="O346" i="18"/>
  <c r="O345" i="18"/>
  <c r="O344" i="18"/>
  <c r="O343" i="18"/>
  <c r="O342" i="18"/>
  <c r="O341" i="18"/>
  <c r="O340" i="18"/>
  <c r="O339" i="18"/>
  <c r="O338" i="18"/>
  <c r="O337" i="18"/>
  <c r="O336" i="18"/>
  <c r="O335" i="18"/>
  <c r="O334" i="18"/>
  <c r="O333" i="18"/>
  <c r="O332" i="18"/>
  <c r="O331" i="18"/>
  <c r="O330" i="18"/>
  <c r="O329" i="18"/>
  <c r="O328" i="18"/>
  <c r="O327" i="18"/>
  <c r="O326" i="18"/>
  <c r="O325" i="18"/>
  <c r="O324" i="18"/>
  <c r="O323" i="18"/>
  <c r="O322" i="18"/>
  <c r="O321" i="18"/>
  <c r="O320" i="18"/>
  <c r="O319" i="18"/>
  <c r="O318" i="18"/>
  <c r="O317" i="18"/>
  <c r="O316" i="18"/>
  <c r="O315" i="18"/>
  <c r="O314" i="18"/>
  <c r="O313" i="18"/>
  <c r="O312" i="18"/>
  <c r="O311" i="18"/>
  <c r="O310" i="18"/>
  <c r="O309" i="18"/>
  <c r="O308" i="18"/>
  <c r="O307" i="18"/>
  <c r="O306" i="18"/>
  <c r="O305" i="18"/>
  <c r="O304" i="18"/>
  <c r="O303" i="18"/>
  <c r="O302" i="18"/>
  <c r="O301" i="18"/>
  <c r="O300" i="18"/>
  <c r="O299" i="18"/>
  <c r="O298" i="18"/>
  <c r="O297" i="18"/>
  <c r="O296" i="18"/>
  <c r="O295" i="18"/>
  <c r="O294" i="18"/>
  <c r="O293" i="18"/>
  <c r="O292" i="18"/>
  <c r="O291" i="18"/>
  <c r="O290" i="18"/>
  <c r="O289" i="18"/>
  <c r="O288" i="18"/>
  <c r="O287" i="18"/>
  <c r="O286" i="18"/>
  <c r="O285" i="18"/>
  <c r="O284" i="18"/>
  <c r="O283" i="18"/>
  <c r="O282" i="18"/>
  <c r="O281" i="18"/>
  <c r="O280" i="18"/>
  <c r="O279" i="18"/>
  <c r="O278" i="18"/>
  <c r="O277" i="18"/>
  <c r="O276" i="18"/>
  <c r="O275" i="18"/>
  <c r="O274" i="18"/>
  <c r="O273" i="18"/>
  <c r="O272" i="18"/>
  <c r="O271" i="18"/>
  <c r="O270" i="18"/>
  <c r="O269" i="18"/>
  <c r="O268" i="18"/>
  <c r="O267" i="18"/>
  <c r="O266" i="18"/>
  <c r="O265" i="18"/>
  <c r="O264" i="18"/>
  <c r="O263" i="18"/>
  <c r="O262" i="18"/>
  <c r="O261" i="18"/>
  <c r="O260" i="18"/>
  <c r="O259" i="18"/>
  <c r="O258" i="18"/>
  <c r="O257" i="18"/>
  <c r="O256" i="18"/>
  <c r="O255" i="18"/>
  <c r="O254" i="18"/>
  <c r="O253" i="18"/>
  <c r="O252" i="18"/>
  <c r="O251" i="18"/>
  <c r="O250" i="18"/>
  <c r="O249" i="18"/>
  <c r="O248" i="18"/>
  <c r="O247" i="18"/>
  <c r="O246" i="18"/>
  <c r="O245" i="18"/>
  <c r="O244" i="18"/>
  <c r="O243" i="18"/>
  <c r="O242" i="18"/>
  <c r="O241" i="18"/>
  <c r="O240" i="18"/>
  <c r="O239" i="18"/>
  <c r="O238" i="18"/>
  <c r="O237" i="18"/>
  <c r="O236" i="18"/>
  <c r="O235" i="18"/>
  <c r="O234" i="18"/>
  <c r="O233" i="18"/>
  <c r="O232" i="18"/>
  <c r="O231" i="18"/>
  <c r="O230" i="18"/>
  <c r="O229" i="18"/>
  <c r="O228" i="18"/>
  <c r="O227" i="18"/>
  <c r="O226" i="18"/>
  <c r="O225" i="18"/>
  <c r="O224" i="18"/>
  <c r="O223" i="18"/>
  <c r="O222" i="18"/>
  <c r="O221" i="18"/>
  <c r="O220" i="18"/>
  <c r="O219" i="18"/>
  <c r="O218" i="18"/>
  <c r="O217" i="18"/>
  <c r="O216" i="18"/>
  <c r="O215" i="18"/>
  <c r="O214" i="18"/>
  <c r="O213" i="18"/>
  <c r="O212" i="18"/>
  <c r="O211" i="18"/>
  <c r="O210" i="18"/>
  <c r="O209" i="18"/>
  <c r="O208" i="18"/>
  <c r="O207" i="18"/>
  <c r="O206" i="18"/>
  <c r="O205" i="18"/>
  <c r="O204" i="18"/>
  <c r="O203" i="18"/>
  <c r="O202" i="18"/>
  <c r="O201" i="18"/>
  <c r="O200" i="18"/>
  <c r="O199" i="18"/>
  <c r="O198" i="18"/>
  <c r="O197" i="18"/>
  <c r="O196" i="18"/>
  <c r="O195" i="18"/>
  <c r="O194" i="18"/>
  <c r="O193" i="18"/>
  <c r="O192" i="18"/>
  <c r="O191" i="18"/>
  <c r="O190" i="18"/>
  <c r="O189" i="18"/>
  <c r="O188" i="18"/>
  <c r="O187" i="18"/>
  <c r="O186" i="18"/>
  <c r="O185" i="18"/>
  <c r="O184" i="18"/>
  <c r="O183" i="18"/>
  <c r="O182" i="18"/>
  <c r="O181" i="18"/>
  <c r="O180" i="18"/>
  <c r="O179" i="18"/>
  <c r="O178" i="18"/>
  <c r="O177" i="18"/>
  <c r="O176" i="18"/>
  <c r="O175" i="18"/>
  <c r="O174" i="18"/>
  <c r="O173" i="18"/>
  <c r="O172" i="18"/>
  <c r="O171" i="18"/>
  <c r="O170" i="18"/>
  <c r="O169" i="18"/>
  <c r="O168" i="18"/>
  <c r="O167" i="18"/>
  <c r="O166" i="18"/>
  <c r="O165" i="18"/>
  <c r="O164" i="18"/>
  <c r="O163" i="18"/>
  <c r="O162" i="18"/>
  <c r="O161" i="18"/>
  <c r="O160" i="18"/>
  <c r="O159" i="18"/>
  <c r="O158" i="18"/>
  <c r="O157" i="18"/>
  <c r="O156" i="18"/>
  <c r="O155" i="18"/>
  <c r="O154" i="18"/>
  <c r="O153" i="18"/>
  <c r="O152" i="18"/>
  <c r="O151" i="18"/>
  <c r="O150" i="18"/>
  <c r="O149" i="18"/>
  <c r="O148" i="18"/>
  <c r="O147" i="18"/>
  <c r="O146" i="18"/>
  <c r="O145" i="18"/>
  <c r="O144" i="18"/>
  <c r="O143" i="18"/>
  <c r="O142" i="18"/>
  <c r="O141" i="18"/>
  <c r="O140" i="18"/>
  <c r="O139" i="18"/>
  <c r="O138" i="18"/>
  <c r="O137" i="18"/>
  <c r="O136" i="18"/>
  <c r="O135" i="18"/>
  <c r="O134" i="18"/>
  <c r="O133" i="18"/>
  <c r="O132" i="18"/>
  <c r="O131" i="18"/>
  <c r="O130" i="18"/>
  <c r="O129" i="18"/>
  <c r="O128" i="18"/>
  <c r="O127" i="18"/>
  <c r="O126" i="18"/>
  <c r="O125" i="18"/>
  <c r="O124" i="18"/>
  <c r="O123" i="18"/>
  <c r="O122" i="18"/>
  <c r="O121" i="18"/>
  <c r="O120" i="18"/>
  <c r="O119" i="18"/>
  <c r="O118" i="18"/>
  <c r="O117" i="18"/>
  <c r="O116" i="18"/>
  <c r="O115" i="18"/>
  <c r="O114" i="18"/>
  <c r="O113" i="18"/>
  <c r="O112" i="18"/>
  <c r="O111" i="18"/>
  <c r="O110" i="18"/>
  <c r="O109" i="18"/>
  <c r="O108" i="18"/>
  <c r="O107" i="18"/>
  <c r="O106" i="18"/>
  <c r="O105" i="18"/>
  <c r="O104" i="18"/>
  <c r="O103" i="18"/>
  <c r="O102" i="18"/>
  <c r="O101" i="18"/>
  <c r="O100" i="18"/>
  <c r="O99" i="18"/>
  <c r="O98" i="18"/>
  <c r="O97" i="18"/>
  <c r="O96" i="18"/>
  <c r="O95" i="18"/>
  <c r="O94" i="18"/>
  <c r="O93" i="18"/>
  <c r="O92" i="18"/>
  <c r="O91" i="18"/>
  <c r="O90" i="18"/>
  <c r="O89" i="18"/>
  <c r="O88" i="18"/>
  <c r="O87" i="18"/>
  <c r="O86" i="18"/>
  <c r="O85" i="18"/>
  <c r="O84" i="18"/>
  <c r="O83" i="18"/>
  <c r="O82" i="18"/>
  <c r="O81" i="18"/>
  <c r="O80" i="18"/>
  <c r="O79" i="18"/>
  <c r="O78" i="18"/>
  <c r="O77" i="18"/>
  <c r="O76" i="18"/>
  <c r="O75" i="18"/>
  <c r="O74" i="18"/>
  <c r="O73" i="18"/>
  <c r="O72" i="18"/>
  <c r="O71" i="18"/>
  <c r="O70" i="18"/>
  <c r="O69" i="18"/>
  <c r="O68" i="18"/>
  <c r="O67" i="18"/>
  <c r="O66" i="18"/>
  <c r="O65" i="18"/>
  <c r="O64" i="18"/>
  <c r="O63" i="18"/>
  <c r="O62" i="18"/>
  <c r="O61" i="18"/>
  <c r="O60" i="18"/>
  <c r="O59" i="18"/>
  <c r="O58" i="18"/>
  <c r="O57" i="18"/>
  <c r="O56" i="18"/>
  <c r="O55" i="18"/>
  <c r="O54" i="18"/>
  <c r="O53" i="18"/>
  <c r="O52" i="18"/>
  <c r="O51" i="18"/>
  <c r="O50" i="18"/>
  <c r="O49" i="18"/>
  <c r="O48" i="18"/>
  <c r="O47" i="18"/>
  <c r="O46" i="18"/>
  <c r="O45" i="18"/>
  <c r="O44" i="18"/>
  <c r="O43" i="18"/>
  <c r="O42" i="18"/>
  <c r="O41" i="18"/>
  <c r="O40" i="18"/>
  <c r="O39" i="18"/>
  <c r="O38" i="18"/>
  <c r="O37" i="18"/>
  <c r="O36" i="18"/>
  <c r="O35" i="18"/>
  <c r="O34" i="18"/>
  <c r="O33" i="18"/>
  <c r="O32" i="18"/>
  <c r="O31" i="18"/>
  <c r="O30" i="18"/>
  <c r="O29" i="18"/>
  <c r="O28" i="18"/>
  <c r="O27" i="18"/>
  <c r="O26" i="18"/>
  <c r="O25" i="18"/>
  <c r="O24" i="18"/>
  <c r="O23" i="18"/>
  <c r="O22" i="18"/>
  <c r="O21" i="18"/>
  <c r="O20" i="18"/>
  <c r="O19" i="18"/>
  <c r="O18" i="18"/>
  <c r="O17" i="18"/>
  <c r="O16" i="18"/>
  <c r="O15" i="18"/>
  <c r="O14" i="18"/>
  <c r="O13" i="18"/>
  <c r="O12" i="18"/>
  <c r="O11" i="18"/>
  <c r="O10" i="18"/>
  <c r="O9" i="18"/>
  <c r="O8" i="18"/>
  <c r="O7" i="18"/>
  <c r="O6" i="18"/>
  <c r="J11" i="18"/>
  <c r="I11" i="18"/>
  <c r="J10" i="18"/>
  <c r="I10" i="18"/>
  <c r="J9" i="18"/>
  <c r="I9" i="18"/>
  <c r="J8" i="18"/>
  <c r="I8" i="18"/>
  <c r="J7" i="18"/>
  <c r="I7" i="18"/>
  <c r="J6" i="18"/>
  <c r="I6" i="18"/>
  <c r="J5" i="18"/>
  <c r="I5" i="18"/>
  <c r="H11" i="18"/>
  <c r="H10" i="18"/>
  <c r="H9" i="18"/>
  <c r="H8" i="18"/>
  <c r="H7" i="18"/>
  <c r="H6" i="18"/>
  <c r="H5" i="18"/>
  <c r="J61" i="2"/>
  <c r="L61" i="2" s="1"/>
  <c r="L62" i="2" s="1"/>
  <c r="D61" i="2"/>
  <c r="J61" i="7"/>
  <c r="D61" i="7"/>
  <c r="L61" i="7" s="1"/>
  <c r="L62" i="7" s="1"/>
  <c r="J61" i="6"/>
  <c r="D61" i="6"/>
  <c r="L61" i="6" s="1"/>
  <c r="L62" i="6" s="1"/>
  <c r="J61" i="8"/>
  <c r="D61" i="8"/>
  <c r="L61" i="8" s="1"/>
  <c r="L62" i="8" s="1"/>
  <c r="D42" i="15"/>
  <c r="F42" i="15" s="1"/>
  <c r="D41" i="15"/>
  <c r="F41" i="15" s="1"/>
  <c r="D40" i="14"/>
  <c r="F40" i="14" s="1"/>
  <c r="D39" i="14"/>
  <c r="F39" i="14" s="1"/>
  <c r="D4" i="14" l="1"/>
  <c r="J56" i="8"/>
  <c r="J56" i="6"/>
  <c r="J56" i="7"/>
  <c r="L56" i="2"/>
  <c r="L57" i="2" s="1"/>
  <c r="J56" i="2"/>
  <c r="D30" i="13"/>
  <c r="D29" i="13"/>
  <c r="D56" i="8"/>
  <c r="L56" i="8" s="1"/>
  <c r="L57" i="8" s="1"/>
  <c r="D56" i="6"/>
  <c r="L56" i="6" s="1"/>
  <c r="L57" i="6" s="1"/>
  <c r="D56" i="7"/>
  <c r="D56" i="2"/>
  <c r="N54" i="17"/>
  <c r="M54" i="17"/>
  <c r="L54" i="17"/>
  <c r="K54" i="17"/>
  <c r="J54" i="17"/>
  <c r="J55" i="17" s="1"/>
  <c r="I54" i="17"/>
  <c r="H54" i="17"/>
  <c r="G54" i="17"/>
  <c r="F54" i="17"/>
  <c r="E54" i="17"/>
  <c r="D54" i="17"/>
  <c r="D55" i="17" s="1"/>
  <c r="C54" i="17"/>
  <c r="L56" i="7" l="1"/>
  <c r="L57" i="7" s="1"/>
  <c r="J37" i="8"/>
  <c r="D37" i="8"/>
  <c r="D37" i="6"/>
  <c r="J37" i="6"/>
  <c r="J37" i="7"/>
  <c r="D37" i="7"/>
  <c r="J38" i="2"/>
  <c r="D38" i="2"/>
  <c r="C14" i="8"/>
  <c r="C14" i="7"/>
  <c r="C14" i="6"/>
  <c r="C15" i="2"/>
  <c r="D33" i="8"/>
  <c r="D33" i="6"/>
  <c r="D33" i="7"/>
  <c r="D34" i="2"/>
  <c r="J43" i="17"/>
  <c r="J44" i="17" s="1"/>
  <c r="D43" i="17"/>
  <c r="D44" i="17" s="1"/>
  <c r="D38" i="7" l="1"/>
  <c r="D39" i="7" s="1"/>
  <c r="D39" i="2"/>
  <c r="D40" i="2" s="1"/>
  <c r="D38" i="6"/>
  <c r="D39" i="6" s="1"/>
  <c r="D38" i="8"/>
  <c r="D39" i="8" s="1"/>
  <c r="F17" i="13"/>
  <c r="F22" i="14"/>
  <c r="F21" i="15"/>
  <c r="F23" i="15" s="1"/>
  <c r="D20" i="15"/>
  <c r="D21" i="15" s="1"/>
  <c r="D23" i="15" s="1"/>
  <c r="D19" i="14"/>
  <c r="D20" i="14" s="1"/>
  <c r="D22" i="14" s="1"/>
  <c r="D14" i="13"/>
  <c r="D4" i="13" s="1"/>
  <c r="D15" i="13"/>
  <c r="D17" i="13" s="1"/>
  <c r="D35" i="4"/>
  <c r="D37" i="4" s="1"/>
  <c r="D35" i="3"/>
  <c r="D37" i="3" s="1"/>
  <c r="D13" i="10"/>
  <c r="D15" i="10" s="1"/>
  <c r="D13" i="9"/>
  <c r="D15" i="9" s="1"/>
  <c r="D13" i="8"/>
  <c r="D15" i="8" s="1"/>
  <c r="D13" i="7"/>
  <c r="D15" i="7" s="1"/>
  <c r="D13" i="6"/>
  <c r="D15" i="6" s="1"/>
  <c r="D12" i="4"/>
  <c r="D14" i="4" s="1"/>
  <c r="D14" i="2"/>
  <c r="D16" i="2" s="1"/>
  <c r="D12" i="3"/>
  <c r="D14" i="3" s="1"/>
</calcChain>
</file>

<file path=xl/sharedStrings.xml><?xml version="1.0" encoding="utf-8"?>
<sst xmlns="http://schemas.openxmlformats.org/spreadsheetml/2006/main" count="422" uniqueCount="86">
  <si>
    <t>от</t>
  </si>
  <si>
    <t>до</t>
  </si>
  <si>
    <t>менее</t>
  </si>
  <si>
    <t>и более</t>
  </si>
  <si>
    <t>жителей</t>
  </si>
  <si>
    <t>USSR-1959</t>
  </si>
  <si>
    <t>ЦСУ СССР, "Итоги Всесоюзной переписи населения 1959 года. СССР. Сводный том" (1962), стр. 35</t>
  </si>
  <si>
    <t>USSR-1926</t>
  </si>
  <si>
    <t>RSFSR-1926</t>
  </si>
  <si>
    <t>RSFSR-1959</t>
  </si>
  <si>
    <t>ЦСУ СССР, "Итоги Всесоюзной переписи населения 1959 года. РСФСР", стр. 39</t>
  </si>
  <si>
    <t>RSFSR-1970</t>
  </si>
  <si>
    <t>USSR-1970</t>
  </si>
  <si>
    <t>городское население</t>
  </si>
  <si>
    <t>всё население</t>
  </si>
  <si>
    <t>% городского</t>
  </si>
  <si>
    <t>USSR-1979</t>
  </si>
  <si>
    <t>"Итоги Всесоюзной переписи населения 1979 года. Том I - Численность населения СССР, союзных и автономных республик, краев и областей", стр. 112</t>
  </si>
  <si>
    <t>"Итоги Всесоюзной переписи населения 1979 года. Том I - Численность населения СССР, союзных и автономных республик, краев и областей", стр. 113</t>
  </si>
  <si>
    <t>RSFSR-1979</t>
  </si>
  <si>
    <t>ЦСУ СССР, "Всесоюзная перепись населения 17 декабря 1926 года, том XVII, отдел 1, Союз Советских Социалистических Ресупблик",  М. 1929, стр. 4</t>
  </si>
  <si>
    <t>MX-1930</t>
  </si>
  <si>
    <t>сумма &gt; 1000</t>
  </si>
  <si>
    <t>городское</t>
  </si>
  <si>
    <t>MX-1960</t>
  </si>
  <si>
    <t>"Quinto Censo de Población. 15 de mayo de 1930. Resumen general", стр. 39-40</t>
  </si>
  <si>
    <t>MX-1970</t>
  </si>
  <si>
    <t>см. стр 5</t>
  </si>
  <si>
    <t>ЦСУ СССР, "Всесоюзная перепись населения 17 декабря 1926 года, том XVII, отдел 1, Союз Советских Социалистических Ресупблик",  М. 1929, стр. 4-7</t>
  </si>
  <si>
    <t>ЦСУ СССР, "Всесоюзная перепись населения 17 декабря 1926 года, том XVII, отдел 1, Союз Советских Социалистических Ресупблик",  М. 1929, стр. 6-7</t>
  </si>
  <si>
    <t>гор. жит.</t>
  </si>
  <si>
    <t>сель. жит</t>
  </si>
  <si>
    <t>РСФСР</t>
  </si>
  <si>
    <t>РСФСР городские</t>
  </si>
  <si>
    <t>РСФСР сельские</t>
  </si>
  <si>
    <t>всего</t>
  </si>
  <si>
    <t>мест</t>
  </si>
  <si>
    <t>СССР</t>
  </si>
  <si>
    <t>СССР городские</t>
  </si>
  <si>
    <t>СССР сельские</t>
  </si>
  <si>
    <t>cвыше</t>
  </si>
  <si>
    <t>см. страницу RU-1926</t>
  </si>
  <si>
    <t>численность</t>
  </si>
  <si>
    <t xml:space="preserve">Средняя величина населённого пункта в строке 2000-5000 заметно ближе к 2000, чем к 5000. </t>
  </si>
  <si>
    <t xml:space="preserve">Если бы пункты были равномерно распределены по размеру от 2000 до 5000, среднее было бы около 3500, что явно слишком высоко. </t>
  </si>
  <si>
    <t>Значит, внутри интервала масса сильно смещена к нижней границе.</t>
  </si>
  <si>
    <t xml:space="preserve">Я применил более правдоподобную интерполяцию: внутри диапазона 2000–5000 предполагается убывающая степенная плотность населённых пунктов, </t>
  </si>
  <si>
    <t xml:space="preserve">отдельно для городских и сельских строк, </t>
  </si>
  <si>
    <t xml:space="preserve">затем городские и сельские оценки складываются. </t>
  </si>
  <si>
    <t>Получается такая оценочная строка:</t>
  </si>
  <si>
    <t>Строка 2500-5000 ниже оценена интерполяцией.</t>
  </si>
  <si>
    <t>Например, для СССР: 20 999 532 / 7 219 ≈ 2 909 жителей на пункт.</t>
  </si>
  <si>
    <t>%</t>
  </si>
  <si>
    <t xml:space="preserve">Для получения строки 2500-3000 делаем локальную интерполяцию по двум нижним строкам: </t>
  </si>
  <si>
    <t>менее 3000 и 3000–5000, предполагая гладкое возрастание массы населения по размеру населённого пункта около порога 3000.</t>
  </si>
  <si>
    <t>сельских</t>
  </si>
  <si>
    <t>городских</t>
  </si>
  <si>
    <t>ЦСУ СССР, "Итоги Всесоюзной переписи населения 1959 года. СССР. Сводный том" (1962), стр. 35, 38-39</t>
  </si>
  <si>
    <t>ЦСУ СССР, "Итоги Всесоюзной переписи населения 1959 года. РСФСР", стр. 39, 48-49</t>
  </si>
  <si>
    <t>"Итоги Всесоюзной переписи населения 1970 года. Том I - Численность населения СССР", стр. 61, 146-147</t>
  </si>
  <si>
    <t>"Итоги Всесоюзной переписи населения 1970 года. Том I - Численность населения СССР",  стр. 62, 146-147</t>
  </si>
  <si>
    <t>итого</t>
  </si>
  <si>
    <t>% в более 2500</t>
  </si>
  <si>
    <t>всего в более 2500</t>
  </si>
  <si>
    <t>Население в пунктах численностью 2000 жителей и выше</t>
  </si>
  <si>
    <t>Население в пунктах численностью 2500 жителей и выше</t>
  </si>
  <si>
    <t>% в более 2000</t>
  </si>
  <si>
    <t>всего в более 2000</t>
  </si>
  <si>
    <t>сумма &gt; 2000</t>
  </si>
  <si>
    <t>"VIII Censo General de Población 1960. 8 de junio de 1960. Resumen general", cтр. 59, 68, xlv-xlvi, 1</t>
  </si>
  <si>
    <t>"X Censo General de Población 1970. 28 de enero de 1970. Resumen general", стр. 7, v, 4</t>
  </si>
  <si>
    <t>гор. офиц. т.е.  живущих в пунктах с более 2500</t>
  </si>
  <si>
    <t>сумма &gt; 5000</t>
  </si>
  <si>
    <t>Население в пунктах численностью 5000 жителей и выше</t>
  </si>
  <si>
    <t>всего в более 5000</t>
  </si>
  <si>
    <t>% в более 5000</t>
  </si>
  <si>
    <t>Исходные сведения по опубликованным итогам переписи</t>
  </si>
  <si>
    <t>корзина</t>
  </si>
  <si>
    <t>сотен</t>
  </si>
  <si>
    <t>в одном</t>
  </si>
  <si>
    <t>в 2500-3000</t>
  </si>
  <si>
    <t>в 2000-3000</t>
  </si>
  <si>
    <t>0-4</t>
  </si>
  <si>
    <t>в сотнях</t>
  </si>
  <si>
    <t>размер</t>
  </si>
  <si>
    <t>пункта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</si>
</sst>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#,##0.0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8" tint="-0.249977111117893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4"/>
      <color theme="8" tint="-0.249977111117893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3" fontId="0" fillId="0" borderId="0" xfId="0" applyNumberFormat="1"/>
    <xf numFmtId="0" fontId="1" fillId="0" borderId="0" xfId="0" applyFont="1"/>
    <xf numFmtId="164" fontId="0" fillId="0" borderId="0" xfId="0" applyNumberFormat="1"/>
    <xf numFmtId="3" fontId="1" fillId="0" borderId="0" xfId="0" applyNumberFormat="1" applyFont="1"/>
    <xf numFmtId="0" fontId="2" fillId="0" borderId="0" xfId="0" applyFont="1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/>
    </xf>
    <xf numFmtId="3" fontId="0" fillId="0" borderId="0" xfId="0" applyNumberFormat="1" applyAlignment="1">
      <alignment horizontal="right"/>
    </xf>
    <xf numFmtId="3" fontId="3" fillId="0" borderId="0" xfId="0" applyNumberFormat="1" applyFont="1" applyAlignment="1">
      <alignment vertical="center"/>
    </xf>
    <xf numFmtId="0" fontId="0" fillId="0" borderId="0" xfId="0" applyAlignment="1">
      <alignment horizontal="right"/>
    </xf>
    <xf numFmtId="0" fontId="4" fillId="0" borderId="0" xfId="0" applyFont="1"/>
    <xf numFmtId="165" fontId="0" fillId="0" borderId="0" xfId="0" applyNumberFormat="1"/>
    <xf numFmtId="164" fontId="0" fillId="2" borderId="0" xfId="0" applyNumberFormat="1" applyFill="1"/>
    <xf numFmtId="165" fontId="0" fillId="2" borderId="0" xfId="0" applyNumberFormat="1" applyFill="1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/>
    </xf>
    <xf numFmtId="49" fontId="0" fillId="0" borderId="0" xfId="0" applyNumberFormat="1" applyAlignment="1">
      <alignment horizontal="right"/>
    </xf>
    <xf numFmtId="1" fontId="0" fillId="0" borderId="0" xfId="0" applyNumberFormat="1"/>
    <xf numFmtId="0" fontId="0" fillId="0" borderId="0" xfId="0" applyFont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A24E3F-1F27-45F2-85D8-EE2D60E7DC98}">
  <dimension ref="A3:B26"/>
  <sheetViews>
    <sheetView workbookViewId="0">
      <selection activeCell="B27" sqref="B27"/>
    </sheetView>
  </sheetViews>
  <sheetFormatPr defaultRowHeight="14.4" x14ac:dyDescent="0.55000000000000004"/>
  <cols>
    <col min="1" max="1" width="13.15625" customWidth="1"/>
  </cols>
  <sheetData>
    <row r="3" spans="1:2" x14ac:dyDescent="0.55000000000000004">
      <c r="A3" s="2" t="s">
        <v>7</v>
      </c>
      <c r="B3" t="s">
        <v>6</v>
      </c>
    </row>
    <row r="4" spans="1:2" x14ac:dyDescent="0.55000000000000004">
      <c r="A4" s="2"/>
      <c r="B4" t="s">
        <v>28</v>
      </c>
    </row>
    <row r="5" spans="1:2" x14ac:dyDescent="0.55000000000000004">
      <c r="A5" s="2"/>
      <c r="B5" t="s">
        <v>41</v>
      </c>
    </row>
    <row r="6" spans="1:2" x14ac:dyDescent="0.55000000000000004">
      <c r="A6" s="2"/>
    </row>
    <row r="7" spans="1:2" x14ac:dyDescent="0.55000000000000004">
      <c r="A7" s="2" t="s">
        <v>5</v>
      </c>
      <c r="B7" t="s">
        <v>57</v>
      </c>
    </row>
    <row r="8" spans="1:2" x14ac:dyDescent="0.55000000000000004">
      <c r="A8" s="2"/>
    </row>
    <row r="9" spans="1:2" x14ac:dyDescent="0.55000000000000004">
      <c r="A9" s="2" t="s">
        <v>12</v>
      </c>
      <c r="B9" t="s">
        <v>59</v>
      </c>
    </row>
    <row r="10" spans="1:2" x14ac:dyDescent="0.55000000000000004">
      <c r="A10" s="2"/>
    </row>
    <row r="11" spans="1:2" x14ac:dyDescent="0.55000000000000004">
      <c r="A11" s="2" t="s">
        <v>16</v>
      </c>
      <c r="B11" t="s">
        <v>17</v>
      </c>
    </row>
    <row r="12" spans="1:2" x14ac:dyDescent="0.55000000000000004">
      <c r="A12" s="2"/>
    </row>
    <row r="13" spans="1:2" x14ac:dyDescent="0.55000000000000004">
      <c r="A13" s="2" t="s">
        <v>8</v>
      </c>
      <c r="B13" t="s">
        <v>10</v>
      </c>
    </row>
    <row r="14" spans="1:2" x14ac:dyDescent="0.55000000000000004">
      <c r="B14" t="s">
        <v>20</v>
      </c>
    </row>
    <row r="16" spans="1:2" x14ac:dyDescent="0.55000000000000004">
      <c r="A16" s="2" t="s">
        <v>9</v>
      </c>
      <c r="B16" t="s">
        <v>58</v>
      </c>
    </row>
    <row r="18" spans="1:2" x14ac:dyDescent="0.55000000000000004">
      <c r="A18" s="2" t="s">
        <v>11</v>
      </c>
      <c r="B18" t="s">
        <v>60</v>
      </c>
    </row>
    <row r="20" spans="1:2" x14ac:dyDescent="0.55000000000000004">
      <c r="A20" s="2" t="s">
        <v>19</v>
      </c>
      <c r="B20" t="s">
        <v>18</v>
      </c>
    </row>
    <row r="22" spans="1:2" x14ac:dyDescent="0.55000000000000004">
      <c r="A22" s="2" t="s">
        <v>21</v>
      </c>
      <c r="B22" t="s">
        <v>25</v>
      </c>
    </row>
    <row r="24" spans="1:2" x14ac:dyDescent="0.55000000000000004">
      <c r="A24" s="2" t="s">
        <v>24</v>
      </c>
      <c r="B24" t="s">
        <v>69</v>
      </c>
    </row>
    <row r="26" spans="1:2" x14ac:dyDescent="0.55000000000000004">
      <c r="A26" s="2" t="s">
        <v>26</v>
      </c>
      <c r="B26" t="s">
        <v>70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D8DB8B-3990-447D-A504-5F100C779FB0}">
  <dimension ref="A3:N55"/>
  <sheetViews>
    <sheetView topLeftCell="A16" workbookViewId="0">
      <selection activeCell="K37" sqref="K37"/>
    </sheetView>
  </sheetViews>
  <sheetFormatPr defaultRowHeight="14.4" x14ac:dyDescent="0.55000000000000004"/>
  <cols>
    <col min="1" max="1" width="8" bestFit="1" customWidth="1"/>
    <col min="2" max="2" width="10.68359375" bestFit="1" customWidth="1"/>
    <col min="3" max="4" width="11.15625" bestFit="1" customWidth="1"/>
    <col min="5" max="5" width="12" customWidth="1"/>
    <col min="6" max="6" width="10.15625" bestFit="1" customWidth="1"/>
    <col min="7" max="7" width="11.578125" customWidth="1"/>
    <col min="8" max="10" width="11.15625" bestFit="1" customWidth="1"/>
    <col min="11" max="11" width="10.83984375" customWidth="1"/>
    <col min="12" max="12" width="10.15625" bestFit="1" customWidth="1"/>
    <col min="13" max="13" width="15.83984375" bestFit="1" customWidth="1"/>
    <col min="14" max="14" width="10.15625" bestFit="1" customWidth="1"/>
  </cols>
  <sheetData>
    <row r="3" spans="1:14" x14ac:dyDescent="0.55000000000000004">
      <c r="A3" s="16" t="s">
        <v>42</v>
      </c>
      <c r="B3" s="16"/>
      <c r="C3" s="15" t="s">
        <v>37</v>
      </c>
      <c r="D3" s="15"/>
      <c r="E3" s="15" t="s">
        <v>38</v>
      </c>
      <c r="F3" s="15"/>
      <c r="G3" s="15" t="s">
        <v>39</v>
      </c>
      <c r="H3" s="15"/>
      <c r="I3" s="15" t="s">
        <v>32</v>
      </c>
      <c r="J3" s="15"/>
      <c r="K3" s="15" t="s">
        <v>33</v>
      </c>
      <c r="L3" s="15"/>
      <c r="M3" s="15" t="s">
        <v>34</v>
      </c>
      <c r="N3" s="15"/>
    </row>
    <row r="4" spans="1:14" x14ac:dyDescent="0.55000000000000004">
      <c r="A4" s="7" t="s">
        <v>0</v>
      </c>
      <c r="B4" s="7" t="s">
        <v>1</v>
      </c>
      <c r="C4" s="6" t="s">
        <v>36</v>
      </c>
      <c r="D4" s="6" t="s">
        <v>4</v>
      </c>
      <c r="E4" s="6" t="s">
        <v>36</v>
      </c>
      <c r="F4" s="6" t="s">
        <v>4</v>
      </c>
      <c r="G4" s="6" t="s">
        <v>36</v>
      </c>
      <c r="H4" s="6" t="s">
        <v>4</v>
      </c>
      <c r="I4" s="6" t="s">
        <v>36</v>
      </c>
      <c r="J4" s="6" t="s">
        <v>4</v>
      </c>
      <c r="K4" s="6" t="s">
        <v>36</v>
      </c>
      <c r="L4" s="6" t="s">
        <v>4</v>
      </c>
      <c r="M4" s="6" t="s">
        <v>36</v>
      </c>
      <c r="N4" s="6" t="s">
        <v>4</v>
      </c>
    </row>
    <row r="5" spans="1:14" x14ac:dyDescent="0.55000000000000004">
      <c r="A5" s="1">
        <v>1</v>
      </c>
      <c r="B5" s="1">
        <v>10</v>
      </c>
      <c r="C5" s="1">
        <v>96806</v>
      </c>
      <c r="D5" s="1">
        <v>537658</v>
      </c>
      <c r="E5" s="1">
        <v>0</v>
      </c>
      <c r="F5" s="1">
        <v>0</v>
      </c>
      <c r="G5" s="1">
        <v>96806</v>
      </c>
      <c r="H5" s="1">
        <v>537658</v>
      </c>
      <c r="I5" s="1">
        <v>80149</v>
      </c>
      <c r="J5" s="1">
        <v>446099</v>
      </c>
      <c r="K5" s="1">
        <v>0</v>
      </c>
      <c r="L5" s="1">
        <v>0</v>
      </c>
      <c r="M5" s="1">
        <v>80149</v>
      </c>
      <c r="N5" s="1">
        <v>446099</v>
      </c>
    </row>
    <row r="6" spans="1:14" x14ac:dyDescent="0.55000000000000004">
      <c r="A6" s="1">
        <v>10</v>
      </c>
      <c r="B6" s="1">
        <v>20</v>
      </c>
      <c r="C6" s="1">
        <v>64058</v>
      </c>
      <c r="D6" s="1">
        <v>904107</v>
      </c>
      <c r="E6" s="1">
        <v>0</v>
      </c>
      <c r="F6" s="1">
        <v>0</v>
      </c>
      <c r="G6" s="1">
        <v>64058</v>
      </c>
      <c r="H6" s="1">
        <v>904107</v>
      </c>
      <c r="I6" s="1">
        <v>54094</v>
      </c>
      <c r="J6" s="1">
        <v>763814</v>
      </c>
      <c r="K6" s="1">
        <v>0</v>
      </c>
      <c r="L6" s="1">
        <v>0</v>
      </c>
      <c r="M6" s="1">
        <v>54094</v>
      </c>
      <c r="N6" s="1">
        <v>763814</v>
      </c>
    </row>
    <row r="7" spans="1:14" x14ac:dyDescent="0.55000000000000004">
      <c r="A7" s="1">
        <v>20</v>
      </c>
      <c r="B7" s="1">
        <v>50</v>
      </c>
      <c r="C7" s="1">
        <v>115643</v>
      </c>
      <c r="D7" s="1">
        <v>3841490</v>
      </c>
      <c r="E7" s="1">
        <v>0</v>
      </c>
      <c r="F7" s="1">
        <v>0</v>
      </c>
      <c r="G7" s="1">
        <v>115643</v>
      </c>
      <c r="H7" s="1">
        <v>3841490</v>
      </c>
      <c r="I7" s="1">
        <v>96670</v>
      </c>
      <c r="J7" s="1">
        <v>3208144</v>
      </c>
      <c r="K7" s="1">
        <v>0</v>
      </c>
      <c r="L7" s="1">
        <v>0</v>
      </c>
      <c r="M7" s="1">
        <v>96670</v>
      </c>
      <c r="N7" s="1">
        <v>3208144</v>
      </c>
    </row>
    <row r="8" spans="1:14" x14ac:dyDescent="0.55000000000000004">
      <c r="A8" s="1">
        <v>50</v>
      </c>
      <c r="B8" s="1">
        <v>100</v>
      </c>
      <c r="C8" s="1">
        <v>106480</v>
      </c>
      <c r="D8" s="1">
        <v>7644673</v>
      </c>
      <c r="E8" s="1">
        <v>0</v>
      </c>
      <c r="F8" s="1">
        <v>0</v>
      </c>
      <c r="G8" s="1">
        <v>106480</v>
      </c>
      <c r="H8" s="1">
        <v>7644673</v>
      </c>
      <c r="I8" s="1">
        <v>87299</v>
      </c>
      <c r="J8" s="1">
        <v>6257750</v>
      </c>
      <c r="K8" s="1">
        <v>0</v>
      </c>
      <c r="L8" s="1">
        <v>0</v>
      </c>
      <c r="M8" s="1">
        <v>87299</v>
      </c>
      <c r="N8" s="1">
        <v>6257750</v>
      </c>
    </row>
    <row r="9" spans="1:14" x14ac:dyDescent="0.55000000000000004">
      <c r="A9" s="1">
        <v>100</v>
      </c>
      <c r="B9" s="1">
        <v>200</v>
      </c>
      <c r="C9" s="1">
        <v>96975</v>
      </c>
      <c r="D9" s="1">
        <v>13738630</v>
      </c>
      <c r="E9" s="1">
        <v>0</v>
      </c>
      <c r="F9" s="1">
        <v>0</v>
      </c>
      <c r="G9" s="1">
        <v>96975</v>
      </c>
      <c r="H9" s="1">
        <v>13738630</v>
      </c>
      <c r="I9" s="1">
        <v>76812</v>
      </c>
      <c r="J9" s="1">
        <v>10850499</v>
      </c>
      <c r="K9" s="1">
        <v>0</v>
      </c>
      <c r="L9" s="1">
        <v>0</v>
      </c>
      <c r="M9" s="1">
        <v>76812</v>
      </c>
      <c r="N9" s="1">
        <v>10850499</v>
      </c>
    </row>
    <row r="10" spans="1:14" x14ac:dyDescent="0.55000000000000004">
      <c r="A10" s="1">
        <v>200</v>
      </c>
      <c r="B10" s="1">
        <v>500</v>
      </c>
      <c r="C10" s="1">
        <v>80471</v>
      </c>
      <c r="D10" s="1">
        <v>24872184</v>
      </c>
      <c r="E10" s="1">
        <v>3</v>
      </c>
      <c r="F10" s="1">
        <v>1229</v>
      </c>
      <c r="G10" s="1">
        <v>80468</v>
      </c>
      <c r="H10" s="1">
        <v>24870955</v>
      </c>
      <c r="I10" s="1">
        <v>59131</v>
      </c>
      <c r="J10" s="1">
        <v>18144846</v>
      </c>
      <c r="K10" s="1">
        <v>1</v>
      </c>
      <c r="L10" s="1">
        <v>415</v>
      </c>
      <c r="M10" s="1">
        <v>59130</v>
      </c>
      <c r="N10" s="1">
        <v>18144431</v>
      </c>
    </row>
    <row r="11" spans="1:14" x14ac:dyDescent="0.55000000000000004">
      <c r="A11" s="1">
        <v>500</v>
      </c>
      <c r="B11" s="1">
        <v>1000</v>
      </c>
      <c r="C11" s="1">
        <v>30381</v>
      </c>
      <c r="D11" s="1">
        <v>21094938</v>
      </c>
      <c r="E11" s="1">
        <v>176</v>
      </c>
      <c r="F11" s="1">
        <v>134714</v>
      </c>
      <c r="G11" s="1">
        <v>30205</v>
      </c>
      <c r="H11" s="1">
        <v>20960224</v>
      </c>
      <c r="I11" s="1">
        <v>21052</v>
      </c>
      <c r="J11" s="1">
        <v>14578685</v>
      </c>
      <c r="K11" s="1">
        <v>103</v>
      </c>
      <c r="L11" s="1">
        <v>80433</v>
      </c>
      <c r="M11" s="1">
        <v>20949</v>
      </c>
      <c r="N11" s="1">
        <v>14498252</v>
      </c>
    </row>
    <row r="12" spans="1:14" x14ac:dyDescent="0.55000000000000004">
      <c r="A12" s="1">
        <v>1000</v>
      </c>
      <c r="B12" s="1">
        <v>2000</v>
      </c>
      <c r="C12" s="1">
        <v>15547</v>
      </c>
      <c r="D12" s="1">
        <v>21410126</v>
      </c>
      <c r="E12" s="1">
        <v>330</v>
      </c>
      <c r="F12" s="1">
        <v>482417</v>
      </c>
      <c r="G12" s="1">
        <v>15217</v>
      </c>
      <c r="H12" s="1">
        <v>20927709</v>
      </c>
      <c r="I12" s="1">
        <v>10019</v>
      </c>
      <c r="J12" s="1">
        <v>13728623</v>
      </c>
      <c r="K12" s="1">
        <v>219</v>
      </c>
      <c r="L12" s="1">
        <v>320966</v>
      </c>
      <c r="M12" s="1">
        <v>9800</v>
      </c>
      <c r="N12" s="1">
        <v>13407657</v>
      </c>
    </row>
    <row r="13" spans="1:14" x14ac:dyDescent="0.55000000000000004">
      <c r="A13" s="1">
        <v>2000</v>
      </c>
      <c r="B13" s="1">
        <v>5000</v>
      </c>
      <c r="C13" s="1">
        <v>7219</v>
      </c>
      <c r="D13" s="1">
        <v>20999532</v>
      </c>
      <c r="E13" s="1">
        <v>559</v>
      </c>
      <c r="F13" s="1">
        <v>1844645</v>
      </c>
      <c r="G13" s="1">
        <v>6660</v>
      </c>
      <c r="H13" s="1">
        <v>19154887</v>
      </c>
      <c r="I13" s="1">
        <v>4218</v>
      </c>
      <c r="J13" s="1">
        <v>12184306</v>
      </c>
      <c r="K13" s="1">
        <v>362</v>
      </c>
      <c r="L13" s="1">
        <v>1198303</v>
      </c>
      <c r="M13" s="1">
        <v>3856</v>
      </c>
      <c r="N13" s="1">
        <v>10986003</v>
      </c>
    </row>
    <row r="14" spans="1:14" x14ac:dyDescent="0.55000000000000004">
      <c r="A14" s="1">
        <v>5000</v>
      </c>
      <c r="B14" s="1">
        <v>10000</v>
      </c>
      <c r="C14" s="1">
        <v>1280</v>
      </c>
      <c r="D14" s="1">
        <v>8557326</v>
      </c>
      <c r="E14" s="1">
        <v>378</v>
      </c>
      <c r="F14" s="1">
        <v>2688102</v>
      </c>
      <c r="G14" s="1">
        <v>902</v>
      </c>
      <c r="H14" s="1">
        <v>5869224</v>
      </c>
      <c r="I14" s="1">
        <v>721</v>
      </c>
      <c r="J14" s="1">
        <v>4861267</v>
      </c>
      <c r="K14" s="1">
        <v>243</v>
      </c>
      <c r="L14" s="1">
        <v>1727240</v>
      </c>
      <c r="M14" s="1">
        <v>478</v>
      </c>
      <c r="N14" s="1">
        <v>3134027</v>
      </c>
    </row>
    <row r="15" spans="1:14" x14ac:dyDescent="0.55000000000000004">
      <c r="A15" s="1">
        <v>10000</v>
      </c>
      <c r="B15" s="1">
        <v>20000</v>
      </c>
      <c r="C15" s="1">
        <v>421</v>
      </c>
      <c r="D15" s="1">
        <v>5620665</v>
      </c>
      <c r="E15" s="1">
        <v>253</v>
      </c>
      <c r="F15" s="1">
        <v>3522846</v>
      </c>
      <c r="G15" s="1">
        <v>168</v>
      </c>
      <c r="H15" s="1">
        <v>2097819</v>
      </c>
      <c r="I15" s="1">
        <v>292</v>
      </c>
      <c r="J15" s="1">
        <v>3907710</v>
      </c>
      <c r="K15" s="1">
        <v>161</v>
      </c>
      <c r="L15" s="1">
        <v>2276487</v>
      </c>
      <c r="M15" s="1">
        <v>131</v>
      </c>
      <c r="N15" s="1">
        <v>1631223</v>
      </c>
    </row>
    <row r="16" spans="1:14" x14ac:dyDescent="0.55000000000000004">
      <c r="A16" s="1">
        <v>20000</v>
      </c>
      <c r="B16" s="1">
        <v>50000</v>
      </c>
      <c r="C16" s="1">
        <v>140</v>
      </c>
      <c r="D16" s="1">
        <v>4093873</v>
      </c>
      <c r="E16" s="1">
        <v>135</v>
      </c>
      <c r="F16" s="1">
        <v>3982819</v>
      </c>
      <c r="G16" s="1">
        <v>5</v>
      </c>
      <c r="H16" s="1">
        <v>111054</v>
      </c>
      <c r="I16" s="1">
        <v>93</v>
      </c>
      <c r="J16" s="1">
        <v>2670393</v>
      </c>
      <c r="K16" s="1">
        <v>90</v>
      </c>
      <c r="L16" s="1">
        <v>2605731</v>
      </c>
      <c r="M16" s="1">
        <v>3</v>
      </c>
      <c r="N16" s="1">
        <v>64662</v>
      </c>
    </row>
    <row r="17" spans="1:14" x14ac:dyDescent="0.55000000000000004">
      <c r="A17" s="1">
        <v>50000</v>
      </c>
      <c r="B17" s="1">
        <v>100000</v>
      </c>
      <c r="C17" s="1">
        <v>60</v>
      </c>
      <c r="D17" s="1">
        <v>4108692</v>
      </c>
      <c r="E17" s="1">
        <v>60</v>
      </c>
      <c r="F17" s="1">
        <v>4108692</v>
      </c>
      <c r="G17" s="1">
        <v>0</v>
      </c>
      <c r="H17" s="1">
        <v>0</v>
      </c>
      <c r="I17" s="1">
        <v>40</v>
      </c>
      <c r="J17" s="1">
        <v>2786535</v>
      </c>
      <c r="K17" s="1">
        <v>40</v>
      </c>
      <c r="L17" s="1">
        <v>2786535</v>
      </c>
      <c r="M17" s="1">
        <v>0</v>
      </c>
      <c r="N17" s="1">
        <v>0</v>
      </c>
    </row>
    <row r="18" spans="1:14" x14ac:dyDescent="0.55000000000000004">
      <c r="A18" t="s">
        <v>40</v>
      </c>
      <c r="B18" s="1">
        <v>100000</v>
      </c>
      <c r="C18" s="1">
        <v>32</v>
      </c>
      <c r="D18" s="1">
        <v>9550941</v>
      </c>
      <c r="E18" s="1">
        <v>32</v>
      </c>
      <c r="F18" s="1">
        <v>9550941</v>
      </c>
      <c r="G18" s="1">
        <v>0</v>
      </c>
      <c r="H18" s="1">
        <v>0</v>
      </c>
      <c r="I18" s="1">
        <v>20</v>
      </c>
      <c r="J18" s="1">
        <v>6447410</v>
      </c>
      <c r="K18" s="1">
        <v>20</v>
      </c>
      <c r="L18" s="1">
        <v>6447410</v>
      </c>
      <c r="M18" s="1">
        <v>0</v>
      </c>
      <c r="N18" s="1">
        <v>0</v>
      </c>
    </row>
    <row r="19" spans="1:14" x14ac:dyDescent="0.55000000000000004">
      <c r="A19" t="s">
        <v>35</v>
      </c>
      <c r="C19" s="1">
        <v>615513</v>
      </c>
      <c r="D19" s="1">
        <v>146974835</v>
      </c>
      <c r="E19" s="1">
        <v>1926</v>
      </c>
      <c r="F19" s="1">
        <v>26316405</v>
      </c>
      <c r="G19" s="1">
        <v>613587</v>
      </c>
      <c r="H19" s="1">
        <v>120658430</v>
      </c>
      <c r="I19" s="1">
        <v>490610</v>
      </c>
      <c r="J19" s="1">
        <v>100836081</v>
      </c>
      <c r="K19" s="1">
        <v>1239</v>
      </c>
      <c r="L19" s="1">
        <v>17443520</v>
      </c>
      <c r="M19" s="1">
        <v>489371</v>
      </c>
      <c r="N19" s="1">
        <v>83392561</v>
      </c>
    </row>
    <row r="21" spans="1:14" ht="18.3" x14ac:dyDescent="0.7">
      <c r="A21" s="11" t="s">
        <v>65</v>
      </c>
    </row>
    <row r="23" spans="1:14" x14ac:dyDescent="0.55000000000000004">
      <c r="B23" t="s">
        <v>50</v>
      </c>
    </row>
    <row r="24" spans="1:14" x14ac:dyDescent="0.55000000000000004">
      <c r="B24" t="s">
        <v>43</v>
      </c>
    </row>
    <row r="25" spans="1:14" x14ac:dyDescent="0.55000000000000004">
      <c r="B25" t="s">
        <v>51</v>
      </c>
    </row>
    <row r="26" spans="1:14" x14ac:dyDescent="0.55000000000000004">
      <c r="B26" t="s">
        <v>44</v>
      </c>
    </row>
    <row r="27" spans="1:14" x14ac:dyDescent="0.55000000000000004">
      <c r="B27" t="s">
        <v>45</v>
      </c>
    </row>
    <row r="29" spans="1:14" x14ac:dyDescent="0.55000000000000004">
      <c r="B29" t="s">
        <v>46</v>
      </c>
    </row>
    <row r="30" spans="1:14" x14ac:dyDescent="0.55000000000000004">
      <c r="B30" t="s">
        <v>47</v>
      </c>
    </row>
    <row r="31" spans="1:14" x14ac:dyDescent="0.55000000000000004">
      <c r="B31" t="s">
        <v>48</v>
      </c>
    </row>
    <row r="32" spans="1:14" x14ac:dyDescent="0.55000000000000004">
      <c r="B32" t="s">
        <v>49</v>
      </c>
    </row>
    <row r="36" spans="1:14" x14ac:dyDescent="0.55000000000000004">
      <c r="A36" s="1">
        <v>2500</v>
      </c>
      <c r="B36" s="1">
        <v>5000</v>
      </c>
      <c r="C36" s="1">
        <v>4300</v>
      </c>
      <c r="D36" s="1">
        <v>14506569</v>
      </c>
      <c r="E36" s="1">
        <v>428</v>
      </c>
      <c r="F36" s="1">
        <v>1551432</v>
      </c>
      <c r="G36" s="1">
        <v>3871</v>
      </c>
      <c r="H36" s="1">
        <v>12955137</v>
      </c>
      <c r="I36" s="1">
        <v>2466</v>
      </c>
      <c r="J36" s="1">
        <v>8289401</v>
      </c>
      <c r="K36" s="1">
        <v>279</v>
      </c>
      <c r="L36" s="1">
        <v>1011440</v>
      </c>
      <c r="M36" s="1">
        <v>2187</v>
      </c>
      <c r="N36" s="1">
        <v>7277961</v>
      </c>
    </row>
    <row r="37" spans="1:14" x14ac:dyDescent="0.55000000000000004">
      <c r="A37" s="1">
        <v>5000</v>
      </c>
      <c r="B37" s="1">
        <v>10000</v>
      </c>
      <c r="C37" s="1">
        <v>1280</v>
      </c>
      <c r="D37" s="1">
        <v>8557326</v>
      </c>
      <c r="E37" s="1">
        <v>378</v>
      </c>
      <c r="F37" s="1">
        <v>2688102</v>
      </c>
      <c r="G37" s="1">
        <v>902</v>
      </c>
      <c r="H37" s="1">
        <v>5869224</v>
      </c>
      <c r="I37" s="1">
        <v>721</v>
      </c>
      <c r="J37" s="1">
        <v>4861267</v>
      </c>
      <c r="K37" s="1">
        <v>243</v>
      </c>
      <c r="L37" s="1">
        <v>1727240</v>
      </c>
      <c r="M37" s="1">
        <v>478</v>
      </c>
      <c r="N37" s="1">
        <v>3134027</v>
      </c>
    </row>
    <row r="38" spans="1:14" x14ac:dyDescent="0.55000000000000004">
      <c r="A38" s="1">
        <v>10000</v>
      </c>
      <c r="B38" s="1">
        <v>20000</v>
      </c>
      <c r="C38" s="1">
        <v>421</v>
      </c>
      <c r="D38" s="1">
        <v>5620665</v>
      </c>
      <c r="E38" s="1">
        <v>253</v>
      </c>
      <c r="F38" s="1">
        <v>3522846</v>
      </c>
      <c r="G38" s="1">
        <v>168</v>
      </c>
      <c r="H38" s="1">
        <v>2097819</v>
      </c>
      <c r="I38" s="1">
        <v>292</v>
      </c>
      <c r="J38" s="1">
        <v>3907710</v>
      </c>
      <c r="K38" s="1">
        <v>161</v>
      </c>
      <c r="L38" s="1">
        <v>2276487</v>
      </c>
      <c r="M38" s="1">
        <v>131</v>
      </c>
      <c r="N38" s="1">
        <v>1631223</v>
      </c>
    </row>
    <row r="39" spans="1:14" x14ac:dyDescent="0.55000000000000004">
      <c r="A39" s="1">
        <v>20000</v>
      </c>
      <c r="B39" s="1">
        <v>50000</v>
      </c>
      <c r="C39" s="1">
        <v>140</v>
      </c>
      <c r="D39" s="1">
        <v>4093873</v>
      </c>
      <c r="E39" s="1">
        <v>135</v>
      </c>
      <c r="F39" s="1">
        <v>3982819</v>
      </c>
      <c r="G39" s="1">
        <v>5</v>
      </c>
      <c r="H39" s="1">
        <v>111054</v>
      </c>
      <c r="I39" s="1">
        <v>93</v>
      </c>
      <c r="J39" s="1">
        <v>2670393</v>
      </c>
      <c r="K39" s="1">
        <v>90</v>
      </c>
      <c r="L39" s="1">
        <v>2605731</v>
      </c>
      <c r="M39" s="1">
        <v>3</v>
      </c>
      <c r="N39" s="1">
        <v>64662</v>
      </c>
    </row>
    <row r="40" spans="1:14" x14ac:dyDescent="0.55000000000000004">
      <c r="A40" s="1">
        <v>50000</v>
      </c>
      <c r="B40" s="1">
        <v>100000</v>
      </c>
      <c r="C40" s="1">
        <v>60</v>
      </c>
      <c r="D40" s="1">
        <v>4108692</v>
      </c>
      <c r="E40" s="1">
        <v>60</v>
      </c>
      <c r="F40" s="1">
        <v>4108692</v>
      </c>
      <c r="G40" s="1">
        <v>0</v>
      </c>
      <c r="H40" s="1">
        <v>0</v>
      </c>
      <c r="I40" s="1">
        <v>40</v>
      </c>
      <c r="J40" s="1">
        <v>2786535</v>
      </c>
      <c r="K40" s="1">
        <v>40</v>
      </c>
      <c r="L40" s="1">
        <v>2786535</v>
      </c>
      <c r="M40" s="1">
        <v>0</v>
      </c>
      <c r="N40" s="1">
        <v>0</v>
      </c>
    </row>
    <row r="41" spans="1:14" x14ac:dyDescent="0.55000000000000004">
      <c r="A41" t="s">
        <v>40</v>
      </c>
      <c r="B41" s="1">
        <v>100000</v>
      </c>
      <c r="C41" s="1">
        <v>32</v>
      </c>
      <c r="D41" s="1">
        <v>9550941</v>
      </c>
      <c r="E41" s="1">
        <v>32</v>
      </c>
      <c r="F41" s="1">
        <v>9550941</v>
      </c>
      <c r="G41" s="1">
        <v>0</v>
      </c>
      <c r="H41" s="1">
        <v>0</v>
      </c>
      <c r="I41" s="1">
        <v>20</v>
      </c>
      <c r="J41" s="1">
        <v>6447410</v>
      </c>
      <c r="K41" s="1">
        <v>20</v>
      </c>
      <c r="L41" s="1">
        <v>6447410</v>
      </c>
      <c r="M41" s="1">
        <v>0</v>
      </c>
      <c r="N41" s="1">
        <v>0</v>
      </c>
    </row>
    <row r="43" spans="1:14" x14ac:dyDescent="0.55000000000000004">
      <c r="A43" t="s">
        <v>35</v>
      </c>
      <c r="D43" s="1">
        <f>SUM(D36:D41)</f>
        <v>46438066</v>
      </c>
      <c r="J43" s="1">
        <f>SUM(J36:J41)</f>
        <v>28962716</v>
      </c>
    </row>
    <row r="44" spans="1:14" x14ac:dyDescent="0.55000000000000004">
      <c r="A44" t="s">
        <v>52</v>
      </c>
      <c r="D44" s="3">
        <f>100*D43/D19</f>
        <v>31.595930010739593</v>
      </c>
      <c r="J44" s="3">
        <f>100*J43/J19</f>
        <v>28.722572032524745</v>
      </c>
    </row>
    <row r="46" spans="1:14" ht="18.3" x14ac:dyDescent="0.7">
      <c r="A46" s="11" t="s">
        <v>64</v>
      </c>
    </row>
    <row r="48" spans="1:14" x14ac:dyDescent="0.55000000000000004">
      <c r="A48" s="1">
        <v>2000</v>
      </c>
      <c r="B48" s="1">
        <v>5000</v>
      </c>
      <c r="C48" s="1">
        <v>7219</v>
      </c>
      <c r="D48" s="1">
        <v>20999532</v>
      </c>
      <c r="E48" s="1">
        <v>559</v>
      </c>
      <c r="F48" s="1">
        <v>1844645</v>
      </c>
      <c r="G48" s="1">
        <v>6660</v>
      </c>
      <c r="H48" s="1">
        <v>19154887</v>
      </c>
      <c r="I48" s="1">
        <v>4218</v>
      </c>
      <c r="J48" s="1">
        <v>12184306</v>
      </c>
      <c r="K48" s="1">
        <v>362</v>
      </c>
      <c r="L48" s="1">
        <v>1198303</v>
      </c>
      <c r="M48" s="1">
        <v>3856</v>
      </c>
      <c r="N48" s="1">
        <v>10986003</v>
      </c>
    </row>
    <row r="49" spans="1:14" x14ac:dyDescent="0.55000000000000004">
      <c r="A49" s="1">
        <v>5000</v>
      </c>
      <c r="B49" s="1">
        <v>10000</v>
      </c>
      <c r="C49" s="1">
        <v>1280</v>
      </c>
      <c r="D49" s="1">
        <v>8557326</v>
      </c>
      <c r="E49" s="1">
        <v>378</v>
      </c>
      <c r="F49" s="1">
        <v>2688102</v>
      </c>
      <c r="G49" s="1">
        <v>902</v>
      </c>
      <c r="H49" s="1">
        <v>5869224</v>
      </c>
      <c r="I49" s="1">
        <v>721</v>
      </c>
      <c r="J49" s="1">
        <v>4861267</v>
      </c>
      <c r="K49" s="1">
        <v>243</v>
      </c>
      <c r="L49" s="1">
        <v>1727240</v>
      </c>
      <c r="M49" s="1">
        <v>478</v>
      </c>
      <c r="N49" s="1">
        <v>3134027</v>
      </c>
    </row>
    <row r="50" spans="1:14" x14ac:dyDescent="0.55000000000000004">
      <c r="A50" s="1">
        <v>10000</v>
      </c>
      <c r="B50" s="1">
        <v>20000</v>
      </c>
      <c r="C50" s="1">
        <v>421</v>
      </c>
      <c r="D50" s="1">
        <v>5620665</v>
      </c>
      <c r="E50" s="1">
        <v>253</v>
      </c>
      <c r="F50" s="1">
        <v>3522846</v>
      </c>
      <c r="G50" s="1">
        <v>168</v>
      </c>
      <c r="H50" s="1">
        <v>2097819</v>
      </c>
      <c r="I50" s="1">
        <v>292</v>
      </c>
      <c r="J50" s="1">
        <v>3907710</v>
      </c>
      <c r="K50" s="1">
        <v>161</v>
      </c>
      <c r="L50" s="1">
        <v>2276487</v>
      </c>
      <c r="M50" s="1">
        <v>131</v>
      </c>
      <c r="N50" s="1">
        <v>1631223</v>
      </c>
    </row>
    <row r="51" spans="1:14" x14ac:dyDescent="0.55000000000000004">
      <c r="A51" s="1">
        <v>20000</v>
      </c>
      <c r="B51" s="1">
        <v>50000</v>
      </c>
      <c r="C51" s="1">
        <v>140</v>
      </c>
      <c r="D51" s="1">
        <v>4093873</v>
      </c>
      <c r="E51" s="1">
        <v>135</v>
      </c>
      <c r="F51" s="1">
        <v>3982819</v>
      </c>
      <c r="G51" s="1">
        <v>5</v>
      </c>
      <c r="H51" s="1">
        <v>111054</v>
      </c>
      <c r="I51" s="1">
        <v>93</v>
      </c>
      <c r="J51" s="1">
        <v>2670393</v>
      </c>
      <c r="K51" s="1">
        <v>90</v>
      </c>
      <c r="L51" s="1">
        <v>2605731</v>
      </c>
      <c r="M51" s="1">
        <v>3</v>
      </c>
      <c r="N51" s="1">
        <v>64662</v>
      </c>
    </row>
    <row r="52" spans="1:14" x14ac:dyDescent="0.55000000000000004">
      <c r="A52" s="1">
        <v>50000</v>
      </c>
      <c r="B52" s="1">
        <v>100000</v>
      </c>
      <c r="C52" s="1">
        <v>60</v>
      </c>
      <c r="D52" s="1">
        <v>4108692</v>
      </c>
      <c r="E52" s="1">
        <v>60</v>
      </c>
      <c r="F52" s="1">
        <v>4108692</v>
      </c>
      <c r="G52" s="1">
        <v>0</v>
      </c>
      <c r="H52" s="1">
        <v>0</v>
      </c>
      <c r="I52" s="1">
        <v>40</v>
      </c>
      <c r="J52" s="1">
        <v>2786535</v>
      </c>
      <c r="K52" s="1">
        <v>40</v>
      </c>
      <c r="L52" s="1">
        <v>2786535</v>
      </c>
      <c r="M52" s="1">
        <v>0</v>
      </c>
      <c r="N52" s="1">
        <v>0</v>
      </c>
    </row>
    <row r="53" spans="1:14" x14ac:dyDescent="0.55000000000000004">
      <c r="A53" t="s">
        <v>40</v>
      </c>
      <c r="B53" s="1">
        <v>100000</v>
      </c>
      <c r="C53" s="1">
        <v>32</v>
      </c>
      <c r="D53" s="1">
        <v>9550941</v>
      </c>
      <c r="E53" s="1">
        <v>32</v>
      </c>
      <c r="F53" s="1">
        <v>9550941</v>
      </c>
      <c r="G53" s="1">
        <v>0</v>
      </c>
      <c r="H53" s="1">
        <v>0</v>
      </c>
      <c r="I53" s="1">
        <v>20</v>
      </c>
      <c r="J53" s="1">
        <v>6447410</v>
      </c>
      <c r="K53" s="1">
        <v>20</v>
      </c>
      <c r="L53" s="1">
        <v>6447410</v>
      </c>
      <c r="M53" s="1">
        <v>0</v>
      </c>
      <c r="N53" s="1">
        <v>0</v>
      </c>
    </row>
    <row r="54" spans="1:14" x14ac:dyDescent="0.55000000000000004">
      <c r="A54" t="s">
        <v>35</v>
      </c>
      <c r="C54" s="1">
        <f>SUM(C48:C53)</f>
        <v>9152</v>
      </c>
      <c r="D54" s="1">
        <f t="shared" ref="D54:N54" si="0">SUM(D48:D53)</f>
        <v>52931029</v>
      </c>
      <c r="E54" s="1">
        <f t="shared" si="0"/>
        <v>1417</v>
      </c>
      <c r="F54" s="1">
        <f t="shared" si="0"/>
        <v>25698045</v>
      </c>
      <c r="G54" s="1">
        <f t="shared" si="0"/>
        <v>7735</v>
      </c>
      <c r="H54" s="1">
        <f t="shared" si="0"/>
        <v>27232984</v>
      </c>
      <c r="I54" s="1">
        <f t="shared" si="0"/>
        <v>5384</v>
      </c>
      <c r="J54" s="1">
        <f t="shared" si="0"/>
        <v>32857621</v>
      </c>
      <c r="K54" s="1">
        <f t="shared" si="0"/>
        <v>916</v>
      </c>
      <c r="L54" s="1">
        <f t="shared" si="0"/>
        <v>17041706</v>
      </c>
      <c r="M54" s="1">
        <f t="shared" si="0"/>
        <v>4468</v>
      </c>
      <c r="N54" s="1">
        <f t="shared" si="0"/>
        <v>15815915</v>
      </c>
    </row>
    <row r="55" spans="1:14" x14ac:dyDescent="0.55000000000000004">
      <c r="A55" t="s">
        <v>52</v>
      </c>
      <c r="D55" s="13">
        <f>100*D54/D19</f>
        <v>36.013667918048689</v>
      </c>
      <c r="J55" s="13">
        <f>100*J54/J19</f>
        <v>32.585182480465498</v>
      </c>
    </row>
  </sheetData>
  <mergeCells count="7">
    <mergeCell ref="K3:L3"/>
    <mergeCell ref="M3:N3"/>
    <mergeCell ref="A3:B3"/>
    <mergeCell ref="C3:D3"/>
    <mergeCell ref="E3:F3"/>
    <mergeCell ref="G3:H3"/>
    <mergeCell ref="I3:J3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23E754-2BB4-4F22-A1F6-E30F1A3E2522}">
  <dimension ref="A1:D57"/>
  <sheetViews>
    <sheetView workbookViewId="0">
      <selection activeCell="A39" sqref="A39"/>
    </sheetView>
  </sheetViews>
  <sheetFormatPr defaultRowHeight="14.4" x14ac:dyDescent="0.55000000000000004"/>
  <cols>
    <col min="4" max="4" width="11" customWidth="1"/>
  </cols>
  <sheetData>
    <row r="1" spans="1:4" x14ac:dyDescent="0.55000000000000004">
      <c r="A1" s="5" t="s">
        <v>6</v>
      </c>
    </row>
    <row r="3" spans="1:4" x14ac:dyDescent="0.55000000000000004">
      <c r="A3" s="2" t="s">
        <v>0</v>
      </c>
      <c r="B3" s="2" t="s">
        <v>1</v>
      </c>
      <c r="C3" s="2"/>
      <c r="D3" s="2" t="s">
        <v>4</v>
      </c>
    </row>
    <row r="4" spans="1:4" x14ac:dyDescent="0.55000000000000004">
      <c r="A4" t="s">
        <v>2</v>
      </c>
      <c r="B4" s="1">
        <v>3000</v>
      </c>
      <c r="D4" s="1">
        <v>1207383</v>
      </c>
    </row>
    <row r="5" spans="1:4" x14ac:dyDescent="0.55000000000000004">
      <c r="A5" s="1">
        <v>3000</v>
      </c>
      <c r="B5" s="1">
        <v>5000</v>
      </c>
      <c r="D5" s="1">
        <v>1255602</v>
      </c>
    </row>
    <row r="6" spans="1:4" x14ac:dyDescent="0.55000000000000004">
      <c r="A6" s="1">
        <v>5000</v>
      </c>
      <c r="B6" s="1">
        <v>10000</v>
      </c>
      <c r="D6" s="1">
        <v>2688141</v>
      </c>
    </row>
    <row r="7" spans="1:4" x14ac:dyDescent="0.55000000000000004">
      <c r="A7" s="1">
        <v>10000</v>
      </c>
      <c r="B7" s="1">
        <v>20000</v>
      </c>
      <c r="D7" s="1">
        <v>3522835</v>
      </c>
    </row>
    <row r="8" spans="1:4" x14ac:dyDescent="0.55000000000000004">
      <c r="A8" s="1">
        <v>20000</v>
      </c>
      <c r="B8" s="1">
        <v>50000</v>
      </c>
      <c r="D8" s="1">
        <v>3982819</v>
      </c>
    </row>
    <row r="9" spans="1:4" x14ac:dyDescent="0.55000000000000004">
      <c r="A9" s="1">
        <v>50000</v>
      </c>
      <c r="B9" s="1">
        <v>100000</v>
      </c>
      <c r="D9" s="1">
        <v>4108692</v>
      </c>
    </row>
    <row r="10" spans="1:4" x14ac:dyDescent="0.55000000000000004">
      <c r="A10" s="1">
        <v>100000</v>
      </c>
      <c r="B10" s="1">
        <v>500000</v>
      </c>
      <c r="D10" s="1">
        <v>5397349</v>
      </c>
    </row>
    <row r="11" spans="1:4" x14ac:dyDescent="0.55000000000000004">
      <c r="A11" s="1">
        <v>500000</v>
      </c>
      <c r="B11" t="s">
        <v>3</v>
      </c>
      <c r="D11" s="1">
        <v>4153592</v>
      </c>
    </row>
    <row r="12" spans="1:4" x14ac:dyDescent="0.55000000000000004">
      <c r="A12" s="2" t="s">
        <v>13</v>
      </c>
      <c r="D12" s="1">
        <f>SUM(D4:D11)</f>
        <v>26316413</v>
      </c>
    </row>
    <row r="13" spans="1:4" x14ac:dyDescent="0.55000000000000004">
      <c r="A13" s="2" t="s">
        <v>14</v>
      </c>
      <c r="D13" s="1">
        <v>136810000</v>
      </c>
    </row>
    <row r="14" spans="1:4" x14ac:dyDescent="0.55000000000000004">
      <c r="A14" s="2" t="s">
        <v>15</v>
      </c>
      <c r="D14" s="3">
        <f>100*D12/D13</f>
        <v>19.235737884657553</v>
      </c>
    </row>
    <row r="17" spans="1:4" x14ac:dyDescent="0.55000000000000004">
      <c r="A17" s="5" t="s">
        <v>20</v>
      </c>
    </row>
    <row r="19" spans="1:4" x14ac:dyDescent="0.55000000000000004">
      <c r="A19" s="2" t="s">
        <v>0</v>
      </c>
      <c r="B19" s="2" t="s">
        <v>1</v>
      </c>
      <c r="C19" s="2"/>
      <c r="D19" s="2" t="s">
        <v>4</v>
      </c>
    </row>
    <row r="20" spans="1:4" x14ac:dyDescent="0.55000000000000004">
      <c r="A20" t="s">
        <v>2</v>
      </c>
      <c r="B20" s="1">
        <v>1000</v>
      </c>
      <c r="C20" s="2"/>
      <c r="D20" s="1">
        <v>11126</v>
      </c>
    </row>
    <row r="21" spans="1:4" x14ac:dyDescent="0.55000000000000004">
      <c r="A21" s="1">
        <v>1000</v>
      </c>
      <c r="B21" s="1">
        <v>2000</v>
      </c>
      <c r="D21" s="1">
        <v>53807</v>
      </c>
    </row>
    <row r="22" spans="1:4" x14ac:dyDescent="0.55000000000000004">
      <c r="A22" s="1">
        <v>2000</v>
      </c>
      <c r="B22" s="1">
        <v>3000</v>
      </c>
      <c r="D22" s="1">
        <v>120250</v>
      </c>
    </row>
    <row r="23" spans="1:4" x14ac:dyDescent="0.55000000000000004">
      <c r="A23" s="1">
        <v>3000</v>
      </c>
      <c r="B23" s="1">
        <v>5000</v>
      </c>
      <c r="D23" s="1">
        <v>414313</v>
      </c>
    </row>
    <row r="24" spans="1:4" x14ac:dyDescent="0.55000000000000004">
      <c r="A24" s="1">
        <v>5000</v>
      </c>
      <c r="B24" s="1">
        <v>7000</v>
      </c>
      <c r="D24" s="1">
        <v>437484</v>
      </c>
    </row>
    <row r="25" spans="1:4" x14ac:dyDescent="0.55000000000000004">
      <c r="A25" s="1">
        <v>7000</v>
      </c>
      <c r="B25" s="1">
        <v>10000</v>
      </c>
      <c r="D25" s="1">
        <v>611204</v>
      </c>
    </row>
    <row r="26" spans="1:4" x14ac:dyDescent="0.55000000000000004">
      <c r="A26" s="1">
        <v>10000</v>
      </c>
      <c r="B26" s="1">
        <v>15000</v>
      </c>
      <c r="D26" s="1">
        <v>1214439</v>
      </c>
    </row>
    <row r="27" spans="1:4" x14ac:dyDescent="0.55000000000000004">
      <c r="A27" s="1">
        <v>15000</v>
      </c>
      <c r="B27" s="1">
        <v>20000</v>
      </c>
      <c r="D27" s="1">
        <v>850914</v>
      </c>
    </row>
    <row r="28" spans="1:4" x14ac:dyDescent="0.55000000000000004">
      <c r="A28" s="1">
        <v>20000</v>
      </c>
      <c r="B28" s="1">
        <v>25000</v>
      </c>
      <c r="D28" s="1">
        <v>778363</v>
      </c>
    </row>
    <row r="29" spans="1:4" x14ac:dyDescent="0.55000000000000004">
      <c r="A29" s="1">
        <v>25000</v>
      </c>
      <c r="B29" s="1">
        <v>30000</v>
      </c>
      <c r="D29" s="1">
        <v>563766</v>
      </c>
    </row>
    <row r="30" spans="1:4" x14ac:dyDescent="0.55000000000000004">
      <c r="A30" s="1">
        <v>30000</v>
      </c>
      <c r="B30" s="1">
        <v>40000</v>
      </c>
      <c r="D30" s="1">
        <v>1243442</v>
      </c>
    </row>
    <row r="31" spans="1:4" x14ac:dyDescent="0.55000000000000004">
      <c r="A31" s="1">
        <v>40000</v>
      </c>
      <c r="B31" s="1">
        <v>50000</v>
      </c>
      <c r="D31" s="1">
        <v>682374</v>
      </c>
    </row>
    <row r="32" spans="1:4" x14ac:dyDescent="0.55000000000000004">
      <c r="A32" s="1">
        <v>50000</v>
      </c>
      <c r="B32" s="1">
        <v>70000</v>
      </c>
      <c r="D32" s="1">
        <v>1811560</v>
      </c>
    </row>
    <row r="33" spans="1:4" x14ac:dyDescent="0.55000000000000004">
      <c r="A33" s="1">
        <v>70000</v>
      </c>
      <c r="B33" s="1">
        <v>100000</v>
      </c>
      <c r="D33" s="1">
        <v>2226166</v>
      </c>
    </row>
    <row r="34" spans="1:4" x14ac:dyDescent="0.55000000000000004">
      <c r="A34" s="1">
        <v>100000</v>
      </c>
      <c r="B34" t="s">
        <v>3</v>
      </c>
      <c r="D34" s="1">
        <v>9142693</v>
      </c>
    </row>
    <row r="35" spans="1:4" x14ac:dyDescent="0.55000000000000004">
      <c r="A35" s="2" t="s">
        <v>13</v>
      </c>
      <c r="D35" s="1">
        <f>SUM(D20:D34)</f>
        <v>20161901</v>
      </c>
    </row>
    <row r="36" spans="1:4" x14ac:dyDescent="0.55000000000000004">
      <c r="A36" s="2" t="s">
        <v>14</v>
      </c>
      <c r="D36" s="1">
        <v>147027915</v>
      </c>
    </row>
    <row r="37" spans="1:4" x14ac:dyDescent="0.55000000000000004">
      <c r="A37" s="2" t="s">
        <v>15</v>
      </c>
      <c r="D37" s="3">
        <f>100*D35/D36</f>
        <v>13.712974845627103</v>
      </c>
    </row>
    <row r="38" spans="1:4" x14ac:dyDescent="0.55000000000000004">
      <c r="D38" s="1"/>
    </row>
    <row r="39" spans="1:4" x14ac:dyDescent="0.55000000000000004">
      <c r="A39" s="5" t="s">
        <v>29</v>
      </c>
      <c r="D39" s="1"/>
    </row>
    <row r="40" spans="1:4" x14ac:dyDescent="0.55000000000000004">
      <c r="D40" s="1"/>
    </row>
    <row r="41" spans="1:4" x14ac:dyDescent="0.55000000000000004">
      <c r="D41" s="1"/>
    </row>
    <row r="47" spans="1:4" x14ac:dyDescent="0.55000000000000004">
      <c r="D47" s="1"/>
    </row>
    <row r="48" spans="1:4" x14ac:dyDescent="0.55000000000000004">
      <c r="D48" s="1"/>
    </row>
    <row r="49" spans="1:4" x14ac:dyDescent="0.55000000000000004">
      <c r="D49" s="1"/>
    </row>
    <row r="50" spans="1:4" x14ac:dyDescent="0.55000000000000004">
      <c r="D50" s="1"/>
    </row>
    <row r="51" spans="1:4" x14ac:dyDescent="0.55000000000000004">
      <c r="D51" s="1"/>
    </row>
    <row r="52" spans="1:4" x14ac:dyDescent="0.55000000000000004">
      <c r="D52" s="1"/>
    </row>
    <row r="53" spans="1:4" x14ac:dyDescent="0.55000000000000004">
      <c r="D53" s="1"/>
    </row>
    <row r="54" spans="1:4" x14ac:dyDescent="0.55000000000000004">
      <c r="D54" s="1"/>
    </row>
    <row r="55" spans="1:4" x14ac:dyDescent="0.55000000000000004">
      <c r="A55" s="2"/>
      <c r="D55" s="1"/>
    </row>
    <row r="56" spans="1:4" x14ac:dyDescent="0.55000000000000004">
      <c r="A56" s="2"/>
      <c r="D56" s="1"/>
    </row>
    <row r="57" spans="1:4" x14ac:dyDescent="0.55000000000000004">
      <c r="A57" s="2"/>
      <c r="D57" s="3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D326E9-8D2E-42C0-8EF9-E316006CB136}">
  <dimension ref="A2:N62"/>
  <sheetViews>
    <sheetView workbookViewId="0">
      <selection activeCell="A6" sqref="A6:D13"/>
    </sheetView>
  </sheetViews>
  <sheetFormatPr defaultRowHeight="14.4" x14ac:dyDescent="0.55000000000000004"/>
  <cols>
    <col min="4" max="4" width="11.26171875" customWidth="1"/>
    <col min="5" max="5" width="10.15625" bestFit="1" customWidth="1"/>
    <col min="10" max="10" width="10.15625" bestFit="1" customWidth="1"/>
    <col min="12" max="12" width="11.15625" bestFit="1" customWidth="1"/>
  </cols>
  <sheetData>
    <row r="2" spans="1:14" ht="18.3" x14ac:dyDescent="0.7">
      <c r="A2" s="11" t="s">
        <v>76</v>
      </c>
    </row>
    <row r="3" spans="1:14" x14ac:dyDescent="0.55000000000000004">
      <c r="I3" s="16" t="s">
        <v>55</v>
      </c>
      <c r="J3" s="16"/>
      <c r="M3" s="7"/>
      <c r="N3" s="7"/>
    </row>
    <row r="4" spans="1:14" x14ac:dyDescent="0.55000000000000004">
      <c r="C4" s="16" t="s">
        <v>56</v>
      </c>
      <c r="D4" s="16"/>
      <c r="G4" s="7" t="s">
        <v>0</v>
      </c>
      <c r="H4" s="7" t="s">
        <v>1</v>
      </c>
      <c r="I4" s="7" t="s">
        <v>36</v>
      </c>
      <c r="J4" s="7" t="s">
        <v>4</v>
      </c>
      <c r="N4" s="7"/>
    </row>
    <row r="5" spans="1:14" x14ac:dyDescent="0.55000000000000004">
      <c r="A5" s="7" t="s">
        <v>0</v>
      </c>
      <c r="B5" s="7" t="s">
        <v>1</v>
      </c>
      <c r="C5" s="7" t="s">
        <v>36</v>
      </c>
      <c r="D5" s="7" t="s">
        <v>4</v>
      </c>
      <c r="G5">
        <v>1000</v>
      </c>
      <c r="H5">
        <v>2000</v>
      </c>
      <c r="I5">
        <v>14218</v>
      </c>
      <c r="J5" s="1">
        <v>19337000</v>
      </c>
    </row>
    <row r="6" spans="1:14" x14ac:dyDescent="0.55000000000000004">
      <c r="A6" t="s">
        <v>2</v>
      </c>
      <c r="B6" s="1">
        <v>3000</v>
      </c>
      <c r="C6">
        <v>843</v>
      </c>
      <c r="D6" s="1">
        <v>1610533</v>
      </c>
      <c r="G6">
        <v>2000</v>
      </c>
      <c r="H6">
        <v>3000</v>
      </c>
      <c r="I6">
        <v>3482</v>
      </c>
      <c r="J6" s="1">
        <v>8389199</v>
      </c>
    </row>
    <row r="7" spans="1:14" x14ac:dyDescent="0.55000000000000004">
      <c r="A7" s="1">
        <v>3000</v>
      </c>
      <c r="B7" s="1">
        <v>5000</v>
      </c>
      <c r="C7">
        <v>904</v>
      </c>
      <c r="D7" s="1">
        <v>3596828</v>
      </c>
      <c r="G7" s="1">
        <v>3000</v>
      </c>
      <c r="H7" s="1">
        <v>5000</v>
      </c>
      <c r="I7" s="1">
        <v>1807</v>
      </c>
      <c r="J7" s="1">
        <v>6732200</v>
      </c>
    </row>
    <row r="8" spans="1:14" x14ac:dyDescent="0.55000000000000004">
      <c r="A8" s="1">
        <v>5000</v>
      </c>
      <c r="B8" s="1">
        <v>10000</v>
      </c>
      <c r="C8">
        <v>1296</v>
      </c>
      <c r="D8" s="1">
        <v>9213576</v>
      </c>
      <c r="G8" s="1">
        <v>5000</v>
      </c>
      <c r="H8" t="s">
        <v>3</v>
      </c>
      <c r="I8">
        <v>675</v>
      </c>
      <c r="J8" s="1">
        <v>4973200</v>
      </c>
    </row>
    <row r="9" spans="1:14" x14ac:dyDescent="0.55000000000000004">
      <c r="A9" s="1">
        <v>10000</v>
      </c>
      <c r="B9" s="1">
        <v>20000</v>
      </c>
      <c r="C9">
        <v>798</v>
      </c>
      <c r="D9" s="1">
        <v>11150064</v>
      </c>
      <c r="G9" s="1"/>
      <c r="H9" s="1"/>
    </row>
    <row r="10" spans="1:14" x14ac:dyDescent="0.55000000000000004">
      <c r="A10" s="1">
        <v>20000</v>
      </c>
      <c r="B10" s="1">
        <v>50000</v>
      </c>
      <c r="C10">
        <v>474</v>
      </c>
      <c r="D10" s="1">
        <v>14828309</v>
      </c>
      <c r="G10" s="1"/>
      <c r="H10" s="1"/>
    </row>
    <row r="11" spans="1:14" x14ac:dyDescent="0.55000000000000004">
      <c r="A11" s="1">
        <v>50000</v>
      </c>
      <c r="B11" s="1">
        <v>100000</v>
      </c>
      <c r="C11">
        <v>156</v>
      </c>
      <c r="D11" s="1">
        <v>10989803</v>
      </c>
      <c r="G11" s="1"/>
      <c r="H11" s="1"/>
    </row>
    <row r="12" spans="1:14" x14ac:dyDescent="0.55000000000000004">
      <c r="A12" s="1">
        <v>100000</v>
      </c>
      <c r="B12" s="1">
        <v>500000</v>
      </c>
      <c r="C12">
        <v>123</v>
      </c>
      <c r="D12" s="1">
        <v>24425829</v>
      </c>
      <c r="G12" s="1"/>
      <c r="H12" s="1"/>
    </row>
    <row r="13" spans="1:14" x14ac:dyDescent="0.55000000000000004">
      <c r="A13" s="1">
        <v>500000</v>
      </c>
      <c r="B13" t="s">
        <v>3</v>
      </c>
      <c r="C13">
        <v>25</v>
      </c>
      <c r="D13" s="1">
        <v>24162753</v>
      </c>
      <c r="G13" s="1"/>
    </row>
    <row r="14" spans="1:14" x14ac:dyDescent="0.55000000000000004">
      <c r="A14" s="2" t="s">
        <v>13</v>
      </c>
      <c r="D14" s="1">
        <f>SUM(D6:D13)</f>
        <v>99977695</v>
      </c>
    </row>
    <row r="15" spans="1:14" x14ac:dyDescent="0.55000000000000004">
      <c r="A15" s="2" t="s">
        <v>14</v>
      </c>
      <c r="C15">
        <f>SUM(C6:C13)</f>
        <v>4619</v>
      </c>
      <c r="D15" s="1">
        <v>208826650</v>
      </c>
    </row>
    <row r="16" spans="1:14" x14ac:dyDescent="0.55000000000000004">
      <c r="A16" s="2" t="s">
        <v>15</v>
      </c>
      <c r="D16" s="3">
        <f>100*D14/D15</f>
        <v>47.875927234383163</v>
      </c>
    </row>
    <row r="18" spans="1:10" ht="18.3" x14ac:dyDescent="0.7">
      <c r="A18" s="11" t="s">
        <v>65</v>
      </c>
    </row>
    <row r="20" spans="1:10" x14ac:dyDescent="0.55000000000000004">
      <c r="A20" t="s">
        <v>53</v>
      </c>
    </row>
    <row r="21" spans="1:10" x14ac:dyDescent="0.55000000000000004">
      <c r="A21" t="s">
        <v>54</v>
      </c>
    </row>
    <row r="24" spans="1:10" x14ac:dyDescent="0.55000000000000004">
      <c r="C24" s="16" t="s">
        <v>56</v>
      </c>
      <c r="D24" s="16"/>
      <c r="I24" s="16" t="s">
        <v>55</v>
      </c>
      <c r="J24" s="16"/>
    </row>
    <row r="25" spans="1:10" x14ac:dyDescent="0.55000000000000004">
      <c r="A25" s="7" t="s">
        <v>0</v>
      </c>
      <c r="B25" s="7" t="s">
        <v>1</v>
      </c>
      <c r="C25" s="7" t="s">
        <v>36</v>
      </c>
      <c r="D25" s="2" t="s">
        <v>4</v>
      </c>
      <c r="G25" s="7" t="s">
        <v>0</v>
      </c>
      <c r="H25" s="7" t="s">
        <v>1</v>
      </c>
      <c r="I25" s="7" t="s">
        <v>36</v>
      </c>
      <c r="J25" s="7" t="s">
        <v>4</v>
      </c>
    </row>
    <row r="26" spans="1:10" x14ac:dyDescent="0.55000000000000004">
      <c r="A26" s="1">
        <v>2500</v>
      </c>
      <c r="B26" s="1">
        <v>3000</v>
      </c>
      <c r="C26">
        <v>226</v>
      </c>
      <c r="D26" s="1">
        <v>621258</v>
      </c>
      <c r="J26" s="1"/>
    </row>
    <row r="27" spans="1:10" x14ac:dyDescent="0.55000000000000004">
      <c r="A27" s="1">
        <v>3000</v>
      </c>
      <c r="B27" s="1">
        <v>5000</v>
      </c>
      <c r="C27">
        <v>904</v>
      </c>
      <c r="D27" s="1">
        <v>3596828</v>
      </c>
      <c r="G27">
        <v>2500</v>
      </c>
      <c r="H27">
        <v>3000</v>
      </c>
      <c r="I27">
        <v>1109</v>
      </c>
      <c r="J27" s="1">
        <v>3050845</v>
      </c>
    </row>
    <row r="28" spans="1:10" x14ac:dyDescent="0.55000000000000004">
      <c r="A28" s="1">
        <v>5000</v>
      </c>
      <c r="B28" s="1">
        <v>10000</v>
      </c>
      <c r="C28">
        <v>1296</v>
      </c>
      <c r="D28" s="1">
        <v>9213576</v>
      </c>
      <c r="G28" s="1">
        <v>3000</v>
      </c>
      <c r="H28" s="1">
        <v>5000</v>
      </c>
      <c r="I28" s="1">
        <v>1807</v>
      </c>
      <c r="J28" s="1">
        <v>6732200</v>
      </c>
    </row>
    <row r="29" spans="1:10" x14ac:dyDescent="0.55000000000000004">
      <c r="A29" s="1">
        <v>10000</v>
      </c>
      <c r="B29" s="1">
        <v>20000</v>
      </c>
      <c r="C29">
        <v>798</v>
      </c>
      <c r="D29" s="1">
        <v>11150064</v>
      </c>
      <c r="G29" s="1">
        <v>5000</v>
      </c>
      <c r="H29" t="s">
        <v>3</v>
      </c>
      <c r="I29">
        <v>675</v>
      </c>
      <c r="J29" s="1">
        <v>4973200</v>
      </c>
    </row>
    <row r="30" spans="1:10" x14ac:dyDescent="0.55000000000000004">
      <c r="A30" s="1">
        <v>20000</v>
      </c>
      <c r="B30" s="1">
        <v>50000</v>
      </c>
      <c r="C30">
        <v>474</v>
      </c>
      <c r="D30" s="1">
        <v>14828309</v>
      </c>
    </row>
    <row r="31" spans="1:10" x14ac:dyDescent="0.55000000000000004">
      <c r="A31" s="1">
        <v>50000</v>
      </c>
      <c r="B31" s="1">
        <v>100000</v>
      </c>
      <c r="C31">
        <v>156</v>
      </c>
      <c r="D31" s="1">
        <v>10989803</v>
      </c>
    </row>
    <row r="32" spans="1:10" x14ac:dyDescent="0.55000000000000004">
      <c r="A32" s="1">
        <v>100000</v>
      </c>
      <c r="B32" s="1">
        <v>500000</v>
      </c>
      <c r="C32">
        <v>123</v>
      </c>
      <c r="D32" s="1">
        <v>24425829</v>
      </c>
    </row>
    <row r="33" spans="1:10" x14ac:dyDescent="0.55000000000000004">
      <c r="A33" s="1">
        <v>500000</v>
      </c>
      <c r="B33" t="s">
        <v>3</v>
      </c>
      <c r="C33">
        <v>25</v>
      </c>
      <c r="D33" s="1">
        <v>24162753</v>
      </c>
    </row>
    <row r="34" spans="1:10" x14ac:dyDescent="0.55000000000000004">
      <c r="A34" s="2" t="s">
        <v>13</v>
      </c>
      <c r="D34" s="1">
        <f>SUM(D26:D33)</f>
        <v>98988420</v>
      </c>
    </row>
    <row r="35" spans="1:10" x14ac:dyDescent="0.55000000000000004">
      <c r="A35" s="2" t="s">
        <v>14</v>
      </c>
      <c r="D35" s="1">
        <v>208826650</v>
      </c>
    </row>
    <row r="36" spans="1:10" x14ac:dyDescent="0.55000000000000004">
      <c r="A36" s="2"/>
      <c r="D36" s="3"/>
    </row>
    <row r="38" spans="1:10" x14ac:dyDescent="0.55000000000000004">
      <c r="A38" t="s">
        <v>63</v>
      </c>
      <c r="D38" s="1">
        <f>SUM(D26:D33)</f>
        <v>98988420</v>
      </c>
      <c r="J38" s="1">
        <f>SUM(J26:J33)</f>
        <v>14756245</v>
      </c>
    </row>
    <row r="39" spans="1:10" x14ac:dyDescent="0.55000000000000004">
      <c r="A39" s="2" t="s">
        <v>61</v>
      </c>
      <c r="D39" s="1">
        <f>D38+J38</f>
        <v>113744665</v>
      </c>
    </row>
    <row r="40" spans="1:10" x14ac:dyDescent="0.55000000000000004">
      <c r="A40" s="2" t="s">
        <v>62</v>
      </c>
      <c r="D40" s="3">
        <f>100*D39/D35</f>
        <v>54.468462238895277</v>
      </c>
    </row>
    <row r="42" spans="1:10" ht="18.3" x14ac:dyDescent="0.7">
      <c r="A42" s="11" t="s">
        <v>64</v>
      </c>
    </row>
    <row r="44" spans="1:10" x14ac:dyDescent="0.55000000000000004">
      <c r="C44" s="16" t="s">
        <v>56</v>
      </c>
      <c r="D44" s="16"/>
      <c r="I44" s="16" t="s">
        <v>55</v>
      </c>
      <c r="J44" s="16"/>
    </row>
    <row r="45" spans="1:10" x14ac:dyDescent="0.55000000000000004">
      <c r="A45" s="7" t="s">
        <v>0</v>
      </c>
      <c r="B45" s="7" t="s">
        <v>1</v>
      </c>
      <c r="C45" s="7" t="s">
        <v>36</v>
      </c>
      <c r="D45" s="2" t="s">
        <v>4</v>
      </c>
      <c r="G45" s="7" t="s">
        <v>0</v>
      </c>
      <c r="H45" s="7" t="s">
        <v>1</v>
      </c>
      <c r="I45" s="7" t="s">
        <v>36</v>
      </c>
      <c r="J45" s="7" t="s">
        <v>4</v>
      </c>
    </row>
    <row r="46" spans="1:10" x14ac:dyDescent="0.55000000000000004">
      <c r="A46">
        <v>2000</v>
      </c>
      <c r="B46" s="1">
        <v>3000</v>
      </c>
      <c r="C46">
        <v>433</v>
      </c>
      <c r="D46" s="1">
        <v>1089026</v>
      </c>
      <c r="J46" s="1"/>
    </row>
    <row r="47" spans="1:10" x14ac:dyDescent="0.55000000000000004">
      <c r="A47" s="1">
        <v>3000</v>
      </c>
      <c r="B47" s="1">
        <v>5000</v>
      </c>
      <c r="C47">
        <v>904</v>
      </c>
      <c r="D47" s="1">
        <v>3596828</v>
      </c>
      <c r="G47">
        <v>2000</v>
      </c>
      <c r="H47">
        <v>3000</v>
      </c>
      <c r="I47">
        <v>3482</v>
      </c>
      <c r="J47" s="1">
        <v>8389199</v>
      </c>
    </row>
    <row r="48" spans="1:10" x14ac:dyDescent="0.55000000000000004">
      <c r="A48" s="1">
        <v>5000</v>
      </c>
      <c r="B48" s="1">
        <v>10000</v>
      </c>
      <c r="C48">
        <v>1296</v>
      </c>
      <c r="D48" s="1">
        <v>9213576</v>
      </c>
      <c r="G48" s="1">
        <v>3000</v>
      </c>
      <c r="H48" s="1">
        <v>5000</v>
      </c>
      <c r="I48" s="1">
        <v>1807</v>
      </c>
      <c r="J48" s="1">
        <v>6732200</v>
      </c>
    </row>
    <row r="49" spans="1:12" x14ac:dyDescent="0.55000000000000004">
      <c r="A49" s="1">
        <v>10000</v>
      </c>
      <c r="B49" s="1">
        <v>20000</v>
      </c>
      <c r="C49">
        <v>798</v>
      </c>
      <c r="D49" s="1">
        <v>11150064</v>
      </c>
      <c r="G49" s="1">
        <v>5000</v>
      </c>
      <c r="H49" t="s">
        <v>3</v>
      </c>
      <c r="I49">
        <v>675</v>
      </c>
      <c r="J49" s="1">
        <v>4973200</v>
      </c>
    </row>
    <row r="50" spans="1:12" x14ac:dyDescent="0.55000000000000004">
      <c r="A50" s="1">
        <v>20000</v>
      </c>
      <c r="B50" s="1">
        <v>50000</v>
      </c>
      <c r="C50">
        <v>474</v>
      </c>
      <c r="D50" s="1">
        <v>14828309</v>
      </c>
    </row>
    <row r="51" spans="1:12" x14ac:dyDescent="0.55000000000000004">
      <c r="A51" s="1">
        <v>50000</v>
      </c>
      <c r="B51" s="1">
        <v>100000</v>
      </c>
      <c r="C51">
        <v>156</v>
      </c>
      <c r="D51" s="1">
        <v>10989803</v>
      </c>
    </row>
    <row r="52" spans="1:12" x14ac:dyDescent="0.55000000000000004">
      <c r="A52" s="1">
        <v>100000</v>
      </c>
      <c r="B52" s="1">
        <v>500000</v>
      </c>
      <c r="C52">
        <v>123</v>
      </c>
      <c r="D52" s="1">
        <v>24425829</v>
      </c>
    </row>
    <row r="53" spans="1:12" x14ac:dyDescent="0.55000000000000004">
      <c r="A53" s="1">
        <v>500000</v>
      </c>
      <c r="B53" t="s">
        <v>3</v>
      </c>
      <c r="C53">
        <v>25</v>
      </c>
      <c r="D53" s="1">
        <v>24162753</v>
      </c>
    </row>
    <row r="54" spans="1:12" x14ac:dyDescent="0.55000000000000004">
      <c r="A54" s="2" t="s">
        <v>14</v>
      </c>
      <c r="D54" s="1">
        <v>208826650</v>
      </c>
    </row>
    <row r="56" spans="1:12" x14ac:dyDescent="0.55000000000000004">
      <c r="A56" s="2" t="s">
        <v>67</v>
      </c>
      <c r="D56" s="1">
        <f>SUM(D46:D53)</f>
        <v>99456188</v>
      </c>
      <c r="J56" s="1">
        <f>SUM(J46:J52)</f>
        <v>20094599</v>
      </c>
      <c r="L56" s="1">
        <f>D56+J56</f>
        <v>119550787</v>
      </c>
    </row>
    <row r="57" spans="1:12" x14ac:dyDescent="0.55000000000000004">
      <c r="A57" s="2" t="s">
        <v>66</v>
      </c>
      <c r="D57" s="3"/>
      <c r="L57" s="13">
        <f>100*L56/D54</f>
        <v>57.248817140915683</v>
      </c>
    </row>
    <row r="59" spans="1:12" ht="18.3" x14ac:dyDescent="0.7">
      <c r="A59" s="11" t="s">
        <v>73</v>
      </c>
    </row>
    <row r="61" spans="1:12" x14ac:dyDescent="0.55000000000000004">
      <c r="A61" t="s">
        <v>74</v>
      </c>
      <c r="D61" s="1">
        <f>SUM(D48:D53)</f>
        <v>94770334</v>
      </c>
      <c r="J61" s="1">
        <f>J49</f>
        <v>4973200</v>
      </c>
      <c r="L61" s="1">
        <f>J61+D61</f>
        <v>99743534</v>
      </c>
    </row>
    <row r="62" spans="1:12" x14ac:dyDescent="0.55000000000000004">
      <c r="A62" t="s">
        <v>75</v>
      </c>
      <c r="L62" s="13">
        <f>100*L61/D54</f>
        <v>47.763795473422576</v>
      </c>
    </row>
  </sheetData>
  <mergeCells count="6">
    <mergeCell ref="C4:D4"/>
    <mergeCell ref="I3:J3"/>
    <mergeCell ref="C24:D24"/>
    <mergeCell ref="I24:J24"/>
    <mergeCell ref="I44:J44"/>
    <mergeCell ref="C44:D4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8ECCEF-9F8C-4056-9EBF-C43E8745BF26}">
  <dimension ref="A1:L62"/>
  <sheetViews>
    <sheetView workbookViewId="0"/>
  </sheetViews>
  <sheetFormatPr defaultRowHeight="14.4" x14ac:dyDescent="0.55000000000000004"/>
  <cols>
    <col min="4" max="4" width="13.41796875" customWidth="1"/>
    <col min="10" max="10" width="10.68359375" customWidth="1"/>
    <col min="12" max="12" width="11.15625" bestFit="1" customWidth="1"/>
  </cols>
  <sheetData>
    <row r="1" spans="1:10" ht="18.3" x14ac:dyDescent="0.7">
      <c r="A1" s="11" t="s">
        <v>76</v>
      </c>
    </row>
    <row r="2" spans="1:10" x14ac:dyDescent="0.55000000000000004">
      <c r="I2" s="7"/>
      <c r="J2" s="7"/>
    </row>
    <row r="3" spans="1:10" x14ac:dyDescent="0.55000000000000004">
      <c r="C3" s="16" t="s">
        <v>56</v>
      </c>
      <c r="D3" s="16"/>
      <c r="I3" s="16" t="s">
        <v>55</v>
      </c>
      <c r="J3" s="16"/>
    </row>
    <row r="4" spans="1:10" x14ac:dyDescent="0.55000000000000004">
      <c r="A4" s="2" t="s">
        <v>0</v>
      </c>
      <c r="B4" s="2" t="s">
        <v>1</v>
      </c>
      <c r="C4" s="2" t="s">
        <v>36</v>
      </c>
      <c r="D4" s="2" t="s">
        <v>4</v>
      </c>
      <c r="G4" s="7" t="s">
        <v>0</v>
      </c>
      <c r="H4" s="7" t="s">
        <v>1</v>
      </c>
      <c r="I4" s="7" t="s">
        <v>36</v>
      </c>
      <c r="J4" s="7" t="s">
        <v>4</v>
      </c>
    </row>
    <row r="5" spans="1:10" x14ac:dyDescent="0.55000000000000004">
      <c r="A5" t="s">
        <v>2</v>
      </c>
      <c r="B5" s="1">
        <v>3000</v>
      </c>
      <c r="C5">
        <v>1118</v>
      </c>
      <c r="D5" s="1">
        <v>2051695</v>
      </c>
      <c r="G5">
        <v>1000</v>
      </c>
      <c r="H5">
        <v>2000</v>
      </c>
      <c r="I5" s="1">
        <v>16677</v>
      </c>
      <c r="J5" s="9">
        <v>22785371</v>
      </c>
    </row>
    <row r="6" spans="1:10" x14ac:dyDescent="0.55000000000000004">
      <c r="A6" s="1">
        <v>3000</v>
      </c>
      <c r="B6" s="1">
        <v>5000</v>
      </c>
      <c r="C6">
        <v>1028</v>
      </c>
      <c r="D6" s="1">
        <v>4098169</v>
      </c>
      <c r="G6">
        <v>2000</v>
      </c>
      <c r="H6">
        <v>3000</v>
      </c>
      <c r="I6" s="1">
        <v>3911</v>
      </c>
      <c r="J6" s="9">
        <v>9424188</v>
      </c>
    </row>
    <row r="7" spans="1:10" x14ac:dyDescent="0.55000000000000004">
      <c r="A7" s="1">
        <v>5000</v>
      </c>
      <c r="B7" s="1">
        <v>10000</v>
      </c>
      <c r="C7">
        <v>1430</v>
      </c>
      <c r="D7" s="1">
        <v>10069839</v>
      </c>
      <c r="G7" s="1">
        <v>3000</v>
      </c>
      <c r="H7" s="1">
        <v>5000</v>
      </c>
      <c r="I7" s="1">
        <v>2040</v>
      </c>
      <c r="J7" s="9">
        <v>7656431</v>
      </c>
    </row>
    <row r="8" spans="1:10" x14ac:dyDescent="0.55000000000000004">
      <c r="A8" s="1">
        <v>10000</v>
      </c>
      <c r="B8" s="1">
        <v>20000</v>
      </c>
      <c r="C8">
        <v>919</v>
      </c>
      <c r="D8" s="1">
        <v>12721674</v>
      </c>
      <c r="G8" s="1">
        <v>5000</v>
      </c>
      <c r="H8" t="s">
        <v>3</v>
      </c>
      <c r="I8" s="1">
        <v>868</v>
      </c>
      <c r="J8" s="9">
        <v>6446727</v>
      </c>
    </row>
    <row r="9" spans="1:10" x14ac:dyDescent="0.55000000000000004">
      <c r="A9" s="1">
        <v>20000</v>
      </c>
      <c r="B9" s="1">
        <v>50000</v>
      </c>
      <c r="C9">
        <v>600</v>
      </c>
      <c r="D9" s="1">
        <v>18468944</v>
      </c>
      <c r="G9" s="1"/>
      <c r="H9" s="1"/>
    </row>
    <row r="10" spans="1:10" x14ac:dyDescent="0.55000000000000004">
      <c r="A10" s="1">
        <v>50000</v>
      </c>
      <c r="B10" s="1">
        <v>100000</v>
      </c>
      <c r="C10">
        <v>189</v>
      </c>
      <c r="D10" s="1">
        <v>13054945</v>
      </c>
      <c r="G10" s="1"/>
      <c r="H10" s="8"/>
      <c r="I10" s="1"/>
      <c r="J10" s="1"/>
    </row>
    <row r="11" spans="1:10" x14ac:dyDescent="0.55000000000000004">
      <c r="A11" s="1">
        <v>100000</v>
      </c>
      <c r="B11" s="1">
        <v>500000</v>
      </c>
      <c r="C11">
        <v>188</v>
      </c>
      <c r="D11" s="1">
        <v>38239651</v>
      </c>
    </row>
    <row r="12" spans="1:10" x14ac:dyDescent="0.55000000000000004">
      <c r="A12" s="1">
        <v>500000</v>
      </c>
      <c r="B12" t="s">
        <v>3</v>
      </c>
      <c r="C12">
        <v>33</v>
      </c>
      <c r="D12" s="1">
        <v>37286597</v>
      </c>
    </row>
    <row r="13" spans="1:10" x14ac:dyDescent="0.55000000000000004">
      <c r="A13" s="2" t="s">
        <v>13</v>
      </c>
      <c r="D13" s="1">
        <f>SUM(D5:D12)</f>
        <v>135991514</v>
      </c>
    </row>
    <row r="14" spans="1:10" x14ac:dyDescent="0.55000000000000004">
      <c r="A14" s="2" t="s">
        <v>14</v>
      </c>
      <c r="C14">
        <f>SUM(C5:C12)</f>
        <v>5505</v>
      </c>
      <c r="D14" s="1">
        <v>241720134</v>
      </c>
    </row>
    <row r="15" spans="1:10" x14ac:dyDescent="0.55000000000000004">
      <c r="A15" s="2" t="s">
        <v>15</v>
      </c>
      <c r="D15" s="3">
        <f>100*D13/D14</f>
        <v>56.259903446851474</v>
      </c>
    </row>
    <row r="17" spans="1:10" ht="18.3" x14ac:dyDescent="0.7">
      <c r="A17" s="11" t="s">
        <v>65</v>
      </c>
    </row>
    <row r="19" spans="1:10" x14ac:dyDescent="0.55000000000000004">
      <c r="A19" t="s">
        <v>53</v>
      </c>
    </row>
    <row r="20" spans="1:10" x14ac:dyDescent="0.55000000000000004">
      <c r="A20" t="s">
        <v>54</v>
      </c>
    </row>
    <row r="23" spans="1:10" x14ac:dyDescent="0.55000000000000004">
      <c r="C23" s="16" t="s">
        <v>56</v>
      </c>
      <c r="D23" s="16"/>
      <c r="I23" s="16" t="s">
        <v>55</v>
      </c>
      <c r="J23" s="16"/>
    </row>
    <row r="24" spans="1:10" x14ac:dyDescent="0.55000000000000004">
      <c r="A24" s="2" t="s">
        <v>0</v>
      </c>
      <c r="B24" s="2" t="s">
        <v>1</v>
      </c>
      <c r="C24" s="7" t="s">
        <v>36</v>
      </c>
      <c r="D24" s="7" t="s">
        <v>4</v>
      </c>
      <c r="G24" s="7" t="s">
        <v>0</v>
      </c>
      <c r="H24" s="7" t="s">
        <v>1</v>
      </c>
      <c r="I24" s="7" t="s">
        <v>36</v>
      </c>
      <c r="J24" s="7" t="s">
        <v>4</v>
      </c>
    </row>
    <row r="25" spans="1:10" x14ac:dyDescent="0.55000000000000004">
      <c r="A25" s="1">
        <v>2500</v>
      </c>
      <c r="B25" s="1">
        <v>3000</v>
      </c>
      <c r="C25">
        <v>270</v>
      </c>
      <c r="D25" s="1">
        <v>741248</v>
      </c>
      <c r="I25" s="1"/>
      <c r="J25" s="9"/>
    </row>
    <row r="26" spans="1:10" x14ac:dyDescent="0.55000000000000004">
      <c r="A26" s="1">
        <v>3000</v>
      </c>
      <c r="B26" s="1">
        <v>5000</v>
      </c>
      <c r="C26">
        <v>1028</v>
      </c>
      <c r="D26" s="1">
        <v>4098169</v>
      </c>
      <c r="G26">
        <v>2500</v>
      </c>
      <c r="H26">
        <v>3000</v>
      </c>
      <c r="I26" s="1">
        <v>1249</v>
      </c>
      <c r="J26" s="9">
        <v>3434409</v>
      </c>
    </row>
    <row r="27" spans="1:10" x14ac:dyDescent="0.55000000000000004">
      <c r="A27" s="1">
        <v>5000</v>
      </c>
      <c r="B27" s="1">
        <v>10000</v>
      </c>
      <c r="C27">
        <v>1430</v>
      </c>
      <c r="D27" s="1">
        <v>10069839</v>
      </c>
      <c r="G27" s="1">
        <v>3000</v>
      </c>
      <c r="H27" s="1">
        <v>5000</v>
      </c>
      <c r="I27" s="1">
        <v>2040</v>
      </c>
      <c r="J27" s="9">
        <v>7656431</v>
      </c>
    </row>
    <row r="28" spans="1:10" x14ac:dyDescent="0.55000000000000004">
      <c r="A28" s="1">
        <v>10000</v>
      </c>
      <c r="B28" s="1">
        <v>20000</v>
      </c>
      <c r="C28">
        <v>919</v>
      </c>
      <c r="D28" s="1">
        <v>12721674</v>
      </c>
      <c r="G28" s="1">
        <v>5000</v>
      </c>
      <c r="H28" t="s">
        <v>3</v>
      </c>
      <c r="I28" s="1">
        <v>868</v>
      </c>
      <c r="J28" s="9">
        <v>6446727</v>
      </c>
    </row>
    <row r="29" spans="1:10" x14ac:dyDescent="0.55000000000000004">
      <c r="A29" s="1">
        <v>20000</v>
      </c>
      <c r="B29" s="1">
        <v>50000</v>
      </c>
      <c r="C29">
        <v>600</v>
      </c>
      <c r="D29" s="1">
        <v>18468944</v>
      </c>
    </row>
    <row r="30" spans="1:10" x14ac:dyDescent="0.55000000000000004">
      <c r="A30" s="1">
        <v>50000</v>
      </c>
      <c r="B30" s="1">
        <v>100000</v>
      </c>
      <c r="C30">
        <v>189</v>
      </c>
      <c r="D30" s="1">
        <v>13054945</v>
      </c>
    </row>
    <row r="31" spans="1:10" x14ac:dyDescent="0.55000000000000004">
      <c r="A31" s="1">
        <v>100000</v>
      </c>
      <c r="B31" s="1">
        <v>500000</v>
      </c>
      <c r="C31">
        <v>188</v>
      </c>
      <c r="D31" s="1">
        <v>38239651</v>
      </c>
    </row>
    <row r="32" spans="1:10" x14ac:dyDescent="0.55000000000000004">
      <c r="A32" s="1">
        <v>500000</v>
      </c>
      <c r="B32" t="s">
        <v>3</v>
      </c>
      <c r="C32">
        <v>33</v>
      </c>
      <c r="D32" s="1">
        <v>37286597</v>
      </c>
    </row>
    <row r="33" spans="1:10" x14ac:dyDescent="0.55000000000000004">
      <c r="A33" s="2" t="s">
        <v>13</v>
      </c>
      <c r="D33" s="1">
        <f>SUM(D25:D32)</f>
        <v>134681067</v>
      </c>
    </row>
    <row r="34" spans="1:10" x14ac:dyDescent="0.55000000000000004">
      <c r="A34" s="2" t="s">
        <v>14</v>
      </c>
      <c r="D34" s="1">
        <v>241720134</v>
      </c>
    </row>
    <row r="37" spans="1:10" x14ac:dyDescent="0.55000000000000004">
      <c r="A37" t="s">
        <v>63</v>
      </c>
      <c r="D37" s="1">
        <f>SUM(D25:D32)</f>
        <v>134681067</v>
      </c>
      <c r="J37" s="1">
        <f>SUM(J25:J32)</f>
        <v>17537567</v>
      </c>
    </row>
    <row r="38" spans="1:10" x14ac:dyDescent="0.55000000000000004">
      <c r="A38" s="2" t="s">
        <v>61</v>
      </c>
      <c r="D38" s="1">
        <f>D37+J37</f>
        <v>152218634</v>
      </c>
    </row>
    <row r="39" spans="1:10" x14ac:dyDescent="0.55000000000000004">
      <c r="A39" s="2" t="s">
        <v>62</v>
      </c>
      <c r="D39" s="3">
        <f>100*D38/D34</f>
        <v>62.973088538830616</v>
      </c>
    </row>
    <row r="41" spans="1:10" ht="18.3" x14ac:dyDescent="0.7">
      <c r="A41" s="11" t="s">
        <v>64</v>
      </c>
    </row>
    <row r="44" spans="1:10" x14ac:dyDescent="0.55000000000000004">
      <c r="C44" s="16" t="s">
        <v>56</v>
      </c>
      <c r="D44" s="16"/>
      <c r="I44" s="16" t="s">
        <v>55</v>
      </c>
      <c r="J44" s="16"/>
    </row>
    <row r="45" spans="1:10" x14ac:dyDescent="0.55000000000000004">
      <c r="A45" s="2" t="s">
        <v>0</v>
      </c>
      <c r="B45" s="2" t="s">
        <v>1</v>
      </c>
      <c r="C45" s="7" t="s">
        <v>36</v>
      </c>
      <c r="D45" s="7" t="s">
        <v>4</v>
      </c>
      <c r="G45" s="7" t="s">
        <v>0</v>
      </c>
      <c r="H45" s="7" t="s">
        <v>1</v>
      </c>
      <c r="I45" s="7" t="s">
        <v>36</v>
      </c>
      <c r="J45" s="7" t="s">
        <v>4</v>
      </c>
    </row>
    <row r="46" spans="1:10" x14ac:dyDescent="0.55000000000000004">
      <c r="A46">
        <v>2000</v>
      </c>
      <c r="B46" s="1">
        <v>3000</v>
      </c>
      <c r="C46">
        <v>536</v>
      </c>
      <c r="D46" s="1">
        <v>1341238</v>
      </c>
      <c r="I46" s="1"/>
      <c r="J46" s="9"/>
    </row>
    <row r="47" spans="1:10" x14ac:dyDescent="0.55000000000000004">
      <c r="A47" s="1">
        <v>3000</v>
      </c>
      <c r="B47" s="1">
        <v>5000</v>
      </c>
      <c r="C47">
        <v>1028</v>
      </c>
      <c r="D47" s="1">
        <v>4098169</v>
      </c>
      <c r="G47">
        <v>2000</v>
      </c>
      <c r="H47">
        <v>3000</v>
      </c>
      <c r="I47" s="1">
        <v>3911</v>
      </c>
      <c r="J47" s="9">
        <v>9424188</v>
      </c>
    </row>
    <row r="48" spans="1:10" x14ac:dyDescent="0.55000000000000004">
      <c r="A48" s="1">
        <v>5000</v>
      </c>
      <c r="B48" s="1">
        <v>10000</v>
      </c>
      <c r="C48">
        <v>1430</v>
      </c>
      <c r="D48" s="1">
        <v>10069839</v>
      </c>
      <c r="G48" s="1">
        <v>3000</v>
      </c>
      <c r="H48" s="1">
        <v>5000</v>
      </c>
      <c r="I48" s="1">
        <v>2040</v>
      </c>
      <c r="J48" s="9">
        <v>7656431</v>
      </c>
    </row>
    <row r="49" spans="1:12" x14ac:dyDescent="0.55000000000000004">
      <c r="A49" s="1">
        <v>10000</v>
      </c>
      <c r="B49" s="1">
        <v>20000</v>
      </c>
      <c r="C49">
        <v>919</v>
      </c>
      <c r="D49" s="1">
        <v>12721674</v>
      </c>
      <c r="G49" s="1">
        <v>5000</v>
      </c>
      <c r="H49" t="s">
        <v>3</v>
      </c>
      <c r="I49" s="1">
        <v>868</v>
      </c>
      <c r="J49" s="9">
        <v>6446727</v>
      </c>
    </row>
    <row r="50" spans="1:12" x14ac:dyDescent="0.55000000000000004">
      <c r="A50" s="1">
        <v>20000</v>
      </c>
      <c r="B50" s="1">
        <v>50000</v>
      </c>
      <c r="C50">
        <v>600</v>
      </c>
      <c r="D50" s="1">
        <v>18468944</v>
      </c>
      <c r="G50" s="1"/>
      <c r="H50" s="1"/>
    </row>
    <row r="51" spans="1:12" x14ac:dyDescent="0.55000000000000004">
      <c r="A51" s="1">
        <v>50000</v>
      </c>
      <c r="B51" s="1">
        <v>100000</v>
      </c>
      <c r="C51">
        <v>189</v>
      </c>
      <c r="D51" s="1">
        <v>13054945</v>
      </c>
    </row>
    <row r="52" spans="1:12" x14ac:dyDescent="0.55000000000000004">
      <c r="A52" s="1">
        <v>100000</v>
      </c>
      <c r="B52" s="1">
        <v>500000</v>
      </c>
      <c r="C52">
        <v>188</v>
      </c>
      <c r="D52" s="1">
        <v>38239651</v>
      </c>
    </row>
    <row r="53" spans="1:12" x14ac:dyDescent="0.55000000000000004">
      <c r="A53" s="1">
        <v>500000</v>
      </c>
      <c r="B53" t="s">
        <v>3</v>
      </c>
      <c r="C53">
        <v>33</v>
      </c>
      <c r="D53" s="1">
        <v>37286597</v>
      </c>
    </row>
    <row r="54" spans="1:12" x14ac:dyDescent="0.55000000000000004">
      <c r="A54" s="2" t="s">
        <v>14</v>
      </c>
      <c r="D54" s="1">
        <v>241720134</v>
      </c>
    </row>
    <row r="56" spans="1:12" x14ac:dyDescent="0.55000000000000004">
      <c r="A56" s="2" t="s">
        <v>67</v>
      </c>
      <c r="D56" s="1">
        <f>SUM(D46:D53)</f>
        <v>135281057</v>
      </c>
      <c r="J56" s="1">
        <f>SUM(J46:J53)</f>
        <v>23527346</v>
      </c>
      <c r="L56" s="1">
        <f>D56+J56</f>
        <v>158808403</v>
      </c>
    </row>
    <row r="57" spans="1:12" x14ac:dyDescent="0.55000000000000004">
      <c r="A57" s="2" t="s">
        <v>66</v>
      </c>
      <c r="D57" s="3"/>
      <c r="L57" s="14">
        <f>100*L56/D54</f>
        <v>65.699286349063499</v>
      </c>
    </row>
    <row r="59" spans="1:12" ht="18.3" x14ac:dyDescent="0.7">
      <c r="A59" s="11" t="s">
        <v>73</v>
      </c>
    </row>
    <row r="61" spans="1:12" x14ac:dyDescent="0.55000000000000004">
      <c r="A61" t="s">
        <v>74</v>
      </c>
      <c r="D61" s="1">
        <f>SUM(D48:D53)</f>
        <v>129841650</v>
      </c>
      <c r="J61" s="1">
        <f>J49</f>
        <v>6446727</v>
      </c>
      <c r="L61" s="1">
        <f>J61+D61</f>
        <v>136288377</v>
      </c>
    </row>
    <row r="62" spans="1:12" x14ac:dyDescent="0.55000000000000004">
      <c r="A62" t="s">
        <v>75</v>
      </c>
      <c r="L62" s="13">
        <f>100*L61/D54</f>
        <v>56.382716137332608</v>
      </c>
    </row>
  </sheetData>
  <mergeCells count="6">
    <mergeCell ref="I3:J3"/>
    <mergeCell ref="I23:J23"/>
    <mergeCell ref="C3:D3"/>
    <mergeCell ref="C23:D23"/>
    <mergeCell ref="I44:J44"/>
    <mergeCell ref="C44:D4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C2E70-CE4D-4995-8529-70D230642B3F}">
  <dimension ref="A1:D15"/>
  <sheetViews>
    <sheetView workbookViewId="0"/>
  </sheetViews>
  <sheetFormatPr defaultRowHeight="14.4" x14ac:dyDescent="0.55000000000000004"/>
  <cols>
    <col min="4" max="4" width="12.15625" customWidth="1"/>
  </cols>
  <sheetData>
    <row r="1" spans="1:4" ht="18.3" x14ac:dyDescent="0.7">
      <c r="A1" s="11" t="s">
        <v>76</v>
      </c>
    </row>
    <row r="3" spans="1:4" x14ac:dyDescent="0.55000000000000004">
      <c r="A3" s="2" t="s">
        <v>0</v>
      </c>
      <c r="B3" s="2" t="s">
        <v>1</v>
      </c>
      <c r="C3" s="2"/>
      <c r="D3" s="2" t="s">
        <v>4</v>
      </c>
    </row>
    <row r="4" spans="1:4" x14ac:dyDescent="0.55000000000000004">
      <c r="A4" t="s">
        <v>2</v>
      </c>
      <c r="B4" s="1">
        <v>3000</v>
      </c>
      <c r="D4" s="1">
        <v>2114745</v>
      </c>
    </row>
    <row r="5" spans="1:4" x14ac:dyDescent="0.55000000000000004">
      <c r="A5" s="1">
        <v>3000</v>
      </c>
      <c r="B5" s="1">
        <v>5000</v>
      </c>
      <c r="D5" s="1">
        <v>4252575</v>
      </c>
    </row>
    <row r="6" spans="1:4" x14ac:dyDescent="0.55000000000000004">
      <c r="A6" s="1">
        <v>5000</v>
      </c>
      <c r="B6" s="1">
        <v>10000</v>
      </c>
      <c r="D6" s="1">
        <v>10665340</v>
      </c>
    </row>
    <row r="7" spans="1:4" x14ac:dyDescent="0.55000000000000004">
      <c r="A7" s="1">
        <v>10000</v>
      </c>
      <c r="B7" s="1">
        <v>20000</v>
      </c>
      <c r="D7" s="1">
        <v>13750129</v>
      </c>
    </row>
    <row r="8" spans="1:4" x14ac:dyDescent="0.55000000000000004">
      <c r="A8" s="1">
        <v>20000</v>
      </c>
      <c r="B8" s="1">
        <v>50000</v>
      </c>
      <c r="D8" s="1">
        <v>20247758</v>
      </c>
    </row>
    <row r="9" spans="1:4" x14ac:dyDescent="0.55000000000000004">
      <c r="A9" s="1">
        <v>50000</v>
      </c>
      <c r="B9" s="1">
        <v>100000</v>
      </c>
      <c r="D9" s="1">
        <v>14944959</v>
      </c>
    </row>
    <row r="10" spans="1:4" x14ac:dyDescent="0.55000000000000004">
      <c r="A10" s="1">
        <v>100000</v>
      </c>
      <c r="B10" s="1">
        <v>250000</v>
      </c>
      <c r="D10" s="1">
        <v>24525256</v>
      </c>
    </row>
    <row r="11" spans="1:4" x14ac:dyDescent="0.55000000000000004">
      <c r="A11" s="1">
        <v>250000</v>
      </c>
      <c r="B11" s="1">
        <v>500000</v>
      </c>
      <c r="D11" s="1">
        <v>22547945</v>
      </c>
    </row>
    <row r="12" spans="1:4" x14ac:dyDescent="0.55000000000000004">
      <c r="A12" s="1">
        <v>500000</v>
      </c>
      <c r="B12" t="s">
        <v>3</v>
      </c>
      <c r="D12" s="1">
        <v>50537237</v>
      </c>
    </row>
    <row r="13" spans="1:4" x14ac:dyDescent="0.55000000000000004">
      <c r="A13" s="2" t="s">
        <v>13</v>
      </c>
      <c r="D13" s="1">
        <f>SUM(D4:D12)</f>
        <v>163585944</v>
      </c>
    </row>
    <row r="14" spans="1:4" x14ac:dyDescent="0.55000000000000004">
      <c r="A14" s="2" t="s">
        <v>14</v>
      </c>
      <c r="D14" s="1">
        <v>241720134</v>
      </c>
    </row>
    <row r="15" spans="1:4" x14ac:dyDescent="0.55000000000000004">
      <c r="A15" s="2" t="s">
        <v>15</v>
      </c>
      <c r="D15" s="3">
        <f>100*D13/D14</f>
        <v>67.67576258252447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9413B-3CBA-4C92-A836-5049A5909C6E}">
  <dimension ref="A1:G56"/>
  <sheetViews>
    <sheetView workbookViewId="0">
      <selection activeCell="G50" sqref="G50"/>
    </sheetView>
  </sheetViews>
  <sheetFormatPr defaultRowHeight="14.4" x14ac:dyDescent="0.55000000000000004"/>
  <cols>
    <col min="4" max="4" width="11.15625" customWidth="1"/>
  </cols>
  <sheetData>
    <row r="1" spans="1:4" x14ac:dyDescent="0.55000000000000004">
      <c r="A1" s="5" t="s">
        <v>10</v>
      </c>
    </row>
    <row r="3" spans="1:4" x14ac:dyDescent="0.55000000000000004">
      <c r="A3" s="2" t="s">
        <v>0</v>
      </c>
      <c r="B3" s="2" t="s">
        <v>1</v>
      </c>
      <c r="C3" s="2"/>
      <c r="D3" s="2" t="s">
        <v>4</v>
      </c>
    </row>
    <row r="4" spans="1:4" x14ac:dyDescent="0.55000000000000004">
      <c r="A4" t="s">
        <v>2</v>
      </c>
      <c r="B4" s="1">
        <v>3000</v>
      </c>
      <c r="D4" s="1">
        <v>727660</v>
      </c>
    </row>
    <row r="5" spans="1:4" x14ac:dyDescent="0.55000000000000004">
      <c r="A5" s="1">
        <v>3000</v>
      </c>
      <c r="B5" s="1">
        <v>5000</v>
      </c>
      <c r="D5" s="1">
        <v>779186</v>
      </c>
    </row>
    <row r="6" spans="1:4" x14ac:dyDescent="0.55000000000000004">
      <c r="A6" s="1">
        <v>5000</v>
      </c>
      <c r="B6" s="1">
        <v>10000</v>
      </c>
      <c r="D6" s="1">
        <v>1632180</v>
      </c>
    </row>
    <row r="7" spans="1:4" x14ac:dyDescent="0.55000000000000004">
      <c r="A7" s="1">
        <v>10000</v>
      </c>
      <c r="B7" s="1">
        <v>20000</v>
      </c>
      <c r="D7" s="1">
        <v>2145140</v>
      </c>
    </row>
    <row r="8" spans="1:4" x14ac:dyDescent="0.55000000000000004">
      <c r="A8" s="1">
        <v>20000</v>
      </c>
      <c r="B8" s="1">
        <v>50000</v>
      </c>
      <c r="D8" s="1">
        <v>2157322</v>
      </c>
    </row>
    <row r="9" spans="1:4" x14ac:dyDescent="0.55000000000000004">
      <c r="A9" s="1">
        <v>50000</v>
      </c>
      <c r="B9" s="1">
        <v>100000</v>
      </c>
      <c r="D9" s="1">
        <v>2566621</v>
      </c>
    </row>
    <row r="10" spans="1:4" x14ac:dyDescent="0.55000000000000004">
      <c r="A10" s="1">
        <v>100000</v>
      </c>
      <c r="B10" s="1">
        <v>500000</v>
      </c>
      <c r="D10" s="1">
        <v>2807455</v>
      </c>
    </row>
    <row r="11" spans="1:4" x14ac:dyDescent="0.55000000000000004">
      <c r="A11" s="1">
        <v>500000</v>
      </c>
      <c r="B11" t="s">
        <v>3</v>
      </c>
      <c r="D11" s="1">
        <v>3639955</v>
      </c>
    </row>
    <row r="12" spans="1:4" x14ac:dyDescent="0.55000000000000004">
      <c r="A12" s="2" t="s">
        <v>13</v>
      </c>
      <c r="D12" s="1">
        <f>SUM(D4:D11)</f>
        <v>16455519</v>
      </c>
    </row>
    <row r="13" spans="1:4" x14ac:dyDescent="0.55000000000000004">
      <c r="A13" s="2" t="s">
        <v>14</v>
      </c>
      <c r="D13" s="1">
        <v>92736716</v>
      </c>
    </row>
    <row r="14" spans="1:4" x14ac:dyDescent="0.55000000000000004">
      <c r="A14" s="2" t="s">
        <v>15</v>
      </c>
      <c r="D14" s="3">
        <f>100*D12/D13</f>
        <v>17.744340871419254</v>
      </c>
    </row>
    <row r="17" spans="1:7" x14ac:dyDescent="0.55000000000000004">
      <c r="A17" s="5" t="s">
        <v>20</v>
      </c>
    </row>
    <row r="19" spans="1:7" x14ac:dyDescent="0.55000000000000004">
      <c r="A19" s="2" t="s">
        <v>0</v>
      </c>
      <c r="B19" s="2" t="s">
        <v>1</v>
      </c>
      <c r="C19" s="2"/>
      <c r="D19" s="2" t="s">
        <v>4</v>
      </c>
    </row>
    <row r="20" spans="1:7" x14ac:dyDescent="0.55000000000000004">
      <c r="A20" t="s">
        <v>2</v>
      </c>
      <c r="B20" s="1">
        <v>1000</v>
      </c>
      <c r="C20" s="2"/>
      <c r="D20" s="1">
        <v>6380</v>
      </c>
    </row>
    <row r="21" spans="1:7" x14ac:dyDescent="0.55000000000000004">
      <c r="A21" s="1">
        <v>1000</v>
      </c>
      <c r="B21" s="1">
        <v>2000</v>
      </c>
      <c r="D21" s="1">
        <v>47916</v>
      </c>
    </row>
    <row r="22" spans="1:7" x14ac:dyDescent="0.55000000000000004">
      <c r="A22" s="1">
        <v>2000</v>
      </c>
      <c r="B22" s="1">
        <v>3000</v>
      </c>
      <c r="D22" s="1">
        <v>113308</v>
      </c>
    </row>
    <row r="23" spans="1:7" x14ac:dyDescent="0.55000000000000004">
      <c r="A23" s="1">
        <v>3000</v>
      </c>
      <c r="B23" s="1">
        <v>5000</v>
      </c>
      <c r="D23" s="1">
        <v>353375</v>
      </c>
    </row>
    <row r="24" spans="1:7" x14ac:dyDescent="0.55000000000000004">
      <c r="A24" s="1">
        <v>5000</v>
      </c>
      <c r="B24" s="1">
        <v>7000</v>
      </c>
      <c r="D24" s="1">
        <v>389605</v>
      </c>
      <c r="G24" s="2" t="s">
        <v>27</v>
      </c>
    </row>
    <row r="25" spans="1:7" x14ac:dyDescent="0.55000000000000004">
      <c r="A25" s="1">
        <v>7000</v>
      </c>
      <c r="B25" s="1">
        <v>10000</v>
      </c>
      <c r="D25" s="1">
        <v>517796</v>
      </c>
    </row>
    <row r="26" spans="1:7" x14ac:dyDescent="0.55000000000000004">
      <c r="A26" s="1">
        <v>10000</v>
      </c>
      <c r="B26" s="1">
        <v>15000</v>
      </c>
      <c r="D26" s="1">
        <v>951932</v>
      </c>
    </row>
    <row r="27" spans="1:7" x14ac:dyDescent="0.55000000000000004">
      <c r="A27" s="1">
        <v>15000</v>
      </c>
      <c r="B27" s="1">
        <v>20000</v>
      </c>
      <c r="D27" s="1">
        <v>749591</v>
      </c>
    </row>
    <row r="28" spans="1:7" x14ac:dyDescent="0.55000000000000004">
      <c r="A28" s="1">
        <v>20000</v>
      </c>
      <c r="B28" s="1">
        <v>25000</v>
      </c>
      <c r="D28" s="1">
        <v>559670</v>
      </c>
    </row>
    <row r="29" spans="1:7" x14ac:dyDescent="0.55000000000000004">
      <c r="A29" s="1">
        <v>25000</v>
      </c>
      <c r="B29" s="1">
        <v>30000</v>
      </c>
      <c r="D29" s="1">
        <v>432250</v>
      </c>
    </row>
    <row r="30" spans="1:7" x14ac:dyDescent="0.55000000000000004">
      <c r="A30" s="1">
        <v>30000</v>
      </c>
      <c r="B30" s="1">
        <v>40000</v>
      </c>
      <c r="D30" s="1">
        <v>854763</v>
      </c>
    </row>
    <row r="31" spans="1:7" x14ac:dyDescent="0.55000000000000004">
      <c r="A31" s="1">
        <v>40000</v>
      </c>
      <c r="B31" s="1">
        <v>50000</v>
      </c>
      <c r="D31" s="1">
        <v>362266</v>
      </c>
    </row>
    <row r="32" spans="1:7" x14ac:dyDescent="0.55000000000000004">
      <c r="A32" s="1">
        <v>50000</v>
      </c>
      <c r="B32" s="1">
        <v>70000</v>
      </c>
      <c r="D32" s="1">
        <v>1174773</v>
      </c>
    </row>
    <row r="33" spans="1:6" x14ac:dyDescent="0.55000000000000004">
      <c r="A33" s="1">
        <v>70000</v>
      </c>
      <c r="B33" s="1">
        <v>100000</v>
      </c>
      <c r="D33" s="1">
        <v>1570708</v>
      </c>
    </row>
    <row r="34" spans="1:6" x14ac:dyDescent="0.55000000000000004">
      <c r="A34" s="1">
        <v>100000</v>
      </c>
      <c r="B34" t="s">
        <v>3</v>
      </c>
      <c r="D34" s="1">
        <v>6188683</v>
      </c>
    </row>
    <row r="35" spans="1:6" x14ac:dyDescent="0.55000000000000004">
      <c r="A35" s="2" t="s">
        <v>13</v>
      </c>
      <c r="D35" s="1">
        <f>SUM(D20:D34)</f>
        <v>14273016</v>
      </c>
    </row>
    <row r="36" spans="1:6" x14ac:dyDescent="0.55000000000000004">
      <c r="A36" s="2" t="s">
        <v>14</v>
      </c>
      <c r="D36" s="1">
        <v>100891244</v>
      </c>
    </row>
    <row r="37" spans="1:6" x14ac:dyDescent="0.55000000000000004">
      <c r="A37" s="2" t="s">
        <v>15</v>
      </c>
      <c r="D37" s="3">
        <f>100*D35/D36</f>
        <v>14.146932314562401</v>
      </c>
    </row>
    <row r="40" spans="1:6" x14ac:dyDescent="0.55000000000000004">
      <c r="A40" s="5" t="s">
        <v>29</v>
      </c>
    </row>
    <row r="42" spans="1:6" x14ac:dyDescent="0.55000000000000004">
      <c r="A42" s="2" t="s">
        <v>0</v>
      </c>
      <c r="B42" s="2" t="s">
        <v>1</v>
      </c>
      <c r="C42" s="2"/>
      <c r="D42" s="2" t="s">
        <v>4</v>
      </c>
      <c r="E42" s="2" t="s">
        <v>30</v>
      </c>
      <c r="F42" s="2" t="s">
        <v>31</v>
      </c>
    </row>
    <row r="43" spans="1:6" x14ac:dyDescent="0.55000000000000004">
      <c r="A43" t="s">
        <v>2</v>
      </c>
      <c r="B43" s="1">
        <v>10</v>
      </c>
    </row>
    <row r="44" spans="1:6" x14ac:dyDescent="0.55000000000000004">
      <c r="A44" s="1">
        <v>10</v>
      </c>
      <c r="B44" s="1">
        <v>20</v>
      </c>
    </row>
    <row r="45" spans="1:6" x14ac:dyDescent="0.55000000000000004">
      <c r="A45" s="1">
        <v>20</v>
      </c>
      <c r="B45" s="1">
        <v>50</v>
      </c>
    </row>
    <row r="46" spans="1:6" x14ac:dyDescent="0.55000000000000004">
      <c r="A46" s="1">
        <v>50</v>
      </c>
      <c r="B46" s="1">
        <v>100</v>
      </c>
    </row>
    <row r="47" spans="1:6" x14ac:dyDescent="0.55000000000000004">
      <c r="A47" s="1">
        <v>100</v>
      </c>
      <c r="B47" s="1">
        <v>200</v>
      </c>
    </row>
    <row r="48" spans="1:6" x14ac:dyDescent="0.55000000000000004">
      <c r="A48" s="1">
        <v>200</v>
      </c>
      <c r="B48" s="1">
        <v>500</v>
      </c>
    </row>
    <row r="49" spans="1:2" x14ac:dyDescent="0.55000000000000004">
      <c r="A49" s="1">
        <v>500</v>
      </c>
      <c r="B49" s="1">
        <v>1000</v>
      </c>
    </row>
    <row r="50" spans="1:2" x14ac:dyDescent="0.55000000000000004">
      <c r="A50" s="1">
        <v>1000</v>
      </c>
      <c r="B50" s="1">
        <v>2000</v>
      </c>
    </row>
    <row r="51" spans="1:2" x14ac:dyDescent="0.55000000000000004">
      <c r="A51" s="1">
        <v>2000</v>
      </c>
      <c r="B51" s="1">
        <v>5000</v>
      </c>
    </row>
    <row r="52" spans="1:2" x14ac:dyDescent="0.55000000000000004">
      <c r="A52" s="1">
        <v>5000</v>
      </c>
      <c r="B52" s="1">
        <v>10000</v>
      </c>
    </row>
    <row r="53" spans="1:2" x14ac:dyDescent="0.55000000000000004">
      <c r="A53" s="1">
        <v>10000</v>
      </c>
      <c r="B53" s="1">
        <v>20000</v>
      </c>
    </row>
    <row r="54" spans="1:2" x14ac:dyDescent="0.55000000000000004">
      <c r="A54" s="1">
        <v>20000</v>
      </c>
      <c r="B54" s="1">
        <v>50000</v>
      </c>
    </row>
    <row r="55" spans="1:2" x14ac:dyDescent="0.55000000000000004">
      <c r="A55" s="1">
        <v>50000</v>
      </c>
      <c r="B55" s="1">
        <v>100000</v>
      </c>
    </row>
    <row r="56" spans="1:2" x14ac:dyDescent="0.55000000000000004">
      <c r="A56" s="1">
        <v>100000</v>
      </c>
      <c r="B56" t="s">
        <v>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02521-C453-4789-9567-9D014E4404BA}">
  <dimension ref="A1:L62"/>
  <sheetViews>
    <sheetView workbookViewId="0"/>
  </sheetViews>
  <sheetFormatPr defaultRowHeight="14.4" x14ac:dyDescent="0.55000000000000004"/>
  <cols>
    <col min="4" max="4" width="11" customWidth="1"/>
    <col min="12" max="12" width="10.15625" bestFit="1" customWidth="1"/>
  </cols>
  <sheetData>
    <row r="1" spans="1:10" ht="18.3" x14ac:dyDescent="0.7">
      <c r="A1" s="11" t="s">
        <v>76</v>
      </c>
    </row>
    <row r="2" spans="1:10" x14ac:dyDescent="0.55000000000000004">
      <c r="I2" s="16" t="s">
        <v>55</v>
      </c>
      <c r="J2" s="16"/>
    </row>
    <row r="3" spans="1:10" x14ac:dyDescent="0.55000000000000004">
      <c r="C3" s="16" t="s">
        <v>56</v>
      </c>
      <c r="D3" s="16"/>
      <c r="G3" s="7" t="s">
        <v>0</v>
      </c>
      <c r="H3" s="7" t="s">
        <v>1</v>
      </c>
      <c r="I3" s="7" t="s">
        <v>36</v>
      </c>
      <c r="J3" s="7" t="s">
        <v>4</v>
      </c>
    </row>
    <row r="4" spans="1:10" x14ac:dyDescent="0.55000000000000004">
      <c r="A4" s="7" t="s">
        <v>0</v>
      </c>
      <c r="B4" s="7" t="s">
        <v>1</v>
      </c>
      <c r="C4" s="7" t="s">
        <v>36</v>
      </c>
      <c r="D4" s="7" t="s">
        <v>4</v>
      </c>
      <c r="G4">
        <v>1000</v>
      </c>
      <c r="H4">
        <v>2000</v>
      </c>
      <c r="I4">
        <v>6057</v>
      </c>
      <c r="J4" s="1">
        <v>8161371</v>
      </c>
    </row>
    <row r="5" spans="1:10" x14ac:dyDescent="0.55000000000000004">
      <c r="A5" t="s">
        <v>2</v>
      </c>
      <c r="B5" s="1">
        <v>3000</v>
      </c>
      <c r="C5">
        <v>316</v>
      </c>
      <c r="D5" s="1">
        <v>622363</v>
      </c>
      <c r="G5">
        <v>2000</v>
      </c>
      <c r="H5">
        <v>3000</v>
      </c>
      <c r="I5">
        <v>1450</v>
      </c>
      <c r="J5" s="1">
        <v>3500966</v>
      </c>
    </row>
    <row r="6" spans="1:10" x14ac:dyDescent="0.55000000000000004">
      <c r="A6" s="1">
        <v>3000</v>
      </c>
      <c r="B6" s="1">
        <v>5000</v>
      </c>
      <c r="C6">
        <v>443</v>
      </c>
      <c r="D6" s="1">
        <v>1763827</v>
      </c>
      <c r="G6" s="1">
        <v>3000</v>
      </c>
      <c r="H6" s="1">
        <v>5000</v>
      </c>
      <c r="I6" s="1">
        <v>833</v>
      </c>
      <c r="J6" s="1">
        <v>3125682</v>
      </c>
    </row>
    <row r="7" spans="1:10" x14ac:dyDescent="0.55000000000000004">
      <c r="A7" s="1">
        <v>5000</v>
      </c>
      <c r="B7" s="1">
        <v>10000</v>
      </c>
      <c r="C7">
        <v>654</v>
      </c>
      <c r="D7" s="1">
        <v>4660310</v>
      </c>
      <c r="G7" s="1">
        <v>5000</v>
      </c>
      <c r="H7" t="s">
        <v>3</v>
      </c>
      <c r="I7">
        <v>372</v>
      </c>
      <c r="J7" s="1">
        <v>2900584</v>
      </c>
    </row>
    <row r="8" spans="1:10" x14ac:dyDescent="0.55000000000000004">
      <c r="A8" s="1">
        <v>10000</v>
      </c>
      <c r="B8" s="1">
        <v>20000</v>
      </c>
      <c r="C8">
        <v>459</v>
      </c>
      <c r="D8" s="1">
        <v>6417782</v>
      </c>
    </row>
    <row r="9" spans="1:10" x14ac:dyDescent="0.55000000000000004">
      <c r="A9" s="1">
        <v>20000</v>
      </c>
      <c r="B9" s="1">
        <v>50000</v>
      </c>
      <c r="C9">
        <v>311</v>
      </c>
      <c r="D9" s="1">
        <v>9741418</v>
      </c>
    </row>
    <row r="10" spans="1:10" x14ac:dyDescent="0.55000000000000004">
      <c r="A10" s="1">
        <v>50000</v>
      </c>
      <c r="B10" s="1">
        <v>100000</v>
      </c>
      <c r="C10">
        <v>97</v>
      </c>
      <c r="D10" s="1">
        <v>6720976</v>
      </c>
    </row>
    <row r="11" spans="1:10" x14ac:dyDescent="0.55000000000000004">
      <c r="A11" s="1">
        <v>100000</v>
      </c>
      <c r="B11" s="1">
        <v>500000</v>
      </c>
      <c r="C11">
        <v>78</v>
      </c>
      <c r="D11" s="1">
        <v>15459194</v>
      </c>
    </row>
    <row r="12" spans="1:10" x14ac:dyDescent="0.55000000000000004">
      <c r="A12" s="1">
        <v>500000</v>
      </c>
      <c r="B12" t="s">
        <v>3</v>
      </c>
      <c r="C12">
        <v>14</v>
      </c>
      <c r="D12" s="1">
        <v>16225204</v>
      </c>
    </row>
    <row r="13" spans="1:10" x14ac:dyDescent="0.55000000000000004">
      <c r="A13" s="2" t="s">
        <v>13</v>
      </c>
      <c r="D13" s="1">
        <f>SUM(D5:D12)</f>
        <v>61611074</v>
      </c>
    </row>
    <row r="14" spans="1:10" x14ac:dyDescent="0.55000000000000004">
      <c r="A14" s="2" t="s">
        <v>14</v>
      </c>
      <c r="C14">
        <f>SUM(C5:C12)</f>
        <v>2372</v>
      </c>
      <c r="D14" s="1">
        <v>117534315</v>
      </c>
    </row>
    <row r="15" spans="1:10" x14ac:dyDescent="0.55000000000000004">
      <c r="A15" s="2" t="s">
        <v>15</v>
      </c>
      <c r="D15" s="3">
        <f>100*D13/D14</f>
        <v>52.419647827955608</v>
      </c>
    </row>
    <row r="17" spans="1:10" ht="18.3" x14ac:dyDescent="0.7">
      <c r="A17" s="11" t="s">
        <v>65</v>
      </c>
    </row>
    <row r="19" spans="1:10" x14ac:dyDescent="0.55000000000000004">
      <c r="A19" t="s">
        <v>53</v>
      </c>
    </row>
    <row r="20" spans="1:10" x14ac:dyDescent="0.55000000000000004">
      <c r="A20" t="s">
        <v>54</v>
      </c>
    </row>
    <row r="23" spans="1:10" x14ac:dyDescent="0.55000000000000004">
      <c r="C23" s="16" t="s">
        <v>56</v>
      </c>
      <c r="D23" s="16"/>
      <c r="I23" s="16" t="s">
        <v>55</v>
      </c>
      <c r="J23" s="16"/>
    </row>
    <row r="24" spans="1:10" x14ac:dyDescent="0.55000000000000004">
      <c r="A24" s="7" t="s">
        <v>0</v>
      </c>
      <c r="B24" s="7" t="s">
        <v>1</v>
      </c>
      <c r="C24" s="7" t="s">
        <v>36</v>
      </c>
      <c r="D24" s="7" t="s">
        <v>4</v>
      </c>
      <c r="G24" s="7" t="s">
        <v>0</v>
      </c>
      <c r="H24" s="7" t="s">
        <v>1</v>
      </c>
      <c r="I24" s="7" t="s">
        <v>36</v>
      </c>
      <c r="J24" s="7" t="s">
        <v>4</v>
      </c>
    </row>
    <row r="25" spans="1:10" x14ac:dyDescent="0.55000000000000004">
      <c r="A25" s="1">
        <v>2500</v>
      </c>
      <c r="B25" s="1">
        <v>3000</v>
      </c>
      <c r="C25">
        <v>97</v>
      </c>
      <c r="D25" s="1">
        <v>266317</v>
      </c>
      <c r="J25" s="1"/>
    </row>
    <row r="26" spans="1:10" x14ac:dyDescent="0.55000000000000004">
      <c r="A26" s="1">
        <v>3000</v>
      </c>
      <c r="B26" s="1">
        <v>5000</v>
      </c>
      <c r="C26">
        <v>443</v>
      </c>
      <c r="D26" s="1">
        <v>1763827</v>
      </c>
      <c r="G26">
        <v>2500</v>
      </c>
      <c r="H26">
        <v>3000</v>
      </c>
      <c r="I26">
        <v>477</v>
      </c>
      <c r="J26" s="1">
        <v>1311563</v>
      </c>
    </row>
    <row r="27" spans="1:10" x14ac:dyDescent="0.55000000000000004">
      <c r="A27" s="1">
        <v>5000</v>
      </c>
      <c r="B27" s="1">
        <v>10000</v>
      </c>
      <c r="C27">
        <v>654</v>
      </c>
      <c r="D27" s="1">
        <v>4660310</v>
      </c>
      <c r="G27" s="1">
        <v>3000</v>
      </c>
      <c r="H27" s="1">
        <v>5000</v>
      </c>
      <c r="I27" s="1">
        <v>833</v>
      </c>
      <c r="J27" s="1">
        <v>3125682</v>
      </c>
    </row>
    <row r="28" spans="1:10" x14ac:dyDescent="0.55000000000000004">
      <c r="A28" s="1">
        <v>10000</v>
      </c>
      <c r="B28" s="1">
        <v>20000</v>
      </c>
      <c r="C28">
        <v>459</v>
      </c>
      <c r="D28" s="1">
        <v>6417782</v>
      </c>
      <c r="G28" s="1">
        <v>5000</v>
      </c>
      <c r="H28" t="s">
        <v>3</v>
      </c>
      <c r="I28">
        <v>372</v>
      </c>
      <c r="J28" s="1">
        <v>2900584</v>
      </c>
    </row>
    <row r="29" spans="1:10" x14ac:dyDescent="0.55000000000000004">
      <c r="A29" s="1">
        <v>20000</v>
      </c>
      <c r="B29" s="1">
        <v>50000</v>
      </c>
      <c r="C29">
        <v>311</v>
      </c>
      <c r="D29" s="1">
        <v>9741418</v>
      </c>
    </row>
    <row r="30" spans="1:10" x14ac:dyDescent="0.55000000000000004">
      <c r="A30" s="1">
        <v>50000</v>
      </c>
      <c r="B30" s="1">
        <v>100000</v>
      </c>
      <c r="C30">
        <v>97</v>
      </c>
      <c r="D30" s="1">
        <v>6720976</v>
      </c>
    </row>
    <row r="31" spans="1:10" x14ac:dyDescent="0.55000000000000004">
      <c r="A31" s="1">
        <v>100000</v>
      </c>
      <c r="B31" s="1">
        <v>500000</v>
      </c>
      <c r="C31">
        <v>78</v>
      </c>
      <c r="D31" s="1">
        <v>15459194</v>
      </c>
    </row>
    <row r="32" spans="1:10" x14ac:dyDescent="0.55000000000000004">
      <c r="A32" s="1">
        <v>500000</v>
      </c>
      <c r="B32" t="s">
        <v>3</v>
      </c>
      <c r="C32">
        <v>14</v>
      </c>
      <c r="D32" s="1">
        <v>16225204</v>
      </c>
    </row>
    <row r="33" spans="1:10" x14ac:dyDescent="0.55000000000000004">
      <c r="A33" s="2" t="s">
        <v>13</v>
      </c>
      <c r="D33" s="1">
        <f>SUM(D25:D32)</f>
        <v>61255028</v>
      </c>
    </row>
    <row r="34" spans="1:10" x14ac:dyDescent="0.55000000000000004">
      <c r="A34" s="2" t="s">
        <v>14</v>
      </c>
      <c r="D34" s="1">
        <v>117534315</v>
      </c>
    </row>
    <row r="37" spans="1:10" x14ac:dyDescent="0.55000000000000004">
      <c r="A37" t="s">
        <v>63</v>
      </c>
      <c r="D37" s="1">
        <f>SUM(D25:D32)</f>
        <v>61255028</v>
      </c>
      <c r="J37" s="1">
        <f>SUM(J25:J32)</f>
        <v>7337829</v>
      </c>
    </row>
    <row r="38" spans="1:10" x14ac:dyDescent="0.55000000000000004">
      <c r="A38" s="2" t="s">
        <v>61</v>
      </c>
      <c r="D38" s="1">
        <f>D37+J37</f>
        <v>68592857</v>
      </c>
    </row>
    <row r="39" spans="1:10" x14ac:dyDescent="0.55000000000000004">
      <c r="A39" s="2" t="s">
        <v>62</v>
      </c>
      <c r="D39" s="3">
        <f>100*D38/D34</f>
        <v>58.359856013114126</v>
      </c>
    </row>
    <row r="41" spans="1:10" ht="18.3" x14ac:dyDescent="0.7">
      <c r="A41" s="11" t="s">
        <v>64</v>
      </c>
    </row>
    <row r="44" spans="1:10" x14ac:dyDescent="0.55000000000000004">
      <c r="C44" s="16" t="s">
        <v>56</v>
      </c>
      <c r="D44" s="16"/>
      <c r="I44" s="16" t="s">
        <v>55</v>
      </c>
      <c r="J44" s="16"/>
    </row>
    <row r="45" spans="1:10" x14ac:dyDescent="0.55000000000000004">
      <c r="A45" s="7" t="s">
        <v>0</v>
      </c>
      <c r="B45" s="7" t="s">
        <v>1</v>
      </c>
      <c r="C45" s="7" t="s">
        <v>36</v>
      </c>
      <c r="D45" s="7" t="s">
        <v>4</v>
      </c>
      <c r="G45" s="7" t="s">
        <v>0</v>
      </c>
      <c r="H45" s="7" t="s">
        <v>1</v>
      </c>
      <c r="I45" s="7" t="s">
        <v>36</v>
      </c>
      <c r="J45" s="7" t="s">
        <v>4</v>
      </c>
    </row>
    <row r="46" spans="1:10" x14ac:dyDescent="0.55000000000000004">
      <c r="A46">
        <v>2000</v>
      </c>
      <c r="B46" s="1">
        <v>3000</v>
      </c>
      <c r="C46">
        <v>172</v>
      </c>
      <c r="D46" s="1">
        <v>436629</v>
      </c>
      <c r="J46" s="1"/>
    </row>
    <row r="47" spans="1:10" x14ac:dyDescent="0.55000000000000004">
      <c r="A47" s="1">
        <v>3000</v>
      </c>
      <c r="B47" s="1">
        <v>5000</v>
      </c>
      <c r="C47">
        <v>443</v>
      </c>
      <c r="D47" s="1">
        <v>1763827</v>
      </c>
      <c r="G47">
        <v>2000</v>
      </c>
      <c r="H47">
        <v>3000</v>
      </c>
      <c r="I47">
        <v>1450</v>
      </c>
      <c r="J47" s="1">
        <v>3500966</v>
      </c>
    </row>
    <row r="48" spans="1:10" x14ac:dyDescent="0.55000000000000004">
      <c r="A48" s="1">
        <v>5000</v>
      </c>
      <c r="B48" s="1">
        <v>10000</v>
      </c>
      <c r="C48">
        <v>654</v>
      </c>
      <c r="D48" s="1">
        <v>4660310</v>
      </c>
      <c r="G48" s="1">
        <v>3000</v>
      </c>
      <c r="H48" s="1">
        <v>5000</v>
      </c>
      <c r="I48" s="1">
        <v>833</v>
      </c>
      <c r="J48" s="1">
        <v>3125682</v>
      </c>
    </row>
    <row r="49" spans="1:12" x14ac:dyDescent="0.55000000000000004">
      <c r="A49" s="1">
        <v>10000</v>
      </c>
      <c r="B49" s="1">
        <v>20000</v>
      </c>
      <c r="C49">
        <v>459</v>
      </c>
      <c r="D49" s="1">
        <v>6417782</v>
      </c>
      <c r="G49" s="1">
        <v>5000</v>
      </c>
      <c r="H49" t="s">
        <v>3</v>
      </c>
      <c r="I49">
        <v>372</v>
      </c>
      <c r="J49" s="1">
        <v>2900584</v>
      </c>
    </row>
    <row r="50" spans="1:12" x14ac:dyDescent="0.55000000000000004">
      <c r="A50" s="1">
        <v>20000</v>
      </c>
      <c r="B50" s="1">
        <v>50000</v>
      </c>
      <c r="C50">
        <v>311</v>
      </c>
      <c r="D50" s="1">
        <v>9741418</v>
      </c>
    </row>
    <row r="51" spans="1:12" x14ac:dyDescent="0.55000000000000004">
      <c r="A51" s="1">
        <v>50000</v>
      </c>
      <c r="B51" s="1">
        <v>100000</v>
      </c>
      <c r="C51">
        <v>97</v>
      </c>
      <c r="D51" s="1">
        <v>6720976</v>
      </c>
    </row>
    <row r="52" spans="1:12" x14ac:dyDescent="0.55000000000000004">
      <c r="A52" s="1">
        <v>100000</v>
      </c>
      <c r="B52" s="1">
        <v>500000</v>
      </c>
      <c r="C52">
        <v>78</v>
      </c>
      <c r="D52" s="1">
        <v>15459194</v>
      </c>
    </row>
    <row r="53" spans="1:12" x14ac:dyDescent="0.55000000000000004">
      <c r="A53" s="1">
        <v>500000</v>
      </c>
      <c r="B53" t="s">
        <v>3</v>
      </c>
      <c r="C53">
        <v>14</v>
      </c>
      <c r="D53" s="1">
        <v>16225204</v>
      </c>
    </row>
    <row r="54" spans="1:12" x14ac:dyDescent="0.55000000000000004">
      <c r="A54" s="2" t="s">
        <v>14</v>
      </c>
      <c r="D54" s="1">
        <v>117534315</v>
      </c>
    </row>
    <row r="56" spans="1:12" x14ac:dyDescent="0.55000000000000004">
      <c r="A56" t="s">
        <v>67</v>
      </c>
      <c r="D56" s="1">
        <f>SUM(D46:D53)</f>
        <v>61425340</v>
      </c>
      <c r="J56" s="1">
        <f>SUM(J46:J53)</f>
        <v>9527232</v>
      </c>
      <c r="L56" s="1">
        <f>D56+J56</f>
        <v>70952572</v>
      </c>
    </row>
    <row r="57" spans="1:12" x14ac:dyDescent="0.55000000000000004">
      <c r="A57" s="2" t="s">
        <v>66</v>
      </c>
      <c r="D57" s="3"/>
      <c r="L57" s="13">
        <f>100*L56/D54</f>
        <v>60.367537769714318</v>
      </c>
    </row>
    <row r="59" spans="1:12" ht="18.3" x14ac:dyDescent="0.7">
      <c r="A59" s="11" t="s">
        <v>73</v>
      </c>
    </row>
    <row r="61" spans="1:12" x14ac:dyDescent="0.55000000000000004">
      <c r="A61" t="s">
        <v>74</v>
      </c>
      <c r="D61" s="1">
        <f>SUM(D48:D53)</f>
        <v>59224884</v>
      </c>
      <c r="J61" s="1">
        <f>J49</f>
        <v>2900584</v>
      </c>
      <c r="L61" s="1">
        <f>D61+J61</f>
        <v>62125468</v>
      </c>
    </row>
    <row r="62" spans="1:12" x14ac:dyDescent="0.55000000000000004">
      <c r="A62" t="s">
        <v>75</v>
      </c>
      <c r="L62" s="13">
        <f>100*L61/D54</f>
        <v>52.85730214193191</v>
      </c>
    </row>
  </sheetData>
  <mergeCells count="6">
    <mergeCell ref="I2:J2"/>
    <mergeCell ref="C23:D23"/>
    <mergeCell ref="C3:D3"/>
    <mergeCell ref="I23:J23"/>
    <mergeCell ref="I44:J44"/>
    <mergeCell ref="C44:D44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86153-DE52-4DDC-AC00-DEE976B14729}">
  <dimension ref="A1:L62"/>
  <sheetViews>
    <sheetView workbookViewId="0"/>
  </sheetViews>
  <sheetFormatPr defaultRowHeight="14.4" x14ac:dyDescent="0.55000000000000004"/>
  <cols>
    <col min="4" max="4" width="12.83984375" customWidth="1"/>
    <col min="9" max="9" width="10" customWidth="1"/>
    <col min="12" max="12" width="10.15625" bestFit="1" customWidth="1"/>
  </cols>
  <sheetData>
    <row r="1" spans="1:10" ht="18.3" x14ac:dyDescent="0.7">
      <c r="A1" s="11" t="s">
        <v>76</v>
      </c>
    </row>
    <row r="2" spans="1:10" x14ac:dyDescent="0.55000000000000004">
      <c r="I2" s="7"/>
      <c r="J2" s="7"/>
    </row>
    <row r="3" spans="1:10" x14ac:dyDescent="0.55000000000000004">
      <c r="C3" s="16" t="s">
        <v>56</v>
      </c>
      <c r="D3" s="16"/>
      <c r="I3" s="16" t="s">
        <v>55</v>
      </c>
      <c r="J3" s="16"/>
    </row>
    <row r="4" spans="1:10" x14ac:dyDescent="0.55000000000000004">
      <c r="A4" s="2" t="s">
        <v>0</v>
      </c>
      <c r="B4" s="2" t="s">
        <v>1</v>
      </c>
      <c r="C4" s="7" t="s">
        <v>36</v>
      </c>
      <c r="D4" s="2" t="s">
        <v>4</v>
      </c>
      <c r="G4" s="7" t="s">
        <v>0</v>
      </c>
      <c r="H4" s="7" t="s">
        <v>1</v>
      </c>
      <c r="I4" s="7" t="s">
        <v>36</v>
      </c>
      <c r="J4" s="7" t="s">
        <v>4</v>
      </c>
    </row>
    <row r="5" spans="1:10" x14ac:dyDescent="0.55000000000000004">
      <c r="A5" t="s">
        <v>2</v>
      </c>
      <c r="B5" s="1">
        <v>3000</v>
      </c>
      <c r="C5">
        <v>460</v>
      </c>
      <c r="D5" s="1">
        <v>875596</v>
      </c>
      <c r="G5">
        <v>1000</v>
      </c>
      <c r="H5">
        <v>2000</v>
      </c>
      <c r="I5" s="1">
        <v>6333</v>
      </c>
      <c r="J5" s="9">
        <v>8573108</v>
      </c>
    </row>
    <row r="6" spans="1:10" x14ac:dyDescent="0.55000000000000004">
      <c r="A6" s="1">
        <v>3000</v>
      </c>
      <c r="B6" s="1">
        <v>5000</v>
      </c>
      <c r="C6">
        <v>535</v>
      </c>
      <c r="D6" s="1">
        <v>2137680</v>
      </c>
      <c r="G6">
        <v>2000</v>
      </c>
      <c r="H6">
        <v>3000</v>
      </c>
      <c r="I6" s="1">
        <v>1385</v>
      </c>
      <c r="J6" s="9">
        <v>3333563</v>
      </c>
    </row>
    <row r="7" spans="1:10" x14ac:dyDescent="0.55000000000000004">
      <c r="A7" s="1">
        <v>5000</v>
      </c>
      <c r="B7" s="1">
        <v>10000</v>
      </c>
      <c r="C7">
        <v>761</v>
      </c>
      <c r="D7" s="1">
        <v>5330060</v>
      </c>
      <c r="G7" s="1">
        <v>3000</v>
      </c>
      <c r="H7" s="1">
        <v>5000</v>
      </c>
      <c r="I7" s="1">
        <v>846</v>
      </c>
      <c r="J7" s="9">
        <v>3199082</v>
      </c>
    </row>
    <row r="8" spans="1:10" x14ac:dyDescent="0.55000000000000004">
      <c r="A8" s="1">
        <v>10000</v>
      </c>
      <c r="B8" s="1">
        <v>20000</v>
      </c>
      <c r="C8">
        <v>476</v>
      </c>
      <c r="D8" s="1">
        <v>6616796</v>
      </c>
      <c r="G8" s="1">
        <v>5000</v>
      </c>
      <c r="H8" s="10" t="s">
        <v>3</v>
      </c>
      <c r="I8" s="1">
        <v>434</v>
      </c>
      <c r="J8" s="9">
        <v>3401655</v>
      </c>
    </row>
    <row r="9" spans="1:10" x14ac:dyDescent="0.55000000000000004">
      <c r="A9" s="1">
        <v>20000</v>
      </c>
      <c r="B9" s="1">
        <v>50000</v>
      </c>
      <c r="C9">
        <v>368</v>
      </c>
      <c r="D9" s="1">
        <v>11565985</v>
      </c>
      <c r="G9" s="1"/>
      <c r="H9" s="1"/>
      <c r="I9" s="1"/>
      <c r="J9" s="1"/>
    </row>
    <row r="10" spans="1:10" x14ac:dyDescent="0.55000000000000004">
      <c r="A10" s="1">
        <v>50000</v>
      </c>
      <c r="B10" s="1">
        <v>100000</v>
      </c>
      <c r="C10">
        <v>114</v>
      </c>
      <c r="D10" s="1">
        <v>7908160</v>
      </c>
      <c r="G10" s="1"/>
      <c r="H10" s="8"/>
      <c r="I10" s="1"/>
      <c r="J10" s="1"/>
    </row>
    <row r="11" spans="1:10" x14ac:dyDescent="0.55000000000000004">
      <c r="A11" s="1">
        <v>100000</v>
      </c>
      <c r="B11" s="1">
        <v>500000</v>
      </c>
      <c r="C11">
        <v>107</v>
      </c>
      <c r="D11" s="1">
        <v>23315401</v>
      </c>
    </row>
    <row r="12" spans="1:10" x14ac:dyDescent="0.55000000000000004">
      <c r="A12" s="1">
        <v>500000</v>
      </c>
      <c r="B12" t="s">
        <v>3</v>
      </c>
      <c r="C12">
        <v>17</v>
      </c>
      <c r="D12" s="1">
        <v>23231465</v>
      </c>
    </row>
    <row r="13" spans="1:10" x14ac:dyDescent="0.55000000000000004">
      <c r="A13" s="2" t="s">
        <v>13</v>
      </c>
      <c r="D13" s="1">
        <f>SUM(D5:D12)</f>
        <v>80981143</v>
      </c>
    </row>
    <row r="14" spans="1:10" x14ac:dyDescent="0.55000000000000004">
      <c r="A14" s="2" t="s">
        <v>14</v>
      </c>
      <c r="C14">
        <f>SUM(C5:C12)</f>
        <v>2838</v>
      </c>
      <c r="D14" s="1">
        <v>130079210</v>
      </c>
    </row>
    <row r="15" spans="1:10" x14ac:dyDescent="0.55000000000000004">
      <c r="A15" s="2" t="s">
        <v>15</v>
      </c>
      <c r="D15" s="3">
        <f>100*D13/D14</f>
        <v>62.255254317734554</v>
      </c>
    </row>
    <row r="17" spans="1:10" ht="18.3" x14ac:dyDescent="0.7">
      <c r="A17" s="11" t="s">
        <v>65</v>
      </c>
    </row>
    <row r="19" spans="1:10" x14ac:dyDescent="0.55000000000000004">
      <c r="A19" t="s">
        <v>53</v>
      </c>
    </row>
    <row r="20" spans="1:10" x14ac:dyDescent="0.55000000000000004">
      <c r="A20" t="s">
        <v>54</v>
      </c>
    </row>
    <row r="23" spans="1:10" x14ac:dyDescent="0.55000000000000004">
      <c r="C23" s="16" t="s">
        <v>56</v>
      </c>
      <c r="D23" s="16"/>
      <c r="I23" s="16" t="s">
        <v>55</v>
      </c>
      <c r="J23" s="16"/>
    </row>
    <row r="24" spans="1:10" x14ac:dyDescent="0.55000000000000004">
      <c r="A24" s="2" t="s">
        <v>0</v>
      </c>
      <c r="B24" s="2" t="s">
        <v>1</v>
      </c>
      <c r="C24" s="7" t="s">
        <v>36</v>
      </c>
      <c r="D24" s="2" t="s">
        <v>4</v>
      </c>
      <c r="G24" s="7" t="s">
        <v>0</v>
      </c>
      <c r="H24" s="7" t="s">
        <v>1</v>
      </c>
      <c r="I24" s="7" t="s">
        <v>36</v>
      </c>
      <c r="J24" s="7" t="s">
        <v>4</v>
      </c>
    </row>
    <row r="25" spans="1:10" x14ac:dyDescent="0.55000000000000004">
      <c r="A25" s="1">
        <v>2500</v>
      </c>
      <c r="B25" s="1">
        <v>3000</v>
      </c>
      <c r="C25">
        <v>125</v>
      </c>
      <c r="D25" s="1">
        <v>342858</v>
      </c>
      <c r="I25" s="1"/>
      <c r="J25" s="9"/>
    </row>
    <row r="26" spans="1:10" x14ac:dyDescent="0.55000000000000004">
      <c r="A26" s="1">
        <v>3000</v>
      </c>
      <c r="B26" s="1">
        <v>5000</v>
      </c>
      <c r="C26">
        <v>535</v>
      </c>
      <c r="D26" s="1">
        <v>2137680</v>
      </c>
      <c r="G26">
        <v>2500</v>
      </c>
      <c r="H26">
        <v>3000</v>
      </c>
      <c r="I26" s="1">
        <v>435</v>
      </c>
      <c r="J26" s="9">
        <v>1195222</v>
      </c>
    </row>
    <row r="27" spans="1:10" x14ac:dyDescent="0.55000000000000004">
      <c r="A27" s="1">
        <v>5000</v>
      </c>
      <c r="B27" s="1">
        <v>10000</v>
      </c>
      <c r="C27">
        <v>761</v>
      </c>
      <c r="D27" s="1">
        <v>5330060</v>
      </c>
      <c r="G27" s="1">
        <v>3000</v>
      </c>
      <c r="H27" s="1">
        <v>5000</v>
      </c>
      <c r="I27" s="1">
        <v>846</v>
      </c>
      <c r="J27" s="9">
        <v>3199082</v>
      </c>
    </row>
    <row r="28" spans="1:10" x14ac:dyDescent="0.55000000000000004">
      <c r="A28" s="1">
        <v>10000</v>
      </c>
      <c r="B28" s="1">
        <v>20000</v>
      </c>
      <c r="C28">
        <v>476</v>
      </c>
      <c r="D28" s="1">
        <v>6616796</v>
      </c>
      <c r="G28" s="1">
        <v>5000</v>
      </c>
      <c r="H28" s="10" t="s">
        <v>3</v>
      </c>
      <c r="I28" s="1">
        <v>434</v>
      </c>
      <c r="J28" s="9">
        <v>3401655</v>
      </c>
    </row>
    <row r="29" spans="1:10" x14ac:dyDescent="0.55000000000000004">
      <c r="A29" s="1">
        <v>20000</v>
      </c>
      <c r="B29" s="1">
        <v>50000</v>
      </c>
      <c r="C29">
        <v>368</v>
      </c>
      <c r="D29" s="1">
        <v>11565985</v>
      </c>
      <c r="G29" s="1"/>
      <c r="H29" s="1"/>
      <c r="I29" s="1"/>
      <c r="J29" s="1"/>
    </row>
    <row r="30" spans="1:10" x14ac:dyDescent="0.55000000000000004">
      <c r="A30" s="1">
        <v>50000</v>
      </c>
      <c r="B30" s="1">
        <v>100000</v>
      </c>
      <c r="C30">
        <v>114</v>
      </c>
      <c r="D30" s="1">
        <v>7908160</v>
      </c>
    </row>
    <row r="31" spans="1:10" x14ac:dyDescent="0.55000000000000004">
      <c r="A31" s="1">
        <v>100000</v>
      </c>
      <c r="B31" s="1">
        <v>500000</v>
      </c>
      <c r="C31">
        <v>107</v>
      </c>
      <c r="D31" s="1">
        <v>23315401</v>
      </c>
    </row>
    <row r="32" spans="1:10" x14ac:dyDescent="0.55000000000000004">
      <c r="A32" s="1">
        <v>500000</v>
      </c>
      <c r="B32" t="s">
        <v>3</v>
      </c>
      <c r="C32">
        <v>17</v>
      </c>
      <c r="D32" s="1">
        <v>23231465</v>
      </c>
    </row>
    <row r="33" spans="1:10" x14ac:dyDescent="0.55000000000000004">
      <c r="A33" s="2" t="s">
        <v>13</v>
      </c>
      <c r="D33" s="1">
        <f>SUM(D25:D32)</f>
        <v>80448405</v>
      </c>
    </row>
    <row r="34" spans="1:10" x14ac:dyDescent="0.55000000000000004">
      <c r="A34" s="2" t="s">
        <v>14</v>
      </c>
      <c r="D34" s="1">
        <v>130079210</v>
      </c>
    </row>
    <row r="37" spans="1:10" x14ac:dyDescent="0.55000000000000004">
      <c r="A37" t="s">
        <v>63</v>
      </c>
      <c r="D37" s="1">
        <f>SUM(D25:D32)</f>
        <v>80448405</v>
      </c>
      <c r="J37" s="1">
        <f>SUM(J25:J32)</f>
        <v>7795959</v>
      </c>
    </row>
    <row r="38" spans="1:10" x14ac:dyDescent="0.55000000000000004">
      <c r="A38" s="2" t="s">
        <v>61</v>
      </c>
      <c r="D38" s="1">
        <f>D37+J37</f>
        <v>88244364</v>
      </c>
    </row>
    <row r="39" spans="1:10" x14ac:dyDescent="0.55000000000000004">
      <c r="A39" s="2" t="s">
        <v>62</v>
      </c>
      <c r="D39" s="3">
        <f>100*D38/D34</f>
        <v>67.838945208846212</v>
      </c>
    </row>
    <row r="41" spans="1:10" ht="18.3" x14ac:dyDescent="0.7">
      <c r="A41" s="11" t="s">
        <v>64</v>
      </c>
    </row>
    <row r="44" spans="1:10" x14ac:dyDescent="0.55000000000000004">
      <c r="C44" s="16" t="s">
        <v>56</v>
      </c>
      <c r="D44" s="16"/>
      <c r="I44" s="16" t="s">
        <v>55</v>
      </c>
      <c r="J44" s="16"/>
    </row>
    <row r="45" spans="1:10" x14ac:dyDescent="0.55000000000000004">
      <c r="A45" s="2" t="s">
        <v>0</v>
      </c>
      <c r="B45" s="2" t="s">
        <v>1</v>
      </c>
      <c r="C45" s="7" t="s">
        <v>36</v>
      </c>
      <c r="D45" s="2" t="s">
        <v>4</v>
      </c>
      <c r="G45" s="7" t="s">
        <v>0</v>
      </c>
      <c r="H45" s="7" t="s">
        <v>1</v>
      </c>
      <c r="I45" s="7" t="s">
        <v>36</v>
      </c>
      <c r="J45" s="7" t="s">
        <v>4</v>
      </c>
    </row>
    <row r="46" spans="1:10" x14ac:dyDescent="0.55000000000000004">
      <c r="A46">
        <v>2000</v>
      </c>
      <c r="B46" s="1">
        <v>3000</v>
      </c>
      <c r="C46">
        <v>236</v>
      </c>
      <c r="D46" s="1">
        <v>593006</v>
      </c>
      <c r="I46" s="1"/>
      <c r="J46" s="9"/>
    </row>
    <row r="47" spans="1:10" x14ac:dyDescent="0.55000000000000004">
      <c r="A47" s="1">
        <v>3000</v>
      </c>
      <c r="B47" s="1">
        <v>5000</v>
      </c>
      <c r="C47">
        <v>535</v>
      </c>
      <c r="D47" s="1">
        <v>2137680</v>
      </c>
      <c r="G47">
        <v>2000</v>
      </c>
      <c r="H47">
        <v>3000</v>
      </c>
      <c r="I47" s="1">
        <v>1385</v>
      </c>
      <c r="J47" s="9">
        <v>3333563</v>
      </c>
    </row>
    <row r="48" spans="1:10" x14ac:dyDescent="0.55000000000000004">
      <c r="A48" s="1">
        <v>5000</v>
      </c>
      <c r="B48" s="1">
        <v>10000</v>
      </c>
      <c r="C48">
        <v>761</v>
      </c>
      <c r="D48" s="1">
        <v>5330060</v>
      </c>
      <c r="G48" s="1">
        <v>3000</v>
      </c>
      <c r="H48" s="1">
        <v>5000</v>
      </c>
      <c r="I48" s="1">
        <v>846</v>
      </c>
      <c r="J48" s="9">
        <v>3199082</v>
      </c>
    </row>
    <row r="49" spans="1:12" x14ac:dyDescent="0.55000000000000004">
      <c r="A49" s="1">
        <v>10000</v>
      </c>
      <c r="B49" s="1">
        <v>20000</v>
      </c>
      <c r="C49">
        <v>476</v>
      </c>
      <c r="D49" s="1">
        <v>6616796</v>
      </c>
      <c r="G49" s="1">
        <v>5000</v>
      </c>
      <c r="H49" s="10" t="s">
        <v>3</v>
      </c>
      <c r="I49" s="1">
        <v>434</v>
      </c>
      <c r="J49" s="9">
        <v>3401655</v>
      </c>
    </row>
    <row r="50" spans="1:12" x14ac:dyDescent="0.55000000000000004">
      <c r="A50" s="1">
        <v>20000</v>
      </c>
      <c r="B50" s="1">
        <v>50000</v>
      </c>
      <c r="C50">
        <v>368</v>
      </c>
      <c r="D50" s="1">
        <v>11565985</v>
      </c>
    </row>
    <row r="51" spans="1:12" x14ac:dyDescent="0.55000000000000004">
      <c r="A51" s="1">
        <v>50000</v>
      </c>
      <c r="B51" s="1">
        <v>100000</v>
      </c>
      <c r="C51">
        <v>114</v>
      </c>
      <c r="D51" s="1">
        <v>7908160</v>
      </c>
    </row>
    <row r="52" spans="1:12" x14ac:dyDescent="0.55000000000000004">
      <c r="A52" s="1">
        <v>100000</v>
      </c>
      <c r="B52" s="1">
        <v>500000</v>
      </c>
      <c r="C52">
        <v>107</v>
      </c>
      <c r="D52" s="1">
        <v>23315401</v>
      </c>
    </row>
    <row r="53" spans="1:12" x14ac:dyDescent="0.55000000000000004">
      <c r="A53" s="1">
        <v>500000</v>
      </c>
      <c r="B53" t="s">
        <v>3</v>
      </c>
      <c r="C53">
        <v>17</v>
      </c>
      <c r="D53" s="1">
        <v>23231465</v>
      </c>
    </row>
    <row r="54" spans="1:12" x14ac:dyDescent="0.55000000000000004">
      <c r="A54" s="2" t="s">
        <v>14</v>
      </c>
      <c r="D54" s="1">
        <v>130079210</v>
      </c>
    </row>
    <row r="56" spans="1:12" x14ac:dyDescent="0.55000000000000004">
      <c r="A56" t="s">
        <v>67</v>
      </c>
      <c r="D56" s="1">
        <f>SUM(D46:D53)</f>
        <v>80698553</v>
      </c>
      <c r="J56" s="1">
        <f>SUM(J46:J52)</f>
        <v>9934300</v>
      </c>
      <c r="L56" s="1">
        <f>D56+J56</f>
        <v>90632853</v>
      </c>
    </row>
    <row r="57" spans="1:12" x14ac:dyDescent="0.55000000000000004">
      <c r="A57" s="2" t="s">
        <v>66</v>
      </c>
      <c r="D57" s="3"/>
      <c r="L57" s="13">
        <f>100*L56/D54</f>
        <v>69.675125640753819</v>
      </c>
    </row>
    <row r="59" spans="1:12" ht="18.3" x14ac:dyDescent="0.7">
      <c r="A59" s="11" t="s">
        <v>73</v>
      </c>
    </row>
    <row r="61" spans="1:12" x14ac:dyDescent="0.55000000000000004">
      <c r="A61" t="s">
        <v>74</v>
      </c>
      <c r="D61" s="1">
        <f>SUM(D48:D53)</f>
        <v>77967867</v>
      </c>
      <c r="J61" s="1">
        <f>J49</f>
        <v>3401655</v>
      </c>
      <c r="L61" s="1">
        <f>D61+J61</f>
        <v>81369522</v>
      </c>
    </row>
    <row r="62" spans="1:12" x14ac:dyDescent="0.55000000000000004">
      <c r="A62" s="2" t="s">
        <v>75</v>
      </c>
      <c r="L62" s="13">
        <f>100*L61/D54</f>
        <v>62.553825472956056</v>
      </c>
    </row>
  </sheetData>
  <mergeCells count="6">
    <mergeCell ref="I3:J3"/>
    <mergeCell ref="I23:J23"/>
    <mergeCell ref="C23:D23"/>
    <mergeCell ref="C3:D3"/>
    <mergeCell ref="I44:J44"/>
    <mergeCell ref="C44:D44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70B758-2D8E-4D0F-9152-375389941F4D}">
  <dimension ref="A1:D15"/>
  <sheetViews>
    <sheetView workbookViewId="0"/>
  </sheetViews>
  <sheetFormatPr defaultRowHeight="14.4" x14ac:dyDescent="0.55000000000000004"/>
  <cols>
    <col min="4" max="4" width="22.41796875" customWidth="1"/>
  </cols>
  <sheetData>
    <row r="1" spans="1:4" ht="18.3" x14ac:dyDescent="0.7">
      <c r="A1" s="11" t="s">
        <v>76</v>
      </c>
    </row>
    <row r="3" spans="1:4" x14ac:dyDescent="0.55000000000000004">
      <c r="A3" s="2" t="s">
        <v>0</v>
      </c>
      <c r="B3" s="2" t="s">
        <v>1</v>
      </c>
      <c r="C3" s="2"/>
      <c r="D3" s="2" t="s">
        <v>4</v>
      </c>
    </row>
    <row r="4" spans="1:4" x14ac:dyDescent="0.55000000000000004">
      <c r="A4" t="s">
        <v>2</v>
      </c>
      <c r="B4" s="1">
        <v>3000</v>
      </c>
      <c r="D4" s="1">
        <v>970800</v>
      </c>
    </row>
    <row r="5" spans="1:4" x14ac:dyDescent="0.55000000000000004">
      <c r="A5" s="1">
        <v>3000</v>
      </c>
      <c r="B5" s="1">
        <v>5000</v>
      </c>
      <c r="D5" s="1">
        <v>2312878</v>
      </c>
    </row>
    <row r="6" spans="1:4" x14ac:dyDescent="0.55000000000000004">
      <c r="A6" s="1">
        <v>5000</v>
      </c>
      <c r="B6" s="1">
        <v>10000</v>
      </c>
      <c r="D6" s="1">
        <v>5385703</v>
      </c>
    </row>
    <row r="7" spans="1:4" x14ac:dyDescent="0.55000000000000004">
      <c r="A7" s="1">
        <v>10000</v>
      </c>
      <c r="B7" s="1">
        <v>20000</v>
      </c>
      <c r="D7" s="1">
        <v>6890054</v>
      </c>
    </row>
    <row r="8" spans="1:4" x14ac:dyDescent="0.55000000000000004">
      <c r="A8" s="1">
        <v>20000</v>
      </c>
      <c r="B8" s="1">
        <v>50000</v>
      </c>
      <c r="D8" s="1">
        <v>11978294</v>
      </c>
    </row>
    <row r="9" spans="1:4" x14ac:dyDescent="0.55000000000000004">
      <c r="A9" s="1">
        <v>50000</v>
      </c>
      <c r="B9" s="1">
        <v>100000</v>
      </c>
      <c r="D9" s="1">
        <v>9081267</v>
      </c>
    </row>
    <row r="10" spans="1:4" x14ac:dyDescent="0.55000000000000004">
      <c r="A10" s="1">
        <v>100000</v>
      </c>
      <c r="B10" s="1">
        <v>250000</v>
      </c>
      <c r="D10" s="1">
        <v>12881225</v>
      </c>
    </row>
    <row r="11" spans="1:4" x14ac:dyDescent="0.55000000000000004">
      <c r="A11" s="1">
        <v>250000</v>
      </c>
      <c r="B11" s="1">
        <v>500000</v>
      </c>
      <c r="D11" s="1">
        <v>14159420</v>
      </c>
    </row>
    <row r="12" spans="1:4" x14ac:dyDescent="0.55000000000000004">
      <c r="A12" s="1">
        <v>500000</v>
      </c>
      <c r="B12" t="s">
        <v>3</v>
      </c>
      <c r="D12" s="1">
        <v>31714226</v>
      </c>
    </row>
    <row r="13" spans="1:4" x14ac:dyDescent="0.55000000000000004">
      <c r="A13" s="2" t="s">
        <v>13</v>
      </c>
      <c r="D13" s="1">
        <f>SUM(D4:D12)</f>
        <v>95373867</v>
      </c>
    </row>
    <row r="14" spans="1:4" x14ac:dyDescent="0.55000000000000004">
      <c r="A14" s="2" t="s">
        <v>14</v>
      </c>
      <c r="D14" s="1">
        <v>241720134</v>
      </c>
    </row>
    <row r="15" spans="1:4" x14ac:dyDescent="0.55000000000000004">
      <c r="A15" s="2" t="s">
        <v>15</v>
      </c>
      <c r="D15" s="3">
        <f>100*D13/D14</f>
        <v>39.456318934524504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1CEBF5-B4BD-4DD1-AC0A-66E7B41EFED5}">
  <dimension ref="A2:H30"/>
  <sheetViews>
    <sheetView workbookViewId="0">
      <selection activeCell="F6" sqref="F6"/>
    </sheetView>
  </sheetViews>
  <sheetFormatPr defaultRowHeight="14.4" x14ac:dyDescent="0.55000000000000004"/>
  <cols>
    <col min="4" max="4" width="20" customWidth="1"/>
    <col min="6" max="6" width="10.68359375" bestFit="1" customWidth="1"/>
  </cols>
  <sheetData>
    <row r="2" spans="1:8" x14ac:dyDescent="0.55000000000000004">
      <c r="A2" s="7" t="s">
        <v>0</v>
      </c>
      <c r="B2" s="7" t="s">
        <v>1</v>
      </c>
      <c r="C2" s="7" t="s">
        <v>36</v>
      </c>
      <c r="D2" s="7" t="s">
        <v>4</v>
      </c>
    </row>
    <row r="4" spans="1:8" x14ac:dyDescent="0.55000000000000004">
      <c r="A4" t="s">
        <v>2</v>
      </c>
      <c r="B4" s="1">
        <v>1000</v>
      </c>
      <c r="D4" s="1">
        <f>D16-D14</f>
        <v>8283369</v>
      </c>
    </row>
    <row r="5" spans="1:8" x14ac:dyDescent="0.55000000000000004">
      <c r="A5" s="1">
        <v>1000</v>
      </c>
      <c r="B5" s="1">
        <v>1500</v>
      </c>
      <c r="C5">
        <v>1036</v>
      </c>
      <c r="D5" s="1">
        <v>1251217</v>
      </c>
      <c r="F5" s="1"/>
    </row>
    <row r="6" spans="1:8" x14ac:dyDescent="0.55000000000000004">
      <c r="A6" s="1">
        <v>1500</v>
      </c>
      <c r="B6" s="1">
        <v>2000</v>
      </c>
      <c r="C6">
        <v>503</v>
      </c>
      <c r="D6" s="1">
        <v>863103</v>
      </c>
    </row>
    <row r="7" spans="1:8" x14ac:dyDescent="0.55000000000000004">
      <c r="A7" s="1">
        <v>2000</v>
      </c>
      <c r="B7" s="1">
        <v>2500</v>
      </c>
      <c r="C7">
        <v>276</v>
      </c>
      <c r="D7" s="1">
        <v>614036</v>
      </c>
    </row>
    <row r="8" spans="1:8" x14ac:dyDescent="0.55000000000000004">
      <c r="A8" s="1">
        <v>2500</v>
      </c>
      <c r="B8" s="1">
        <v>3000</v>
      </c>
      <c r="C8">
        <v>155</v>
      </c>
      <c r="D8" s="1">
        <v>418091</v>
      </c>
    </row>
    <row r="9" spans="1:8" x14ac:dyDescent="0.55000000000000004">
      <c r="A9" s="1">
        <v>3000</v>
      </c>
      <c r="B9" s="1">
        <v>3500</v>
      </c>
      <c r="C9">
        <v>82</v>
      </c>
      <c r="D9" s="1">
        <v>263400</v>
      </c>
    </row>
    <row r="10" spans="1:8" x14ac:dyDescent="0.55000000000000004">
      <c r="A10" s="1">
        <v>3500</v>
      </c>
      <c r="B10" s="1">
        <v>4000</v>
      </c>
      <c r="C10">
        <v>58</v>
      </c>
      <c r="D10" s="1">
        <v>216700</v>
      </c>
    </row>
    <row r="11" spans="1:8" x14ac:dyDescent="0.55000000000000004">
      <c r="A11" s="1">
        <v>4000</v>
      </c>
      <c r="B11" s="1">
        <v>4500</v>
      </c>
      <c r="C11">
        <v>61</v>
      </c>
      <c r="D11" s="1">
        <v>258876</v>
      </c>
    </row>
    <row r="12" spans="1:8" x14ac:dyDescent="0.55000000000000004">
      <c r="A12" s="1">
        <v>4500</v>
      </c>
      <c r="B12" s="1">
        <v>5000</v>
      </c>
      <c r="C12">
        <v>32</v>
      </c>
      <c r="D12" s="1">
        <v>151698</v>
      </c>
    </row>
    <row r="13" spans="1:8" x14ac:dyDescent="0.55000000000000004">
      <c r="A13" s="1">
        <v>5000</v>
      </c>
      <c r="B13" t="s">
        <v>3</v>
      </c>
      <c r="C13">
        <v>218</v>
      </c>
      <c r="D13" s="1">
        <v>4232232</v>
      </c>
    </row>
    <row r="14" spans="1:8" x14ac:dyDescent="0.55000000000000004">
      <c r="A14" s="4" t="s">
        <v>22</v>
      </c>
      <c r="D14" s="1">
        <f>SUM(D5:D13)</f>
        <v>8269353</v>
      </c>
      <c r="F14" s="2" t="s">
        <v>71</v>
      </c>
    </row>
    <row r="15" spans="1:8" x14ac:dyDescent="0.55000000000000004">
      <c r="A15" s="2" t="s">
        <v>13</v>
      </c>
      <c r="D15" s="1">
        <f>SUM(D5:D13)</f>
        <v>8269353</v>
      </c>
      <c r="F15" s="1">
        <v>5540631</v>
      </c>
      <c r="H15" s="1"/>
    </row>
    <row r="16" spans="1:8" x14ac:dyDescent="0.55000000000000004">
      <c r="A16" s="2" t="s">
        <v>14</v>
      </c>
      <c r="D16" s="1">
        <v>16552722</v>
      </c>
    </row>
    <row r="17" spans="1:6" x14ac:dyDescent="0.55000000000000004">
      <c r="A17" s="2" t="s">
        <v>15</v>
      </c>
      <c r="D17" s="3">
        <f>100*D15/D16</f>
        <v>49.957662552418874</v>
      </c>
      <c r="F17" s="3">
        <f>100*F15/D16</f>
        <v>33.472627643960912</v>
      </c>
    </row>
    <row r="20" spans="1:6" ht="18.3" x14ac:dyDescent="0.7">
      <c r="A20" s="11" t="s">
        <v>64</v>
      </c>
    </row>
    <row r="22" spans="1:6" x14ac:dyDescent="0.55000000000000004">
      <c r="A22" s="1">
        <v>2000</v>
      </c>
      <c r="B22" s="1">
        <v>2500</v>
      </c>
      <c r="C22">
        <v>276</v>
      </c>
      <c r="D22" s="1">
        <v>614036</v>
      </c>
    </row>
    <row r="23" spans="1:6" x14ac:dyDescent="0.55000000000000004">
      <c r="A23" s="1">
        <v>2500</v>
      </c>
      <c r="B23" s="1">
        <v>3000</v>
      </c>
      <c r="C23">
        <v>155</v>
      </c>
      <c r="D23" s="1">
        <v>418091</v>
      </c>
    </row>
    <row r="24" spans="1:6" x14ac:dyDescent="0.55000000000000004">
      <c r="A24" s="1">
        <v>3000</v>
      </c>
      <c r="B24" s="1">
        <v>3500</v>
      </c>
      <c r="C24">
        <v>82</v>
      </c>
      <c r="D24" s="1">
        <v>263400</v>
      </c>
    </row>
    <row r="25" spans="1:6" x14ac:dyDescent="0.55000000000000004">
      <c r="A25" s="1">
        <v>3500</v>
      </c>
      <c r="B25" s="1">
        <v>4000</v>
      </c>
      <c r="C25">
        <v>58</v>
      </c>
      <c r="D25" s="1">
        <v>216700</v>
      </c>
    </row>
    <row r="26" spans="1:6" x14ac:dyDescent="0.55000000000000004">
      <c r="A26" s="1">
        <v>4000</v>
      </c>
      <c r="B26" s="1">
        <v>4500</v>
      </c>
      <c r="C26">
        <v>61</v>
      </c>
      <c r="D26" s="1">
        <v>258876</v>
      </c>
    </row>
    <row r="27" spans="1:6" x14ac:dyDescent="0.55000000000000004">
      <c r="A27" s="1">
        <v>4500</v>
      </c>
      <c r="B27" s="1">
        <v>5000</v>
      </c>
      <c r="C27">
        <v>32</v>
      </c>
      <c r="D27" s="1">
        <v>151698</v>
      </c>
    </row>
    <row r="28" spans="1:6" x14ac:dyDescent="0.55000000000000004">
      <c r="A28" s="1">
        <v>5000</v>
      </c>
      <c r="B28" t="s">
        <v>3</v>
      </c>
      <c r="C28">
        <v>218</v>
      </c>
      <c r="D28" s="1">
        <v>4232232</v>
      </c>
    </row>
    <row r="29" spans="1:6" x14ac:dyDescent="0.55000000000000004">
      <c r="A29" s="4" t="s">
        <v>68</v>
      </c>
      <c r="D29" s="1">
        <f>SUM(D22:D28)</f>
        <v>6155033</v>
      </c>
    </row>
    <row r="30" spans="1:6" x14ac:dyDescent="0.55000000000000004">
      <c r="A30" s="2" t="s">
        <v>15</v>
      </c>
      <c r="D30" s="12">
        <f>100*D29/D16</f>
        <v>37.184415952856575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93D3E-D80F-423E-BDEC-5E3B3CDBD631}">
  <dimension ref="A2:H40"/>
  <sheetViews>
    <sheetView workbookViewId="0">
      <selection activeCell="A39" sqref="A39:A40"/>
    </sheetView>
  </sheetViews>
  <sheetFormatPr defaultRowHeight="14.4" x14ac:dyDescent="0.55000000000000004"/>
  <cols>
    <col min="4" max="4" width="10.15625" bestFit="1" customWidth="1"/>
    <col min="6" max="6" width="10.15625" bestFit="1" customWidth="1"/>
  </cols>
  <sheetData>
    <row r="2" spans="1:5" x14ac:dyDescent="0.55000000000000004">
      <c r="A2" s="7" t="s">
        <v>0</v>
      </c>
      <c r="B2" s="7" t="s">
        <v>1</v>
      </c>
      <c r="C2" s="7" t="s">
        <v>36</v>
      </c>
      <c r="D2" s="7" t="s">
        <v>4</v>
      </c>
    </row>
    <row r="4" spans="1:5" x14ac:dyDescent="0.55000000000000004">
      <c r="A4" s="10" t="s">
        <v>2</v>
      </c>
      <c r="B4">
        <v>100</v>
      </c>
      <c r="C4">
        <v>51555</v>
      </c>
      <c r="D4" s="1">
        <f>D21-SUM(D5:D18)</f>
        <v>1558268</v>
      </c>
    </row>
    <row r="5" spans="1:5" x14ac:dyDescent="0.55000000000000004">
      <c r="A5">
        <v>100</v>
      </c>
      <c r="B5">
        <v>500</v>
      </c>
      <c r="C5">
        <v>27098</v>
      </c>
      <c r="D5" s="1">
        <v>6410224</v>
      </c>
    </row>
    <row r="6" spans="1:5" x14ac:dyDescent="0.55000000000000004">
      <c r="A6">
        <v>500</v>
      </c>
      <c r="B6" s="1">
        <v>1000</v>
      </c>
      <c r="C6" s="1">
        <v>6156</v>
      </c>
      <c r="D6" s="1">
        <v>4253855</v>
      </c>
      <c r="E6" s="1"/>
    </row>
    <row r="7" spans="1:5" x14ac:dyDescent="0.55000000000000004">
      <c r="A7" s="1">
        <v>1000</v>
      </c>
      <c r="B7" s="1">
        <v>2500</v>
      </c>
      <c r="C7" s="1">
        <v>3342</v>
      </c>
      <c r="D7" s="1">
        <v>4995664</v>
      </c>
      <c r="E7" s="1"/>
    </row>
    <row r="8" spans="1:5" x14ac:dyDescent="0.55000000000000004">
      <c r="A8" s="1">
        <v>2500</v>
      </c>
      <c r="B8" s="1">
        <v>5000</v>
      </c>
      <c r="C8" s="1">
        <v>865</v>
      </c>
      <c r="D8" s="1">
        <v>2959460</v>
      </c>
      <c r="E8" s="1"/>
    </row>
    <row r="9" spans="1:5" x14ac:dyDescent="0.55000000000000004">
      <c r="A9" s="1">
        <v>5000</v>
      </c>
      <c r="B9" s="1">
        <v>10000</v>
      </c>
      <c r="C9" s="1">
        <v>340</v>
      </c>
      <c r="D9" s="1">
        <v>2366431</v>
      </c>
      <c r="E9" s="1"/>
    </row>
    <row r="10" spans="1:5" x14ac:dyDescent="0.55000000000000004">
      <c r="A10" s="1">
        <v>10000</v>
      </c>
      <c r="B10" s="1">
        <v>20000</v>
      </c>
      <c r="C10" s="1">
        <v>146</v>
      </c>
      <c r="D10" s="1">
        <v>2027511</v>
      </c>
      <c r="E10" s="1"/>
    </row>
    <row r="11" spans="1:5" x14ac:dyDescent="0.55000000000000004">
      <c r="A11" s="1">
        <v>20000</v>
      </c>
      <c r="B11" s="1">
        <v>30000</v>
      </c>
      <c r="C11" s="1">
        <v>38</v>
      </c>
      <c r="D11" s="1">
        <v>939938</v>
      </c>
      <c r="E11" s="1"/>
    </row>
    <row r="12" spans="1:5" x14ac:dyDescent="0.55000000000000004">
      <c r="A12" s="1">
        <v>30000</v>
      </c>
      <c r="B12" s="1">
        <v>40000</v>
      </c>
      <c r="C12" s="1">
        <v>20</v>
      </c>
      <c r="D12" s="1">
        <v>683971</v>
      </c>
      <c r="E12" s="1"/>
    </row>
    <row r="13" spans="1:5" x14ac:dyDescent="0.55000000000000004">
      <c r="A13" s="1">
        <v>40000</v>
      </c>
      <c r="B13" s="1">
        <v>50000</v>
      </c>
      <c r="C13" s="1">
        <v>11</v>
      </c>
      <c r="D13" s="1">
        <v>484642</v>
      </c>
      <c r="E13" s="1"/>
    </row>
    <row r="14" spans="1:5" x14ac:dyDescent="0.55000000000000004">
      <c r="A14" s="1">
        <v>50000</v>
      </c>
      <c r="B14" s="1">
        <v>75000</v>
      </c>
      <c r="C14" s="1">
        <v>15</v>
      </c>
      <c r="D14" s="1">
        <v>932190</v>
      </c>
      <c r="E14" s="1"/>
    </row>
    <row r="15" spans="1:5" x14ac:dyDescent="0.55000000000000004">
      <c r="A15" s="1">
        <v>75000</v>
      </c>
      <c r="B15" s="1">
        <v>100000</v>
      </c>
      <c r="C15" s="1">
        <v>9</v>
      </c>
      <c r="D15" s="1">
        <v>798743</v>
      </c>
      <c r="E15" s="1"/>
    </row>
    <row r="16" spans="1:5" x14ac:dyDescent="0.55000000000000004">
      <c r="A16" s="1">
        <v>100000</v>
      </c>
      <c r="B16" s="1">
        <v>250000</v>
      </c>
      <c r="C16" s="1">
        <v>1</v>
      </c>
      <c r="D16" s="1">
        <v>1795192</v>
      </c>
      <c r="E16" s="1"/>
    </row>
    <row r="17" spans="1:8" x14ac:dyDescent="0.55000000000000004">
      <c r="A17" s="1">
        <v>250000</v>
      </c>
      <c r="B17" s="1">
        <v>500000</v>
      </c>
      <c r="C17" s="1">
        <v>3</v>
      </c>
      <c r="D17" s="1">
        <v>551168</v>
      </c>
      <c r="E17" s="1"/>
    </row>
    <row r="18" spans="1:8" x14ac:dyDescent="0.55000000000000004">
      <c r="A18" s="1">
        <v>500000</v>
      </c>
      <c r="B18" t="s">
        <v>3</v>
      </c>
      <c r="D18" s="1">
        <v>4165872</v>
      </c>
      <c r="E18" s="1"/>
    </row>
    <row r="19" spans="1:8" x14ac:dyDescent="0.55000000000000004">
      <c r="A19" s="2" t="s">
        <v>22</v>
      </c>
      <c r="D19" s="1">
        <f>SUM(D7:D18)</f>
        <v>22700782</v>
      </c>
      <c r="E19" s="3"/>
      <c r="F19" s="2" t="s">
        <v>71</v>
      </c>
    </row>
    <row r="20" spans="1:8" x14ac:dyDescent="0.55000000000000004">
      <c r="A20" s="2" t="s">
        <v>23</v>
      </c>
      <c r="D20" s="1">
        <f>D19</f>
        <v>22700782</v>
      </c>
      <c r="F20" s="1">
        <v>17218011</v>
      </c>
      <c r="H20" s="1"/>
    </row>
    <row r="21" spans="1:8" x14ac:dyDescent="0.55000000000000004">
      <c r="A21" s="2" t="s">
        <v>14</v>
      </c>
      <c r="D21" s="1">
        <v>34923129</v>
      </c>
    </row>
    <row r="22" spans="1:8" x14ac:dyDescent="0.55000000000000004">
      <c r="A22" s="2" t="s">
        <v>15</v>
      </c>
      <c r="D22">
        <f>100*D20/D21</f>
        <v>65.002142276541136</v>
      </c>
      <c r="F22" s="3">
        <f>100*F20/D21</f>
        <v>49.302601150085948</v>
      </c>
    </row>
    <row r="25" spans="1:8" ht="18.3" x14ac:dyDescent="0.7">
      <c r="A25" s="11" t="s">
        <v>64</v>
      </c>
    </row>
    <row r="27" spans="1:8" x14ac:dyDescent="0.55000000000000004">
      <c r="A27" s="1">
        <v>2000</v>
      </c>
      <c r="B27" s="1">
        <v>2500</v>
      </c>
      <c r="C27" s="1">
        <v>491</v>
      </c>
      <c r="D27" s="1">
        <v>1092427</v>
      </c>
    </row>
    <row r="28" spans="1:8" x14ac:dyDescent="0.55000000000000004">
      <c r="A28" s="1">
        <v>2500</v>
      </c>
      <c r="B28" s="1">
        <v>5000</v>
      </c>
      <c r="C28" s="1">
        <v>865</v>
      </c>
      <c r="D28" s="1">
        <v>2959460</v>
      </c>
    </row>
    <row r="29" spans="1:8" x14ac:dyDescent="0.55000000000000004">
      <c r="A29" s="1">
        <v>5000</v>
      </c>
      <c r="B29" s="1">
        <v>10000</v>
      </c>
      <c r="C29" s="1">
        <v>340</v>
      </c>
      <c r="D29" s="1">
        <v>2366431</v>
      </c>
    </row>
    <row r="30" spans="1:8" x14ac:dyDescent="0.55000000000000004">
      <c r="A30" s="1">
        <v>10000</v>
      </c>
      <c r="B30" s="1">
        <v>20000</v>
      </c>
      <c r="C30" s="1">
        <v>146</v>
      </c>
      <c r="D30" s="1">
        <v>2027511</v>
      </c>
    </row>
    <row r="31" spans="1:8" x14ac:dyDescent="0.55000000000000004">
      <c r="A31" s="1">
        <v>20000</v>
      </c>
      <c r="B31" s="1">
        <v>30000</v>
      </c>
      <c r="C31" s="1">
        <v>38</v>
      </c>
      <c r="D31" s="1">
        <v>939938</v>
      </c>
    </row>
    <row r="32" spans="1:8" x14ac:dyDescent="0.55000000000000004">
      <c r="A32" s="1">
        <v>30000</v>
      </c>
      <c r="B32" s="1">
        <v>40000</v>
      </c>
      <c r="C32" s="1">
        <v>20</v>
      </c>
      <c r="D32" s="1">
        <v>683971</v>
      </c>
    </row>
    <row r="33" spans="1:6" x14ac:dyDescent="0.55000000000000004">
      <c r="A33" s="1">
        <v>40000</v>
      </c>
      <c r="B33" s="1">
        <v>50000</v>
      </c>
      <c r="C33" s="1">
        <v>11</v>
      </c>
      <c r="D33" s="1">
        <v>484642</v>
      </c>
    </row>
    <row r="34" spans="1:6" x14ac:dyDescent="0.55000000000000004">
      <c r="A34" s="1">
        <v>50000</v>
      </c>
      <c r="B34" s="1">
        <v>75000</v>
      </c>
      <c r="C34" s="1">
        <v>15</v>
      </c>
      <c r="D34" s="1">
        <v>932190</v>
      </c>
    </row>
    <row r="35" spans="1:6" x14ac:dyDescent="0.55000000000000004">
      <c r="A35" s="1">
        <v>75000</v>
      </c>
      <c r="B35" s="1">
        <v>100000</v>
      </c>
      <c r="C35" s="1">
        <v>9</v>
      </c>
      <c r="D35" s="1">
        <v>798743</v>
      </c>
    </row>
    <row r="36" spans="1:6" x14ac:dyDescent="0.55000000000000004">
      <c r="A36" s="1">
        <v>100000</v>
      </c>
      <c r="B36" s="1">
        <v>250000</v>
      </c>
      <c r="C36" s="1">
        <v>1</v>
      </c>
      <c r="D36" s="1">
        <v>1795192</v>
      </c>
    </row>
    <row r="37" spans="1:6" x14ac:dyDescent="0.55000000000000004">
      <c r="A37" s="1">
        <v>250000</v>
      </c>
      <c r="B37" s="1">
        <v>500000</v>
      </c>
      <c r="C37" s="1">
        <v>3</v>
      </c>
      <c r="D37" s="1">
        <v>551168</v>
      </c>
    </row>
    <row r="38" spans="1:6" x14ac:dyDescent="0.55000000000000004">
      <c r="A38" s="1">
        <v>500000</v>
      </c>
      <c r="B38" t="s">
        <v>3</v>
      </c>
      <c r="D38" s="1">
        <v>4165872</v>
      </c>
      <c r="F38" s="7" t="s">
        <v>52</v>
      </c>
    </row>
    <row r="39" spans="1:6" x14ac:dyDescent="0.55000000000000004">
      <c r="A39" s="2" t="s">
        <v>68</v>
      </c>
      <c r="D39" s="1">
        <f>SUM(D27:D38)</f>
        <v>18797545</v>
      </c>
      <c r="F39" s="13">
        <f>100*D39/D21</f>
        <v>53.825489119259615</v>
      </c>
    </row>
    <row r="40" spans="1:6" x14ac:dyDescent="0.55000000000000004">
      <c r="A40" s="2" t="s">
        <v>72</v>
      </c>
      <c r="D40" s="1">
        <f>SUM(D29:D38)</f>
        <v>14745658</v>
      </c>
      <c r="F40" s="13">
        <f>100*D40/D21</f>
        <v>42.223186816965914</v>
      </c>
    </row>
  </sheetData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F5240-BC93-4757-9D88-C679B5B701EC}">
  <dimension ref="A3:M42"/>
  <sheetViews>
    <sheetView workbookViewId="0">
      <selection activeCell="H31" sqref="H31"/>
    </sheetView>
  </sheetViews>
  <sheetFormatPr defaultRowHeight="14.4" x14ac:dyDescent="0.55000000000000004"/>
  <cols>
    <col min="4" max="4" width="15.15625" customWidth="1"/>
    <col min="6" max="6" width="10.15625" bestFit="1" customWidth="1"/>
    <col min="10" max="10" width="11.41796875" style="10" customWidth="1"/>
    <col min="13" max="13" width="10.83984375" customWidth="1"/>
  </cols>
  <sheetData>
    <row r="3" spans="1:13" x14ac:dyDescent="0.55000000000000004">
      <c r="A3" s="7" t="s">
        <v>0</v>
      </c>
      <c r="B3" s="7" t="s">
        <v>1</v>
      </c>
      <c r="C3" s="7" t="s">
        <v>36</v>
      </c>
      <c r="D3" s="7" t="s">
        <v>4</v>
      </c>
    </row>
    <row r="5" spans="1:13" x14ac:dyDescent="0.55000000000000004">
      <c r="A5">
        <v>1</v>
      </c>
      <c r="B5">
        <v>100</v>
      </c>
      <c r="C5">
        <v>55650</v>
      </c>
      <c r="D5" s="8">
        <v>1471154</v>
      </c>
    </row>
    <row r="6" spans="1:13" x14ac:dyDescent="0.55000000000000004">
      <c r="A6">
        <v>100</v>
      </c>
      <c r="B6">
        <v>500</v>
      </c>
      <c r="C6">
        <v>28055</v>
      </c>
      <c r="D6" s="8">
        <v>6889077</v>
      </c>
    </row>
    <row r="7" spans="1:13" x14ac:dyDescent="0.55000000000000004">
      <c r="A7">
        <v>500</v>
      </c>
      <c r="B7" s="1">
        <v>1000</v>
      </c>
      <c r="C7">
        <v>7473</v>
      </c>
      <c r="D7" s="8">
        <v>5190166</v>
      </c>
    </row>
    <row r="8" spans="1:13" x14ac:dyDescent="0.55000000000000004">
      <c r="A8" s="1">
        <v>1000</v>
      </c>
      <c r="B8" s="1">
        <v>2500</v>
      </c>
      <c r="C8">
        <v>4232</v>
      </c>
      <c r="D8" s="8">
        <v>6366285</v>
      </c>
    </row>
    <row r="9" spans="1:13" x14ac:dyDescent="0.55000000000000004">
      <c r="A9" s="1">
        <v>2500</v>
      </c>
      <c r="B9" s="1">
        <v>5000</v>
      </c>
      <c r="C9">
        <v>1201</v>
      </c>
      <c r="D9" s="8">
        <v>4129872</v>
      </c>
    </row>
    <row r="10" spans="1:13" x14ac:dyDescent="0.55000000000000004">
      <c r="A10" s="1">
        <v>5000</v>
      </c>
      <c r="B10" s="1">
        <v>10000</v>
      </c>
      <c r="C10">
        <v>539</v>
      </c>
      <c r="D10" s="8">
        <v>3764208</v>
      </c>
    </row>
    <row r="11" spans="1:13" x14ac:dyDescent="0.55000000000000004">
      <c r="A11" s="1">
        <v>10000</v>
      </c>
      <c r="B11" s="1">
        <v>20000</v>
      </c>
      <c r="C11">
        <v>248</v>
      </c>
      <c r="D11" s="8">
        <v>3409846</v>
      </c>
    </row>
    <row r="12" spans="1:13" x14ac:dyDescent="0.55000000000000004">
      <c r="A12" s="1">
        <v>20000</v>
      </c>
      <c r="B12" s="1">
        <v>30000</v>
      </c>
      <c r="C12">
        <v>65</v>
      </c>
      <c r="D12" s="8">
        <v>1531569</v>
      </c>
    </row>
    <row r="13" spans="1:13" x14ac:dyDescent="0.55000000000000004">
      <c r="A13" s="1">
        <v>30000</v>
      </c>
      <c r="B13" s="1">
        <v>40000</v>
      </c>
      <c r="C13">
        <v>30</v>
      </c>
      <c r="D13" s="8">
        <v>1015827</v>
      </c>
    </row>
    <row r="14" spans="1:13" x14ac:dyDescent="0.55000000000000004">
      <c r="A14" s="1">
        <v>40000</v>
      </c>
      <c r="B14" s="1">
        <v>50000</v>
      </c>
      <c r="C14">
        <v>19</v>
      </c>
      <c r="D14" s="8">
        <v>858422</v>
      </c>
      <c r="M14" s="8"/>
    </row>
    <row r="15" spans="1:13" x14ac:dyDescent="0.55000000000000004">
      <c r="A15" s="1">
        <v>50000</v>
      </c>
      <c r="B15" s="1">
        <v>75000</v>
      </c>
      <c r="C15">
        <v>21</v>
      </c>
      <c r="D15" s="8">
        <v>1242173</v>
      </c>
      <c r="M15" s="8"/>
    </row>
    <row r="16" spans="1:13" x14ac:dyDescent="0.55000000000000004">
      <c r="A16" s="1">
        <v>75000</v>
      </c>
      <c r="B16" s="1">
        <v>100000</v>
      </c>
      <c r="C16">
        <v>13</v>
      </c>
      <c r="D16" s="8">
        <v>1114396</v>
      </c>
      <c r="M16" s="8"/>
    </row>
    <row r="17" spans="1:13" x14ac:dyDescent="0.55000000000000004">
      <c r="A17" s="1">
        <v>100000</v>
      </c>
      <c r="B17" s="1">
        <v>250000</v>
      </c>
      <c r="C17">
        <v>24</v>
      </c>
      <c r="D17" s="8">
        <v>3735336</v>
      </c>
      <c r="M17" s="8"/>
    </row>
    <row r="18" spans="1:13" x14ac:dyDescent="0.55000000000000004">
      <c r="A18" s="1">
        <v>250000</v>
      </c>
      <c r="B18" s="1">
        <v>500000</v>
      </c>
      <c r="C18">
        <v>6</v>
      </c>
      <c r="D18" s="8">
        <v>1971794</v>
      </c>
      <c r="M18" s="8"/>
    </row>
    <row r="19" spans="1:13" x14ac:dyDescent="0.55000000000000004">
      <c r="A19" s="1">
        <v>500000</v>
      </c>
      <c r="B19" t="s">
        <v>3</v>
      </c>
      <c r="C19">
        <v>4</v>
      </c>
      <c r="D19" s="8">
        <v>5535113</v>
      </c>
      <c r="M19" s="8"/>
    </row>
    <row r="20" spans="1:13" x14ac:dyDescent="0.55000000000000004">
      <c r="A20" s="2" t="s">
        <v>22</v>
      </c>
      <c r="D20" s="1">
        <f>SUM(D8:D19)</f>
        <v>34674841</v>
      </c>
      <c r="F20" s="2" t="s">
        <v>71</v>
      </c>
      <c r="M20" s="8"/>
    </row>
    <row r="21" spans="1:13" x14ac:dyDescent="0.55000000000000004">
      <c r="A21" s="2" t="s">
        <v>23</v>
      </c>
      <c r="D21" s="1">
        <f>D20</f>
        <v>34674841</v>
      </c>
      <c r="F21" s="1">
        <f>D22-D8-D7</f>
        <v>36668787</v>
      </c>
      <c r="M21" s="8"/>
    </row>
    <row r="22" spans="1:13" x14ac:dyDescent="0.55000000000000004">
      <c r="A22" s="2" t="s">
        <v>14</v>
      </c>
      <c r="D22" s="1">
        <v>48225238</v>
      </c>
      <c r="M22" s="8"/>
    </row>
    <row r="23" spans="1:13" x14ac:dyDescent="0.55000000000000004">
      <c r="A23" s="2" t="s">
        <v>15</v>
      </c>
      <c r="D23" s="3">
        <f>100*D21/D22</f>
        <v>71.901855621738974</v>
      </c>
      <c r="F23" s="3">
        <f>100*F21/D22</f>
        <v>76.036508103910236</v>
      </c>
      <c r="M23" s="8"/>
    </row>
    <row r="24" spans="1:13" x14ac:dyDescent="0.55000000000000004">
      <c r="J24" s="8"/>
      <c r="M24" s="8"/>
    </row>
    <row r="25" spans="1:13" x14ac:dyDescent="0.55000000000000004">
      <c r="M25" s="8"/>
    </row>
    <row r="26" spans="1:13" x14ac:dyDescent="0.55000000000000004">
      <c r="M26" s="8"/>
    </row>
    <row r="27" spans="1:13" ht="18.3" x14ac:dyDescent="0.7">
      <c r="A27" s="11" t="s">
        <v>64</v>
      </c>
      <c r="M27" s="8"/>
    </row>
    <row r="28" spans="1:13" x14ac:dyDescent="0.55000000000000004">
      <c r="M28" s="8"/>
    </row>
    <row r="29" spans="1:13" x14ac:dyDescent="0.55000000000000004">
      <c r="A29" s="1">
        <v>2000</v>
      </c>
      <c r="B29" s="1">
        <v>2500</v>
      </c>
      <c r="C29">
        <v>651</v>
      </c>
      <c r="D29" s="8">
        <v>1449152</v>
      </c>
      <c r="M29" s="8"/>
    </row>
    <row r="30" spans="1:13" x14ac:dyDescent="0.55000000000000004">
      <c r="A30" s="1">
        <v>2500</v>
      </c>
      <c r="B30" s="1">
        <v>5000</v>
      </c>
      <c r="C30">
        <v>1201</v>
      </c>
      <c r="D30" s="8">
        <v>4129872</v>
      </c>
    </row>
    <row r="31" spans="1:13" x14ac:dyDescent="0.55000000000000004">
      <c r="A31" s="1">
        <v>5000</v>
      </c>
      <c r="B31" s="1">
        <v>10000</v>
      </c>
      <c r="C31">
        <v>539</v>
      </c>
      <c r="D31" s="8">
        <v>3764208</v>
      </c>
    </row>
    <row r="32" spans="1:13" x14ac:dyDescent="0.55000000000000004">
      <c r="A32" s="1">
        <v>10000</v>
      </c>
      <c r="B32" s="1">
        <v>20000</v>
      </c>
      <c r="C32">
        <v>248</v>
      </c>
      <c r="D32" s="8">
        <v>3409846</v>
      </c>
      <c r="M32" s="1"/>
    </row>
    <row r="33" spans="1:6" x14ac:dyDescent="0.55000000000000004">
      <c r="A33" s="1">
        <v>20000</v>
      </c>
      <c r="B33" s="1">
        <v>30000</v>
      </c>
      <c r="C33">
        <v>65</v>
      </c>
      <c r="D33" s="8">
        <v>1531569</v>
      </c>
    </row>
    <row r="34" spans="1:6" x14ac:dyDescent="0.55000000000000004">
      <c r="A34" s="1">
        <v>30000</v>
      </c>
      <c r="B34" s="1">
        <v>40000</v>
      </c>
      <c r="C34">
        <v>30</v>
      </c>
      <c r="D34" s="8">
        <v>1015827</v>
      </c>
    </row>
    <row r="35" spans="1:6" x14ac:dyDescent="0.55000000000000004">
      <c r="A35" s="1">
        <v>40000</v>
      </c>
      <c r="B35" s="1">
        <v>50000</v>
      </c>
      <c r="C35">
        <v>19</v>
      </c>
      <c r="D35" s="8">
        <v>858422</v>
      </c>
    </row>
    <row r="36" spans="1:6" x14ac:dyDescent="0.55000000000000004">
      <c r="A36" s="1">
        <v>50000</v>
      </c>
      <c r="B36" s="1">
        <v>75000</v>
      </c>
      <c r="C36">
        <v>21</v>
      </c>
      <c r="D36" s="8">
        <v>1242173</v>
      </c>
    </row>
    <row r="37" spans="1:6" x14ac:dyDescent="0.55000000000000004">
      <c r="A37" s="1">
        <v>75000</v>
      </c>
      <c r="B37" s="1">
        <v>100000</v>
      </c>
      <c r="C37">
        <v>13</v>
      </c>
      <c r="D37" s="8">
        <v>1114396</v>
      </c>
    </row>
    <row r="38" spans="1:6" x14ac:dyDescent="0.55000000000000004">
      <c r="A38" s="1">
        <v>100000</v>
      </c>
      <c r="B38" s="1">
        <v>250000</v>
      </c>
      <c r="C38">
        <v>24</v>
      </c>
      <c r="D38" s="8">
        <v>3735336</v>
      </c>
    </row>
    <row r="39" spans="1:6" x14ac:dyDescent="0.55000000000000004">
      <c r="A39" s="1">
        <v>250000</v>
      </c>
      <c r="B39" s="1">
        <v>500000</v>
      </c>
      <c r="C39">
        <v>6</v>
      </c>
      <c r="D39" s="8">
        <v>1971794</v>
      </c>
    </row>
    <row r="40" spans="1:6" x14ac:dyDescent="0.55000000000000004">
      <c r="A40" s="1">
        <v>500000</v>
      </c>
      <c r="B40" t="s">
        <v>3</v>
      </c>
      <c r="C40">
        <v>4</v>
      </c>
      <c r="D40" s="8">
        <v>5535113</v>
      </c>
      <c r="F40" s="7" t="s">
        <v>52</v>
      </c>
    </row>
    <row r="41" spans="1:6" x14ac:dyDescent="0.55000000000000004">
      <c r="A41" s="2" t="s">
        <v>68</v>
      </c>
      <c r="D41" s="1">
        <f>SUM(D29:D40)</f>
        <v>29757708</v>
      </c>
      <c r="F41" s="13">
        <f>100*D41/D22</f>
        <v>61.705673697245416</v>
      </c>
    </row>
    <row r="42" spans="1:6" x14ac:dyDescent="0.55000000000000004">
      <c r="A42" s="2" t="s">
        <v>72</v>
      </c>
      <c r="D42" s="1">
        <f>SUM(D31:D40)</f>
        <v>24178684</v>
      </c>
      <c r="F42" s="13">
        <f>100*D42/D22</f>
        <v>50.13699258467112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27E96D-7646-4E0C-9512-BAAE6F02E129}">
  <dimension ref="A1:U5004"/>
  <sheetViews>
    <sheetView tabSelected="1" workbookViewId="0">
      <selection activeCell="U41" sqref="U41"/>
    </sheetView>
  </sheetViews>
  <sheetFormatPr defaultRowHeight="14.4" x14ac:dyDescent="0.55000000000000004"/>
  <cols>
    <col min="4" max="4" width="12.7890625" customWidth="1"/>
    <col min="10" max="10" width="13.20703125" customWidth="1"/>
  </cols>
  <sheetData>
    <row r="1" spans="1:15" x14ac:dyDescent="0.55000000000000004">
      <c r="A1">
        <v>3000</v>
      </c>
      <c r="B1">
        <v>5000</v>
      </c>
      <c r="H1" s="7" t="s">
        <v>77</v>
      </c>
      <c r="L1" s="7" t="s">
        <v>84</v>
      </c>
    </row>
    <row r="2" spans="1:15" x14ac:dyDescent="0.55000000000000004">
      <c r="H2" s="7" t="s">
        <v>83</v>
      </c>
      <c r="L2" s="7" t="s">
        <v>85</v>
      </c>
    </row>
    <row r="3" spans="1:15" x14ac:dyDescent="0.55000000000000004">
      <c r="A3" s="7" t="s">
        <v>0</v>
      </c>
      <c r="B3" s="7" t="s">
        <v>1</v>
      </c>
      <c r="C3" s="7" t="s">
        <v>36</v>
      </c>
      <c r="D3" s="7" t="s">
        <v>4</v>
      </c>
      <c r="H3" s="2" t="s">
        <v>4</v>
      </c>
      <c r="I3" s="7" t="s">
        <v>36</v>
      </c>
      <c r="J3" s="7" t="s">
        <v>4</v>
      </c>
      <c r="L3" s="7" t="s">
        <v>78</v>
      </c>
      <c r="M3" s="7" t="s">
        <v>36</v>
      </c>
      <c r="N3" s="7" t="s">
        <v>4</v>
      </c>
      <c r="O3" s="7" t="s">
        <v>79</v>
      </c>
    </row>
    <row r="4" spans="1:15" x14ac:dyDescent="0.55000000000000004">
      <c r="A4" s="19">
        <v>0</v>
      </c>
      <c r="B4" s="19">
        <v>1</v>
      </c>
      <c r="C4" s="19">
        <v>0</v>
      </c>
      <c r="D4" s="19">
        <v>0</v>
      </c>
      <c r="H4" s="19" t="s">
        <v>82</v>
      </c>
      <c r="I4" s="10">
        <v>5</v>
      </c>
      <c r="J4" s="8">
        <v>1000</v>
      </c>
      <c r="L4" s="7"/>
      <c r="M4" s="7"/>
      <c r="N4" s="7"/>
      <c r="O4" s="7"/>
    </row>
    <row r="5" spans="1:15" x14ac:dyDescent="0.55000000000000004">
      <c r="A5">
        <v>500</v>
      </c>
      <c r="B5" s="1">
        <v>3000</v>
      </c>
      <c r="C5">
        <v>843</v>
      </c>
      <c r="D5" s="1">
        <v>1610533</v>
      </c>
      <c r="H5" s="17" t="str">
        <f t="shared" ref="H5:H11" si="0">A5/100&amp;"-"&amp;(B5/100-1)</f>
        <v>5-29</v>
      </c>
      <c r="I5" s="10">
        <f>C5</f>
        <v>843</v>
      </c>
      <c r="J5" s="8">
        <f>D5</f>
        <v>1610533</v>
      </c>
      <c r="L5">
        <v>0</v>
      </c>
      <c r="M5">
        <v>0.23897599999999999</v>
      </c>
      <c r="N5">
        <v>2.8719359999999998</v>
      </c>
    </row>
    <row r="6" spans="1:15" x14ac:dyDescent="0.55000000000000004">
      <c r="A6" s="1">
        <v>3000</v>
      </c>
      <c r="B6" s="1">
        <v>5000</v>
      </c>
      <c r="C6">
        <v>904</v>
      </c>
      <c r="D6" s="1">
        <v>3596828</v>
      </c>
      <c r="H6" s="17" t="str">
        <f t="shared" si="0"/>
        <v>30-49</v>
      </c>
      <c r="I6" s="10">
        <f t="shared" ref="I6:I11" si="1">C6</f>
        <v>904</v>
      </c>
      <c r="J6" s="8">
        <f t="shared" ref="J6:J11" si="2">D6</f>
        <v>3596828</v>
      </c>
      <c r="L6">
        <v>1</v>
      </c>
      <c r="M6">
        <v>0.34647600000000001</v>
      </c>
      <c r="N6">
        <v>9.3123550000000002</v>
      </c>
      <c r="O6">
        <f t="shared" ref="O6:O69" si="3">N6/M6</f>
        <v>26.877345039771875</v>
      </c>
    </row>
    <row r="7" spans="1:15" x14ac:dyDescent="0.55000000000000004">
      <c r="A7" s="1">
        <v>5000</v>
      </c>
      <c r="B7" s="1">
        <v>10000</v>
      </c>
      <c r="C7">
        <v>1296</v>
      </c>
      <c r="D7" s="1">
        <v>9213576</v>
      </c>
      <c r="H7" s="17" t="str">
        <f t="shared" si="0"/>
        <v>50-99</v>
      </c>
      <c r="I7" s="10">
        <f t="shared" si="1"/>
        <v>1296</v>
      </c>
      <c r="J7" s="8">
        <f t="shared" si="2"/>
        <v>9213576</v>
      </c>
      <c r="L7">
        <v>2</v>
      </c>
      <c r="M7">
        <v>0.62495000000000001</v>
      </c>
      <c r="N7">
        <v>41.439951000000001</v>
      </c>
      <c r="O7">
        <f t="shared" si="3"/>
        <v>66.309226338107052</v>
      </c>
    </row>
    <row r="8" spans="1:15" x14ac:dyDescent="0.55000000000000004">
      <c r="A8" s="1">
        <v>10000</v>
      </c>
      <c r="B8" s="1">
        <v>20000</v>
      </c>
      <c r="C8">
        <v>798</v>
      </c>
      <c r="D8" s="1">
        <v>11150064</v>
      </c>
      <c r="H8" s="17" t="str">
        <f t="shared" si="0"/>
        <v>100-199</v>
      </c>
      <c r="I8" s="10">
        <f t="shared" si="1"/>
        <v>798</v>
      </c>
      <c r="J8" s="8">
        <f t="shared" si="2"/>
        <v>11150064</v>
      </c>
      <c r="L8">
        <v>3</v>
      </c>
      <c r="M8">
        <v>1.25736</v>
      </c>
      <c r="N8">
        <v>197.524631</v>
      </c>
      <c r="O8">
        <f t="shared" si="3"/>
        <v>157.09473102373227</v>
      </c>
    </row>
    <row r="9" spans="1:15" x14ac:dyDescent="0.55000000000000004">
      <c r="A9" s="1">
        <v>20000</v>
      </c>
      <c r="B9" s="1">
        <v>50000</v>
      </c>
      <c r="C9">
        <v>474</v>
      </c>
      <c r="D9" s="1">
        <v>14828309</v>
      </c>
      <c r="H9" s="17" t="str">
        <f t="shared" si="0"/>
        <v>200-499</v>
      </c>
      <c r="I9" s="10">
        <f t="shared" si="1"/>
        <v>474</v>
      </c>
      <c r="J9" s="8">
        <f t="shared" si="2"/>
        <v>14828309</v>
      </c>
      <c r="L9">
        <v>4</v>
      </c>
      <c r="M9">
        <v>2.5322369999999998</v>
      </c>
      <c r="N9">
        <v>748.85112700000002</v>
      </c>
      <c r="O9">
        <f t="shared" si="3"/>
        <v>295.72710887645985</v>
      </c>
    </row>
    <row r="10" spans="1:15" x14ac:dyDescent="0.55000000000000004">
      <c r="A10" s="1">
        <v>50000</v>
      </c>
      <c r="B10" s="1">
        <v>100000</v>
      </c>
      <c r="C10">
        <v>156</v>
      </c>
      <c r="D10" s="1">
        <v>10989803</v>
      </c>
      <c r="H10" s="17" t="str">
        <f t="shared" si="0"/>
        <v>500-999</v>
      </c>
      <c r="I10" s="10">
        <f t="shared" si="1"/>
        <v>156</v>
      </c>
      <c r="J10" s="8">
        <f t="shared" si="2"/>
        <v>10989803</v>
      </c>
      <c r="L10">
        <v>5</v>
      </c>
      <c r="M10">
        <v>5.9030449999999997</v>
      </c>
      <c r="N10">
        <v>5992.7125669999996</v>
      </c>
      <c r="O10">
        <f t="shared" si="3"/>
        <v>1015.1900530997137</v>
      </c>
    </row>
    <row r="11" spans="1:15" x14ac:dyDescent="0.55000000000000004">
      <c r="A11" s="1">
        <v>100000</v>
      </c>
      <c r="B11" s="1">
        <v>500000</v>
      </c>
      <c r="C11">
        <v>123</v>
      </c>
      <c r="D11" s="1">
        <v>24425829</v>
      </c>
      <c r="H11" s="17" t="str">
        <f t="shared" si="0"/>
        <v>1000-4999</v>
      </c>
      <c r="I11" s="10">
        <f t="shared" si="1"/>
        <v>123</v>
      </c>
      <c r="J11" s="8">
        <f t="shared" si="2"/>
        <v>24425829</v>
      </c>
      <c r="L11">
        <v>6</v>
      </c>
      <c r="M11">
        <v>8.8718769999999996</v>
      </c>
      <c r="N11">
        <v>10413.059632</v>
      </c>
      <c r="O11">
        <f t="shared" si="3"/>
        <v>1173.7155093561375</v>
      </c>
    </row>
    <row r="12" spans="1:15" x14ac:dyDescent="0.55000000000000004">
      <c r="A12" s="1">
        <v>500000</v>
      </c>
      <c r="B12" t="s">
        <v>3</v>
      </c>
      <c r="C12">
        <v>25</v>
      </c>
      <c r="D12" s="1">
        <v>24162753</v>
      </c>
      <c r="L12">
        <v>7</v>
      </c>
      <c r="M12">
        <v>11.847137999999999</v>
      </c>
      <c r="N12">
        <v>14934.879360999999</v>
      </c>
      <c r="O12">
        <f t="shared" si="3"/>
        <v>1260.6318387613953</v>
      </c>
    </row>
    <row r="13" spans="1:15" x14ac:dyDescent="0.55000000000000004">
      <c r="L13">
        <v>8</v>
      </c>
      <c r="M13">
        <v>14.774727</v>
      </c>
      <c r="N13">
        <v>19471.782464</v>
      </c>
      <c r="O13">
        <f t="shared" si="3"/>
        <v>1317.9114892613582</v>
      </c>
    </row>
    <row r="14" spans="1:15" x14ac:dyDescent="0.55000000000000004">
      <c r="L14">
        <v>9</v>
      </c>
      <c r="M14">
        <v>17.645686000000001</v>
      </c>
      <c r="N14">
        <v>24034.586984000001</v>
      </c>
      <c r="O14">
        <f t="shared" si="3"/>
        <v>1362.065888739038</v>
      </c>
    </row>
    <row r="15" spans="1:15" x14ac:dyDescent="0.55000000000000004">
      <c r="L15">
        <v>10</v>
      </c>
      <c r="M15">
        <v>20.449172999999998</v>
      </c>
      <c r="N15">
        <v>28629.745702</v>
      </c>
      <c r="O15">
        <f t="shared" si="3"/>
        <v>1400.0441828136522</v>
      </c>
    </row>
    <row r="16" spans="1:15" x14ac:dyDescent="0.55000000000000004">
      <c r="L16">
        <v>11</v>
      </c>
      <c r="M16">
        <v>23.174406000000001</v>
      </c>
      <c r="N16">
        <v>33263.308091999999</v>
      </c>
      <c r="O16">
        <f t="shared" si="3"/>
        <v>1435.3467395021903</v>
      </c>
    </row>
    <row r="17" spans="12:21" x14ac:dyDescent="0.55000000000000004">
      <c r="L17">
        <v>12</v>
      </c>
      <c r="M17">
        <v>25.810964999999999</v>
      </c>
      <c r="N17">
        <v>37941.509763000002</v>
      </c>
      <c r="O17">
        <f t="shared" si="3"/>
        <v>1469.9764136288591</v>
      </c>
    </row>
    <row r="18" spans="12:21" x14ac:dyDescent="0.55000000000000004">
      <c r="L18">
        <v>13</v>
      </c>
      <c r="M18">
        <v>28.348756999999999</v>
      </c>
      <c r="N18">
        <v>42670.628771999996</v>
      </c>
      <c r="O18">
        <f t="shared" si="3"/>
        <v>1505.2028126665307</v>
      </c>
    </row>
    <row r="19" spans="12:21" x14ac:dyDescent="0.55000000000000004">
      <c r="L19">
        <v>14</v>
      </c>
      <c r="M19">
        <v>30.778071000000001</v>
      </c>
      <c r="N19">
        <v>47457.013615000003</v>
      </c>
      <c r="O19">
        <f t="shared" si="3"/>
        <v>1541.9099401973567</v>
      </c>
    </row>
    <row r="20" spans="12:21" x14ac:dyDescent="0.55000000000000004">
      <c r="L20">
        <v>15</v>
      </c>
      <c r="M20">
        <v>33.089607999999998</v>
      </c>
      <c r="N20">
        <v>52307.090301999997</v>
      </c>
      <c r="O20">
        <f t="shared" si="3"/>
        <v>1580.7709266909417</v>
      </c>
    </row>
    <row r="21" spans="12:21" x14ac:dyDescent="0.55000000000000004">
      <c r="L21">
        <v>16</v>
      </c>
      <c r="M21">
        <v>35.274521</v>
      </c>
      <c r="N21">
        <v>57227.371078999997</v>
      </c>
      <c r="O21">
        <f t="shared" si="3"/>
        <v>1622.3429675770792</v>
      </c>
    </row>
    <row r="22" spans="12:21" x14ac:dyDescent="0.55000000000000004">
      <c r="L22">
        <v>17</v>
      </c>
      <c r="M22">
        <v>37.324444</v>
      </c>
      <c r="N22">
        <v>62224.463256000003</v>
      </c>
      <c r="O22">
        <f t="shared" si="3"/>
        <v>1667.1236484058545</v>
      </c>
    </row>
    <row r="23" spans="12:21" x14ac:dyDescent="0.55000000000000004">
      <c r="L23">
        <v>18</v>
      </c>
      <c r="M23">
        <v>39.231532000000001</v>
      </c>
      <c r="N23">
        <v>67305.078146999993</v>
      </c>
      <c r="O23">
        <f t="shared" si="3"/>
        <v>1715.5862826616099</v>
      </c>
      <c r="T23" s="2" t="s">
        <v>81</v>
      </c>
    </row>
    <row r="24" spans="12:21" x14ac:dyDescent="0.55000000000000004">
      <c r="L24">
        <v>19</v>
      </c>
      <c r="M24">
        <v>40.988480000000003</v>
      </c>
      <c r="N24">
        <v>72476.040150000001</v>
      </c>
      <c r="O24">
        <f t="shared" si="3"/>
        <v>1768.2051188529069</v>
      </c>
      <c r="T24" s="7" t="s">
        <v>36</v>
      </c>
      <c r="U24" s="7" t="s">
        <v>4</v>
      </c>
    </row>
    <row r="25" spans="12:21" x14ac:dyDescent="0.55000000000000004">
      <c r="L25">
        <v>20</v>
      </c>
      <c r="M25">
        <v>42.588563000000001</v>
      </c>
      <c r="N25">
        <v>77744.295983000004</v>
      </c>
      <c r="O25">
        <f t="shared" si="3"/>
        <v>1825.4735662952517</v>
      </c>
      <c r="T25" s="18">
        <f>SUM(M25:M34)</f>
        <v>469.48757000000001</v>
      </c>
      <c r="U25" s="1">
        <f>SUM(N25:N34)</f>
        <v>1034183.7301159999</v>
      </c>
    </row>
    <row r="26" spans="12:21" x14ac:dyDescent="0.55000000000000004">
      <c r="L26">
        <v>21</v>
      </c>
      <c r="M26">
        <v>44.025649999999999</v>
      </c>
      <c r="N26">
        <v>83116.924081000005</v>
      </c>
      <c r="O26">
        <f t="shared" si="3"/>
        <v>1887.9204300447582</v>
      </c>
    </row>
    <row r="27" spans="12:21" x14ac:dyDescent="0.55000000000000004">
      <c r="L27">
        <v>22</v>
      </c>
      <c r="M27">
        <v>45.294238999999997</v>
      </c>
      <c r="N27">
        <v>88601.144167000006</v>
      </c>
      <c r="O27">
        <f t="shared" si="3"/>
        <v>1956.1239160459238</v>
      </c>
    </row>
    <row r="28" spans="12:21" x14ac:dyDescent="0.55000000000000004">
      <c r="L28">
        <v>23</v>
      </c>
      <c r="M28">
        <v>46.389468999999998</v>
      </c>
      <c r="N28">
        <v>94204.327028</v>
      </c>
      <c r="O28">
        <f t="shared" si="3"/>
        <v>2030.7265648589339</v>
      </c>
      <c r="Q28" s="2" t="s">
        <v>80</v>
      </c>
    </row>
    <row r="29" spans="12:21" x14ac:dyDescent="0.55000000000000004">
      <c r="L29">
        <v>24</v>
      </c>
      <c r="M29">
        <v>47.307144000000001</v>
      </c>
      <c r="N29">
        <v>99934.004274000006</v>
      </c>
      <c r="O29">
        <f t="shared" si="3"/>
        <v>2112.4505904224529</v>
      </c>
      <c r="Q29" s="7" t="s">
        <v>36</v>
      </c>
      <c r="R29" s="7" t="s">
        <v>4</v>
      </c>
    </row>
    <row r="30" spans="12:21" x14ac:dyDescent="0.55000000000000004">
      <c r="L30">
        <v>25</v>
      </c>
      <c r="M30">
        <v>48.043745000000001</v>
      </c>
      <c r="N30">
        <v>105797.880985</v>
      </c>
      <c r="O30">
        <f t="shared" si="3"/>
        <v>2202.1156132811875</v>
      </c>
      <c r="Q30" s="18">
        <f>SUM(M30:M34)</f>
        <v>243.88250500000001</v>
      </c>
      <c r="R30" s="1">
        <f>SUM(N30:N34)</f>
        <v>590583.034583</v>
      </c>
    </row>
    <row r="31" spans="12:21" x14ac:dyDescent="0.55000000000000004">
      <c r="L31">
        <v>26</v>
      </c>
      <c r="M31">
        <v>48.596454000000001</v>
      </c>
      <c r="N31">
        <v>111803.82758700001</v>
      </c>
      <c r="O31">
        <f t="shared" si="3"/>
        <v>2300.6581424027358</v>
      </c>
    </row>
    <row r="32" spans="12:21" x14ac:dyDescent="0.55000000000000004">
      <c r="L32">
        <v>27</v>
      </c>
      <c r="M32">
        <v>48.963137000000003</v>
      </c>
      <c r="N32">
        <v>117959.954528</v>
      </c>
      <c r="O32">
        <f t="shared" si="3"/>
        <v>2409.1584354164233</v>
      </c>
    </row>
    <row r="33" spans="12:15" x14ac:dyDescent="0.55000000000000004">
      <c r="L33">
        <v>28</v>
      </c>
      <c r="M33">
        <v>49.142156999999997</v>
      </c>
      <c r="N33">
        <v>124275.20003399999</v>
      </c>
      <c r="O33">
        <f t="shared" si="3"/>
        <v>2528.891844002696</v>
      </c>
    </row>
    <row r="34" spans="12:15" x14ac:dyDescent="0.55000000000000004">
      <c r="L34">
        <v>29</v>
      </c>
      <c r="M34">
        <v>49.137011999999999</v>
      </c>
      <c r="N34">
        <v>130746.171449</v>
      </c>
      <c r="O34">
        <f t="shared" si="3"/>
        <v>2660.8490448910488</v>
      </c>
    </row>
    <row r="35" spans="12:15" x14ac:dyDescent="0.55000000000000004">
      <c r="L35">
        <v>30</v>
      </c>
      <c r="M35">
        <v>48.907421999999997</v>
      </c>
      <c r="N35">
        <v>137495.77338500001</v>
      </c>
      <c r="O35">
        <f t="shared" si="3"/>
        <v>2811.3478028958471</v>
      </c>
    </row>
    <row r="36" spans="12:15" x14ac:dyDescent="0.55000000000000004">
      <c r="L36">
        <v>31</v>
      </c>
      <c r="M36">
        <v>48.685763999999999</v>
      </c>
      <c r="N36">
        <v>143878.58718900001</v>
      </c>
      <c r="O36">
        <f t="shared" si="3"/>
        <v>2955.2496534510583</v>
      </c>
    </row>
    <row r="37" spans="12:15" x14ac:dyDescent="0.55000000000000004">
      <c r="L37">
        <v>32</v>
      </c>
      <c r="M37">
        <v>48.431742999999997</v>
      </c>
      <c r="N37">
        <v>149991.93644200001</v>
      </c>
      <c r="O37">
        <f t="shared" si="3"/>
        <v>3096.9758086550801</v>
      </c>
    </row>
    <row r="38" spans="12:15" x14ac:dyDescent="0.55000000000000004">
      <c r="L38">
        <v>33</v>
      </c>
      <c r="M38">
        <v>48.149706999999999</v>
      </c>
      <c r="N38">
        <v>155812.535917</v>
      </c>
      <c r="O38">
        <f t="shared" si="3"/>
        <v>3236.001745908859</v>
      </c>
    </row>
    <row r="39" spans="12:15" x14ac:dyDescent="0.55000000000000004">
      <c r="L39">
        <v>34</v>
      </c>
      <c r="M39">
        <v>47.839590000000001</v>
      </c>
      <c r="N39">
        <v>161329.677734</v>
      </c>
      <c r="O39">
        <f t="shared" si="3"/>
        <v>3372.3047738076348</v>
      </c>
    </row>
    <row r="40" spans="12:15" x14ac:dyDescent="0.55000000000000004">
      <c r="L40">
        <v>35</v>
      </c>
      <c r="M40">
        <v>47.501564000000002</v>
      </c>
      <c r="N40">
        <v>166532.64820900001</v>
      </c>
      <c r="O40">
        <f t="shared" si="3"/>
        <v>3505.83505437842</v>
      </c>
    </row>
    <row r="41" spans="12:15" x14ac:dyDescent="0.55000000000000004">
      <c r="L41">
        <v>36</v>
      </c>
      <c r="M41">
        <v>47.135832000000001</v>
      </c>
      <c r="N41">
        <v>171411.29441900001</v>
      </c>
      <c r="O41">
        <f t="shared" si="3"/>
        <v>3636.539064781969</v>
      </c>
    </row>
    <row r="42" spans="12:15" x14ac:dyDescent="0.55000000000000004">
      <c r="L42">
        <v>37</v>
      </c>
      <c r="M42">
        <v>46.742612999999999</v>
      </c>
      <c r="N42">
        <v>175956.10628499999</v>
      </c>
      <c r="O42">
        <f t="shared" si="3"/>
        <v>3764.3617887814698</v>
      </c>
    </row>
    <row r="43" spans="12:15" x14ac:dyDescent="0.55000000000000004">
      <c r="L43">
        <v>38</v>
      </c>
      <c r="M43">
        <v>46.322141999999999</v>
      </c>
      <c r="N43">
        <v>180158.21714200001</v>
      </c>
      <c r="O43">
        <f t="shared" si="3"/>
        <v>3889.24625165218</v>
      </c>
    </row>
    <row r="44" spans="12:15" x14ac:dyDescent="0.55000000000000004">
      <c r="L44">
        <v>39</v>
      </c>
      <c r="M44">
        <v>45.874670999999999</v>
      </c>
      <c r="N44">
        <v>184009.42332500001</v>
      </c>
      <c r="O44">
        <f t="shared" si="3"/>
        <v>4011.1333621335402</v>
      </c>
    </row>
    <row r="45" spans="12:15" x14ac:dyDescent="0.55000000000000004">
      <c r="L45">
        <v>40</v>
      </c>
      <c r="M45">
        <v>45.400467999999996</v>
      </c>
      <c r="N45">
        <v>187502.19993</v>
      </c>
      <c r="O45">
        <f t="shared" si="3"/>
        <v>4129.9618305696767</v>
      </c>
    </row>
    <row r="46" spans="12:15" x14ac:dyDescent="0.55000000000000004">
      <c r="L46">
        <v>41</v>
      </c>
      <c r="M46">
        <v>44.899819000000001</v>
      </c>
      <c r="N46">
        <v>190629.71548700001</v>
      </c>
      <c r="O46">
        <f t="shared" si="3"/>
        <v>4245.6677940505733</v>
      </c>
    </row>
    <row r="47" spans="12:15" x14ac:dyDescent="0.55000000000000004">
      <c r="L47">
        <v>42</v>
      </c>
      <c r="M47">
        <v>44.373024999999998</v>
      </c>
      <c r="N47">
        <v>193385.84531</v>
      </c>
      <c r="O47">
        <f t="shared" si="3"/>
        <v>4358.1848501426266</v>
      </c>
    </row>
    <row r="48" spans="12:15" x14ac:dyDescent="0.55000000000000004">
      <c r="L48">
        <v>43</v>
      </c>
      <c r="M48">
        <v>43.820402000000001</v>
      </c>
      <c r="N48">
        <v>195765.183494</v>
      </c>
      <c r="O48">
        <f t="shared" si="3"/>
        <v>4467.44380606093</v>
      </c>
    </row>
    <row r="49" spans="12:15" x14ac:dyDescent="0.55000000000000004">
      <c r="L49">
        <v>44</v>
      </c>
      <c r="M49">
        <v>43.242282000000003</v>
      </c>
      <c r="N49">
        <v>197763.05371499999</v>
      </c>
      <c r="O49">
        <f t="shared" si="3"/>
        <v>4573.3722775083879</v>
      </c>
    </row>
    <row r="50" spans="12:15" x14ac:dyDescent="0.55000000000000004">
      <c r="L50">
        <v>45</v>
      </c>
      <c r="M50">
        <v>42.639011000000004</v>
      </c>
      <c r="N50">
        <v>199375.51644100001</v>
      </c>
      <c r="O50">
        <f t="shared" si="3"/>
        <v>4675.8944864129235</v>
      </c>
    </row>
    <row r="51" spans="12:15" x14ac:dyDescent="0.55000000000000004">
      <c r="L51">
        <v>46</v>
      </c>
      <c r="M51">
        <v>42.010950999999999</v>
      </c>
      <c r="N51">
        <v>200599.39210900001</v>
      </c>
      <c r="O51">
        <f t="shared" si="3"/>
        <v>4774.9309961824001</v>
      </c>
    </row>
    <row r="52" spans="12:15" x14ac:dyDescent="0.55000000000000004">
      <c r="L52">
        <v>47</v>
      </c>
      <c r="M52">
        <v>41.358472999999996</v>
      </c>
      <c r="N52">
        <v>201432.214274</v>
      </c>
      <c r="O52">
        <f t="shared" si="3"/>
        <v>4870.3977604298889</v>
      </c>
    </row>
    <row r="53" spans="12:15" x14ac:dyDescent="0.55000000000000004">
      <c r="L53">
        <v>48</v>
      </c>
      <c r="M53">
        <v>40.681911999999997</v>
      </c>
      <c r="N53">
        <v>201871.761551</v>
      </c>
      <c r="O53">
        <f t="shared" si="3"/>
        <v>4962.1994549076262</v>
      </c>
    </row>
    <row r="54" spans="12:15" x14ac:dyDescent="0.55000000000000004">
      <c r="L54">
        <v>49</v>
      </c>
      <c r="M54">
        <v>39.982612000000003</v>
      </c>
      <c r="N54">
        <v>201926.91764199999</v>
      </c>
      <c r="O54">
        <f t="shared" si="3"/>
        <v>5050.3683361657304</v>
      </c>
    </row>
    <row r="55" spans="12:15" x14ac:dyDescent="0.55000000000000004">
      <c r="L55">
        <v>50</v>
      </c>
      <c r="M55">
        <v>39.251890000000003</v>
      </c>
      <c r="N55">
        <v>201503.21834600001</v>
      </c>
      <c r="O55">
        <f t="shared" si="3"/>
        <v>5133.5927606543273</v>
      </c>
    </row>
    <row r="56" spans="12:15" x14ac:dyDescent="0.55000000000000004">
      <c r="L56">
        <v>51</v>
      </c>
      <c r="M56">
        <v>38.542490000000001</v>
      </c>
      <c r="N56">
        <v>201143.15672699999</v>
      </c>
      <c r="O56">
        <f t="shared" si="3"/>
        <v>5218.7379883084877</v>
      </c>
    </row>
    <row r="57" spans="12:15" x14ac:dyDescent="0.55000000000000004">
      <c r="L57">
        <v>52</v>
      </c>
      <c r="M57">
        <v>37.844949</v>
      </c>
      <c r="N57">
        <v>200752.29186</v>
      </c>
      <c r="O57">
        <f t="shared" si="3"/>
        <v>5304.5993498366188</v>
      </c>
    </row>
    <row r="58" spans="12:15" x14ac:dyDescent="0.55000000000000004">
      <c r="L58">
        <v>53</v>
      </c>
      <c r="M58">
        <v>37.159999999999997</v>
      </c>
      <c r="N58">
        <v>200340.418213</v>
      </c>
      <c r="O58">
        <f t="shared" si="3"/>
        <v>5391.2922016415505</v>
      </c>
    </row>
    <row r="59" spans="12:15" x14ac:dyDescent="0.55000000000000004">
      <c r="L59">
        <v>54</v>
      </c>
      <c r="M59">
        <v>36.487366000000002</v>
      </c>
      <c r="N59">
        <v>199906.98418100001</v>
      </c>
      <c r="O59">
        <f t="shared" si="3"/>
        <v>5478.8000915440152</v>
      </c>
    </row>
    <row r="60" spans="12:15" x14ac:dyDescent="0.55000000000000004">
      <c r="L60">
        <v>55</v>
      </c>
      <c r="M60">
        <v>35.826821000000002</v>
      </c>
      <c r="N60">
        <v>199451.95876000001</v>
      </c>
      <c r="O60">
        <f t="shared" si="3"/>
        <v>5567.1129392138919</v>
      </c>
    </row>
    <row r="61" spans="12:15" x14ac:dyDescent="0.55000000000000004">
      <c r="L61">
        <v>56</v>
      </c>
      <c r="M61">
        <v>35.178148999999998</v>
      </c>
      <c r="N61">
        <v>198975.358401</v>
      </c>
      <c r="O61">
        <f t="shared" si="3"/>
        <v>5656.2202406101587</v>
      </c>
    </row>
    <row r="62" spans="12:15" x14ac:dyDescent="0.55000000000000004">
      <c r="L62">
        <v>57</v>
      </c>
      <c r="M62">
        <v>34.541133000000002</v>
      </c>
      <c r="N62">
        <v>198477.19380800001</v>
      </c>
      <c r="O62">
        <f t="shared" si="3"/>
        <v>5746.1112757360916</v>
      </c>
    </row>
    <row r="63" spans="12:15" x14ac:dyDescent="0.55000000000000004">
      <c r="L63">
        <v>58</v>
      </c>
      <c r="M63">
        <v>33.915560999999997</v>
      </c>
      <c r="N63">
        <v>197957.48538299999</v>
      </c>
      <c r="O63">
        <f t="shared" si="3"/>
        <v>5836.774611600852</v>
      </c>
    </row>
    <row r="64" spans="12:15" x14ac:dyDescent="0.55000000000000004">
      <c r="L64">
        <v>59</v>
      </c>
      <c r="M64">
        <v>33.301220000000001</v>
      </c>
      <c r="N64">
        <v>197416.26128100001</v>
      </c>
      <c r="O64">
        <f t="shared" si="3"/>
        <v>5928.1990654096162</v>
      </c>
    </row>
    <row r="65" spans="12:15" x14ac:dyDescent="0.55000000000000004">
      <c r="L65">
        <v>60</v>
      </c>
      <c r="M65">
        <v>32.697902999999997</v>
      </c>
      <c r="N65">
        <v>196853.557631</v>
      </c>
      <c r="O65">
        <f t="shared" si="3"/>
        <v>6020.3725489980206</v>
      </c>
    </row>
    <row r="66" spans="12:15" x14ac:dyDescent="0.55000000000000004">
      <c r="L66">
        <v>61</v>
      </c>
      <c r="M66">
        <v>32.105401000000001</v>
      </c>
      <c r="N66">
        <v>196269.41858699999</v>
      </c>
      <c r="O66">
        <f t="shared" si="3"/>
        <v>6113.2835122352153</v>
      </c>
    </row>
    <row r="67" spans="12:15" x14ac:dyDescent="0.55000000000000004">
      <c r="L67">
        <v>62</v>
      </c>
      <c r="M67">
        <v>31.523509000000001</v>
      </c>
      <c r="N67">
        <v>195663.89635200001</v>
      </c>
      <c r="O67">
        <f t="shared" si="3"/>
        <v>6206.9199324224983</v>
      </c>
    </row>
    <row r="68" spans="12:15" x14ac:dyDescent="0.55000000000000004">
      <c r="L68">
        <v>63</v>
      </c>
      <c r="M68">
        <v>30.952024999999999</v>
      </c>
      <c r="N68">
        <v>195037.05118800001</v>
      </c>
      <c r="O68">
        <f t="shared" si="3"/>
        <v>6301.2695029808237</v>
      </c>
    </row>
    <row r="69" spans="12:15" x14ac:dyDescent="0.55000000000000004">
      <c r="L69">
        <v>64</v>
      </c>
      <c r="M69">
        <v>30.390747000000001</v>
      </c>
      <c r="N69">
        <v>194388.95141499999</v>
      </c>
      <c r="O69">
        <f t="shared" si="3"/>
        <v>6396.3202817949814</v>
      </c>
    </row>
    <row r="70" spans="12:15" x14ac:dyDescent="0.55000000000000004">
      <c r="L70">
        <v>65</v>
      </c>
      <c r="M70">
        <v>29.839475</v>
      </c>
      <c r="N70">
        <v>193719.67338200001</v>
      </c>
      <c r="O70">
        <f t="shared" ref="O70:O133" si="4">N70/M70</f>
        <v>6492.0603791454105</v>
      </c>
    </row>
    <row r="71" spans="12:15" x14ac:dyDescent="0.55000000000000004">
      <c r="L71">
        <v>66</v>
      </c>
      <c r="M71">
        <v>29.298013999999998</v>
      </c>
      <c r="N71">
        <v>193029.30142800001</v>
      </c>
      <c r="O71">
        <f t="shared" si="4"/>
        <v>6588.4773427987311</v>
      </c>
    </row>
    <row r="72" spans="12:15" x14ac:dyDescent="0.55000000000000004">
      <c r="L72">
        <v>67</v>
      </c>
      <c r="M72">
        <v>28.766166999999999</v>
      </c>
      <c r="N72">
        <v>192317.92782099999</v>
      </c>
      <c r="O72">
        <f t="shared" si="4"/>
        <v>6685.5597348440615</v>
      </c>
    </row>
    <row r="73" spans="12:15" x14ac:dyDescent="0.55000000000000004">
      <c r="L73">
        <v>68</v>
      </c>
      <c r="M73">
        <v>28.243742999999998</v>
      </c>
      <c r="N73">
        <v>191585.65268200001</v>
      </c>
      <c r="O73">
        <f t="shared" si="4"/>
        <v>6783.2954251849706</v>
      </c>
    </row>
    <row r="74" spans="12:15" x14ac:dyDescent="0.55000000000000004">
      <c r="L74">
        <v>69</v>
      </c>
      <c r="M74">
        <v>27.730550999999998</v>
      </c>
      <c r="N74">
        <v>190832.58389000001</v>
      </c>
      <c r="O74">
        <f t="shared" si="4"/>
        <v>6881.6729927219985</v>
      </c>
    </row>
    <row r="75" spans="12:15" x14ac:dyDescent="0.55000000000000004">
      <c r="L75">
        <v>70</v>
      </c>
      <c r="M75">
        <v>27.226403999999999</v>
      </c>
      <c r="N75">
        <v>190058.836969</v>
      </c>
      <c r="O75">
        <f t="shared" si="4"/>
        <v>6980.6808482310043</v>
      </c>
    </row>
    <row r="76" spans="12:15" x14ac:dyDescent="0.55000000000000004">
      <c r="L76">
        <v>71</v>
      </c>
      <c r="M76">
        <v>26.731117999999999</v>
      </c>
      <c r="N76">
        <v>189264.53496300001</v>
      </c>
      <c r="O76">
        <f t="shared" si="4"/>
        <v>7080.3074889348072</v>
      </c>
    </row>
    <row r="77" spans="12:15" x14ac:dyDescent="0.55000000000000004">
      <c r="L77">
        <v>72</v>
      </c>
      <c r="M77">
        <v>26.244510999999999</v>
      </c>
      <c r="N77">
        <v>188449.80828999999</v>
      </c>
      <c r="O77">
        <f t="shared" si="4"/>
        <v>7180.5418012932305</v>
      </c>
    </row>
    <row r="78" spans="12:15" x14ac:dyDescent="0.55000000000000004">
      <c r="L78">
        <v>73</v>
      </c>
      <c r="M78">
        <v>25.766407000000001</v>
      </c>
      <c r="N78">
        <v>187614.79457699999</v>
      </c>
      <c r="O78">
        <f t="shared" si="4"/>
        <v>7281.3720041370143</v>
      </c>
    </row>
    <row r="79" spans="12:15" x14ac:dyDescent="0.55000000000000004">
      <c r="L79">
        <v>74</v>
      </c>
      <c r="M79">
        <v>25.29663</v>
      </c>
      <c r="N79">
        <v>186759.63849099999</v>
      </c>
      <c r="O79">
        <f t="shared" si="4"/>
        <v>7382.787291864568</v>
      </c>
    </row>
    <row r="80" spans="12:15" x14ac:dyDescent="0.55000000000000004">
      <c r="L80">
        <v>75</v>
      </c>
      <c r="M80">
        <v>24.835011999999999</v>
      </c>
      <c r="N80">
        <v>185884.491538</v>
      </c>
      <c r="O80">
        <f t="shared" si="4"/>
        <v>7484.775587706582</v>
      </c>
    </row>
    <row r="81" spans="12:15" x14ac:dyDescent="0.55000000000000004">
      <c r="L81">
        <v>76</v>
      </c>
      <c r="M81">
        <v>24.381385999999999</v>
      </c>
      <c r="N81">
        <v>184989.51186299999</v>
      </c>
      <c r="O81">
        <f t="shared" si="4"/>
        <v>7587.3255057362203</v>
      </c>
    </row>
    <row r="82" spans="12:15" x14ac:dyDescent="0.55000000000000004">
      <c r="L82">
        <v>77</v>
      </c>
      <c r="M82">
        <v>23.935593000000001</v>
      </c>
      <c r="N82">
        <v>184074.86402400001</v>
      </c>
      <c r="O82">
        <f t="shared" si="4"/>
        <v>7690.4242156858199</v>
      </c>
    </row>
    <row r="83" spans="12:15" x14ac:dyDescent="0.55000000000000004">
      <c r="L83">
        <v>78</v>
      </c>
      <c r="M83">
        <v>23.497475000000001</v>
      </c>
      <c r="N83">
        <v>183140.718761</v>
      </c>
      <c r="O83">
        <f t="shared" si="4"/>
        <v>7794.0595217571245</v>
      </c>
    </row>
    <row r="84" spans="12:15" x14ac:dyDescent="0.55000000000000004">
      <c r="L84">
        <v>79</v>
      </c>
      <c r="M84">
        <v>23.066882</v>
      </c>
      <c r="N84">
        <v>182187.25274299999</v>
      </c>
      <c r="O84">
        <f t="shared" si="4"/>
        <v>7898.2175719717989</v>
      </c>
    </row>
    <row r="85" spans="12:15" x14ac:dyDescent="0.55000000000000004">
      <c r="L85">
        <v>80</v>
      </c>
      <c r="M85">
        <v>22.643668000000002</v>
      </c>
      <c r="N85">
        <v>181214.64830999999</v>
      </c>
      <c r="O85">
        <f t="shared" si="4"/>
        <v>8002.8839987408392</v>
      </c>
    </row>
    <row r="86" spans="12:15" x14ac:dyDescent="0.55000000000000004">
      <c r="L86">
        <v>81</v>
      </c>
      <c r="M86">
        <v>22.227694</v>
      </c>
      <c r="N86">
        <v>180223.09320199999</v>
      </c>
      <c r="O86">
        <f t="shared" si="4"/>
        <v>8108.042750723489</v>
      </c>
    </row>
    <row r="87" spans="12:15" x14ac:dyDescent="0.55000000000000004">
      <c r="L87">
        <v>82</v>
      </c>
      <c r="M87">
        <v>21.818826000000001</v>
      </c>
      <c r="N87">
        <v>179212.78026999999</v>
      </c>
      <c r="O87">
        <f t="shared" si="4"/>
        <v>8213.6765869071041</v>
      </c>
    </row>
    <row r="88" spans="12:15" x14ac:dyDescent="0.55000000000000004">
      <c r="L88">
        <v>83</v>
      </c>
      <c r="M88">
        <v>21.416934999999999</v>
      </c>
      <c r="N88">
        <v>178183.90718400001</v>
      </c>
      <c r="O88">
        <f t="shared" si="4"/>
        <v>8319.7669126791498</v>
      </c>
    </row>
    <row r="89" spans="12:15" x14ac:dyDescent="0.55000000000000004">
      <c r="L89">
        <v>84</v>
      </c>
      <c r="M89">
        <v>21.021902000000001</v>
      </c>
      <c r="N89">
        <v>177136.67613199999</v>
      </c>
      <c r="O89">
        <f t="shared" si="4"/>
        <v>8426.2915949279941</v>
      </c>
    </row>
    <row r="90" spans="12:15" x14ac:dyDescent="0.55000000000000004">
      <c r="L90">
        <v>85</v>
      </c>
      <c r="M90">
        <v>20.633609</v>
      </c>
      <c r="N90">
        <v>176071.29350199999</v>
      </c>
      <c r="O90">
        <f t="shared" si="4"/>
        <v>8533.2281668223914</v>
      </c>
    </row>
    <row r="91" spans="12:15" x14ac:dyDescent="0.55000000000000004">
      <c r="L91">
        <v>86</v>
      </c>
      <c r="M91">
        <v>20.251950000000001</v>
      </c>
      <c r="N91">
        <v>174987.96956299999</v>
      </c>
      <c r="O91">
        <f t="shared" si="4"/>
        <v>8640.5491601055692</v>
      </c>
    </row>
    <row r="92" spans="12:15" x14ac:dyDescent="0.55000000000000004">
      <c r="L92">
        <v>87</v>
      </c>
      <c r="M92">
        <v>19.876822000000001</v>
      </c>
      <c r="N92">
        <v>173886.918137</v>
      </c>
      <c r="O92">
        <f t="shared" si="4"/>
        <v>8748.2253519702499</v>
      </c>
    </row>
    <row r="93" spans="12:15" x14ac:dyDescent="0.55000000000000004">
      <c r="L93">
        <v>88</v>
      </c>
      <c r="M93">
        <v>19.508130999999999</v>
      </c>
      <c r="N93">
        <v>172768.356264</v>
      </c>
      <c r="O93">
        <f t="shared" si="4"/>
        <v>8856.2228879845024</v>
      </c>
    </row>
    <row r="94" spans="12:15" x14ac:dyDescent="0.55000000000000004">
      <c r="L94">
        <v>89</v>
      </c>
      <c r="M94">
        <v>19.145788</v>
      </c>
      <c r="N94">
        <v>171632.503861</v>
      </c>
      <c r="O94">
        <f t="shared" si="4"/>
        <v>8964.5045615777217</v>
      </c>
    </row>
    <row r="95" spans="12:15" x14ac:dyDescent="0.55000000000000004">
      <c r="L95">
        <v>90</v>
      </c>
      <c r="M95">
        <v>18.789712999999999</v>
      </c>
      <c r="N95">
        <v>170479.583376</v>
      </c>
      <c r="O95">
        <f t="shared" si="4"/>
        <v>9073.0275324588511</v>
      </c>
    </row>
    <row r="96" spans="12:15" x14ac:dyDescent="0.55000000000000004">
      <c r="L96">
        <v>91</v>
      </c>
      <c r="M96">
        <v>18.439831000000002</v>
      </c>
      <c r="N96">
        <v>169309.81944200001</v>
      </c>
      <c r="O96">
        <f t="shared" si="4"/>
        <v>9181.7446397420881</v>
      </c>
    </row>
    <row r="97" spans="12:15" x14ac:dyDescent="0.55000000000000004">
      <c r="L97">
        <v>92</v>
      </c>
      <c r="M97">
        <v>18.096073000000001</v>
      </c>
      <c r="N97">
        <v>168123.43852200001</v>
      </c>
      <c r="O97">
        <f t="shared" si="4"/>
        <v>9290.6034652932722</v>
      </c>
    </row>
    <row r="98" spans="12:15" x14ac:dyDescent="0.55000000000000004">
      <c r="L98">
        <v>93</v>
      </c>
      <c r="M98">
        <v>17.758379999999999</v>
      </c>
      <c r="N98">
        <v>166920.66855900001</v>
      </c>
      <c r="O98">
        <f t="shared" si="4"/>
        <v>9399.5436835454602</v>
      </c>
    </row>
    <row r="99" spans="12:15" x14ac:dyDescent="0.55000000000000004">
      <c r="L99">
        <v>94</v>
      </c>
      <c r="M99">
        <v>17.426694999999999</v>
      </c>
      <c r="N99">
        <v>165701.73863000001</v>
      </c>
      <c r="O99">
        <f t="shared" si="4"/>
        <v>9508.5005292168153</v>
      </c>
    </row>
    <row r="100" spans="12:15" x14ac:dyDescent="0.55000000000000004">
      <c r="L100">
        <v>95</v>
      </c>
      <c r="M100">
        <v>17.100971000000001</v>
      </c>
      <c r="N100">
        <v>164466.87844199999</v>
      </c>
      <c r="O100">
        <f t="shared" si="4"/>
        <v>9617.3999968773696</v>
      </c>
    </row>
    <row r="101" spans="12:15" x14ac:dyDescent="0.55000000000000004">
      <c r="L101">
        <v>96</v>
      </c>
      <c r="M101">
        <v>16.781165000000001</v>
      </c>
      <c r="N101">
        <v>163216.31912500001</v>
      </c>
      <c r="O101">
        <f t="shared" si="4"/>
        <v>9726.1613913575129</v>
      </c>
    </row>
    <row r="102" spans="12:15" x14ac:dyDescent="0.55000000000000004">
      <c r="L102">
        <v>97</v>
      </c>
      <c r="M102">
        <v>16.467241000000001</v>
      </c>
      <c r="N102">
        <v>161950.28888899999</v>
      </c>
      <c r="O102">
        <f t="shared" si="4"/>
        <v>9834.6947669618712</v>
      </c>
    </row>
    <row r="103" spans="12:15" x14ac:dyDescent="0.55000000000000004">
      <c r="L103">
        <v>98</v>
      </c>
      <c r="M103">
        <v>16.159168000000001</v>
      </c>
      <c r="N103">
        <v>160668.977312</v>
      </c>
      <c r="O103">
        <f t="shared" si="4"/>
        <v>9942.8991215389306</v>
      </c>
    </row>
    <row r="104" spans="12:15" x14ac:dyDescent="0.55000000000000004">
      <c r="L104">
        <v>99</v>
      </c>
      <c r="M104">
        <v>15.856904999999999</v>
      </c>
      <c r="N104">
        <v>159373.34772399999</v>
      </c>
      <c r="O104">
        <f t="shared" si="4"/>
        <v>10050.722238923674</v>
      </c>
    </row>
    <row r="105" spans="12:15" x14ac:dyDescent="0.55000000000000004">
      <c r="L105">
        <v>100</v>
      </c>
      <c r="M105">
        <v>15.560572000000001</v>
      </c>
      <c r="N105">
        <v>158056.56411400001</v>
      </c>
      <c r="O105">
        <f t="shared" si="4"/>
        <v>10157.503471851805</v>
      </c>
    </row>
    <row r="106" spans="12:15" x14ac:dyDescent="0.55000000000000004">
      <c r="L106">
        <v>101</v>
      </c>
      <c r="M106">
        <v>15.26934</v>
      </c>
      <c r="N106">
        <v>156759.46621700001</v>
      </c>
      <c r="O106">
        <f t="shared" si="4"/>
        <v>10266.289585338987</v>
      </c>
    </row>
    <row r="107" spans="12:15" x14ac:dyDescent="0.55000000000000004">
      <c r="L107">
        <v>102</v>
      </c>
      <c r="M107">
        <v>14.983347999999999</v>
      </c>
      <c r="N107">
        <v>155474.93538400001</v>
      </c>
      <c r="O107">
        <f t="shared" si="4"/>
        <v>10376.515007460283</v>
      </c>
    </row>
    <row r="108" spans="12:15" x14ac:dyDescent="0.55000000000000004">
      <c r="L108">
        <v>103</v>
      </c>
      <c r="M108">
        <v>14.702581</v>
      </c>
      <c r="N108">
        <v>154203.69971799999</v>
      </c>
      <c r="O108">
        <f t="shared" si="4"/>
        <v>10488.206099187617</v>
      </c>
    </row>
    <row r="109" spans="12:15" x14ac:dyDescent="0.55000000000000004">
      <c r="L109">
        <v>104</v>
      </c>
      <c r="M109">
        <v>14.42704</v>
      </c>
      <c r="N109">
        <v>152945.70310399999</v>
      </c>
      <c r="O109">
        <f t="shared" si="4"/>
        <v>10601.3224545021</v>
      </c>
    </row>
    <row r="110" spans="12:15" x14ac:dyDescent="0.55000000000000004">
      <c r="L110">
        <v>105</v>
      </c>
      <c r="M110">
        <v>14.156727999999999</v>
      </c>
      <c r="N110">
        <v>151700.92376100001</v>
      </c>
      <c r="O110">
        <f t="shared" si="4"/>
        <v>10715.81821456201</v>
      </c>
    </row>
    <row r="111" spans="12:15" x14ac:dyDescent="0.55000000000000004">
      <c r="L111">
        <v>106</v>
      </c>
      <c r="M111">
        <v>13.891648</v>
      </c>
      <c r="N111">
        <v>150469.338323</v>
      </c>
      <c r="O111">
        <f t="shared" si="4"/>
        <v>10831.64058886318</v>
      </c>
    </row>
    <row r="112" spans="12:15" x14ac:dyDescent="0.55000000000000004">
      <c r="L112">
        <v>107</v>
      </c>
      <c r="M112">
        <v>13.631805</v>
      </c>
      <c r="N112">
        <v>149250.91761999999</v>
      </c>
      <c r="O112">
        <f t="shared" si="4"/>
        <v>10948.727451720442</v>
      </c>
    </row>
    <row r="113" spans="12:15" x14ac:dyDescent="0.55000000000000004">
      <c r="L113">
        <v>108</v>
      </c>
      <c r="M113">
        <v>13.377202</v>
      </c>
      <c r="N113">
        <v>148045.62765499999</v>
      </c>
      <c r="O113">
        <f t="shared" si="4"/>
        <v>11067.009951333619</v>
      </c>
    </row>
    <row r="114" spans="12:15" x14ac:dyDescent="0.55000000000000004">
      <c r="L114">
        <v>109</v>
      </c>
      <c r="M114">
        <v>13.127845000000001</v>
      </c>
      <c r="N114">
        <v>146853.429267</v>
      </c>
      <c r="O114">
        <f t="shared" si="4"/>
        <v>11186.407918969182</v>
      </c>
    </row>
    <row r="115" spans="12:15" x14ac:dyDescent="0.55000000000000004">
      <c r="L115">
        <v>110</v>
      </c>
      <c r="M115">
        <v>12.883736000000001</v>
      </c>
      <c r="N115">
        <v>145674.277997</v>
      </c>
      <c r="O115">
        <f t="shared" si="4"/>
        <v>11306.835066862592</v>
      </c>
    </row>
    <row r="116" spans="12:15" x14ac:dyDescent="0.55000000000000004">
      <c r="L116">
        <v>111</v>
      </c>
      <c r="M116">
        <v>12.644876999999999</v>
      </c>
      <c r="N116">
        <v>144508.12394600001</v>
      </c>
      <c r="O116">
        <f t="shared" si="4"/>
        <v>11428.195303600029</v>
      </c>
    </row>
    <row r="117" spans="12:15" x14ac:dyDescent="0.55000000000000004">
      <c r="L117">
        <v>112</v>
      </c>
      <c r="M117">
        <v>12.41127</v>
      </c>
      <c r="N117">
        <v>143354.91164999999</v>
      </c>
      <c r="O117">
        <f t="shared" si="4"/>
        <v>11550.382164758321</v>
      </c>
    </row>
    <row r="118" spans="12:15" x14ac:dyDescent="0.55000000000000004">
      <c r="L118">
        <v>113</v>
      </c>
      <c r="M118">
        <v>12.182912999999999</v>
      </c>
      <c r="N118">
        <v>142214.57998400001</v>
      </c>
      <c r="O118">
        <f t="shared" si="4"/>
        <v>11673.282078268147</v>
      </c>
    </row>
    <row r="119" spans="12:15" x14ac:dyDescent="0.55000000000000004">
      <c r="L119">
        <v>114</v>
      </c>
      <c r="M119">
        <v>11.959802</v>
      </c>
      <c r="N119">
        <v>141087.06207099999</v>
      </c>
      <c r="O119">
        <f t="shared" si="4"/>
        <v>11796.772393974416</v>
      </c>
    </row>
    <row r="120" spans="12:15" x14ac:dyDescent="0.55000000000000004">
      <c r="L120">
        <v>115</v>
      </c>
      <c r="M120">
        <v>11.741929000000001</v>
      </c>
      <c r="N120">
        <v>139972.285214</v>
      </c>
      <c r="O120">
        <f t="shared" si="4"/>
        <v>11920.723180492745</v>
      </c>
    </row>
    <row r="121" spans="12:15" x14ac:dyDescent="0.55000000000000004">
      <c r="L121">
        <v>116</v>
      </c>
      <c r="M121">
        <v>11.529286000000001</v>
      </c>
      <c r="N121">
        <v>138870.170854</v>
      </c>
      <c r="O121">
        <f t="shared" si="4"/>
        <v>12044.993146496668</v>
      </c>
    </row>
    <row r="122" spans="12:15" x14ac:dyDescent="0.55000000000000004">
      <c r="L122">
        <v>117</v>
      </c>
      <c r="M122">
        <v>11.321858000000001</v>
      </c>
      <c r="N122">
        <v>137780.63453099999</v>
      </c>
      <c r="O122">
        <f t="shared" si="4"/>
        <v>12169.43672416665</v>
      </c>
    </row>
    <row r="123" spans="12:15" x14ac:dyDescent="0.55000000000000004">
      <c r="L123">
        <v>118</v>
      </c>
      <c r="M123">
        <v>11.119628000000001</v>
      </c>
      <c r="N123">
        <v>136703.58587800001</v>
      </c>
      <c r="O123">
        <f t="shared" si="4"/>
        <v>12293.899209398012</v>
      </c>
    </row>
    <row r="124" spans="12:15" x14ac:dyDescent="0.55000000000000004">
      <c r="L124">
        <v>119</v>
      </c>
      <c r="M124">
        <v>10.922573999999999</v>
      </c>
      <c r="N124">
        <v>135638.928625</v>
      </c>
      <c r="O124">
        <f t="shared" si="4"/>
        <v>12418.220158087279</v>
      </c>
    </row>
    <row r="125" spans="12:15" x14ac:dyDescent="0.55000000000000004">
      <c r="L125">
        <v>120</v>
      </c>
      <c r="M125">
        <v>10.730670999999999</v>
      </c>
      <c r="N125">
        <v>134586.560627</v>
      </c>
      <c r="O125">
        <f t="shared" si="4"/>
        <v>12542.231574055342</v>
      </c>
    </row>
    <row r="126" spans="12:15" x14ac:dyDescent="0.55000000000000004">
      <c r="L126">
        <v>121</v>
      </c>
      <c r="M126">
        <v>10.543886000000001</v>
      </c>
      <c r="N126">
        <v>133546.373903</v>
      </c>
      <c r="O126">
        <f t="shared" si="4"/>
        <v>12665.764207143362</v>
      </c>
    </row>
    <row r="127" spans="12:15" x14ac:dyDescent="0.55000000000000004">
      <c r="L127">
        <v>122</v>
      </c>
      <c r="M127">
        <v>10.362183999999999</v>
      </c>
      <c r="N127">
        <v>132518.25470600001</v>
      </c>
      <c r="O127">
        <f t="shared" si="4"/>
        <v>12788.641342983296</v>
      </c>
    </row>
    <row r="128" spans="12:15" x14ac:dyDescent="0.55000000000000004">
      <c r="L128">
        <v>123</v>
      </c>
      <c r="M128">
        <v>10.185525</v>
      </c>
      <c r="N128">
        <v>131502.08359600001</v>
      </c>
      <c r="O128">
        <f t="shared" si="4"/>
        <v>12910.682914822752</v>
      </c>
    </row>
    <row r="129" spans="12:15" x14ac:dyDescent="0.55000000000000004">
      <c r="L129">
        <v>124</v>
      </c>
      <c r="M129">
        <v>10.013862</v>
      </c>
      <c r="N129">
        <v>130497.735545</v>
      </c>
      <c r="O129">
        <f t="shared" si="4"/>
        <v>13031.708999484916</v>
      </c>
    </row>
    <row r="130" spans="12:15" x14ac:dyDescent="0.55000000000000004">
      <c r="L130">
        <v>125</v>
      </c>
      <c r="M130">
        <v>9.8471419999999998</v>
      </c>
      <c r="N130">
        <v>129505.08005</v>
      </c>
      <c r="O130">
        <f t="shared" si="4"/>
        <v>13151.539812262279</v>
      </c>
    </row>
    <row r="131" spans="12:15" x14ac:dyDescent="0.55000000000000004">
      <c r="L131">
        <v>126</v>
      </c>
      <c r="M131">
        <v>9.6853099999999994</v>
      </c>
      <c r="N131">
        <v>128523.981268</v>
      </c>
      <c r="O131">
        <f t="shared" si="4"/>
        <v>13269.991488966281</v>
      </c>
    </row>
    <row r="132" spans="12:15" x14ac:dyDescent="0.55000000000000004">
      <c r="L132">
        <v>127</v>
      </c>
      <c r="M132">
        <v>9.5283029999999993</v>
      </c>
      <c r="N132">
        <v>127554.298169</v>
      </c>
      <c r="O132">
        <f t="shared" si="4"/>
        <v>13386.885174516387</v>
      </c>
    </row>
    <row r="133" spans="12:15" x14ac:dyDescent="0.55000000000000004">
      <c r="L133">
        <v>128</v>
      </c>
      <c r="M133">
        <v>9.3760510000000004</v>
      </c>
      <c r="N133">
        <v>126595.884701</v>
      </c>
      <c r="O133">
        <f t="shared" si="4"/>
        <v>13502.047365250039</v>
      </c>
    </row>
    <row r="134" spans="12:15" x14ac:dyDescent="0.55000000000000004">
      <c r="L134">
        <v>129</v>
      </c>
      <c r="M134">
        <v>9.2284819999999996</v>
      </c>
      <c r="N134">
        <v>125648.589977</v>
      </c>
      <c r="O134">
        <f t="shared" ref="O134:O197" si="5">N134/M134</f>
        <v>13615.304226307209</v>
      </c>
    </row>
    <row r="135" spans="12:15" x14ac:dyDescent="0.55000000000000004">
      <c r="L135">
        <v>130</v>
      </c>
      <c r="M135">
        <v>9.0855169999999994</v>
      </c>
      <c r="N135">
        <v>124712.258477</v>
      </c>
      <c r="O135">
        <f t="shared" si="5"/>
        <v>13726.490025498824</v>
      </c>
    </row>
    <row r="136" spans="12:15" x14ac:dyDescent="0.55000000000000004">
      <c r="L136">
        <v>131</v>
      </c>
      <c r="M136">
        <v>8.9470700000000001</v>
      </c>
      <c r="N136">
        <v>123786.73026</v>
      </c>
      <c r="O136">
        <f t="shared" si="5"/>
        <v>13835.448952562123</v>
      </c>
    </row>
    <row r="137" spans="12:15" x14ac:dyDescent="0.55000000000000004">
      <c r="L137">
        <v>132</v>
      </c>
      <c r="M137">
        <v>8.813053</v>
      </c>
      <c r="N137">
        <v>122871.84119399999</v>
      </c>
      <c r="O137">
        <f t="shared" si="5"/>
        <v>13942.029078232026</v>
      </c>
    </row>
    <row r="138" spans="12:15" x14ac:dyDescent="0.55000000000000004">
      <c r="L138">
        <v>133</v>
      </c>
      <c r="M138">
        <v>8.6833690000000008</v>
      </c>
      <c r="N138">
        <v>121967.423207</v>
      </c>
      <c r="O138">
        <f t="shared" si="5"/>
        <v>14046.094690551558</v>
      </c>
    </row>
    <row r="139" spans="12:15" x14ac:dyDescent="0.55000000000000004">
      <c r="L139">
        <v>134</v>
      </c>
      <c r="M139">
        <v>8.5579210000000003</v>
      </c>
      <c r="N139">
        <v>121073.304538</v>
      </c>
      <c r="O139">
        <f t="shared" si="5"/>
        <v>14147.513693804838</v>
      </c>
    </row>
    <row r="140" spans="12:15" x14ac:dyDescent="0.55000000000000004">
      <c r="L140">
        <v>135</v>
      </c>
      <c r="M140">
        <v>8.4366020000000006</v>
      </c>
      <c r="N140">
        <v>120189.31001099999</v>
      </c>
      <c r="O140">
        <f t="shared" si="5"/>
        <v>14246.175179414649</v>
      </c>
    </row>
    <row r="141" spans="12:15" x14ac:dyDescent="0.55000000000000004">
      <c r="L141">
        <v>136</v>
      </c>
      <c r="M141">
        <v>8.3193040000000007</v>
      </c>
      <c r="N141">
        <v>119315.261319</v>
      </c>
      <c r="O141">
        <f t="shared" si="5"/>
        <v>14341.9763623255</v>
      </c>
    </row>
    <row r="142" spans="12:15" x14ac:dyDescent="0.55000000000000004">
      <c r="L142">
        <v>137</v>
      </c>
      <c r="M142">
        <v>8.2059139999999999</v>
      </c>
      <c r="N142">
        <v>118450.977317</v>
      </c>
      <c r="O142">
        <f t="shared" si="5"/>
        <v>14434.830454840252</v>
      </c>
    </row>
    <row r="143" spans="12:15" x14ac:dyDescent="0.55000000000000004">
      <c r="L143">
        <v>138</v>
      </c>
      <c r="M143">
        <v>8.0963139999999996</v>
      </c>
      <c r="N143">
        <v>117596.27432500001</v>
      </c>
      <c r="O143">
        <f t="shared" si="5"/>
        <v>14524.66817924799</v>
      </c>
    </row>
    <row r="144" spans="12:15" x14ac:dyDescent="0.55000000000000004">
      <c r="L144">
        <v>139</v>
      </c>
      <c r="M144">
        <v>7.9903820000000003</v>
      </c>
      <c r="N144">
        <v>116750.96644600001</v>
      </c>
      <c r="O144">
        <f t="shared" si="5"/>
        <v>14611.437406371811</v>
      </c>
    </row>
    <row r="145" spans="12:15" x14ac:dyDescent="0.55000000000000004">
      <c r="L145">
        <v>140</v>
      </c>
      <c r="M145">
        <v>7.8879960000000002</v>
      </c>
      <c r="N145">
        <v>115914.865886</v>
      </c>
      <c r="O145">
        <f t="shared" si="5"/>
        <v>14695.096940464979</v>
      </c>
    </row>
    <row r="146" spans="12:15" x14ac:dyDescent="0.55000000000000004">
      <c r="L146">
        <v>141</v>
      </c>
      <c r="M146">
        <v>7.7890259999999998</v>
      </c>
      <c r="N146">
        <v>115087.783289</v>
      </c>
      <c r="O146">
        <f t="shared" si="5"/>
        <v>14775.63218931353</v>
      </c>
    </row>
    <row r="147" spans="12:15" x14ac:dyDescent="0.55000000000000004">
      <c r="L147">
        <v>142</v>
      </c>
      <c r="M147">
        <v>7.6933420000000003</v>
      </c>
      <c r="N147">
        <v>114269.52807099999</v>
      </c>
      <c r="O147">
        <f t="shared" si="5"/>
        <v>14853.041509268662</v>
      </c>
    </row>
    <row r="148" spans="12:15" x14ac:dyDescent="0.55000000000000004">
      <c r="L148">
        <v>143</v>
      </c>
      <c r="M148">
        <v>7.6008129999999996</v>
      </c>
      <c r="N148">
        <v>113459.90876599999</v>
      </c>
      <c r="O148">
        <f t="shared" si="5"/>
        <v>14927.338531549191</v>
      </c>
    </row>
    <row r="149" spans="12:15" x14ac:dyDescent="0.55000000000000004">
      <c r="L149">
        <v>144</v>
      </c>
      <c r="M149">
        <v>7.5113019999999997</v>
      </c>
      <c r="N149">
        <v>112658.733377</v>
      </c>
      <c r="O149">
        <f t="shared" si="5"/>
        <v>14998.562616308065</v>
      </c>
    </row>
    <row r="150" spans="12:15" x14ac:dyDescent="0.55000000000000004">
      <c r="L150">
        <v>145</v>
      </c>
      <c r="M150">
        <v>7.4246730000000003</v>
      </c>
      <c r="N150">
        <v>111865.80972799999</v>
      </c>
      <c r="O150">
        <f t="shared" si="5"/>
        <v>15066.765866725711</v>
      </c>
    </row>
    <row r="151" spans="12:15" x14ac:dyDescent="0.55000000000000004">
      <c r="L151">
        <v>146</v>
      </c>
      <c r="M151">
        <v>7.340789</v>
      </c>
      <c r="N151">
        <v>111080.945821</v>
      </c>
      <c r="O151">
        <f t="shared" si="5"/>
        <v>15132.017256047</v>
      </c>
    </row>
    <row r="152" spans="12:15" x14ac:dyDescent="0.55000000000000004">
      <c r="L152">
        <v>147</v>
      </c>
      <c r="M152">
        <v>7.2595109999999998</v>
      </c>
      <c r="N152">
        <v>110303.950194</v>
      </c>
      <c r="O152">
        <f t="shared" si="5"/>
        <v>15194.404994220686</v>
      </c>
    </row>
    <row r="153" spans="12:15" x14ac:dyDescent="0.55000000000000004">
      <c r="L153">
        <v>148</v>
      </c>
      <c r="M153">
        <v>7.1806989999999997</v>
      </c>
      <c r="N153">
        <v>109534.632285</v>
      </c>
      <c r="O153">
        <f t="shared" si="5"/>
        <v>15254.034779204643</v>
      </c>
    </row>
    <row r="154" spans="12:15" x14ac:dyDescent="0.55000000000000004">
      <c r="L154">
        <v>149</v>
      </c>
      <c r="M154">
        <v>7.1042139999999998</v>
      </c>
      <c r="N154">
        <v>108772.802788</v>
      </c>
      <c r="O154">
        <f t="shared" si="5"/>
        <v>15311.025651535836</v>
      </c>
    </row>
    <row r="155" spans="12:15" x14ac:dyDescent="0.55000000000000004">
      <c r="L155">
        <v>150</v>
      </c>
      <c r="M155">
        <v>7.0299160000000001</v>
      </c>
      <c r="N155">
        <v>108018.274018</v>
      </c>
      <c r="O155">
        <f t="shared" si="5"/>
        <v>15365.514185091259</v>
      </c>
    </row>
    <row r="156" spans="12:15" x14ac:dyDescent="0.55000000000000004">
      <c r="L156">
        <v>151</v>
      </c>
      <c r="M156">
        <v>6.9576659999999997</v>
      </c>
      <c r="N156">
        <v>107270.860264</v>
      </c>
      <c r="O156">
        <f t="shared" si="5"/>
        <v>15417.650152220587</v>
      </c>
    </row>
    <row r="157" spans="12:15" x14ac:dyDescent="0.55000000000000004">
      <c r="L157">
        <v>152</v>
      </c>
      <c r="M157">
        <v>6.887327</v>
      </c>
      <c r="N157">
        <v>106530.378147</v>
      </c>
      <c r="O157">
        <f t="shared" si="5"/>
        <v>15467.594053106524</v>
      </c>
    </row>
    <row r="158" spans="12:15" x14ac:dyDescent="0.55000000000000004">
      <c r="L158">
        <v>153</v>
      </c>
      <c r="M158">
        <v>6.8187629999999997</v>
      </c>
      <c r="N158">
        <v>105796.646973</v>
      </c>
      <c r="O158">
        <f t="shared" si="5"/>
        <v>15515.519013199315</v>
      </c>
    </row>
    <row r="159" spans="12:15" x14ac:dyDescent="0.55000000000000004">
      <c r="L159">
        <v>154</v>
      </c>
      <c r="M159">
        <v>6.7518380000000002</v>
      </c>
      <c r="N159">
        <v>105069.489078</v>
      </c>
      <c r="O159">
        <f t="shared" si="5"/>
        <v>15561.61286423045</v>
      </c>
    </row>
    <row r="160" spans="12:15" x14ac:dyDescent="0.55000000000000004">
      <c r="L160">
        <v>155</v>
      </c>
      <c r="M160">
        <v>6.6864189999999999</v>
      </c>
      <c r="N160">
        <v>104348.73017</v>
      </c>
      <c r="O160">
        <f t="shared" si="5"/>
        <v>15606.071077807119</v>
      </c>
    </row>
    <row r="161" spans="12:15" x14ac:dyDescent="0.55000000000000004">
      <c r="L161">
        <v>156</v>
      </c>
      <c r="M161">
        <v>6.622376</v>
      </c>
      <c r="N161">
        <v>103634.199664</v>
      </c>
      <c r="O161">
        <f t="shared" si="5"/>
        <v>15649.096285683567</v>
      </c>
    </row>
    <row r="162" spans="12:15" x14ac:dyDescent="0.55000000000000004">
      <c r="L162">
        <v>157</v>
      </c>
      <c r="M162">
        <v>6.5595809999999997</v>
      </c>
      <c r="N162">
        <v>102925.731009</v>
      </c>
      <c r="O162">
        <f t="shared" si="5"/>
        <v>15690.900228078592</v>
      </c>
    </row>
    <row r="163" spans="12:15" x14ac:dyDescent="0.55000000000000004">
      <c r="L163">
        <v>158</v>
      </c>
      <c r="M163">
        <v>6.4979100000000001</v>
      </c>
      <c r="N163">
        <v>102223.16201</v>
      </c>
      <c r="O163">
        <f t="shared" si="5"/>
        <v>15731.698655413817</v>
      </c>
    </row>
    <row r="164" spans="12:15" x14ac:dyDescent="0.55000000000000004">
      <c r="L164">
        <v>159</v>
      </c>
      <c r="M164">
        <v>6.4372400000000001</v>
      </c>
      <c r="N164">
        <v>101526.335131</v>
      </c>
      <c r="O164">
        <f t="shared" si="5"/>
        <v>15771.718179064319</v>
      </c>
    </row>
    <row r="165" spans="12:15" x14ac:dyDescent="0.55000000000000004">
      <c r="L165">
        <v>160</v>
      </c>
      <c r="M165">
        <v>6.3774550000000003</v>
      </c>
      <c r="N165">
        <v>100835.097804</v>
      </c>
      <c r="O165">
        <f t="shared" si="5"/>
        <v>15811.18138881419</v>
      </c>
    </row>
    <row r="166" spans="12:15" x14ac:dyDescent="0.55000000000000004">
      <c r="L166">
        <v>161</v>
      </c>
      <c r="M166">
        <v>6.3184389999999997</v>
      </c>
      <c r="N166">
        <v>100149.302708</v>
      </c>
      <c r="O166">
        <f t="shared" si="5"/>
        <v>15850.323585936338</v>
      </c>
    </row>
    <row r="167" spans="12:15" x14ac:dyDescent="0.55000000000000004">
      <c r="L167">
        <v>162</v>
      </c>
      <c r="M167">
        <v>6.260084</v>
      </c>
      <c r="N167">
        <v>99468.808055999994</v>
      </c>
      <c r="O167">
        <f t="shared" si="5"/>
        <v>15889.37273940733</v>
      </c>
    </row>
    <row r="168" spans="12:15" x14ac:dyDescent="0.55000000000000004">
      <c r="L168">
        <v>163</v>
      </c>
      <c r="M168">
        <v>6.2022839999999997</v>
      </c>
      <c r="N168">
        <v>98793.477851999996</v>
      </c>
      <c r="O168">
        <f t="shared" si="5"/>
        <v>15928.56403415258</v>
      </c>
    </row>
    <row r="169" spans="12:15" x14ac:dyDescent="0.55000000000000004">
      <c r="L169">
        <v>164</v>
      </c>
      <c r="M169">
        <v>6.1449379999999998</v>
      </c>
      <c r="N169">
        <v>98123.182144999999</v>
      </c>
      <c r="O169">
        <f t="shared" si="5"/>
        <v>15968.132167484848</v>
      </c>
    </row>
    <row r="170" spans="12:15" x14ac:dyDescent="0.55000000000000004">
      <c r="L170">
        <v>165</v>
      </c>
      <c r="M170">
        <v>6.0879500000000002</v>
      </c>
      <c r="N170">
        <v>97457.797267000002</v>
      </c>
      <c r="O170">
        <f t="shared" si="5"/>
        <v>16008.311051667639</v>
      </c>
    </row>
    <row r="171" spans="12:15" x14ac:dyDescent="0.55000000000000004">
      <c r="L171">
        <v>166</v>
      </c>
      <c r="M171">
        <v>6.0312289999999997</v>
      </c>
      <c r="N171">
        <v>96797.206057999996</v>
      </c>
      <c r="O171">
        <f t="shared" si="5"/>
        <v>16049.333569990462</v>
      </c>
    </row>
    <row r="172" spans="12:15" x14ac:dyDescent="0.55000000000000004">
      <c r="L172">
        <v>167</v>
      </c>
      <c r="M172">
        <v>5.9746899999999998</v>
      </c>
      <c r="N172">
        <v>96141.298072000005</v>
      </c>
      <c r="O172">
        <f t="shared" si="5"/>
        <v>16091.428688685104</v>
      </c>
    </row>
    <row r="173" spans="12:15" x14ac:dyDescent="0.55000000000000004">
      <c r="L173">
        <v>168</v>
      </c>
      <c r="M173">
        <v>5.9182519999999998</v>
      </c>
      <c r="N173">
        <v>95489.969769999996</v>
      </c>
      <c r="O173">
        <f t="shared" si="5"/>
        <v>16134.826595758343</v>
      </c>
    </row>
    <row r="174" spans="12:15" x14ac:dyDescent="0.55000000000000004">
      <c r="L174">
        <v>169</v>
      </c>
      <c r="M174">
        <v>5.8618410000000001</v>
      </c>
      <c r="N174">
        <v>94843.124697000007</v>
      </c>
      <c r="O174">
        <f t="shared" si="5"/>
        <v>16179.750473784601</v>
      </c>
    </row>
    <row r="175" spans="12:15" x14ac:dyDescent="0.55000000000000004">
      <c r="L175">
        <v>170</v>
      </c>
      <c r="M175">
        <v>5.8053869999999996</v>
      </c>
      <c r="N175">
        <v>94200.673641999994</v>
      </c>
      <c r="O175">
        <f t="shared" si="5"/>
        <v>16226.4244643811</v>
      </c>
    </row>
    <row r="176" spans="12:15" x14ac:dyDescent="0.55000000000000004">
      <c r="L176">
        <v>171</v>
      </c>
      <c r="M176">
        <v>5.7488270000000004</v>
      </c>
      <c r="N176">
        <v>93562.534780999995</v>
      </c>
      <c r="O176">
        <f t="shared" si="5"/>
        <v>16275.065292624042</v>
      </c>
    </row>
    <row r="177" spans="12:15" x14ac:dyDescent="0.55000000000000004">
      <c r="L177">
        <v>172</v>
      </c>
      <c r="M177">
        <v>5.6921039999999996</v>
      </c>
      <c r="N177">
        <v>92928.633805999998</v>
      </c>
      <c r="O177">
        <f t="shared" si="5"/>
        <v>16325.884735415939</v>
      </c>
    </row>
    <row r="178" spans="12:15" x14ac:dyDescent="0.55000000000000004">
      <c r="L178">
        <v>173</v>
      </c>
      <c r="M178">
        <v>5.6351649999999998</v>
      </c>
      <c r="N178">
        <v>92298.904026999997</v>
      </c>
      <c r="O178">
        <f t="shared" si="5"/>
        <v>16379.095204310788</v>
      </c>
    </row>
    <row r="179" spans="12:15" x14ac:dyDescent="0.55000000000000004">
      <c r="L179">
        <v>174</v>
      </c>
      <c r="M179">
        <v>5.577966</v>
      </c>
      <c r="N179">
        <v>91673.286470999999</v>
      </c>
      <c r="O179">
        <f t="shared" si="5"/>
        <v>16434.895169852236</v>
      </c>
    </row>
    <row r="180" spans="12:15" x14ac:dyDescent="0.55000000000000004">
      <c r="L180">
        <v>175</v>
      </c>
      <c r="M180">
        <v>5.5204649999999997</v>
      </c>
      <c r="N180">
        <v>91051.729946000007</v>
      </c>
      <c r="O180">
        <f t="shared" si="5"/>
        <v>16493.489216216389</v>
      </c>
    </row>
    <row r="181" spans="12:15" x14ac:dyDescent="0.55000000000000004">
      <c r="L181">
        <v>176</v>
      </c>
      <c r="M181">
        <v>5.4626299999999999</v>
      </c>
      <c r="N181">
        <v>90434.191101999997</v>
      </c>
      <c r="O181">
        <f t="shared" si="5"/>
        <v>16555.064337507756</v>
      </c>
    </row>
    <row r="182" spans="12:15" x14ac:dyDescent="0.55000000000000004">
      <c r="L182">
        <v>177</v>
      </c>
      <c r="M182">
        <v>5.4044319999999999</v>
      </c>
      <c r="N182">
        <v>89820.634466000003</v>
      </c>
      <c r="O182">
        <f t="shared" si="5"/>
        <v>16619.810271643717</v>
      </c>
    </row>
    <row r="183" spans="12:15" x14ac:dyDescent="0.55000000000000004">
      <c r="L183">
        <v>178</v>
      </c>
      <c r="M183">
        <v>5.3458490000000003</v>
      </c>
      <c r="N183">
        <v>89211.032458999995</v>
      </c>
      <c r="O183">
        <f t="shared" si="5"/>
        <v>16687.907282641165</v>
      </c>
    </row>
    <row r="184" spans="12:15" x14ac:dyDescent="0.55000000000000004">
      <c r="L184">
        <v>179</v>
      </c>
      <c r="M184">
        <v>5.2868659999999998</v>
      </c>
      <c r="N184">
        <v>88605.365395000001</v>
      </c>
      <c r="O184">
        <f t="shared" si="5"/>
        <v>16759.52547217955</v>
      </c>
    </row>
    <row r="185" spans="12:15" x14ac:dyDescent="0.55000000000000004">
      <c r="L185">
        <v>180</v>
      </c>
      <c r="M185">
        <v>5.2274710000000004</v>
      </c>
      <c r="N185">
        <v>88003.621465999997</v>
      </c>
      <c r="O185">
        <f t="shared" si="5"/>
        <v>16834.836858205428</v>
      </c>
    </row>
    <row r="186" spans="12:15" x14ac:dyDescent="0.55000000000000004">
      <c r="L186">
        <v>181</v>
      </c>
      <c r="M186">
        <v>5.1676609999999998</v>
      </c>
      <c r="N186">
        <v>87405.796703999993</v>
      </c>
      <c r="O186">
        <f t="shared" si="5"/>
        <v>16913.995849185925</v>
      </c>
    </row>
    <row r="187" spans="12:15" x14ac:dyDescent="0.55000000000000004">
      <c r="L187">
        <v>182</v>
      </c>
      <c r="M187">
        <v>5.1074349999999997</v>
      </c>
      <c r="N187">
        <v>86811.894927000001</v>
      </c>
      <c r="O187">
        <f t="shared" si="5"/>
        <v>16997.160987266605</v>
      </c>
    </row>
    <row r="188" spans="12:15" x14ac:dyDescent="0.55000000000000004">
      <c r="L188">
        <v>183</v>
      </c>
      <c r="M188">
        <v>5.0468010000000003</v>
      </c>
      <c r="N188">
        <v>86221.927666999996</v>
      </c>
      <c r="O188">
        <f t="shared" si="5"/>
        <v>17084.471463606351</v>
      </c>
    </row>
    <row r="189" spans="12:15" x14ac:dyDescent="0.55000000000000004">
      <c r="L189">
        <v>184</v>
      </c>
      <c r="M189">
        <v>4.9857690000000003</v>
      </c>
      <c r="N189">
        <v>85635.914084000004</v>
      </c>
      <c r="O189">
        <f t="shared" si="5"/>
        <v>17176.069345370794</v>
      </c>
    </row>
    <row r="190" spans="12:15" x14ac:dyDescent="0.55000000000000004">
      <c r="L190">
        <v>185</v>
      </c>
      <c r="M190">
        <v>4.9243579999999998</v>
      </c>
      <c r="N190">
        <v>85053.880854999996</v>
      </c>
      <c r="O190">
        <f t="shared" si="5"/>
        <v>17272.075030897427</v>
      </c>
    </row>
    <row r="191" spans="12:15" x14ac:dyDescent="0.55000000000000004">
      <c r="L191">
        <v>186</v>
      </c>
      <c r="M191">
        <v>4.8625889999999998</v>
      </c>
      <c r="N191">
        <v>84475.862057000006</v>
      </c>
      <c r="O191">
        <f t="shared" si="5"/>
        <v>17372.609952640458</v>
      </c>
    </row>
    <row r="192" spans="12:15" x14ac:dyDescent="0.55000000000000004">
      <c r="L192">
        <v>187</v>
      </c>
      <c r="M192">
        <v>4.8004879999999996</v>
      </c>
      <c r="N192">
        <v>83901.899025999999</v>
      </c>
      <c r="O192">
        <f t="shared" si="5"/>
        <v>17477.785388902128</v>
      </c>
    </row>
    <row r="193" spans="12:15" x14ac:dyDescent="0.55000000000000004">
      <c r="L193">
        <v>188</v>
      </c>
      <c r="M193">
        <v>4.7380880000000003</v>
      </c>
      <c r="N193">
        <v>83332.040202000004</v>
      </c>
      <c r="O193">
        <f t="shared" si="5"/>
        <v>17587.69364393401</v>
      </c>
    </row>
    <row r="194" spans="12:15" x14ac:dyDescent="0.55000000000000004">
      <c r="L194">
        <v>189</v>
      </c>
      <c r="M194">
        <v>4.6754230000000003</v>
      </c>
      <c r="N194">
        <v>82766.340958999994</v>
      </c>
      <c r="O194">
        <f t="shared" si="5"/>
        <v>17702.428413215228</v>
      </c>
    </row>
    <row r="195" spans="12:15" x14ac:dyDescent="0.55000000000000004">
      <c r="L195">
        <v>190</v>
      </c>
      <c r="M195">
        <v>4.6125340000000001</v>
      </c>
      <c r="N195">
        <v>82204.863425000003</v>
      </c>
      <c r="O195">
        <f t="shared" si="5"/>
        <v>17822.06124117459</v>
      </c>
    </row>
    <row r="196" spans="12:15" x14ac:dyDescent="0.55000000000000004">
      <c r="L196">
        <v>191</v>
      </c>
      <c r="M196">
        <v>4.5494640000000004</v>
      </c>
      <c r="N196">
        <v>81647.676277999999</v>
      </c>
      <c r="O196">
        <f t="shared" si="5"/>
        <v>17946.658392724945</v>
      </c>
    </row>
    <row r="197" spans="12:15" x14ac:dyDescent="0.55000000000000004">
      <c r="L197">
        <v>192</v>
      </c>
      <c r="M197">
        <v>4.486262</v>
      </c>
      <c r="N197">
        <v>81094.854538</v>
      </c>
      <c r="O197">
        <f t="shared" si="5"/>
        <v>18076.263610551501</v>
      </c>
    </row>
    <row r="198" spans="12:15" x14ac:dyDescent="0.55000000000000004">
      <c r="L198">
        <v>193</v>
      </c>
      <c r="M198">
        <v>4.4229789999999998</v>
      </c>
      <c r="N198">
        <v>80546.479344000007</v>
      </c>
      <c r="O198">
        <f t="shared" ref="O198:O261" si="6">N198/M198</f>
        <v>18210.911547172167</v>
      </c>
    </row>
    <row r="199" spans="12:15" x14ac:dyDescent="0.55000000000000004">
      <c r="L199">
        <v>194</v>
      </c>
      <c r="M199">
        <v>4.3596690000000002</v>
      </c>
      <c r="N199">
        <v>80002.637711000003</v>
      </c>
      <c r="O199">
        <f t="shared" si="6"/>
        <v>18350.621964878526</v>
      </c>
    </row>
    <row r="200" spans="12:15" x14ac:dyDescent="0.55000000000000004">
      <c r="L200">
        <v>195</v>
      </c>
      <c r="M200">
        <v>4.2963899999999997</v>
      </c>
      <c r="N200">
        <v>79463.422305999993</v>
      </c>
      <c r="O200">
        <f t="shared" si="6"/>
        <v>18495.393180321153</v>
      </c>
    </row>
    <row r="201" spans="12:15" x14ac:dyDescent="0.55000000000000004">
      <c r="L201">
        <v>196</v>
      </c>
      <c r="M201">
        <v>4.2332020000000004</v>
      </c>
      <c r="N201">
        <v>78928.931028999999</v>
      </c>
      <c r="O201">
        <f t="shared" si="6"/>
        <v>18645.207818809497</v>
      </c>
    </row>
    <row r="202" spans="12:15" x14ac:dyDescent="0.55000000000000004">
      <c r="L202">
        <v>197</v>
      </c>
      <c r="M202">
        <v>4.170166</v>
      </c>
      <c r="N202">
        <v>78399.267305000001</v>
      </c>
      <c r="O202">
        <f t="shared" si="6"/>
        <v>18800.035131694996</v>
      </c>
    </row>
    <row r="203" spans="12:15" x14ac:dyDescent="0.55000000000000004">
      <c r="L203">
        <v>198</v>
      </c>
      <c r="M203">
        <v>4.1073500000000003</v>
      </c>
      <c r="N203">
        <v>77874.544790999993</v>
      </c>
      <c r="O203">
        <f t="shared" si="6"/>
        <v>18959.802498204437</v>
      </c>
    </row>
    <row r="204" spans="12:15" x14ac:dyDescent="0.55000000000000004">
      <c r="L204">
        <v>199</v>
      </c>
      <c r="M204">
        <v>4.0447990000000003</v>
      </c>
      <c r="N204">
        <v>77354.772586000006</v>
      </c>
      <c r="O204">
        <f t="shared" si="6"/>
        <v>19124.503488554066</v>
      </c>
    </row>
    <row r="205" spans="12:15" x14ac:dyDescent="0.55000000000000004">
      <c r="L205">
        <v>200</v>
      </c>
      <c r="M205">
        <v>3.9827759999999999</v>
      </c>
      <c r="N205">
        <v>76841.062711999999</v>
      </c>
      <c r="O205">
        <f t="shared" si="6"/>
        <v>19293.342812149116</v>
      </c>
    </row>
    <row r="206" spans="12:15" x14ac:dyDescent="0.55000000000000004">
      <c r="L206">
        <v>201</v>
      </c>
      <c r="M206">
        <v>3.9202330000000001</v>
      </c>
      <c r="N206">
        <v>76327.814484999995</v>
      </c>
      <c r="O206">
        <f t="shared" si="6"/>
        <v>19470.223959902381</v>
      </c>
    </row>
    <row r="207" spans="12:15" x14ac:dyDescent="0.55000000000000004">
      <c r="L207">
        <v>202</v>
      </c>
      <c r="M207">
        <v>3.8574470000000001</v>
      </c>
      <c r="N207">
        <v>75816.178058000005</v>
      </c>
      <c r="O207">
        <f t="shared" si="6"/>
        <v>19654.496369749217</v>
      </c>
    </row>
    <row r="208" spans="12:15" x14ac:dyDescent="0.55000000000000004">
      <c r="L208">
        <v>203</v>
      </c>
      <c r="M208">
        <v>3.7944810000000002</v>
      </c>
      <c r="N208">
        <v>75306.201182000004</v>
      </c>
      <c r="O208">
        <f t="shared" si="6"/>
        <v>19846.24542381422</v>
      </c>
    </row>
    <row r="209" spans="12:15" x14ac:dyDescent="0.55000000000000004">
      <c r="L209">
        <v>204</v>
      </c>
      <c r="M209">
        <v>3.731417</v>
      </c>
      <c r="N209">
        <v>74798.043286999993</v>
      </c>
      <c r="O209">
        <f t="shared" si="6"/>
        <v>20045.479582421369</v>
      </c>
    </row>
    <row r="210" spans="12:15" x14ac:dyDescent="0.55000000000000004">
      <c r="L210">
        <v>205</v>
      </c>
      <c r="M210">
        <v>3.6683370000000002</v>
      </c>
      <c r="N210">
        <v>74291.859964000003</v>
      </c>
      <c r="O210">
        <f t="shared" si="6"/>
        <v>20252.190560463772</v>
      </c>
    </row>
    <row r="211" spans="12:15" x14ac:dyDescent="0.55000000000000004">
      <c r="L211">
        <v>206</v>
      </c>
      <c r="M211">
        <v>3.6053199999999999</v>
      </c>
      <c r="N211">
        <v>73787.807656999998</v>
      </c>
      <c r="O211">
        <f t="shared" si="6"/>
        <v>20466.368493504044</v>
      </c>
    </row>
    <row r="212" spans="12:15" x14ac:dyDescent="0.55000000000000004">
      <c r="L212">
        <v>207</v>
      </c>
      <c r="M212">
        <v>3.5424470000000001</v>
      </c>
      <c r="N212">
        <v>73286.043906999999</v>
      </c>
      <c r="O212">
        <f t="shared" si="6"/>
        <v>20687.971875655443</v>
      </c>
    </row>
    <row r="213" spans="12:15" x14ac:dyDescent="0.55000000000000004">
      <c r="L213">
        <v>208</v>
      </c>
      <c r="M213">
        <v>3.4797950000000002</v>
      </c>
      <c r="N213">
        <v>72786.726857999995</v>
      </c>
      <c r="O213">
        <f t="shared" si="6"/>
        <v>20916.958285761084</v>
      </c>
    </row>
    <row r="214" spans="12:15" x14ac:dyDescent="0.55000000000000004">
      <c r="L214">
        <v>209</v>
      </c>
      <c r="M214">
        <v>3.4174419999999999</v>
      </c>
      <c r="N214">
        <v>72290.014958999993</v>
      </c>
      <c r="O214">
        <f t="shared" si="6"/>
        <v>21153.252918118287</v>
      </c>
    </row>
    <row r="215" spans="12:15" x14ac:dyDescent="0.55000000000000004">
      <c r="L215">
        <v>210</v>
      </c>
      <c r="M215">
        <v>3.3554620000000002</v>
      </c>
      <c r="N215">
        <v>71796.066638999997</v>
      </c>
      <c r="O215">
        <f t="shared" si="6"/>
        <v>21396.775358803046</v>
      </c>
    </row>
    <row r="216" spans="12:15" x14ac:dyDescent="0.55000000000000004">
      <c r="L216">
        <v>211</v>
      </c>
      <c r="M216">
        <v>3.2939289999999999</v>
      </c>
      <c r="N216">
        <v>71305.039986999996</v>
      </c>
      <c r="O216">
        <f t="shared" si="6"/>
        <v>21647.412554126091</v>
      </c>
    </row>
    <row r="217" spans="12:15" x14ac:dyDescent="0.55000000000000004">
      <c r="L217">
        <v>212</v>
      </c>
      <c r="M217">
        <v>3.2329119999999998</v>
      </c>
      <c r="N217">
        <v>70817.092436999999</v>
      </c>
      <c r="O217">
        <f t="shared" si="6"/>
        <v>21905.047968209466</v>
      </c>
    </row>
    <row r="218" spans="12:15" x14ac:dyDescent="0.55000000000000004">
      <c r="L218">
        <v>213</v>
      </c>
      <c r="M218">
        <v>3.1724809999999999</v>
      </c>
      <c r="N218">
        <v>70332.38046</v>
      </c>
      <c r="O218">
        <f t="shared" si="6"/>
        <v>22169.519836367814</v>
      </c>
    </row>
    <row r="219" spans="12:15" x14ac:dyDescent="0.55000000000000004">
      <c r="L219">
        <v>214</v>
      </c>
      <c r="M219">
        <v>3.1127020000000001</v>
      </c>
      <c r="N219">
        <v>69851.059252000006</v>
      </c>
      <c r="O219">
        <f t="shared" si="6"/>
        <v>22440.651000963153</v>
      </c>
    </row>
    <row r="220" spans="12:15" x14ac:dyDescent="0.55000000000000004">
      <c r="L220">
        <v>215</v>
      </c>
      <c r="M220">
        <v>3.053636</v>
      </c>
      <c r="N220">
        <v>69373.282439999995</v>
      </c>
      <c r="O220">
        <f t="shared" si="6"/>
        <v>22718.255365079531</v>
      </c>
    </row>
    <row r="221" spans="12:15" x14ac:dyDescent="0.55000000000000004">
      <c r="L221">
        <v>216</v>
      </c>
      <c r="M221">
        <v>2.9953460000000001</v>
      </c>
      <c r="N221">
        <v>68899.201786000005</v>
      </c>
      <c r="O221">
        <f t="shared" si="6"/>
        <v>23002.084495747738</v>
      </c>
    </row>
    <row r="222" spans="12:15" x14ac:dyDescent="0.55000000000000004">
      <c r="L222">
        <v>217</v>
      </c>
      <c r="M222">
        <v>2.9378869999999999</v>
      </c>
      <c r="N222">
        <v>68428.966902</v>
      </c>
      <c r="O222">
        <f t="shared" si="6"/>
        <v>23291.898872216665</v>
      </c>
    </row>
    <row r="223" spans="12:15" x14ac:dyDescent="0.55000000000000004">
      <c r="L223">
        <v>218</v>
      </c>
      <c r="M223">
        <v>2.8813140000000002</v>
      </c>
      <c r="N223">
        <v>67962.724973000004</v>
      </c>
      <c r="O223">
        <f t="shared" si="6"/>
        <v>23587.406639123677</v>
      </c>
    </row>
    <row r="224" spans="12:15" x14ac:dyDescent="0.55000000000000004">
      <c r="L224">
        <v>219</v>
      </c>
      <c r="M224">
        <v>2.8256779999999999</v>
      </c>
      <c r="N224">
        <v>67500.620486999993</v>
      </c>
      <c r="O224">
        <f t="shared" si="6"/>
        <v>23888.29176112777</v>
      </c>
    </row>
    <row r="225" spans="12:15" x14ac:dyDescent="0.55000000000000004">
      <c r="L225">
        <v>220</v>
      </c>
      <c r="M225">
        <v>2.7710270000000001</v>
      </c>
      <c r="N225">
        <v>67042.794976000005</v>
      </c>
      <c r="O225">
        <f t="shared" si="6"/>
        <v>24194.204883604529</v>
      </c>
    </row>
    <row r="226" spans="12:15" x14ac:dyDescent="0.55000000000000004">
      <c r="L226">
        <v>221</v>
      </c>
      <c r="M226">
        <v>2.7174040000000002</v>
      </c>
      <c r="N226">
        <v>66589.386763000002</v>
      </c>
      <c r="O226">
        <f t="shared" si="6"/>
        <v>24504.779842452575</v>
      </c>
    </row>
    <row r="227" spans="12:15" x14ac:dyDescent="0.55000000000000004">
      <c r="L227">
        <v>222</v>
      </c>
      <c r="M227">
        <v>2.6648499999999999</v>
      </c>
      <c r="N227">
        <v>66140.530725999997</v>
      </c>
      <c r="O227">
        <f t="shared" si="6"/>
        <v>24819.607379777473</v>
      </c>
    </row>
    <row r="228" spans="12:15" x14ac:dyDescent="0.55000000000000004">
      <c r="L228">
        <v>223</v>
      </c>
      <c r="M228">
        <v>2.6134029999999999</v>
      </c>
      <c r="N228">
        <v>65696.358066999994</v>
      </c>
      <c r="O228">
        <f t="shared" si="6"/>
        <v>25138.242386268019</v>
      </c>
    </row>
    <row r="229" spans="12:15" x14ac:dyDescent="0.55000000000000004">
      <c r="L229">
        <v>224</v>
      </c>
      <c r="M229">
        <v>2.5630959999999998</v>
      </c>
      <c r="N229">
        <v>65256.996093000002</v>
      </c>
      <c r="O229">
        <f t="shared" si="6"/>
        <v>25460.223141466417</v>
      </c>
    </row>
    <row r="230" spans="12:15" x14ac:dyDescent="0.55000000000000004">
      <c r="L230">
        <v>225</v>
      </c>
      <c r="M230">
        <v>2.5139589999999998</v>
      </c>
      <c r="N230">
        <v>64822.568012999996</v>
      </c>
      <c r="O230">
        <f t="shared" si="6"/>
        <v>25785.053778920021</v>
      </c>
    </row>
    <row r="231" spans="12:15" x14ac:dyDescent="0.55000000000000004">
      <c r="L231">
        <v>226</v>
      </c>
      <c r="M231">
        <v>2.4660190000000002</v>
      </c>
      <c r="N231">
        <v>64393.192735999997</v>
      </c>
      <c r="O231">
        <f t="shared" si="6"/>
        <v>26112.204624538575</v>
      </c>
    </row>
    <row r="232" spans="12:15" x14ac:dyDescent="0.55000000000000004">
      <c r="L232">
        <v>227</v>
      </c>
      <c r="M232">
        <v>2.4192999999999998</v>
      </c>
      <c r="N232">
        <v>63968.984696</v>
      </c>
      <c r="O232">
        <f t="shared" si="6"/>
        <v>26441.113006241478</v>
      </c>
    </row>
    <row r="233" spans="12:15" x14ac:dyDescent="0.55000000000000004">
      <c r="L233">
        <v>228</v>
      </c>
      <c r="M233">
        <v>2.3738199999999998</v>
      </c>
      <c r="N233">
        <v>63550.053679999997</v>
      </c>
      <c r="O233">
        <f t="shared" si="6"/>
        <v>26771.218407461391</v>
      </c>
    </row>
    <row r="234" spans="12:15" x14ac:dyDescent="0.55000000000000004">
      <c r="L234">
        <v>229</v>
      </c>
      <c r="M234">
        <v>2.329596</v>
      </c>
      <c r="N234">
        <v>63136.504665</v>
      </c>
      <c r="O234">
        <f t="shared" si="6"/>
        <v>27101.911518134475</v>
      </c>
    </row>
    <row r="235" spans="12:15" x14ac:dyDescent="0.55000000000000004">
      <c r="L235">
        <v>230</v>
      </c>
      <c r="M235">
        <v>2.2866409999999999</v>
      </c>
      <c r="N235">
        <v>62728.437682000003</v>
      </c>
      <c r="O235">
        <f t="shared" si="6"/>
        <v>27432.569293562043</v>
      </c>
    </row>
    <row r="236" spans="12:15" x14ac:dyDescent="0.55000000000000004">
      <c r="L236">
        <v>231</v>
      </c>
      <c r="M236">
        <v>2.244964</v>
      </c>
      <c r="N236">
        <v>62325.947676000003</v>
      </c>
      <c r="O236">
        <f t="shared" si="6"/>
        <v>27762.559967999488</v>
      </c>
    </row>
    <row r="237" spans="12:15" x14ac:dyDescent="0.55000000000000004">
      <c r="L237">
        <v>232</v>
      </c>
      <c r="M237">
        <v>2.2045729999999999</v>
      </c>
      <c r="N237">
        <v>61929.124393999999</v>
      </c>
      <c r="O237">
        <f t="shared" si="6"/>
        <v>28091.210585451241</v>
      </c>
    </row>
    <row r="238" spans="12:15" x14ac:dyDescent="0.55000000000000004">
      <c r="L238">
        <v>233</v>
      </c>
      <c r="M238">
        <v>2.16547</v>
      </c>
      <c r="N238">
        <v>61538.052275000002</v>
      </c>
      <c r="O238">
        <f t="shared" si="6"/>
        <v>28417.873383145463</v>
      </c>
    </row>
    <row r="239" spans="12:15" x14ac:dyDescent="0.55000000000000004">
      <c r="L239">
        <v>234</v>
      </c>
      <c r="M239">
        <v>2.127656</v>
      </c>
      <c r="N239">
        <v>61152.810360000003</v>
      </c>
      <c r="O239">
        <f t="shared" si="6"/>
        <v>28741.869155540182</v>
      </c>
    </row>
    <row r="240" spans="12:15" x14ac:dyDescent="0.55000000000000004">
      <c r="L240">
        <v>235</v>
      </c>
      <c r="M240">
        <v>2.091129</v>
      </c>
      <c r="N240">
        <v>60773.472211</v>
      </c>
      <c r="O240">
        <f t="shared" si="6"/>
        <v>29062.517047489659</v>
      </c>
    </row>
    <row r="241" spans="12:15" x14ac:dyDescent="0.55000000000000004">
      <c r="L241">
        <v>236</v>
      </c>
      <c r="M241">
        <v>2.055882</v>
      </c>
      <c r="N241">
        <v>60400.105844999998</v>
      </c>
      <c r="O241">
        <f t="shared" si="6"/>
        <v>29379.169546209363</v>
      </c>
    </row>
    <row r="242" spans="12:15" x14ac:dyDescent="0.55000000000000004">
      <c r="L242">
        <v>237</v>
      </c>
      <c r="M242">
        <v>2.021909</v>
      </c>
      <c r="N242">
        <v>60032.773684</v>
      </c>
      <c r="O242">
        <f t="shared" si="6"/>
        <v>29691.135300352293</v>
      </c>
    </row>
    <row r="243" spans="12:15" x14ac:dyDescent="0.55000000000000004">
      <c r="L243">
        <v>238</v>
      </c>
      <c r="M243">
        <v>1.989198</v>
      </c>
      <c r="N243">
        <v>59671.532509999997</v>
      </c>
      <c r="O243">
        <f t="shared" si="6"/>
        <v>29997.784287939157</v>
      </c>
    </row>
    <row r="244" spans="12:15" x14ac:dyDescent="0.55000000000000004">
      <c r="L244">
        <v>239</v>
      </c>
      <c r="M244">
        <v>1.957738</v>
      </c>
      <c r="N244">
        <v>59316.433439</v>
      </c>
      <c r="O244">
        <f t="shared" si="6"/>
        <v>30298.453336963372</v>
      </c>
    </row>
    <row r="245" spans="12:15" x14ac:dyDescent="0.55000000000000004">
      <c r="L245">
        <v>240</v>
      </c>
      <c r="M245">
        <v>1.9275119999999999</v>
      </c>
      <c r="N245">
        <v>58967.521907000002</v>
      </c>
      <c r="O245">
        <f t="shared" si="6"/>
        <v>30592.557611573888</v>
      </c>
    </row>
    <row r="246" spans="12:15" x14ac:dyDescent="0.55000000000000004">
      <c r="L246">
        <v>241</v>
      </c>
      <c r="M246">
        <v>1.898504</v>
      </c>
      <c r="N246">
        <v>58624.837665999999</v>
      </c>
      <c r="O246">
        <f t="shared" si="6"/>
        <v>30879.491255219898</v>
      </c>
    </row>
    <row r="247" spans="12:15" x14ac:dyDescent="0.55000000000000004">
      <c r="L247">
        <v>242</v>
      </c>
      <c r="M247">
        <v>1.8706940000000001</v>
      </c>
      <c r="N247">
        <v>58288.414792000003</v>
      </c>
      <c r="O247">
        <f t="shared" si="6"/>
        <v>31158.711575490168</v>
      </c>
    </row>
    <row r="248" spans="12:15" x14ac:dyDescent="0.55000000000000004">
      <c r="L248">
        <v>243</v>
      </c>
      <c r="M248">
        <v>1.8440620000000001</v>
      </c>
      <c r="N248">
        <v>57958.281711000003</v>
      </c>
      <c r="O248">
        <f t="shared" si="6"/>
        <v>31429.681708641034</v>
      </c>
    </row>
    <row r="249" spans="12:15" x14ac:dyDescent="0.55000000000000004">
      <c r="L249">
        <v>244</v>
      </c>
      <c r="M249">
        <v>1.818586</v>
      </c>
      <c r="N249">
        <v>57634.461221999998</v>
      </c>
      <c r="O249">
        <f t="shared" si="6"/>
        <v>31691.908560826927</v>
      </c>
    </row>
    <row r="250" spans="12:15" x14ac:dyDescent="0.55000000000000004">
      <c r="L250">
        <v>245</v>
      </c>
      <c r="M250">
        <v>1.794241</v>
      </c>
      <c r="N250">
        <v>57316.970549999998</v>
      </c>
      <c r="O250">
        <f t="shared" si="6"/>
        <v>31944.967565672614</v>
      </c>
    </row>
    <row r="251" spans="12:15" x14ac:dyDescent="0.55000000000000004">
      <c r="L251">
        <v>246</v>
      </c>
      <c r="M251">
        <v>1.7710030000000001</v>
      </c>
      <c r="N251">
        <v>57005.821392999998</v>
      </c>
      <c r="O251">
        <f t="shared" si="6"/>
        <v>32188.438637879211</v>
      </c>
    </row>
    <row r="252" spans="12:15" x14ac:dyDescent="0.55000000000000004">
      <c r="L252">
        <v>247</v>
      </c>
      <c r="M252">
        <v>1.7488440000000001</v>
      </c>
      <c r="N252">
        <v>56701.019991000001</v>
      </c>
      <c r="O252">
        <f t="shared" si="6"/>
        <v>32421.999898790287</v>
      </c>
    </row>
    <row r="253" spans="12:15" x14ac:dyDescent="0.55000000000000004">
      <c r="L253">
        <v>248</v>
      </c>
      <c r="M253">
        <v>1.7277370000000001</v>
      </c>
      <c r="N253">
        <v>56402.567196999997</v>
      </c>
      <c r="O253">
        <f t="shared" si="6"/>
        <v>32645.343126297576</v>
      </c>
    </row>
    <row r="254" spans="12:15" x14ac:dyDescent="0.55000000000000004">
      <c r="L254">
        <v>249</v>
      </c>
      <c r="M254">
        <v>1.7076530000000001</v>
      </c>
      <c r="N254">
        <v>56110.458564</v>
      </c>
      <c r="O254">
        <f t="shared" si="6"/>
        <v>32858.232067053432</v>
      </c>
    </row>
    <row r="255" spans="12:15" x14ac:dyDescent="0.55000000000000004">
      <c r="L255">
        <v>250</v>
      </c>
      <c r="M255">
        <v>1.688564</v>
      </c>
      <c r="N255">
        <v>55824.684433000002</v>
      </c>
      <c r="O255">
        <f t="shared" si="6"/>
        <v>33060.449253330051</v>
      </c>
    </row>
    <row r="256" spans="12:15" x14ac:dyDescent="0.55000000000000004">
      <c r="L256">
        <v>251</v>
      </c>
      <c r="M256">
        <v>1.670439</v>
      </c>
      <c r="N256">
        <v>55545.230042000003</v>
      </c>
      <c r="O256">
        <f t="shared" si="6"/>
        <v>33251.875729673462</v>
      </c>
    </row>
    <row r="257" spans="12:15" x14ac:dyDescent="0.55000000000000004">
      <c r="L257">
        <v>252</v>
      </c>
      <c r="M257">
        <v>1.653249</v>
      </c>
      <c r="N257">
        <v>55272.075628999999</v>
      </c>
      <c r="O257">
        <f t="shared" si="6"/>
        <v>33432.396226460747</v>
      </c>
    </row>
    <row r="258" spans="12:15" x14ac:dyDescent="0.55000000000000004">
      <c r="L258">
        <v>253</v>
      </c>
      <c r="M258">
        <v>1.6369610000000001</v>
      </c>
      <c r="N258">
        <v>55005.196552000001</v>
      </c>
      <c r="O258">
        <f t="shared" si="6"/>
        <v>33602.02017763404</v>
      </c>
    </row>
    <row r="259" spans="12:15" x14ac:dyDescent="0.55000000000000004">
      <c r="L259">
        <v>254</v>
      </c>
      <c r="M259">
        <v>1.6215459999999999</v>
      </c>
      <c r="N259">
        <v>54744.563413000003</v>
      </c>
      <c r="O259">
        <f t="shared" si="6"/>
        <v>33760.721813010554</v>
      </c>
    </row>
    <row r="260" spans="12:15" x14ac:dyDescent="0.55000000000000004">
      <c r="L260">
        <v>255</v>
      </c>
      <c r="M260">
        <v>1.6069709999999999</v>
      </c>
      <c r="N260">
        <v>54490.142190999999</v>
      </c>
      <c r="O260">
        <f t="shared" si="6"/>
        <v>33908.603323270923</v>
      </c>
    </row>
    <row r="261" spans="12:15" x14ac:dyDescent="0.55000000000000004">
      <c r="L261">
        <v>256</v>
      </c>
      <c r="M261">
        <v>1.593207</v>
      </c>
      <c r="N261">
        <v>54241.894377999997</v>
      </c>
      <c r="O261">
        <f t="shared" si="6"/>
        <v>34045.729386074752</v>
      </c>
    </row>
    <row r="262" spans="12:15" x14ac:dyDescent="0.55000000000000004">
      <c r="L262">
        <v>257</v>
      </c>
      <c r="M262">
        <v>1.58022</v>
      </c>
      <c r="N262">
        <v>53999.777120999999</v>
      </c>
      <c r="O262">
        <f t="shared" ref="O262:O325" si="7">N262/M262</f>
        <v>34172.315956638951</v>
      </c>
    </row>
    <row r="263" spans="12:15" x14ac:dyDescent="0.55000000000000004">
      <c r="L263">
        <v>258</v>
      </c>
      <c r="M263">
        <v>1.567982</v>
      </c>
      <c r="N263">
        <v>53763.743374999998</v>
      </c>
      <c r="O263">
        <f t="shared" si="7"/>
        <v>34288.49526014967</v>
      </c>
    </row>
    <row r="264" spans="12:15" x14ac:dyDescent="0.55000000000000004">
      <c r="L264">
        <v>259</v>
      </c>
      <c r="M264">
        <v>1.55646</v>
      </c>
      <c r="N264">
        <v>53533.742051000001</v>
      </c>
      <c r="O264">
        <f t="shared" si="7"/>
        <v>34394.550487002562</v>
      </c>
    </row>
    <row r="265" spans="12:15" x14ac:dyDescent="0.55000000000000004">
      <c r="L265">
        <v>260</v>
      </c>
      <c r="M265">
        <v>1.5456240000000001</v>
      </c>
      <c r="N265">
        <v>53309.718174000001</v>
      </c>
      <c r="O265">
        <f t="shared" si="7"/>
        <v>34490.741715967139</v>
      </c>
    </row>
    <row r="266" spans="12:15" x14ac:dyDescent="0.55000000000000004">
      <c r="L266">
        <v>261</v>
      </c>
      <c r="M266">
        <v>1.535444</v>
      </c>
      <c r="N266">
        <v>53091.613047999999</v>
      </c>
      <c r="O266">
        <f t="shared" si="7"/>
        <v>34577.368531838343</v>
      </c>
    </row>
    <row r="267" spans="12:15" x14ac:dyDescent="0.55000000000000004">
      <c r="L267">
        <v>262</v>
      </c>
      <c r="M267">
        <v>1.52589</v>
      </c>
      <c r="N267">
        <v>52879.364415999997</v>
      </c>
      <c r="O267">
        <f t="shared" si="7"/>
        <v>34654.768309642241</v>
      </c>
    </row>
    <row r="268" spans="12:15" x14ac:dyDescent="0.55000000000000004">
      <c r="L268">
        <v>263</v>
      </c>
      <c r="M268">
        <v>1.516934</v>
      </c>
      <c r="N268">
        <v>52672.906629999998</v>
      </c>
      <c r="O268">
        <f t="shared" si="7"/>
        <v>34723.268533766131</v>
      </c>
    </row>
    <row r="269" spans="12:15" x14ac:dyDescent="0.55000000000000004">
      <c r="L269">
        <v>264</v>
      </c>
      <c r="M269">
        <v>1.5085470000000001</v>
      </c>
      <c r="N269">
        <v>52472.170816999998</v>
      </c>
      <c r="O269">
        <f t="shared" si="7"/>
        <v>34783.252240069414</v>
      </c>
    </row>
    <row r="270" spans="12:15" x14ac:dyDescent="0.55000000000000004">
      <c r="L270">
        <v>265</v>
      </c>
      <c r="M270">
        <v>1.5007010000000001</v>
      </c>
      <c r="N270">
        <v>52277.085052000002</v>
      </c>
      <c r="O270">
        <f t="shared" si="7"/>
        <v>34835.110426394065</v>
      </c>
    </row>
    <row r="271" spans="12:15" x14ac:dyDescent="0.55000000000000004">
      <c r="L271">
        <v>266</v>
      </c>
      <c r="M271">
        <v>1.493368</v>
      </c>
      <c r="N271">
        <v>52087.574530999998</v>
      </c>
      <c r="O271">
        <f t="shared" si="7"/>
        <v>34879.262533414403</v>
      </c>
    </row>
    <row r="272" spans="12:15" x14ac:dyDescent="0.55000000000000004">
      <c r="L272">
        <v>267</v>
      </c>
      <c r="M272">
        <v>1.486523</v>
      </c>
      <c r="N272">
        <v>51903.561741999998</v>
      </c>
      <c r="O272">
        <f t="shared" si="7"/>
        <v>34916.083869539856</v>
      </c>
    </row>
    <row r="273" spans="12:15" x14ac:dyDescent="0.55000000000000004">
      <c r="L273">
        <v>268</v>
      </c>
      <c r="M273">
        <v>1.48014</v>
      </c>
      <c r="N273">
        <v>51724.966637999998</v>
      </c>
      <c r="O273">
        <f t="shared" si="7"/>
        <v>34945.996080100529</v>
      </c>
    </row>
    <row r="274" spans="12:15" x14ac:dyDescent="0.55000000000000004">
      <c r="L274">
        <v>269</v>
      </c>
      <c r="M274">
        <v>1.474194</v>
      </c>
      <c r="N274">
        <v>51551.706813999997</v>
      </c>
      <c r="O274">
        <f t="shared" si="7"/>
        <v>34969.418417114706</v>
      </c>
    </row>
    <row r="275" spans="12:15" x14ac:dyDescent="0.55000000000000004">
      <c r="L275">
        <v>270</v>
      </c>
      <c r="M275">
        <v>1.468661</v>
      </c>
      <c r="N275">
        <v>51383.697676000003</v>
      </c>
      <c r="O275">
        <f t="shared" si="7"/>
        <v>34986.7652753086</v>
      </c>
    </row>
    <row r="276" spans="12:15" x14ac:dyDescent="0.55000000000000004">
      <c r="L276">
        <v>271</v>
      </c>
      <c r="M276">
        <v>1.463517</v>
      </c>
      <c r="N276">
        <v>51220.852614000003</v>
      </c>
      <c r="O276">
        <f t="shared" si="7"/>
        <v>34998.467810076691</v>
      </c>
    </row>
    <row r="277" spans="12:15" x14ac:dyDescent="0.55000000000000004">
      <c r="L277">
        <v>272</v>
      </c>
      <c r="M277">
        <v>1.4587399999999999</v>
      </c>
      <c r="N277">
        <v>51063.083175</v>
      </c>
      <c r="O277">
        <f t="shared" si="7"/>
        <v>35004.924232556863</v>
      </c>
    </row>
    <row r="278" spans="12:15" x14ac:dyDescent="0.55000000000000004">
      <c r="L278">
        <v>273</v>
      </c>
      <c r="M278">
        <v>1.4543090000000001</v>
      </c>
      <c r="N278">
        <v>50910.299228999997</v>
      </c>
      <c r="O278">
        <f t="shared" si="7"/>
        <v>35006.521467583567</v>
      </c>
    </row>
    <row r="279" spans="12:15" x14ac:dyDescent="0.55000000000000004">
      <c r="L279">
        <v>274</v>
      </c>
      <c r="M279">
        <v>1.4502029999999999</v>
      </c>
      <c r="N279">
        <v>50762.409140000003</v>
      </c>
      <c r="O279">
        <f t="shared" si="7"/>
        <v>35003.65751553404</v>
      </c>
    </row>
    <row r="280" spans="12:15" x14ac:dyDescent="0.55000000000000004">
      <c r="L280">
        <v>275</v>
      </c>
      <c r="M280">
        <v>1.446402</v>
      </c>
      <c r="N280">
        <v>50619.319925999996</v>
      </c>
      <c r="O280">
        <f t="shared" si="7"/>
        <v>34996.715937892783</v>
      </c>
    </row>
    <row r="281" spans="12:15" x14ac:dyDescent="0.55000000000000004">
      <c r="L281">
        <v>276</v>
      </c>
      <c r="M281">
        <v>1.442887</v>
      </c>
      <c r="N281">
        <v>50480.937425999997</v>
      </c>
      <c r="O281">
        <f t="shared" si="7"/>
        <v>34986.064345995212</v>
      </c>
    </row>
    <row r="282" spans="12:15" x14ac:dyDescent="0.55000000000000004">
      <c r="L282">
        <v>277</v>
      </c>
      <c r="M282">
        <v>1.43964</v>
      </c>
      <c r="N282">
        <v>50347.166458</v>
      </c>
      <c r="O282">
        <f t="shared" si="7"/>
        <v>34972.05305354116</v>
      </c>
    </row>
    <row r="283" spans="12:15" x14ac:dyDescent="0.55000000000000004">
      <c r="L283">
        <v>278</v>
      </c>
      <c r="M283">
        <v>1.436644</v>
      </c>
      <c r="N283">
        <v>50217.910973999999</v>
      </c>
      <c r="O283">
        <f t="shared" si="7"/>
        <v>34955.013889314258</v>
      </c>
    </row>
    <row r="284" spans="12:15" x14ac:dyDescent="0.55000000000000004">
      <c r="L284">
        <v>279</v>
      </c>
      <c r="M284">
        <v>1.4338820000000001</v>
      </c>
      <c r="N284">
        <v>50093.074212</v>
      </c>
      <c r="O284">
        <f t="shared" si="7"/>
        <v>34935.283525422594</v>
      </c>
    </row>
    <row r="285" spans="12:15" x14ac:dyDescent="0.55000000000000004">
      <c r="L285">
        <v>280</v>
      </c>
      <c r="M285">
        <v>1.4313389999999999</v>
      </c>
      <c r="N285">
        <v>49972.558850000001</v>
      </c>
      <c r="O285">
        <f t="shared" si="7"/>
        <v>34913.153941868419</v>
      </c>
    </row>
    <row r="286" spans="12:15" x14ac:dyDescent="0.55000000000000004">
      <c r="L286">
        <v>281</v>
      </c>
      <c r="M286">
        <v>1.4289989999999999</v>
      </c>
      <c r="N286">
        <v>49856.267145999998</v>
      </c>
      <c r="O286">
        <f t="shared" si="7"/>
        <v>34888.944741039006</v>
      </c>
    </row>
    <row r="287" spans="12:15" x14ac:dyDescent="0.55000000000000004">
      <c r="L287">
        <v>282</v>
      </c>
      <c r="M287">
        <v>1.426849</v>
      </c>
      <c r="N287">
        <v>49744.10108</v>
      </c>
      <c r="O287">
        <f t="shared" si="7"/>
        <v>34862.904960510888</v>
      </c>
    </row>
    <row r="288" spans="12:15" x14ac:dyDescent="0.55000000000000004">
      <c r="L288">
        <v>283</v>
      </c>
      <c r="M288">
        <v>1.424876</v>
      </c>
      <c r="N288">
        <v>49635.962493999999</v>
      </c>
      <c r="O288">
        <f t="shared" si="7"/>
        <v>34835.285662752409</v>
      </c>
    </row>
    <row r="289" spans="12:15" x14ac:dyDescent="0.55000000000000004">
      <c r="L289">
        <v>284</v>
      </c>
      <c r="M289">
        <v>1.4230659999999999</v>
      </c>
      <c r="N289">
        <v>49531.753219999999</v>
      </c>
      <c r="O289">
        <f t="shared" si="7"/>
        <v>34806.364019658962</v>
      </c>
    </row>
    <row r="290" spans="12:15" x14ac:dyDescent="0.55000000000000004">
      <c r="L290">
        <v>285</v>
      </c>
      <c r="M290">
        <v>1.421408</v>
      </c>
      <c r="N290">
        <v>49431.375208999998</v>
      </c>
      <c r="O290">
        <f t="shared" si="7"/>
        <v>34776.345151427318</v>
      </c>
    </row>
    <row r="291" spans="12:15" x14ac:dyDescent="0.55000000000000004">
      <c r="L291">
        <v>286</v>
      </c>
      <c r="M291">
        <v>1.4198919999999999</v>
      </c>
      <c r="N291">
        <v>49334.730658</v>
      </c>
      <c r="O291">
        <f t="shared" si="7"/>
        <v>34745.410677713517</v>
      </c>
    </row>
    <row r="292" spans="12:15" x14ac:dyDescent="0.55000000000000004">
      <c r="L292">
        <v>287</v>
      </c>
      <c r="M292">
        <v>1.4185049999999999</v>
      </c>
      <c r="N292">
        <v>49241.722119999999</v>
      </c>
      <c r="O292">
        <f t="shared" si="7"/>
        <v>34713.816391200598</v>
      </c>
    </row>
    <row r="293" spans="12:15" x14ac:dyDescent="0.55000000000000004">
      <c r="L293">
        <v>288</v>
      </c>
      <c r="M293">
        <v>1.4172389999999999</v>
      </c>
      <c r="N293">
        <v>49152.252624000001</v>
      </c>
      <c r="O293">
        <f t="shared" si="7"/>
        <v>34681.69632927121</v>
      </c>
    </row>
    <row r="294" spans="12:15" x14ac:dyDescent="0.55000000000000004">
      <c r="L294">
        <v>289</v>
      </c>
      <c r="M294">
        <v>1.4160839999999999</v>
      </c>
      <c r="N294">
        <v>49066.225780000001</v>
      </c>
      <c r="O294">
        <f t="shared" si="7"/>
        <v>34649.233929625647</v>
      </c>
    </row>
    <row r="295" spans="12:15" x14ac:dyDescent="0.55000000000000004">
      <c r="L295">
        <v>290</v>
      </c>
      <c r="M295">
        <v>1.4150309999999999</v>
      </c>
      <c r="N295">
        <v>48983.545881999999</v>
      </c>
      <c r="O295">
        <f t="shared" si="7"/>
        <v>34616.588528449203</v>
      </c>
    </row>
    <row r="296" spans="12:15" x14ac:dyDescent="0.55000000000000004">
      <c r="L296">
        <v>291</v>
      </c>
      <c r="M296">
        <v>1.4140729999999999</v>
      </c>
      <c r="N296">
        <v>48904.118005999997</v>
      </c>
      <c r="O296">
        <f t="shared" si="7"/>
        <v>34583.87085108053</v>
      </c>
    </row>
    <row r="297" spans="12:15" x14ac:dyDescent="0.55000000000000004">
      <c r="L297">
        <v>292</v>
      </c>
      <c r="M297">
        <v>1.4132020000000001</v>
      </c>
      <c r="N297">
        <v>48827.848103999997</v>
      </c>
      <c r="O297">
        <f t="shared" si="7"/>
        <v>34551.216389447509</v>
      </c>
    </row>
    <row r="298" spans="12:15" x14ac:dyDescent="0.55000000000000004">
      <c r="L298">
        <v>293</v>
      </c>
      <c r="M298">
        <v>1.4124110000000001</v>
      </c>
      <c r="N298">
        <v>48754.643086999997</v>
      </c>
      <c r="O298">
        <f t="shared" si="7"/>
        <v>34518.73646339486</v>
      </c>
    </row>
    <row r="299" spans="12:15" x14ac:dyDescent="0.55000000000000004">
      <c r="L299">
        <v>294</v>
      </c>
      <c r="M299">
        <v>1.4116930000000001</v>
      </c>
      <c r="N299">
        <v>48684.410913</v>
      </c>
      <c r="O299">
        <f t="shared" si="7"/>
        <v>34486.542692355913</v>
      </c>
    </row>
    <row r="300" spans="12:15" x14ac:dyDescent="0.55000000000000004">
      <c r="L300">
        <v>295</v>
      </c>
      <c r="M300">
        <v>1.4110419999999999</v>
      </c>
      <c r="N300">
        <v>48617.060661000003</v>
      </c>
      <c r="O300">
        <f t="shared" si="7"/>
        <v>34454.722581609909</v>
      </c>
    </row>
    <row r="301" spans="12:15" x14ac:dyDescent="0.55000000000000004">
      <c r="L301">
        <v>296</v>
      </c>
      <c r="M301">
        <v>1.410452</v>
      </c>
      <c r="N301">
        <v>48552.502601</v>
      </c>
      <c r="O301">
        <f t="shared" si="7"/>
        <v>34423.364000334645</v>
      </c>
    </row>
    <row r="302" spans="12:15" x14ac:dyDescent="0.55000000000000004">
      <c r="L302">
        <v>297</v>
      </c>
      <c r="M302">
        <v>1.4099189999999999</v>
      </c>
      <c r="N302">
        <v>48490.648265999997</v>
      </c>
      <c r="O302">
        <f t="shared" si="7"/>
        <v>34392.506424837171</v>
      </c>
    </row>
    <row r="303" spans="12:15" x14ac:dyDescent="0.55000000000000004">
      <c r="L303">
        <v>298</v>
      </c>
      <c r="M303">
        <v>1.4094370000000001</v>
      </c>
      <c r="N303">
        <v>48431.410507000001</v>
      </c>
      <c r="O303">
        <f t="shared" si="7"/>
        <v>34362.238615134978</v>
      </c>
    </row>
    <row r="304" spans="12:15" x14ac:dyDescent="0.55000000000000004">
      <c r="L304">
        <v>299</v>
      </c>
      <c r="M304">
        <v>1.4090020000000001</v>
      </c>
      <c r="N304">
        <v>48374.703556</v>
      </c>
      <c r="O304">
        <f t="shared" si="7"/>
        <v>34332.601058053857</v>
      </c>
    </row>
    <row r="305" spans="12:15" x14ac:dyDescent="0.55000000000000004">
      <c r="L305">
        <v>300</v>
      </c>
      <c r="M305">
        <v>1.4086099999999999</v>
      </c>
      <c r="N305">
        <v>48320.443074000003</v>
      </c>
      <c r="O305">
        <f t="shared" si="7"/>
        <v>34303.634841439438</v>
      </c>
    </row>
    <row r="306" spans="12:15" x14ac:dyDescent="0.55000000000000004">
      <c r="L306">
        <v>301</v>
      </c>
      <c r="M306">
        <v>1.408256</v>
      </c>
      <c r="N306">
        <v>48268.546198999997</v>
      </c>
      <c r="O306">
        <f t="shared" si="7"/>
        <v>34275.406033420062</v>
      </c>
    </row>
    <row r="307" spans="12:15" x14ac:dyDescent="0.55000000000000004">
      <c r="L307">
        <v>302</v>
      </c>
      <c r="M307">
        <v>1.4079390000000001</v>
      </c>
      <c r="N307">
        <v>48218.931586999999</v>
      </c>
      <c r="O307">
        <f t="shared" si="7"/>
        <v>34247.884025515305</v>
      </c>
    </row>
    <row r="308" spans="12:15" x14ac:dyDescent="0.55000000000000004">
      <c r="L308">
        <v>303</v>
      </c>
      <c r="M308">
        <v>1.407653</v>
      </c>
      <c r="N308">
        <v>48171.519452</v>
      </c>
      <c r="O308">
        <f t="shared" si="7"/>
        <v>34221.160649677156</v>
      </c>
    </row>
    <row r="309" spans="12:15" x14ac:dyDescent="0.55000000000000004">
      <c r="L309">
        <v>304</v>
      </c>
      <c r="M309">
        <v>1.4073960000000001</v>
      </c>
      <c r="N309">
        <v>48126.231596999998</v>
      </c>
      <c r="O309">
        <f t="shared" si="7"/>
        <v>34195.231190794912</v>
      </c>
    </row>
    <row r="310" spans="12:15" x14ac:dyDescent="0.55000000000000004">
      <c r="L310">
        <v>305</v>
      </c>
      <c r="M310">
        <v>1.4071659999999999</v>
      </c>
      <c r="N310">
        <v>48082.991442999999</v>
      </c>
      <c r="O310">
        <f t="shared" si="7"/>
        <v>34170.091832093727</v>
      </c>
    </row>
    <row r="311" spans="12:15" x14ac:dyDescent="0.55000000000000004">
      <c r="L311">
        <v>306</v>
      </c>
      <c r="M311">
        <v>1.40696</v>
      </c>
      <c r="N311">
        <v>48041.724054999999</v>
      </c>
      <c r="O311">
        <f t="shared" si="7"/>
        <v>34145.763955620627</v>
      </c>
    </row>
    <row r="312" spans="12:15" x14ac:dyDescent="0.55000000000000004">
      <c r="L312">
        <v>307</v>
      </c>
      <c r="M312">
        <v>1.4067750000000001</v>
      </c>
      <c r="N312">
        <v>48002.356158000002</v>
      </c>
      <c r="O312">
        <f t="shared" si="7"/>
        <v>34122.269842725378</v>
      </c>
    </row>
    <row r="313" spans="12:15" x14ac:dyDescent="0.55000000000000004">
      <c r="L313">
        <v>308</v>
      </c>
      <c r="M313">
        <v>1.4066099999999999</v>
      </c>
      <c r="N313">
        <v>47964.816157000001</v>
      </c>
      <c r="O313">
        <f t="shared" si="7"/>
        <v>34099.584218084616</v>
      </c>
    </row>
    <row r="314" spans="12:15" x14ac:dyDescent="0.55000000000000004">
      <c r="L314">
        <v>309</v>
      </c>
      <c r="M314">
        <v>1.4064620000000001</v>
      </c>
      <c r="N314">
        <v>47929.034147999999</v>
      </c>
      <c r="O314">
        <f t="shared" si="7"/>
        <v>34077.731320149418</v>
      </c>
    </row>
    <row r="315" spans="12:15" x14ac:dyDescent="0.55000000000000004">
      <c r="L315">
        <v>310</v>
      </c>
      <c r="M315">
        <v>1.406331</v>
      </c>
      <c r="N315">
        <v>47894.941924999999</v>
      </c>
      <c r="O315">
        <f t="shared" si="7"/>
        <v>34056.66370505948</v>
      </c>
    </row>
    <row r="316" spans="12:15" x14ac:dyDescent="0.55000000000000004">
      <c r="L316">
        <v>311</v>
      </c>
      <c r="M316">
        <v>1.4062129999999999</v>
      </c>
      <c r="N316">
        <v>47862.472986000001</v>
      </c>
      <c r="O316">
        <f t="shared" si="7"/>
        <v>34036.431881941076</v>
      </c>
    </row>
    <row r="317" spans="12:15" x14ac:dyDescent="0.55000000000000004">
      <c r="L317">
        <v>312</v>
      </c>
      <c r="M317">
        <v>1.4061090000000001</v>
      </c>
      <c r="N317">
        <v>47831.562534999997</v>
      </c>
      <c r="O317">
        <f t="shared" si="7"/>
        <v>34016.966348270296</v>
      </c>
    </row>
    <row r="318" spans="12:15" x14ac:dyDescent="0.55000000000000004">
      <c r="L318">
        <v>313</v>
      </c>
      <c r="M318">
        <v>1.4060159999999999</v>
      </c>
      <c r="N318">
        <v>47802.147477999999</v>
      </c>
      <c r="O318">
        <f t="shared" si="7"/>
        <v>33998.295522952802</v>
      </c>
    </row>
    <row r="319" spans="12:15" x14ac:dyDescent="0.55000000000000004">
      <c r="L319">
        <v>314</v>
      </c>
      <c r="M319">
        <v>1.4059330000000001</v>
      </c>
      <c r="N319">
        <v>47774.166419000001</v>
      </c>
      <c r="O319">
        <f t="shared" si="7"/>
        <v>33980.400502015385</v>
      </c>
    </row>
    <row r="320" spans="12:15" x14ac:dyDescent="0.55000000000000004">
      <c r="L320">
        <v>315</v>
      </c>
      <c r="M320">
        <v>1.4058600000000001</v>
      </c>
      <c r="N320">
        <v>47747.559650000003</v>
      </c>
      <c r="O320">
        <f t="shared" si="7"/>
        <v>33963.239333930833</v>
      </c>
    </row>
    <row r="321" spans="12:15" x14ac:dyDescent="0.55000000000000004">
      <c r="L321">
        <v>316</v>
      </c>
      <c r="M321">
        <v>1.4057949999999999</v>
      </c>
      <c r="N321">
        <v>47722.269141999997</v>
      </c>
      <c r="O321">
        <f t="shared" si="7"/>
        <v>33946.819516359072</v>
      </c>
    </row>
    <row r="322" spans="12:15" x14ac:dyDescent="0.55000000000000004">
      <c r="L322">
        <v>317</v>
      </c>
      <c r="M322">
        <v>1.405737</v>
      </c>
      <c r="N322">
        <v>47698.238530000002</v>
      </c>
      <c r="O322">
        <f t="shared" si="7"/>
        <v>33931.125473683911</v>
      </c>
    </row>
    <row r="323" spans="12:15" x14ac:dyDescent="0.55000000000000004">
      <c r="L323">
        <v>318</v>
      </c>
      <c r="M323">
        <v>1.405686</v>
      </c>
      <c r="N323">
        <v>47675.413095000004</v>
      </c>
      <c r="O323">
        <f t="shared" si="7"/>
        <v>33916.118603301169</v>
      </c>
    </row>
    <row r="324" spans="12:15" x14ac:dyDescent="0.55000000000000004">
      <c r="L324">
        <v>319</v>
      </c>
      <c r="M324">
        <v>1.4056409999999999</v>
      </c>
      <c r="N324">
        <v>47653.739749</v>
      </c>
      <c r="O324">
        <f t="shared" si="7"/>
        <v>33901.785554775372</v>
      </c>
    </row>
    <row r="325" spans="12:15" x14ac:dyDescent="0.55000000000000004">
      <c r="L325">
        <v>320</v>
      </c>
      <c r="M325">
        <v>1.4056010000000001</v>
      </c>
      <c r="N325">
        <v>47633.167006999996</v>
      </c>
      <c r="O325">
        <f t="shared" si="7"/>
        <v>33888.114057260907</v>
      </c>
    </row>
    <row r="326" spans="12:15" x14ac:dyDescent="0.55000000000000004">
      <c r="L326">
        <v>321</v>
      </c>
      <c r="M326">
        <v>1.4055660000000001</v>
      </c>
      <c r="N326">
        <v>47613.644970000001</v>
      </c>
      <c r="O326">
        <f t="shared" ref="O326:O389" si="8">N326/M326</f>
        <v>33875.068812136888</v>
      </c>
    </row>
    <row r="327" spans="12:15" x14ac:dyDescent="0.55000000000000004">
      <c r="L327">
        <v>322</v>
      </c>
      <c r="M327">
        <v>1.405535</v>
      </c>
      <c r="N327">
        <v>47595.125295999998</v>
      </c>
      <c r="O327">
        <f t="shared" si="8"/>
        <v>33862.639703742701</v>
      </c>
    </row>
    <row r="328" spans="12:15" x14ac:dyDescent="0.55000000000000004">
      <c r="L328">
        <v>323</v>
      </c>
      <c r="M328">
        <v>1.405508</v>
      </c>
      <c r="N328">
        <v>47577.561173000002</v>
      </c>
      <c r="O328">
        <f t="shared" si="8"/>
        <v>33850.793572857641</v>
      </c>
    </row>
    <row r="329" spans="12:15" x14ac:dyDescent="0.55000000000000004">
      <c r="L329">
        <v>324</v>
      </c>
      <c r="M329">
        <v>1.405484</v>
      </c>
      <c r="N329">
        <v>47560.907288000002</v>
      </c>
      <c r="O329">
        <f t="shared" si="8"/>
        <v>33839.522390863218</v>
      </c>
    </row>
    <row r="330" spans="12:15" x14ac:dyDescent="0.55000000000000004">
      <c r="L330">
        <v>325</v>
      </c>
      <c r="M330">
        <v>1.4054629999999999</v>
      </c>
      <c r="N330">
        <v>47545.119799</v>
      </c>
      <c r="O330">
        <f t="shared" si="8"/>
        <v>33828.795065398379</v>
      </c>
    </row>
    <row r="331" spans="12:15" x14ac:dyDescent="0.55000000000000004">
      <c r="L331">
        <v>326</v>
      </c>
      <c r="M331">
        <v>1.4054439999999999</v>
      </c>
      <c r="N331">
        <v>47530.156302000003</v>
      </c>
      <c r="O331">
        <f t="shared" si="8"/>
        <v>33818.605580869822</v>
      </c>
    </row>
    <row r="332" spans="12:15" x14ac:dyDescent="0.55000000000000004">
      <c r="L332">
        <v>327</v>
      </c>
      <c r="M332">
        <v>1.4054279999999999</v>
      </c>
      <c r="N332">
        <v>47515.975795999999</v>
      </c>
      <c r="O332">
        <f t="shared" si="8"/>
        <v>33808.900773287569</v>
      </c>
    </row>
    <row r="333" spans="12:15" x14ac:dyDescent="0.55000000000000004">
      <c r="L333">
        <v>328</v>
      </c>
      <c r="M333">
        <v>1.4054139999999999</v>
      </c>
      <c r="N333">
        <v>47502.538647000001</v>
      </c>
      <c r="O333">
        <f t="shared" si="8"/>
        <v>33799.67657003559</v>
      </c>
    </row>
    <row r="334" spans="12:15" x14ac:dyDescent="0.55000000000000004">
      <c r="L334">
        <v>329</v>
      </c>
      <c r="M334">
        <v>1.405402</v>
      </c>
      <c r="N334">
        <v>47489.806553000002</v>
      </c>
      <c r="O334">
        <f t="shared" si="8"/>
        <v>33790.905771444755</v>
      </c>
    </row>
    <row r="335" spans="12:15" x14ac:dyDescent="0.55000000000000004">
      <c r="L335">
        <v>330</v>
      </c>
      <c r="M335">
        <v>1.4053910000000001</v>
      </c>
      <c r="N335">
        <v>47477.742507000003</v>
      </c>
      <c r="O335">
        <f t="shared" si="8"/>
        <v>33782.586132257857</v>
      </c>
    </row>
    <row r="336" spans="12:15" x14ac:dyDescent="0.55000000000000004">
      <c r="L336">
        <v>331</v>
      </c>
      <c r="M336">
        <v>1.405381</v>
      </c>
      <c r="N336">
        <v>47466.310759</v>
      </c>
      <c r="O336">
        <f t="shared" si="8"/>
        <v>33774.692242886449</v>
      </c>
    </row>
    <row r="337" spans="12:15" x14ac:dyDescent="0.55000000000000004">
      <c r="L337">
        <v>332</v>
      </c>
      <c r="M337">
        <v>1.405373</v>
      </c>
      <c r="N337">
        <v>47455.476775000003</v>
      </c>
      <c r="O337">
        <f t="shared" si="8"/>
        <v>33767.175529201144</v>
      </c>
    </row>
    <row r="338" spans="12:15" x14ac:dyDescent="0.55000000000000004">
      <c r="L338">
        <v>333</v>
      </c>
      <c r="M338">
        <v>1.4053659999999999</v>
      </c>
      <c r="N338">
        <v>47445.207197000003</v>
      </c>
      <c r="O338">
        <f t="shared" si="8"/>
        <v>33760.036315806705</v>
      </c>
    </row>
    <row r="339" spans="12:15" x14ac:dyDescent="0.55000000000000004">
      <c r="L339">
        <v>334</v>
      </c>
      <c r="M339">
        <v>1.4053599999999999</v>
      </c>
      <c r="N339">
        <v>47435.469805000001</v>
      </c>
      <c r="O339">
        <f t="shared" si="8"/>
        <v>33753.251697074062</v>
      </c>
    </row>
    <row r="340" spans="12:15" x14ac:dyDescent="0.55000000000000004">
      <c r="L340">
        <v>335</v>
      </c>
      <c r="M340">
        <v>1.405354</v>
      </c>
      <c r="N340">
        <v>47426.233473</v>
      </c>
      <c r="O340">
        <f t="shared" si="8"/>
        <v>33746.823556911637</v>
      </c>
    </row>
    <row r="341" spans="12:15" x14ac:dyDescent="0.55000000000000004">
      <c r="L341">
        <v>336</v>
      </c>
      <c r="M341">
        <v>1.405349</v>
      </c>
      <c r="N341">
        <v>47417.468131000001</v>
      </c>
      <c r="O341">
        <f t="shared" si="8"/>
        <v>33740.706494258724</v>
      </c>
    </row>
    <row r="342" spans="12:15" x14ac:dyDescent="0.55000000000000004">
      <c r="L342">
        <v>337</v>
      </c>
      <c r="M342">
        <v>1.4053450000000001</v>
      </c>
      <c r="N342">
        <v>47409.144718000003</v>
      </c>
      <c r="O342">
        <f t="shared" si="8"/>
        <v>33734.879846585718</v>
      </c>
    </row>
    <row r="343" spans="12:15" x14ac:dyDescent="0.55000000000000004">
      <c r="L343">
        <v>338</v>
      </c>
      <c r="M343">
        <v>1.4053420000000001</v>
      </c>
      <c r="N343">
        <v>47401.235142999998</v>
      </c>
      <c r="O343">
        <f t="shared" si="8"/>
        <v>33729.323640081915</v>
      </c>
    </row>
    <row r="344" spans="12:15" x14ac:dyDescent="0.55000000000000004">
      <c r="L344">
        <v>339</v>
      </c>
      <c r="M344">
        <v>1.4053389999999999</v>
      </c>
      <c r="N344">
        <v>47393.712242000001</v>
      </c>
      <c r="O344">
        <f t="shared" si="8"/>
        <v>33724.042556280016</v>
      </c>
    </row>
    <row r="345" spans="12:15" x14ac:dyDescent="0.55000000000000004">
      <c r="L345">
        <v>340</v>
      </c>
      <c r="M345">
        <v>1.4053359999999999</v>
      </c>
      <c r="N345">
        <v>47386.549735000001</v>
      </c>
      <c r="O345">
        <f t="shared" si="8"/>
        <v>33719.017896787671</v>
      </c>
    </row>
    <row r="346" spans="12:15" x14ac:dyDescent="0.55000000000000004">
      <c r="L346">
        <v>341</v>
      </c>
      <c r="M346">
        <v>1.4053340000000001</v>
      </c>
      <c r="N346">
        <v>47379.722181999998</v>
      </c>
      <c r="O346">
        <f t="shared" si="8"/>
        <v>33714.207570584644</v>
      </c>
    </row>
    <row r="347" spans="12:15" x14ac:dyDescent="0.55000000000000004">
      <c r="L347">
        <v>342</v>
      </c>
      <c r="M347">
        <v>1.405332</v>
      </c>
      <c r="N347">
        <v>47373.204941000004</v>
      </c>
      <c r="O347">
        <f t="shared" si="8"/>
        <v>33709.618041146154</v>
      </c>
    </row>
    <row r="348" spans="12:15" x14ac:dyDescent="0.55000000000000004">
      <c r="L348">
        <v>343</v>
      </c>
      <c r="M348">
        <v>1.40533</v>
      </c>
      <c r="N348">
        <v>47366.974127000001</v>
      </c>
      <c r="O348">
        <f t="shared" si="8"/>
        <v>33705.232313406814</v>
      </c>
    </row>
    <row r="349" spans="12:15" x14ac:dyDescent="0.55000000000000004">
      <c r="L349">
        <v>344</v>
      </c>
      <c r="M349">
        <v>1.4053279999999999</v>
      </c>
      <c r="N349">
        <v>47361.006564000003</v>
      </c>
      <c r="O349">
        <f t="shared" si="8"/>
        <v>33701.033896713088</v>
      </c>
    </row>
    <row r="350" spans="12:15" x14ac:dyDescent="0.55000000000000004">
      <c r="L350">
        <v>345</v>
      </c>
      <c r="M350">
        <v>1.405327</v>
      </c>
      <c r="N350">
        <v>47355.279747</v>
      </c>
      <c r="O350">
        <f t="shared" si="8"/>
        <v>33696.98279973273</v>
      </c>
    </row>
    <row r="351" spans="12:15" x14ac:dyDescent="0.55000000000000004">
      <c r="L351">
        <v>346</v>
      </c>
      <c r="M351">
        <v>1.4053260000000001</v>
      </c>
      <c r="N351">
        <v>47349.771797000001</v>
      </c>
      <c r="O351">
        <f t="shared" si="8"/>
        <v>33693.087438074865</v>
      </c>
    </row>
    <row r="352" spans="12:15" x14ac:dyDescent="0.55000000000000004">
      <c r="L352">
        <v>347</v>
      </c>
      <c r="M352">
        <v>1.4053249999999999</v>
      </c>
      <c r="N352">
        <v>47344.461417999999</v>
      </c>
      <c r="O352">
        <f t="shared" si="8"/>
        <v>33689.332658281892</v>
      </c>
    </row>
    <row r="353" spans="12:15" x14ac:dyDescent="0.55000000000000004">
      <c r="L353">
        <v>348</v>
      </c>
      <c r="M353">
        <v>1.405324</v>
      </c>
      <c r="N353">
        <v>47339.327855000003</v>
      </c>
      <c r="O353">
        <f t="shared" si="8"/>
        <v>33685.703691817689</v>
      </c>
    </row>
    <row r="354" spans="12:15" x14ac:dyDescent="0.55000000000000004">
      <c r="L354">
        <v>349</v>
      </c>
      <c r="M354">
        <v>1.4053230000000001</v>
      </c>
      <c r="N354">
        <v>47334.350855999997</v>
      </c>
      <c r="O354">
        <f t="shared" si="8"/>
        <v>33682.186128028923</v>
      </c>
    </row>
    <row r="355" spans="12:15" x14ac:dyDescent="0.55000000000000004">
      <c r="L355">
        <v>350</v>
      </c>
      <c r="M355">
        <v>1.405322</v>
      </c>
      <c r="N355">
        <v>47329.510622000002</v>
      </c>
      <c r="O355">
        <f t="shared" si="8"/>
        <v>33678.765878567334</v>
      </c>
    </row>
    <row r="356" spans="12:15" x14ac:dyDescent="0.55000000000000004">
      <c r="L356">
        <v>351</v>
      </c>
      <c r="M356">
        <v>1.405322</v>
      </c>
      <c r="N356">
        <v>47324.787772999996</v>
      </c>
      <c r="O356">
        <f t="shared" si="8"/>
        <v>33675.405190411875</v>
      </c>
    </row>
    <row r="357" spans="12:15" x14ac:dyDescent="0.55000000000000004">
      <c r="L357">
        <v>352</v>
      </c>
      <c r="M357">
        <v>1.405321</v>
      </c>
      <c r="N357">
        <v>47320.163305000002</v>
      </c>
      <c r="O357">
        <f t="shared" si="8"/>
        <v>33672.138468719961</v>
      </c>
    </row>
    <row r="358" spans="12:15" x14ac:dyDescent="0.55000000000000004">
      <c r="L358">
        <v>353</v>
      </c>
      <c r="M358">
        <v>1.405321</v>
      </c>
      <c r="N358">
        <v>47315.618544999998</v>
      </c>
      <c r="O358">
        <f t="shared" si="8"/>
        <v>33668.904502956975</v>
      </c>
    </row>
    <row r="359" spans="12:15" x14ac:dyDescent="0.55000000000000004">
      <c r="L359">
        <v>354</v>
      </c>
      <c r="M359">
        <v>1.4053199999999999</v>
      </c>
      <c r="N359">
        <v>47311.135116999998</v>
      </c>
      <c r="O359">
        <f t="shared" si="8"/>
        <v>33665.738135798252</v>
      </c>
    </row>
    <row r="360" spans="12:15" x14ac:dyDescent="0.55000000000000004">
      <c r="L360">
        <v>355</v>
      </c>
      <c r="M360">
        <v>1.4053199999999999</v>
      </c>
      <c r="N360">
        <v>47306.694899000002</v>
      </c>
      <c r="O360">
        <f t="shared" si="8"/>
        <v>33662.57855790852</v>
      </c>
    </row>
    <row r="361" spans="12:15" x14ac:dyDescent="0.55000000000000004">
      <c r="L361">
        <v>356</v>
      </c>
      <c r="M361">
        <v>1.405319</v>
      </c>
      <c r="N361">
        <v>47302.279983</v>
      </c>
      <c r="O361">
        <f t="shared" si="8"/>
        <v>33659.460935915617</v>
      </c>
    </row>
    <row r="362" spans="12:15" x14ac:dyDescent="0.55000000000000004">
      <c r="L362">
        <v>357</v>
      </c>
      <c r="M362">
        <v>1.405319</v>
      </c>
      <c r="N362">
        <v>47297.872638000001</v>
      </c>
      <c r="O362">
        <f t="shared" si="8"/>
        <v>33656.324747619583</v>
      </c>
    </row>
    <row r="363" spans="12:15" x14ac:dyDescent="0.55000000000000004">
      <c r="L363">
        <v>358</v>
      </c>
      <c r="M363">
        <v>1.4053180000000001</v>
      </c>
      <c r="N363">
        <v>47293.455269999999</v>
      </c>
      <c r="O363">
        <f t="shared" si="8"/>
        <v>33653.205374157304</v>
      </c>
    </row>
    <row r="364" spans="12:15" x14ac:dyDescent="0.55000000000000004">
      <c r="L364">
        <v>359</v>
      </c>
      <c r="M364">
        <v>1.4053169999999999</v>
      </c>
      <c r="N364">
        <v>47289.010386000002</v>
      </c>
      <c r="O364">
        <f t="shared" si="8"/>
        <v>33650.066416331691</v>
      </c>
    </row>
    <row r="365" spans="12:15" x14ac:dyDescent="0.55000000000000004">
      <c r="L365">
        <v>360</v>
      </c>
      <c r="M365">
        <v>1.4053169999999999</v>
      </c>
      <c r="N365">
        <v>47284.520554000002</v>
      </c>
      <c r="O365">
        <f t="shared" si="8"/>
        <v>33646.871527207033</v>
      </c>
    </row>
    <row r="366" spans="12:15" x14ac:dyDescent="0.55000000000000004">
      <c r="L366">
        <v>361</v>
      </c>
      <c r="M366">
        <v>1.405316</v>
      </c>
      <c r="N366">
        <v>47279.968369000002</v>
      </c>
      <c r="O366">
        <f t="shared" si="8"/>
        <v>33643.656208994988</v>
      </c>
    </row>
    <row r="367" spans="12:15" x14ac:dyDescent="0.55000000000000004">
      <c r="L367">
        <v>362</v>
      </c>
      <c r="M367">
        <v>1.4053150000000001</v>
      </c>
      <c r="N367">
        <v>47275.336414999998</v>
      </c>
      <c r="O367">
        <f t="shared" si="8"/>
        <v>33640.384123844116</v>
      </c>
    </row>
    <row r="368" spans="12:15" x14ac:dyDescent="0.55000000000000004">
      <c r="L368">
        <v>363</v>
      </c>
      <c r="M368">
        <v>1.405314</v>
      </c>
      <c r="N368">
        <v>47270.607231000002</v>
      </c>
      <c r="O368">
        <f t="shared" si="8"/>
        <v>33637.042846652068</v>
      </c>
    </row>
    <row r="369" spans="12:15" x14ac:dyDescent="0.55000000000000004">
      <c r="L369">
        <v>364</v>
      </c>
      <c r="M369">
        <v>1.405313</v>
      </c>
      <c r="N369">
        <v>47265.763274999998</v>
      </c>
      <c r="O369">
        <f t="shared" si="8"/>
        <v>33633.619894642688</v>
      </c>
    </row>
    <row r="370" spans="12:15" x14ac:dyDescent="0.55000000000000004">
      <c r="L370">
        <v>365</v>
      </c>
      <c r="M370">
        <v>1.4053119999999999</v>
      </c>
      <c r="N370">
        <v>47260.786889000003</v>
      </c>
      <c r="O370">
        <f t="shared" si="8"/>
        <v>33630.102702460383</v>
      </c>
    </row>
    <row r="371" spans="12:15" x14ac:dyDescent="0.55000000000000004">
      <c r="L371">
        <v>366</v>
      </c>
      <c r="M371">
        <v>1.405311</v>
      </c>
      <c r="N371">
        <v>47255.660269</v>
      </c>
      <c r="O371">
        <f t="shared" si="8"/>
        <v>33626.478600822171</v>
      </c>
    </row>
    <row r="372" spans="12:15" x14ac:dyDescent="0.55000000000000004">
      <c r="L372">
        <v>367</v>
      </c>
      <c r="M372">
        <v>1.4053089999999999</v>
      </c>
      <c r="N372">
        <v>47250.365426999997</v>
      </c>
      <c r="O372">
        <f t="shared" si="8"/>
        <v>33622.758714987234</v>
      </c>
    </row>
    <row r="373" spans="12:15" x14ac:dyDescent="0.55000000000000004">
      <c r="L373">
        <v>368</v>
      </c>
      <c r="M373">
        <v>1.405308</v>
      </c>
      <c r="N373">
        <v>47244.884163000002</v>
      </c>
      <c r="O373">
        <f t="shared" si="8"/>
        <v>33618.882240049868</v>
      </c>
    </row>
    <row r="374" spans="12:15" x14ac:dyDescent="0.55000000000000004">
      <c r="L374">
        <v>369</v>
      </c>
      <c r="M374">
        <v>1.4053059999999999</v>
      </c>
      <c r="N374">
        <v>47239.198032</v>
      </c>
      <c r="O374">
        <f t="shared" si="8"/>
        <v>33614.883898595755</v>
      </c>
    </row>
    <row r="375" spans="12:15" x14ac:dyDescent="0.55000000000000004">
      <c r="L375">
        <v>370</v>
      </c>
      <c r="M375">
        <v>1.4053040000000001</v>
      </c>
      <c r="N375">
        <v>47233.288313999998</v>
      </c>
      <c r="O375">
        <f t="shared" si="8"/>
        <v>33610.726443531072</v>
      </c>
    </row>
    <row r="376" spans="12:15" x14ac:dyDescent="0.55000000000000004">
      <c r="L376">
        <v>371</v>
      </c>
      <c r="M376">
        <v>1.4053009999999999</v>
      </c>
      <c r="N376">
        <v>47227.135984</v>
      </c>
      <c r="O376">
        <f t="shared" si="8"/>
        <v>33606.420250181283</v>
      </c>
    </row>
    <row r="377" spans="12:15" x14ac:dyDescent="0.55000000000000004">
      <c r="L377">
        <v>372</v>
      </c>
      <c r="M377">
        <v>1.4052979999999999</v>
      </c>
      <c r="N377">
        <v>47220.721683000003</v>
      </c>
      <c r="O377">
        <f t="shared" si="8"/>
        <v>33601.927621757095</v>
      </c>
    </row>
    <row r="378" spans="12:15" x14ac:dyDescent="0.55000000000000004">
      <c r="L378">
        <v>373</v>
      </c>
      <c r="M378">
        <v>1.405295</v>
      </c>
      <c r="N378">
        <v>47214.025690000002</v>
      </c>
      <c r="O378">
        <f t="shared" si="8"/>
        <v>33597.234523712104</v>
      </c>
    </row>
    <row r="379" spans="12:15" x14ac:dyDescent="0.55000000000000004">
      <c r="L379">
        <v>374</v>
      </c>
      <c r="M379">
        <v>1.4052910000000001</v>
      </c>
      <c r="N379">
        <v>47207.027892999999</v>
      </c>
      <c r="O379">
        <f t="shared" si="8"/>
        <v>33592.350547324357</v>
      </c>
    </row>
    <row r="380" spans="12:15" x14ac:dyDescent="0.55000000000000004">
      <c r="L380">
        <v>375</v>
      </c>
      <c r="M380">
        <v>1.405287</v>
      </c>
      <c r="N380">
        <v>47199.707767</v>
      </c>
      <c r="O380">
        <f t="shared" si="8"/>
        <v>33587.237174328089</v>
      </c>
    </row>
    <row r="381" spans="12:15" x14ac:dyDescent="0.55000000000000004">
      <c r="L381">
        <v>376</v>
      </c>
      <c r="M381">
        <v>1.4052819999999999</v>
      </c>
      <c r="N381">
        <v>47192.044346000002</v>
      </c>
      <c r="O381">
        <f t="shared" si="8"/>
        <v>33581.903380246818</v>
      </c>
    </row>
    <row r="382" spans="12:15" x14ac:dyDescent="0.55000000000000004">
      <c r="L382">
        <v>377</v>
      </c>
      <c r="M382">
        <v>1.4052770000000001</v>
      </c>
      <c r="N382">
        <v>47184.016197999998</v>
      </c>
      <c r="O382">
        <f t="shared" si="8"/>
        <v>33576.310007208536</v>
      </c>
    </row>
    <row r="383" spans="12:15" x14ac:dyDescent="0.55000000000000004">
      <c r="L383">
        <v>378</v>
      </c>
      <c r="M383">
        <v>1.4052709999999999</v>
      </c>
      <c r="N383">
        <v>47175.601403000001</v>
      </c>
      <c r="O383">
        <f t="shared" si="8"/>
        <v>33570.465342983669</v>
      </c>
    </row>
    <row r="384" spans="12:15" x14ac:dyDescent="0.55000000000000004">
      <c r="L384">
        <v>379</v>
      </c>
      <c r="M384">
        <v>1.4052640000000001</v>
      </c>
      <c r="N384">
        <v>47166.777532</v>
      </c>
      <c r="O384">
        <f t="shared" si="8"/>
        <v>33564.353411173986</v>
      </c>
    </row>
    <row r="385" spans="12:15" x14ac:dyDescent="0.55000000000000004">
      <c r="L385">
        <v>380</v>
      </c>
      <c r="M385">
        <v>1.4052560000000001</v>
      </c>
      <c r="N385">
        <v>47157.521622</v>
      </c>
      <c r="O385">
        <f t="shared" si="8"/>
        <v>33557.957853942622</v>
      </c>
    </row>
    <row r="386" spans="12:15" x14ac:dyDescent="0.55000000000000004">
      <c r="L386">
        <v>381</v>
      </c>
      <c r="M386">
        <v>1.4052469999999999</v>
      </c>
      <c r="N386">
        <v>47147.810163000002</v>
      </c>
      <c r="O386">
        <f t="shared" si="8"/>
        <v>33551.261922637088</v>
      </c>
    </row>
    <row r="387" spans="12:15" x14ac:dyDescent="0.55000000000000004">
      <c r="L387">
        <v>382</v>
      </c>
      <c r="M387">
        <v>1.4052359999999999</v>
      </c>
      <c r="N387">
        <v>47137.619071000001</v>
      </c>
      <c r="O387">
        <f t="shared" si="8"/>
        <v>33544.272329345396</v>
      </c>
    </row>
    <row r="388" spans="12:15" x14ac:dyDescent="0.55000000000000004">
      <c r="L388">
        <v>383</v>
      </c>
      <c r="M388">
        <v>1.4052249999999999</v>
      </c>
      <c r="N388">
        <v>47126.923676999999</v>
      </c>
      <c r="O388">
        <f t="shared" si="8"/>
        <v>33536.923750289097</v>
      </c>
    </row>
    <row r="389" spans="12:15" x14ac:dyDescent="0.55000000000000004">
      <c r="L389">
        <v>384</v>
      </c>
      <c r="M389">
        <v>1.4052119999999999</v>
      </c>
      <c r="N389">
        <v>47115.698708999997</v>
      </c>
      <c r="O389">
        <f t="shared" si="8"/>
        <v>33529.24591378383</v>
      </c>
    </row>
    <row r="390" spans="12:15" x14ac:dyDescent="0.55000000000000004">
      <c r="L390">
        <v>385</v>
      </c>
      <c r="M390">
        <v>1.405197</v>
      </c>
      <c r="N390">
        <v>47103.918275999997</v>
      </c>
      <c r="O390">
        <f t="shared" ref="O390:O453" si="9">N390/M390</f>
        <v>33521.220352733457</v>
      </c>
    </row>
    <row r="391" spans="12:15" x14ac:dyDescent="0.55000000000000004">
      <c r="L391">
        <v>386</v>
      </c>
      <c r="M391">
        <v>1.4051800000000001</v>
      </c>
      <c r="N391">
        <v>47091.555856999999</v>
      </c>
      <c r="O391">
        <f t="shared" si="9"/>
        <v>33512.828147995271</v>
      </c>
    </row>
    <row r="392" spans="12:15" x14ac:dyDescent="0.55000000000000004">
      <c r="L392">
        <v>387</v>
      </c>
      <c r="M392">
        <v>1.405162</v>
      </c>
      <c r="N392">
        <v>47078.584285999998</v>
      </c>
      <c r="O392">
        <f t="shared" si="9"/>
        <v>33504.026073861947</v>
      </c>
    </row>
    <row r="393" spans="12:15" x14ac:dyDescent="0.55000000000000004">
      <c r="L393">
        <v>388</v>
      </c>
      <c r="M393">
        <v>1.405141</v>
      </c>
      <c r="N393">
        <v>47064.975744000003</v>
      </c>
      <c r="O393">
        <f t="shared" si="9"/>
        <v>33494.841972442628</v>
      </c>
    </row>
    <row r="394" spans="12:15" x14ac:dyDescent="0.55000000000000004">
      <c r="L394">
        <v>389</v>
      </c>
      <c r="M394">
        <v>1.4051169999999999</v>
      </c>
      <c r="N394">
        <v>47050.701751000001</v>
      </c>
      <c r="O394">
        <f t="shared" si="9"/>
        <v>33485.255499008272</v>
      </c>
    </row>
    <row r="395" spans="12:15" x14ac:dyDescent="0.55000000000000004">
      <c r="L395">
        <v>390</v>
      </c>
      <c r="M395">
        <v>1.4050910000000001</v>
      </c>
      <c r="N395">
        <v>47035.733156000002</v>
      </c>
      <c r="O395">
        <f t="shared" si="9"/>
        <v>33475.222000567934</v>
      </c>
    </row>
    <row r="396" spans="12:15" x14ac:dyDescent="0.55000000000000004">
      <c r="L396">
        <v>391</v>
      </c>
      <c r="M396">
        <v>1.4050609999999999</v>
      </c>
      <c r="N396">
        <v>47020.040134000003</v>
      </c>
      <c r="O396">
        <f t="shared" si="9"/>
        <v>33464.767817197979</v>
      </c>
    </row>
    <row r="397" spans="12:15" x14ac:dyDescent="0.55000000000000004">
      <c r="L397">
        <v>392</v>
      </c>
      <c r="M397">
        <v>1.4050279999999999</v>
      </c>
      <c r="N397">
        <v>47003.592177999999</v>
      </c>
      <c r="O397">
        <f t="shared" si="9"/>
        <v>33453.8473098045</v>
      </c>
    </row>
    <row r="398" spans="12:15" x14ac:dyDescent="0.55000000000000004">
      <c r="L398">
        <v>393</v>
      </c>
      <c r="M398">
        <v>1.4049910000000001</v>
      </c>
      <c r="N398">
        <v>46986.358103999999</v>
      </c>
      <c r="O398">
        <f t="shared" si="9"/>
        <v>33442.461983030495</v>
      </c>
    </row>
    <row r="399" spans="12:15" x14ac:dyDescent="0.55000000000000004">
      <c r="L399">
        <v>394</v>
      </c>
      <c r="M399">
        <v>1.4049499999999999</v>
      </c>
      <c r="N399">
        <v>46968.306043999997</v>
      </c>
      <c r="O399">
        <f t="shared" si="9"/>
        <v>33430.589020249834</v>
      </c>
    </row>
    <row r="400" spans="12:15" x14ac:dyDescent="0.55000000000000004">
      <c r="L400">
        <v>395</v>
      </c>
      <c r="M400">
        <v>1.404903</v>
      </c>
      <c r="N400">
        <v>46949.403449999998</v>
      </c>
      <c r="O400">
        <f t="shared" si="9"/>
        <v>33418.252683637234</v>
      </c>
    </row>
    <row r="401" spans="12:15" x14ac:dyDescent="0.55000000000000004">
      <c r="L401">
        <v>396</v>
      </c>
      <c r="M401">
        <v>1.404852</v>
      </c>
      <c r="N401">
        <v>46929.617099000003</v>
      </c>
      <c r="O401">
        <f t="shared" si="9"/>
        <v>33405.381562613002</v>
      </c>
    </row>
    <row r="402" spans="12:15" x14ac:dyDescent="0.55000000000000004">
      <c r="L402">
        <v>397</v>
      </c>
      <c r="M402">
        <v>1.4047940000000001</v>
      </c>
      <c r="N402">
        <v>46908.913096999997</v>
      </c>
      <c r="O402">
        <f t="shared" si="9"/>
        <v>33392.022671651495</v>
      </c>
    </row>
    <row r="403" spans="12:15" x14ac:dyDescent="0.55000000000000004">
      <c r="L403">
        <v>398</v>
      </c>
      <c r="M403">
        <v>1.404731</v>
      </c>
      <c r="N403">
        <v>46887.256886000003</v>
      </c>
      <c r="O403">
        <f t="shared" si="9"/>
        <v>33378.10362695776</v>
      </c>
    </row>
    <row r="404" spans="12:15" x14ac:dyDescent="0.55000000000000004">
      <c r="L404">
        <v>399</v>
      </c>
      <c r="M404">
        <v>1.40466</v>
      </c>
      <c r="N404">
        <v>46864.613253000003</v>
      </c>
      <c r="O404">
        <f t="shared" si="9"/>
        <v>33363.670392123364</v>
      </c>
    </row>
    <row r="405" spans="12:15" x14ac:dyDescent="0.55000000000000004">
      <c r="L405">
        <v>400</v>
      </c>
      <c r="M405">
        <v>1.4045810000000001</v>
      </c>
      <c r="N405">
        <v>46840.946344999997</v>
      </c>
      <c r="O405">
        <f t="shared" si="9"/>
        <v>33348.697116791409</v>
      </c>
    </row>
    <row r="406" spans="12:15" x14ac:dyDescent="0.55000000000000004">
      <c r="L406">
        <v>401</v>
      </c>
      <c r="M406">
        <v>1.404493</v>
      </c>
      <c r="N406">
        <v>46816.219680000002</v>
      </c>
      <c r="O406">
        <f t="shared" si="9"/>
        <v>33333.181212010313</v>
      </c>
    </row>
    <row r="407" spans="12:15" x14ac:dyDescent="0.55000000000000004">
      <c r="L407">
        <v>402</v>
      </c>
      <c r="M407">
        <v>1.404396</v>
      </c>
      <c r="N407">
        <v>46790.396163999998</v>
      </c>
      <c r="O407">
        <f t="shared" si="9"/>
        <v>33317.095864699128</v>
      </c>
    </row>
    <row r="408" spans="12:15" x14ac:dyDescent="0.55000000000000004">
      <c r="L408">
        <v>403</v>
      </c>
      <c r="M408">
        <v>1.4042889999999999</v>
      </c>
      <c r="N408">
        <v>46763.438107000002</v>
      </c>
      <c r="O408">
        <f t="shared" si="9"/>
        <v>33300.437521763684</v>
      </c>
    </row>
    <row r="409" spans="12:15" x14ac:dyDescent="0.55000000000000004">
      <c r="L409">
        <v>404</v>
      </c>
      <c r="M409">
        <v>1.4041710000000001</v>
      </c>
      <c r="N409">
        <v>46735.307248999998</v>
      </c>
      <c r="O409">
        <f t="shared" si="9"/>
        <v>33283.202152017097</v>
      </c>
    </row>
    <row r="410" spans="12:15" x14ac:dyDescent="0.55000000000000004">
      <c r="L410">
        <v>405</v>
      </c>
      <c r="M410">
        <v>1.40404</v>
      </c>
      <c r="N410">
        <v>46705.964775</v>
      </c>
      <c r="O410">
        <f t="shared" si="9"/>
        <v>33265.408944901857</v>
      </c>
    </row>
    <row r="411" spans="12:15" x14ac:dyDescent="0.55000000000000004">
      <c r="L411">
        <v>406</v>
      </c>
      <c r="M411">
        <v>1.4038949999999999</v>
      </c>
      <c r="N411">
        <v>46675.371347</v>
      </c>
      <c r="O411">
        <f t="shared" si="9"/>
        <v>33247.052911364459</v>
      </c>
    </row>
    <row r="412" spans="12:15" x14ac:dyDescent="0.55000000000000004">
      <c r="L412">
        <v>407</v>
      </c>
      <c r="M412">
        <v>1.4037360000000001</v>
      </c>
      <c r="N412">
        <v>46643.487130000001</v>
      </c>
      <c r="O412">
        <f t="shared" si="9"/>
        <v>33228.104949933608</v>
      </c>
    </row>
    <row r="413" spans="12:15" x14ac:dyDescent="0.55000000000000004">
      <c r="L413">
        <v>408</v>
      </c>
      <c r="M413">
        <v>1.4035610000000001</v>
      </c>
      <c r="N413">
        <v>46610.271817000001</v>
      </c>
      <c r="O413">
        <f t="shared" si="9"/>
        <v>33208.582895221509</v>
      </c>
    </row>
    <row r="414" spans="12:15" x14ac:dyDescent="0.55000000000000004">
      <c r="L414">
        <v>409</v>
      </c>
      <c r="M414">
        <v>1.4033679999999999</v>
      </c>
      <c r="N414">
        <v>46575.684669000002</v>
      </c>
      <c r="O414">
        <f t="shared" si="9"/>
        <v>33188.504133627102</v>
      </c>
    </row>
    <row r="415" spans="12:15" x14ac:dyDescent="0.55000000000000004">
      <c r="L415">
        <v>410</v>
      </c>
      <c r="M415">
        <v>1.4031560000000001</v>
      </c>
      <c r="N415">
        <v>46539.684542000003</v>
      </c>
      <c r="O415">
        <f t="shared" si="9"/>
        <v>33167.861978283239</v>
      </c>
    </row>
    <row r="416" spans="12:15" x14ac:dyDescent="0.55000000000000004">
      <c r="L416">
        <v>411</v>
      </c>
      <c r="M416">
        <v>1.4029229999999999</v>
      </c>
      <c r="N416">
        <v>46502.229931000002</v>
      </c>
      <c r="O416">
        <f t="shared" si="9"/>
        <v>33146.673004149197</v>
      </c>
    </row>
    <row r="417" spans="12:15" x14ac:dyDescent="0.55000000000000004">
      <c r="L417">
        <v>412</v>
      </c>
      <c r="M417">
        <v>1.402668</v>
      </c>
      <c r="N417">
        <v>46463.279004999997</v>
      </c>
      <c r="O417">
        <f t="shared" si="9"/>
        <v>33124.929780247352</v>
      </c>
    </row>
    <row r="418" spans="12:15" x14ac:dyDescent="0.55000000000000004">
      <c r="L418">
        <v>413</v>
      </c>
      <c r="M418">
        <v>1.4023890000000001</v>
      </c>
      <c r="N418">
        <v>46422.789648999998</v>
      </c>
      <c r="O418">
        <f t="shared" si="9"/>
        <v>33102.64815896302</v>
      </c>
    </row>
    <row r="419" spans="12:15" x14ac:dyDescent="0.55000000000000004">
      <c r="L419">
        <v>414</v>
      </c>
      <c r="M419">
        <v>1.402083</v>
      </c>
      <c r="N419">
        <v>46380.719510000003</v>
      </c>
      <c r="O419">
        <f t="shared" si="9"/>
        <v>33079.867247516733</v>
      </c>
    </row>
    <row r="420" spans="12:15" x14ac:dyDescent="0.55000000000000004">
      <c r="L420">
        <v>415</v>
      </c>
      <c r="M420">
        <v>1.4017489999999999</v>
      </c>
      <c r="N420">
        <v>46337.026043999998</v>
      </c>
      <c r="O420">
        <f t="shared" si="9"/>
        <v>33056.578634263336</v>
      </c>
    </row>
    <row r="421" spans="12:15" x14ac:dyDescent="0.55000000000000004">
      <c r="L421">
        <v>416</v>
      </c>
      <c r="M421">
        <v>1.401384</v>
      </c>
      <c r="N421">
        <v>46291.666562999999</v>
      </c>
      <c r="O421">
        <f t="shared" si="9"/>
        <v>33032.820813567159</v>
      </c>
    </row>
    <row r="422" spans="12:15" x14ac:dyDescent="0.55000000000000004">
      <c r="L422">
        <v>417</v>
      </c>
      <c r="M422">
        <v>1.4009860000000001</v>
      </c>
      <c r="N422">
        <v>46244.598287000001</v>
      </c>
      <c r="O422">
        <f t="shared" si="9"/>
        <v>33008.608427921477</v>
      </c>
    </row>
    <row r="423" spans="12:15" x14ac:dyDescent="0.55000000000000004">
      <c r="L423">
        <v>418</v>
      </c>
      <c r="M423">
        <v>1.4005529999999999</v>
      </c>
      <c r="N423">
        <v>46195.778397000002</v>
      </c>
      <c r="O423">
        <f t="shared" si="9"/>
        <v>32983.955906702569</v>
      </c>
    </row>
    <row r="424" spans="12:15" x14ac:dyDescent="0.55000000000000004">
      <c r="L424">
        <v>419</v>
      </c>
      <c r="M424">
        <v>1.4000809999999999</v>
      </c>
      <c r="N424">
        <v>46145.164094</v>
      </c>
      <c r="O424">
        <f t="shared" si="9"/>
        <v>32958.924586506066</v>
      </c>
    </row>
    <row r="425" spans="12:15" x14ac:dyDescent="0.55000000000000004">
      <c r="L425">
        <v>420</v>
      </c>
      <c r="M425">
        <v>1.399567</v>
      </c>
      <c r="N425">
        <v>46092.712653000002</v>
      </c>
      <c r="O425">
        <f t="shared" si="9"/>
        <v>32933.552057886474</v>
      </c>
    </row>
    <row r="426" spans="12:15" x14ac:dyDescent="0.55000000000000004">
      <c r="L426">
        <v>421</v>
      </c>
      <c r="M426">
        <v>1.3990100000000001</v>
      </c>
      <c r="N426">
        <v>46038.381484999998</v>
      </c>
      <c r="O426">
        <f t="shared" si="9"/>
        <v>32907.828739608718</v>
      </c>
    </row>
    <row r="427" spans="12:15" x14ac:dyDescent="0.55000000000000004">
      <c r="L427">
        <v>422</v>
      </c>
      <c r="M427">
        <v>1.3984049999999999</v>
      </c>
      <c r="N427">
        <v>45982.128197999999</v>
      </c>
      <c r="O427">
        <f t="shared" si="9"/>
        <v>32881.839093824754</v>
      </c>
    </row>
    <row r="428" spans="12:15" x14ac:dyDescent="0.55000000000000004">
      <c r="L428">
        <v>423</v>
      </c>
      <c r="M428">
        <v>1.3977489999999999</v>
      </c>
      <c r="N428">
        <v>45923.910665000003</v>
      </c>
      <c r="O428">
        <f t="shared" si="9"/>
        <v>32855.62047620854</v>
      </c>
    </row>
    <row r="429" spans="12:15" x14ac:dyDescent="0.55000000000000004">
      <c r="L429">
        <v>424</v>
      </c>
      <c r="M429">
        <v>1.3970389999999999</v>
      </c>
      <c r="N429">
        <v>45863.687082999997</v>
      </c>
      <c r="O429">
        <f t="shared" si="9"/>
        <v>32829.210267573057</v>
      </c>
    </row>
    <row r="430" spans="12:15" x14ac:dyDescent="0.55000000000000004">
      <c r="L430">
        <v>425</v>
      </c>
      <c r="M430">
        <v>1.396271</v>
      </c>
      <c r="N430">
        <v>45801.416048999999</v>
      </c>
      <c r="O430">
        <f t="shared" si="9"/>
        <v>32802.669430934249</v>
      </c>
    </row>
    <row r="431" spans="12:15" x14ac:dyDescent="0.55000000000000004">
      <c r="L431">
        <v>426</v>
      </c>
      <c r="M431">
        <v>1.3954409999999999</v>
      </c>
      <c r="N431">
        <v>45737.056622999997</v>
      </c>
      <c r="O431">
        <f t="shared" si="9"/>
        <v>32776.059054449455</v>
      </c>
    </row>
    <row r="432" spans="12:15" x14ac:dyDescent="0.55000000000000004">
      <c r="L432">
        <v>427</v>
      </c>
      <c r="M432">
        <v>1.3945449999999999</v>
      </c>
      <c r="N432">
        <v>45670.568403999998</v>
      </c>
      <c r="O432">
        <f t="shared" si="9"/>
        <v>32749.440429674196</v>
      </c>
    </row>
    <row r="433" spans="12:15" x14ac:dyDescent="0.55000000000000004">
      <c r="L433">
        <v>428</v>
      </c>
      <c r="M433">
        <v>1.3935789999999999</v>
      </c>
      <c r="N433">
        <v>45601.911598999999</v>
      </c>
      <c r="O433">
        <f t="shared" si="9"/>
        <v>32722.875128715346</v>
      </c>
    </row>
    <row r="434" spans="12:15" x14ac:dyDescent="0.55000000000000004">
      <c r="L434">
        <v>429</v>
      </c>
      <c r="M434">
        <v>1.3925380000000001</v>
      </c>
      <c r="N434">
        <v>45531.047099000003</v>
      </c>
      <c r="O434">
        <f t="shared" si="9"/>
        <v>32696.448570164692</v>
      </c>
    </row>
    <row r="435" spans="12:15" x14ac:dyDescent="0.55000000000000004">
      <c r="L435">
        <v>430</v>
      </c>
      <c r="M435">
        <v>1.391418</v>
      </c>
      <c r="N435">
        <v>45457.936557000001</v>
      </c>
      <c r="O435">
        <f t="shared" si="9"/>
        <v>32670.223151490063</v>
      </c>
    </row>
    <row r="436" spans="12:15" x14ac:dyDescent="0.55000000000000004">
      <c r="L436">
        <v>431</v>
      </c>
      <c r="M436">
        <v>1.390215</v>
      </c>
      <c r="N436">
        <v>45382.542458000004</v>
      </c>
      <c r="O436">
        <f t="shared" si="9"/>
        <v>32644.261828566086</v>
      </c>
    </row>
    <row r="437" spans="12:15" x14ac:dyDescent="0.55000000000000004">
      <c r="L437">
        <v>432</v>
      </c>
      <c r="M437">
        <v>1.388922</v>
      </c>
      <c r="N437">
        <v>45304.828202999997</v>
      </c>
      <c r="O437">
        <f t="shared" si="9"/>
        <v>32618.698676383552</v>
      </c>
    </row>
    <row r="438" spans="12:15" x14ac:dyDescent="0.55000000000000004">
      <c r="L438">
        <v>433</v>
      </c>
      <c r="M438">
        <v>1.387535</v>
      </c>
      <c r="N438">
        <v>45224.758182999998</v>
      </c>
      <c r="O438">
        <f t="shared" si="9"/>
        <v>32593.59813121831</v>
      </c>
    </row>
    <row r="439" spans="12:15" x14ac:dyDescent="0.55000000000000004">
      <c r="L439">
        <v>434</v>
      </c>
      <c r="M439">
        <v>1.3860490000000001</v>
      </c>
      <c r="N439">
        <v>45142.297863</v>
      </c>
      <c r="O439">
        <f t="shared" si="9"/>
        <v>32569.049047328052</v>
      </c>
    </row>
    <row r="440" spans="12:15" x14ac:dyDescent="0.55000000000000004">
      <c r="L440">
        <v>435</v>
      </c>
      <c r="M440">
        <v>1.384458</v>
      </c>
      <c r="N440">
        <v>45057.413853999999</v>
      </c>
      <c r="O440">
        <f t="shared" si="9"/>
        <v>32545.16486162816</v>
      </c>
    </row>
    <row r="441" spans="12:15" x14ac:dyDescent="0.55000000000000004">
      <c r="L441">
        <v>436</v>
      </c>
      <c r="M441">
        <v>1.382757</v>
      </c>
      <c r="N441">
        <v>44970.074002000001</v>
      </c>
      <c r="O441">
        <f t="shared" si="9"/>
        <v>32522.036772910931</v>
      </c>
    </row>
    <row r="442" spans="12:15" x14ac:dyDescent="0.55000000000000004">
      <c r="L442">
        <v>437</v>
      </c>
      <c r="M442">
        <v>1.3809400000000001</v>
      </c>
      <c r="N442">
        <v>44880.247459999999</v>
      </c>
      <c r="O442">
        <f t="shared" si="9"/>
        <v>32499.780917346154</v>
      </c>
    </row>
    <row r="443" spans="12:15" x14ac:dyDescent="0.55000000000000004">
      <c r="L443">
        <v>438</v>
      </c>
      <c r="M443">
        <v>1.379</v>
      </c>
      <c r="N443">
        <v>44787.904773000002</v>
      </c>
      <c r="O443">
        <f t="shared" si="9"/>
        <v>32478.538631617113</v>
      </c>
    </row>
    <row r="444" spans="12:15" x14ac:dyDescent="0.55000000000000004">
      <c r="L444">
        <v>439</v>
      </c>
      <c r="M444">
        <v>1.376933</v>
      </c>
      <c r="N444">
        <v>44693.017958999997</v>
      </c>
      <c r="O444">
        <f t="shared" si="9"/>
        <v>32458.382476852541</v>
      </c>
    </row>
    <row r="445" spans="12:15" x14ac:dyDescent="0.55000000000000004">
      <c r="L445">
        <v>440</v>
      </c>
      <c r="M445">
        <v>1.3747320000000001</v>
      </c>
      <c r="N445">
        <v>44595.560581999998</v>
      </c>
      <c r="O445">
        <f t="shared" si="9"/>
        <v>32439.457713939879</v>
      </c>
    </row>
    <row r="446" spans="12:15" x14ac:dyDescent="0.55000000000000004">
      <c r="L446">
        <v>441</v>
      </c>
      <c r="M446">
        <v>1.37239</v>
      </c>
      <c r="N446">
        <v>44495.507840999999</v>
      </c>
      <c r="O446">
        <f t="shared" si="9"/>
        <v>32421.9120228215</v>
      </c>
    </row>
    <row r="447" spans="12:15" x14ac:dyDescent="0.55000000000000004">
      <c r="L447">
        <v>442</v>
      </c>
      <c r="M447">
        <v>1.369901</v>
      </c>
      <c r="N447">
        <v>44392.836638000001</v>
      </c>
      <c r="O447">
        <f t="shared" si="9"/>
        <v>32405.872130905809</v>
      </c>
    </row>
    <row r="448" spans="12:15" x14ac:dyDescent="0.55000000000000004">
      <c r="L448">
        <v>443</v>
      </c>
      <c r="M448">
        <v>1.367259</v>
      </c>
      <c r="N448">
        <v>44287.525664000001</v>
      </c>
      <c r="O448">
        <f t="shared" si="9"/>
        <v>32391.46764731481</v>
      </c>
    </row>
    <row r="449" spans="12:15" x14ac:dyDescent="0.55000000000000004">
      <c r="L449">
        <v>444</v>
      </c>
      <c r="M449">
        <v>1.364457</v>
      </c>
      <c r="N449">
        <v>44179.555471</v>
      </c>
      <c r="O449">
        <f t="shared" si="9"/>
        <v>32378.855083743936</v>
      </c>
    </row>
    <row r="450" spans="12:15" x14ac:dyDescent="0.55000000000000004">
      <c r="L450">
        <v>445</v>
      </c>
      <c r="M450">
        <v>1.3614889999999999</v>
      </c>
      <c r="N450">
        <v>44068.908545999999</v>
      </c>
      <c r="O450">
        <f t="shared" si="9"/>
        <v>32368.170837957561</v>
      </c>
    </row>
    <row r="451" spans="12:15" x14ac:dyDescent="0.55000000000000004">
      <c r="L451">
        <v>446</v>
      </c>
      <c r="M451">
        <v>1.3583480000000001</v>
      </c>
      <c r="N451">
        <v>43955.569388000004</v>
      </c>
      <c r="O451">
        <f t="shared" si="9"/>
        <v>32359.57897976071</v>
      </c>
    </row>
    <row r="452" spans="12:15" x14ac:dyDescent="0.55000000000000004">
      <c r="L452">
        <v>447</v>
      </c>
      <c r="M452">
        <v>1.355027</v>
      </c>
      <c r="N452">
        <v>43839.524577999997</v>
      </c>
      <c r="O452">
        <f t="shared" si="9"/>
        <v>32353.248000224346</v>
      </c>
    </row>
    <row r="453" spans="12:15" x14ac:dyDescent="0.55000000000000004">
      <c r="L453">
        <v>448</v>
      </c>
      <c r="M453">
        <v>1.3515200000000001</v>
      </c>
      <c r="N453">
        <v>43720.762847999998</v>
      </c>
      <c r="O453">
        <f t="shared" si="9"/>
        <v>32349.327311471527</v>
      </c>
    </row>
    <row r="454" spans="12:15" x14ac:dyDescent="0.55000000000000004">
      <c r="L454">
        <v>449</v>
      </c>
      <c r="M454">
        <v>1.3478209999999999</v>
      </c>
      <c r="N454">
        <v>43599.275149000001</v>
      </c>
      <c r="O454">
        <f t="shared" ref="O454:O517" si="10">N454/M454</f>
        <v>32347.971391601706</v>
      </c>
    </row>
    <row r="455" spans="12:15" x14ac:dyDescent="0.55000000000000004">
      <c r="L455">
        <v>450</v>
      </c>
      <c r="M455">
        <v>1.3439220000000001</v>
      </c>
      <c r="N455">
        <v>43475.054716999999</v>
      </c>
      <c r="O455">
        <f t="shared" si="10"/>
        <v>32349.388370009568</v>
      </c>
    </row>
    <row r="456" spans="12:15" x14ac:dyDescent="0.55000000000000004">
      <c r="L456">
        <v>451</v>
      </c>
      <c r="M456">
        <v>1.339818</v>
      </c>
      <c r="N456">
        <v>43348.097135000004</v>
      </c>
      <c r="O456">
        <f t="shared" si="10"/>
        <v>32353.72053144532</v>
      </c>
    </row>
    <row r="457" spans="12:15" x14ac:dyDescent="0.55000000000000004">
      <c r="L457">
        <v>452</v>
      </c>
      <c r="M457">
        <v>1.335501</v>
      </c>
      <c r="N457">
        <v>43218.400393000004</v>
      </c>
      <c r="O457">
        <f t="shared" si="10"/>
        <v>32361.189091584358</v>
      </c>
    </row>
    <row r="458" spans="12:15" x14ac:dyDescent="0.55000000000000004">
      <c r="L458">
        <v>453</v>
      </c>
      <c r="M458">
        <v>1.330967</v>
      </c>
      <c r="N458">
        <v>43085.964943999999</v>
      </c>
      <c r="O458">
        <f t="shared" si="10"/>
        <v>32371.925783283881</v>
      </c>
    </row>
    <row r="459" spans="12:15" x14ac:dyDescent="0.55000000000000004">
      <c r="L459">
        <v>454</v>
      </c>
      <c r="M459">
        <v>1.3262080000000001</v>
      </c>
      <c r="N459">
        <v>42950.793762000001</v>
      </c>
      <c r="O459">
        <f t="shared" si="10"/>
        <v>32386.166997936976</v>
      </c>
    </row>
    <row r="460" spans="12:15" x14ac:dyDescent="0.55000000000000004">
      <c r="L460">
        <v>455</v>
      </c>
      <c r="M460">
        <v>1.3212189999999999</v>
      </c>
      <c r="N460">
        <v>42812.892384999999</v>
      </c>
      <c r="O460">
        <f t="shared" si="10"/>
        <v>32404.084701325064</v>
      </c>
    </row>
    <row r="461" spans="12:15" x14ac:dyDescent="0.55000000000000004">
      <c r="L461">
        <v>456</v>
      </c>
      <c r="M461">
        <v>1.3159940000000001</v>
      </c>
      <c r="N461">
        <v>42672.268967999997</v>
      </c>
      <c r="O461">
        <f t="shared" si="10"/>
        <v>32425.884136249857</v>
      </c>
    </row>
    <row r="462" spans="12:15" x14ac:dyDescent="0.55000000000000004">
      <c r="L462">
        <v>457</v>
      </c>
      <c r="M462">
        <v>1.3105279999999999</v>
      </c>
      <c r="N462">
        <v>42528.934327000003</v>
      </c>
      <c r="O462">
        <f t="shared" si="10"/>
        <v>32451.755572563125</v>
      </c>
    </row>
    <row r="463" spans="12:15" x14ac:dyDescent="0.55000000000000004">
      <c r="L463">
        <v>458</v>
      </c>
      <c r="M463">
        <v>1.304816</v>
      </c>
      <c r="N463">
        <v>42382.901970999999</v>
      </c>
      <c r="O463">
        <f t="shared" si="10"/>
        <v>32481.899341363074</v>
      </c>
    </row>
    <row r="464" spans="12:15" x14ac:dyDescent="0.55000000000000004">
      <c r="L464">
        <v>459</v>
      </c>
      <c r="M464">
        <v>1.298853</v>
      </c>
      <c r="N464">
        <v>42234.188145</v>
      </c>
      <c r="O464">
        <f t="shared" si="10"/>
        <v>32516.526616175965</v>
      </c>
    </row>
    <row r="465" spans="12:15" x14ac:dyDescent="0.55000000000000004">
      <c r="L465">
        <v>460</v>
      </c>
      <c r="M465">
        <v>1.2926329999999999</v>
      </c>
      <c r="N465">
        <v>42082.811859000001</v>
      </c>
      <c r="O465">
        <f t="shared" si="10"/>
        <v>32555.885436160152</v>
      </c>
    </row>
    <row r="466" spans="12:15" x14ac:dyDescent="0.55000000000000004">
      <c r="L466">
        <v>461</v>
      </c>
      <c r="M466">
        <v>1.286154</v>
      </c>
      <c r="N466">
        <v>41928.794911999998</v>
      </c>
      <c r="O466">
        <f t="shared" si="10"/>
        <v>32600.135685151232</v>
      </c>
    </row>
    <row r="467" spans="12:15" x14ac:dyDescent="0.55000000000000004">
      <c r="L467">
        <v>462</v>
      </c>
      <c r="M467">
        <v>1.2794110000000001</v>
      </c>
      <c r="N467">
        <v>41772.161916999998</v>
      </c>
      <c r="O467">
        <f t="shared" si="10"/>
        <v>32649.525380819763</v>
      </c>
    </row>
    <row r="468" spans="12:15" x14ac:dyDescent="0.55000000000000004">
      <c r="L468">
        <v>463</v>
      </c>
      <c r="M468">
        <v>1.2724009999999999</v>
      </c>
      <c r="N468">
        <v>41612.940319000001</v>
      </c>
      <c r="O468">
        <f t="shared" si="10"/>
        <v>32704.265651315902</v>
      </c>
    </row>
    <row r="469" spans="12:15" x14ac:dyDescent="0.55000000000000004">
      <c r="L469">
        <v>464</v>
      </c>
      <c r="M469">
        <v>1.26512</v>
      </c>
      <c r="N469">
        <v>41451.160407000003</v>
      </c>
      <c r="O469">
        <f t="shared" si="10"/>
        <v>32764.607631687115</v>
      </c>
    </row>
    <row r="470" spans="12:15" x14ac:dyDescent="0.55000000000000004">
      <c r="L470">
        <v>465</v>
      </c>
      <c r="M470">
        <v>1.2575670000000001</v>
      </c>
      <c r="N470">
        <v>41286.855322000003</v>
      </c>
      <c r="O470">
        <f t="shared" si="10"/>
        <v>32830.740089394836</v>
      </c>
    </row>
    <row r="471" spans="12:15" x14ac:dyDescent="0.55000000000000004">
      <c r="L471">
        <v>466</v>
      </c>
      <c r="M471">
        <v>1.2497389999999999</v>
      </c>
      <c r="N471">
        <v>41120.061059</v>
      </c>
      <c r="O471">
        <f t="shared" si="10"/>
        <v>32902.918976682333</v>
      </c>
    </row>
    <row r="472" spans="12:15" x14ac:dyDescent="0.55000000000000004">
      <c r="L472">
        <v>467</v>
      </c>
      <c r="M472">
        <v>1.241635</v>
      </c>
      <c r="N472">
        <v>40950.816469999998</v>
      </c>
      <c r="O472">
        <f t="shared" si="10"/>
        <v>32981.364467013249</v>
      </c>
    </row>
    <row r="473" spans="12:15" x14ac:dyDescent="0.55000000000000004">
      <c r="L473">
        <v>468</v>
      </c>
      <c r="M473">
        <v>1.2332540000000001</v>
      </c>
      <c r="N473">
        <v>40779.163251999998</v>
      </c>
      <c r="O473">
        <f t="shared" si="10"/>
        <v>33066.313388807168</v>
      </c>
    </row>
    <row r="474" spans="12:15" x14ac:dyDescent="0.55000000000000004">
      <c r="L474">
        <v>469</v>
      </c>
      <c r="M474">
        <v>1.2245950000000001</v>
      </c>
      <c r="N474">
        <v>40605.145936000001</v>
      </c>
      <c r="O474">
        <f t="shared" si="10"/>
        <v>33158.020354484543</v>
      </c>
    </row>
    <row r="475" spans="12:15" x14ac:dyDescent="0.55000000000000004">
      <c r="L475">
        <v>470</v>
      </c>
      <c r="M475">
        <v>1.215659</v>
      </c>
      <c r="N475">
        <v>40428.811872999999</v>
      </c>
      <c r="O475">
        <f t="shared" si="10"/>
        <v>33256.704283849336</v>
      </c>
    </row>
    <row r="476" spans="12:15" x14ac:dyDescent="0.55000000000000004">
      <c r="L476">
        <v>471</v>
      </c>
      <c r="M476">
        <v>1.2064459999999999</v>
      </c>
      <c r="N476">
        <v>40250.211209000001</v>
      </c>
      <c r="O476">
        <f t="shared" si="10"/>
        <v>33362.629748036801</v>
      </c>
    </row>
    <row r="477" spans="12:15" x14ac:dyDescent="0.55000000000000004">
      <c r="L477">
        <v>472</v>
      </c>
      <c r="M477">
        <v>1.196958</v>
      </c>
      <c r="N477">
        <v>40069.396854999999</v>
      </c>
      <c r="O477">
        <f t="shared" si="10"/>
        <v>33476.025771163229</v>
      </c>
    </row>
    <row r="478" spans="12:15" x14ac:dyDescent="0.55000000000000004">
      <c r="L478">
        <v>473</v>
      </c>
      <c r="M478">
        <v>1.1871970000000001</v>
      </c>
      <c r="N478">
        <v>39886.424459000002</v>
      </c>
      <c r="O478">
        <f t="shared" si="10"/>
        <v>33597.140541123335</v>
      </c>
    </row>
    <row r="479" spans="12:15" x14ac:dyDescent="0.55000000000000004">
      <c r="L479">
        <v>474</v>
      </c>
      <c r="M479">
        <v>1.177165</v>
      </c>
      <c r="N479">
        <v>39701.352365999999</v>
      </c>
      <c r="O479">
        <f t="shared" si="10"/>
        <v>33726.242596407472</v>
      </c>
    </row>
    <row r="480" spans="12:15" x14ac:dyDescent="0.55000000000000004">
      <c r="L480">
        <v>475</v>
      </c>
      <c r="M480">
        <v>1.166865</v>
      </c>
      <c r="N480">
        <v>39514.241571999999</v>
      </c>
      <c r="O480">
        <f t="shared" si="10"/>
        <v>33863.593108028777</v>
      </c>
    </row>
    <row r="481" spans="12:15" x14ac:dyDescent="0.55000000000000004">
      <c r="L481">
        <v>476</v>
      </c>
      <c r="M481">
        <v>1.1563030000000001</v>
      </c>
      <c r="N481">
        <v>39325.155678000003</v>
      </c>
      <c r="O481">
        <f t="shared" si="10"/>
        <v>34009.386534498313</v>
      </c>
    </row>
    <row r="482" spans="12:15" x14ac:dyDescent="0.55000000000000004">
      <c r="L482">
        <v>477</v>
      </c>
      <c r="M482">
        <v>1.145481</v>
      </c>
      <c r="N482">
        <v>39134.160838000003</v>
      </c>
      <c r="O482">
        <f t="shared" si="10"/>
        <v>34163.954564065229</v>
      </c>
    </row>
    <row r="483" spans="12:15" x14ac:dyDescent="0.55000000000000004">
      <c r="L483">
        <v>478</v>
      </c>
      <c r="M483">
        <v>1.134406</v>
      </c>
      <c r="N483">
        <v>38941.325693999999</v>
      </c>
      <c r="O483">
        <f t="shared" si="10"/>
        <v>34327.503287182895</v>
      </c>
    </row>
    <row r="484" spans="12:15" x14ac:dyDescent="0.55000000000000004">
      <c r="L484">
        <v>479</v>
      </c>
      <c r="M484">
        <v>1.1230830000000001</v>
      </c>
      <c r="N484">
        <v>38746.721320999997</v>
      </c>
      <c r="O484">
        <f t="shared" si="10"/>
        <v>34500.31860601576</v>
      </c>
    </row>
    <row r="485" spans="12:15" x14ac:dyDescent="0.55000000000000004">
      <c r="L485">
        <v>480</v>
      </c>
      <c r="M485">
        <v>1.1115200000000001</v>
      </c>
      <c r="N485">
        <v>38550.421148000001</v>
      </c>
      <c r="O485">
        <f t="shared" si="10"/>
        <v>34682.615830574345</v>
      </c>
    </row>
    <row r="486" spans="12:15" x14ac:dyDescent="0.55000000000000004">
      <c r="L486">
        <v>481</v>
      </c>
      <c r="M486">
        <v>1.0997220000000001</v>
      </c>
      <c r="N486">
        <v>38352.500892999997</v>
      </c>
      <c r="O486">
        <f t="shared" si="10"/>
        <v>34874.723696534209</v>
      </c>
    </row>
    <row r="487" spans="12:15" x14ac:dyDescent="0.55000000000000004">
      <c r="L487">
        <v>482</v>
      </c>
      <c r="M487">
        <v>1.087699</v>
      </c>
      <c r="N487">
        <v>38153.038482999997</v>
      </c>
      <c r="O487">
        <f t="shared" si="10"/>
        <v>35076.835119826348</v>
      </c>
    </row>
    <row r="488" spans="12:15" x14ac:dyDescent="0.55000000000000004">
      <c r="L488">
        <v>483</v>
      </c>
      <c r="M488">
        <v>1.075458</v>
      </c>
      <c r="N488">
        <v>37952.113966999998</v>
      </c>
      <c r="O488">
        <f t="shared" si="10"/>
        <v>35289.257197398685</v>
      </c>
    </row>
    <row r="489" spans="12:15" x14ac:dyDescent="0.55000000000000004">
      <c r="L489">
        <v>484</v>
      </c>
      <c r="M489">
        <v>1.0630090000000001</v>
      </c>
      <c r="N489">
        <v>37749.809433000002</v>
      </c>
      <c r="O489">
        <f t="shared" si="10"/>
        <v>35512.21996521196</v>
      </c>
    </row>
    <row r="490" spans="12:15" x14ac:dyDescent="0.55000000000000004">
      <c r="L490">
        <v>485</v>
      </c>
      <c r="M490">
        <v>1.050362</v>
      </c>
      <c r="N490">
        <v>37546.208917000004</v>
      </c>
      <c r="O490">
        <f t="shared" si="10"/>
        <v>35745.970357838538</v>
      </c>
    </row>
    <row r="491" spans="12:15" x14ac:dyDescent="0.55000000000000004">
      <c r="L491">
        <v>486</v>
      </c>
      <c r="M491">
        <v>1.0375270000000001</v>
      </c>
      <c r="N491">
        <v>37341.398304000002</v>
      </c>
      <c r="O491">
        <f t="shared" si="10"/>
        <v>35990.772581340054</v>
      </c>
    </row>
    <row r="492" spans="12:15" x14ac:dyDescent="0.55000000000000004">
      <c r="L492">
        <v>487</v>
      </c>
      <c r="M492">
        <v>1.0245139999999999</v>
      </c>
      <c r="N492">
        <v>37135.465233000003</v>
      </c>
      <c r="O492">
        <f t="shared" si="10"/>
        <v>36246.908517599571</v>
      </c>
    </row>
    <row r="493" spans="12:15" x14ac:dyDescent="0.55000000000000004">
      <c r="L493">
        <v>488</v>
      </c>
      <c r="M493">
        <v>1.0113350000000001</v>
      </c>
      <c r="N493">
        <v>36928.49899</v>
      </c>
      <c r="O493">
        <f t="shared" si="10"/>
        <v>36514.605931763457</v>
      </c>
    </row>
    <row r="494" spans="12:15" x14ac:dyDescent="0.55000000000000004">
      <c r="L494">
        <v>489</v>
      </c>
      <c r="M494">
        <v>0.99800199999999994</v>
      </c>
      <c r="N494">
        <v>36720.590407000003</v>
      </c>
      <c r="O494">
        <f t="shared" si="10"/>
        <v>36794.10502884764</v>
      </c>
    </row>
    <row r="495" spans="12:15" x14ac:dyDescent="0.55000000000000004">
      <c r="L495">
        <v>490</v>
      </c>
      <c r="M495">
        <v>0.98452799999999996</v>
      </c>
      <c r="N495">
        <v>36511.831745000003</v>
      </c>
      <c r="O495">
        <f t="shared" si="10"/>
        <v>37085.620464831882</v>
      </c>
    </row>
    <row r="496" spans="12:15" x14ac:dyDescent="0.55000000000000004">
      <c r="L496">
        <v>491</v>
      </c>
      <c r="M496">
        <v>0.97092400000000001</v>
      </c>
      <c r="N496">
        <v>36302.316589000002</v>
      </c>
      <c r="O496">
        <f t="shared" si="10"/>
        <v>37389.452304196828</v>
      </c>
    </row>
    <row r="497" spans="12:15" x14ac:dyDescent="0.55000000000000004">
      <c r="L497">
        <v>492</v>
      </c>
      <c r="M497">
        <v>0.95720499999999997</v>
      </c>
      <c r="N497">
        <v>36092.139729000002</v>
      </c>
      <c r="O497">
        <f t="shared" si="10"/>
        <v>37705.757626631705</v>
      </c>
    </row>
    <row r="498" spans="12:15" x14ac:dyDescent="0.55000000000000004">
      <c r="L498">
        <v>493</v>
      </c>
      <c r="M498">
        <v>0.943384</v>
      </c>
      <c r="N498">
        <v>35881.397040000003</v>
      </c>
      <c r="O498">
        <f t="shared" si="10"/>
        <v>38034.773793068365</v>
      </c>
    </row>
    <row r="499" spans="12:15" x14ac:dyDescent="0.55000000000000004">
      <c r="L499">
        <v>494</v>
      </c>
      <c r="M499">
        <v>0.92947500000000005</v>
      </c>
      <c r="N499">
        <v>35670.185364999998</v>
      </c>
      <c r="O499">
        <f t="shared" si="10"/>
        <v>38376.70229430592</v>
      </c>
    </row>
    <row r="500" spans="12:15" x14ac:dyDescent="0.55000000000000004">
      <c r="L500">
        <v>495</v>
      </c>
      <c r="M500">
        <v>0.91549100000000005</v>
      </c>
      <c r="N500">
        <v>35458.602396000002</v>
      </c>
      <c r="O500">
        <f t="shared" si="10"/>
        <v>38731.786982067548</v>
      </c>
    </row>
    <row r="501" spans="12:15" x14ac:dyDescent="0.55000000000000004">
      <c r="L501">
        <v>496</v>
      </c>
      <c r="M501">
        <v>0.901447</v>
      </c>
      <c r="N501">
        <v>35246.746528999996</v>
      </c>
      <c r="O501">
        <f t="shared" si="10"/>
        <v>39100.18728666244</v>
      </c>
    </row>
    <row r="502" spans="12:15" x14ac:dyDescent="0.55000000000000004">
      <c r="L502">
        <v>497</v>
      </c>
      <c r="M502">
        <v>0.88735900000000001</v>
      </c>
      <c r="N502">
        <v>35034.716803000003</v>
      </c>
      <c r="O502">
        <f t="shared" si="10"/>
        <v>39482.009877625635</v>
      </c>
    </row>
    <row r="503" spans="12:15" x14ac:dyDescent="0.55000000000000004">
      <c r="L503">
        <v>498</v>
      </c>
      <c r="M503">
        <v>0.87324000000000002</v>
      </c>
      <c r="N503">
        <v>34822.613341999997</v>
      </c>
      <c r="O503">
        <f t="shared" si="10"/>
        <v>39877.483099720579</v>
      </c>
    </row>
    <row r="504" spans="12:15" x14ac:dyDescent="0.55000000000000004">
      <c r="L504">
        <v>499</v>
      </c>
      <c r="M504">
        <v>0.85910399999999998</v>
      </c>
      <c r="N504">
        <v>34610.524178</v>
      </c>
      <c r="O504">
        <f t="shared" si="10"/>
        <v>40286.768747439193</v>
      </c>
    </row>
    <row r="505" spans="12:15" x14ac:dyDescent="0.55000000000000004">
      <c r="L505">
        <v>500</v>
      </c>
      <c r="M505">
        <v>0.844974</v>
      </c>
      <c r="N505">
        <v>34398.662776999998</v>
      </c>
      <c r="O505">
        <f t="shared" si="10"/>
        <v>40709.729266225942</v>
      </c>
    </row>
    <row r="506" spans="12:15" x14ac:dyDescent="0.55000000000000004">
      <c r="L506">
        <v>501</v>
      </c>
      <c r="M506">
        <v>0.83082500000000004</v>
      </c>
      <c r="N506">
        <v>34186.477197</v>
      </c>
      <c r="O506">
        <f t="shared" si="10"/>
        <v>41147.626993650891</v>
      </c>
    </row>
    <row r="507" spans="12:15" x14ac:dyDescent="0.55000000000000004">
      <c r="L507">
        <v>502</v>
      </c>
      <c r="M507">
        <v>0.81667800000000002</v>
      </c>
      <c r="N507">
        <v>33974.184243000003</v>
      </c>
      <c r="O507">
        <f t="shared" si="10"/>
        <v>41600.464617633879</v>
      </c>
    </row>
    <row r="508" spans="12:15" x14ac:dyDescent="0.55000000000000004">
      <c r="L508">
        <v>503</v>
      </c>
      <c r="M508">
        <v>0.80254899999999996</v>
      </c>
      <c r="N508">
        <v>33761.874682000001</v>
      </c>
      <c r="O508">
        <f t="shared" si="10"/>
        <v>42068.30322136094</v>
      </c>
    </row>
    <row r="509" spans="12:15" x14ac:dyDescent="0.55000000000000004">
      <c r="L509">
        <v>504</v>
      </c>
      <c r="M509">
        <v>0.78845399999999999</v>
      </c>
      <c r="N509">
        <v>33549.651458</v>
      </c>
      <c r="O509">
        <f t="shared" si="10"/>
        <v>42551.184289761994</v>
      </c>
    </row>
    <row r="510" spans="12:15" x14ac:dyDescent="0.55000000000000004">
      <c r="L510">
        <v>505</v>
      </c>
      <c r="M510">
        <v>0.77440600000000004</v>
      </c>
      <c r="N510">
        <v>33337.616446</v>
      </c>
      <c r="O510">
        <f t="shared" si="10"/>
        <v>43049.274471013909</v>
      </c>
    </row>
    <row r="511" spans="12:15" x14ac:dyDescent="0.55000000000000004">
      <c r="L511">
        <v>506</v>
      </c>
      <c r="M511">
        <v>0.76042100000000001</v>
      </c>
      <c r="N511">
        <v>33125.870884999997</v>
      </c>
      <c r="O511">
        <f t="shared" si="10"/>
        <v>43562.540862232891</v>
      </c>
    </row>
    <row r="512" spans="12:15" x14ac:dyDescent="0.55000000000000004">
      <c r="L512">
        <v>507</v>
      </c>
      <c r="M512">
        <v>0.74651400000000001</v>
      </c>
      <c r="N512">
        <v>32914.515323</v>
      </c>
      <c r="O512">
        <f t="shared" si="10"/>
        <v>44090.955190391607</v>
      </c>
    </row>
    <row r="513" spans="12:15" x14ac:dyDescent="0.55000000000000004">
      <c r="L513">
        <v>508</v>
      </c>
      <c r="M513">
        <v>0.73269899999999999</v>
      </c>
      <c r="N513">
        <v>32703.649466999999</v>
      </c>
      <c r="O513">
        <f t="shared" si="10"/>
        <v>44634.49447453866</v>
      </c>
    </row>
    <row r="514" spans="12:15" x14ac:dyDescent="0.55000000000000004">
      <c r="L514">
        <v>509</v>
      </c>
      <c r="M514">
        <v>0.71899000000000002</v>
      </c>
      <c r="N514">
        <v>32493.372060999998</v>
      </c>
      <c r="O514">
        <f t="shared" si="10"/>
        <v>45193.079265358348</v>
      </c>
    </row>
    <row r="515" spans="12:15" x14ac:dyDescent="0.55000000000000004">
      <c r="L515">
        <v>510</v>
      </c>
      <c r="M515">
        <v>0.70540099999999994</v>
      </c>
      <c r="N515">
        <v>32283.780763999999</v>
      </c>
      <c r="O515">
        <f t="shared" si="10"/>
        <v>45766.56506582781</v>
      </c>
    </row>
    <row r="516" spans="12:15" x14ac:dyDescent="0.55000000000000004">
      <c r="L516">
        <v>511</v>
      </c>
      <c r="M516">
        <v>0.69194599999999995</v>
      </c>
      <c r="N516">
        <v>32074.972028</v>
      </c>
      <c r="O516">
        <f t="shared" si="10"/>
        <v>46354.732924245538</v>
      </c>
    </row>
    <row r="517" spans="12:15" x14ac:dyDescent="0.55000000000000004">
      <c r="L517">
        <v>512</v>
      </c>
      <c r="M517">
        <v>0.67863700000000005</v>
      </c>
      <c r="N517">
        <v>31867.040980999998</v>
      </c>
      <c r="O517">
        <f t="shared" si="10"/>
        <v>46957.417560492569</v>
      </c>
    </row>
    <row r="518" spans="12:15" x14ac:dyDescent="0.55000000000000004">
      <c r="L518">
        <v>513</v>
      </c>
      <c r="M518">
        <v>0.66548700000000005</v>
      </c>
      <c r="N518">
        <v>31660.081308000001</v>
      </c>
      <c r="O518">
        <f t="shared" ref="O518:O581" si="11">N518/M518</f>
        <v>47574.304694156308</v>
      </c>
    </row>
    <row r="519" spans="12:15" x14ac:dyDescent="0.55000000000000004">
      <c r="L519">
        <v>514</v>
      </c>
      <c r="M519">
        <v>0.65250699999999995</v>
      </c>
      <c r="N519">
        <v>31454.185146</v>
      </c>
      <c r="O519">
        <f t="shared" si="11"/>
        <v>48205.130590169916</v>
      </c>
    </row>
    <row r="520" spans="12:15" x14ac:dyDescent="0.55000000000000004">
      <c r="L520">
        <v>515</v>
      </c>
      <c r="M520">
        <v>0.63971</v>
      </c>
      <c r="N520">
        <v>31249.442964000002</v>
      </c>
      <c r="O520">
        <f t="shared" si="11"/>
        <v>48849.389510872119</v>
      </c>
    </row>
    <row r="521" spans="12:15" x14ac:dyDescent="0.55000000000000004">
      <c r="L521">
        <v>516</v>
      </c>
      <c r="M521">
        <v>0.62710600000000005</v>
      </c>
      <c r="N521">
        <v>31045.943469999998</v>
      </c>
      <c r="O521">
        <f t="shared" si="11"/>
        <v>49506.691803299596</v>
      </c>
    </row>
    <row r="522" spans="12:15" x14ac:dyDescent="0.55000000000000004">
      <c r="L522">
        <v>517</v>
      </c>
      <c r="M522">
        <v>0.61470599999999997</v>
      </c>
      <c r="N522">
        <v>30843.773496000002</v>
      </c>
      <c r="O522">
        <f t="shared" si="11"/>
        <v>50176.464026705456</v>
      </c>
    </row>
    <row r="523" spans="12:15" x14ac:dyDescent="0.55000000000000004">
      <c r="L523">
        <v>518</v>
      </c>
      <c r="M523">
        <v>0.60251900000000003</v>
      </c>
      <c r="N523">
        <v>30643.017908999998</v>
      </c>
      <c r="O523">
        <f t="shared" si="11"/>
        <v>50858.176935499127</v>
      </c>
    </row>
    <row r="524" spans="12:15" x14ac:dyDescent="0.55000000000000004">
      <c r="L524">
        <v>519</v>
      </c>
      <c r="M524">
        <v>0.59055400000000002</v>
      </c>
      <c r="N524">
        <v>30443.759515000002</v>
      </c>
      <c r="O524">
        <f t="shared" si="11"/>
        <v>51551.186707735447</v>
      </c>
    </row>
    <row r="525" spans="12:15" x14ac:dyDescent="0.55000000000000004">
      <c r="L525">
        <v>520</v>
      </c>
      <c r="M525">
        <v>0.57882</v>
      </c>
      <c r="N525">
        <v>30246.078965000001</v>
      </c>
      <c r="O525">
        <f t="shared" si="11"/>
        <v>52254.723342317127</v>
      </c>
    </row>
    <row r="526" spans="12:15" x14ac:dyDescent="0.55000000000000004">
      <c r="L526">
        <v>521</v>
      </c>
      <c r="M526">
        <v>0.56732400000000005</v>
      </c>
      <c r="N526">
        <v>30050.054676</v>
      </c>
      <c r="O526">
        <f t="shared" si="11"/>
        <v>52968.065296021319</v>
      </c>
    </row>
    <row r="527" spans="12:15" x14ac:dyDescent="0.55000000000000004">
      <c r="L527">
        <v>522</v>
      </c>
      <c r="M527">
        <v>0.55607499999999999</v>
      </c>
      <c r="N527">
        <v>29855.762746</v>
      </c>
      <c r="O527">
        <f t="shared" si="11"/>
        <v>53690.172631389651</v>
      </c>
    </row>
    <row r="528" spans="12:15" x14ac:dyDescent="0.55000000000000004">
      <c r="L528">
        <v>523</v>
      </c>
      <c r="M528">
        <v>0.54507700000000003</v>
      </c>
      <c r="N528">
        <v>29663.276878000001</v>
      </c>
      <c r="O528">
        <f t="shared" si="11"/>
        <v>54420.342223208827</v>
      </c>
    </row>
    <row r="529" spans="12:15" x14ac:dyDescent="0.55000000000000004">
      <c r="L529">
        <v>524</v>
      </c>
      <c r="M529">
        <v>0.53433699999999995</v>
      </c>
      <c r="N529">
        <v>29472.668310000001</v>
      </c>
      <c r="O529">
        <f t="shared" si="11"/>
        <v>55157.453648165865</v>
      </c>
    </row>
    <row r="530" spans="12:15" x14ac:dyDescent="0.55000000000000004">
      <c r="L530">
        <v>525</v>
      </c>
      <c r="M530">
        <v>0.52385999999999999</v>
      </c>
      <c r="N530">
        <v>29284.005752000001</v>
      </c>
      <c r="O530">
        <f t="shared" si="11"/>
        <v>55900.442393005767</v>
      </c>
    </row>
    <row r="531" spans="12:15" x14ac:dyDescent="0.55000000000000004">
      <c r="L531">
        <v>526</v>
      </c>
      <c r="M531">
        <v>0.51365000000000005</v>
      </c>
      <c r="N531">
        <v>29097.355317000001</v>
      </c>
      <c r="O531">
        <f t="shared" si="11"/>
        <v>56648.214381388105</v>
      </c>
    </row>
    <row r="532" spans="12:15" x14ac:dyDescent="0.55000000000000004">
      <c r="L532">
        <v>527</v>
      </c>
      <c r="M532">
        <v>0.50371100000000002</v>
      </c>
      <c r="N532">
        <v>28912.780473999999</v>
      </c>
      <c r="O532">
        <f t="shared" si="11"/>
        <v>57399.541550611357</v>
      </c>
    </row>
    <row r="533" spans="12:15" x14ac:dyDescent="0.55000000000000004">
      <c r="L533">
        <v>528</v>
      </c>
      <c r="M533">
        <v>0.49404700000000001</v>
      </c>
      <c r="N533">
        <v>28730.341989</v>
      </c>
      <c r="O533">
        <f t="shared" si="11"/>
        <v>58153.054241802907</v>
      </c>
    </row>
    <row r="534" spans="12:15" x14ac:dyDescent="0.55000000000000004">
      <c r="L534">
        <v>529</v>
      </c>
      <c r="M534">
        <v>0.48465900000000001</v>
      </c>
      <c r="N534">
        <v>28550.097889000001</v>
      </c>
      <c r="O534">
        <f t="shared" si="11"/>
        <v>58907.598721988041</v>
      </c>
    </row>
    <row r="535" spans="12:15" x14ac:dyDescent="0.55000000000000004">
      <c r="L535">
        <v>530</v>
      </c>
      <c r="M535">
        <v>0.475549</v>
      </c>
      <c r="N535">
        <v>28372.103411</v>
      </c>
      <c r="O535">
        <f t="shared" si="11"/>
        <v>59661.787557118194</v>
      </c>
    </row>
    <row r="536" spans="12:15" x14ac:dyDescent="0.55000000000000004">
      <c r="L536">
        <v>531</v>
      </c>
      <c r="M536">
        <v>0.46671800000000002</v>
      </c>
      <c r="N536">
        <v>28196.410975999999</v>
      </c>
      <c r="O536">
        <f t="shared" si="11"/>
        <v>60414.235096996468</v>
      </c>
    </row>
    <row r="537" spans="12:15" x14ac:dyDescent="0.55000000000000004">
      <c r="L537">
        <v>532</v>
      </c>
      <c r="M537">
        <v>0.45816699999999999</v>
      </c>
      <c r="N537">
        <v>28023.070156999998</v>
      </c>
      <c r="O537">
        <f t="shared" si="11"/>
        <v>61163.440747587665</v>
      </c>
    </row>
    <row r="538" spans="12:15" x14ac:dyDescent="0.55000000000000004">
      <c r="L538">
        <v>533</v>
      </c>
      <c r="M538">
        <v>0.44989600000000002</v>
      </c>
      <c r="N538">
        <v>27852.127654</v>
      </c>
      <c r="O538">
        <f t="shared" si="11"/>
        <v>61907.924618133969</v>
      </c>
    </row>
    <row r="539" spans="12:15" x14ac:dyDescent="0.55000000000000004">
      <c r="L539">
        <v>534</v>
      </c>
      <c r="M539">
        <v>0.44190400000000002</v>
      </c>
      <c r="N539">
        <v>27683.627274999999</v>
      </c>
      <c r="O539">
        <f t="shared" si="11"/>
        <v>62646.247318422094</v>
      </c>
    </row>
    <row r="540" spans="12:15" x14ac:dyDescent="0.55000000000000004">
      <c r="L540">
        <v>535</v>
      </c>
      <c r="M540">
        <v>0.43418899999999999</v>
      </c>
      <c r="N540">
        <v>27517.609924</v>
      </c>
      <c r="O540">
        <f t="shared" si="11"/>
        <v>63377.03148628823</v>
      </c>
    </row>
    <row r="541" spans="12:15" x14ac:dyDescent="0.55000000000000004">
      <c r="L541">
        <v>536</v>
      </c>
      <c r="M541">
        <v>0.42675099999999999</v>
      </c>
      <c r="N541">
        <v>27354.113593999999</v>
      </c>
      <c r="O541">
        <f t="shared" si="11"/>
        <v>64098.534260025168</v>
      </c>
    </row>
    <row r="542" spans="12:15" x14ac:dyDescent="0.55000000000000004">
      <c r="L542">
        <v>537</v>
      </c>
      <c r="M542">
        <v>0.41958499999999999</v>
      </c>
      <c r="N542">
        <v>27193.173361000001</v>
      </c>
      <c r="O542">
        <f t="shared" si="11"/>
        <v>64809.689004611704</v>
      </c>
    </row>
    <row r="543" spans="12:15" x14ac:dyDescent="0.55000000000000004">
      <c r="L543">
        <v>538</v>
      </c>
      <c r="M543">
        <v>0.41269099999999997</v>
      </c>
      <c r="N543">
        <v>27034.821388</v>
      </c>
      <c r="O543">
        <f t="shared" si="11"/>
        <v>65508.628460518892</v>
      </c>
    </row>
    <row r="544" spans="12:15" x14ac:dyDescent="0.55000000000000004">
      <c r="L544">
        <v>539</v>
      </c>
      <c r="M544">
        <v>0.40606399999999998</v>
      </c>
      <c r="N544">
        <v>26879.086933999999</v>
      </c>
      <c r="O544">
        <f t="shared" si="11"/>
        <v>66194.213064935582</v>
      </c>
    </row>
    <row r="545" spans="12:15" x14ac:dyDescent="0.55000000000000004">
      <c r="L545">
        <v>540</v>
      </c>
      <c r="M545">
        <v>0.399702</v>
      </c>
      <c r="N545">
        <v>26725.996362000002</v>
      </c>
      <c r="O545">
        <f t="shared" si="11"/>
        <v>66864.805184862722</v>
      </c>
    </row>
    <row r="546" spans="12:15" x14ac:dyDescent="0.55000000000000004">
      <c r="L546">
        <v>541</v>
      </c>
      <c r="M546">
        <v>0.393598</v>
      </c>
      <c r="N546">
        <v>26575.573161</v>
      </c>
      <c r="O546">
        <f t="shared" si="11"/>
        <v>67519.583841889442</v>
      </c>
    </row>
    <row r="547" spans="12:15" x14ac:dyDescent="0.55000000000000004">
      <c r="L547">
        <v>542</v>
      </c>
      <c r="M547">
        <v>0.38775100000000001</v>
      </c>
      <c r="N547">
        <v>26427.837963999998</v>
      </c>
      <c r="O547">
        <f t="shared" si="11"/>
        <v>68156.724196713869</v>
      </c>
    </row>
    <row r="548" spans="12:15" x14ac:dyDescent="0.55000000000000004">
      <c r="L548">
        <v>543</v>
      </c>
      <c r="M548">
        <v>0.38215399999999999</v>
      </c>
      <c r="N548">
        <v>26282.808575999999</v>
      </c>
      <c r="O548">
        <f t="shared" si="11"/>
        <v>68775.437587988083</v>
      </c>
    </row>
    <row r="549" spans="12:15" x14ac:dyDescent="0.55000000000000004">
      <c r="L549">
        <v>544</v>
      </c>
      <c r="M549">
        <v>0.37680200000000003</v>
      </c>
      <c r="N549">
        <v>26140.500005999998</v>
      </c>
      <c r="O549">
        <f t="shared" si="11"/>
        <v>69374.631785393911</v>
      </c>
    </row>
    <row r="550" spans="12:15" x14ac:dyDescent="0.55000000000000004">
      <c r="L550">
        <v>545</v>
      </c>
      <c r="M550">
        <v>0.37169000000000002</v>
      </c>
      <c r="N550">
        <v>26000.924500000001</v>
      </c>
      <c r="O550">
        <f t="shared" si="11"/>
        <v>69953.252710592162</v>
      </c>
    </row>
    <row r="551" spans="12:15" x14ac:dyDescent="0.55000000000000004">
      <c r="L551">
        <v>546</v>
      </c>
      <c r="M551">
        <v>0.366813</v>
      </c>
      <c r="N551">
        <v>25864.091581000001</v>
      </c>
      <c r="O551">
        <f t="shared" si="11"/>
        <v>70510.291568183238</v>
      </c>
    </row>
    <row r="552" spans="12:15" x14ac:dyDescent="0.55000000000000004">
      <c r="L552">
        <v>547</v>
      </c>
      <c r="M552">
        <v>0.36216500000000001</v>
      </c>
      <c r="N552">
        <v>25730.008093</v>
      </c>
      <c r="O552">
        <f t="shared" si="11"/>
        <v>71044.988038601194</v>
      </c>
    </row>
    <row r="553" spans="12:15" x14ac:dyDescent="0.55000000000000004">
      <c r="L553">
        <v>548</v>
      </c>
      <c r="M553">
        <v>0.35773899999999997</v>
      </c>
      <c r="N553">
        <v>25598.678248</v>
      </c>
      <c r="O553">
        <f t="shared" si="11"/>
        <v>71556.856389714289</v>
      </c>
    </row>
    <row r="554" spans="12:15" x14ac:dyDescent="0.55000000000000004">
      <c r="L554">
        <v>549</v>
      </c>
      <c r="M554">
        <v>0.35352899999999998</v>
      </c>
      <c r="N554">
        <v>25470.103676999999</v>
      </c>
      <c r="O554">
        <f t="shared" si="11"/>
        <v>72045.30230051848</v>
      </c>
    </row>
    <row r="555" spans="12:15" x14ac:dyDescent="0.55000000000000004">
      <c r="L555">
        <v>550</v>
      </c>
      <c r="M555">
        <v>0.34952899999999998</v>
      </c>
      <c r="N555">
        <v>25344.283482999999</v>
      </c>
      <c r="O555">
        <f t="shared" si="11"/>
        <v>72509.816018127254</v>
      </c>
    </row>
    <row r="556" spans="12:15" x14ac:dyDescent="0.55000000000000004">
      <c r="L556">
        <v>551</v>
      </c>
      <c r="M556">
        <v>0.34573199999999998</v>
      </c>
      <c r="N556">
        <v>25221.2143</v>
      </c>
      <c r="O556">
        <f t="shared" si="11"/>
        <v>72950.187717654146</v>
      </c>
    </row>
    <row r="557" spans="12:15" x14ac:dyDescent="0.55000000000000004">
      <c r="L557">
        <v>552</v>
      </c>
      <c r="M557">
        <v>0.34213300000000002</v>
      </c>
      <c r="N557">
        <v>25100.890351999999</v>
      </c>
      <c r="O557">
        <f t="shared" si="11"/>
        <v>73365.88505639619</v>
      </c>
    </row>
    <row r="558" spans="12:15" x14ac:dyDescent="0.55000000000000004">
      <c r="L558">
        <v>553</v>
      </c>
      <c r="M558">
        <v>0.33872400000000003</v>
      </c>
      <c r="N558">
        <v>24983.303518000001</v>
      </c>
      <c r="O558">
        <f t="shared" si="11"/>
        <v>73757.110561991474</v>
      </c>
    </row>
    <row r="559" spans="12:15" x14ac:dyDescent="0.55000000000000004">
      <c r="L559">
        <v>554</v>
      </c>
      <c r="M559">
        <v>0.33549800000000002</v>
      </c>
      <c r="N559">
        <v>24868.443394999998</v>
      </c>
      <c r="O559">
        <f t="shared" si="11"/>
        <v>74123.969129473189</v>
      </c>
    </row>
    <row r="560" spans="12:15" x14ac:dyDescent="0.55000000000000004">
      <c r="L560">
        <v>555</v>
      </c>
      <c r="M560">
        <v>0.33244899999999999</v>
      </c>
      <c r="N560">
        <v>24756.297373000001</v>
      </c>
      <c r="O560">
        <f t="shared" si="11"/>
        <v>74466.451615134953</v>
      </c>
    </row>
    <row r="561" spans="12:15" x14ac:dyDescent="0.55000000000000004">
      <c r="L561">
        <v>556</v>
      </c>
      <c r="M561">
        <v>0.329571</v>
      </c>
      <c r="N561">
        <v>24646.850696000001</v>
      </c>
      <c r="O561">
        <f t="shared" si="11"/>
        <v>74784.646391824528</v>
      </c>
    </row>
    <row r="562" spans="12:15" x14ac:dyDescent="0.55000000000000004">
      <c r="L562">
        <v>557</v>
      </c>
      <c r="M562">
        <v>0.32685599999999998</v>
      </c>
      <c r="N562">
        <v>24540.086544999998</v>
      </c>
      <c r="O562">
        <f t="shared" si="11"/>
        <v>75079.198622635042</v>
      </c>
    </row>
    <row r="563" spans="12:15" x14ac:dyDescent="0.55000000000000004">
      <c r="L563">
        <v>558</v>
      </c>
      <c r="M563">
        <v>0.32429799999999998</v>
      </c>
      <c r="N563">
        <v>24435.986105</v>
      </c>
      <c r="O563">
        <f t="shared" si="11"/>
        <v>75350.406431738709</v>
      </c>
    </row>
    <row r="564" spans="12:15" x14ac:dyDescent="0.55000000000000004">
      <c r="L564">
        <v>559</v>
      </c>
      <c r="M564">
        <v>0.32189000000000001</v>
      </c>
      <c r="N564">
        <v>24334.528644999999</v>
      </c>
      <c r="O564">
        <f t="shared" si="11"/>
        <v>75598.896035912883</v>
      </c>
    </row>
    <row r="565" spans="12:15" x14ac:dyDescent="0.55000000000000004">
      <c r="L565">
        <v>560</v>
      </c>
      <c r="M565">
        <v>0.31962600000000002</v>
      </c>
      <c r="N565">
        <v>24235.691594</v>
      </c>
      <c r="O565">
        <f t="shared" si="11"/>
        <v>75825.156883357413</v>
      </c>
    </row>
    <row r="566" spans="12:15" x14ac:dyDescent="0.55000000000000004">
      <c r="L566">
        <v>561</v>
      </c>
      <c r="M566">
        <v>0.3175</v>
      </c>
      <c r="N566">
        <v>24139.450621</v>
      </c>
      <c r="O566">
        <f t="shared" si="11"/>
        <v>76029.765735433073</v>
      </c>
    </row>
    <row r="567" spans="12:15" x14ac:dyDescent="0.55000000000000004">
      <c r="L567">
        <v>562</v>
      </c>
      <c r="M567">
        <v>0.31550499999999998</v>
      </c>
      <c r="N567">
        <v>24045.779714</v>
      </c>
      <c r="O567">
        <f t="shared" si="11"/>
        <v>76213.624868068655</v>
      </c>
    </row>
    <row r="568" spans="12:15" x14ac:dyDescent="0.55000000000000004">
      <c r="L568">
        <v>563</v>
      </c>
      <c r="M568">
        <v>0.31363600000000003</v>
      </c>
      <c r="N568">
        <v>23954.651261999999</v>
      </c>
      <c r="O568">
        <f t="shared" si="11"/>
        <v>76377.23750462319</v>
      </c>
    </row>
    <row r="569" spans="12:15" x14ac:dyDescent="0.55000000000000004">
      <c r="L569">
        <v>564</v>
      </c>
      <c r="M569">
        <v>0.31188500000000002</v>
      </c>
      <c r="N569">
        <v>23866.036133000001</v>
      </c>
      <c r="O569">
        <f t="shared" si="11"/>
        <v>76521.910745948029</v>
      </c>
    </row>
    <row r="570" spans="12:15" x14ac:dyDescent="0.55000000000000004">
      <c r="L570">
        <v>565</v>
      </c>
      <c r="M570">
        <v>0.31024800000000002</v>
      </c>
      <c r="N570">
        <v>23779.903759000001</v>
      </c>
      <c r="O570">
        <f t="shared" si="11"/>
        <v>76648.048525695573</v>
      </c>
    </row>
    <row r="571" spans="12:15" x14ac:dyDescent="0.55000000000000004">
      <c r="L571">
        <v>566</v>
      </c>
      <c r="M571">
        <v>0.30871799999999999</v>
      </c>
      <c r="N571">
        <v>23696.222218999999</v>
      </c>
      <c r="O571">
        <f t="shared" si="11"/>
        <v>76756.853241469566</v>
      </c>
    </row>
    <row r="572" spans="12:15" x14ac:dyDescent="0.55000000000000004">
      <c r="L572">
        <v>567</v>
      </c>
      <c r="M572">
        <v>0.30729000000000001</v>
      </c>
      <c r="N572">
        <v>23614.958314</v>
      </c>
      <c r="O572">
        <f t="shared" si="11"/>
        <v>76849.094711835729</v>
      </c>
    </row>
    <row r="573" spans="12:15" x14ac:dyDescent="0.55000000000000004">
      <c r="L573">
        <v>568</v>
      </c>
      <c r="M573">
        <v>0.30595899999999998</v>
      </c>
      <c r="N573">
        <v>23536.077657000002</v>
      </c>
      <c r="O573">
        <f t="shared" si="11"/>
        <v>76925.593484747966</v>
      </c>
    </row>
    <row r="574" spans="12:15" x14ac:dyDescent="0.55000000000000004">
      <c r="L574">
        <v>569</v>
      </c>
      <c r="M574">
        <v>0.30471900000000002</v>
      </c>
      <c r="N574">
        <v>23459.544749000001</v>
      </c>
      <c r="O574">
        <f t="shared" si="11"/>
        <v>76987.469599860851</v>
      </c>
    </row>
    <row r="575" spans="12:15" x14ac:dyDescent="0.55000000000000004">
      <c r="L575">
        <v>570</v>
      </c>
      <c r="M575">
        <v>0.30356499999999997</v>
      </c>
      <c r="N575">
        <v>23385.323061999999</v>
      </c>
      <c r="O575">
        <f t="shared" si="11"/>
        <v>77035.636723601216</v>
      </c>
    </row>
    <row r="576" spans="12:15" x14ac:dyDescent="0.55000000000000004">
      <c r="L576">
        <v>571</v>
      </c>
      <c r="M576">
        <v>0.30249300000000001</v>
      </c>
      <c r="N576">
        <v>23313.375121000001</v>
      </c>
      <c r="O576">
        <f t="shared" si="11"/>
        <v>77070.792120809405</v>
      </c>
    </row>
    <row r="577" spans="12:15" x14ac:dyDescent="0.55000000000000004">
      <c r="L577">
        <v>572</v>
      </c>
      <c r="M577">
        <v>0.30149799999999999</v>
      </c>
      <c r="N577">
        <v>23243.662579</v>
      </c>
      <c r="O577">
        <f t="shared" si="11"/>
        <v>77093.919624674134</v>
      </c>
    </row>
    <row r="578" spans="12:15" x14ac:dyDescent="0.55000000000000004">
      <c r="L578">
        <v>573</v>
      </c>
      <c r="M578">
        <v>0.30057400000000001</v>
      </c>
      <c r="N578">
        <v>23176.146299</v>
      </c>
      <c r="O578">
        <f t="shared" si="11"/>
        <v>77106.290959963269</v>
      </c>
    </row>
    <row r="579" spans="12:15" x14ac:dyDescent="0.55000000000000004">
      <c r="L579">
        <v>574</v>
      </c>
      <c r="M579">
        <v>0.29971900000000001</v>
      </c>
      <c r="N579">
        <v>23110.78643</v>
      </c>
      <c r="O579">
        <f t="shared" si="11"/>
        <v>77108.179428064279</v>
      </c>
    </row>
    <row r="580" spans="12:15" x14ac:dyDescent="0.55000000000000004">
      <c r="L580">
        <v>575</v>
      </c>
      <c r="M580">
        <v>0.298927</v>
      </c>
      <c r="N580">
        <v>23047.542485000002</v>
      </c>
      <c r="O580">
        <f t="shared" si="11"/>
        <v>77100.905856613826</v>
      </c>
    </row>
    <row r="581" spans="12:15" x14ac:dyDescent="0.55000000000000004">
      <c r="L581">
        <v>576</v>
      </c>
      <c r="M581">
        <v>0.29819499999999999</v>
      </c>
      <c r="N581">
        <v>22986.373414000002</v>
      </c>
      <c r="O581">
        <f t="shared" si="11"/>
        <v>77085.039702208291</v>
      </c>
    </row>
    <row r="582" spans="12:15" x14ac:dyDescent="0.55000000000000004">
      <c r="L582">
        <v>577</v>
      </c>
      <c r="M582">
        <v>0.29751899999999998</v>
      </c>
      <c r="N582">
        <v>22927.237676000001</v>
      </c>
      <c r="O582">
        <f t="shared" ref="O582:O645" si="12">N582/M582</f>
        <v>77061.423559503775</v>
      </c>
    </row>
    <row r="583" spans="12:15" x14ac:dyDescent="0.55000000000000004">
      <c r="L583">
        <v>578</v>
      </c>
      <c r="M583">
        <v>0.29689500000000002</v>
      </c>
      <c r="N583">
        <v>22870.093315999999</v>
      </c>
      <c r="O583">
        <f t="shared" si="12"/>
        <v>77030.914350191131</v>
      </c>
    </row>
    <row r="584" spans="12:15" x14ac:dyDescent="0.55000000000000004">
      <c r="L584">
        <v>579</v>
      </c>
      <c r="M584">
        <v>0.29631999999999997</v>
      </c>
      <c r="N584">
        <v>22814.89803</v>
      </c>
      <c r="O584">
        <f t="shared" si="12"/>
        <v>76994.121321544284</v>
      </c>
    </row>
    <row r="585" spans="12:15" x14ac:dyDescent="0.55000000000000004">
      <c r="L585">
        <v>580</v>
      </c>
      <c r="M585">
        <v>0.29579</v>
      </c>
      <c r="N585">
        <v>22761.609235</v>
      </c>
      <c r="O585">
        <f t="shared" si="12"/>
        <v>76951.922766151663</v>
      </c>
    </row>
    <row r="586" spans="12:15" x14ac:dyDescent="0.55000000000000004">
      <c r="L586">
        <v>581</v>
      </c>
      <c r="M586">
        <v>0.29530299999999998</v>
      </c>
      <c r="N586">
        <v>22710.184133999999</v>
      </c>
      <c r="O586">
        <f t="shared" si="12"/>
        <v>76904.684794939443</v>
      </c>
    </row>
    <row r="587" spans="12:15" x14ac:dyDescent="0.55000000000000004">
      <c r="L587">
        <v>582</v>
      </c>
      <c r="M587">
        <v>0.29485600000000001</v>
      </c>
      <c r="N587">
        <v>22660.579785999998</v>
      </c>
      <c r="O587">
        <f t="shared" si="12"/>
        <v>76853.039402284499</v>
      </c>
    </row>
    <row r="588" spans="12:15" x14ac:dyDescent="0.55000000000000004">
      <c r="L588">
        <v>583</v>
      </c>
      <c r="M588">
        <v>0.29444500000000001</v>
      </c>
      <c r="N588">
        <v>22612.753159</v>
      </c>
      <c r="O588">
        <f t="shared" si="12"/>
        <v>76797.884694934532</v>
      </c>
    </row>
    <row r="589" spans="12:15" x14ac:dyDescent="0.55000000000000004">
      <c r="L589">
        <v>584</v>
      </c>
      <c r="M589">
        <v>0.294068</v>
      </c>
      <c r="N589">
        <v>22566.661200999999</v>
      </c>
      <c r="O589">
        <f t="shared" si="12"/>
        <v>76739.601728171707</v>
      </c>
    </row>
    <row r="590" spans="12:15" x14ac:dyDescent="0.55000000000000004">
      <c r="L590">
        <v>585</v>
      </c>
      <c r="M590">
        <v>0.29372300000000001</v>
      </c>
      <c r="N590">
        <v>22522.260887</v>
      </c>
      <c r="O590">
        <f t="shared" si="12"/>
        <v>76678.574326831746</v>
      </c>
    </row>
    <row r="591" spans="12:15" x14ac:dyDescent="0.55000000000000004">
      <c r="L591">
        <v>586</v>
      </c>
      <c r="M591">
        <v>0.293408</v>
      </c>
      <c r="N591">
        <v>22479.509287000001</v>
      </c>
      <c r="O591">
        <f t="shared" si="12"/>
        <v>76615.188703102845</v>
      </c>
    </row>
    <row r="592" spans="12:15" x14ac:dyDescent="0.55000000000000004">
      <c r="L592">
        <v>587</v>
      </c>
      <c r="M592">
        <v>0.29311900000000002</v>
      </c>
      <c r="N592">
        <v>22438.363608</v>
      </c>
      <c r="O592">
        <f t="shared" si="12"/>
        <v>76550.355343734103</v>
      </c>
    </row>
    <row r="593" spans="12:15" x14ac:dyDescent="0.55000000000000004">
      <c r="L593">
        <v>588</v>
      </c>
      <c r="M593">
        <v>0.29285600000000001</v>
      </c>
      <c r="N593">
        <v>22398.781253000001</v>
      </c>
      <c r="O593">
        <f t="shared" si="12"/>
        <v>76483.941776845953</v>
      </c>
    </row>
    <row r="594" spans="12:15" x14ac:dyDescent="0.55000000000000004">
      <c r="L594">
        <v>589</v>
      </c>
      <c r="M594">
        <v>0.29261599999999999</v>
      </c>
      <c r="N594">
        <v>22360.719870000001</v>
      </c>
      <c r="O594">
        <f t="shared" si="12"/>
        <v>76416.600151734703</v>
      </c>
    </row>
    <row r="595" spans="12:15" x14ac:dyDescent="0.55000000000000004">
      <c r="L595">
        <v>590</v>
      </c>
      <c r="M595">
        <v>0.29239700000000002</v>
      </c>
      <c r="N595">
        <v>22324.137394000001</v>
      </c>
      <c r="O595">
        <f t="shared" si="12"/>
        <v>76348.722435592703</v>
      </c>
    </row>
    <row r="596" spans="12:15" x14ac:dyDescent="0.55000000000000004">
      <c r="L596">
        <v>591</v>
      </c>
      <c r="M596">
        <v>0.29219800000000001</v>
      </c>
      <c r="N596">
        <v>22288.992095000001</v>
      </c>
      <c r="O596">
        <f t="shared" si="12"/>
        <v>76280.44030075497</v>
      </c>
    </row>
    <row r="597" spans="12:15" x14ac:dyDescent="0.55000000000000004">
      <c r="L597">
        <v>592</v>
      </c>
      <c r="M597">
        <v>0.292016</v>
      </c>
      <c r="N597">
        <v>22255.242620000001</v>
      </c>
      <c r="O597">
        <f t="shared" si="12"/>
        <v>76212.408292696287</v>
      </c>
    </row>
    <row r="598" spans="12:15" x14ac:dyDescent="0.55000000000000004">
      <c r="L598">
        <v>593</v>
      </c>
      <c r="M598">
        <v>0.291852</v>
      </c>
      <c r="N598">
        <v>22222.848033999999</v>
      </c>
      <c r="O598">
        <f t="shared" si="12"/>
        <v>76144.237606732175</v>
      </c>
    </row>
    <row r="599" spans="12:15" x14ac:dyDescent="0.55000000000000004">
      <c r="L599">
        <v>594</v>
      </c>
      <c r="M599">
        <v>0.29170299999999999</v>
      </c>
      <c r="N599">
        <v>22191.767852000001</v>
      </c>
      <c r="O599">
        <f t="shared" si="12"/>
        <v>76076.584238077776</v>
      </c>
    </row>
    <row r="600" spans="12:15" x14ac:dyDescent="0.55000000000000004">
      <c r="L600">
        <v>595</v>
      </c>
      <c r="M600">
        <v>0.29156700000000002</v>
      </c>
      <c r="N600">
        <v>22161.962081000001</v>
      </c>
      <c r="O600">
        <f t="shared" si="12"/>
        <v>76009.843641427186</v>
      </c>
    </row>
    <row r="601" spans="12:15" x14ac:dyDescent="0.55000000000000004">
      <c r="L601">
        <v>596</v>
      </c>
      <c r="M601">
        <v>0.29144500000000001</v>
      </c>
      <c r="N601">
        <v>22133.391248</v>
      </c>
      <c r="O601">
        <f t="shared" si="12"/>
        <v>75943.630009092623</v>
      </c>
    </row>
    <row r="602" spans="12:15" x14ac:dyDescent="0.55000000000000004">
      <c r="L602">
        <v>597</v>
      </c>
      <c r="M602">
        <v>0.29133399999999998</v>
      </c>
      <c r="N602">
        <v>22106.016435000001</v>
      </c>
      <c r="O602">
        <f t="shared" si="12"/>
        <v>75878.601313269319</v>
      </c>
    </row>
    <row r="603" spans="12:15" x14ac:dyDescent="0.55000000000000004">
      <c r="L603">
        <v>598</v>
      </c>
      <c r="M603">
        <v>0.29123399999999999</v>
      </c>
      <c r="N603">
        <v>22079.799300999999</v>
      </c>
      <c r="O603">
        <f t="shared" si="12"/>
        <v>75814.634627138308</v>
      </c>
    </row>
    <row r="604" spans="12:15" x14ac:dyDescent="0.55000000000000004">
      <c r="L604">
        <v>599</v>
      </c>
      <c r="M604">
        <v>0.29114299999999999</v>
      </c>
      <c r="N604">
        <v>22054.702115</v>
      </c>
      <c r="O604">
        <f t="shared" si="12"/>
        <v>75752.129074028911</v>
      </c>
    </row>
    <row r="605" spans="12:15" x14ac:dyDescent="0.55000000000000004">
      <c r="L605">
        <v>600</v>
      </c>
      <c r="M605">
        <v>0.29106199999999999</v>
      </c>
      <c r="N605">
        <v>22030.687774000002</v>
      </c>
      <c r="O605">
        <f t="shared" si="12"/>
        <v>75690.704296679061</v>
      </c>
    </row>
    <row r="606" spans="12:15" x14ac:dyDescent="0.55000000000000004">
      <c r="L606">
        <v>601</v>
      </c>
      <c r="M606">
        <v>0.29098800000000002</v>
      </c>
      <c r="N606">
        <v>22007.719830999999</v>
      </c>
      <c r="O606">
        <f t="shared" si="12"/>
        <v>75631.022004343817</v>
      </c>
    </row>
    <row r="607" spans="12:15" x14ac:dyDescent="0.55000000000000004">
      <c r="L607">
        <v>602</v>
      </c>
      <c r="M607">
        <v>0.29092200000000001</v>
      </c>
      <c r="N607">
        <v>21985.762508</v>
      </c>
      <c r="O607">
        <f t="shared" si="12"/>
        <v>75572.705082461966</v>
      </c>
    </row>
    <row r="608" spans="12:15" x14ac:dyDescent="0.55000000000000004">
      <c r="L608">
        <v>603</v>
      </c>
      <c r="M608">
        <v>0.29086299999999998</v>
      </c>
      <c r="N608">
        <v>21964.780718000002</v>
      </c>
      <c r="O608">
        <f t="shared" si="12"/>
        <v>75515.898268256889</v>
      </c>
    </row>
    <row r="609" spans="12:15" x14ac:dyDescent="0.55000000000000004">
      <c r="L609">
        <v>604</v>
      </c>
      <c r="M609">
        <v>0.29081000000000001</v>
      </c>
      <c r="N609">
        <v>21944.740078999999</v>
      </c>
      <c r="O609">
        <f t="shared" si="12"/>
        <v>75460.747838795083</v>
      </c>
    </row>
    <row r="610" spans="12:15" x14ac:dyDescent="0.55000000000000004">
      <c r="L610">
        <v>605</v>
      </c>
      <c r="M610">
        <v>0.29076200000000002</v>
      </c>
      <c r="N610">
        <v>21925.606929000001</v>
      </c>
      <c r="O610">
        <f t="shared" si="12"/>
        <v>75407.401685914941</v>
      </c>
    </row>
    <row r="611" spans="12:15" x14ac:dyDescent="0.55000000000000004">
      <c r="L611">
        <v>606</v>
      </c>
      <c r="M611">
        <v>0.29071900000000001</v>
      </c>
      <c r="N611">
        <v>21907.348336999999</v>
      </c>
      <c r="O611">
        <f t="shared" si="12"/>
        <v>75355.750181446681</v>
      </c>
    </row>
    <row r="612" spans="12:15" x14ac:dyDescent="0.55000000000000004">
      <c r="L612">
        <v>607</v>
      </c>
      <c r="M612">
        <v>0.29068100000000002</v>
      </c>
      <c r="N612">
        <v>21889.932110999998</v>
      </c>
      <c r="O612">
        <f t="shared" si="12"/>
        <v>75305.685995988722</v>
      </c>
    </row>
    <row r="613" spans="12:15" x14ac:dyDescent="0.55000000000000004">
      <c r="L613">
        <v>608</v>
      </c>
      <c r="M613">
        <v>0.29064600000000002</v>
      </c>
      <c r="N613">
        <v>21873.326810999999</v>
      </c>
      <c r="O613">
        <f t="shared" si="12"/>
        <v>75257.622024731114</v>
      </c>
    </row>
    <row r="614" spans="12:15" x14ac:dyDescent="0.55000000000000004">
      <c r="L614">
        <v>609</v>
      </c>
      <c r="M614">
        <v>0.29061599999999999</v>
      </c>
      <c r="N614">
        <v>21857.501751</v>
      </c>
      <c r="O614">
        <f t="shared" si="12"/>
        <v>75210.937288380548</v>
      </c>
    </row>
    <row r="615" spans="12:15" x14ac:dyDescent="0.55000000000000004">
      <c r="L615">
        <v>610</v>
      </c>
      <c r="M615">
        <v>0.29058800000000001</v>
      </c>
      <c r="N615">
        <v>21842.427006000002</v>
      </c>
      <c r="O615">
        <f t="shared" si="12"/>
        <v>75166.307645188383</v>
      </c>
    </row>
    <row r="616" spans="12:15" x14ac:dyDescent="0.55000000000000004">
      <c r="L616">
        <v>611</v>
      </c>
      <c r="M616">
        <v>0.29056399999999999</v>
      </c>
      <c r="N616">
        <v>21828.073414999999</v>
      </c>
      <c r="O616">
        <f t="shared" si="12"/>
        <v>75123.117161795686</v>
      </c>
    </row>
    <row r="617" spans="12:15" x14ac:dyDescent="0.55000000000000004">
      <c r="L617">
        <v>612</v>
      </c>
      <c r="M617">
        <v>0.29054200000000002</v>
      </c>
      <c r="N617">
        <v>21814.412582000001</v>
      </c>
      <c r="O617">
        <f t="shared" si="12"/>
        <v>75081.787080697453</v>
      </c>
    </row>
    <row r="618" spans="12:15" x14ac:dyDescent="0.55000000000000004">
      <c r="L618">
        <v>613</v>
      </c>
      <c r="M618">
        <v>0.29052299999999998</v>
      </c>
      <c r="N618">
        <v>21801.416878</v>
      </c>
      <c r="O618">
        <f t="shared" si="12"/>
        <v>75041.9652764153</v>
      </c>
    </row>
    <row r="619" spans="12:15" x14ac:dyDescent="0.55000000000000004">
      <c r="L619">
        <v>614</v>
      </c>
      <c r="M619">
        <v>0.29050599999999999</v>
      </c>
      <c r="N619">
        <v>21789.059440000001</v>
      </c>
      <c r="O619">
        <f t="shared" si="12"/>
        <v>75003.818991690365</v>
      </c>
    </row>
    <row r="620" spans="12:15" x14ac:dyDescent="0.55000000000000004">
      <c r="L620">
        <v>615</v>
      </c>
      <c r="M620">
        <v>0.29049000000000003</v>
      </c>
      <c r="N620">
        <v>21777.314168000001</v>
      </c>
      <c r="O620">
        <f t="shared" si="12"/>
        <v>74967.51753244517</v>
      </c>
    </row>
    <row r="621" spans="12:15" x14ac:dyDescent="0.55000000000000004">
      <c r="L621">
        <v>616</v>
      </c>
      <c r="M621">
        <v>0.29047699999999999</v>
      </c>
      <c r="N621">
        <v>21766.155718000002</v>
      </c>
      <c r="O621">
        <f t="shared" si="12"/>
        <v>74932.458397738897</v>
      </c>
    </row>
    <row r="622" spans="12:15" x14ac:dyDescent="0.55000000000000004">
      <c r="L622">
        <v>617</v>
      </c>
      <c r="M622">
        <v>0.29046499999999997</v>
      </c>
      <c r="N622">
        <v>21755.559506000001</v>
      </c>
      <c r="O622">
        <f t="shared" si="12"/>
        <v>74899.073919405098</v>
      </c>
    </row>
    <row r="623" spans="12:15" x14ac:dyDescent="0.55000000000000004">
      <c r="L623">
        <v>618</v>
      </c>
      <c r="M623">
        <v>0.29045399999999999</v>
      </c>
      <c r="N623">
        <v>21745.501693999999</v>
      </c>
      <c r="O623">
        <f t="shared" si="12"/>
        <v>74867.282578308441</v>
      </c>
    </row>
    <row r="624" spans="12:15" x14ac:dyDescent="0.55000000000000004">
      <c r="L624">
        <v>619</v>
      </c>
      <c r="M624">
        <v>0.29044500000000001</v>
      </c>
      <c r="N624">
        <v>21735.959187</v>
      </c>
      <c r="O624">
        <f t="shared" si="12"/>
        <v>74836.747704384645</v>
      </c>
    </row>
    <row r="625" spans="12:15" x14ac:dyDescent="0.55000000000000004">
      <c r="L625">
        <v>620</v>
      </c>
      <c r="M625">
        <v>0.290437</v>
      </c>
      <c r="N625">
        <v>21726.909625</v>
      </c>
      <c r="O625">
        <f t="shared" si="12"/>
        <v>74807.650626469767</v>
      </c>
    </row>
    <row r="626" spans="12:15" x14ac:dyDescent="0.55000000000000004">
      <c r="L626">
        <v>621</v>
      </c>
      <c r="M626">
        <v>0.29042899999999999</v>
      </c>
      <c r="N626">
        <v>21718.331374000001</v>
      </c>
      <c r="O626">
        <f t="shared" si="12"/>
        <v>74780.174755275817</v>
      </c>
    </row>
    <row r="627" spans="12:15" x14ac:dyDescent="0.55000000000000004">
      <c r="L627">
        <v>622</v>
      </c>
      <c r="M627">
        <v>0.29042299999999999</v>
      </c>
      <c r="N627">
        <v>21710.203517000002</v>
      </c>
      <c r="O627">
        <f t="shared" si="12"/>
        <v>74753.733406100771</v>
      </c>
    </row>
    <row r="628" spans="12:15" x14ac:dyDescent="0.55000000000000004">
      <c r="L628">
        <v>623</v>
      </c>
      <c r="M628">
        <v>0.29041699999999998</v>
      </c>
      <c r="N628">
        <v>21702.505842999999</v>
      </c>
      <c r="O628">
        <f t="shared" si="12"/>
        <v>74728.772224077795</v>
      </c>
    </row>
    <row r="629" spans="12:15" x14ac:dyDescent="0.55000000000000004">
      <c r="L629">
        <v>624</v>
      </c>
      <c r="M629">
        <v>0.290412</v>
      </c>
      <c r="N629">
        <v>21695.218837</v>
      </c>
      <c r="O629">
        <f t="shared" si="12"/>
        <v>74704.966864316899</v>
      </c>
    </row>
    <row r="630" spans="12:15" x14ac:dyDescent="0.55000000000000004">
      <c r="L630">
        <v>625</v>
      </c>
      <c r="M630">
        <v>0.290408</v>
      </c>
      <c r="N630">
        <v>21688.323670000002</v>
      </c>
      <c r="O630">
        <f t="shared" si="12"/>
        <v>74682.252796066226</v>
      </c>
    </row>
    <row r="631" spans="12:15" x14ac:dyDescent="0.55000000000000004">
      <c r="L631">
        <v>626</v>
      </c>
      <c r="M631">
        <v>0.290404</v>
      </c>
      <c r="N631">
        <v>21681.802180999999</v>
      </c>
      <c r="O631">
        <f t="shared" si="12"/>
        <v>74660.824854340841</v>
      </c>
    </row>
    <row r="632" spans="12:15" x14ac:dyDescent="0.55000000000000004">
      <c r="L632">
        <v>627</v>
      </c>
      <c r="M632">
        <v>0.29040100000000002</v>
      </c>
      <c r="N632">
        <v>21675.636870999999</v>
      </c>
      <c r="O632">
        <f t="shared" si="12"/>
        <v>74640.365807968978</v>
      </c>
    </row>
    <row r="633" spans="12:15" x14ac:dyDescent="0.55000000000000004">
      <c r="L633">
        <v>628</v>
      </c>
      <c r="M633">
        <v>0.29039799999999999</v>
      </c>
      <c r="N633">
        <v>21669.810889</v>
      </c>
      <c r="O633">
        <f t="shared" si="12"/>
        <v>74621.074831782593</v>
      </c>
    </row>
    <row r="634" spans="12:15" x14ac:dyDescent="0.55000000000000004">
      <c r="L634">
        <v>629</v>
      </c>
      <c r="M634">
        <v>0.29039500000000001</v>
      </c>
      <c r="N634">
        <v>21664.308014999999</v>
      </c>
      <c r="O634">
        <f t="shared" si="12"/>
        <v>74602.896107026623</v>
      </c>
    </row>
    <row r="635" spans="12:15" x14ac:dyDescent="0.55000000000000004">
      <c r="L635">
        <v>630</v>
      </c>
      <c r="M635">
        <v>0.29039300000000001</v>
      </c>
      <c r="N635">
        <v>21659.112647000002</v>
      </c>
      <c r="O635">
        <f t="shared" si="12"/>
        <v>74585.519096534699</v>
      </c>
    </row>
    <row r="636" spans="12:15" x14ac:dyDescent="0.55000000000000004">
      <c r="L636">
        <v>631</v>
      </c>
      <c r="M636">
        <v>0.29039100000000001</v>
      </c>
      <c r="N636">
        <v>21654.209790000001</v>
      </c>
      <c r="O636">
        <f t="shared" si="12"/>
        <v>74569.149147184318</v>
      </c>
    </row>
    <row r="637" spans="12:15" x14ac:dyDescent="0.55000000000000004">
      <c r="L637">
        <v>632</v>
      </c>
      <c r="M637">
        <v>0.29038900000000001</v>
      </c>
      <c r="N637">
        <v>21649.585039000001</v>
      </c>
      <c r="O637">
        <f t="shared" si="12"/>
        <v>74553.736673909822</v>
      </c>
    </row>
    <row r="638" spans="12:15" x14ac:dyDescent="0.55000000000000004">
      <c r="L638">
        <v>633</v>
      </c>
      <c r="M638">
        <v>0.29038799999999998</v>
      </c>
      <c r="N638">
        <v>21645.224565</v>
      </c>
      <c r="O638">
        <f t="shared" si="12"/>
        <v>74538.977385429156</v>
      </c>
    </row>
    <row r="639" spans="12:15" x14ac:dyDescent="0.55000000000000004">
      <c r="L639">
        <v>634</v>
      </c>
      <c r="M639">
        <v>0.29038700000000001</v>
      </c>
      <c r="N639">
        <v>21641.115099999999</v>
      </c>
      <c r="O639">
        <f t="shared" si="12"/>
        <v>74525.082390051888</v>
      </c>
    </row>
    <row r="640" spans="12:15" x14ac:dyDescent="0.55000000000000004">
      <c r="L640">
        <v>635</v>
      </c>
      <c r="M640">
        <v>0.29038599999999998</v>
      </c>
      <c r="N640">
        <v>21637.243922000001</v>
      </c>
      <c r="O640">
        <f t="shared" si="12"/>
        <v>74512.007886055129</v>
      </c>
    </row>
    <row r="641" spans="12:15" x14ac:dyDescent="0.55000000000000004">
      <c r="L641">
        <v>636</v>
      </c>
      <c r="M641">
        <v>0.290385</v>
      </c>
      <c r="N641">
        <v>21633.598839999999</v>
      </c>
      <c r="O641">
        <f t="shared" si="12"/>
        <v>74499.711899719332</v>
      </c>
    </row>
    <row r="642" spans="12:15" x14ac:dyDescent="0.55000000000000004">
      <c r="L642">
        <v>637</v>
      </c>
      <c r="M642">
        <v>0.29038399999999998</v>
      </c>
      <c r="N642">
        <v>21630.168181000001</v>
      </c>
      <c r="O642">
        <f t="shared" si="12"/>
        <v>74488.154240591772</v>
      </c>
    </row>
    <row r="643" spans="12:15" x14ac:dyDescent="0.55000000000000004">
      <c r="L643">
        <v>638</v>
      </c>
      <c r="M643">
        <v>0.290383</v>
      </c>
      <c r="N643">
        <v>21626.940770000001</v>
      </c>
      <c r="O643">
        <f t="shared" si="12"/>
        <v>74477.296432642412</v>
      </c>
    </row>
    <row r="644" spans="12:15" x14ac:dyDescent="0.55000000000000004">
      <c r="L644">
        <v>639</v>
      </c>
      <c r="M644">
        <v>0.29038199999999997</v>
      </c>
      <c r="N644">
        <v>21623.905920000001</v>
      </c>
      <c r="O644">
        <f t="shared" si="12"/>
        <v>74467.101679856205</v>
      </c>
    </row>
    <row r="645" spans="12:15" x14ac:dyDescent="0.55000000000000004">
      <c r="L645">
        <v>640</v>
      </c>
      <c r="M645">
        <v>0.29038199999999997</v>
      </c>
      <c r="N645">
        <v>21621.053414000002</v>
      </c>
      <c r="O645">
        <f t="shared" si="12"/>
        <v>74457.278391911357</v>
      </c>
    </row>
    <row r="646" spans="12:15" x14ac:dyDescent="0.55000000000000004">
      <c r="L646">
        <v>641</v>
      </c>
      <c r="M646">
        <v>0.290381</v>
      </c>
      <c r="N646">
        <v>21618.373493999999</v>
      </c>
      <c r="O646">
        <f t="shared" ref="O646:O709" si="13">N646/M646</f>
        <v>74448.305825794392</v>
      </c>
    </row>
    <row r="647" spans="12:15" x14ac:dyDescent="0.55000000000000004">
      <c r="L647">
        <v>642</v>
      </c>
      <c r="M647">
        <v>0.290381</v>
      </c>
      <c r="N647">
        <v>21615.856838</v>
      </c>
      <c r="O647">
        <f t="shared" si="13"/>
        <v>74439.63908795685</v>
      </c>
    </row>
    <row r="648" spans="12:15" x14ac:dyDescent="0.55000000000000004">
      <c r="L648">
        <v>643</v>
      </c>
      <c r="M648">
        <v>0.290381</v>
      </c>
      <c r="N648">
        <v>21613.494555000001</v>
      </c>
      <c r="O648">
        <f t="shared" si="13"/>
        <v>74431.50397236734</v>
      </c>
    </row>
    <row r="649" spans="12:15" x14ac:dyDescent="0.55000000000000004">
      <c r="L649">
        <v>644</v>
      </c>
      <c r="M649">
        <v>0.29038000000000003</v>
      </c>
      <c r="N649">
        <v>21611.278163999999</v>
      </c>
      <c r="O649">
        <f t="shared" si="13"/>
        <v>74424.127570769328</v>
      </c>
    </row>
    <row r="650" spans="12:15" x14ac:dyDescent="0.55000000000000004">
      <c r="L650">
        <v>645</v>
      </c>
      <c r="M650">
        <v>0.29038000000000003</v>
      </c>
      <c r="N650">
        <v>21609.199582000001</v>
      </c>
      <c r="O650">
        <f t="shared" si="13"/>
        <v>74416.969426269017</v>
      </c>
    </row>
    <row r="651" spans="12:15" x14ac:dyDescent="0.55000000000000004">
      <c r="L651">
        <v>646</v>
      </c>
      <c r="M651">
        <v>0.29038000000000003</v>
      </c>
      <c r="N651">
        <v>21607.251109000001</v>
      </c>
      <c r="O651">
        <f t="shared" si="13"/>
        <v>74410.259346373714</v>
      </c>
    </row>
    <row r="652" spans="12:15" x14ac:dyDescent="0.55000000000000004">
      <c r="L652">
        <v>647</v>
      </c>
      <c r="M652">
        <v>0.29038000000000003</v>
      </c>
      <c r="N652">
        <v>21605.425415999998</v>
      </c>
      <c r="O652">
        <f t="shared" si="13"/>
        <v>74403.972091741845</v>
      </c>
    </row>
    <row r="653" spans="12:15" x14ac:dyDescent="0.55000000000000004">
      <c r="L653">
        <v>648</v>
      </c>
      <c r="M653">
        <v>0.290379</v>
      </c>
      <c r="N653">
        <v>21603.715529000001</v>
      </c>
      <c r="O653">
        <f t="shared" si="13"/>
        <v>74398.339855843573</v>
      </c>
    </row>
    <row r="654" spans="12:15" x14ac:dyDescent="0.55000000000000004">
      <c r="L654">
        <v>649</v>
      </c>
      <c r="M654">
        <v>0.290379</v>
      </c>
      <c r="N654">
        <v>21602.114815000001</v>
      </c>
      <c r="O654">
        <f t="shared" si="13"/>
        <v>74392.827356661466</v>
      </c>
    </row>
    <row r="655" spans="12:15" x14ac:dyDescent="0.55000000000000004">
      <c r="L655">
        <v>650</v>
      </c>
      <c r="M655">
        <v>0.290379</v>
      </c>
      <c r="N655">
        <v>21600.616973</v>
      </c>
      <c r="O655">
        <f t="shared" si="13"/>
        <v>74387.669125522167</v>
      </c>
    </row>
    <row r="656" spans="12:15" x14ac:dyDescent="0.55000000000000004">
      <c r="L656">
        <v>651</v>
      </c>
      <c r="M656">
        <v>0.290379</v>
      </c>
      <c r="N656">
        <v>21599.216015000002</v>
      </c>
      <c r="O656">
        <f t="shared" si="13"/>
        <v>74382.844541099737</v>
      </c>
    </row>
    <row r="657" spans="12:15" x14ac:dyDescent="0.55000000000000004">
      <c r="L657">
        <v>652</v>
      </c>
      <c r="M657">
        <v>0.290379</v>
      </c>
      <c r="N657">
        <v>21597.906258999999</v>
      </c>
      <c r="O657">
        <f t="shared" si="13"/>
        <v>74378.334035863474</v>
      </c>
    </row>
    <row r="658" spans="12:15" x14ac:dyDescent="0.55000000000000004">
      <c r="L658">
        <v>653</v>
      </c>
      <c r="M658">
        <v>0.290379</v>
      </c>
      <c r="N658">
        <v>21596.682314000001</v>
      </c>
      <c r="O658">
        <f t="shared" si="13"/>
        <v>74374.119044421255</v>
      </c>
    </row>
    <row r="659" spans="12:15" x14ac:dyDescent="0.55000000000000004">
      <c r="L659">
        <v>654</v>
      </c>
      <c r="M659">
        <v>0.290379</v>
      </c>
      <c r="N659">
        <v>21595.539067999998</v>
      </c>
      <c r="O659">
        <f t="shared" si="13"/>
        <v>74370.181962194227</v>
      </c>
    </row>
    <row r="660" spans="12:15" x14ac:dyDescent="0.55000000000000004">
      <c r="L660">
        <v>655</v>
      </c>
      <c r="M660">
        <v>0.290379</v>
      </c>
      <c r="N660">
        <v>21594.471675000001</v>
      </c>
      <c r="O660">
        <f t="shared" si="13"/>
        <v>74366.506100647777</v>
      </c>
    </row>
    <row r="661" spans="12:15" x14ac:dyDescent="0.55000000000000004">
      <c r="L661">
        <v>656</v>
      </c>
      <c r="M661">
        <v>0.290379</v>
      </c>
      <c r="N661">
        <v>21593.475547999999</v>
      </c>
      <c r="O661">
        <f t="shared" si="13"/>
        <v>74363.075663185009</v>
      </c>
    </row>
    <row r="662" spans="12:15" x14ac:dyDescent="0.55000000000000004">
      <c r="L662">
        <v>657</v>
      </c>
      <c r="M662">
        <v>0.290379</v>
      </c>
      <c r="N662">
        <v>21592.546341000001</v>
      </c>
      <c r="O662">
        <f t="shared" si="13"/>
        <v>74359.875683158913</v>
      </c>
    </row>
    <row r="663" spans="12:15" x14ac:dyDescent="0.55000000000000004">
      <c r="L663">
        <v>658</v>
      </c>
      <c r="M663">
        <v>0.290379</v>
      </c>
      <c r="N663">
        <v>21591.679947000001</v>
      </c>
      <c r="O663">
        <f t="shared" si="13"/>
        <v>74356.892016984697</v>
      </c>
    </row>
    <row r="664" spans="12:15" x14ac:dyDescent="0.55000000000000004">
      <c r="L664">
        <v>659</v>
      </c>
      <c r="M664">
        <v>0.290379</v>
      </c>
      <c r="N664">
        <v>21590.872478000001</v>
      </c>
      <c r="O664">
        <f t="shared" si="13"/>
        <v>74354.111275264397</v>
      </c>
    </row>
    <row r="665" spans="12:15" x14ac:dyDescent="0.55000000000000004">
      <c r="L665">
        <v>660</v>
      </c>
      <c r="M665">
        <v>0.290379</v>
      </c>
      <c r="N665">
        <v>21590.120263000001</v>
      </c>
      <c r="O665">
        <f t="shared" si="13"/>
        <v>74351.520815899217</v>
      </c>
    </row>
    <row r="666" spans="12:15" x14ac:dyDescent="0.55000000000000004">
      <c r="L666">
        <v>661</v>
      </c>
      <c r="M666">
        <v>0.29037800000000002</v>
      </c>
      <c r="N666">
        <v>21589.419832</v>
      </c>
      <c r="O666">
        <f t="shared" si="13"/>
        <v>74349.36473148792</v>
      </c>
    </row>
    <row r="667" spans="12:15" x14ac:dyDescent="0.55000000000000004">
      <c r="L667">
        <v>662</v>
      </c>
      <c r="M667">
        <v>0.29037800000000002</v>
      </c>
      <c r="N667">
        <v>21588.767913</v>
      </c>
      <c r="O667">
        <f t="shared" si="13"/>
        <v>74347.119661269098</v>
      </c>
    </row>
    <row r="668" spans="12:15" x14ac:dyDescent="0.55000000000000004">
      <c r="L668">
        <v>663</v>
      </c>
      <c r="M668">
        <v>0.29037800000000002</v>
      </c>
      <c r="N668">
        <v>21588.161413999998</v>
      </c>
      <c r="O668">
        <f t="shared" si="13"/>
        <v>74345.031007858706</v>
      </c>
    </row>
    <row r="669" spans="12:15" x14ac:dyDescent="0.55000000000000004">
      <c r="L669">
        <v>664</v>
      </c>
      <c r="M669">
        <v>0.29037800000000002</v>
      </c>
      <c r="N669">
        <v>21587.597424</v>
      </c>
      <c r="O669">
        <f t="shared" si="13"/>
        <v>74343.088746392619</v>
      </c>
    </row>
    <row r="670" spans="12:15" x14ac:dyDescent="0.55000000000000004">
      <c r="L670">
        <v>665</v>
      </c>
      <c r="M670">
        <v>0.29037800000000002</v>
      </c>
      <c r="N670">
        <v>21587.073195000001</v>
      </c>
      <c r="O670">
        <f t="shared" si="13"/>
        <v>74341.283413343976</v>
      </c>
    </row>
    <row r="671" spans="12:15" x14ac:dyDescent="0.55000000000000004">
      <c r="L671">
        <v>666</v>
      </c>
      <c r="M671">
        <v>0.29037800000000002</v>
      </c>
      <c r="N671">
        <v>21586.586143</v>
      </c>
      <c r="O671">
        <f t="shared" si="13"/>
        <v>74339.606109967004</v>
      </c>
    </row>
    <row r="672" spans="12:15" x14ac:dyDescent="0.55000000000000004">
      <c r="L672">
        <v>667</v>
      </c>
      <c r="M672">
        <v>0.29037800000000002</v>
      </c>
      <c r="N672">
        <v>21586.133833</v>
      </c>
      <c r="O672">
        <f t="shared" si="13"/>
        <v>74338.048450640199</v>
      </c>
    </row>
    <row r="673" spans="12:15" x14ac:dyDescent="0.55000000000000004">
      <c r="L673">
        <v>668</v>
      </c>
      <c r="M673">
        <v>0.29037800000000002</v>
      </c>
      <c r="N673">
        <v>21585.713973000002</v>
      </c>
      <c r="O673">
        <f t="shared" si="13"/>
        <v>74336.602542203604</v>
      </c>
    </row>
    <row r="674" spans="12:15" x14ac:dyDescent="0.55000000000000004">
      <c r="L674">
        <v>669</v>
      </c>
      <c r="M674">
        <v>0.29037800000000002</v>
      </c>
      <c r="N674">
        <v>21585.324409000001</v>
      </c>
      <c r="O674">
        <f t="shared" si="13"/>
        <v>74335.260966739894</v>
      </c>
    </row>
    <row r="675" spans="12:15" x14ac:dyDescent="0.55000000000000004">
      <c r="L675">
        <v>670</v>
      </c>
      <c r="M675">
        <v>0.29037800000000002</v>
      </c>
      <c r="N675">
        <v>21584.963115999999</v>
      </c>
      <c r="O675">
        <f t="shared" si="13"/>
        <v>74334.016750580267</v>
      </c>
    </row>
    <row r="676" spans="12:15" x14ac:dyDescent="0.55000000000000004">
      <c r="L676">
        <v>671</v>
      </c>
      <c r="M676">
        <v>0.29037800000000002</v>
      </c>
      <c r="N676">
        <v>21584.628191</v>
      </c>
      <c r="O676">
        <f t="shared" si="13"/>
        <v>74332.863340197946</v>
      </c>
    </row>
    <row r="677" spans="12:15" x14ac:dyDescent="0.55000000000000004">
      <c r="L677">
        <v>672</v>
      </c>
      <c r="M677">
        <v>0.29037800000000002</v>
      </c>
      <c r="N677">
        <v>21584.317848999999</v>
      </c>
      <c r="O677">
        <f t="shared" si="13"/>
        <v>74331.794588432997</v>
      </c>
    </row>
    <row r="678" spans="12:15" x14ac:dyDescent="0.55000000000000004">
      <c r="L678">
        <v>673</v>
      </c>
      <c r="M678">
        <v>0.29037800000000002</v>
      </c>
      <c r="N678">
        <v>21584.030414000001</v>
      </c>
      <c r="O678">
        <f t="shared" si="13"/>
        <v>74330.804723498339</v>
      </c>
    </row>
    <row r="679" spans="12:15" x14ac:dyDescent="0.55000000000000004">
      <c r="L679">
        <v>674</v>
      </c>
      <c r="M679">
        <v>0.29037800000000002</v>
      </c>
      <c r="N679">
        <v>21583.764311999999</v>
      </c>
      <c r="O679">
        <f t="shared" si="13"/>
        <v>74329.888324873085</v>
      </c>
    </row>
    <row r="680" spans="12:15" x14ac:dyDescent="0.55000000000000004">
      <c r="L680">
        <v>675</v>
      </c>
      <c r="M680">
        <v>0.29037800000000002</v>
      </c>
      <c r="N680">
        <v>21583.518070999999</v>
      </c>
      <c r="O680">
        <f t="shared" si="13"/>
        <v>74329.040323302717</v>
      </c>
    </row>
    <row r="681" spans="12:15" x14ac:dyDescent="0.55000000000000004">
      <c r="L681">
        <v>676</v>
      </c>
      <c r="M681">
        <v>0.29037800000000002</v>
      </c>
      <c r="N681">
        <v>21583.29031</v>
      </c>
      <c r="O681">
        <f t="shared" si="13"/>
        <v>74328.25596291729</v>
      </c>
    </row>
    <row r="682" spans="12:15" x14ac:dyDescent="0.55000000000000004">
      <c r="L682">
        <v>677</v>
      </c>
      <c r="M682">
        <v>0.29037800000000002</v>
      </c>
      <c r="N682">
        <v>21583.079734999999</v>
      </c>
      <c r="O682">
        <f t="shared" si="13"/>
        <v>74327.530787456344</v>
      </c>
    </row>
    <row r="683" spans="12:15" x14ac:dyDescent="0.55000000000000004">
      <c r="L683">
        <v>678</v>
      </c>
      <c r="M683">
        <v>0.29037800000000002</v>
      </c>
      <c r="N683">
        <v>21582.885137000001</v>
      </c>
      <c r="O683">
        <f t="shared" si="13"/>
        <v>74326.860633381308</v>
      </c>
    </row>
    <row r="684" spans="12:15" x14ac:dyDescent="0.55000000000000004">
      <c r="L684">
        <v>679</v>
      </c>
      <c r="M684">
        <v>0.29037800000000002</v>
      </c>
      <c r="N684">
        <v>21582.705383</v>
      </c>
      <c r="O684">
        <f t="shared" si="13"/>
        <v>74326.241598881446</v>
      </c>
    </row>
    <row r="685" spans="12:15" x14ac:dyDescent="0.55000000000000004">
      <c r="L685">
        <v>680</v>
      </c>
      <c r="M685">
        <v>0.29037800000000002</v>
      </c>
      <c r="N685">
        <v>21582.539416</v>
      </c>
      <c r="O685">
        <f t="shared" si="13"/>
        <v>74325.670043873833</v>
      </c>
    </row>
    <row r="686" spans="12:15" x14ac:dyDescent="0.55000000000000004">
      <c r="L686">
        <v>681</v>
      </c>
      <c r="M686">
        <v>0.29037800000000002</v>
      </c>
      <c r="N686">
        <v>21582.386245000002</v>
      </c>
      <c r="O686">
        <f t="shared" si="13"/>
        <v>74325.142555565501</v>
      </c>
    </row>
    <row r="687" spans="12:15" x14ac:dyDescent="0.55000000000000004">
      <c r="L687">
        <v>682</v>
      </c>
      <c r="M687">
        <v>0.29037800000000002</v>
      </c>
      <c r="N687">
        <v>21582.244948</v>
      </c>
      <c r="O687">
        <f t="shared" si="13"/>
        <v>74324.655958784744</v>
      </c>
    </row>
    <row r="688" spans="12:15" x14ac:dyDescent="0.55000000000000004">
      <c r="L688">
        <v>683</v>
      </c>
      <c r="M688">
        <v>0.29037800000000002</v>
      </c>
      <c r="N688">
        <v>21582.114662</v>
      </c>
      <c r="O688">
        <f t="shared" si="13"/>
        <v>74324.207281543364</v>
      </c>
    </row>
    <row r="689" spans="12:15" x14ac:dyDescent="0.55000000000000004">
      <c r="L689">
        <v>684</v>
      </c>
      <c r="M689">
        <v>0.29037800000000002</v>
      </c>
      <c r="N689">
        <v>21581.994581999999</v>
      </c>
      <c r="O689">
        <f t="shared" si="13"/>
        <v>74323.793751592748</v>
      </c>
    </row>
    <row r="690" spans="12:15" x14ac:dyDescent="0.55000000000000004">
      <c r="L690">
        <v>685</v>
      </c>
      <c r="M690">
        <v>0.29037800000000002</v>
      </c>
      <c r="N690">
        <v>21581.883957999999</v>
      </c>
      <c r="O690">
        <f t="shared" si="13"/>
        <v>74323.412786092595</v>
      </c>
    </row>
    <row r="691" spans="12:15" x14ac:dyDescent="0.55000000000000004">
      <c r="L691">
        <v>686</v>
      </c>
      <c r="M691">
        <v>0.29037800000000002</v>
      </c>
      <c r="N691">
        <v>21581.782091000001</v>
      </c>
      <c r="O691">
        <f t="shared" si="13"/>
        <v>74323.06197783578</v>
      </c>
    </row>
    <row r="692" spans="12:15" x14ac:dyDescent="0.55000000000000004">
      <c r="L692">
        <v>687</v>
      </c>
      <c r="M692">
        <v>0.29037800000000002</v>
      </c>
      <c r="N692">
        <v>21581.688330000001</v>
      </c>
      <c r="O692">
        <f t="shared" si="13"/>
        <v>74322.739084916902</v>
      </c>
    </row>
    <row r="693" spans="12:15" x14ac:dyDescent="0.55000000000000004">
      <c r="L693">
        <v>688</v>
      </c>
      <c r="M693">
        <v>0.29037800000000002</v>
      </c>
      <c r="N693">
        <v>21581.602067</v>
      </c>
      <c r="O693">
        <f t="shared" si="13"/>
        <v>74322.442013513413</v>
      </c>
    </row>
    <row r="694" spans="12:15" x14ac:dyDescent="0.55000000000000004">
      <c r="L694">
        <v>689</v>
      </c>
      <c r="M694">
        <v>0.29037800000000002</v>
      </c>
      <c r="N694">
        <v>21581.522739</v>
      </c>
      <c r="O694">
        <f t="shared" si="13"/>
        <v>74322.168824773224</v>
      </c>
    </row>
    <row r="695" spans="12:15" x14ac:dyDescent="0.55000000000000004">
      <c r="L695">
        <v>690</v>
      </c>
      <c r="M695">
        <v>0.29037800000000002</v>
      </c>
      <c r="N695">
        <v>21581.449820999998</v>
      </c>
      <c r="O695">
        <f t="shared" si="13"/>
        <v>74321.917710708105</v>
      </c>
    </row>
    <row r="696" spans="12:15" x14ac:dyDescent="0.55000000000000004">
      <c r="L696">
        <v>691</v>
      </c>
      <c r="M696">
        <v>0.29037800000000002</v>
      </c>
      <c r="N696">
        <v>21581.382824</v>
      </c>
      <c r="O696">
        <f t="shared" si="13"/>
        <v>74321.686987306195</v>
      </c>
    </row>
    <row r="697" spans="12:15" x14ac:dyDescent="0.55000000000000004">
      <c r="L697">
        <v>692</v>
      </c>
      <c r="M697">
        <v>0.29037800000000002</v>
      </c>
      <c r="N697">
        <v>21581.321295999998</v>
      </c>
      <c r="O697">
        <f t="shared" si="13"/>
        <v>74321.475097975723</v>
      </c>
    </row>
    <row r="698" spans="12:15" x14ac:dyDescent="0.55000000000000004">
      <c r="L698">
        <v>693</v>
      </c>
      <c r="M698">
        <v>0.29037800000000002</v>
      </c>
      <c r="N698">
        <v>21581.264813999998</v>
      </c>
      <c r="O698">
        <f t="shared" si="13"/>
        <v>74321.280585994798</v>
      </c>
    </row>
    <row r="699" spans="12:15" x14ac:dyDescent="0.55000000000000004">
      <c r="L699">
        <v>694</v>
      </c>
      <c r="M699">
        <v>0.29037800000000002</v>
      </c>
      <c r="N699">
        <v>21581.212987999999</v>
      </c>
      <c r="O699">
        <f t="shared" si="13"/>
        <v>74321.102108286432</v>
      </c>
    </row>
    <row r="700" spans="12:15" x14ac:dyDescent="0.55000000000000004">
      <c r="L700">
        <v>695</v>
      </c>
      <c r="M700">
        <v>0.29037800000000002</v>
      </c>
      <c r="N700">
        <v>21581.165455999999</v>
      </c>
      <c r="O700">
        <f t="shared" si="13"/>
        <v>74320.938418199716</v>
      </c>
    </row>
    <row r="701" spans="12:15" x14ac:dyDescent="0.55000000000000004">
      <c r="L701">
        <v>696</v>
      </c>
      <c r="M701">
        <v>0.29037800000000002</v>
      </c>
      <c r="N701">
        <v>21581.121880999999</v>
      </c>
      <c r="O701">
        <f t="shared" si="13"/>
        <v>74320.788355178418</v>
      </c>
    </row>
    <row r="702" spans="12:15" x14ac:dyDescent="0.55000000000000004">
      <c r="L702">
        <v>697</v>
      </c>
      <c r="M702">
        <v>0.29037800000000002</v>
      </c>
      <c r="N702">
        <v>21581.081951</v>
      </c>
      <c r="O702">
        <f t="shared" si="13"/>
        <v>74320.650844760967</v>
      </c>
    </row>
    <row r="703" spans="12:15" x14ac:dyDescent="0.55000000000000004">
      <c r="L703">
        <v>698</v>
      </c>
      <c r="M703">
        <v>0.29037800000000002</v>
      </c>
      <c r="N703">
        <v>21581.045377999999</v>
      </c>
      <c r="O703">
        <f t="shared" si="13"/>
        <v>74320.524895136667</v>
      </c>
    </row>
    <row r="704" spans="12:15" x14ac:dyDescent="0.55000000000000004">
      <c r="L704">
        <v>699</v>
      </c>
      <c r="M704">
        <v>0.29037800000000002</v>
      </c>
      <c r="N704">
        <v>21581.011895</v>
      </c>
      <c r="O704">
        <f t="shared" si="13"/>
        <v>74320.409586814421</v>
      </c>
    </row>
    <row r="705" spans="12:15" x14ac:dyDescent="0.55000000000000004">
      <c r="L705">
        <v>700</v>
      </c>
      <c r="M705">
        <v>0.29037800000000002</v>
      </c>
      <c r="N705">
        <v>21580.981253999998</v>
      </c>
      <c r="O705">
        <f t="shared" si="13"/>
        <v>74320.304065734992</v>
      </c>
    </row>
    <row r="706" spans="12:15" x14ac:dyDescent="0.55000000000000004">
      <c r="L706">
        <v>701</v>
      </c>
      <c r="M706">
        <v>0.29037800000000002</v>
      </c>
      <c r="N706">
        <v>21580.953226000001</v>
      </c>
      <c r="O706">
        <f t="shared" si="13"/>
        <v>74320.207543271186</v>
      </c>
    </row>
    <row r="707" spans="12:15" x14ac:dyDescent="0.55000000000000004">
      <c r="L707">
        <v>702</v>
      </c>
      <c r="M707">
        <v>0.29037800000000002</v>
      </c>
      <c r="N707">
        <v>21580.927599999999</v>
      </c>
      <c r="O707">
        <f t="shared" si="13"/>
        <v>74320.119292783886</v>
      </c>
    </row>
    <row r="708" spans="12:15" x14ac:dyDescent="0.55000000000000004">
      <c r="L708">
        <v>703</v>
      </c>
      <c r="M708">
        <v>0.29037800000000002</v>
      </c>
      <c r="N708">
        <v>21580.904180000001</v>
      </c>
      <c r="O708">
        <f t="shared" si="13"/>
        <v>74320.038639290855</v>
      </c>
    </row>
    <row r="709" spans="12:15" x14ac:dyDescent="0.55000000000000004">
      <c r="L709">
        <v>704</v>
      </c>
      <c r="M709">
        <v>0.29037800000000002</v>
      </c>
      <c r="N709">
        <v>21580.882786999999</v>
      </c>
      <c r="O709">
        <f t="shared" si="13"/>
        <v>74319.964966354193</v>
      </c>
    </row>
    <row r="710" spans="12:15" x14ac:dyDescent="0.55000000000000004">
      <c r="L710">
        <v>705</v>
      </c>
      <c r="M710">
        <v>0.29037800000000002</v>
      </c>
      <c r="N710">
        <v>21580.863253</v>
      </c>
      <c r="O710">
        <f t="shared" ref="O710:O773" si="14">N710/M710</f>
        <v>74319.897695417691</v>
      </c>
    </row>
    <row r="711" spans="12:15" x14ac:dyDescent="0.55000000000000004">
      <c r="L711">
        <v>706</v>
      </c>
      <c r="M711">
        <v>0.29037800000000002</v>
      </c>
      <c r="N711">
        <v>21580.845425</v>
      </c>
      <c r="O711">
        <f t="shared" si="14"/>
        <v>74319.836299581919</v>
      </c>
    </row>
    <row r="712" spans="12:15" x14ac:dyDescent="0.55000000000000004">
      <c r="L712">
        <v>707</v>
      </c>
      <c r="M712">
        <v>0.29037800000000002</v>
      </c>
      <c r="N712">
        <v>21580.829160000001</v>
      </c>
      <c r="O712">
        <f t="shared" si="14"/>
        <v>74319.780286385329</v>
      </c>
    </row>
    <row r="713" spans="12:15" x14ac:dyDescent="0.55000000000000004">
      <c r="L713">
        <v>708</v>
      </c>
      <c r="M713">
        <v>0.29037800000000002</v>
      </c>
      <c r="N713">
        <v>21580.814329000001</v>
      </c>
      <c r="O713">
        <f t="shared" si="14"/>
        <v>74319.729211579383</v>
      </c>
    </row>
    <row r="714" spans="12:15" x14ac:dyDescent="0.55000000000000004">
      <c r="L714">
        <v>709</v>
      </c>
      <c r="M714">
        <v>0.29037800000000002</v>
      </c>
      <c r="N714">
        <v>21580.800812000001</v>
      </c>
      <c r="O714">
        <f t="shared" si="14"/>
        <v>74319.682661909654</v>
      </c>
    </row>
    <row r="715" spans="12:15" x14ac:dyDescent="0.55000000000000004">
      <c r="L715">
        <v>710</v>
      </c>
      <c r="M715">
        <v>0.29037800000000002</v>
      </c>
      <c r="N715">
        <v>21580.788496000001</v>
      </c>
      <c r="O715">
        <f t="shared" si="14"/>
        <v>74319.64024822817</v>
      </c>
    </row>
    <row r="716" spans="12:15" x14ac:dyDescent="0.55000000000000004">
      <c r="L716">
        <v>711</v>
      </c>
      <c r="M716">
        <v>0.29037800000000002</v>
      </c>
      <c r="N716">
        <v>21580.777279999998</v>
      </c>
      <c r="O716">
        <f t="shared" si="14"/>
        <v>74319.601622712449</v>
      </c>
    </row>
    <row r="717" spans="12:15" x14ac:dyDescent="0.55000000000000004">
      <c r="L717">
        <v>712</v>
      </c>
      <c r="M717">
        <v>0.29037800000000002</v>
      </c>
      <c r="N717">
        <v>21580.767071999999</v>
      </c>
      <c r="O717">
        <f t="shared" si="14"/>
        <v>74319.566468534103</v>
      </c>
    </row>
    <row r="718" spans="12:15" x14ac:dyDescent="0.55000000000000004">
      <c r="L718">
        <v>713</v>
      </c>
      <c r="M718">
        <v>0.29037800000000002</v>
      </c>
      <c r="N718">
        <v>21580.757783000001</v>
      </c>
      <c r="O718">
        <f t="shared" si="14"/>
        <v>74319.534479196082</v>
      </c>
    </row>
    <row r="719" spans="12:15" x14ac:dyDescent="0.55000000000000004">
      <c r="L719">
        <v>714</v>
      </c>
      <c r="M719">
        <v>0.29037800000000002</v>
      </c>
      <c r="N719">
        <v>21580.749335</v>
      </c>
      <c r="O719">
        <f t="shared" si="14"/>
        <v>74319.505386082965</v>
      </c>
    </row>
    <row r="720" spans="12:15" x14ac:dyDescent="0.55000000000000004">
      <c r="L720">
        <v>715</v>
      </c>
      <c r="M720">
        <v>0.29037800000000002</v>
      </c>
      <c r="N720">
        <v>21580.741655999998</v>
      </c>
      <c r="O720">
        <f t="shared" si="14"/>
        <v>74319.478941242094</v>
      </c>
    </row>
    <row r="721" spans="12:15" x14ac:dyDescent="0.55000000000000004">
      <c r="L721">
        <v>716</v>
      </c>
      <c r="M721">
        <v>0.29037800000000002</v>
      </c>
      <c r="N721">
        <v>21580.734677</v>
      </c>
      <c r="O721">
        <f t="shared" si="14"/>
        <v>74319.454907052175</v>
      </c>
    </row>
    <row r="722" spans="12:15" x14ac:dyDescent="0.55000000000000004">
      <c r="L722">
        <v>717</v>
      </c>
      <c r="M722">
        <v>0.29037800000000002</v>
      </c>
      <c r="N722">
        <v>21580.728339000001</v>
      </c>
      <c r="O722">
        <f t="shared" si="14"/>
        <v>74319.433080329778</v>
      </c>
    </row>
    <row r="723" spans="12:15" x14ac:dyDescent="0.55000000000000004">
      <c r="L723">
        <v>718</v>
      </c>
      <c r="M723">
        <v>0.29037800000000002</v>
      </c>
      <c r="N723">
        <v>21580.722585</v>
      </c>
      <c r="O723">
        <f t="shared" si="14"/>
        <v>74319.41326477901</v>
      </c>
    </row>
    <row r="724" spans="12:15" x14ac:dyDescent="0.55000000000000004">
      <c r="L724">
        <v>719</v>
      </c>
      <c r="M724">
        <v>0.29037800000000002</v>
      </c>
      <c r="N724">
        <v>21580.717363</v>
      </c>
      <c r="O724">
        <f t="shared" si="14"/>
        <v>74319.395281322955</v>
      </c>
    </row>
    <row r="725" spans="12:15" x14ac:dyDescent="0.55000000000000004">
      <c r="L725">
        <v>720</v>
      </c>
      <c r="M725">
        <v>0.29037800000000002</v>
      </c>
      <c r="N725">
        <v>21580.712626</v>
      </c>
      <c r="O725">
        <f t="shared" si="14"/>
        <v>74319.378968103643</v>
      </c>
    </row>
    <row r="726" spans="12:15" x14ac:dyDescent="0.55000000000000004">
      <c r="L726">
        <v>721</v>
      </c>
      <c r="M726">
        <v>0.29037800000000002</v>
      </c>
      <c r="N726">
        <v>21580.708330000001</v>
      </c>
      <c r="O726">
        <f t="shared" si="14"/>
        <v>74319.364173594411</v>
      </c>
    </row>
    <row r="727" spans="12:15" x14ac:dyDescent="0.55000000000000004">
      <c r="L727">
        <v>722</v>
      </c>
      <c r="M727">
        <v>0.29037800000000002</v>
      </c>
      <c r="N727">
        <v>21580.704437</v>
      </c>
      <c r="O727">
        <f t="shared" si="14"/>
        <v>74319.350766931369</v>
      </c>
    </row>
    <row r="728" spans="12:15" x14ac:dyDescent="0.55000000000000004">
      <c r="L728">
        <v>723</v>
      </c>
      <c r="M728">
        <v>0.29037800000000002</v>
      </c>
      <c r="N728">
        <v>21580.700908999999</v>
      </c>
      <c r="O728">
        <f t="shared" si="14"/>
        <v>74319.338617250614</v>
      </c>
    </row>
    <row r="729" spans="12:15" x14ac:dyDescent="0.55000000000000004">
      <c r="L729">
        <v>724</v>
      </c>
      <c r="M729">
        <v>0.29037800000000002</v>
      </c>
      <c r="N729">
        <v>21580.697714000002</v>
      </c>
      <c r="O729">
        <f t="shared" si="14"/>
        <v>74319.327614350943</v>
      </c>
    </row>
    <row r="730" spans="12:15" x14ac:dyDescent="0.55000000000000004">
      <c r="L730">
        <v>725</v>
      </c>
      <c r="M730">
        <v>0.29037800000000002</v>
      </c>
      <c r="N730">
        <v>21580.694821000001</v>
      </c>
      <c r="O730">
        <f t="shared" si="14"/>
        <v>74319.317651474965</v>
      </c>
    </row>
    <row r="731" spans="12:15" x14ac:dyDescent="0.55000000000000004">
      <c r="L731">
        <v>726</v>
      </c>
      <c r="M731">
        <v>0.29037800000000002</v>
      </c>
      <c r="N731">
        <v>21580.692202999999</v>
      </c>
      <c r="O731">
        <f t="shared" si="14"/>
        <v>74319.308635640424</v>
      </c>
    </row>
    <row r="732" spans="12:15" x14ac:dyDescent="0.55000000000000004">
      <c r="L732">
        <v>727</v>
      </c>
      <c r="M732">
        <v>0.29037800000000002</v>
      </c>
      <c r="N732">
        <v>21580.689834000001</v>
      </c>
      <c r="O732">
        <f t="shared" si="14"/>
        <v>74319.300477308876</v>
      </c>
    </row>
    <row r="733" spans="12:15" x14ac:dyDescent="0.55000000000000004">
      <c r="L733">
        <v>728</v>
      </c>
      <c r="M733">
        <v>0.29037800000000002</v>
      </c>
      <c r="N733">
        <v>21580.687690999999</v>
      </c>
      <c r="O733">
        <f t="shared" si="14"/>
        <v>74319.293097273199</v>
      </c>
    </row>
    <row r="734" spans="12:15" x14ac:dyDescent="0.55000000000000004">
      <c r="L734">
        <v>729</v>
      </c>
      <c r="M734">
        <v>0.29037800000000002</v>
      </c>
      <c r="N734">
        <v>21580.685753000002</v>
      </c>
      <c r="O734">
        <f t="shared" si="14"/>
        <v>74319.286423213882</v>
      </c>
    </row>
    <row r="735" spans="12:15" x14ac:dyDescent="0.55000000000000004">
      <c r="L735">
        <v>730</v>
      </c>
      <c r="M735">
        <v>0.29037800000000002</v>
      </c>
      <c r="N735">
        <v>21580.684001000001</v>
      </c>
      <c r="O735">
        <f t="shared" si="14"/>
        <v>74319.28038969895</v>
      </c>
    </row>
    <row r="736" spans="12:15" x14ac:dyDescent="0.55000000000000004">
      <c r="L736">
        <v>731</v>
      </c>
      <c r="M736">
        <v>0.29037800000000002</v>
      </c>
      <c r="N736">
        <v>21580.682417</v>
      </c>
      <c r="O736">
        <f t="shared" si="14"/>
        <v>74319.274934740228</v>
      </c>
    </row>
    <row r="737" spans="12:15" x14ac:dyDescent="0.55000000000000004">
      <c r="L737">
        <v>732</v>
      </c>
      <c r="M737">
        <v>0.29037800000000002</v>
      </c>
      <c r="N737">
        <v>21580.680984999999</v>
      </c>
      <c r="O737">
        <f t="shared" si="14"/>
        <v>74319.27000323715</v>
      </c>
    </row>
    <row r="738" spans="12:15" x14ac:dyDescent="0.55000000000000004">
      <c r="L738">
        <v>733</v>
      </c>
      <c r="M738">
        <v>0.29037800000000002</v>
      </c>
      <c r="N738">
        <v>21580.679690000001</v>
      </c>
      <c r="O738">
        <f t="shared" si="14"/>
        <v>74319.265543532907</v>
      </c>
    </row>
    <row r="739" spans="12:15" x14ac:dyDescent="0.55000000000000004">
      <c r="L739">
        <v>734</v>
      </c>
      <c r="M739">
        <v>0.29037800000000002</v>
      </c>
      <c r="N739">
        <v>21580.678519000001</v>
      </c>
      <c r="O739">
        <f t="shared" si="14"/>
        <v>74319.261510858254</v>
      </c>
    </row>
    <row r="740" spans="12:15" x14ac:dyDescent="0.55000000000000004">
      <c r="L740">
        <v>735</v>
      </c>
      <c r="M740">
        <v>0.29037800000000002</v>
      </c>
      <c r="N740">
        <v>21580.677459999999</v>
      </c>
      <c r="O740">
        <f t="shared" si="14"/>
        <v>74319.257863887746</v>
      </c>
    </row>
    <row r="741" spans="12:15" x14ac:dyDescent="0.55000000000000004">
      <c r="L741">
        <v>736</v>
      </c>
      <c r="M741">
        <v>0.29037800000000002</v>
      </c>
      <c r="N741">
        <v>21580.676501000002</v>
      </c>
      <c r="O741">
        <f t="shared" si="14"/>
        <v>74319.254561295966</v>
      </c>
    </row>
    <row r="742" spans="12:15" x14ac:dyDescent="0.55000000000000004">
      <c r="L742">
        <v>737</v>
      </c>
      <c r="M742">
        <v>0.29037800000000002</v>
      </c>
      <c r="N742">
        <v>21580.675631999999</v>
      </c>
      <c r="O742">
        <f t="shared" si="14"/>
        <v>74319.251568644991</v>
      </c>
    </row>
    <row r="743" spans="12:15" x14ac:dyDescent="0.55000000000000004">
      <c r="L743">
        <v>738</v>
      </c>
      <c r="M743">
        <v>0.29037800000000002</v>
      </c>
      <c r="N743">
        <v>21580.674845000001</v>
      </c>
      <c r="O743">
        <f t="shared" si="14"/>
        <v>74319.248858384584</v>
      </c>
    </row>
    <row r="744" spans="12:15" x14ac:dyDescent="0.55000000000000004">
      <c r="L744">
        <v>739</v>
      </c>
      <c r="M744">
        <v>0.29037800000000002</v>
      </c>
      <c r="N744">
        <v>21580.674129999999</v>
      </c>
      <c r="O744">
        <f t="shared" si="14"/>
        <v>74319.246396076836</v>
      </c>
    </row>
    <row r="745" spans="12:15" x14ac:dyDescent="0.55000000000000004">
      <c r="L745">
        <v>740</v>
      </c>
      <c r="M745">
        <v>0.29037800000000002</v>
      </c>
      <c r="N745">
        <v>21580.673479000001</v>
      </c>
      <c r="O745">
        <f t="shared" si="14"/>
        <v>74319.244154171451</v>
      </c>
    </row>
    <row r="746" spans="12:15" x14ac:dyDescent="0.55000000000000004">
      <c r="L746">
        <v>741</v>
      </c>
      <c r="M746">
        <v>0.29037800000000002</v>
      </c>
      <c r="N746">
        <v>21580.672886</v>
      </c>
      <c r="O746">
        <f t="shared" si="14"/>
        <v>74319.242112005726</v>
      </c>
    </row>
    <row r="747" spans="12:15" x14ac:dyDescent="0.55000000000000004">
      <c r="L747">
        <v>742</v>
      </c>
      <c r="M747">
        <v>0.29037800000000002</v>
      </c>
      <c r="N747">
        <v>21580.672342999998</v>
      </c>
      <c r="O747">
        <f t="shared" si="14"/>
        <v>74319.240242029337</v>
      </c>
    </row>
    <row r="748" spans="12:15" x14ac:dyDescent="0.55000000000000004">
      <c r="L748">
        <v>743</v>
      </c>
      <c r="M748">
        <v>0.29037800000000002</v>
      </c>
      <c r="N748">
        <v>21580.671845000001</v>
      </c>
      <c r="O748">
        <f t="shared" si="14"/>
        <v>74319.238527023394</v>
      </c>
    </row>
    <row r="749" spans="12:15" x14ac:dyDescent="0.55000000000000004">
      <c r="L749">
        <v>744</v>
      </c>
      <c r="M749">
        <v>0.29037800000000002</v>
      </c>
      <c r="N749">
        <v>21580.671386000002</v>
      </c>
      <c r="O749">
        <f t="shared" si="14"/>
        <v>74319.236946325138</v>
      </c>
    </row>
    <row r="750" spans="12:15" x14ac:dyDescent="0.55000000000000004">
      <c r="L750">
        <v>745</v>
      </c>
      <c r="M750">
        <v>0.29037800000000002</v>
      </c>
      <c r="N750">
        <v>21580.670961</v>
      </c>
      <c r="O750">
        <f t="shared" si="14"/>
        <v>74319.235482715623</v>
      </c>
    </row>
    <row r="751" spans="12:15" x14ac:dyDescent="0.55000000000000004">
      <c r="L751">
        <v>746</v>
      </c>
      <c r="M751">
        <v>0.29037800000000002</v>
      </c>
      <c r="N751">
        <v>21580.670564</v>
      </c>
      <c r="O751">
        <f t="shared" si="14"/>
        <v>74319.234115532163</v>
      </c>
    </row>
    <row r="752" spans="12:15" x14ac:dyDescent="0.55000000000000004">
      <c r="L752">
        <v>747</v>
      </c>
      <c r="M752">
        <v>0.29037800000000002</v>
      </c>
      <c r="N752">
        <v>21580.670192000001</v>
      </c>
      <c r="O752">
        <f t="shared" si="14"/>
        <v>74319.232834443377</v>
      </c>
    </row>
    <row r="753" spans="12:15" x14ac:dyDescent="0.55000000000000004">
      <c r="L753">
        <v>748</v>
      </c>
      <c r="M753">
        <v>0.29037800000000002</v>
      </c>
      <c r="N753">
        <v>21580.669838999998</v>
      </c>
      <c r="O753">
        <f t="shared" si="14"/>
        <v>74319.231618786536</v>
      </c>
    </row>
    <row r="754" spans="12:15" x14ac:dyDescent="0.55000000000000004">
      <c r="L754">
        <v>749</v>
      </c>
      <c r="M754">
        <v>0.29037800000000002</v>
      </c>
      <c r="N754">
        <v>21580.669502000001</v>
      </c>
      <c r="O754">
        <f t="shared" si="14"/>
        <v>74319.230458230304</v>
      </c>
    </row>
    <row r="755" spans="12:15" x14ac:dyDescent="0.55000000000000004">
      <c r="L755">
        <v>750</v>
      </c>
      <c r="M755">
        <v>0.29037800000000002</v>
      </c>
      <c r="N755">
        <v>21580.669175999999</v>
      </c>
      <c r="O755">
        <f t="shared" si="14"/>
        <v>74319.229335555719</v>
      </c>
    </row>
    <row r="756" spans="12:15" x14ac:dyDescent="0.55000000000000004">
      <c r="L756">
        <v>751</v>
      </c>
      <c r="M756">
        <v>0.29037800000000002</v>
      </c>
      <c r="N756">
        <v>21580.668858000001</v>
      </c>
      <c r="O756">
        <f t="shared" si="14"/>
        <v>74319.228240431432</v>
      </c>
    </row>
    <row r="757" spans="12:15" x14ac:dyDescent="0.55000000000000004">
      <c r="L757">
        <v>752</v>
      </c>
      <c r="M757">
        <v>0.29037800000000002</v>
      </c>
      <c r="N757">
        <v>21580.668543</v>
      </c>
      <c r="O757">
        <f t="shared" si="14"/>
        <v>74319.227155638509</v>
      </c>
    </row>
    <row r="758" spans="12:15" x14ac:dyDescent="0.55000000000000004">
      <c r="L758">
        <v>753</v>
      </c>
      <c r="M758">
        <v>0.29037800000000002</v>
      </c>
      <c r="N758">
        <v>21580.668228999999</v>
      </c>
      <c r="O758">
        <f t="shared" si="14"/>
        <v>74319.22607428937</v>
      </c>
    </row>
    <row r="759" spans="12:15" x14ac:dyDescent="0.55000000000000004">
      <c r="L759">
        <v>754</v>
      </c>
      <c r="M759">
        <v>0.29037800000000002</v>
      </c>
      <c r="N759">
        <v>21580.667911</v>
      </c>
      <c r="O759">
        <f t="shared" si="14"/>
        <v>74319.224979165083</v>
      </c>
    </row>
    <row r="760" spans="12:15" x14ac:dyDescent="0.55000000000000004">
      <c r="L760">
        <v>755</v>
      </c>
      <c r="M760">
        <v>0.29037800000000002</v>
      </c>
      <c r="N760">
        <v>21580.667584999999</v>
      </c>
      <c r="O760">
        <f t="shared" si="14"/>
        <v>74319.223856490498</v>
      </c>
    </row>
    <row r="761" spans="12:15" x14ac:dyDescent="0.55000000000000004">
      <c r="L761">
        <v>756</v>
      </c>
      <c r="M761">
        <v>0.29037800000000002</v>
      </c>
      <c r="N761">
        <v>21580.667248000002</v>
      </c>
      <c r="O761">
        <f t="shared" si="14"/>
        <v>74319.222695934266</v>
      </c>
    </row>
    <row r="762" spans="12:15" x14ac:dyDescent="0.55000000000000004">
      <c r="L762">
        <v>757</v>
      </c>
      <c r="M762">
        <v>0.29037800000000002</v>
      </c>
      <c r="N762">
        <v>21580.666895999999</v>
      </c>
      <c r="O762">
        <f t="shared" si="14"/>
        <v>74319.221483721209</v>
      </c>
    </row>
    <row r="763" spans="12:15" x14ac:dyDescent="0.55000000000000004">
      <c r="L763">
        <v>758</v>
      </c>
      <c r="M763">
        <v>0.29037800000000002</v>
      </c>
      <c r="N763">
        <v>21580.666525000001</v>
      </c>
      <c r="O763">
        <f t="shared" si="14"/>
        <v>74319.220206076207</v>
      </c>
    </row>
    <row r="764" spans="12:15" x14ac:dyDescent="0.55000000000000004">
      <c r="L764">
        <v>759</v>
      </c>
      <c r="M764">
        <v>0.29037800000000002</v>
      </c>
      <c r="N764">
        <v>21580.666130000001</v>
      </c>
      <c r="O764">
        <f t="shared" si="14"/>
        <v>74319.218845780328</v>
      </c>
    </row>
    <row r="765" spans="12:15" x14ac:dyDescent="0.55000000000000004">
      <c r="L765">
        <v>760</v>
      </c>
      <c r="M765">
        <v>0.29037800000000002</v>
      </c>
      <c r="N765">
        <v>21580.665707</v>
      </c>
      <c r="O765">
        <f t="shared" si="14"/>
        <v>74319.217389058394</v>
      </c>
    </row>
    <row r="766" spans="12:15" x14ac:dyDescent="0.55000000000000004">
      <c r="L766">
        <v>761</v>
      </c>
      <c r="M766">
        <v>0.29037800000000002</v>
      </c>
      <c r="N766">
        <v>21580.665249999998</v>
      </c>
      <c r="O766">
        <f t="shared" si="14"/>
        <v>74319.215815247706</v>
      </c>
    </row>
    <row r="767" spans="12:15" x14ac:dyDescent="0.55000000000000004">
      <c r="L767">
        <v>762</v>
      </c>
      <c r="M767">
        <v>0.29037800000000002</v>
      </c>
      <c r="N767">
        <v>21580.664755999998</v>
      </c>
      <c r="O767">
        <f t="shared" si="14"/>
        <v>74319.214114016897</v>
      </c>
    </row>
    <row r="768" spans="12:15" x14ac:dyDescent="0.55000000000000004">
      <c r="L768">
        <v>763</v>
      </c>
      <c r="M768">
        <v>0.29037800000000002</v>
      </c>
      <c r="N768">
        <v>21580.664218999998</v>
      </c>
      <c r="O768">
        <f t="shared" si="14"/>
        <v>74319.212264703237</v>
      </c>
    </row>
    <row r="769" spans="12:15" x14ac:dyDescent="0.55000000000000004">
      <c r="L769">
        <v>764</v>
      </c>
      <c r="M769">
        <v>0.29037800000000002</v>
      </c>
      <c r="N769">
        <v>21580.663632</v>
      </c>
      <c r="O769">
        <f t="shared" si="14"/>
        <v>74319.210243200228</v>
      </c>
    </row>
    <row r="770" spans="12:15" x14ac:dyDescent="0.55000000000000004">
      <c r="L770">
        <v>765</v>
      </c>
      <c r="M770">
        <v>0.29037800000000002</v>
      </c>
      <c r="N770">
        <v>21580.662990000001</v>
      </c>
      <c r="O770">
        <f t="shared" si="14"/>
        <v>74319.208032288938</v>
      </c>
    </row>
    <row r="771" spans="12:15" x14ac:dyDescent="0.55000000000000004">
      <c r="L771">
        <v>766</v>
      </c>
      <c r="M771">
        <v>0.29037800000000002</v>
      </c>
      <c r="N771">
        <v>21580.662284999999</v>
      </c>
      <c r="O771">
        <f t="shared" si="14"/>
        <v>74319.205604419054</v>
      </c>
    </row>
    <row r="772" spans="12:15" x14ac:dyDescent="0.55000000000000004">
      <c r="L772">
        <v>767</v>
      </c>
      <c r="M772">
        <v>0.29037800000000002</v>
      </c>
      <c r="N772">
        <v>21580.661510000002</v>
      </c>
      <c r="O772">
        <f t="shared" si="14"/>
        <v>74319.202935484092</v>
      </c>
    </row>
    <row r="773" spans="12:15" x14ac:dyDescent="0.55000000000000004">
      <c r="L773">
        <v>768</v>
      </c>
      <c r="M773">
        <v>0.29037800000000002</v>
      </c>
      <c r="N773">
        <v>21580.660657</v>
      </c>
      <c r="O773">
        <f t="shared" si="14"/>
        <v>74319.199997933727</v>
      </c>
    </row>
    <row r="774" spans="12:15" x14ac:dyDescent="0.55000000000000004">
      <c r="L774">
        <v>769</v>
      </c>
      <c r="M774">
        <v>0.29037800000000002</v>
      </c>
      <c r="N774">
        <v>21580.659717999999</v>
      </c>
      <c r="O774">
        <f t="shared" ref="O774:O837" si="15">N774/M774</f>
        <v>74319.196764217661</v>
      </c>
    </row>
    <row r="775" spans="12:15" x14ac:dyDescent="0.55000000000000004">
      <c r="L775">
        <v>770</v>
      </c>
      <c r="M775">
        <v>0.29037800000000002</v>
      </c>
      <c r="N775">
        <v>21580.658682000001</v>
      </c>
      <c r="O775">
        <f t="shared" si="15"/>
        <v>74319.193196454275</v>
      </c>
    </row>
    <row r="776" spans="12:15" x14ac:dyDescent="0.55000000000000004">
      <c r="L776">
        <v>771</v>
      </c>
      <c r="M776">
        <v>0.29037800000000002</v>
      </c>
      <c r="N776">
        <v>21580.657539</v>
      </c>
      <c r="O776">
        <f t="shared" si="15"/>
        <v>74319.189260205661</v>
      </c>
    </row>
    <row r="777" spans="12:15" x14ac:dyDescent="0.55000000000000004">
      <c r="L777">
        <v>772</v>
      </c>
      <c r="M777">
        <v>0.29037800000000002</v>
      </c>
      <c r="N777">
        <v>21580.656277999999</v>
      </c>
      <c r="O777">
        <f t="shared" si="15"/>
        <v>74319.184917590159</v>
      </c>
    </row>
    <row r="778" spans="12:15" x14ac:dyDescent="0.55000000000000004">
      <c r="L778">
        <v>773</v>
      </c>
      <c r="M778">
        <v>0.29037800000000002</v>
      </c>
      <c r="N778">
        <v>21580.654886</v>
      </c>
      <c r="O778">
        <f t="shared" si="15"/>
        <v>74319.180123838581</v>
      </c>
    </row>
    <row r="779" spans="12:15" x14ac:dyDescent="0.55000000000000004">
      <c r="L779">
        <v>774</v>
      </c>
      <c r="M779">
        <v>0.29037800000000002</v>
      </c>
      <c r="N779">
        <v>21580.653349</v>
      </c>
      <c r="O779">
        <f t="shared" si="15"/>
        <v>74319.174830737858</v>
      </c>
    </row>
    <row r="780" spans="12:15" x14ac:dyDescent="0.55000000000000004">
      <c r="L780">
        <v>775</v>
      </c>
      <c r="M780">
        <v>0.29037800000000002</v>
      </c>
      <c r="N780">
        <v>21580.651654000001</v>
      </c>
      <c r="O780">
        <f t="shared" si="15"/>
        <v>74319.16899351879</v>
      </c>
    </row>
    <row r="781" spans="12:15" x14ac:dyDescent="0.55000000000000004">
      <c r="L781">
        <v>776</v>
      </c>
      <c r="M781">
        <v>0.29037800000000002</v>
      </c>
      <c r="N781">
        <v>21580.649782</v>
      </c>
      <c r="O781">
        <f t="shared" si="15"/>
        <v>74319.162546749401</v>
      </c>
    </row>
    <row r="782" spans="12:15" x14ac:dyDescent="0.55000000000000004">
      <c r="L782">
        <v>777</v>
      </c>
      <c r="M782">
        <v>0.29037800000000002</v>
      </c>
      <c r="N782">
        <v>21580.647717</v>
      </c>
      <c r="O782">
        <f t="shared" si="15"/>
        <v>74319.155435329114</v>
      </c>
    </row>
    <row r="783" spans="12:15" x14ac:dyDescent="0.55000000000000004">
      <c r="L783">
        <v>778</v>
      </c>
      <c r="M783">
        <v>0.29037800000000002</v>
      </c>
      <c r="N783">
        <v>21580.645439</v>
      </c>
      <c r="O783">
        <f t="shared" si="15"/>
        <v>74319.147590382185</v>
      </c>
    </row>
    <row r="784" spans="12:15" x14ac:dyDescent="0.55000000000000004">
      <c r="L784">
        <v>779</v>
      </c>
      <c r="M784">
        <v>0.29037800000000002</v>
      </c>
      <c r="N784">
        <v>21580.642927000001</v>
      </c>
      <c r="O784">
        <f t="shared" si="15"/>
        <v>74319.138939589087</v>
      </c>
    </row>
    <row r="785" spans="12:15" x14ac:dyDescent="0.55000000000000004">
      <c r="L785">
        <v>780</v>
      </c>
      <c r="M785">
        <v>0.29037800000000002</v>
      </c>
      <c r="N785">
        <v>21580.640157999998</v>
      </c>
      <c r="O785">
        <f t="shared" si="15"/>
        <v>74319.1294037427</v>
      </c>
    </row>
    <row r="786" spans="12:15" x14ac:dyDescent="0.55000000000000004">
      <c r="L786">
        <v>781</v>
      </c>
      <c r="M786">
        <v>0.29037800000000002</v>
      </c>
      <c r="N786">
        <v>21580.637105999998</v>
      </c>
      <c r="O786">
        <f t="shared" si="15"/>
        <v>74319.118893304578</v>
      </c>
    </row>
    <row r="787" spans="12:15" x14ac:dyDescent="0.55000000000000004">
      <c r="L787">
        <v>782</v>
      </c>
      <c r="M787">
        <v>0.29037800000000002</v>
      </c>
      <c r="N787">
        <v>21580.633742999999</v>
      </c>
      <c r="O787">
        <f t="shared" si="15"/>
        <v>74319.107311848682</v>
      </c>
    </row>
    <row r="788" spans="12:15" x14ac:dyDescent="0.55000000000000004">
      <c r="L788">
        <v>783</v>
      </c>
      <c r="M788">
        <v>0.29037800000000002</v>
      </c>
      <c r="N788">
        <v>21580.63004</v>
      </c>
      <c r="O788">
        <f t="shared" si="15"/>
        <v>74319.094559505189</v>
      </c>
    </row>
    <row r="789" spans="12:15" x14ac:dyDescent="0.55000000000000004">
      <c r="L789">
        <v>784</v>
      </c>
      <c r="M789">
        <v>0.29037800000000002</v>
      </c>
      <c r="N789">
        <v>21580.625962999999</v>
      </c>
      <c r="O789">
        <f t="shared" si="15"/>
        <v>74319.080519185329</v>
      </c>
    </row>
    <row r="790" spans="12:15" x14ac:dyDescent="0.55000000000000004">
      <c r="L790">
        <v>785</v>
      </c>
      <c r="M790">
        <v>0.29037800000000002</v>
      </c>
      <c r="N790">
        <v>21580.621476</v>
      </c>
      <c r="O790">
        <f t="shared" si="15"/>
        <v>74319.065066912779</v>
      </c>
    </row>
    <row r="791" spans="12:15" x14ac:dyDescent="0.55000000000000004">
      <c r="L791">
        <v>786</v>
      </c>
      <c r="M791">
        <v>0.29037800000000002</v>
      </c>
      <c r="N791">
        <v>21580.616542</v>
      </c>
      <c r="O791">
        <f t="shared" si="15"/>
        <v>74319.048075267405</v>
      </c>
    </row>
    <row r="792" spans="12:15" x14ac:dyDescent="0.55000000000000004">
      <c r="L792">
        <v>787</v>
      </c>
      <c r="M792">
        <v>0.29037800000000002</v>
      </c>
      <c r="N792">
        <v>21580.611116</v>
      </c>
      <c r="O792">
        <f t="shared" si="15"/>
        <v>74319.029389278789</v>
      </c>
    </row>
    <row r="793" spans="12:15" x14ac:dyDescent="0.55000000000000004">
      <c r="L793">
        <v>788</v>
      </c>
      <c r="M793">
        <v>0.29037800000000002</v>
      </c>
      <c r="N793">
        <v>21580.605152</v>
      </c>
      <c r="O793">
        <f t="shared" si="15"/>
        <v>74319.008850532744</v>
      </c>
    </row>
    <row r="794" spans="12:15" x14ac:dyDescent="0.55000000000000004">
      <c r="L794">
        <v>789</v>
      </c>
      <c r="M794">
        <v>0.29037800000000002</v>
      </c>
      <c r="N794">
        <v>21580.598601000002</v>
      </c>
      <c r="O794">
        <f t="shared" si="15"/>
        <v>74318.986290283705</v>
      </c>
    </row>
    <row r="795" spans="12:15" x14ac:dyDescent="0.55000000000000004">
      <c r="L795">
        <v>790</v>
      </c>
      <c r="M795">
        <v>0.29037800000000002</v>
      </c>
      <c r="N795">
        <v>21580.591407</v>
      </c>
      <c r="O795">
        <f t="shared" si="15"/>
        <v>74318.961515679563</v>
      </c>
    </row>
    <row r="796" spans="12:15" x14ac:dyDescent="0.55000000000000004">
      <c r="L796">
        <v>791</v>
      </c>
      <c r="M796">
        <v>0.29037800000000002</v>
      </c>
      <c r="N796">
        <v>21580.583511000001</v>
      </c>
      <c r="O796">
        <f t="shared" si="15"/>
        <v>74318.934323536902</v>
      </c>
    </row>
    <row r="797" spans="12:15" x14ac:dyDescent="0.55000000000000004">
      <c r="L797">
        <v>792</v>
      </c>
      <c r="M797">
        <v>0.29037800000000002</v>
      </c>
      <c r="N797">
        <v>21580.574847</v>
      </c>
      <c r="O797">
        <f t="shared" si="15"/>
        <v>74318.904486565778</v>
      </c>
    </row>
    <row r="798" spans="12:15" x14ac:dyDescent="0.55000000000000004">
      <c r="L798">
        <v>793</v>
      </c>
      <c r="M798">
        <v>0.29037800000000002</v>
      </c>
      <c r="N798">
        <v>21580.565345999999</v>
      </c>
      <c r="O798">
        <f t="shared" si="15"/>
        <v>74318.871767144883</v>
      </c>
    </row>
    <row r="799" spans="12:15" x14ac:dyDescent="0.55000000000000004">
      <c r="L799">
        <v>794</v>
      </c>
      <c r="M799">
        <v>0.29037800000000002</v>
      </c>
      <c r="N799">
        <v>21580.554930999999</v>
      </c>
      <c r="O799">
        <f t="shared" si="15"/>
        <v>74318.835900102611</v>
      </c>
    </row>
    <row r="800" spans="12:15" x14ac:dyDescent="0.55000000000000004">
      <c r="L800">
        <v>795</v>
      </c>
      <c r="M800">
        <v>0.29037800000000002</v>
      </c>
      <c r="N800">
        <v>21580.543518999999</v>
      </c>
      <c r="O800">
        <f t="shared" si="15"/>
        <v>74318.796599604641</v>
      </c>
    </row>
    <row r="801" spans="12:15" x14ac:dyDescent="0.55000000000000004">
      <c r="L801">
        <v>796</v>
      </c>
      <c r="M801">
        <v>0.29037800000000002</v>
      </c>
      <c r="N801">
        <v>21580.531019999999</v>
      </c>
      <c r="O801">
        <f t="shared" si="15"/>
        <v>74318.753555710136</v>
      </c>
    </row>
    <row r="802" spans="12:15" x14ac:dyDescent="0.55000000000000004">
      <c r="L802">
        <v>797</v>
      </c>
      <c r="M802">
        <v>0.29037800000000002</v>
      </c>
      <c r="N802">
        <v>21580.517337000001</v>
      </c>
      <c r="O802">
        <f t="shared" si="15"/>
        <v>74318.70643437175</v>
      </c>
    </row>
    <row r="803" spans="12:15" x14ac:dyDescent="0.55000000000000004">
      <c r="L803">
        <v>798</v>
      </c>
      <c r="M803">
        <v>0.29037800000000002</v>
      </c>
      <c r="N803">
        <v>21580.502365</v>
      </c>
      <c r="O803">
        <f t="shared" si="15"/>
        <v>74318.654873991822</v>
      </c>
    </row>
    <row r="804" spans="12:15" x14ac:dyDescent="0.55000000000000004">
      <c r="L804">
        <v>799</v>
      </c>
      <c r="M804">
        <v>0.29037800000000002</v>
      </c>
      <c r="N804">
        <v>21580.485988</v>
      </c>
      <c r="O804">
        <f t="shared" si="15"/>
        <v>74318.598475091087</v>
      </c>
    </row>
    <row r="805" spans="12:15" x14ac:dyDescent="0.55000000000000004">
      <c r="L805">
        <v>800</v>
      </c>
      <c r="M805">
        <v>0.29037800000000002</v>
      </c>
      <c r="N805">
        <v>21580.468083</v>
      </c>
      <c r="O805">
        <f t="shared" si="15"/>
        <v>74318.536814083709</v>
      </c>
    </row>
    <row r="806" spans="12:15" x14ac:dyDescent="0.55000000000000004">
      <c r="L806">
        <v>801</v>
      </c>
      <c r="M806">
        <v>0.29037800000000002</v>
      </c>
      <c r="N806">
        <v>21580.448517000001</v>
      </c>
      <c r="O806">
        <f t="shared" si="15"/>
        <v>74318.469432946018</v>
      </c>
    </row>
    <row r="807" spans="12:15" x14ac:dyDescent="0.55000000000000004">
      <c r="L807">
        <v>802</v>
      </c>
      <c r="M807">
        <v>0.29037800000000002</v>
      </c>
      <c r="N807">
        <v>21580.427145000001</v>
      </c>
      <c r="O807">
        <f t="shared" si="15"/>
        <v>74318.395832328897</v>
      </c>
    </row>
    <row r="808" spans="12:15" x14ac:dyDescent="0.55000000000000004">
      <c r="L808">
        <v>803</v>
      </c>
      <c r="M808">
        <v>0.29037800000000002</v>
      </c>
      <c r="N808">
        <v>21580.403808999999</v>
      </c>
      <c r="O808">
        <f t="shared" si="15"/>
        <v>74318.315468113971</v>
      </c>
    </row>
    <row r="809" spans="12:15" x14ac:dyDescent="0.55000000000000004">
      <c r="L809">
        <v>804</v>
      </c>
      <c r="M809">
        <v>0.29037800000000002</v>
      </c>
      <c r="N809">
        <v>21580.378342</v>
      </c>
      <c r="O809">
        <f t="shared" si="15"/>
        <v>74318.227765188814</v>
      </c>
    </row>
    <row r="810" spans="12:15" x14ac:dyDescent="0.55000000000000004">
      <c r="L810">
        <v>805</v>
      </c>
      <c r="M810">
        <v>0.29037800000000002</v>
      </c>
      <c r="N810">
        <v>21580.350560999999</v>
      </c>
      <c r="O810">
        <f t="shared" si="15"/>
        <v>74318.132093340391</v>
      </c>
    </row>
    <row r="811" spans="12:15" x14ac:dyDescent="0.55000000000000004">
      <c r="L811">
        <v>806</v>
      </c>
      <c r="M811">
        <v>0.29037800000000002</v>
      </c>
      <c r="N811">
        <v>21580.320269</v>
      </c>
      <c r="O811">
        <f t="shared" si="15"/>
        <v>74318.027774142669</v>
      </c>
    </row>
    <row r="812" spans="12:15" x14ac:dyDescent="0.55000000000000004">
      <c r="L812">
        <v>807</v>
      </c>
      <c r="M812">
        <v>0.29037800000000002</v>
      </c>
      <c r="N812">
        <v>21580.287253999999</v>
      </c>
      <c r="O812">
        <f t="shared" si="15"/>
        <v>74317.914077512745</v>
      </c>
    </row>
    <row r="813" spans="12:15" x14ac:dyDescent="0.55000000000000004">
      <c r="L813">
        <v>808</v>
      </c>
      <c r="M813">
        <v>0.29037800000000002</v>
      </c>
      <c r="N813">
        <v>21580.251286999999</v>
      </c>
      <c r="O813">
        <f t="shared" si="15"/>
        <v>74317.790214823428</v>
      </c>
    </row>
    <row r="814" spans="12:15" x14ac:dyDescent="0.55000000000000004">
      <c r="L814">
        <v>809</v>
      </c>
      <c r="M814">
        <v>0.29037800000000002</v>
      </c>
      <c r="N814">
        <v>21580.212121</v>
      </c>
      <c r="O814">
        <f t="shared" si="15"/>
        <v>74317.655335459291</v>
      </c>
    </row>
    <row r="815" spans="12:15" x14ac:dyDescent="0.55000000000000004">
      <c r="L815">
        <v>810</v>
      </c>
      <c r="M815">
        <v>0.29037800000000002</v>
      </c>
      <c r="N815">
        <v>21580.169492000001</v>
      </c>
      <c r="O815">
        <f t="shared" si="15"/>
        <v>74317.508530260558</v>
      </c>
    </row>
    <row r="816" spans="12:15" x14ac:dyDescent="0.55000000000000004">
      <c r="L816">
        <v>811</v>
      </c>
      <c r="M816">
        <v>0.29037800000000002</v>
      </c>
      <c r="N816">
        <v>21580.123113000001</v>
      </c>
      <c r="O816">
        <f t="shared" si="15"/>
        <v>74317.34881086032</v>
      </c>
    </row>
    <row r="817" spans="12:15" x14ac:dyDescent="0.55000000000000004">
      <c r="L817">
        <v>812</v>
      </c>
      <c r="M817">
        <v>0.29037800000000002</v>
      </c>
      <c r="N817">
        <v>21580.072676</v>
      </c>
      <c r="O817">
        <f t="shared" si="15"/>
        <v>74317.17511657218</v>
      </c>
    </row>
    <row r="818" spans="12:15" x14ac:dyDescent="0.55000000000000004">
      <c r="L818">
        <v>813</v>
      </c>
      <c r="M818">
        <v>0.29037800000000002</v>
      </c>
      <c r="N818">
        <v>21580.017853000001</v>
      </c>
      <c r="O818">
        <f t="shared" si="15"/>
        <v>74316.986317833987</v>
      </c>
    </row>
    <row r="819" spans="12:15" x14ac:dyDescent="0.55000000000000004">
      <c r="L819">
        <v>814</v>
      </c>
      <c r="M819">
        <v>0.29037800000000002</v>
      </c>
      <c r="N819">
        <v>21579.958286000001</v>
      </c>
      <c r="O819">
        <f t="shared" si="15"/>
        <v>74316.781181769969</v>
      </c>
    </row>
    <row r="820" spans="12:15" x14ac:dyDescent="0.55000000000000004">
      <c r="L820">
        <v>815</v>
      </c>
      <c r="M820">
        <v>0.29037800000000002</v>
      </c>
      <c r="N820">
        <v>21579.893596000002</v>
      </c>
      <c r="O820">
        <f t="shared" si="15"/>
        <v>74316.558403184812</v>
      </c>
    </row>
    <row r="821" spans="12:15" x14ac:dyDescent="0.55000000000000004">
      <c r="L821">
        <v>816</v>
      </c>
      <c r="M821">
        <v>0.29037800000000002</v>
      </c>
      <c r="N821">
        <v>21579.823370999999</v>
      </c>
      <c r="O821">
        <f t="shared" si="15"/>
        <v>74316.316563238244</v>
      </c>
    </row>
    <row r="822" spans="12:15" x14ac:dyDescent="0.55000000000000004">
      <c r="L822">
        <v>817</v>
      </c>
      <c r="M822">
        <v>0.29037800000000002</v>
      </c>
      <c r="N822">
        <v>21579.747174</v>
      </c>
      <c r="O822">
        <f t="shared" si="15"/>
        <v>74316.054156995364</v>
      </c>
    </row>
    <row r="823" spans="12:15" x14ac:dyDescent="0.55000000000000004">
      <c r="L823">
        <v>818</v>
      </c>
      <c r="M823">
        <v>0.29037800000000002</v>
      </c>
      <c r="N823">
        <v>21579.664531999999</v>
      </c>
      <c r="O823">
        <f t="shared" si="15"/>
        <v>74315.76955554483</v>
      </c>
    </row>
    <row r="824" spans="12:15" x14ac:dyDescent="0.55000000000000004">
      <c r="L824">
        <v>819</v>
      </c>
      <c r="M824">
        <v>0.29037800000000002</v>
      </c>
      <c r="N824">
        <v>21579.574939999999</v>
      </c>
      <c r="O824">
        <f t="shared" si="15"/>
        <v>74315.461019774215</v>
      </c>
    </row>
    <row r="825" spans="12:15" x14ac:dyDescent="0.55000000000000004">
      <c r="L825">
        <v>820</v>
      </c>
      <c r="M825">
        <v>0.29037800000000002</v>
      </c>
      <c r="N825">
        <v>21579.477857999998</v>
      </c>
      <c r="O825">
        <f t="shared" si="15"/>
        <v>74315.126690038494</v>
      </c>
    </row>
    <row r="826" spans="12:15" x14ac:dyDescent="0.55000000000000004">
      <c r="L826">
        <v>821</v>
      </c>
      <c r="M826">
        <v>0.29037800000000002</v>
      </c>
      <c r="N826">
        <v>21579.372705000002</v>
      </c>
      <c r="O826">
        <f t="shared" si="15"/>
        <v>74314.764565497389</v>
      </c>
    </row>
    <row r="827" spans="12:15" x14ac:dyDescent="0.55000000000000004">
      <c r="L827">
        <v>822</v>
      </c>
      <c r="M827">
        <v>0.29037800000000002</v>
      </c>
      <c r="N827">
        <v>21579.258860999998</v>
      </c>
      <c r="O827">
        <f t="shared" si="15"/>
        <v>74314.37251100289</v>
      </c>
    </row>
    <row r="828" spans="12:15" x14ac:dyDescent="0.55000000000000004">
      <c r="L828">
        <v>823</v>
      </c>
      <c r="M828">
        <v>0.29037800000000002</v>
      </c>
      <c r="N828">
        <v>21579.135664000001</v>
      </c>
      <c r="O828">
        <f t="shared" si="15"/>
        <v>74313.948246768006</v>
      </c>
    </row>
    <row r="829" spans="12:15" x14ac:dyDescent="0.55000000000000004">
      <c r="L829">
        <v>824</v>
      </c>
      <c r="M829">
        <v>0.29037800000000002</v>
      </c>
      <c r="N829">
        <v>21579.002402999999</v>
      </c>
      <c r="O829">
        <f t="shared" si="15"/>
        <v>74313.489324260096</v>
      </c>
    </row>
    <row r="830" spans="12:15" x14ac:dyDescent="0.55000000000000004">
      <c r="L830">
        <v>825</v>
      </c>
      <c r="M830">
        <v>0.29037800000000002</v>
      </c>
      <c r="N830">
        <v>21578.858321</v>
      </c>
      <c r="O830">
        <f t="shared" si="15"/>
        <v>74312.993136532372</v>
      </c>
    </row>
    <row r="831" spans="12:15" x14ac:dyDescent="0.55000000000000004">
      <c r="L831">
        <v>826</v>
      </c>
      <c r="M831">
        <v>0.29037800000000002</v>
      </c>
      <c r="N831">
        <v>21578.702609</v>
      </c>
      <c r="O831">
        <f t="shared" si="15"/>
        <v>74312.456897561104</v>
      </c>
    </row>
    <row r="832" spans="12:15" x14ac:dyDescent="0.55000000000000004">
      <c r="L832">
        <v>827</v>
      </c>
      <c r="M832">
        <v>0.29037800000000002</v>
      </c>
      <c r="N832">
        <v>21578.534402000001</v>
      </c>
      <c r="O832">
        <f t="shared" si="15"/>
        <v>74311.87762847048</v>
      </c>
    </row>
    <row r="833" spans="12:15" x14ac:dyDescent="0.55000000000000004">
      <c r="L833">
        <v>828</v>
      </c>
      <c r="M833">
        <v>0.29037800000000002</v>
      </c>
      <c r="N833">
        <v>21578.352779000001</v>
      </c>
      <c r="O833">
        <f t="shared" si="15"/>
        <v>74311.252157532595</v>
      </c>
    </row>
    <row r="834" spans="12:15" x14ac:dyDescent="0.55000000000000004">
      <c r="L834">
        <v>829</v>
      </c>
      <c r="M834">
        <v>0.29037800000000002</v>
      </c>
      <c r="N834">
        <v>21578.156757000001</v>
      </c>
      <c r="O834">
        <f t="shared" si="15"/>
        <v>74310.577099504779</v>
      </c>
    </row>
    <row r="835" spans="12:15" x14ac:dyDescent="0.55000000000000004">
      <c r="L835">
        <v>830</v>
      </c>
      <c r="M835">
        <v>0.29037800000000002</v>
      </c>
      <c r="N835">
        <v>21577.945287999999</v>
      </c>
      <c r="O835">
        <f t="shared" si="15"/>
        <v>74309.848845298184</v>
      </c>
    </row>
    <row r="836" spans="12:15" x14ac:dyDescent="0.55000000000000004">
      <c r="L836">
        <v>831</v>
      </c>
      <c r="M836">
        <v>0.29037800000000002</v>
      </c>
      <c r="N836">
        <v>21577.717257</v>
      </c>
      <c r="O836">
        <f t="shared" si="15"/>
        <v>74309.063555090252</v>
      </c>
    </row>
    <row r="837" spans="12:15" x14ac:dyDescent="0.55000000000000004">
      <c r="L837">
        <v>832</v>
      </c>
      <c r="M837">
        <v>0.29037800000000002</v>
      </c>
      <c r="N837">
        <v>21577.471475999999</v>
      </c>
      <c r="O837">
        <f t="shared" si="15"/>
        <v>74308.217137661937</v>
      </c>
    </row>
    <row r="838" spans="12:15" x14ac:dyDescent="0.55000000000000004">
      <c r="L838">
        <v>833</v>
      </c>
      <c r="M838">
        <v>0.29037800000000002</v>
      </c>
      <c r="N838">
        <v>21577.206681</v>
      </c>
      <c r="O838">
        <f t="shared" ref="O838:O901" si="16">N838/M838</f>
        <v>74307.305240066387</v>
      </c>
    </row>
    <row r="839" spans="12:15" x14ac:dyDescent="0.55000000000000004">
      <c r="L839">
        <v>834</v>
      </c>
      <c r="M839">
        <v>0.29037800000000002</v>
      </c>
      <c r="N839">
        <v>21576.921527999999</v>
      </c>
      <c r="O839">
        <f t="shared" si="16"/>
        <v>74306.323233853793</v>
      </c>
    </row>
    <row r="840" spans="12:15" x14ac:dyDescent="0.55000000000000004">
      <c r="L840">
        <v>835</v>
      </c>
      <c r="M840">
        <v>0.29037800000000002</v>
      </c>
      <c r="N840">
        <v>21576.614589000001</v>
      </c>
      <c r="O840">
        <f t="shared" si="16"/>
        <v>74305.266201296239</v>
      </c>
    </row>
    <row r="841" spans="12:15" x14ac:dyDescent="0.55000000000000004">
      <c r="L841">
        <v>836</v>
      </c>
      <c r="M841">
        <v>0.29037800000000002</v>
      </c>
      <c r="N841">
        <v>21576.284347000001</v>
      </c>
      <c r="O841">
        <f t="shared" si="16"/>
        <v>74304.128918168732</v>
      </c>
    </row>
    <row r="842" spans="12:15" x14ac:dyDescent="0.55000000000000004">
      <c r="L842">
        <v>837</v>
      </c>
      <c r="M842">
        <v>0.29037800000000002</v>
      </c>
      <c r="N842">
        <v>21575.929188999999</v>
      </c>
      <c r="O842">
        <f t="shared" si="16"/>
        <v>74302.905829642725</v>
      </c>
    </row>
    <row r="843" spans="12:15" x14ac:dyDescent="0.55000000000000004">
      <c r="L843">
        <v>838</v>
      </c>
      <c r="M843">
        <v>0.29037800000000002</v>
      </c>
      <c r="N843">
        <v>21575.547406000002</v>
      </c>
      <c r="O843">
        <f t="shared" si="16"/>
        <v>74301.591050286181</v>
      </c>
    </row>
    <row r="844" spans="12:15" x14ac:dyDescent="0.55000000000000004">
      <c r="L844">
        <v>839</v>
      </c>
      <c r="M844">
        <v>0.29037800000000002</v>
      </c>
      <c r="N844">
        <v>21575.137185</v>
      </c>
      <c r="O844">
        <f t="shared" si="16"/>
        <v>74300.178336513083</v>
      </c>
    </row>
    <row r="845" spans="12:15" x14ac:dyDescent="0.55000000000000004">
      <c r="L845">
        <v>840</v>
      </c>
      <c r="M845">
        <v>0.29037800000000002</v>
      </c>
      <c r="N845">
        <v>21574.696604000001</v>
      </c>
      <c r="O845">
        <f t="shared" si="16"/>
        <v>74298.661069364753</v>
      </c>
    </row>
    <row r="846" spans="12:15" x14ac:dyDescent="0.55000000000000004">
      <c r="L846">
        <v>841</v>
      </c>
      <c r="M846">
        <v>0.29037800000000002</v>
      </c>
      <c r="N846">
        <v>21574.223625999999</v>
      </c>
      <c r="O846">
        <f t="shared" si="16"/>
        <v>74297.032233846912</v>
      </c>
    </row>
    <row r="847" spans="12:15" x14ac:dyDescent="0.55000000000000004">
      <c r="L847">
        <v>842</v>
      </c>
      <c r="M847">
        <v>0.29037800000000002</v>
      </c>
      <c r="N847">
        <v>21573.716095</v>
      </c>
      <c r="O847">
        <f t="shared" si="16"/>
        <v>74295.284405154656</v>
      </c>
    </row>
    <row r="848" spans="12:15" x14ac:dyDescent="0.55000000000000004">
      <c r="L848">
        <v>843</v>
      </c>
      <c r="M848">
        <v>0.29037800000000002</v>
      </c>
      <c r="N848">
        <v>21573.171728000001</v>
      </c>
      <c r="O848">
        <f t="shared" si="16"/>
        <v>74293.409721122123</v>
      </c>
    </row>
    <row r="849" spans="12:15" x14ac:dyDescent="0.55000000000000004">
      <c r="L849">
        <v>844</v>
      </c>
      <c r="M849">
        <v>0.29037800000000002</v>
      </c>
      <c r="N849">
        <v>21572.588113000002</v>
      </c>
      <c r="O849">
        <f t="shared" si="16"/>
        <v>74291.399875334901</v>
      </c>
    </row>
    <row r="850" spans="12:15" x14ac:dyDescent="0.55000000000000004">
      <c r="L850">
        <v>845</v>
      </c>
      <c r="M850">
        <v>0.29037800000000002</v>
      </c>
      <c r="N850">
        <v>21571.962696999999</v>
      </c>
      <c r="O850">
        <f t="shared" si="16"/>
        <v>74289.246075804636</v>
      </c>
    </row>
    <row r="851" spans="12:15" x14ac:dyDescent="0.55000000000000004">
      <c r="L851">
        <v>846</v>
      </c>
      <c r="M851">
        <v>0.29037800000000002</v>
      </c>
      <c r="N851">
        <v>21571.292786000002</v>
      </c>
      <c r="O851">
        <f t="shared" si="16"/>
        <v>74286.939044968967</v>
      </c>
    </row>
    <row r="852" spans="12:15" x14ac:dyDescent="0.55000000000000004">
      <c r="L852">
        <v>847</v>
      </c>
      <c r="M852">
        <v>0.29037800000000002</v>
      </c>
      <c r="N852">
        <v>21570.575531999999</v>
      </c>
      <c r="O852">
        <f t="shared" si="16"/>
        <v>74284.468974922333</v>
      </c>
    </row>
    <row r="853" spans="12:15" x14ac:dyDescent="0.55000000000000004">
      <c r="L853">
        <v>848</v>
      </c>
      <c r="M853">
        <v>0.29037800000000002</v>
      </c>
      <c r="N853">
        <v>21569.807930999999</v>
      </c>
      <c r="O853">
        <f t="shared" si="16"/>
        <v>74281.825520528408</v>
      </c>
    </row>
    <row r="854" spans="12:15" x14ac:dyDescent="0.55000000000000004">
      <c r="L854">
        <v>849</v>
      </c>
      <c r="M854">
        <v>0.29037800000000002</v>
      </c>
      <c r="N854">
        <v>21568.986816000001</v>
      </c>
      <c r="O854">
        <f t="shared" si="16"/>
        <v>74278.997775313546</v>
      </c>
    </row>
    <row r="855" spans="12:15" x14ac:dyDescent="0.55000000000000004">
      <c r="L855">
        <v>850</v>
      </c>
      <c r="M855">
        <v>0.29037800000000002</v>
      </c>
      <c r="N855">
        <v>21568.108845999999</v>
      </c>
      <c r="O855">
        <f t="shared" si="16"/>
        <v>74275.974233585177</v>
      </c>
    </row>
    <row r="856" spans="12:15" x14ac:dyDescent="0.55000000000000004">
      <c r="L856">
        <v>851</v>
      </c>
      <c r="M856">
        <v>0.29037800000000002</v>
      </c>
      <c r="N856">
        <v>21567.170501000001</v>
      </c>
      <c r="O856">
        <f t="shared" si="16"/>
        <v>74272.742773212842</v>
      </c>
    </row>
    <row r="857" spans="12:15" x14ac:dyDescent="0.55000000000000004">
      <c r="L857">
        <v>852</v>
      </c>
      <c r="M857">
        <v>0.29037800000000002</v>
      </c>
      <c r="N857">
        <v>21566.168076999998</v>
      </c>
      <c r="O857">
        <f t="shared" si="16"/>
        <v>74269.290638409235</v>
      </c>
    </row>
    <row r="858" spans="12:15" x14ac:dyDescent="0.55000000000000004">
      <c r="L858">
        <v>853</v>
      </c>
      <c r="M858">
        <v>0.29037800000000002</v>
      </c>
      <c r="N858">
        <v>21565.097674000001</v>
      </c>
      <c r="O858">
        <f t="shared" si="16"/>
        <v>74265.60439840483</v>
      </c>
    </row>
    <row r="859" spans="12:15" x14ac:dyDescent="0.55000000000000004">
      <c r="L859">
        <v>854</v>
      </c>
      <c r="M859">
        <v>0.29037800000000002</v>
      </c>
      <c r="N859">
        <v>21563.955190000001</v>
      </c>
      <c r="O859">
        <f t="shared" si="16"/>
        <v>74261.669926785078</v>
      </c>
    </row>
    <row r="860" spans="12:15" x14ac:dyDescent="0.55000000000000004">
      <c r="L860">
        <v>855</v>
      </c>
      <c r="M860">
        <v>0.29037800000000002</v>
      </c>
      <c r="N860">
        <v>21562.736314000002</v>
      </c>
      <c r="O860">
        <f t="shared" si="16"/>
        <v>74257.472377383965</v>
      </c>
    </row>
    <row r="861" spans="12:15" x14ac:dyDescent="0.55000000000000004">
      <c r="L861">
        <v>856</v>
      </c>
      <c r="M861">
        <v>0.29037800000000002</v>
      </c>
      <c r="N861">
        <v>21561.436516999998</v>
      </c>
      <c r="O861">
        <f t="shared" si="16"/>
        <v>74252.996153289831</v>
      </c>
    </row>
    <row r="862" spans="12:15" x14ac:dyDescent="0.55000000000000004">
      <c r="L862">
        <v>857</v>
      </c>
      <c r="M862">
        <v>0.29037800000000002</v>
      </c>
      <c r="N862">
        <v>21560.051041999999</v>
      </c>
      <c r="O862">
        <f t="shared" si="16"/>
        <v>74248.224872407678</v>
      </c>
    </row>
    <row r="863" spans="12:15" x14ac:dyDescent="0.55000000000000004">
      <c r="L863">
        <v>858</v>
      </c>
      <c r="M863">
        <v>0.29037800000000002</v>
      </c>
      <c r="N863">
        <v>21558.5749</v>
      </c>
      <c r="O863">
        <f t="shared" si="16"/>
        <v>74243.141353683808</v>
      </c>
    </row>
    <row r="864" spans="12:15" x14ac:dyDescent="0.55000000000000004">
      <c r="L864">
        <v>859</v>
      </c>
      <c r="M864">
        <v>0.29037800000000002</v>
      </c>
      <c r="N864">
        <v>21557.002856999999</v>
      </c>
      <c r="O864">
        <f t="shared" si="16"/>
        <v>74237.727572336735</v>
      </c>
    </row>
    <row r="865" spans="12:15" x14ac:dyDescent="0.55000000000000004">
      <c r="L865">
        <v>860</v>
      </c>
      <c r="M865">
        <v>0.29037800000000002</v>
      </c>
      <c r="N865">
        <v>21555.329427000001</v>
      </c>
      <c r="O865">
        <f t="shared" si="16"/>
        <v>74231.964635750643</v>
      </c>
    </row>
    <row r="866" spans="12:15" x14ac:dyDescent="0.55000000000000004">
      <c r="L866">
        <v>861</v>
      </c>
      <c r="M866">
        <v>0.290377</v>
      </c>
      <c r="N866">
        <v>21553.548863</v>
      </c>
      <c r="O866">
        <f t="shared" si="16"/>
        <v>74226.088371324178</v>
      </c>
    </row>
    <row r="867" spans="12:15" x14ac:dyDescent="0.55000000000000004">
      <c r="L867">
        <v>862</v>
      </c>
      <c r="M867">
        <v>0.290377</v>
      </c>
      <c r="N867">
        <v>21551.655150999999</v>
      </c>
      <c r="O867">
        <f t="shared" si="16"/>
        <v>74219.566807977215</v>
      </c>
    </row>
    <row r="868" spans="12:15" x14ac:dyDescent="0.55000000000000004">
      <c r="L868">
        <v>863</v>
      </c>
      <c r="M868">
        <v>0.290377</v>
      </c>
      <c r="N868">
        <v>21549.641995999998</v>
      </c>
      <c r="O868">
        <f t="shared" si="16"/>
        <v>74212.633906955438</v>
      </c>
    </row>
    <row r="869" spans="12:15" x14ac:dyDescent="0.55000000000000004">
      <c r="L869">
        <v>864</v>
      </c>
      <c r="M869">
        <v>0.290377</v>
      </c>
      <c r="N869">
        <v>21547.502815</v>
      </c>
      <c r="O869">
        <f t="shared" si="16"/>
        <v>74205.266997730534</v>
      </c>
    </row>
    <row r="870" spans="12:15" x14ac:dyDescent="0.55000000000000004">
      <c r="L870">
        <v>865</v>
      </c>
      <c r="M870">
        <v>0.290377</v>
      </c>
      <c r="N870">
        <v>21545.230733</v>
      </c>
      <c r="O870">
        <f t="shared" si="16"/>
        <v>74197.442404184912</v>
      </c>
    </row>
    <row r="871" spans="12:15" x14ac:dyDescent="0.55000000000000004">
      <c r="L871">
        <v>866</v>
      </c>
      <c r="M871">
        <v>0.29037600000000002</v>
      </c>
      <c r="N871">
        <v>21542.818564000001</v>
      </c>
      <c r="O871">
        <f t="shared" si="16"/>
        <v>74189.390872523902</v>
      </c>
    </row>
    <row r="872" spans="12:15" x14ac:dyDescent="0.55000000000000004">
      <c r="L872">
        <v>867</v>
      </c>
      <c r="M872">
        <v>0.29037600000000002</v>
      </c>
      <c r="N872">
        <v>21540.258812</v>
      </c>
      <c r="O872">
        <f t="shared" si="16"/>
        <v>74180.575570983827</v>
      </c>
    </row>
    <row r="873" spans="12:15" x14ac:dyDescent="0.55000000000000004">
      <c r="L873">
        <v>868</v>
      </c>
      <c r="M873">
        <v>0.29037600000000002</v>
      </c>
      <c r="N873">
        <v>21537.543656000002</v>
      </c>
      <c r="O873">
        <f t="shared" si="16"/>
        <v>74171.225087472791</v>
      </c>
    </row>
    <row r="874" spans="12:15" x14ac:dyDescent="0.55000000000000004">
      <c r="L874">
        <v>869</v>
      </c>
      <c r="M874">
        <v>0.29037499999999999</v>
      </c>
      <c r="N874">
        <v>21534.664940999999</v>
      </c>
      <c r="O874">
        <f t="shared" si="16"/>
        <v>74161.566736117093</v>
      </c>
    </row>
    <row r="875" spans="12:15" x14ac:dyDescent="0.55000000000000004">
      <c r="L875">
        <v>870</v>
      </c>
      <c r="M875">
        <v>0.29037499999999999</v>
      </c>
      <c r="N875">
        <v>21531.614173999998</v>
      </c>
      <c r="O875">
        <f t="shared" si="16"/>
        <v>74151.060435643565</v>
      </c>
    </row>
    <row r="876" spans="12:15" x14ac:dyDescent="0.55000000000000004">
      <c r="L876">
        <v>871</v>
      </c>
      <c r="M876">
        <v>0.29037400000000002</v>
      </c>
      <c r="N876">
        <v>21528.382509999999</v>
      </c>
      <c r="O876">
        <f t="shared" si="16"/>
        <v>74140.186483638332</v>
      </c>
    </row>
    <row r="877" spans="12:15" x14ac:dyDescent="0.55000000000000004">
      <c r="L877">
        <v>872</v>
      </c>
      <c r="M877">
        <v>0.29037299999999999</v>
      </c>
      <c r="N877">
        <v>21524.960746000001</v>
      </c>
      <c r="O877">
        <f t="shared" si="16"/>
        <v>74128.65778154305</v>
      </c>
    </row>
    <row r="878" spans="12:15" x14ac:dyDescent="0.55000000000000004">
      <c r="L878">
        <v>873</v>
      </c>
      <c r="M878">
        <v>0.29037299999999999</v>
      </c>
      <c r="N878">
        <v>21521.339309999999</v>
      </c>
      <c r="O878">
        <f t="shared" si="16"/>
        <v>74116.186112345153</v>
      </c>
    </row>
    <row r="879" spans="12:15" x14ac:dyDescent="0.55000000000000004">
      <c r="L879">
        <v>874</v>
      </c>
      <c r="M879">
        <v>0.29037200000000002</v>
      </c>
      <c r="N879">
        <v>21517.508257000001</v>
      </c>
      <c r="O879">
        <f t="shared" si="16"/>
        <v>74103.247754604439</v>
      </c>
    </row>
    <row r="880" spans="12:15" x14ac:dyDescent="0.55000000000000004">
      <c r="L880">
        <v>875</v>
      </c>
      <c r="M880">
        <v>0.29037099999999999</v>
      </c>
      <c r="N880">
        <v>21513.457256000002</v>
      </c>
      <c r="O880">
        <f t="shared" si="16"/>
        <v>74089.551835410573</v>
      </c>
    </row>
    <row r="881" spans="12:15" x14ac:dyDescent="0.55000000000000004">
      <c r="L881">
        <v>876</v>
      </c>
      <c r="M881">
        <v>0.29037000000000002</v>
      </c>
      <c r="N881">
        <v>21509.175587000002</v>
      </c>
      <c r="O881">
        <f t="shared" si="16"/>
        <v>74075.061428522225</v>
      </c>
    </row>
    <row r="882" spans="12:15" x14ac:dyDescent="0.55000000000000004">
      <c r="L882">
        <v>877</v>
      </c>
      <c r="M882">
        <v>0.29036800000000001</v>
      </c>
      <c r="N882">
        <v>21504.652128000002</v>
      </c>
      <c r="O882">
        <f t="shared" si="16"/>
        <v>74059.993277496149</v>
      </c>
    </row>
    <row r="883" spans="12:15" x14ac:dyDescent="0.55000000000000004">
      <c r="L883">
        <v>878</v>
      </c>
      <c r="M883">
        <v>0.29036699999999999</v>
      </c>
      <c r="N883">
        <v>21499.875349999998</v>
      </c>
      <c r="O883">
        <f t="shared" si="16"/>
        <v>74043.797504537361</v>
      </c>
    </row>
    <row r="884" spans="12:15" x14ac:dyDescent="0.55000000000000004">
      <c r="L884">
        <v>879</v>
      </c>
      <c r="M884">
        <v>0.29036499999999998</v>
      </c>
      <c r="N884">
        <v>21494.833312999999</v>
      </c>
      <c r="O884">
        <f t="shared" si="16"/>
        <v>74026.943030323906</v>
      </c>
    </row>
    <row r="885" spans="12:15" x14ac:dyDescent="0.55000000000000004">
      <c r="L885">
        <v>880</v>
      </c>
      <c r="M885">
        <v>0.29036299999999998</v>
      </c>
      <c r="N885">
        <v>21489.513653999998</v>
      </c>
      <c r="O885">
        <f t="shared" si="16"/>
        <v>74009.132203483226</v>
      </c>
    </row>
    <row r="886" spans="12:15" x14ac:dyDescent="0.55000000000000004">
      <c r="L886">
        <v>881</v>
      </c>
      <c r="M886">
        <v>0.29036099999999998</v>
      </c>
      <c r="N886">
        <v>21483.903584</v>
      </c>
      <c r="O886">
        <f t="shared" si="16"/>
        <v>73990.320959081975</v>
      </c>
    </row>
    <row r="887" spans="12:15" x14ac:dyDescent="0.55000000000000004">
      <c r="L887">
        <v>882</v>
      </c>
      <c r="M887">
        <v>0.29035899999999998</v>
      </c>
      <c r="N887">
        <v>21477.989881000001</v>
      </c>
      <c r="O887">
        <f t="shared" si="16"/>
        <v>73970.463739715327</v>
      </c>
    </row>
    <row r="888" spans="12:15" x14ac:dyDescent="0.55000000000000004">
      <c r="L888">
        <v>883</v>
      </c>
      <c r="M888">
        <v>0.290356</v>
      </c>
      <c r="N888">
        <v>21471.758884999999</v>
      </c>
      <c r="O888">
        <f t="shared" si="16"/>
        <v>73949.768163909132</v>
      </c>
    </row>
    <row r="889" spans="12:15" x14ac:dyDescent="0.55000000000000004">
      <c r="L889">
        <v>884</v>
      </c>
      <c r="M889">
        <v>0.29035300000000003</v>
      </c>
      <c r="N889">
        <v>21465.196494</v>
      </c>
      <c r="O889">
        <f t="shared" si="16"/>
        <v>73927.930808360848</v>
      </c>
    </row>
    <row r="890" spans="12:15" x14ac:dyDescent="0.55000000000000004">
      <c r="L890">
        <v>885</v>
      </c>
      <c r="M890">
        <v>0.29035</v>
      </c>
      <c r="N890">
        <v>21458.288155999999</v>
      </c>
      <c r="O890">
        <f t="shared" si="16"/>
        <v>73904.901518856554</v>
      </c>
    </row>
    <row r="891" spans="12:15" x14ac:dyDescent="0.55000000000000004">
      <c r="L891">
        <v>886</v>
      </c>
      <c r="M891">
        <v>0.29034599999999999</v>
      </c>
      <c r="N891">
        <v>21451.018872000001</v>
      </c>
      <c r="O891">
        <f t="shared" si="16"/>
        <v>73880.883056766761</v>
      </c>
    </row>
    <row r="892" spans="12:15" x14ac:dyDescent="0.55000000000000004">
      <c r="L892">
        <v>887</v>
      </c>
      <c r="M892">
        <v>0.29034199999999999</v>
      </c>
      <c r="N892">
        <v>21443.373186000001</v>
      </c>
      <c r="O892">
        <f t="shared" si="16"/>
        <v>73855.567523816746</v>
      </c>
    </row>
    <row r="893" spans="12:15" x14ac:dyDescent="0.55000000000000004">
      <c r="L893">
        <v>888</v>
      </c>
      <c r="M893">
        <v>0.29033700000000001</v>
      </c>
      <c r="N893">
        <v>21435.335184</v>
      </c>
      <c r="O893">
        <f t="shared" si="16"/>
        <v>73829.154341334375</v>
      </c>
    </row>
    <row r="894" spans="12:15" x14ac:dyDescent="0.55000000000000004">
      <c r="L894">
        <v>889</v>
      </c>
      <c r="M894">
        <v>0.29033100000000001</v>
      </c>
      <c r="N894">
        <v>21426.888498</v>
      </c>
      <c r="O894">
        <f t="shared" si="16"/>
        <v>73801.586802649384</v>
      </c>
    </row>
    <row r="895" spans="12:15" x14ac:dyDescent="0.55000000000000004">
      <c r="L895">
        <v>890</v>
      </c>
      <c r="M895">
        <v>0.290325</v>
      </c>
      <c r="N895">
        <v>21418.016296999998</v>
      </c>
      <c r="O895">
        <f t="shared" si="16"/>
        <v>73772.552473951597</v>
      </c>
    </row>
    <row r="896" spans="12:15" x14ac:dyDescent="0.55000000000000004">
      <c r="L896">
        <v>891</v>
      </c>
      <c r="M896">
        <v>0.29031800000000002</v>
      </c>
      <c r="N896">
        <v>21408.701291000001</v>
      </c>
      <c r="O896">
        <f t="shared" si="16"/>
        <v>73742.245713321259</v>
      </c>
    </row>
    <row r="897" spans="12:15" x14ac:dyDescent="0.55000000000000004">
      <c r="L897">
        <v>892</v>
      </c>
      <c r="M897">
        <v>0.29031000000000001</v>
      </c>
      <c r="N897">
        <v>21398.925733</v>
      </c>
      <c r="O897">
        <f t="shared" si="16"/>
        <v>73710.604984327088</v>
      </c>
    </row>
    <row r="898" spans="12:15" x14ac:dyDescent="0.55000000000000004">
      <c r="L898">
        <v>893</v>
      </c>
      <c r="M898">
        <v>0.290302</v>
      </c>
      <c r="N898">
        <v>21388.671415000001</v>
      </c>
      <c r="O898">
        <f t="shared" si="16"/>
        <v>73677.313332322898</v>
      </c>
    </row>
    <row r="899" spans="12:15" x14ac:dyDescent="0.55000000000000004">
      <c r="L899">
        <v>894</v>
      </c>
      <c r="M899">
        <v>0.29029199999999999</v>
      </c>
      <c r="N899">
        <v>21377.919677999998</v>
      </c>
      <c r="O899">
        <f t="shared" si="16"/>
        <v>73642.813711710958</v>
      </c>
    </row>
    <row r="900" spans="12:15" x14ac:dyDescent="0.55000000000000004">
      <c r="L900">
        <v>895</v>
      </c>
      <c r="M900">
        <v>0.29028100000000001</v>
      </c>
      <c r="N900">
        <v>21366.651407000001</v>
      </c>
      <c r="O900">
        <f t="shared" si="16"/>
        <v>73606.78586266411</v>
      </c>
    </row>
    <row r="901" spans="12:15" x14ac:dyDescent="0.55000000000000004">
      <c r="L901">
        <v>896</v>
      </c>
      <c r="M901">
        <v>0.290269</v>
      </c>
      <c r="N901">
        <v>21354.847043000002</v>
      </c>
      <c r="O901">
        <f t="shared" si="16"/>
        <v>73569.16185676046</v>
      </c>
    </row>
    <row r="902" spans="12:15" x14ac:dyDescent="0.55000000000000004">
      <c r="L902">
        <v>897</v>
      </c>
      <c r="M902">
        <v>0.29025600000000001</v>
      </c>
      <c r="N902">
        <v>21342.486582000001</v>
      </c>
      <c r="O902">
        <f t="shared" ref="O902:O965" si="17">N902/M902</f>
        <v>73529.872188688605</v>
      </c>
    </row>
    <row r="903" spans="12:15" x14ac:dyDescent="0.55000000000000004">
      <c r="L903">
        <v>898</v>
      </c>
      <c r="M903">
        <v>0.29024100000000003</v>
      </c>
      <c r="N903">
        <v>21329.549587000001</v>
      </c>
      <c r="O903">
        <f t="shared" si="17"/>
        <v>73489.099014267456</v>
      </c>
    </row>
    <row r="904" spans="12:15" x14ac:dyDescent="0.55000000000000004">
      <c r="L904">
        <v>899</v>
      </c>
      <c r="M904">
        <v>0.29022500000000001</v>
      </c>
      <c r="N904">
        <v>21316.015190999999</v>
      </c>
      <c r="O904">
        <f t="shared" si="17"/>
        <v>73446.516292531654</v>
      </c>
    </row>
    <row r="905" spans="12:15" x14ac:dyDescent="0.55000000000000004">
      <c r="L905">
        <v>900</v>
      </c>
      <c r="M905">
        <v>0.29020600000000002</v>
      </c>
      <c r="N905">
        <v>21301.862107000001</v>
      </c>
      <c r="O905">
        <f t="shared" si="17"/>
        <v>73402.555794849177</v>
      </c>
    </row>
    <row r="906" spans="12:15" x14ac:dyDescent="0.55000000000000004">
      <c r="L906">
        <v>901</v>
      </c>
      <c r="M906">
        <v>0.290186</v>
      </c>
      <c r="N906">
        <v>21287.068639000001</v>
      </c>
      <c r="O906">
        <f t="shared" si="17"/>
        <v>73356.635533761102</v>
      </c>
    </row>
    <row r="907" spans="12:15" x14ac:dyDescent="0.55000000000000004">
      <c r="L907">
        <v>902</v>
      </c>
      <c r="M907">
        <v>0.290163</v>
      </c>
      <c r="N907">
        <v>21271.612691999999</v>
      </c>
      <c r="O907">
        <f t="shared" si="17"/>
        <v>73309.183776015547</v>
      </c>
    </row>
    <row r="908" spans="12:15" x14ac:dyDescent="0.55000000000000004">
      <c r="L908">
        <v>903</v>
      </c>
      <c r="M908">
        <v>0.29013800000000001</v>
      </c>
      <c r="N908">
        <v>21255.471785000002</v>
      </c>
      <c r="O908">
        <f t="shared" si="17"/>
        <v>73259.868700411535</v>
      </c>
    </row>
    <row r="909" spans="12:15" x14ac:dyDescent="0.55000000000000004">
      <c r="L909">
        <v>904</v>
      </c>
      <c r="M909">
        <v>0.29011100000000001</v>
      </c>
      <c r="N909">
        <v>21238.623062999999</v>
      </c>
      <c r="O909">
        <f t="shared" si="17"/>
        <v>73208.610025128306</v>
      </c>
    </row>
    <row r="910" spans="12:15" x14ac:dyDescent="0.55000000000000004">
      <c r="L910">
        <v>905</v>
      </c>
      <c r="M910">
        <v>0.29008</v>
      </c>
      <c r="N910">
        <v>21221.043312000002</v>
      </c>
      <c r="O910">
        <f t="shared" si="17"/>
        <v>73155.830501930512</v>
      </c>
    </row>
    <row r="911" spans="12:15" x14ac:dyDescent="0.55000000000000004">
      <c r="L911">
        <v>906</v>
      </c>
      <c r="M911">
        <v>0.290047</v>
      </c>
      <c r="N911">
        <v>21202.708976999998</v>
      </c>
      <c r="O911">
        <f t="shared" si="17"/>
        <v>73100.942181784325</v>
      </c>
    </row>
    <row r="912" spans="12:15" x14ac:dyDescent="0.55000000000000004">
      <c r="L912">
        <v>907</v>
      </c>
      <c r="M912">
        <v>0.29000999999999999</v>
      </c>
      <c r="N912">
        <v>21183.596176999999</v>
      </c>
      <c r="O912">
        <f t="shared" si="17"/>
        <v>73044.364597772495</v>
      </c>
    </row>
    <row r="913" spans="12:15" x14ac:dyDescent="0.55000000000000004">
      <c r="L913">
        <v>908</v>
      </c>
      <c r="M913">
        <v>0.28996899999999998</v>
      </c>
      <c r="N913">
        <v>21163.680724999998</v>
      </c>
      <c r="O913">
        <f t="shared" si="17"/>
        <v>72986.011349489083</v>
      </c>
    </row>
    <row r="914" spans="12:15" x14ac:dyDescent="0.55000000000000004">
      <c r="L914">
        <v>909</v>
      </c>
      <c r="M914">
        <v>0.28992400000000002</v>
      </c>
      <c r="N914">
        <v>21142.938146</v>
      </c>
      <c r="O914">
        <f t="shared" si="17"/>
        <v>72925.794849684738</v>
      </c>
    </row>
    <row r="915" spans="12:15" x14ac:dyDescent="0.55000000000000004">
      <c r="L915">
        <v>910</v>
      </c>
      <c r="M915">
        <v>0.28987499999999999</v>
      </c>
      <c r="N915">
        <v>21121.343702999999</v>
      </c>
      <c r="O915">
        <f t="shared" si="17"/>
        <v>72863.626401034926</v>
      </c>
    </row>
    <row r="916" spans="12:15" x14ac:dyDescent="0.55000000000000004">
      <c r="L916">
        <v>911</v>
      </c>
      <c r="M916">
        <v>0.28982000000000002</v>
      </c>
      <c r="N916">
        <v>21098.872414000001</v>
      </c>
      <c r="O916">
        <f t="shared" si="17"/>
        <v>72799.918618452837</v>
      </c>
    </row>
    <row r="917" spans="12:15" x14ac:dyDescent="0.55000000000000004">
      <c r="L917">
        <v>912</v>
      </c>
      <c r="M917">
        <v>0.28976099999999999</v>
      </c>
      <c r="N917">
        <v>21075.499081999998</v>
      </c>
      <c r="O917">
        <f t="shared" si="17"/>
        <v>72734.077677810332</v>
      </c>
    </row>
    <row r="918" spans="12:15" x14ac:dyDescent="0.55000000000000004">
      <c r="L918">
        <v>913</v>
      </c>
      <c r="M918">
        <v>0.28969600000000001</v>
      </c>
      <c r="N918">
        <v>21051.198314000001</v>
      </c>
      <c r="O918">
        <f t="shared" si="17"/>
        <v>72666.513565944988</v>
      </c>
    </row>
    <row r="919" spans="12:15" x14ac:dyDescent="0.55000000000000004">
      <c r="L919">
        <v>914</v>
      </c>
      <c r="M919">
        <v>0.28962500000000002</v>
      </c>
      <c r="N919">
        <v>21025.944553000001</v>
      </c>
      <c r="O919">
        <f t="shared" si="17"/>
        <v>72597.132681916264</v>
      </c>
    </row>
    <row r="920" spans="12:15" x14ac:dyDescent="0.55000000000000004">
      <c r="L920">
        <v>915</v>
      </c>
      <c r="M920">
        <v>0.289547</v>
      </c>
      <c r="N920">
        <v>20999.712104999999</v>
      </c>
      <c r="O920">
        <f t="shared" si="17"/>
        <v>72526.091118194963</v>
      </c>
    </row>
    <row r="921" spans="12:15" x14ac:dyDescent="0.55000000000000004">
      <c r="L921">
        <v>916</v>
      </c>
      <c r="M921">
        <v>0.289462</v>
      </c>
      <c r="N921">
        <v>20972.475169000001</v>
      </c>
      <c r="O921">
        <f t="shared" si="17"/>
        <v>72453.293244018219</v>
      </c>
    </row>
    <row r="922" spans="12:15" x14ac:dyDescent="0.55000000000000004">
      <c r="L922">
        <v>917</v>
      </c>
      <c r="M922">
        <v>0.28936899999999999</v>
      </c>
      <c r="N922">
        <v>20944.207864</v>
      </c>
      <c r="O922">
        <f t="shared" si="17"/>
        <v>72378.892915274278</v>
      </c>
    </row>
    <row r="923" spans="12:15" x14ac:dyDescent="0.55000000000000004">
      <c r="L923">
        <v>918</v>
      </c>
      <c r="M923">
        <v>0.28926800000000003</v>
      </c>
      <c r="N923">
        <v>20914.884268000002</v>
      </c>
      <c r="O923">
        <f t="shared" si="17"/>
        <v>72302.792801139425</v>
      </c>
    </row>
    <row r="924" spans="12:15" x14ac:dyDescent="0.55000000000000004">
      <c r="L924">
        <v>919</v>
      </c>
      <c r="M924">
        <v>0.28915800000000003</v>
      </c>
      <c r="N924">
        <v>20884.478446000001</v>
      </c>
      <c r="O924">
        <f t="shared" si="17"/>
        <v>72225.144889645104</v>
      </c>
    </row>
    <row r="925" spans="12:15" x14ac:dyDescent="0.55000000000000004">
      <c r="L925">
        <v>920</v>
      </c>
      <c r="M925">
        <v>0.28903899999999999</v>
      </c>
      <c r="N925">
        <v>20852.964488000001</v>
      </c>
      <c r="O925">
        <f t="shared" si="17"/>
        <v>72145.850518442152</v>
      </c>
    </row>
    <row r="926" spans="12:15" x14ac:dyDescent="0.55000000000000004">
      <c r="L926">
        <v>921</v>
      </c>
      <c r="M926">
        <v>0.28890900000000003</v>
      </c>
      <c r="N926">
        <v>20820.316544000001</v>
      </c>
      <c r="O926">
        <f t="shared" si="17"/>
        <v>72065.309644213223</v>
      </c>
    </row>
    <row r="927" spans="12:15" x14ac:dyDescent="0.55000000000000004">
      <c r="L927">
        <v>922</v>
      </c>
      <c r="M927">
        <v>0.28876800000000002</v>
      </c>
      <c r="N927">
        <v>20786.508860000002</v>
      </c>
      <c r="O927">
        <f t="shared" si="17"/>
        <v>71983.422193594859</v>
      </c>
    </row>
    <row r="928" spans="12:15" x14ac:dyDescent="0.55000000000000004">
      <c r="L928">
        <v>923</v>
      </c>
      <c r="M928">
        <v>0.28861500000000001</v>
      </c>
      <c r="N928">
        <v>20751.515821000001</v>
      </c>
      <c r="O928">
        <f t="shared" si="17"/>
        <v>71900.337200076232</v>
      </c>
    </row>
    <row r="929" spans="12:15" x14ac:dyDescent="0.55000000000000004">
      <c r="L929">
        <v>924</v>
      </c>
      <c r="M929">
        <v>0.28844999999999998</v>
      </c>
      <c r="N929">
        <v>20715.311983</v>
      </c>
      <c r="O929">
        <f t="shared" si="17"/>
        <v>71815.954179233842</v>
      </c>
    </row>
    <row r="930" spans="12:15" x14ac:dyDescent="0.55000000000000004">
      <c r="L930">
        <v>925</v>
      </c>
      <c r="M930">
        <v>0.288271</v>
      </c>
      <c r="N930">
        <v>20677.872124000001</v>
      </c>
      <c r="O930">
        <f t="shared" si="17"/>
        <v>71730.670528773277</v>
      </c>
    </row>
    <row r="931" spans="12:15" x14ac:dyDescent="0.55000000000000004">
      <c r="L931">
        <v>926</v>
      </c>
      <c r="M931">
        <v>0.288078</v>
      </c>
      <c r="N931">
        <v>20639.171274</v>
      </c>
      <c r="O931">
        <f t="shared" si="17"/>
        <v>71644.385458105098</v>
      </c>
    </row>
    <row r="932" spans="12:15" x14ac:dyDescent="0.55000000000000004">
      <c r="L932">
        <v>927</v>
      </c>
      <c r="M932">
        <v>0.28786899999999999</v>
      </c>
      <c r="N932">
        <v>20599.184767999999</v>
      </c>
      <c r="O932">
        <f t="shared" si="17"/>
        <v>71557.495833174122</v>
      </c>
    </row>
    <row r="933" spans="12:15" x14ac:dyDescent="0.55000000000000004">
      <c r="L933">
        <v>928</v>
      </c>
      <c r="M933">
        <v>0.28764400000000001</v>
      </c>
      <c r="N933">
        <v>20557.888282</v>
      </c>
      <c r="O933">
        <f t="shared" si="17"/>
        <v>71469.901273796771</v>
      </c>
    </row>
    <row r="934" spans="12:15" x14ac:dyDescent="0.55000000000000004">
      <c r="L934">
        <v>929</v>
      </c>
      <c r="M934">
        <v>0.28740100000000002</v>
      </c>
      <c r="N934">
        <v>20515.257882999998</v>
      </c>
      <c r="O934">
        <f t="shared" si="17"/>
        <v>71381.998959641744</v>
      </c>
    </row>
    <row r="935" spans="12:15" x14ac:dyDescent="0.55000000000000004">
      <c r="L935">
        <v>930</v>
      </c>
      <c r="M935">
        <v>0.28714000000000001</v>
      </c>
      <c r="N935">
        <v>20471.270069999999</v>
      </c>
      <c r="O935">
        <f t="shared" si="17"/>
        <v>71293.689733231164</v>
      </c>
    </row>
    <row r="936" spans="12:15" x14ac:dyDescent="0.55000000000000004">
      <c r="L936">
        <v>931</v>
      </c>
      <c r="M936">
        <v>0.28686</v>
      </c>
      <c r="N936">
        <v>20425.901823</v>
      </c>
      <c r="O936">
        <f t="shared" si="17"/>
        <v>71205.123833925958</v>
      </c>
    </row>
    <row r="937" spans="12:15" x14ac:dyDescent="0.55000000000000004">
      <c r="L937">
        <v>932</v>
      </c>
      <c r="M937">
        <v>0.28655900000000001</v>
      </c>
      <c r="N937">
        <v>20379.130646000001</v>
      </c>
      <c r="O937">
        <f t="shared" si="17"/>
        <v>71116.700735276158</v>
      </c>
    </row>
    <row r="938" spans="12:15" x14ac:dyDescent="0.55000000000000004">
      <c r="L938">
        <v>933</v>
      </c>
      <c r="M938">
        <v>0.28623599999999999</v>
      </c>
      <c r="N938">
        <v>20330.934616999999</v>
      </c>
      <c r="O938">
        <f t="shared" si="17"/>
        <v>71028.572985228966</v>
      </c>
    </row>
    <row r="939" spans="12:15" x14ac:dyDescent="0.55000000000000004">
      <c r="L939">
        <v>934</v>
      </c>
      <c r="M939">
        <v>0.285889</v>
      </c>
      <c r="N939">
        <v>20281.292433999999</v>
      </c>
      <c r="O939">
        <f t="shared" si="17"/>
        <v>70941.143010049345</v>
      </c>
    </row>
    <row r="940" spans="12:15" x14ac:dyDescent="0.55000000000000004">
      <c r="L940">
        <v>935</v>
      </c>
      <c r="M940">
        <v>0.28551900000000002</v>
      </c>
      <c r="N940">
        <v>20230.183462000001</v>
      </c>
      <c r="O940">
        <f t="shared" si="17"/>
        <v>70854.070874442681</v>
      </c>
    </row>
    <row r="941" spans="12:15" x14ac:dyDescent="0.55000000000000004">
      <c r="L941">
        <v>936</v>
      </c>
      <c r="M941">
        <v>0.28512199999999999</v>
      </c>
      <c r="N941">
        <v>20177.587781999999</v>
      </c>
      <c r="O941">
        <f t="shared" si="17"/>
        <v>70768.259839647595</v>
      </c>
    </row>
    <row r="942" spans="12:15" x14ac:dyDescent="0.55000000000000004">
      <c r="L942">
        <v>937</v>
      </c>
      <c r="M942">
        <v>0.28469899999999998</v>
      </c>
      <c r="N942">
        <v>20123.486239999998</v>
      </c>
      <c r="O942">
        <f t="shared" si="17"/>
        <v>70683.375213822321</v>
      </c>
    </row>
    <row r="943" spans="12:15" x14ac:dyDescent="0.55000000000000004">
      <c r="L943">
        <v>938</v>
      </c>
      <c r="M943">
        <v>0.28424700000000003</v>
      </c>
      <c r="N943">
        <v>20067.860490999999</v>
      </c>
      <c r="O943">
        <f t="shared" si="17"/>
        <v>70600.078421232232</v>
      </c>
    </row>
    <row r="944" spans="12:15" x14ac:dyDescent="0.55000000000000004">
      <c r="L944">
        <v>939</v>
      </c>
      <c r="M944">
        <v>0.28376499999999999</v>
      </c>
      <c r="N944">
        <v>20010.693051999999</v>
      </c>
      <c r="O944">
        <f t="shared" si="17"/>
        <v>70518.538410304303</v>
      </c>
    </row>
    <row r="945" spans="12:15" x14ac:dyDescent="0.55000000000000004">
      <c r="L945">
        <v>940</v>
      </c>
      <c r="M945">
        <v>0.283252</v>
      </c>
      <c r="N945">
        <v>19951.967345000001</v>
      </c>
      <c r="O945">
        <f t="shared" si="17"/>
        <v>70438.928392385584</v>
      </c>
    </row>
    <row r="946" spans="12:15" x14ac:dyDescent="0.55000000000000004">
      <c r="L946">
        <v>941</v>
      </c>
      <c r="M946">
        <v>0.28270600000000001</v>
      </c>
      <c r="N946">
        <v>19891.667750000001</v>
      </c>
      <c r="O946">
        <f t="shared" si="17"/>
        <v>70361.675203214647</v>
      </c>
    </row>
    <row r="947" spans="12:15" x14ac:dyDescent="0.55000000000000004">
      <c r="L947">
        <v>942</v>
      </c>
      <c r="M947">
        <v>0.28212599999999999</v>
      </c>
      <c r="N947">
        <v>19829.779644999999</v>
      </c>
      <c r="O947">
        <f t="shared" si="17"/>
        <v>70286.962722329743</v>
      </c>
    </row>
    <row r="948" spans="12:15" x14ac:dyDescent="0.55000000000000004">
      <c r="L948">
        <v>943</v>
      </c>
      <c r="M948">
        <v>0.28150999999999998</v>
      </c>
      <c r="N948">
        <v>19766.289457999999</v>
      </c>
      <c r="O948">
        <f t="shared" si="17"/>
        <v>70215.230215622898</v>
      </c>
    </row>
    <row r="949" spans="12:15" x14ac:dyDescent="0.55000000000000004">
      <c r="L949">
        <v>944</v>
      </c>
      <c r="M949">
        <v>0.28085700000000002</v>
      </c>
      <c r="N949">
        <v>19701.184711000002</v>
      </c>
      <c r="O949">
        <f t="shared" si="17"/>
        <v>70146.67503747459</v>
      </c>
    </row>
    <row r="950" spans="12:15" x14ac:dyDescent="0.55000000000000004">
      <c r="L950">
        <v>945</v>
      </c>
      <c r="M950">
        <v>0.280165</v>
      </c>
      <c r="N950">
        <v>19634.454064000001</v>
      </c>
      <c r="O950">
        <f t="shared" si="17"/>
        <v>70081.752053254342</v>
      </c>
    </row>
    <row r="951" spans="12:15" x14ac:dyDescent="0.55000000000000004">
      <c r="L951">
        <v>946</v>
      </c>
      <c r="M951">
        <v>0.27943200000000001</v>
      </c>
      <c r="N951">
        <v>19566.087361000002</v>
      </c>
      <c r="O951">
        <f t="shared" si="17"/>
        <v>70020.925881788775</v>
      </c>
    </row>
    <row r="952" spans="12:15" x14ac:dyDescent="0.55000000000000004">
      <c r="L952">
        <v>947</v>
      </c>
      <c r="M952">
        <v>0.27865800000000002</v>
      </c>
      <c r="N952">
        <v>19496.075671999999</v>
      </c>
      <c r="O952">
        <f t="shared" si="17"/>
        <v>69964.169957438862</v>
      </c>
    </row>
    <row r="953" spans="12:15" x14ac:dyDescent="0.55000000000000004">
      <c r="L953">
        <v>948</v>
      </c>
      <c r="M953">
        <v>0.27783999999999998</v>
      </c>
      <c r="N953">
        <v>19424.411334</v>
      </c>
      <c r="O953">
        <f t="shared" si="17"/>
        <v>69912.220465015838</v>
      </c>
    </row>
    <row r="954" spans="12:15" x14ac:dyDescent="0.55000000000000004">
      <c r="L954">
        <v>949</v>
      </c>
      <c r="M954">
        <v>0.276978</v>
      </c>
      <c r="N954">
        <v>19351.087992000001</v>
      </c>
      <c r="O954">
        <f t="shared" si="17"/>
        <v>69865.072287329676</v>
      </c>
    </row>
    <row r="955" spans="12:15" x14ac:dyDescent="0.55000000000000004">
      <c r="L955">
        <v>950</v>
      </c>
      <c r="M955">
        <v>0.27606900000000001</v>
      </c>
      <c r="N955">
        <v>19276.100642000001</v>
      </c>
      <c r="O955">
        <f t="shared" si="17"/>
        <v>69823.488482951725</v>
      </c>
    </row>
    <row r="956" spans="12:15" x14ac:dyDescent="0.55000000000000004">
      <c r="L956">
        <v>951</v>
      </c>
      <c r="M956">
        <v>0.27511200000000002</v>
      </c>
      <c r="N956">
        <v>19199.445661000002</v>
      </c>
      <c r="O956">
        <f t="shared" si="17"/>
        <v>69787.743395417143</v>
      </c>
    </row>
    <row r="957" spans="12:15" x14ac:dyDescent="0.55000000000000004">
      <c r="L957">
        <v>952</v>
      </c>
      <c r="M957">
        <v>0.27410499999999999</v>
      </c>
      <c r="N957">
        <v>19121.120851</v>
      </c>
      <c r="O957">
        <f t="shared" si="17"/>
        <v>69758.380368836762</v>
      </c>
    </row>
    <row r="958" spans="12:15" x14ac:dyDescent="0.55000000000000004">
      <c r="L958">
        <v>953</v>
      </c>
      <c r="M958">
        <v>0.27304699999999998</v>
      </c>
      <c r="N958">
        <v>19041.125468999999</v>
      </c>
      <c r="O958">
        <f t="shared" si="17"/>
        <v>69735.706559676531</v>
      </c>
    </row>
    <row r="959" spans="12:15" x14ac:dyDescent="0.55000000000000004">
      <c r="L959">
        <v>954</v>
      </c>
      <c r="M959">
        <v>0.27193800000000001</v>
      </c>
      <c r="N959">
        <v>18959.46026</v>
      </c>
      <c r="O959">
        <f t="shared" si="17"/>
        <v>69719.790025667608</v>
      </c>
    </row>
    <row r="960" spans="12:15" x14ac:dyDescent="0.55000000000000004">
      <c r="L960">
        <v>955</v>
      </c>
      <c r="M960">
        <v>0.27077400000000001</v>
      </c>
      <c r="N960">
        <v>18876.127487000002</v>
      </c>
      <c r="O960">
        <f t="shared" si="17"/>
        <v>69711.74295537977</v>
      </c>
    </row>
    <row r="961" spans="12:15" x14ac:dyDescent="0.55000000000000004">
      <c r="L961">
        <v>956</v>
      </c>
      <c r="M961">
        <v>0.26955499999999999</v>
      </c>
      <c r="N961">
        <v>18791.130960999999</v>
      </c>
      <c r="O961">
        <f t="shared" si="17"/>
        <v>69711.6765075773</v>
      </c>
    </row>
    <row r="962" spans="12:15" x14ac:dyDescent="0.55000000000000004">
      <c r="L962">
        <v>957</v>
      </c>
      <c r="M962">
        <v>0.26828000000000002</v>
      </c>
      <c r="N962">
        <v>18704.476067</v>
      </c>
      <c r="O962">
        <f t="shared" si="17"/>
        <v>69719.979376025047</v>
      </c>
    </row>
    <row r="963" spans="12:15" x14ac:dyDescent="0.55000000000000004">
      <c r="L963">
        <v>958</v>
      </c>
      <c r="M963">
        <v>0.26694800000000002</v>
      </c>
      <c r="N963">
        <v>18616.169785999999</v>
      </c>
      <c r="O963">
        <f t="shared" si="17"/>
        <v>69737.064094879897</v>
      </c>
    </row>
    <row r="964" spans="12:15" x14ac:dyDescent="0.55000000000000004">
      <c r="L964">
        <v>959</v>
      </c>
      <c r="M964">
        <v>0.26555600000000001</v>
      </c>
      <c r="N964">
        <v>18526.220719000001</v>
      </c>
      <c r="O964">
        <f t="shared" si="17"/>
        <v>69763.894316076461</v>
      </c>
    </row>
    <row r="965" spans="12:15" x14ac:dyDescent="0.55000000000000004">
      <c r="L965">
        <v>960</v>
      </c>
      <c r="M965">
        <v>0.26410499999999998</v>
      </c>
      <c r="N965">
        <v>18434.639103000001</v>
      </c>
      <c r="O965">
        <f t="shared" si="17"/>
        <v>69800.41689100927</v>
      </c>
    </row>
    <row r="966" spans="12:15" x14ac:dyDescent="0.55000000000000004">
      <c r="L966">
        <v>961</v>
      </c>
      <c r="M966">
        <v>0.26259399999999999</v>
      </c>
      <c r="N966">
        <v>18341.436828999998</v>
      </c>
      <c r="O966">
        <f t="shared" ref="O966:O1004" si="18">N966/M966</f>
        <v>69847.128376885987</v>
      </c>
    </row>
    <row r="967" spans="12:15" x14ac:dyDescent="0.55000000000000004">
      <c r="L967">
        <v>962</v>
      </c>
      <c r="M967">
        <v>0.26101999999999997</v>
      </c>
      <c r="N967">
        <v>18246.627456999999</v>
      </c>
      <c r="O967">
        <f t="shared" si="18"/>
        <v>69905.093314688536</v>
      </c>
    </row>
    <row r="968" spans="12:15" x14ac:dyDescent="0.55000000000000004">
      <c r="L968">
        <v>963</v>
      </c>
      <c r="M968">
        <v>0.25938499999999998</v>
      </c>
      <c r="N968">
        <v>18150.226225999999</v>
      </c>
      <c r="O968">
        <f t="shared" si="18"/>
        <v>69974.078015305437</v>
      </c>
    </row>
    <row r="969" spans="12:15" x14ac:dyDescent="0.55000000000000004">
      <c r="L969">
        <v>964</v>
      </c>
      <c r="M969">
        <v>0.25768600000000003</v>
      </c>
      <c r="N969">
        <v>18052.250059000002</v>
      </c>
      <c r="O969">
        <f t="shared" si="18"/>
        <v>70055.22247619195</v>
      </c>
    </row>
    <row r="970" spans="12:15" x14ac:dyDescent="0.55000000000000004">
      <c r="L970">
        <v>965</v>
      </c>
      <c r="M970">
        <v>0.25592300000000001</v>
      </c>
      <c r="N970">
        <v>17952.717573000002</v>
      </c>
      <c r="O970">
        <f t="shared" si="18"/>
        <v>70148.902494109556</v>
      </c>
    </row>
    <row r="971" spans="12:15" x14ac:dyDescent="0.55000000000000004">
      <c r="L971">
        <v>966</v>
      </c>
      <c r="M971">
        <v>0.25409599999999999</v>
      </c>
      <c r="N971">
        <v>17851.649078999999</v>
      </c>
      <c r="O971">
        <f t="shared" si="18"/>
        <v>70255.529717114783</v>
      </c>
    </row>
    <row r="972" spans="12:15" x14ac:dyDescent="0.55000000000000004">
      <c r="L972">
        <v>967</v>
      </c>
      <c r="M972">
        <v>0.25220500000000001</v>
      </c>
      <c r="N972">
        <v>17749.066581999999</v>
      </c>
      <c r="O972">
        <f t="shared" si="18"/>
        <v>70375.553942229526</v>
      </c>
    </row>
    <row r="973" spans="12:15" x14ac:dyDescent="0.55000000000000004">
      <c r="L973">
        <v>968</v>
      </c>
      <c r="M973">
        <v>0.250249</v>
      </c>
      <c r="N973">
        <v>17644.993774999999</v>
      </c>
      <c r="O973">
        <f t="shared" si="18"/>
        <v>70509.747391597964</v>
      </c>
    </row>
    <row r="974" spans="12:15" x14ac:dyDescent="0.55000000000000004">
      <c r="L974">
        <v>969</v>
      </c>
      <c r="M974">
        <v>0.248227</v>
      </c>
      <c r="N974">
        <v>17539.456034999999</v>
      </c>
      <c r="O974">
        <f t="shared" si="18"/>
        <v>70658.937323498249</v>
      </c>
    </row>
    <row r="975" spans="12:15" x14ac:dyDescent="0.55000000000000004">
      <c r="L975">
        <v>970</v>
      </c>
      <c r="M975">
        <v>0.246141</v>
      </c>
      <c r="N975">
        <v>17432.480412000001</v>
      </c>
      <c r="O975">
        <f t="shared" si="18"/>
        <v>70823.147756773556</v>
      </c>
    </row>
    <row r="976" spans="12:15" x14ac:dyDescent="0.55000000000000004">
      <c r="L976">
        <v>971</v>
      </c>
      <c r="M976">
        <v>0.24399100000000001</v>
      </c>
      <c r="N976">
        <v>17324.095614999998</v>
      </c>
      <c r="O976">
        <f t="shared" si="18"/>
        <v>71003.010828268249</v>
      </c>
    </row>
    <row r="977" spans="12:15" x14ac:dyDescent="0.55000000000000004">
      <c r="L977">
        <v>972</v>
      </c>
      <c r="M977">
        <v>0.24177599999999999</v>
      </c>
      <c r="N977">
        <v>17214.331998000001</v>
      </c>
      <c r="O977">
        <f t="shared" si="18"/>
        <v>71199.50697339687</v>
      </c>
    </row>
    <row r="978" spans="12:15" x14ac:dyDescent="0.55000000000000004">
      <c r="L978">
        <v>973</v>
      </c>
      <c r="M978">
        <v>0.23949699999999999</v>
      </c>
      <c r="N978">
        <v>17103.221535000001</v>
      </c>
      <c r="O978">
        <f t="shared" si="18"/>
        <v>71413.093003252652</v>
      </c>
    </row>
    <row r="979" spans="12:15" x14ac:dyDescent="0.55000000000000004">
      <c r="L979">
        <v>974</v>
      </c>
      <c r="M979">
        <v>0.237154</v>
      </c>
      <c r="N979">
        <v>16990.797806999999</v>
      </c>
      <c r="O979">
        <f t="shared" si="18"/>
        <v>71644.576127748209</v>
      </c>
    </row>
    <row r="980" spans="12:15" x14ac:dyDescent="0.55000000000000004">
      <c r="L980">
        <v>975</v>
      </c>
      <c r="M980">
        <v>0.23474900000000001</v>
      </c>
      <c r="N980">
        <v>16877.095967000001</v>
      </c>
      <c r="O980">
        <f t="shared" si="18"/>
        <v>71894.218791134364</v>
      </c>
    </row>
    <row r="981" spans="12:15" x14ac:dyDescent="0.55000000000000004">
      <c r="L981">
        <v>976</v>
      </c>
      <c r="M981">
        <v>0.23228299999999999</v>
      </c>
      <c r="N981">
        <v>16762.152714</v>
      </c>
      <c r="O981">
        <f t="shared" si="18"/>
        <v>72162.632280450998</v>
      </c>
    </row>
    <row r="982" spans="12:15" x14ac:dyDescent="0.55000000000000004">
      <c r="L982">
        <v>977</v>
      </c>
      <c r="M982">
        <v>0.22975599999999999</v>
      </c>
      <c r="N982">
        <v>16646.006266</v>
      </c>
      <c r="O982">
        <f t="shared" si="18"/>
        <v>72450.801136858237</v>
      </c>
    </row>
    <row r="983" spans="12:15" x14ac:dyDescent="0.55000000000000004">
      <c r="L983">
        <v>978</v>
      </c>
      <c r="M983">
        <v>0.22716900000000001</v>
      </c>
      <c r="N983">
        <v>16528.696315000001</v>
      </c>
      <c r="O983">
        <f t="shared" si="18"/>
        <v>72759.471208659641</v>
      </c>
    </row>
    <row r="984" spans="12:15" x14ac:dyDescent="0.55000000000000004">
      <c r="L984">
        <v>979</v>
      </c>
      <c r="M984">
        <v>0.224525</v>
      </c>
      <c r="N984">
        <v>16410.263999999999</v>
      </c>
      <c r="O984">
        <f t="shared" si="18"/>
        <v>73088.805255539468</v>
      </c>
    </row>
    <row r="985" spans="12:15" x14ac:dyDescent="0.55000000000000004">
      <c r="L985">
        <v>980</v>
      </c>
      <c r="M985">
        <v>0.22182399999999999</v>
      </c>
      <c r="N985">
        <v>16290.751856999999</v>
      </c>
      <c r="O985">
        <f t="shared" si="18"/>
        <v>73439.98781466388</v>
      </c>
    </row>
    <row r="986" spans="12:15" x14ac:dyDescent="0.55000000000000004">
      <c r="L986">
        <v>981</v>
      </c>
      <c r="M986">
        <v>0.21906800000000001</v>
      </c>
      <c r="N986">
        <v>16170.20378</v>
      </c>
      <c r="O986">
        <f t="shared" si="18"/>
        <v>73813.627640732549</v>
      </c>
    </row>
    <row r="987" spans="12:15" x14ac:dyDescent="0.55000000000000004">
      <c r="L987">
        <v>982</v>
      </c>
      <c r="M987">
        <v>0.21626000000000001</v>
      </c>
      <c r="N987">
        <v>16048.664973999999</v>
      </c>
      <c r="O987">
        <f t="shared" si="18"/>
        <v>74210.047970036059</v>
      </c>
    </row>
    <row r="988" spans="12:15" x14ac:dyDescent="0.55000000000000004">
      <c r="L988">
        <v>983</v>
      </c>
      <c r="M988">
        <v>0.21340000000000001</v>
      </c>
      <c r="N988">
        <v>15926.181902</v>
      </c>
      <c r="O988">
        <f t="shared" si="18"/>
        <v>74630.655585754444</v>
      </c>
    </row>
    <row r="989" spans="12:15" x14ac:dyDescent="0.55000000000000004">
      <c r="L989">
        <v>984</v>
      </c>
      <c r="M989">
        <v>0.21049200000000001</v>
      </c>
      <c r="N989">
        <v>15802.802236</v>
      </c>
      <c r="O989">
        <f t="shared" si="18"/>
        <v>75075.547935313443</v>
      </c>
    </row>
    <row r="990" spans="12:15" x14ac:dyDescent="0.55000000000000004">
      <c r="L990">
        <v>985</v>
      </c>
      <c r="M990">
        <v>0.207537</v>
      </c>
      <c r="N990">
        <v>15678.574803</v>
      </c>
      <c r="O990">
        <f t="shared" si="18"/>
        <v>75545.925801182442</v>
      </c>
    </row>
    <row r="991" spans="12:15" x14ac:dyDescent="0.55000000000000004">
      <c r="L991">
        <v>986</v>
      </c>
      <c r="M991">
        <v>0.204538</v>
      </c>
      <c r="N991">
        <v>15553.549526000001</v>
      </c>
      <c r="O991">
        <f t="shared" si="18"/>
        <v>76042.346781527158</v>
      </c>
    </row>
    <row r="992" spans="12:15" x14ac:dyDescent="0.55000000000000004">
      <c r="L992">
        <v>987</v>
      </c>
      <c r="M992">
        <v>0.20149800000000001</v>
      </c>
      <c r="N992">
        <v>15427.777362000001</v>
      </c>
      <c r="O992">
        <f t="shared" si="18"/>
        <v>76565.411875055826</v>
      </c>
    </row>
    <row r="993" spans="12:15" x14ac:dyDescent="0.55000000000000004">
      <c r="L993">
        <v>988</v>
      </c>
      <c r="M993">
        <v>0.19841800000000001</v>
      </c>
      <c r="N993">
        <v>15301.310245000001</v>
      </c>
      <c r="O993">
        <f t="shared" si="18"/>
        <v>77116.543080768883</v>
      </c>
    </row>
    <row r="994" spans="12:15" x14ac:dyDescent="0.55000000000000004">
      <c r="L994">
        <v>989</v>
      </c>
      <c r="M994">
        <v>0.195303</v>
      </c>
      <c r="N994">
        <v>15174.201021000001</v>
      </c>
      <c r="O994">
        <f t="shared" si="18"/>
        <v>77695.688345801143</v>
      </c>
    </row>
    <row r="995" spans="12:15" x14ac:dyDescent="0.55000000000000004">
      <c r="L995">
        <v>990</v>
      </c>
      <c r="M995">
        <v>0.19215399999999999</v>
      </c>
      <c r="N995">
        <v>15046.503377999999</v>
      </c>
      <c r="O995">
        <f t="shared" si="18"/>
        <v>78304.398440833917</v>
      </c>
    </row>
    <row r="996" spans="12:15" x14ac:dyDescent="0.55000000000000004">
      <c r="L996">
        <v>991</v>
      </c>
      <c r="M996">
        <v>0.188975</v>
      </c>
      <c r="N996">
        <v>14918.271784</v>
      </c>
      <c r="O996">
        <f t="shared" si="18"/>
        <v>78943.097150416725</v>
      </c>
    </row>
    <row r="997" spans="12:15" x14ac:dyDescent="0.55000000000000004">
      <c r="L997">
        <v>992</v>
      </c>
      <c r="M997">
        <v>0.18576899999999999</v>
      </c>
      <c r="N997">
        <v>14789.561412999999</v>
      </c>
      <c r="O997">
        <f t="shared" si="18"/>
        <v>79612.64480618402</v>
      </c>
    </row>
    <row r="998" spans="12:15" x14ac:dyDescent="0.55000000000000004">
      <c r="L998">
        <v>993</v>
      </c>
      <c r="M998">
        <v>0.18253900000000001</v>
      </c>
      <c r="N998">
        <v>14660.428076</v>
      </c>
      <c r="O998">
        <f t="shared" si="18"/>
        <v>80313.949764159988</v>
      </c>
    </row>
    <row r="999" spans="12:15" x14ac:dyDescent="0.55000000000000004">
      <c r="L999">
        <v>994</v>
      </c>
      <c r="M999">
        <v>0.179288</v>
      </c>
      <c r="N999">
        <v>14530.928148999999</v>
      </c>
      <c r="O999">
        <f t="shared" si="18"/>
        <v>81047.968347017086</v>
      </c>
    </row>
    <row r="1000" spans="12:15" x14ac:dyDescent="0.55000000000000004">
      <c r="L1000">
        <v>995</v>
      </c>
      <c r="M1000">
        <v>0.17602000000000001</v>
      </c>
      <c r="N1000">
        <v>14401.118498</v>
      </c>
      <c r="O1000">
        <f t="shared" si="18"/>
        <v>81815.239734121118</v>
      </c>
    </row>
    <row r="1001" spans="12:15" x14ac:dyDescent="0.55000000000000004">
      <c r="L1001">
        <v>996</v>
      </c>
      <c r="M1001">
        <v>0.172738</v>
      </c>
      <c r="N1001">
        <v>14271.056404000001</v>
      </c>
      <c r="O1001">
        <f t="shared" si="18"/>
        <v>82616.774560316786</v>
      </c>
    </row>
    <row r="1002" spans="12:15" x14ac:dyDescent="0.55000000000000004">
      <c r="L1002">
        <v>997</v>
      </c>
      <c r="M1002">
        <v>0.16944500000000001</v>
      </c>
      <c r="N1002">
        <v>14140.799489999999</v>
      </c>
      <c r="O1002">
        <f t="shared" si="18"/>
        <v>83453.625011065524</v>
      </c>
    </row>
    <row r="1003" spans="12:15" x14ac:dyDescent="0.55000000000000004">
      <c r="L1003">
        <v>998</v>
      </c>
      <c r="M1003">
        <v>0.16614499999999999</v>
      </c>
      <c r="N1003">
        <v>14010.405683999999</v>
      </c>
      <c r="O1003">
        <f t="shared" si="18"/>
        <v>84326.375659815225</v>
      </c>
    </row>
    <row r="1004" spans="12:15" x14ac:dyDescent="0.55000000000000004">
      <c r="L1004">
        <v>999</v>
      </c>
      <c r="M1004">
        <v>0.16284100000000001</v>
      </c>
      <c r="N1004">
        <v>13879.932306000001</v>
      </c>
      <c r="O1004">
        <f t="shared" si="18"/>
        <v>85236.103352349834</v>
      </c>
    </row>
    <row r="1005" spans="12:15" x14ac:dyDescent="0.55000000000000004">
      <c r="L1005">
        <v>1000</v>
      </c>
      <c r="M1005">
        <v>0.15953899999999999</v>
      </c>
      <c r="N1005">
        <v>13749.444764</v>
      </c>
    </row>
    <row r="1006" spans="12:15" x14ac:dyDescent="0.55000000000000004">
      <c r="L1006">
        <v>1001</v>
      </c>
      <c r="M1006">
        <v>0.15623200000000001</v>
      </c>
      <c r="N1006">
        <v>13618.959718</v>
      </c>
    </row>
    <row r="1007" spans="12:15" x14ac:dyDescent="0.55000000000000004">
      <c r="L1007">
        <v>1002</v>
      </c>
      <c r="M1007">
        <v>0.15292500000000001</v>
      </c>
      <c r="N1007">
        <v>13488.542907999999</v>
      </c>
    </row>
    <row r="1008" spans="12:15" x14ac:dyDescent="0.55000000000000004">
      <c r="L1008">
        <v>1003</v>
      </c>
      <c r="M1008">
        <v>0.149621</v>
      </c>
      <c r="N1008">
        <v>13358.251935</v>
      </c>
    </row>
    <row r="1009" spans="12:14" x14ac:dyDescent="0.55000000000000004">
      <c r="L1009">
        <v>1004</v>
      </c>
      <c r="M1009">
        <v>0.14632600000000001</v>
      </c>
      <c r="N1009">
        <v>13228.145017000001</v>
      </c>
    </row>
    <row r="1010" spans="12:14" x14ac:dyDescent="0.55000000000000004">
      <c r="L1010">
        <v>1005</v>
      </c>
      <c r="M1010">
        <v>0.143041</v>
      </c>
      <c r="N1010">
        <v>13098.280075000001</v>
      </c>
    </row>
    <row r="1011" spans="12:14" x14ac:dyDescent="0.55000000000000004">
      <c r="L1011">
        <v>1006</v>
      </c>
      <c r="M1011">
        <v>0.13977100000000001</v>
      </c>
      <c r="N1011">
        <v>12968.714694</v>
      </c>
    </row>
    <row r="1012" spans="12:14" x14ac:dyDescent="0.55000000000000004">
      <c r="L1012">
        <v>1007</v>
      </c>
      <c r="M1012">
        <v>0.136518</v>
      </c>
      <c r="N1012">
        <v>12839.506049</v>
      </c>
    </row>
    <row r="1013" spans="12:14" x14ac:dyDescent="0.55000000000000004">
      <c r="L1013">
        <v>1008</v>
      </c>
      <c r="M1013">
        <v>0.13328799999999999</v>
      </c>
      <c r="N1013">
        <v>12710.710829</v>
      </c>
    </row>
    <row r="1014" spans="12:14" x14ac:dyDescent="0.55000000000000004">
      <c r="L1014">
        <v>1009</v>
      </c>
      <c r="M1014">
        <v>0.130082</v>
      </c>
      <c r="N1014">
        <v>12582.385162</v>
      </c>
    </row>
    <row r="1015" spans="12:14" x14ac:dyDescent="0.55000000000000004">
      <c r="L1015">
        <v>1010</v>
      </c>
      <c r="M1015">
        <v>0.12690399999999999</v>
      </c>
      <c r="N1015">
        <v>12454.584545</v>
      </c>
    </row>
    <row r="1016" spans="12:14" x14ac:dyDescent="0.55000000000000004">
      <c r="L1016">
        <v>1011</v>
      </c>
      <c r="M1016">
        <v>0.12375700000000001</v>
      </c>
      <c r="N1016">
        <v>12327.363769</v>
      </c>
    </row>
    <row r="1017" spans="12:14" x14ac:dyDescent="0.55000000000000004">
      <c r="L1017">
        <v>1012</v>
      </c>
      <c r="M1017">
        <v>0.120645</v>
      </c>
      <c r="N1017">
        <v>12200.776851000001</v>
      </c>
    </row>
    <row r="1018" spans="12:14" x14ac:dyDescent="0.55000000000000004">
      <c r="L1018">
        <v>1013</v>
      </c>
      <c r="M1018">
        <v>0.11756900000000001</v>
      </c>
      <c r="N1018">
        <v>12074.876964999999</v>
      </c>
    </row>
    <row r="1019" spans="12:14" x14ac:dyDescent="0.55000000000000004">
      <c r="L1019">
        <v>1014</v>
      </c>
      <c r="M1019">
        <v>0.114534</v>
      </c>
      <c r="N1019">
        <v>11949.716376</v>
      </c>
    </row>
    <row r="1020" spans="12:14" x14ac:dyDescent="0.55000000000000004">
      <c r="L1020">
        <v>1015</v>
      </c>
      <c r="M1020">
        <v>0.111541</v>
      </c>
      <c r="N1020">
        <v>11825.346374999999</v>
      </c>
    </row>
    <row r="1021" spans="12:14" x14ac:dyDescent="0.55000000000000004">
      <c r="L1021">
        <v>1016</v>
      </c>
      <c r="M1021">
        <v>0.108594</v>
      </c>
      <c r="N1021">
        <v>11701.817218</v>
      </c>
    </row>
    <row r="1022" spans="12:14" x14ac:dyDescent="0.55000000000000004">
      <c r="L1022">
        <v>1017</v>
      </c>
      <c r="M1022">
        <v>0.105694</v>
      </c>
      <c r="N1022">
        <v>11579.178062999999</v>
      </c>
    </row>
    <row r="1023" spans="12:14" x14ac:dyDescent="0.55000000000000004">
      <c r="L1023">
        <v>1018</v>
      </c>
      <c r="M1023">
        <v>0.102844</v>
      </c>
      <c r="N1023">
        <v>11457.476917</v>
      </c>
    </row>
    <row r="1024" spans="12:14" x14ac:dyDescent="0.55000000000000004">
      <c r="L1024">
        <v>1019</v>
      </c>
      <c r="M1024">
        <v>0.100047</v>
      </c>
      <c r="N1024">
        <v>11336.760576000001</v>
      </c>
    </row>
    <row r="1025" spans="12:14" x14ac:dyDescent="0.55000000000000004">
      <c r="L1025">
        <v>1020</v>
      </c>
      <c r="M1025">
        <v>9.7303000000000001E-2</v>
      </c>
      <c r="N1025">
        <v>11217.074575000001</v>
      </c>
    </row>
    <row r="1026" spans="12:14" x14ac:dyDescent="0.55000000000000004">
      <c r="L1026">
        <v>1021</v>
      </c>
      <c r="M1026">
        <v>9.4615000000000005E-2</v>
      </c>
      <c r="N1026">
        <v>11098.463137000001</v>
      </c>
    </row>
    <row r="1027" spans="12:14" x14ac:dyDescent="0.55000000000000004">
      <c r="L1027">
        <v>1022</v>
      </c>
      <c r="M1027">
        <v>9.1984999999999997E-2</v>
      </c>
      <c r="N1027">
        <v>10980.969128000001</v>
      </c>
    </row>
    <row r="1028" spans="12:14" x14ac:dyDescent="0.55000000000000004">
      <c r="L1028">
        <v>1023</v>
      </c>
      <c r="M1028">
        <v>8.9413999999999993E-2</v>
      </c>
      <c r="N1028">
        <v>10864.63401</v>
      </c>
    </row>
    <row r="1029" spans="12:14" x14ac:dyDescent="0.55000000000000004">
      <c r="L1029">
        <v>1024</v>
      </c>
      <c r="M1029">
        <v>8.6902999999999994E-2</v>
      </c>
      <c r="N1029">
        <v>10749.497798</v>
      </c>
    </row>
    <row r="1030" spans="12:14" x14ac:dyDescent="0.55000000000000004">
      <c r="L1030">
        <v>1025</v>
      </c>
      <c r="M1030">
        <v>8.4454000000000001E-2</v>
      </c>
      <c r="N1030">
        <v>10635.599028000001</v>
      </c>
    </row>
    <row r="1031" spans="12:14" x14ac:dyDescent="0.55000000000000004">
      <c r="L1031">
        <v>1026</v>
      </c>
      <c r="M1031">
        <v>8.2068000000000002E-2</v>
      </c>
      <c r="N1031">
        <v>10522.974716000001</v>
      </c>
    </row>
    <row r="1032" spans="12:14" x14ac:dyDescent="0.55000000000000004">
      <c r="L1032">
        <v>1027</v>
      </c>
      <c r="M1032">
        <v>7.9744999999999996E-2</v>
      </c>
      <c r="N1032">
        <v>10411.660325000001</v>
      </c>
    </row>
    <row r="1033" spans="12:14" x14ac:dyDescent="0.55000000000000004">
      <c r="L1033">
        <v>1028</v>
      </c>
      <c r="M1033">
        <v>7.7485999999999999E-2</v>
      </c>
      <c r="N1033">
        <v>10301.689742</v>
      </c>
    </row>
    <row r="1034" spans="12:14" x14ac:dyDescent="0.55000000000000004">
      <c r="L1034">
        <v>1029</v>
      </c>
      <c r="M1034">
        <v>7.5291999999999998E-2</v>
      </c>
      <c r="N1034">
        <v>10193.095244</v>
      </c>
    </row>
    <row r="1035" spans="12:14" x14ac:dyDescent="0.55000000000000004">
      <c r="L1035">
        <v>1030</v>
      </c>
      <c r="M1035">
        <v>7.3163000000000006E-2</v>
      </c>
      <c r="N1035">
        <v>10085.907481</v>
      </c>
    </row>
    <row r="1036" spans="12:14" x14ac:dyDescent="0.55000000000000004">
      <c r="L1036">
        <v>1031</v>
      </c>
      <c r="M1036">
        <v>7.1098999999999996E-2</v>
      </c>
      <c r="N1036">
        <v>9980.1554539999997</v>
      </c>
    </row>
    <row r="1037" spans="12:14" x14ac:dyDescent="0.55000000000000004">
      <c r="L1037">
        <v>1032</v>
      </c>
      <c r="M1037">
        <v>6.9100999999999996E-2</v>
      </c>
      <c r="N1037">
        <v>9875.8664989999997</v>
      </c>
    </row>
    <row r="1038" spans="12:14" x14ac:dyDescent="0.55000000000000004">
      <c r="L1038">
        <v>1033</v>
      </c>
      <c r="M1038">
        <v>6.7169000000000006E-2</v>
      </c>
      <c r="N1038">
        <v>9773.0662709999997</v>
      </c>
    </row>
    <row r="1039" spans="12:14" x14ac:dyDescent="0.55000000000000004">
      <c r="L1039">
        <v>1034</v>
      </c>
      <c r="M1039">
        <v>6.5301999999999999E-2</v>
      </c>
      <c r="N1039">
        <v>9671.7787380000009</v>
      </c>
    </row>
    <row r="1040" spans="12:14" x14ac:dyDescent="0.55000000000000004">
      <c r="L1040">
        <v>1035</v>
      </c>
      <c r="M1040">
        <v>6.3499E-2</v>
      </c>
      <c r="N1040">
        <v>9572.0261719999999</v>
      </c>
    </row>
    <row r="1041" spans="12:14" x14ac:dyDescent="0.55000000000000004">
      <c r="L1041">
        <v>1036</v>
      </c>
      <c r="M1041">
        <v>6.1761999999999997E-2</v>
      </c>
      <c r="N1041">
        <v>9473.8291430000008</v>
      </c>
    </row>
    <row r="1042" spans="12:14" x14ac:dyDescent="0.55000000000000004">
      <c r="L1042">
        <v>1037</v>
      </c>
      <c r="M1042">
        <v>6.0088000000000003E-2</v>
      </c>
      <c r="N1042">
        <v>9377.2065210000001</v>
      </c>
    </row>
    <row r="1043" spans="12:14" x14ac:dyDescent="0.55000000000000004">
      <c r="L1043">
        <v>1038</v>
      </c>
      <c r="M1043">
        <v>5.8477000000000001E-2</v>
      </c>
      <c r="N1043">
        <v>9282.1754760000003</v>
      </c>
    </row>
    <row r="1044" spans="12:14" x14ac:dyDescent="0.55000000000000004">
      <c r="L1044">
        <v>1039</v>
      </c>
      <c r="M1044">
        <v>5.6930000000000001E-2</v>
      </c>
      <c r="N1044">
        <v>9188.7514859999992</v>
      </c>
    </row>
    <row r="1045" spans="12:14" x14ac:dyDescent="0.55000000000000004">
      <c r="L1045">
        <v>1040</v>
      </c>
      <c r="M1045">
        <v>5.5444E-2</v>
      </c>
      <c r="N1045">
        <v>9096.9483400000008</v>
      </c>
    </row>
    <row r="1046" spans="12:14" x14ac:dyDescent="0.55000000000000004">
      <c r="L1046">
        <v>1041</v>
      </c>
      <c r="M1046">
        <v>5.4017999999999997E-2</v>
      </c>
      <c r="N1046">
        <v>9006.778155</v>
      </c>
    </row>
    <row r="1047" spans="12:14" x14ac:dyDescent="0.55000000000000004">
      <c r="L1047">
        <v>1042</v>
      </c>
      <c r="M1047">
        <v>5.2652999999999998E-2</v>
      </c>
      <c r="N1047">
        <v>8918.2513830000007</v>
      </c>
    </row>
    <row r="1048" spans="12:14" x14ac:dyDescent="0.55000000000000004">
      <c r="L1048">
        <v>1043</v>
      </c>
      <c r="M1048">
        <v>5.1346000000000003E-2</v>
      </c>
      <c r="N1048">
        <v>8831.3768330000003</v>
      </c>
    </row>
    <row r="1049" spans="12:14" x14ac:dyDescent="0.55000000000000004">
      <c r="L1049">
        <v>1044</v>
      </c>
      <c r="M1049">
        <v>5.0096000000000002E-2</v>
      </c>
      <c r="N1049">
        <v>8746.1616859999995</v>
      </c>
    </row>
    <row r="1050" spans="12:14" x14ac:dyDescent="0.55000000000000004">
      <c r="L1050">
        <v>1045</v>
      </c>
      <c r="M1050">
        <v>4.8903000000000002E-2</v>
      </c>
      <c r="N1050">
        <v>8662.6115179999997</v>
      </c>
    </row>
    <row r="1051" spans="12:14" x14ac:dyDescent="0.55000000000000004">
      <c r="L1051">
        <v>1046</v>
      </c>
      <c r="M1051">
        <v>4.7764000000000001E-2</v>
      </c>
      <c r="N1051">
        <v>8580.7303260000008</v>
      </c>
    </row>
    <row r="1052" spans="12:14" x14ac:dyDescent="0.55000000000000004">
      <c r="L1052">
        <v>1047</v>
      </c>
      <c r="M1052">
        <v>4.6678999999999998E-2</v>
      </c>
      <c r="N1052">
        <v>8500.5205470000001</v>
      </c>
    </row>
    <row r="1053" spans="12:14" x14ac:dyDescent="0.55000000000000004">
      <c r="L1053">
        <v>1048</v>
      </c>
      <c r="M1053">
        <v>4.5645999999999999E-2</v>
      </c>
      <c r="N1053">
        <v>8421.9830949999996</v>
      </c>
    </row>
    <row r="1054" spans="12:14" x14ac:dyDescent="0.55000000000000004">
      <c r="L1054">
        <v>1049</v>
      </c>
      <c r="M1054">
        <v>4.4663000000000001E-2</v>
      </c>
      <c r="N1054">
        <v>8345.1173859999999</v>
      </c>
    </row>
    <row r="1055" spans="12:14" x14ac:dyDescent="0.55000000000000004">
      <c r="L1055">
        <v>1050</v>
      </c>
      <c r="M1055">
        <v>4.3728999999999997E-2</v>
      </c>
      <c r="N1055">
        <v>8269.9213729999992</v>
      </c>
    </row>
    <row r="1056" spans="12:14" x14ac:dyDescent="0.55000000000000004">
      <c r="L1056">
        <v>1051</v>
      </c>
      <c r="M1056">
        <v>4.2842999999999999E-2</v>
      </c>
      <c r="N1056">
        <v>8196.3915780000007</v>
      </c>
    </row>
    <row r="1057" spans="12:14" x14ac:dyDescent="0.55000000000000004">
      <c r="L1057">
        <v>1052</v>
      </c>
      <c r="M1057">
        <v>4.2002999999999999E-2</v>
      </c>
      <c r="N1057">
        <v>8124.5231309999999</v>
      </c>
    </row>
    <row r="1058" spans="12:14" x14ac:dyDescent="0.55000000000000004">
      <c r="L1058">
        <v>1053</v>
      </c>
      <c r="M1058">
        <v>4.1207000000000001E-2</v>
      </c>
      <c r="N1058">
        <v>8054.3098040000004</v>
      </c>
    </row>
    <row r="1059" spans="12:14" x14ac:dyDescent="0.55000000000000004">
      <c r="L1059">
        <v>1054</v>
      </c>
      <c r="M1059">
        <v>4.0454999999999998E-2</v>
      </c>
      <c r="N1059">
        <v>7985.7440539999998</v>
      </c>
    </row>
    <row r="1060" spans="12:14" x14ac:dyDescent="0.55000000000000004">
      <c r="L1060">
        <v>1055</v>
      </c>
      <c r="M1060">
        <v>3.9743000000000001E-2</v>
      </c>
      <c r="N1060">
        <v>7918.8170630000004</v>
      </c>
    </row>
    <row r="1061" spans="12:14" x14ac:dyDescent="0.55000000000000004">
      <c r="L1061">
        <v>1056</v>
      </c>
      <c r="M1061">
        <v>3.9071000000000002E-2</v>
      </c>
      <c r="N1061">
        <v>7853.518779</v>
      </c>
    </row>
    <row r="1062" spans="12:14" x14ac:dyDescent="0.55000000000000004">
      <c r="L1062">
        <v>1057</v>
      </c>
      <c r="M1062">
        <v>3.8438E-2</v>
      </c>
      <c r="N1062">
        <v>7789.8379560000003</v>
      </c>
    </row>
    <row r="1063" spans="12:14" x14ac:dyDescent="0.55000000000000004">
      <c r="L1063">
        <v>1058</v>
      </c>
      <c r="M1063">
        <v>3.7841E-2</v>
      </c>
      <c r="N1063">
        <v>7727.7622069999998</v>
      </c>
    </row>
    <row r="1064" spans="12:14" x14ac:dyDescent="0.55000000000000004">
      <c r="L1064">
        <v>1059</v>
      </c>
      <c r="M1064">
        <v>3.7279E-2</v>
      </c>
      <c r="N1064">
        <v>7667.2780389999998</v>
      </c>
    </row>
    <row r="1065" spans="12:14" x14ac:dyDescent="0.55000000000000004">
      <c r="L1065">
        <v>1060</v>
      </c>
      <c r="M1065">
        <v>3.6750999999999999E-2</v>
      </c>
      <c r="N1065">
        <v>7608.3709070000004</v>
      </c>
    </row>
    <row r="1066" spans="12:14" x14ac:dyDescent="0.55000000000000004">
      <c r="L1066">
        <v>1061</v>
      </c>
      <c r="M1066">
        <v>3.6255000000000003E-2</v>
      </c>
      <c r="N1066">
        <v>7551.0252549999996</v>
      </c>
    </row>
    <row r="1067" spans="12:14" x14ac:dyDescent="0.55000000000000004">
      <c r="L1067">
        <v>1062</v>
      </c>
      <c r="M1067">
        <v>3.5790000000000002E-2</v>
      </c>
      <c r="N1067">
        <v>7495.2245659999999</v>
      </c>
    </row>
    <row r="1068" spans="12:14" x14ac:dyDescent="0.55000000000000004">
      <c r="L1068">
        <v>1063</v>
      </c>
      <c r="M1068">
        <v>3.5353999999999997E-2</v>
      </c>
      <c r="N1068">
        <v>7440.9514090000002</v>
      </c>
    </row>
    <row r="1069" spans="12:14" x14ac:dyDescent="0.55000000000000004">
      <c r="L1069">
        <v>1064</v>
      </c>
      <c r="M1069">
        <v>3.4945999999999998E-2</v>
      </c>
      <c r="N1069">
        <v>7388.1874870000001</v>
      </c>
    </row>
    <row r="1070" spans="12:14" x14ac:dyDescent="0.55000000000000004">
      <c r="L1070">
        <v>1065</v>
      </c>
      <c r="M1070">
        <v>3.4563999999999998E-2</v>
      </c>
      <c r="N1070">
        <v>7336.9136840000001</v>
      </c>
    </row>
    <row r="1071" spans="12:14" x14ac:dyDescent="0.55000000000000004">
      <c r="L1071">
        <v>1066</v>
      </c>
      <c r="M1071">
        <v>3.4207000000000001E-2</v>
      </c>
      <c r="N1071">
        <v>7287.1101150000004</v>
      </c>
    </row>
    <row r="1072" spans="12:14" x14ac:dyDescent="0.55000000000000004">
      <c r="L1072">
        <v>1067</v>
      </c>
      <c r="M1072">
        <v>3.3874000000000001E-2</v>
      </c>
      <c r="N1072">
        <v>7238.7561740000001</v>
      </c>
    </row>
    <row r="1073" spans="12:14" x14ac:dyDescent="0.55000000000000004">
      <c r="L1073">
        <v>1068</v>
      </c>
      <c r="M1073">
        <v>3.3563999999999997E-2</v>
      </c>
      <c r="N1073">
        <v>7191.8305790000004</v>
      </c>
    </row>
    <row r="1074" spans="12:14" x14ac:dyDescent="0.55000000000000004">
      <c r="L1074">
        <v>1069</v>
      </c>
      <c r="M1074">
        <v>3.3273999999999998E-2</v>
      </c>
      <c r="N1074">
        <v>7146.3114249999999</v>
      </c>
    </row>
    <row r="1075" spans="12:14" x14ac:dyDescent="0.55000000000000004">
      <c r="L1075">
        <v>1070</v>
      </c>
      <c r="M1075">
        <v>3.3005E-2</v>
      </c>
      <c r="N1075">
        <v>7102.1762259999996</v>
      </c>
    </row>
    <row r="1076" spans="12:14" x14ac:dyDescent="0.55000000000000004">
      <c r="L1076">
        <v>1071</v>
      </c>
      <c r="M1076">
        <v>3.2754999999999999E-2</v>
      </c>
      <c r="N1076">
        <v>7059.4019660000004</v>
      </c>
    </row>
    <row r="1077" spans="12:14" x14ac:dyDescent="0.55000000000000004">
      <c r="L1077">
        <v>1072</v>
      </c>
      <c r="M1077">
        <v>3.2523000000000003E-2</v>
      </c>
      <c r="N1077">
        <v>7017.9651459999995</v>
      </c>
    </row>
    <row r="1078" spans="12:14" x14ac:dyDescent="0.55000000000000004">
      <c r="L1078">
        <v>1073</v>
      </c>
      <c r="M1078">
        <v>3.2308000000000003E-2</v>
      </c>
      <c r="N1078">
        <v>6977.8418270000002</v>
      </c>
    </row>
    <row r="1079" spans="12:14" x14ac:dyDescent="0.55000000000000004">
      <c r="L1079">
        <v>1074</v>
      </c>
      <c r="M1079">
        <v>3.2108999999999999E-2</v>
      </c>
      <c r="N1079">
        <v>6939.0076760000002</v>
      </c>
    </row>
    <row r="1080" spans="12:14" x14ac:dyDescent="0.55000000000000004">
      <c r="L1080">
        <v>1075</v>
      </c>
      <c r="M1080">
        <v>3.1924000000000001E-2</v>
      </c>
      <c r="N1080">
        <v>6901.4380119999996</v>
      </c>
    </row>
    <row r="1081" spans="12:14" x14ac:dyDescent="0.55000000000000004">
      <c r="L1081">
        <v>1076</v>
      </c>
      <c r="M1081">
        <v>3.1753000000000003E-2</v>
      </c>
      <c r="N1081">
        <v>6865.1078500000003</v>
      </c>
    </row>
    <row r="1082" spans="12:14" x14ac:dyDescent="0.55000000000000004">
      <c r="L1082">
        <v>1077</v>
      </c>
      <c r="M1082">
        <v>3.1595999999999999E-2</v>
      </c>
      <c r="N1082">
        <v>6829.9919440000003</v>
      </c>
    </row>
    <row r="1083" spans="12:14" x14ac:dyDescent="0.55000000000000004">
      <c r="L1083">
        <v>1078</v>
      </c>
      <c r="M1083">
        <v>3.1449999999999999E-2</v>
      </c>
      <c r="N1083">
        <v>6796.064824</v>
      </c>
    </row>
    <row r="1084" spans="12:14" x14ac:dyDescent="0.55000000000000004">
      <c r="L1084">
        <v>1079</v>
      </c>
      <c r="M1084">
        <v>3.1315999999999997E-2</v>
      </c>
      <c r="N1084">
        <v>6763.3008449999998</v>
      </c>
    </row>
    <row r="1085" spans="12:14" x14ac:dyDescent="0.55000000000000004">
      <c r="L1085">
        <v>1080</v>
      </c>
      <c r="M1085">
        <v>3.1192999999999999E-2</v>
      </c>
      <c r="N1085">
        <v>6731.6742210000002</v>
      </c>
    </row>
    <row r="1086" spans="12:14" x14ac:dyDescent="0.55000000000000004">
      <c r="L1086">
        <v>1081</v>
      </c>
      <c r="M1086">
        <v>3.1078999999999999E-2</v>
      </c>
      <c r="N1086">
        <v>6701.1590660000002</v>
      </c>
    </row>
    <row r="1087" spans="12:14" x14ac:dyDescent="0.55000000000000004">
      <c r="L1087">
        <v>1082</v>
      </c>
      <c r="M1087">
        <v>3.0974999999999999E-2</v>
      </c>
      <c r="N1087">
        <v>6671.7294279999996</v>
      </c>
    </row>
    <row r="1088" spans="12:14" x14ac:dyDescent="0.55000000000000004">
      <c r="L1088">
        <v>1083</v>
      </c>
      <c r="M1088">
        <v>3.0879E-2</v>
      </c>
      <c r="N1088">
        <v>6643.3593339999998</v>
      </c>
    </row>
    <row r="1089" spans="12:14" x14ac:dyDescent="0.55000000000000004">
      <c r="L1089">
        <v>1084</v>
      </c>
      <c r="M1089">
        <v>3.0790999999999999E-2</v>
      </c>
      <c r="N1089">
        <v>6616.0228129999996</v>
      </c>
    </row>
    <row r="1090" spans="12:14" x14ac:dyDescent="0.55000000000000004">
      <c r="L1090">
        <v>1085</v>
      </c>
      <c r="M1090">
        <v>3.0710999999999999E-2</v>
      </c>
      <c r="N1090">
        <v>6589.6939410000005</v>
      </c>
    </row>
    <row r="1091" spans="12:14" x14ac:dyDescent="0.55000000000000004">
      <c r="L1091">
        <v>1086</v>
      </c>
      <c r="M1091">
        <v>3.0637999999999999E-2</v>
      </c>
      <c r="N1091">
        <v>6564.3468659999999</v>
      </c>
    </row>
    <row r="1092" spans="12:14" x14ac:dyDescent="0.55000000000000004">
      <c r="L1092">
        <v>1087</v>
      </c>
      <c r="M1092">
        <v>3.057E-2</v>
      </c>
      <c r="N1092">
        <v>6539.9558429999997</v>
      </c>
    </row>
    <row r="1093" spans="12:14" x14ac:dyDescent="0.55000000000000004">
      <c r="L1093">
        <v>1088</v>
      </c>
      <c r="M1093">
        <v>3.0509000000000001E-2</v>
      </c>
      <c r="N1093">
        <v>6516.495261</v>
      </c>
    </row>
    <row r="1094" spans="12:14" x14ac:dyDescent="0.55000000000000004">
      <c r="L1094">
        <v>1089</v>
      </c>
      <c r="M1094">
        <v>3.0453000000000001E-2</v>
      </c>
      <c r="N1094">
        <v>6493.9396740000002</v>
      </c>
    </row>
    <row r="1095" spans="12:14" x14ac:dyDescent="0.55000000000000004">
      <c r="L1095">
        <v>1090</v>
      </c>
      <c r="M1095">
        <v>3.0401999999999998E-2</v>
      </c>
      <c r="N1095">
        <v>6472.2638269999998</v>
      </c>
    </row>
    <row r="1096" spans="12:14" x14ac:dyDescent="0.55000000000000004">
      <c r="L1096">
        <v>1091</v>
      </c>
      <c r="M1096">
        <v>3.0356000000000001E-2</v>
      </c>
      <c r="N1096">
        <v>6451.4426830000002</v>
      </c>
    </row>
    <row r="1097" spans="12:14" x14ac:dyDescent="0.55000000000000004">
      <c r="L1097">
        <v>1092</v>
      </c>
      <c r="M1097">
        <v>3.0313E-2</v>
      </c>
      <c r="N1097">
        <v>6431.4514429999999</v>
      </c>
    </row>
    <row r="1098" spans="12:14" x14ac:dyDescent="0.55000000000000004">
      <c r="L1098">
        <v>1093</v>
      </c>
      <c r="M1098">
        <v>3.0275E-2</v>
      </c>
      <c r="N1098">
        <v>6412.2655750000004</v>
      </c>
    </row>
    <row r="1099" spans="12:14" x14ac:dyDescent="0.55000000000000004">
      <c r="L1099">
        <v>1094</v>
      </c>
      <c r="M1099">
        <v>3.024E-2</v>
      </c>
      <c r="N1099">
        <v>6393.860831</v>
      </c>
    </row>
    <row r="1100" spans="12:14" x14ac:dyDescent="0.55000000000000004">
      <c r="L1100">
        <v>1095</v>
      </c>
      <c r="M1100">
        <v>3.0209E-2</v>
      </c>
      <c r="N1100">
        <v>6376.2132689999999</v>
      </c>
    </row>
    <row r="1101" spans="12:14" x14ac:dyDescent="0.55000000000000004">
      <c r="L1101">
        <v>1096</v>
      </c>
      <c r="M1101">
        <v>3.0179999999999998E-2</v>
      </c>
      <c r="N1101">
        <v>6359.2992709999999</v>
      </c>
    </row>
    <row r="1102" spans="12:14" x14ac:dyDescent="0.55000000000000004">
      <c r="L1102">
        <v>1097</v>
      </c>
      <c r="M1102">
        <v>3.0154E-2</v>
      </c>
      <c r="N1102">
        <v>6343.0955620000004</v>
      </c>
    </row>
    <row r="1103" spans="12:14" x14ac:dyDescent="0.55000000000000004">
      <c r="L1103">
        <v>1098</v>
      </c>
      <c r="M1103">
        <v>3.0131000000000002E-2</v>
      </c>
      <c r="N1103">
        <v>6327.5792240000001</v>
      </c>
    </row>
    <row r="1104" spans="12:14" x14ac:dyDescent="0.55000000000000004">
      <c r="L1104">
        <v>1099</v>
      </c>
      <c r="M1104">
        <v>3.0110000000000001E-2</v>
      </c>
      <c r="N1104">
        <v>6312.7277139999997</v>
      </c>
    </row>
    <row r="1105" spans="12:14" x14ac:dyDescent="0.55000000000000004">
      <c r="L1105">
        <v>1100</v>
      </c>
      <c r="M1105">
        <v>3.0091E-2</v>
      </c>
      <c r="N1105">
        <v>6298.5188740000003</v>
      </c>
    </row>
    <row r="1106" spans="12:14" x14ac:dyDescent="0.55000000000000004">
      <c r="L1106">
        <v>1101</v>
      </c>
      <c r="M1106">
        <v>3.0074E-2</v>
      </c>
      <c r="N1106">
        <v>6284.9309450000001</v>
      </c>
    </row>
    <row r="1107" spans="12:14" x14ac:dyDescent="0.55000000000000004">
      <c r="L1107">
        <v>1102</v>
      </c>
      <c r="M1107">
        <v>3.0058000000000001E-2</v>
      </c>
      <c r="N1107">
        <v>6271.9425789999996</v>
      </c>
    </row>
    <row r="1108" spans="12:14" x14ac:dyDescent="0.55000000000000004">
      <c r="L1108">
        <v>1103</v>
      </c>
      <c r="M1108">
        <v>3.0044999999999999E-2</v>
      </c>
      <c r="N1108">
        <v>6259.5328460000001</v>
      </c>
    </row>
    <row r="1109" spans="12:14" x14ac:dyDescent="0.55000000000000004">
      <c r="L1109">
        <v>1104</v>
      </c>
      <c r="M1109">
        <v>3.0032E-2</v>
      </c>
      <c r="N1109">
        <v>6247.6812470000004</v>
      </c>
    </row>
    <row r="1110" spans="12:14" x14ac:dyDescent="0.55000000000000004">
      <c r="L1110">
        <v>1105</v>
      </c>
      <c r="M1110">
        <v>3.0020999999999999E-2</v>
      </c>
      <c r="N1110">
        <v>6236.3677170000001</v>
      </c>
    </row>
    <row r="1111" spans="12:14" x14ac:dyDescent="0.55000000000000004">
      <c r="L1111">
        <v>1106</v>
      </c>
      <c r="M1111">
        <v>3.0010999999999999E-2</v>
      </c>
      <c r="N1111">
        <v>6225.5726359999999</v>
      </c>
    </row>
    <row r="1112" spans="12:14" x14ac:dyDescent="0.55000000000000004">
      <c r="L1112">
        <v>1107</v>
      </c>
      <c r="M1112">
        <v>3.0002000000000001E-2</v>
      </c>
      <c r="N1112">
        <v>6215.2768299999998</v>
      </c>
    </row>
    <row r="1113" spans="12:14" x14ac:dyDescent="0.55000000000000004">
      <c r="L1113">
        <v>1108</v>
      </c>
      <c r="M1113">
        <v>2.9994E-2</v>
      </c>
      <c r="N1113">
        <v>6205.4615789999998</v>
      </c>
    </row>
    <row r="1114" spans="12:14" x14ac:dyDescent="0.55000000000000004">
      <c r="L1114">
        <v>1109</v>
      </c>
      <c r="M1114">
        <v>2.9987E-2</v>
      </c>
      <c r="N1114">
        <v>6196.1086169999999</v>
      </c>
    </row>
    <row r="1115" spans="12:14" x14ac:dyDescent="0.55000000000000004">
      <c r="L1115">
        <v>1110</v>
      </c>
      <c r="M1115">
        <v>2.9981000000000001E-2</v>
      </c>
      <c r="N1115">
        <v>6187.2001389999996</v>
      </c>
    </row>
    <row r="1116" spans="12:14" x14ac:dyDescent="0.55000000000000004">
      <c r="L1116">
        <v>1111</v>
      </c>
      <c r="M1116">
        <v>2.9975000000000002E-2</v>
      </c>
      <c r="N1116">
        <v>6178.7187979999999</v>
      </c>
    </row>
    <row r="1117" spans="12:14" x14ac:dyDescent="0.55000000000000004">
      <c r="L1117">
        <v>1112</v>
      </c>
      <c r="M1117">
        <v>2.997E-2</v>
      </c>
      <c r="N1117">
        <v>6170.6477080000004</v>
      </c>
    </row>
    <row r="1118" spans="12:14" x14ac:dyDescent="0.55000000000000004">
      <c r="L1118">
        <v>1113</v>
      </c>
      <c r="M1118">
        <v>2.9964999999999999E-2</v>
      </c>
      <c r="N1118">
        <v>6162.9704439999996</v>
      </c>
    </row>
    <row r="1119" spans="12:14" x14ac:dyDescent="0.55000000000000004">
      <c r="L1119">
        <v>1114</v>
      </c>
      <c r="M1119">
        <v>2.9961000000000002E-2</v>
      </c>
      <c r="N1119">
        <v>6155.6710389999998</v>
      </c>
    </row>
    <row r="1120" spans="12:14" x14ac:dyDescent="0.55000000000000004">
      <c r="L1120">
        <v>1115</v>
      </c>
      <c r="M1120">
        <v>2.9957999999999999E-2</v>
      </c>
      <c r="N1120">
        <v>6148.7339840000004</v>
      </c>
    </row>
    <row r="1121" spans="12:14" x14ac:dyDescent="0.55000000000000004">
      <c r="L1121">
        <v>1116</v>
      </c>
      <c r="M1121">
        <v>2.9954999999999999E-2</v>
      </c>
      <c r="N1121">
        <v>6142.1442280000001</v>
      </c>
    </row>
    <row r="1122" spans="12:14" x14ac:dyDescent="0.55000000000000004">
      <c r="L1122">
        <v>1117</v>
      </c>
      <c r="M1122">
        <v>2.9951999999999999E-2</v>
      </c>
      <c r="N1122">
        <v>6135.8871680000002</v>
      </c>
    </row>
    <row r="1123" spans="12:14" x14ac:dyDescent="0.55000000000000004">
      <c r="L1123">
        <v>1118</v>
      </c>
      <c r="M1123">
        <v>2.9949E-2</v>
      </c>
      <c r="N1123">
        <v>6129.948652</v>
      </c>
    </row>
    <row r="1124" spans="12:14" x14ac:dyDescent="0.55000000000000004">
      <c r="L1124">
        <v>1119</v>
      </c>
      <c r="M1124">
        <v>2.9947000000000001E-2</v>
      </c>
      <c r="N1124">
        <v>6124.3149729999996</v>
      </c>
    </row>
    <row r="1125" spans="12:14" x14ac:dyDescent="0.55000000000000004">
      <c r="L1125">
        <v>1120</v>
      </c>
      <c r="M1125">
        <v>2.9944999999999999E-2</v>
      </c>
      <c r="N1125">
        <v>6118.9728590000004</v>
      </c>
    </row>
    <row r="1126" spans="12:14" x14ac:dyDescent="0.55000000000000004">
      <c r="L1126">
        <v>1121</v>
      </c>
      <c r="M1126">
        <v>2.9943999999999998E-2</v>
      </c>
      <c r="N1126">
        <v>6113.9094779999996</v>
      </c>
    </row>
    <row r="1127" spans="12:14" x14ac:dyDescent="0.55000000000000004">
      <c r="L1127">
        <v>1122</v>
      </c>
      <c r="M1127">
        <v>2.9942E-2</v>
      </c>
      <c r="N1127">
        <v>6109.1124200000004</v>
      </c>
    </row>
    <row r="1128" spans="12:14" x14ac:dyDescent="0.55000000000000004">
      <c r="L1128">
        <v>1123</v>
      </c>
      <c r="M1128">
        <v>2.9940999999999999E-2</v>
      </c>
      <c r="N1128">
        <v>6104.5697010000004</v>
      </c>
    </row>
    <row r="1129" spans="12:14" x14ac:dyDescent="0.55000000000000004">
      <c r="L1129">
        <v>1124</v>
      </c>
      <c r="M1129">
        <v>2.9940000000000001E-2</v>
      </c>
      <c r="N1129">
        <v>6100.2697509999998</v>
      </c>
    </row>
    <row r="1130" spans="12:14" x14ac:dyDescent="0.55000000000000004">
      <c r="L1130">
        <v>1125</v>
      </c>
      <c r="M1130">
        <v>2.9939E-2</v>
      </c>
      <c r="N1130">
        <v>6096.2014060000001</v>
      </c>
    </row>
    <row r="1131" spans="12:14" x14ac:dyDescent="0.55000000000000004">
      <c r="L1131">
        <v>1126</v>
      </c>
      <c r="M1131">
        <v>2.9937999999999999E-2</v>
      </c>
      <c r="N1131">
        <v>6092.3539060000003</v>
      </c>
    </row>
    <row r="1132" spans="12:14" x14ac:dyDescent="0.55000000000000004">
      <c r="L1132">
        <v>1127</v>
      </c>
      <c r="M1132">
        <v>2.9936999999999998E-2</v>
      </c>
      <c r="N1132">
        <v>6088.7168810000003</v>
      </c>
    </row>
    <row r="1133" spans="12:14" x14ac:dyDescent="0.55000000000000004">
      <c r="L1133">
        <v>1128</v>
      </c>
      <c r="M1133">
        <v>2.9936000000000001E-2</v>
      </c>
      <c r="N1133">
        <v>6085.2803480000002</v>
      </c>
    </row>
    <row r="1134" spans="12:14" x14ac:dyDescent="0.55000000000000004">
      <c r="L1134">
        <v>1129</v>
      </c>
      <c r="M1134">
        <v>2.9936000000000001E-2</v>
      </c>
      <c r="N1134">
        <v>6082.0346989999998</v>
      </c>
    </row>
    <row r="1135" spans="12:14" x14ac:dyDescent="0.55000000000000004">
      <c r="L1135">
        <v>1130</v>
      </c>
      <c r="M1135">
        <v>2.9935E-2</v>
      </c>
      <c r="N1135">
        <v>6078.9706960000003</v>
      </c>
    </row>
    <row r="1136" spans="12:14" x14ac:dyDescent="0.55000000000000004">
      <c r="L1136">
        <v>1131</v>
      </c>
      <c r="M1136">
        <v>2.9935E-2</v>
      </c>
      <c r="N1136">
        <v>6076.0794599999999</v>
      </c>
    </row>
    <row r="1137" spans="12:14" x14ac:dyDescent="0.55000000000000004">
      <c r="L1137">
        <v>1132</v>
      </c>
      <c r="M1137">
        <v>2.9933999999999999E-2</v>
      </c>
      <c r="N1137">
        <v>6073.3524639999996</v>
      </c>
    </row>
    <row r="1138" spans="12:14" x14ac:dyDescent="0.55000000000000004">
      <c r="L1138">
        <v>1133</v>
      </c>
      <c r="M1138">
        <v>2.9933999999999999E-2</v>
      </c>
      <c r="N1138">
        <v>6070.7815220000002</v>
      </c>
    </row>
    <row r="1139" spans="12:14" x14ac:dyDescent="0.55000000000000004">
      <c r="L1139">
        <v>1134</v>
      </c>
      <c r="M1139">
        <v>2.9933999999999999E-2</v>
      </c>
      <c r="N1139">
        <v>6068.3587829999997</v>
      </c>
    </row>
    <row r="1140" spans="12:14" x14ac:dyDescent="0.55000000000000004">
      <c r="L1140">
        <v>1135</v>
      </c>
      <c r="M1140">
        <v>2.9933000000000001E-2</v>
      </c>
      <c r="N1140">
        <v>6066.07672</v>
      </c>
    </row>
    <row r="1141" spans="12:14" x14ac:dyDescent="0.55000000000000004">
      <c r="L1141">
        <v>1136</v>
      </c>
      <c r="M1141">
        <v>2.9933000000000001E-2</v>
      </c>
      <c r="N1141">
        <v>6063.9281209999999</v>
      </c>
    </row>
    <row r="1142" spans="12:14" x14ac:dyDescent="0.55000000000000004">
      <c r="L1142">
        <v>1137</v>
      </c>
      <c r="M1142">
        <v>2.9933000000000001E-2</v>
      </c>
      <c r="N1142">
        <v>6061.9060799999997</v>
      </c>
    </row>
    <row r="1143" spans="12:14" x14ac:dyDescent="0.55000000000000004">
      <c r="L1143">
        <v>1138</v>
      </c>
      <c r="M1143">
        <v>2.9933000000000001E-2</v>
      </c>
      <c r="N1143">
        <v>6060.0039909999996</v>
      </c>
    </row>
    <row r="1144" spans="12:14" x14ac:dyDescent="0.55000000000000004">
      <c r="L1144">
        <v>1139</v>
      </c>
      <c r="M1144">
        <v>2.9933000000000001E-2</v>
      </c>
      <c r="N1144">
        <v>6058.2155329999996</v>
      </c>
    </row>
    <row r="1145" spans="12:14" x14ac:dyDescent="0.55000000000000004">
      <c r="L1145">
        <v>1140</v>
      </c>
      <c r="M1145">
        <v>2.9933000000000001E-2</v>
      </c>
      <c r="N1145">
        <v>6056.5346659999996</v>
      </c>
    </row>
    <row r="1146" spans="12:14" x14ac:dyDescent="0.55000000000000004">
      <c r="L1146">
        <v>1141</v>
      </c>
      <c r="M1146">
        <v>2.9932E-2</v>
      </c>
      <c r="N1146">
        <v>6054.9556210000001</v>
      </c>
    </row>
    <row r="1147" spans="12:14" x14ac:dyDescent="0.55000000000000004">
      <c r="L1147">
        <v>1142</v>
      </c>
      <c r="M1147">
        <v>2.9932E-2</v>
      </c>
      <c r="N1147">
        <v>6053.47289</v>
      </c>
    </row>
    <row r="1148" spans="12:14" x14ac:dyDescent="0.55000000000000004">
      <c r="L1148">
        <v>1143</v>
      </c>
      <c r="M1148">
        <v>2.9932E-2</v>
      </c>
      <c r="N1148">
        <v>6052.0812180000003</v>
      </c>
    </row>
    <row r="1149" spans="12:14" x14ac:dyDescent="0.55000000000000004">
      <c r="L1149">
        <v>1144</v>
      </c>
      <c r="M1149">
        <v>2.9932E-2</v>
      </c>
      <c r="N1149">
        <v>6050.7755939999997</v>
      </c>
    </row>
    <row r="1150" spans="12:14" x14ac:dyDescent="0.55000000000000004">
      <c r="L1150">
        <v>1145</v>
      </c>
      <c r="M1150">
        <v>2.9932E-2</v>
      </c>
      <c r="N1150">
        <v>6049.5512419999995</v>
      </c>
    </row>
    <row r="1151" spans="12:14" x14ac:dyDescent="0.55000000000000004">
      <c r="L1151">
        <v>1146</v>
      </c>
      <c r="M1151">
        <v>2.9932E-2</v>
      </c>
      <c r="N1151">
        <v>6048.4036150000002</v>
      </c>
    </row>
    <row r="1152" spans="12:14" x14ac:dyDescent="0.55000000000000004">
      <c r="L1152">
        <v>1147</v>
      </c>
      <c r="M1152">
        <v>2.9932E-2</v>
      </c>
      <c r="N1152">
        <v>6047.328383</v>
      </c>
    </row>
    <row r="1153" spans="12:14" x14ac:dyDescent="0.55000000000000004">
      <c r="L1153">
        <v>1148</v>
      </c>
      <c r="M1153">
        <v>2.9932E-2</v>
      </c>
      <c r="N1153">
        <v>6046.3214280000002</v>
      </c>
    </row>
    <row r="1154" spans="12:14" x14ac:dyDescent="0.55000000000000004">
      <c r="L1154">
        <v>1149</v>
      </c>
      <c r="M1154">
        <v>2.9932E-2</v>
      </c>
      <c r="N1154">
        <v>6045.3788329999998</v>
      </c>
    </row>
    <row r="1155" spans="12:14" x14ac:dyDescent="0.55000000000000004">
      <c r="L1155">
        <v>1150</v>
      </c>
      <c r="M1155">
        <v>2.9932E-2</v>
      </c>
      <c r="N1155">
        <v>6044.4968779999999</v>
      </c>
    </row>
    <row r="1156" spans="12:14" x14ac:dyDescent="0.55000000000000004">
      <c r="L1156">
        <v>1151</v>
      </c>
      <c r="M1156">
        <v>2.9932E-2</v>
      </c>
      <c r="N1156">
        <v>6043.6720290000003</v>
      </c>
    </row>
    <row r="1157" spans="12:14" x14ac:dyDescent="0.55000000000000004">
      <c r="L1157">
        <v>1152</v>
      </c>
      <c r="M1157">
        <v>2.9932E-2</v>
      </c>
      <c r="N1157">
        <v>6042.9009310000001</v>
      </c>
    </row>
    <row r="1158" spans="12:14" x14ac:dyDescent="0.55000000000000004">
      <c r="L1158">
        <v>1153</v>
      </c>
      <c r="M1158">
        <v>2.9932E-2</v>
      </c>
      <c r="N1158">
        <v>6042.180402</v>
      </c>
    </row>
    <row r="1159" spans="12:14" x14ac:dyDescent="0.55000000000000004">
      <c r="L1159">
        <v>1154</v>
      </c>
      <c r="M1159">
        <v>2.9932E-2</v>
      </c>
      <c r="N1159">
        <v>6041.5074269999996</v>
      </c>
    </row>
    <row r="1160" spans="12:14" x14ac:dyDescent="0.55000000000000004">
      <c r="L1160">
        <v>1155</v>
      </c>
      <c r="M1160">
        <v>2.9932E-2</v>
      </c>
      <c r="N1160">
        <v>6040.8791449999999</v>
      </c>
    </row>
    <row r="1161" spans="12:14" x14ac:dyDescent="0.55000000000000004">
      <c r="L1161">
        <v>1156</v>
      </c>
      <c r="M1161">
        <v>2.9932E-2</v>
      </c>
      <c r="N1161">
        <v>6040.2928510000002</v>
      </c>
    </row>
    <row r="1162" spans="12:14" x14ac:dyDescent="0.55000000000000004">
      <c r="L1162">
        <v>1157</v>
      </c>
      <c r="M1162">
        <v>2.9932E-2</v>
      </c>
      <c r="N1162">
        <v>6039.7459799999997</v>
      </c>
    </row>
    <row r="1163" spans="12:14" x14ac:dyDescent="0.55000000000000004">
      <c r="L1163">
        <v>1158</v>
      </c>
      <c r="M1163">
        <v>2.9932E-2</v>
      </c>
      <c r="N1163">
        <v>6039.2361099999998</v>
      </c>
    </row>
    <row r="1164" spans="12:14" x14ac:dyDescent="0.55000000000000004">
      <c r="L1164">
        <v>1159</v>
      </c>
      <c r="M1164">
        <v>2.9932E-2</v>
      </c>
      <c r="N1164">
        <v>6038.7609490000004</v>
      </c>
    </row>
    <row r="1165" spans="12:14" x14ac:dyDescent="0.55000000000000004">
      <c r="L1165">
        <v>1160</v>
      </c>
      <c r="M1165">
        <v>2.9932E-2</v>
      </c>
      <c r="N1165">
        <v>6038.3183300000001</v>
      </c>
    </row>
    <row r="1166" spans="12:14" x14ac:dyDescent="0.55000000000000004">
      <c r="L1166">
        <v>1161</v>
      </c>
      <c r="M1166">
        <v>2.9932E-2</v>
      </c>
      <c r="N1166">
        <v>6037.9062089999998</v>
      </c>
    </row>
    <row r="1167" spans="12:14" x14ac:dyDescent="0.55000000000000004">
      <c r="L1167">
        <v>1162</v>
      </c>
      <c r="M1167">
        <v>2.9932E-2</v>
      </c>
      <c r="N1167">
        <v>6037.5226549999998</v>
      </c>
    </row>
    <row r="1168" spans="12:14" x14ac:dyDescent="0.55000000000000004">
      <c r="L1168">
        <v>1163</v>
      </c>
      <c r="M1168">
        <v>2.9932E-2</v>
      </c>
      <c r="N1168">
        <v>6037.1658470000002</v>
      </c>
    </row>
    <row r="1169" spans="12:14" x14ac:dyDescent="0.55000000000000004">
      <c r="L1169">
        <v>1164</v>
      </c>
      <c r="M1169">
        <v>2.9932E-2</v>
      </c>
      <c r="N1169">
        <v>6036.8340660000003</v>
      </c>
    </row>
    <row r="1170" spans="12:14" x14ac:dyDescent="0.55000000000000004">
      <c r="L1170">
        <v>1165</v>
      </c>
      <c r="M1170">
        <v>2.9932E-2</v>
      </c>
      <c r="N1170">
        <v>6036.5256959999997</v>
      </c>
    </row>
    <row r="1171" spans="12:14" x14ac:dyDescent="0.55000000000000004">
      <c r="L1171">
        <v>1166</v>
      </c>
      <c r="M1171">
        <v>2.9932E-2</v>
      </c>
      <c r="N1171">
        <v>6036.2392110000001</v>
      </c>
    </row>
    <row r="1172" spans="12:14" x14ac:dyDescent="0.55000000000000004">
      <c r="L1172">
        <v>1167</v>
      </c>
      <c r="M1172">
        <v>2.9932E-2</v>
      </c>
      <c r="N1172">
        <v>6035.9731769999999</v>
      </c>
    </row>
    <row r="1173" spans="12:14" x14ac:dyDescent="0.55000000000000004">
      <c r="L1173">
        <v>1168</v>
      </c>
      <c r="M1173">
        <v>2.9932E-2</v>
      </c>
      <c r="N1173">
        <v>6035.7262440000004</v>
      </c>
    </row>
    <row r="1174" spans="12:14" x14ac:dyDescent="0.55000000000000004">
      <c r="L1174">
        <v>1169</v>
      </c>
      <c r="M1174">
        <v>2.9932E-2</v>
      </c>
      <c r="N1174">
        <v>6035.4971429999996</v>
      </c>
    </row>
    <row r="1175" spans="12:14" x14ac:dyDescent="0.55000000000000004">
      <c r="L1175">
        <v>1170</v>
      </c>
      <c r="M1175">
        <v>2.9932E-2</v>
      </c>
      <c r="N1175">
        <v>6035.2846799999998</v>
      </c>
    </row>
    <row r="1176" spans="12:14" x14ac:dyDescent="0.55000000000000004">
      <c r="L1176">
        <v>1171</v>
      </c>
      <c r="M1176">
        <v>2.9932E-2</v>
      </c>
      <c r="N1176">
        <v>6035.0877339999997</v>
      </c>
    </row>
    <row r="1177" spans="12:14" x14ac:dyDescent="0.55000000000000004">
      <c r="L1177">
        <v>1172</v>
      </c>
      <c r="M1177">
        <v>2.9932E-2</v>
      </c>
      <c r="N1177">
        <v>6034.9052540000002</v>
      </c>
    </row>
    <row r="1178" spans="12:14" x14ac:dyDescent="0.55000000000000004">
      <c r="L1178">
        <v>1173</v>
      </c>
      <c r="M1178">
        <v>2.9932E-2</v>
      </c>
      <c r="N1178">
        <v>6034.736253</v>
      </c>
    </row>
    <row r="1179" spans="12:14" x14ac:dyDescent="0.55000000000000004">
      <c r="L1179">
        <v>1174</v>
      </c>
      <c r="M1179">
        <v>2.9932E-2</v>
      </c>
      <c r="N1179">
        <v>6034.579804</v>
      </c>
    </row>
    <row r="1180" spans="12:14" x14ac:dyDescent="0.55000000000000004">
      <c r="L1180">
        <v>1175</v>
      </c>
      <c r="M1180">
        <v>2.9932E-2</v>
      </c>
      <c r="N1180">
        <v>6034.435039</v>
      </c>
    </row>
    <row r="1181" spans="12:14" x14ac:dyDescent="0.55000000000000004">
      <c r="L1181">
        <v>1176</v>
      </c>
      <c r="M1181">
        <v>2.9932E-2</v>
      </c>
      <c r="N1181">
        <v>6034.3011459999998</v>
      </c>
    </row>
    <row r="1182" spans="12:14" x14ac:dyDescent="0.55000000000000004">
      <c r="L1182">
        <v>1177</v>
      </c>
      <c r="M1182">
        <v>2.9932E-2</v>
      </c>
      <c r="N1182">
        <v>6034.1773640000001</v>
      </c>
    </row>
    <row r="1183" spans="12:14" x14ac:dyDescent="0.55000000000000004">
      <c r="L1183">
        <v>1178</v>
      </c>
      <c r="M1183">
        <v>2.9932E-2</v>
      </c>
      <c r="N1183">
        <v>6034.0629779999999</v>
      </c>
    </row>
    <row r="1184" spans="12:14" x14ac:dyDescent="0.55000000000000004">
      <c r="L1184">
        <v>1179</v>
      </c>
      <c r="M1184">
        <v>2.9932E-2</v>
      </c>
      <c r="N1184">
        <v>6033.957324</v>
      </c>
    </row>
    <row r="1185" spans="12:14" x14ac:dyDescent="0.55000000000000004">
      <c r="L1185">
        <v>1180</v>
      </c>
      <c r="M1185">
        <v>2.9932E-2</v>
      </c>
      <c r="N1185">
        <v>6033.8597790000003</v>
      </c>
    </row>
    <row r="1186" spans="12:14" x14ac:dyDescent="0.55000000000000004">
      <c r="L1186">
        <v>1181</v>
      </c>
      <c r="M1186">
        <v>2.9932E-2</v>
      </c>
      <c r="N1186">
        <v>6033.7697589999998</v>
      </c>
    </row>
    <row r="1187" spans="12:14" x14ac:dyDescent="0.55000000000000004">
      <c r="L1187">
        <v>1182</v>
      </c>
      <c r="M1187">
        <v>2.9932E-2</v>
      </c>
      <c r="N1187">
        <v>6033.686721</v>
      </c>
    </row>
    <row r="1188" spans="12:14" x14ac:dyDescent="0.55000000000000004">
      <c r="L1188">
        <v>1183</v>
      </c>
      <c r="M1188">
        <v>2.9932E-2</v>
      </c>
      <c r="N1188">
        <v>6033.6101589999998</v>
      </c>
    </row>
    <row r="1189" spans="12:14" x14ac:dyDescent="0.55000000000000004">
      <c r="L1189">
        <v>1184</v>
      </c>
      <c r="M1189">
        <v>2.9932E-2</v>
      </c>
      <c r="N1189">
        <v>6033.539597</v>
      </c>
    </row>
    <row r="1190" spans="12:14" x14ac:dyDescent="0.55000000000000004">
      <c r="L1190">
        <v>1185</v>
      </c>
      <c r="M1190">
        <v>2.9932E-2</v>
      </c>
      <c r="N1190">
        <v>6033.474596</v>
      </c>
    </row>
    <row r="1191" spans="12:14" x14ac:dyDescent="0.55000000000000004">
      <c r="L1191">
        <v>1186</v>
      </c>
      <c r="M1191">
        <v>2.9932E-2</v>
      </c>
      <c r="N1191">
        <v>6033.4147430000003</v>
      </c>
    </row>
    <row r="1192" spans="12:14" x14ac:dyDescent="0.55000000000000004">
      <c r="L1192">
        <v>1187</v>
      </c>
      <c r="M1192">
        <v>2.9932E-2</v>
      </c>
      <c r="N1192">
        <v>6033.3596550000002</v>
      </c>
    </row>
    <row r="1193" spans="12:14" x14ac:dyDescent="0.55000000000000004">
      <c r="L1193">
        <v>1188</v>
      </c>
      <c r="M1193">
        <v>2.9932E-2</v>
      </c>
      <c r="N1193">
        <v>6033.3089760000003</v>
      </c>
    </row>
    <row r="1194" spans="12:14" x14ac:dyDescent="0.55000000000000004">
      <c r="L1194">
        <v>1189</v>
      </c>
      <c r="M1194">
        <v>2.9932E-2</v>
      </c>
      <c r="N1194">
        <v>6033.2623729999996</v>
      </c>
    </row>
    <row r="1195" spans="12:14" x14ac:dyDescent="0.55000000000000004">
      <c r="L1195">
        <v>1190</v>
      </c>
      <c r="M1195">
        <v>2.9932E-2</v>
      </c>
      <c r="N1195">
        <v>6033.2195369999999</v>
      </c>
    </row>
    <row r="1196" spans="12:14" x14ac:dyDescent="0.55000000000000004">
      <c r="L1196">
        <v>1191</v>
      </c>
      <c r="M1196">
        <v>2.9932E-2</v>
      </c>
      <c r="N1196">
        <v>6033.1801820000001</v>
      </c>
    </row>
    <row r="1197" spans="12:14" x14ac:dyDescent="0.55000000000000004">
      <c r="L1197">
        <v>1192</v>
      </c>
      <c r="M1197">
        <v>2.9932E-2</v>
      </c>
      <c r="N1197">
        <v>6033.1440400000001</v>
      </c>
    </row>
    <row r="1198" spans="12:14" x14ac:dyDescent="0.55000000000000004">
      <c r="L1198">
        <v>1193</v>
      </c>
      <c r="M1198">
        <v>2.9932E-2</v>
      </c>
      <c r="N1198">
        <v>6033.1108649999996</v>
      </c>
    </row>
    <row r="1199" spans="12:14" x14ac:dyDescent="0.55000000000000004">
      <c r="L1199">
        <v>1194</v>
      </c>
      <c r="M1199">
        <v>2.9932E-2</v>
      </c>
      <c r="N1199">
        <v>6033.0804260000004</v>
      </c>
    </row>
    <row r="1200" spans="12:14" x14ac:dyDescent="0.55000000000000004">
      <c r="L1200">
        <v>1195</v>
      </c>
      <c r="M1200">
        <v>2.9932E-2</v>
      </c>
      <c r="N1200">
        <v>6033.0525100000004</v>
      </c>
    </row>
    <row r="1201" spans="12:14" x14ac:dyDescent="0.55000000000000004">
      <c r="L1201">
        <v>1196</v>
      </c>
      <c r="M1201">
        <v>2.9932E-2</v>
      </c>
      <c r="N1201">
        <v>6033.0269189999999</v>
      </c>
    </row>
    <row r="1202" spans="12:14" x14ac:dyDescent="0.55000000000000004">
      <c r="L1202">
        <v>1197</v>
      </c>
      <c r="M1202">
        <v>2.9932E-2</v>
      </c>
      <c r="N1202">
        <v>6033.0034699999997</v>
      </c>
    </row>
    <row r="1203" spans="12:14" x14ac:dyDescent="0.55000000000000004">
      <c r="L1203">
        <v>1198</v>
      </c>
      <c r="M1203">
        <v>2.9932E-2</v>
      </c>
      <c r="N1203">
        <v>6032.9819939999998</v>
      </c>
    </row>
    <row r="1204" spans="12:14" x14ac:dyDescent="0.55000000000000004">
      <c r="L1204">
        <v>1199</v>
      </c>
      <c r="M1204">
        <v>2.9932E-2</v>
      </c>
      <c r="N1204">
        <v>6032.9623320000001</v>
      </c>
    </row>
    <row r="1205" spans="12:14" x14ac:dyDescent="0.55000000000000004">
      <c r="L1205">
        <v>1200</v>
      </c>
      <c r="M1205">
        <v>2.9932E-2</v>
      </c>
      <c r="N1205">
        <v>6032.94434</v>
      </c>
    </row>
    <row r="1206" spans="12:14" x14ac:dyDescent="0.55000000000000004">
      <c r="L1206">
        <v>1201</v>
      </c>
      <c r="M1206">
        <v>2.9932E-2</v>
      </c>
      <c r="N1206">
        <v>6032.9278839999997</v>
      </c>
    </row>
    <row r="1207" spans="12:14" x14ac:dyDescent="0.55000000000000004">
      <c r="L1207">
        <v>1202</v>
      </c>
      <c r="M1207">
        <v>2.9932E-2</v>
      </c>
      <c r="N1207">
        <v>6032.9128380000002</v>
      </c>
    </row>
    <row r="1208" spans="12:14" x14ac:dyDescent="0.55000000000000004">
      <c r="L1208">
        <v>1203</v>
      </c>
      <c r="M1208">
        <v>2.9932E-2</v>
      </c>
      <c r="N1208">
        <v>6032.8990889999995</v>
      </c>
    </row>
    <row r="1209" spans="12:14" x14ac:dyDescent="0.55000000000000004">
      <c r="L1209">
        <v>1204</v>
      </c>
      <c r="M1209">
        <v>2.9932E-2</v>
      </c>
      <c r="N1209">
        <v>6032.8865290000003</v>
      </c>
    </row>
    <row r="1210" spans="12:14" x14ac:dyDescent="0.55000000000000004">
      <c r="L1210">
        <v>1205</v>
      </c>
      <c r="M1210">
        <v>2.9932E-2</v>
      </c>
      <c r="N1210">
        <v>6032.8750620000001</v>
      </c>
    </row>
    <row r="1211" spans="12:14" x14ac:dyDescent="0.55000000000000004">
      <c r="L1211">
        <v>1206</v>
      </c>
      <c r="M1211">
        <v>2.9932E-2</v>
      </c>
      <c r="N1211">
        <v>6032.8645969999998</v>
      </c>
    </row>
    <row r="1212" spans="12:14" x14ac:dyDescent="0.55000000000000004">
      <c r="L1212">
        <v>1207</v>
      </c>
      <c r="M1212">
        <v>2.9932E-2</v>
      </c>
      <c r="N1212">
        <v>6032.8550500000001</v>
      </c>
    </row>
    <row r="1213" spans="12:14" x14ac:dyDescent="0.55000000000000004">
      <c r="L1213">
        <v>1208</v>
      </c>
      <c r="M1213">
        <v>2.9932E-2</v>
      </c>
      <c r="N1213">
        <v>6032.8463449999999</v>
      </c>
    </row>
    <row r="1214" spans="12:14" x14ac:dyDescent="0.55000000000000004">
      <c r="L1214">
        <v>1209</v>
      </c>
      <c r="M1214">
        <v>2.9932E-2</v>
      </c>
      <c r="N1214">
        <v>6032.8384109999997</v>
      </c>
    </row>
    <row r="1215" spans="12:14" x14ac:dyDescent="0.55000000000000004">
      <c r="L1215">
        <v>1210</v>
      </c>
      <c r="M1215">
        <v>2.9932E-2</v>
      </c>
      <c r="N1215">
        <v>6032.8311830000002</v>
      </c>
    </row>
    <row r="1216" spans="12:14" x14ac:dyDescent="0.55000000000000004">
      <c r="L1216">
        <v>1211</v>
      </c>
      <c r="M1216">
        <v>2.9932E-2</v>
      </c>
      <c r="N1216">
        <v>6032.8246010000003</v>
      </c>
    </row>
    <row r="1217" spans="12:14" x14ac:dyDescent="0.55000000000000004">
      <c r="L1217">
        <v>1212</v>
      </c>
      <c r="M1217">
        <v>2.9932E-2</v>
      </c>
      <c r="N1217">
        <v>6032.8186100000003</v>
      </c>
    </row>
    <row r="1218" spans="12:14" x14ac:dyDescent="0.55000000000000004">
      <c r="L1218">
        <v>1213</v>
      </c>
      <c r="M1218">
        <v>2.9932E-2</v>
      </c>
      <c r="N1218">
        <v>6032.8131599999997</v>
      </c>
    </row>
    <row r="1219" spans="12:14" x14ac:dyDescent="0.55000000000000004">
      <c r="L1219">
        <v>1214</v>
      </c>
      <c r="M1219">
        <v>2.9932E-2</v>
      </c>
      <c r="N1219">
        <v>6032.8082029999996</v>
      </c>
    </row>
    <row r="1220" spans="12:14" x14ac:dyDescent="0.55000000000000004">
      <c r="L1220">
        <v>1215</v>
      </c>
      <c r="M1220">
        <v>2.9932E-2</v>
      </c>
      <c r="N1220">
        <v>6032.8036979999997</v>
      </c>
    </row>
    <row r="1221" spans="12:14" x14ac:dyDescent="0.55000000000000004">
      <c r="L1221">
        <v>1216</v>
      </c>
      <c r="M1221">
        <v>2.9932E-2</v>
      </c>
      <c r="N1221">
        <v>6032.7996050000002</v>
      </c>
    </row>
    <row r="1222" spans="12:14" x14ac:dyDescent="0.55000000000000004">
      <c r="L1222">
        <v>1217</v>
      </c>
      <c r="M1222">
        <v>2.9932E-2</v>
      </c>
      <c r="N1222">
        <v>6032.7958870000002</v>
      </c>
    </row>
    <row r="1223" spans="12:14" x14ac:dyDescent="0.55000000000000004">
      <c r="L1223">
        <v>1218</v>
      </c>
      <c r="M1223">
        <v>2.9932E-2</v>
      </c>
      <c r="N1223">
        <v>6032.792512</v>
      </c>
    </row>
    <row r="1224" spans="12:14" x14ac:dyDescent="0.55000000000000004">
      <c r="L1224">
        <v>1219</v>
      </c>
      <c r="M1224">
        <v>2.9932E-2</v>
      </c>
      <c r="N1224">
        <v>6032.7894500000002</v>
      </c>
    </row>
    <row r="1225" spans="12:14" x14ac:dyDescent="0.55000000000000004">
      <c r="L1225">
        <v>1220</v>
      </c>
      <c r="M1225">
        <v>2.9932E-2</v>
      </c>
      <c r="N1225">
        <v>6032.7866729999996</v>
      </c>
    </row>
    <row r="1226" spans="12:14" x14ac:dyDescent="0.55000000000000004">
      <c r="L1226">
        <v>1221</v>
      </c>
      <c r="M1226">
        <v>2.9932E-2</v>
      </c>
      <c r="N1226">
        <v>6032.7841550000003</v>
      </c>
    </row>
    <row r="1227" spans="12:14" x14ac:dyDescent="0.55000000000000004">
      <c r="L1227">
        <v>1222</v>
      </c>
      <c r="M1227">
        <v>2.9932E-2</v>
      </c>
      <c r="N1227">
        <v>6032.7818729999999</v>
      </c>
    </row>
    <row r="1228" spans="12:14" x14ac:dyDescent="0.55000000000000004">
      <c r="L1228">
        <v>1223</v>
      </c>
      <c r="M1228">
        <v>2.9932E-2</v>
      </c>
      <c r="N1228">
        <v>6032.7798069999999</v>
      </c>
    </row>
    <row r="1229" spans="12:14" x14ac:dyDescent="0.55000000000000004">
      <c r="L1229">
        <v>1224</v>
      </c>
      <c r="M1229">
        <v>2.9932E-2</v>
      </c>
      <c r="N1229">
        <v>6032.7779360000004</v>
      </c>
    </row>
    <row r="1230" spans="12:14" x14ac:dyDescent="0.55000000000000004">
      <c r="L1230">
        <v>1225</v>
      </c>
      <c r="M1230">
        <v>2.9932E-2</v>
      </c>
      <c r="N1230">
        <v>6032.7762430000002</v>
      </c>
    </row>
    <row r="1231" spans="12:14" x14ac:dyDescent="0.55000000000000004">
      <c r="L1231">
        <v>1226</v>
      </c>
      <c r="M1231">
        <v>2.9932E-2</v>
      </c>
      <c r="N1231">
        <v>6032.774711</v>
      </c>
    </row>
    <row r="1232" spans="12:14" x14ac:dyDescent="0.55000000000000004">
      <c r="L1232">
        <v>1227</v>
      </c>
      <c r="M1232">
        <v>2.9932E-2</v>
      </c>
      <c r="N1232">
        <v>6032.7733260000005</v>
      </c>
    </row>
    <row r="1233" spans="12:14" x14ac:dyDescent="0.55000000000000004">
      <c r="L1233">
        <v>1228</v>
      </c>
      <c r="M1233">
        <v>2.9932E-2</v>
      </c>
      <c r="N1233">
        <v>6032.7720749999999</v>
      </c>
    </row>
    <row r="1234" spans="12:14" x14ac:dyDescent="0.55000000000000004">
      <c r="L1234">
        <v>1229</v>
      </c>
      <c r="M1234">
        <v>2.9932E-2</v>
      </c>
      <c r="N1234">
        <v>6032.7709450000002</v>
      </c>
    </row>
    <row r="1235" spans="12:14" x14ac:dyDescent="0.55000000000000004">
      <c r="L1235">
        <v>1230</v>
      </c>
      <c r="M1235">
        <v>2.9932E-2</v>
      </c>
      <c r="N1235">
        <v>6032.7699240000002</v>
      </c>
    </row>
    <row r="1236" spans="12:14" x14ac:dyDescent="0.55000000000000004">
      <c r="L1236">
        <v>1231</v>
      </c>
      <c r="M1236">
        <v>2.9932E-2</v>
      </c>
      <c r="N1236">
        <v>6032.7690030000003</v>
      </c>
    </row>
    <row r="1237" spans="12:14" x14ac:dyDescent="0.55000000000000004">
      <c r="L1237">
        <v>1232</v>
      </c>
      <c r="M1237">
        <v>2.9932E-2</v>
      </c>
      <c r="N1237">
        <v>6032.7681709999997</v>
      </c>
    </row>
    <row r="1238" spans="12:14" x14ac:dyDescent="0.55000000000000004">
      <c r="L1238">
        <v>1233</v>
      </c>
      <c r="M1238">
        <v>2.9932E-2</v>
      </c>
      <c r="N1238">
        <v>6032.7674219999999</v>
      </c>
    </row>
    <row r="1239" spans="12:14" x14ac:dyDescent="0.55000000000000004">
      <c r="L1239">
        <v>1234</v>
      </c>
      <c r="M1239">
        <v>2.9932E-2</v>
      </c>
      <c r="N1239">
        <v>6032.7667469999997</v>
      </c>
    </row>
    <row r="1240" spans="12:14" x14ac:dyDescent="0.55000000000000004">
      <c r="L1240">
        <v>1235</v>
      </c>
      <c r="M1240">
        <v>2.9932E-2</v>
      </c>
      <c r="N1240">
        <v>6032.766138</v>
      </c>
    </row>
    <row r="1241" spans="12:14" x14ac:dyDescent="0.55000000000000004">
      <c r="L1241">
        <v>1236</v>
      </c>
      <c r="M1241">
        <v>2.9932E-2</v>
      </c>
      <c r="N1241">
        <v>6032.76559</v>
      </c>
    </row>
    <row r="1242" spans="12:14" x14ac:dyDescent="0.55000000000000004">
      <c r="L1242">
        <v>1237</v>
      </c>
      <c r="M1242">
        <v>2.9932E-2</v>
      </c>
      <c r="N1242">
        <v>6032.7650970000004</v>
      </c>
    </row>
    <row r="1243" spans="12:14" x14ac:dyDescent="0.55000000000000004">
      <c r="L1243">
        <v>1238</v>
      </c>
      <c r="M1243">
        <v>2.9932E-2</v>
      </c>
      <c r="N1243">
        <v>6032.7646530000002</v>
      </c>
    </row>
    <row r="1244" spans="12:14" x14ac:dyDescent="0.55000000000000004">
      <c r="L1244">
        <v>1239</v>
      </c>
      <c r="M1244">
        <v>2.9932E-2</v>
      </c>
      <c r="N1244">
        <v>6032.7642539999997</v>
      </c>
    </row>
    <row r="1245" spans="12:14" x14ac:dyDescent="0.55000000000000004">
      <c r="L1245">
        <v>1240</v>
      </c>
      <c r="M1245">
        <v>2.9932E-2</v>
      </c>
      <c r="N1245">
        <v>6032.763895</v>
      </c>
    </row>
    <row r="1246" spans="12:14" x14ac:dyDescent="0.55000000000000004">
      <c r="L1246">
        <v>1241</v>
      </c>
      <c r="M1246">
        <v>2.9932E-2</v>
      </c>
      <c r="N1246">
        <v>6032.7635719999998</v>
      </c>
    </row>
    <row r="1247" spans="12:14" x14ac:dyDescent="0.55000000000000004">
      <c r="L1247">
        <v>1242</v>
      </c>
      <c r="M1247">
        <v>2.9932E-2</v>
      </c>
      <c r="N1247">
        <v>6032.7632830000002</v>
      </c>
    </row>
    <row r="1248" spans="12:14" x14ac:dyDescent="0.55000000000000004">
      <c r="L1248">
        <v>1243</v>
      </c>
      <c r="M1248">
        <v>2.9932E-2</v>
      </c>
      <c r="N1248">
        <v>6032.7630230000004</v>
      </c>
    </row>
    <row r="1249" spans="12:14" x14ac:dyDescent="0.55000000000000004">
      <c r="L1249">
        <v>1244</v>
      </c>
      <c r="M1249">
        <v>2.9932E-2</v>
      </c>
      <c r="N1249">
        <v>6032.7627899999998</v>
      </c>
    </row>
    <row r="1250" spans="12:14" x14ac:dyDescent="0.55000000000000004">
      <c r="L1250">
        <v>1245</v>
      </c>
      <c r="M1250">
        <v>2.9932E-2</v>
      </c>
      <c r="N1250">
        <v>6032.762581</v>
      </c>
    </row>
    <row r="1251" spans="12:14" x14ac:dyDescent="0.55000000000000004">
      <c r="L1251">
        <v>1246</v>
      </c>
      <c r="M1251">
        <v>2.9932E-2</v>
      </c>
      <c r="N1251">
        <v>6032.762393</v>
      </c>
    </row>
    <row r="1252" spans="12:14" x14ac:dyDescent="0.55000000000000004">
      <c r="L1252">
        <v>1247</v>
      </c>
      <c r="M1252">
        <v>2.9932E-2</v>
      </c>
      <c r="N1252">
        <v>6032.7622250000004</v>
      </c>
    </row>
    <row r="1253" spans="12:14" x14ac:dyDescent="0.55000000000000004">
      <c r="L1253">
        <v>1248</v>
      </c>
      <c r="M1253">
        <v>2.9932E-2</v>
      </c>
      <c r="N1253">
        <v>6032.7620740000002</v>
      </c>
    </row>
    <row r="1254" spans="12:14" x14ac:dyDescent="0.55000000000000004">
      <c r="L1254">
        <v>1249</v>
      </c>
      <c r="M1254">
        <v>2.9932E-2</v>
      </c>
      <c r="N1254">
        <v>6032.761939</v>
      </c>
    </row>
    <row r="1255" spans="12:14" x14ac:dyDescent="0.55000000000000004">
      <c r="L1255">
        <v>1250</v>
      </c>
      <c r="M1255">
        <v>2.9932E-2</v>
      </c>
      <c r="N1255">
        <v>6032.7618190000003</v>
      </c>
    </row>
    <row r="1256" spans="12:14" x14ac:dyDescent="0.55000000000000004">
      <c r="L1256">
        <v>1251</v>
      </c>
      <c r="M1256">
        <v>2.9932E-2</v>
      </c>
      <c r="N1256">
        <v>6032.7617110000001</v>
      </c>
    </row>
    <row r="1257" spans="12:14" x14ac:dyDescent="0.55000000000000004">
      <c r="L1257">
        <v>1252</v>
      </c>
      <c r="M1257">
        <v>2.9932E-2</v>
      </c>
      <c r="N1257">
        <v>6032.761614</v>
      </c>
    </row>
    <row r="1258" spans="12:14" x14ac:dyDescent="0.55000000000000004">
      <c r="L1258">
        <v>1253</v>
      </c>
      <c r="M1258">
        <v>2.9932E-2</v>
      </c>
      <c r="N1258">
        <v>6032.761528</v>
      </c>
    </row>
    <row r="1259" spans="12:14" x14ac:dyDescent="0.55000000000000004">
      <c r="L1259">
        <v>1254</v>
      </c>
      <c r="M1259">
        <v>2.9932E-2</v>
      </c>
      <c r="N1259">
        <v>6032.7614510000003</v>
      </c>
    </row>
    <row r="1260" spans="12:14" x14ac:dyDescent="0.55000000000000004">
      <c r="L1260">
        <v>1255</v>
      </c>
      <c r="M1260">
        <v>2.9932E-2</v>
      </c>
      <c r="N1260">
        <v>6032.7613819999997</v>
      </c>
    </row>
    <row r="1261" spans="12:14" x14ac:dyDescent="0.55000000000000004">
      <c r="L1261">
        <v>1256</v>
      </c>
      <c r="M1261">
        <v>2.9932E-2</v>
      </c>
      <c r="N1261">
        <v>6032.761321</v>
      </c>
    </row>
    <row r="1262" spans="12:14" x14ac:dyDescent="0.55000000000000004">
      <c r="L1262">
        <v>1257</v>
      </c>
      <c r="M1262">
        <v>2.9932E-2</v>
      </c>
      <c r="N1262">
        <v>6032.7612660000004</v>
      </c>
    </row>
    <row r="1263" spans="12:14" x14ac:dyDescent="0.55000000000000004">
      <c r="L1263">
        <v>1258</v>
      </c>
      <c r="M1263">
        <v>2.9932E-2</v>
      </c>
      <c r="N1263">
        <v>6032.7612170000002</v>
      </c>
    </row>
    <row r="1264" spans="12:14" x14ac:dyDescent="0.55000000000000004">
      <c r="L1264">
        <v>1259</v>
      </c>
      <c r="M1264">
        <v>2.9932E-2</v>
      </c>
      <c r="N1264">
        <v>6032.7611740000002</v>
      </c>
    </row>
    <row r="1265" spans="12:14" x14ac:dyDescent="0.55000000000000004">
      <c r="L1265">
        <v>1260</v>
      </c>
      <c r="M1265">
        <v>2.9932E-2</v>
      </c>
      <c r="N1265">
        <v>6032.7611349999997</v>
      </c>
    </row>
    <row r="1266" spans="12:14" x14ac:dyDescent="0.55000000000000004">
      <c r="L1266">
        <v>1261</v>
      </c>
      <c r="M1266">
        <v>2.9932E-2</v>
      </c>
      <c r="N1266">
        <v>6032.7610999999997</v>
      </c>
    </row>
    <row r="1267" spans="12:14" x14ac:dyDescent="0.55000000000000004">
      <c r="L1267">
        <v>1262</v>
      </c>
      <c r="M1267">
        <v>2.9932E-2</v>
      </c>
      <c r="N1267">
        <v>6032.7610699999996</v>
      </c>
    </row>
    <row r="1268" spans="12:14" x14ac:dyDescent="0.55000000000000004">
      <c r="L1268">
        <v>1263</v>
      </c>
      <c r="M1268">
        <v>2.9932E-2</v>
      </c>
      <c r="N1268">
        <v>6032.7610420000001</v>
      </c>
    </row>
    <row r="1269" spans="12:14" x14ac:dyDescent="0.55000000000000004">
      <c r="L1269">
        <v>1264</v>
      </c>
      <c r="M1269">
        <v>2.9932E-2</v>
      </c>
      <c r="N1269">
        <v>6032.7610180000001</v>
      </c>
    </row>
    <row r="1270" spans="12:14" x14ac:dyDescent="0.55000000000000004">
      <c r="L1270">
        <v>1265</v>
      </c>
      <c r="M1270">
        <v>2.9932E-2</v>
      </c>
      <c r="N1270">
        <v>6032.760996</v>
      </c>
    </row>
    <row r="1271" spans="12:14" x14ac:dyDescent="0.55000000000000004">
      <c r="L1271">
        <v>1266</v>
      </c>
      <c r="M1271">
        <v>2.9932E-2</v>
      </c>
      <c r="N1271">
        <v>6032.7609769999999</v>
      </c>
    </row>
    <row r="1272" spans="12:14" x14ac:dyDescent="0.55000000000000004">
      <c r="L1272">
        <v>1267</v>
      </c>
      <c r="M1272">
        <v>2.9932E-2</v>
      </c>
      <c r="N1272">
        <v>6032.7609599999996</v>
      </c>
    </row>
    <row r="1273" spans="12:14" x14ac:dyDescent="0.55000000000000004">
      <c r="L1273">
        <v>1268</v>
      </c>
      <c r="M1273">
        <v>2.9932E-2</v>
      </c>
      <c r="N1273">
        <v>6032.760945</v>
      </c>
    </row>
    <row r="1274" spans="12:14" x14ac:dyDescent="0.55000000000000004">
      <c r="L1274">
        <v>1269</v>
      </c>
      <c r="M1274">
        <v>2.9932E-2</v>
      </c>
      <c r="N1274">
        <v>6032.7609309999998</v>
      </c>
    </row>
    <row r="1275" spans="12:14" x14ac:dyDescent="0.55000000000000004">
      <c r="L1275">
        <v>1270</v>
      </c>
      <c r="M1275">
        <v>2.9932E-2</v>
      </c>
      <c r="N1275">
        <v>6032.7609190000003</v>
      </c>
    </row>
    <row r="1276" spans="12:14" x14ac:dyDescent="0.55000000000000004">
      <c r="L1276">
        <v>1271</v>
      </c>
      <c r="M1276">
        <v>2.9932E-2</v>
      </c>
      <c r="N1276">
        <v>6032.7609089999996</v>
      </c>
    </row>
    <row r="1277" spans="12:14" x14ac:dyDescent="0.55000000000000004">
      <c r="L1277">
        <v>1272</v>
      </c>
      <c r="M1277">
        <v>2.9932E-2</v>
      </c>
      <c r="N1277">
        <v>6032.7609000000002</v>
      </c>
    </row>
    <row r="1278" spans="12:14" x14ac:dyDescent="0.55000000000000004">
      <c r="L1278">
        <v>1273</v>
      </c>
      <c r="M1278">
        <v>2.9932E-2</v>
      </c>
      <c r="N1278">
        <v>6032.7608909999999</v>
      </c>
    </row>
    <row r="1279" spans="12:14" x14ac:dyDescent="0.55000000000000004">
      <c r="L1279">
        <v>1274</v>
      </c>
      <c r="M1279">
        <v>2.9932E-2</v>
      </c>
      <c r="N1279">
        <v>6032.7608840000003</v>
      </c>
    </row>
    <row r="1280" spans="12:14" x14ac:dyDescent="0.55000000000000004">
      <c r="L1280">
        <v>1275</v>
      </c>
      <c r="M1280">
        <v>2.9932E-2</v>
      </c>
      <c r="N1280">
        <v>6032.7608769999997</v>
      </c>
    </row>
    <row r="1281" spans="12:14" x14ac:dyDescent="0.55000000000000004">
      <c r="L1281">
        <v>1276</v>
      </c>
      <c r="M1281">
        <v>2.9932E-2</v>
      </c>
      <c r="N1281">
        <v>6032.7608719999998</v>
      </c>
    </row>
    <row r="1282" spans="12:14" x14ac:dyDescent="0.55000000000000004">
      <c r="L1282">
        <v>1277</v>
      </c>
      <c r="M1282">
        <v>2.9932E-2</v>
      </c>
      <c r="N1282">
        <v>6032.760867</v>
      </c>
    </row>
    <row r="1283" spans="12:14" x14ac:dyDescent="0.55000000000000004">
      <c r="L1283">
        <v>1278</v>
      </c>
      <c r="M1283">
        <v>2.9932E-2</v>
      </c>
      <c r="N1283">
        <v>6032.7608620000001</v>
      </c>
    </row>
    <row r="1284" spans="12:14" x14ac:dyDescent="0.55000000000000004">
      <c r="L1284">
        <v>1279</v>
      </c>
      <c r="M1284">
        <v>2.9932E-2</v>
      </c>
      <c r="N1284">
        <v>6032.7608579999996</v>
      </c>
    </row>
    <row r="1285" spans="12:14" x14ac:dyDescent="0.55000000000000004">
      <c r="L1285">
        <v>1280</v>
      </c>
      <c r="M1285">
        <v>2.9932E-2</v>
      </c>
      <c r="N1285">
        <v>6032.7608550000004</v>
      </c>
    </row>
    <row r="1286" spans="12:14" x14ac:dyDescent="0.55000000000000004">
      <c r="L1286">
        <v>1281</v>
      </c>
      <c r="M1286">
        <v>2.9932E-2</v>
      </c>
      <c r="N1286">
        <v>6032.760851</v>
      </c>
    </row>
    <row r="1287" spans="12:14" x14ac:dyDescent="0.55000000000000004">
      <c r="L1287">
        <v>1282</v>
      </c>
      <c r="M1287">
        <v>2.9932E-2</v>
      </c>
      <c r="N1287">
        <v>6032.7608490000002</v>
      </c>
    </row>
    <row r="1288" spans="12:14" x14ac:dyDescent="0.55000000000000004">
      <c r="L1288">
        <v>1283</v>
      </c>
      <c r="M1288">
        <v>2.9932E-2</v>
      </c>
      <c r="N1288">
        <v>6032.7608460000001</v>
      </c>
    </row>
    <row r="1289" spans="12:14" x14ac:dyDescent="0.55000000000000004">
      <c r="L1289">
        <v>1284</v>
      </c>
      <c r="M1289">
        <v>2.9932E-2</v>
      </c>
      <c r="N1289">
        <v>6032.7608440000004</v>
      </c>
    </row>
    <row r="1290" spans="12:14" x14ac:dyDescent="0.55000000000000004">
      <c r="L1290">
        <v>1285</v>
      </c>
      <c r="M1290">
        <v>2.9932E-2</v>
      </c>
      <c r="N1290">
        <v>6032.7608419999997</v>
      </c>
    </row>
    <row r="1291" spans="12:14" x14ac:dyDescent="0.55000000000000004">
      <c r="L1291">
        <v>1286</v>
      </c>
      <c r="M1291">
        <v>2.9932E-2</v>
      </c>
      <c r="N1291">
        <v>6032.7608410000003</v>
      </c>
    </row>
    <row r="1292" spans="12:14" x14ac:dyDescent="0.55000000000000004">
      <c r="L1292">
        <v>1287</v>
      </c>
      <c r="M1292">
        <v>2.9932E-2</v>
      </c>
      <c r="N1292">
        <v>6032.7608389999996</v>
      </c>
    </row>
    <row r="1293" spans="12:14" x14ac:dyDescent="0.55000000000000004">
      <c r="L1293">
        <v>1288</v>
      </c>
      <c r="M1293">
        <v>2.9932E-2</v>
      </c>
      <c r="N1293">
        <v>6032.7608380000001</v>
      </c>
    </row>
    <row r="1294" spans="12:14" x14ac:dyDescent="0.55000000000000004">
      <c r="L1294">
        <v>1289</v>
      </c>
      <c r="M1294">
        <v>2.9932E-2</v>
      </c>
      <c r="N1294">
        <v>6032.7608369999998</v>
      </c>
    </row>
    <row r="1295" spans="12:14" x14ac:dyDescent="0.55000000000000004">
      <c r="L1295">
        <v>1290</v>
      </c>
      <c r="M1295">
        <v>2.9932E-2</v>
      </c>
      <c r="N1295">
        <v>6032.7608360000004</v>
      </c>
    </row>
    <row r="1296" spans="12:14" x14ac:dyDescent="0.55000000000000004">
      <c r="L1296">
        <v>1291</v>
      </c>
      <c r="M1296">
        <v>2.9932E-2</v>
      </c>
      <c r="N1296">
        <v>6032.760835</v>
      </c>
    </row>
    <row r="1297" spans="12:14" x14ac:dyDescent="0.55000000000000004">
      <c r="L1297">
        <v>1292</v>
      </c>
      <c r="M1297">
        <v>2.9932E-2</v>
      </c>
      <c r="N1297">
        <v>6032.7608339999997</v>
      </c>
    </row>
    <row r="1298" spans="12:14" x14ac:dyDescent="0.55000000000000004">
      <c r="L1298">
        <v>1293</v>
      </c>
      <c r="M1298">
        <v>2.9932E-2</v>
      </c>
      <c r="N1298">
        <v>6032.7608330000003</v>
      </c>
    </row>
    <row r="1299" spans="12:14" x14ac:dyDescent="0.55000000000000004">
      <c r="L1299">
        <v>1294</v>
      </c>
      <c r="M1299">
        <v>2.9932E-2</v>
      </c>
      <c r="N1299">
        <v>6032.7608330000003</v>
      </c>
    </row>
    <row r="1300" spans="12:14" x14ac:dyDescent="0.55000000000000004">
      <c r="L1300">
        <v>1295</v>
      </c>
      <c r="M1300">
        <v>2.9932E-2</v>
      </c>
      <c r="N1300">
        <v>6032.7608319999999</v>
      </c>
    </row>
    <row r="1301" spans="12:14" x14ac:dyDescent="0.55000000000000004">
      <c r="L1301">
        <v>1296</v>
      </c>
      <c r="M1301">
        <v>2.9932E-2</v>
      </c>
      <c r="N1301">
        <v>6032.7608319999999</v>
      </c>
    </row>
    <row r="1302" spans="12:14" x14ac:dyDescent="0.55000000000000004">
      <c r="L1302">
        <v>1297</v>
      </c>
      <c r="M1302">
        <v>2.9932E-2</v>
      </c>
      <c r="N1302">
        <v>6032.7608319999999</v>
      </c>
    </row>
    <row r="1303" spans="12:14" x14ac:dyDescent="0.55000000000000004">
      <c r="L1303">
        <v>1298</v>
      </c>
      <c r="M1303">
        <v>2.9932E-2</v>
      </c>
      <c r="N1303">
        <v>6032.7608309999996</v>
      </c>
    </row>
    <row r="1304" spans="12:14" x14ac:dyDescent="0.55000000000000004">
      <c r="L1304">
        <v>1299</v>
      </c>
      <c r="M1304">
        <v>2.9932E-2</v>
      </c>
      <c r="N1304">
        <v>6032.7608309999996</v>
      </c>
    </row>
    <row r="1305" spans="12:14" x14ac:dyDescent="0.55000000000000004">
      <c r="L1305">
        <v>1300</v>
      </c>
      <c r="M1305">
        <v>2.9932E-2</v>
      </c>
      <c r="N1305">
        <v>6032.7608309999996</v>
      </c>
    </row>
    <row r="1306" spans="12:14" x14ac:dyDescent="0.55000000000000004">
      <c r="L1306">
        <v>1301</v>
      </c>
      <c r="M1306">
        <v>2.9932E-2</v>
      </c>
      <c r="N1306">
        <v>6032.7608300000002</v>
      </c>
    </row>
    <row r="1307" spans="12:14" x14ac:dyDescent="0.55000000000000004">
      <c r="L1307">
        <v>1302</v>
      </c>
      <c r="M1307">
        <v>2.9932E-2</v>
      </c>
      <c r="N1307">
        <v>6032.7608300000002</v>
      </c>
    </row>
    <row r="1308" spans="12:14" x14ac:dyDescent="0.55000000000000004">
      <c r="L1308">
        <v>1303</v>
      </c>
      <c r="M1308">
        <v>2.9932E-2</v>
      </c>
      <c r="N1308">
        <v>6032.7608300000002</v>
      </c>
    </row>
    <row r="1309" spans="12:14" x14ac:dyDescent="0.55000000000000004">
      <c r="L1309">
        <v>1304</v>
      </c>
      <c r="M1309">
        <v>2.9932E-2</v>
      </c>
      <c r="N1309">
        <v>6032.7608300000002</v>
      </c>
    </row>
    <row r="1310" spans="12:14" x14ac:dyDescent="0.55000000000000004">
      <c r="L1310">
        <v>1305</v>
      </c>
      <c r="M1310">
        <v>2.9932E-2</v>
      </c>
      <c r="N1310">
        <v>6032.7608300000002</v>
      </c>
    </row>
    <row r="1311" spans="12:14" x14ac:dyDescent="0.55000000000000004">
      <c r="L1311">
        <v>1306</v>
      </c>
      <c r="M1311">
        <v>2.9932E-2</v>
      </c>
      <c r="N1311">
        <v>6032.7608300000002</v>
      </c>
    </row>
    <row r="1312" spans="12:14" x14ac:dyDescent="0.55000000000000004">
      <c r="L1312">
        <v>1307</v>
      </c>
      <c r="M1312">
        <v>2.9932E-2</v>
      </c>
      <c r="N1312">
        <v>6032.7608289999998</v>
      </c>
    </row>
    <row r="1313" spans="12:14" x14ac:dyDescent="0.55000000000000004">
      <c r="L1313">
        <v>1308</v>
      </c>
      <c r="M1313">
        <v>2.9932E-2</v>
      </c>
      <c r="N1313">
        <v>6032.7608289999998</v>
      </c>
    </row>
    <row r="1314" spans="12:14" x14ac:dyDescent="0.55000000000000004">
      <c r="L1314">
        <v>1309</v>
      </c>
      <c r="M1314">
        <v>2.9932E-2</v>
      </c>
      <c r="N1314">
        <v>6032.7608289999998</v>
      </c>
    </row>
    <row r="1315" spans="12:14" x14ac:dyDescent="0.55000000000000004">
      <c r="L1315">
        <v>1310</v>
      </c>
      <c r="M1315">
        <v>2.9932E-2</v>
      </c>
      <c r="N1315">
        <v>6032.7608289999998</v>
      </c>
    </row>
    <row r="1316" spans="12:14" x14ac:dyDescent="0.55000000000000004">
      <c r="L1316">
        <v>1311</v>
      </c>
      <c r="M1316">
        <v>2.9932E-2</v>
      </c>
      <c r="N1316">
        <v>6032.7608289999998</v>
      </c>
    </row>
    <row r="1317" spans="12:14" x14ac:dyDescent="0.55000000000000004">
      <c r="L1317">
        <v>1312</v>
      </c>
      <c r="M1317">
        <v>2.9932E-2</v>
      </c>
      <c r="N1317">
        <v>6032.7608289999998</v>
      </c>
    </row>
    <row r="1318" spans="12:14" x14ac:dyDescent="0.55000000000000004">
      <c r="L1318">
        <v>1313</v>
      </c>
      <c r="M1318">
        <v>2.9932E-2</v>
      </c>
      <c r="N1318">
        <v>6032.7608289999998</v>
      </c>
    </row>
    <row r="1319" spans="12:14" x14ac:dyDescent="0.55000000000000004">
      <c r="L1319">
        <v>1314</v>
      </c>
      <c r="M1319">
        <v>2.9932E-2</v>
      </c>
      <c r="N1319">
        <v>6032.7608289999998</v>
      </c>
    </row>
    <row r="1320" spans="12:14" x14ac:dyDescent="0.55000000000000004">
      <c r="L1320">
        <v>1315</v>
      </c>
      <c r="M1320">
        <v>2.9932E-2</v>
      </c>
      <c r="N1320">
        <v>6032.7608289999998</v>
      </c>
    </row>
    <row r="1321" spans="12:14" x14ac:dyDescent="0.55000000000000004">
      <c r="L1321">
        <v>1316</v>
      </c>
      <c r="M1321">
        <v>2.9932E-2</v>
      </c>
      <c r="N1321">
        <v>6032.7608289999998</v>
      </c>
    </row>
    <row r="1322" spans="12:14" x14ac:dyDescent="0.55000000000000004">
      <c r="L1322">
        <v>1317</v>
      </c>
      <c r="M1322">
        <v>2.9932E-2</v>
      </c>
      <c r="N1322">
        <v>6032.7608289999998</v>
      </c>
    </row>
    <row r="1323" spans="12:14" x14ac:dyDescent="0.55000000000000004">
      <c r="L1323">
        <v>1318</v>
      </c>
      <c r="M1323">
        <v>2.9932E-2</v>
      </c>
      <c r="N1323">
        <v>6032.7608289999998</v>
      </c>
    </row>
    <row r="1324" spans="12:14" x14ac:dyDescent="0.55000000000000004">
      <c r="L1324">
        <v>1319</v>
      </c>
      <c r="M1324">
        <v>2.9932E-2</v>
      </c>
      <c r="N1324">
        <v>6032.7608289999998</v>
      </c>
    </row>
    <row r="1325" spans="12:14" x14ac:dyDescent="0.55000000000000004">
      <c r="L1325">
        <v>1320</v>
      </c>
      <c r="M1325">
        <v>2.9932E-2</v>
      </c>
      <c r="N1325">
        <v>6032.7608289999998</v>
      </c>
    </row>
    <row r="1326" spans="12:14" x14ac:dyDescent="0.55000000000000004">
      <c r="L1326">
        <v>1321</v>
      </c>
      <c r="M1326">
        <v>2.9932E-2</v>
      </c>
      <c r="N1326">
        <v>6032.7608289999998</v>
      </c>
    </row>
    <row r="1327" spans="12:14" x14ac:dyDescent="0.55000000000000004">
      <c r="L1327">
        <v>1322</v>
      </c>
      <c r="M1327">
        <v>2.9932E-2</v>
      </c>
      <c r="N1327">
        <v>6032.7608289999998</v>
      </c>
    </row>
    <row r="1328" spans="12:14" x14ac:dyDescent="0.55000000000000004">
      <c r="L1328">
        <v>1323</v>
      </c>
      <c r="M1328">
        <v>2.9932E-2</v>
      </c>
      <c r="N1328">
        <v>6032.7608289999998</v>
      </c>
    </row>
    <row r="1329" spans="12:14" x14ac:dyDescent="0.55000000000000004">
      <c r="L1329">
        <v>1324</v>
      </c>
      <c r="M1329">
        <v>2.9932E-2</v>
      </c>
      <c r="N1329">
        <v>6032.7608289999998</v>
      </c>
    </row>
    <row r="1330" spans="12:14" x14ac:dyDescent="0.55000000000000004">
      <c r="L1330">
        <v>1325</v>
      </c>
      <c r="M1330">
        <v>2.9932E-2</v>
      </c>
      <c r="N1330">
        <v>6032.7608289999998</v>
      </c>
    </row>
    <row r="1331" spans="12:14" x14ac:dyDescent="0.55000000000000004">
      <c r="L1331">
        <v>1326</v>
      </c>
      <c r="M1331">
        <v>2.9932E-2</v>
      </c>
      <c r="N1331">
        <v>6032.7608289999998</v>
      </c>
    </row>
    <row r="1332" spans="12:14" x14ac:dyDescent="0.55000000000000004">
      <c r="L1332">
        <v>1327</v>
      </c>
      <c r="M1332">
        <v>2.9932E-2</v>
      </c>
      <c r="N1332">
        <v>6032.7608289999998</v>
      </c>
    </row>
    <row r="1333" spans="12:14" x14ac:dyDescent="0.55000000000000004">
      <c r="L1333">
        <v>1328</v>
      </c>
      <c r="M1333">
        <v>2.9932E-2</v>
      </c>
      <c r="N1333">
        <v>6032.7608289999998</v>
      </c>
    </row>
    <row r="1334" spans="12:14" x14ac:dyDescent="0.55000000000000004">
      <c r="L1334">
        <v>1329</v>
      </c>
      <c r="M1334">
        <v>2.9932E-2</v>
      </c>
      <c r="N1334">
        <v>6032.7608289999998</v>
      </c>
    </row>
    <row r="1335" spans="12:14" x14ac:dyDescent="0.55000000000000004">
      <c r="L1335">
        <v>1330</v>
      </c>
      <c r="M1335">
        <v>2.9932E-2</v>
      </c>
      <c r="N1335">
        <v>6032.7608289999998</v>
      </c>
    </row>
    <row r="1336" spans="12:14" x14ac:dyDescent="0.55000000000000004">
      <c r="L1336">
        <v>1331</v>
      </c>
      <c r="M1336">
        <v>2.9932E-2</v>
      </c>
      <c r="N1336">
        <v>6032.7608289999998</v>
      </c>
    </row>
    <row r="1337" spans="12:14" x14ac:dyDescent="0.55000000000000004">
      <c r="L1337">
        <v>1332</v>
      </c>
      <c r="M1337">
        <v>2.9932E-2</v>
      </c>
      <c r="N1337">
        <v>6032.7608289999998</v>
      </c>
    </row>
    <row r="1338" spans="12:14" x14ac:dyDescent="0.55000000000000004">
      <c r="L1338">
        <v>1333</v>
      </c>
      <c r="M1338">
        <v>2.9932E-2</v>
      </c>
      <c r="N1338">
        <v>6032.7608289999998</v>
      </c>
    </row>
    <row r="1339" spans="12:14" x14ac:dyDescent="0.55000000000000004">
      <c r="L1339">
        <v>1334</v>
      </c>
      <c r="M1339">
        <v>2.9932E-2</v>
      </c>
      <c r="N1339">
        <v>6032.7608289999998</v>
      </c>
    </row>
    <row r="1340" spans="12:14" x14ac:dyDescent="0.55000000000000004">
      <c r="L1340">
        <v>1335</v>
      </c>
      <c r="M1340">
        <v>2.9932E-2</v>
      </c>
      <c r="N1340">
        <v>6032.7608289999998</v>
      </c>
    </row>
    <row r="1341" spans="12:14" x14ac:dyDescent="0.55000000000000004">
      <c r="L1341">
        <v>1336</v>
      </c>
      <c r="M1341">
        <v>2.9932E-2</v>
      </c>
      <c r="N1341">
        <v>6032.7608289999998</v>
      </c>
    </row>
    <row r="1342" spans="12:14" x14ac:dyDescent="0.55000000000000004">
      <c r="L1342">
        <v>1337</v>
      </c>
      <c r="M1342">
        <v>2.9932E-2</v>
      </c>
      <c r="N1342">
        <v>6032.7608289999998</v>
      </c>
    </row>
    <row r="1343" spans="12:14" x14ac:dyDescent="0.55000000000000004">
      <c r="L1343">
        <v>1338</v>
      </c>
      <c r="M1343">
        <v>2.9932E-2</v>
      </c>
      <c r="N1343">
        <v>6032.7608289999998</v>
      </c>
    </row>
    <row r="1344" spans="12:14" x14ac:dyDescent="0.55000000000000004">
      <c r="L1344">
        <v>1339</v>
      </c>
      <c r="M1344">
        <v>2.9932E-2</v>
      </c>
      <c r="N1344">
        <v>6032.7608289999998</v>
      </c>
    </row>
    <row r="1345" spans="12:14" x14ac:dyDescent="0.55000000000000004">
      <c r="L1345">
        <v>1340</v>
      </c>
      <c r="M1345">
        <v>2.9932E-2</v>
      </c>
      <c r="N1345">
        <v>6032.7608289999998</v>
      </c>
    </row>
    <row r="1346" spans="12:14" x14ac:dyDescent="0.55000000000000004">
      <c r="L1346">
        <v>1341</v>
      </c>
      <c r="M1346">
        <v>2.9932E-2</v>
      </c>
      <c r="N1346">
        <v>6032.7608289999998</v>
      </c>
    </row>
    <row r="1347" spans="12:14" x14ac:dyDescent="0.55000000000000004">
      <c r="L1347">
        <v>1342</v>
      </c>
      <c r="M1347">
        <v>2.9932E-2</v>
      </c>
      <c r="N1347">
        <v>6032.7608289999998</v>
      </c>
    </row>
    <row r="1348" spans="12:14" x14ac:dyDescent="0.55000000000000004">
      <c r="L1348">
        <v>1343</v>
      </c>
      <c r="M1348">
        <v>2.9932E-2</v>
      </c>
      <c r="N1348">
        <v>6032.7608289999998</v>
      </c>
    </row>
    <row r="1349" spans="12:14" x14ac:dyDescent="0.55000000000000004">
      <c r="L1349">
        <v>1344</v>
      </c>
      <c r="M1349">
        <v>2.9932E-2</v>
      </c>
      <c r="N1349">
        <v>6032.7608289999998</v>
      </c>
    </row>
    <row r="1350" spans="12:14" x14ac:dyDescent="0.55000000000000004">
      <c r="L1350">
        <v>1345</v>
      </c>
      <c r="M1350">
        <v>2.9932E-2</v>
      </c>
      <c r="N1350">
        <v>6032.7608289999998</v>
      </c>
    </row>
    <row r="1351" spans="12:14" x14ac:dyDescent="0.55000000000000004">
      <c r="L1351">
        <v>1346</v>
      </c>
      <c r="M1351">
        <v>2.9932E-2</v>
      </c>
      <c r="N1351">
        <v>6032.7608289999998</v>
      </c>
    </row>
    <row r="1352" spans="12:14" x14ac:dyDescent="0.55000000000000004">
      <c r="L1352">
        <v>1347</v>
      </c>
      <c r="M1352">
        <v>2.9932E-2</v>
      </c>
      <c r="N1352">
        <v>6032.7608289999998</v>
      </c>
    </row>
    <row r="1353" spans="12:14" x14ac:dyDescent="0.55000000000000004">
      <c r="L1353">
        <v>1348</v>
      </c>
      <c r="M1353">
        <v>2.9932E-2</v>
      </c>
      <c r="N1353">
        <v>6032.7608289999998</v>
      </c>
    </row>
    <row r="1354" spans="12:14" x14ac:dyDescent="0.55000000000000004">
      <c r="L1354">
        <v>1349</v>
      </c>
      <c r="M1354">
        <v>2.9932E-2</v>
      </c>
      <c r="N1354">
        <v>6032.7608289999998</v>
      </c>
    </row>
    <row r="1355" spans="12:14" x14ac:dyDescent="0.55000000000000004">
      <c r="L1355">
        <v>1350</v>
      </c>
      <c r="M1355">
        <v>2.9932E-2</v>
      </c>
      <c r="N1355">
        <v>6032.7608289999998</v>
      </c>
    </row>
    <row r="1356" spans="12:14" x14ac:dyDescent="0.55000000000000004">
      <c r="L1356">
        <v>1351</v>
      </c>
      <c r="M1356">
        <v>2.9932E-2</v>
      </c>
      <c r="N1356">
        <v>6032.7608289999998</v>
      </c>
    </row>
    <row r="1357" spans="12:14" x14ac:dyDescent="0.55000000000000004">
      <c r="L1357">
        <v>1352</v>
      </c>
      <c r="M1357">
        <v>2.9932E-2</v>
      </c>
      <c r="N1357">
        <v>6032.7608289999998</v>
      </c>
    </row>
    <row r="1358" spans="12:14" x14ac:dyDescent="0.55000000000000004">
      <c r="L1358">
        <v>1353</v>
      </c>
      <c r="M1358">
        <v>2.9932E-2</v>
      </c>
      <c r="N1358">
        <v>6032.7608289999998</v>
      </c>
    </row>
    <row r="1359" spans="12:14" x14ac:dyDescent="0.55000000000000004">
      <c r="L1359">
        <v>1354</v>
      </c>
      <c r="M1359">
        <v>2.9932E-2</v>
      </c>
      <c r="N1359">
        <v>6032.7608289999998</v>
      </c>
    </row>
    <row r="1360" spans="12:14" x14ac:dyDescent="0.55000000000000004">
      <c r="L1360">
        <v>1355</v>
      </c>
      <c r="M1360">
        <v>2.9932E-2</v>
      </c>
      <c r="N1360">
        <v>6032.7608289999998</v>
      </c>
    </row>
    <row r="1361" spans="12:14" x14ac:dyDescent="0.55000000000000004">
      <c r="L1361">
        <v>1356</v>
      </c>
      <c r="M1361">
        <v>2.9932E-2</v>
      </c>
      <c r="N1361">
        <v>6032.7608289999998</v>
      </c>
    </row>
    <row r="1362" spans="12:14" x14ac:dyDescent="0.55000000000000004">
      <c r="L1362">
        <v>1357</v>
      </c>
      <c r="M1362">
        <v>2.9932E-2</v>
      </c>
      <c r="N1362">
        <v>6032.7608289999998</v>
      </c>
    </row>
    <row r="1363" spans="12:14" x14ac:dyDescent="0.55000000000000004">
      <c r="L1363">
        <v>1358</v>
      </c>
      <c r="M1363">
        <v>2.9932E-2</v>
      </c>
      <c r="N1363">
        <v>6032.7608289999998</v>
      </c>
    </row>
    <row r="1364" spans="12:14" x14ac:dyDescent="0.55000000000000004">
      <c r="L1364">
        <v>1359</v>
      </c>
      <c r="M1364">
        <v>2.9932E-2</v>
      </c>
      <c r="N1364">
        <v>6032.7608289999998</v>
      </c>
    </row>
    <row r="1365" spans="12:14" x14ac:dyDescent="0.55000000000000004">
      <c r="L1365">
        <v>1360</v>
      </c>
      <c r="M1365">
        <v>2.9932E-2</v>
      </c>
      <c r="N1365">
        <v>6032.7608289999998</v>
      </c>
    </row>
    <row r="1366" spans="12:14" x14ac:dyDescent="0.55000000000000004">
      <c r="L1366">
        <v>1361</v>
      </c>
      <c r="M1366">
        <v>2.9932E-2</v>
      </c>
      <c r="N1366">
        <v>6032.7608289999998</v>
      </c>
    </row>
    <row r="1367" spans="12:14" x14ac:dyDescent="0.55000000000000004">
      <c r="L1367">
        <v>1362</v>
      </c>
      <c r="M1367">
        <v>2.9932E-2</v>
      </c>
      <c r="N1367">
        <v>6032.7608289999998</v>
      </c>
    </row>
    <row r="1368" spans="12:14" x14ac:dyDescent="0.55000000000000004">
      <c r="L1368">
        <v>1363</v>
      </c>
      <c r="M1368">
        <v>2.9932E-2</v>
      </c>
      <c r="N1368">
        <v>6032.7608289999998</v>
      </c>
    </row>
    <row r="1369" spans="12:14" x14ac:dyDescent="0.55000000000000004">
      <c r="L1369">
        <v>1364</v>
      </c>
      <c r="M1369">
        <v>2.9932E-2</v>
      </c>
      <c r="N1369">
        <v>6032.7608289999998</v>
      </c>
    </row>
    <row r="1370" spans="12:14" x14ac:dyDescent="0.55000000000000004">
      <c r="L1370">
        <v>1365</v>
      </c>
      <c r="M1370">
        <v>2.9932E-2</v>
      </c>
      <c r="N1370">
        <v>6032.7608289999998</v>
      </c>
    </row>
    <row r="1371" spans="12:14" x14ac:dyDescent="0.55000000000000004">
      <c r="L1371">
        <v>1366</v>
      </c>
      <c r="M1371">
        <v>2.9932E-2</v>
      </c>
      <c r="N1371">
        <v>6032.7608289999998</v>
      </c>
    </row>
    <row r="1372" spans="12:14" x14ac:dyDescent="0.55000000000000004">
      <c r="L1372">
        <v>1367</v>
      </c>
      <c r="M1372">
        <v>2.9932E-2</v>
      </c>
      <c r="N1372">
        <v>6032.7608289999998</v>
      </c>
    </row>
    <row r="1373" spans="12:14" x14ac:dyDescent="0.55000000000000004">
      <c r="L1373">
        <v>1368</v>
      </c>
      <c r="M1373">
        <v>2.9932E-2</v>
      </c>
      <c r="N1373">
        <v>6032.7608289999998</v>
      </c>
    </row>
    <row r="1374" spans="12:14" x14ac:dyDescent="0.55000000000000004">
      <c r="L1374">
        <v>1369</v>
      </c>
      <c r="M1374">
        <v>2.9932E-2</v>
      </c>
      <c r="N1374">
        <v>6032.7608289999998</v>
      </c>
    </row>
    <row r="1375" spans="12:14" x14ac:dyDescent="0.55000000000000004">
      <c r="L1375">
        <v>1370</v>
      </c>
      <c r="M1375">
        <v>2.9932E-2</v>
      </c>
      <c r="N1375">
        <v>6032.7608289999998</v>
      </c>
    </row>
    <row r="1376" spans="12:14" x14ac:dyDescent="0.55000000000000004">
      <c r="L1376">
        <v>1371</v>
      </c>
      <c r="M1376">
        <v>2.9932E-2</v>
      </c>
      <c r="N1376">
        <v>6032.7608289999998</v>
      </c>
    </row>
    <row r="1377" spans="12:14" x14ac:dyDescent="0.55000000000000004">
      <c r="L1377">
        <v>1372</v>
      </c>
      <c r="M1377">
        <v>2.9932E-2</v>
      </c>
      <c r="N1377">
        <v>6032.7608289999998</v>
      </c>
    </row>
    <row r="1378" spans="12:14" x14ac:dyDescent="0.55000000000000004">
      <c r="L1378">
        <v>1373</v>
      </c>
      <c r="M1378">
        <v>2.9932E-2</v>
      </c>
      <c r="N1378">
        <v>6032.7608289999998</v>
      </c>
    </row>
    <row r="1379" spans="12:14" x14ac:dyDescent="0.55000000000000004">
      <c r="L1379">
        <v>1374</v>
      </c>
      <c r="M1379">
        <v>2.9932E-2</v>
      </c>
      <c r="N1379">
        <v>6032.7608289999998</v>
      </c>
    </row>
    <row r="1380" spans="12:14" x14ac:dyDescent="0.55000000000000004">
      <c r="L1380">
        <v>1375</v>
      </c>
      <c r="M1380">
        <v>2.9932E-2</v>
      </c>
      <c r="N1380">
        <v>6032.7608289999998</v>
      </c>
    </row>
    <row r="1381" spans="12:14" x14ac:dyDescent="0.55000000000000004">
      <c r="L1381">
        <v>1376</v>
      </c>
      <c r="M1381">
        <v>2.9932E-2</v>
      </c>
      <c r="N1381">
        <v>6032.7608289999998</v>
      </c>
    </row>
    <row r="1382" spans="12:14" x14ac:dyDescent="0.55000000000000004">
      <c r="L1382">
        <v>1377</v>
      </c>
      <c r="M1382">
        <v>2.9932E-2</v>
      </c>
      <c r="N1382">
        <v>6032.7608289999998</v>
      </c>
    </row>
    <row r="1383" spans="12:14" x14ac:dyDescent="0.55000000000000004">
      <c r="L1383">
        <v>1378</v>
      </c>
      <c r="M1383">
        <v>2.9932E-2</v>
      </c>
      <c r="N1383">
        <v>6032.7608289999998</v>
      </c>
    </row>
    <row r="1384" spans="12:14" x14ac:dyDescent="0.55000000000000004">
      <c r="L1384">
        <v>1379</v>
      </c>
      <c r="M1384">
        <v>2.9932E-2</v>
      </c>
      <c r="N1384">
        <v>6032.7608289999998</v>
      </c>
    </row>
    <row r="1385" spans="12:14" x14ac:dyDescent="0.55000000000000004">
      <c r="L1385">
        <v>1380</v>
      </c>
      <c r="M1385">
        <v>2.9932E-2</v>
      </c>
      <c r="N1385">
        <v>6032.7608289999998</v>
      </c>
    </row>
    <row r="1386" spans="12:14" x14ac:dyDescent="0.55000000000000004">
      <c r="L1386">
        <v>1381</v>
      </c>
      <c r="M1386">
        <v>2.9932E-2</v>
      </c>
      <c r="N1386">
        <v>6032.7608289999998</v>
      </c>
    </row>
    <row r="1387" spans="12:14" x14ac:dyDescent="0.55000000000000004">
      <c r="L1387">
        <v>1382</v>
      </c>
      <c r="M1387">
        <v>2.9932E-2</v>
      </c>
      <c r="N1387">
        <v>6032.7608289999998</v>
      </c>
    </row>
    <row r="1388" spans="12:14" x14ac:dyDescent="0.55000000000000004">
      <c r="L1388">
        <v>1383</v>
      </c>
      <c r="M1388">
        <v>2.9932E-2</v>
      </c>
      <c r="N1388">
        <v>6032.7608289999998</v>
      </c>
    </row>
    <row r="1389" spans="12:14" x14ac:dyDescent="0.55000000000000004">
      <c r="L1389">
        <v>1384</v>
      </c>
      <c r="M1389">
        <v>2.9932E-2</v>
      </c>
      <c r="N1389">
        <v>6032.7608289999998</v>
      </c>
    </row>
    <row r="1390" spans="12:14" x14ac:dyDescent="0.55000000000000004">
      <c r="L1390">
        <v>1385</v>
      </c>
      <c r="M1390">
        <v>2.9932E-2</v>
      </c>
      <c r="N1390">
        <v>6032.7608289999998</v>
      </c>
    </row>
    <row r="1391" spans="12:14" x14ac:dyDescent="0.55000000000000004">
      <c r="L1391">
        <v>1386</v>
      </c>
      <c r="M1391">
        <v>2.9932E-2</v>
      </c>
      <c r="N1391">
        <v>6032.7608289999998</v>
      </c>
    </row>
    <row r="1392" spans="12:14" x14ac:dyDescent="0.55000000000000004">
      <c r="L1392">
        <v>1387</v>
      </c>
      <c r="M1392">
        <v>2.9932E-2</v>
      </c>
      <c r="N1392">
        <v>6032.7608289999998</v>
      </c>
    </row>
    <row r="1393" spans="12:14" x14ac:dyDescent="0.55000000000000004">
      <c r="L1393">
        <v>1388</v>
      </c>
      <c r="M1393">
        <v>2.9932E-2</v>
      </c>
      <c r="N1393">
        <v>6032.7608289999998</v>
      </c>
    </row>
    <row r="1394" spans="12:14" x14ac:dyDescent="0.55000000000000004">
      <c r="L1394">
        <v>1389</v>
      </c>
      <c r="M1394">
        <v>2.9932E-2</v>
      </c>
      <c r="N1394">
        <v>6032.7608289999998</v>
      </c>
    </row>
    <row r="1395" spans="12:14" x14ac:dyDescent="0.55000000000000004">
      <c r="L1395">
        <v>1390</v>
      </c>
      <c r="M1395">
        <v>2.9932E-2</v>
      </c>
      <c r="N1395">
        <v>6032.7608289999998</v>
      </c>
    </row>
    <row r="1396" spans="12:14" x14ac:dyDescent="0.55000000000000004">
      <c r="L1396">
        <v>1391</v>
      </c>
      <c r="M1396">
        <v>2.9932E-2</v>
      </c>
      <c r="N1396">
        <v>6032.7608289999998</v>
      </c>
    </row>
    <row r="1397" spans="12:14" x14ac:dyDescent="0.55000000000000004">
      <c r="L1397">
        <v>1392</v>
      </c>
      <c r="M1397">
        <v>2.9932E-2</v>
      </c>
      <c r="N1397">
        <v>6032.7608289999998</v>
      </c>
    </row>
    <row r="1398" spans="12:14" x14ac:dyDescent="0.55000000000000004">
      <c r="L1398">
        <v>1393</v>
      </c>
      <c r="M1398">
        <v>2.9932E-2</v>
      </c>
      <c r="N1398">
        <v>6032.7608289999998</v>
      </c>
    </row>
    <row r="1399" spans="12:14" x14ac:dyDescent="0.55000000000000004">
      <c r="L1399">
        <v>1394</v>
      </c>
      <c r="M1399">
        <v>2.9932E-2</v>
      </c>
      <c r="N1399">
        <v>6032.7608289999998</v>
      </c>
    </row>
    <row r="1400" spans="12:14" x14ac:dyDescent="0.55000000000000004">
      <c r="L1400">
        <v>1395</v>
      </c>
      <c r="M1400">
        <v>2.9932E-2</v>
      </c>
      <c r="N1400">
        <v>6032.7608289999998</v>
      </c>
    </row>
    <row r="1401" spans="12:14" x14ac:dyDescent="0.55000000000000004">
      <c r="L1401">
        <v>1396</v>
      </c>
      <c r="M1401">
        <v>2.9932E-2</v>
      </c>
      <c r="N1401">
        <v>6032.7608289999998</v>
      </c>
    </row>
    <row r="1402" spans="12:14" x14ac:dyDescent="0.55000000000000004">
      <c r="L1402">
        <v>1397</v>
      </c>
      <c r="M1402">
        <v>2.9932E-2</v>
      </c>
      <c r="N1402">
        <v>6032.7608289999998</v>
      </c>
    </row>
    <row r="1403" spans="12:14" x14ac:dyDescent="0.55000000000000004">
      <c r="L1403">
        <v>1398</v>
      </c>
      <c r="M1403">
        <v>2.9932E-2</v>
      </c>
      <c r="N1403">
        <v>6032.7608289999998</v>
      </c>
    </row>
    <row r="1404" spans="12:14" x14ac:dyDescent="0.55000000000000004">
      <c r="L1404">
        <v>1399</v>
      </c>
      <c r="M1404">
        <v>2.9932E-2</v>
      </c>
      <c r="N1404">
        <v>6032.7608289999998</v>
      </c>
    </row>
    <row r="1405" spans="12:14" x14ac:dyDescent="0.55000000000000004">
      <c r="L1405">
        <v>1400</v>
      </c>
      <c r="M1405">
        <v>2.9932E-2</v>
      </c>
      <c r="N1405">
        <v>6032.7608289999998</v>
      </c>
    </row>
    <row r="1406" spans="12:14" x14ac:dyDescent="0.55000000000000004">
      <c r="L1406">
        <v>1401</v>
      </c>
      <c r="M1406">
        <v>2.9932E-2</v>
      </c>
      <c r="N1406">
        <v>6032.7608289999998</v>
      </c>
    </row>
    <row r="1407" spans="12:14" x14ac:dyDescent="0.55000000000000004">
      <c r="L1407">
        <v>1402</v>
      </c>
      <c r="M1407">
        <v>2.9932E-2</v>
      </c>
      <c r="N1407">
        <v>6032.7608289999998</v>
      </c>
    </row>
    <row r="1408" spans="12:14" x14ac:dyDescent="0.55000000000000004">
      <c r="L1408">
        <v>1403</v>
      </c>
      <c r="M1408">
        <v>2.9932E-2</v>
      </c>
      <c r="N1408">
        <v>6032.7608289999998</v>
      </c>
    </row>
    <row r="1409" spans="12:14" x14ac:dyDescent="0.55000000000000004">
      <c r="L1409">
        <v>1404</v>
      </c>
      <c r="M1409">
        <v>2.9932E-2</v>
      </c>
      <c r="N1409">
        <v>6032.7608289999998</v>
      </c>
    </row>
    <row r="1410" spans="12:14" x14ac:dyDescent="0.55000000000000004">
      <c r="L1410">
        <v>1405</v>
      </c>
      <c r="M1410">
        <v>2.9932E-2</v>
      </c>
      <c r="N1410">
        <v>6032.7608289999998</v>
      </c>
    </row>
    <row r="1411" spans="12:14" x14ac:dyDescent="0.55000000000000004">
      <c r="L1411">
        <v>1406</v>
      </c>
      <c r="M1411">
        <v>2.9932E-2</v>
      </c>
      <c r="N1411">
        <v>6032.7608289999998</v>
      </c>
    </row>
    <row r="1412" spans="12:14" x14ac:dyDescent="0.55000000000000004">
      <c r="L1412">
        <v>1407</v>
      </c>
      <c r="M1412">
        <v>2.9932E-2</v>
      </c>
      <c r="N1412">
        <v>6032.7608289999998</v>
      </c>
    </row>
    <row r="1413" spans="12:14" x14ac:dyDescent="0.55000000000000004">
      <c r="L1413">
        <v>1408</v>
      </c>
      <c r="M1413">
        <v>2.9932E-2</v>
      </c>
      <c r="N1413">
        <v>6032.7608289999998</v>
      </c>
    </row>
    <row r="1414" spans="12:14" x14ac:dyDescent="0.55000000000000004">
      <c r="L1414">
        <v>1409</v>
      </c>
      <c r="M1414">
        <v>2.9932E-2</v>
      </c>
      <c r="N1414">
        <v>6032.7608289999998</v>
      </c>
    </row>
    <row r="1415" spans="12:14" x14ac:dyDescent="0.55000000000000004">
      <c r="L1415">
        <v>1410</v>
      </c>
      <c r="M1415">
        <v>2.9932E-2</v>
      </c>
      <c r="N1415">
        <v>6032.7608289999998</v>
      </c>
    </row>
    <row r="1416" spans="12:14" x14ac:dyDescent="0.55000000000000004">
      <c r="L1416">
        <v>1411</v>
      </c>
      <c r="M1416">
        <v>2.9932E-2</v>
      </c>
      <c r="N1416">
        <v>6032.7608289999998</v>
      </c>
    </row>
    <row r="1417" spans="12:14" x14ac:dyDescent="0.55000000000000004">
      <c r="L1417">
        <v>1412</v>
      </c>
      <c r="M1417">
        <v>2.9932E-2</v>
      </c>
      <c r="N1417">
        <v>6032.7608289999998</v>
      </c>
    </row>
    <row r="1418" spans="12:14" x14ac:dyDescent="0.55000000000000004">
      <c r="L1418">
        <v>1413</v>
      </c>
      <c r="M1418">
        <v>2.9932E-2</v>
      </c>
      <c r="N1418">
        <v>6032.7608289999998</v>
      </c>
    </row>
    <row r="1419" spans="12:14" x14ac:dyDescent="0.55000000000000004">
      <c r="L1419">
        <v>1414</v>
      </c>
      <c r="M1419">
        <v>2.9932E-2</v>
      </c>
      <c r="N1419">
        <v>6032.7608289999998</v>
      </c>
    </row>
    <row r="1420" spans="12:14" x14ac:dyDescent="0.55000000000000004">
      <c r="L1420">
        <v>1415</v>
      </c>
      <c r="M1420">
        <v>2.9932E-2</v>
      </c>
      <c r="N1420">
        <v>6032.7608289999998</v>
      </c>
    </row>
    <row r="1421" spans="12:14" x14ac:dyDescent="0.55000000000000004">
      <c r="L1421">
        <v>1416</v>
      </c>
      <c r="M1421">
        <v>2.9932E-2</v>
      </c>
      <c r="N1421">
        <v>6032.7608289999998</v>
      </c>
    </row>
    <row r="1422" spans="12:14" x14ac:dyDescent="0.55000000000000004">
      <c r="L1422">
        <v>1417</v>
      </c>
      <c r="M1422">
        <v>2.9932E-2</v>
      </c>
      <c r="N1422">
        <v>6032.7608289999998</v>
      </c>
    </row>
    <row r="1423" spans="12:14" x14ac:dyDescent="0.55000000000000004">
      <c r="L1423">
        <v>1418</v>
      </c>
      <c r="M1423">
        <v>2.9932E-2</v>
      </c>
      <c r="N1423">
        <v>6032.7608289999998</v>
      </c>
    </row>
    <row r="1424" spans="12:14" x14ac:dyDescent="0.55000000000000004">
      <c r="L1424">
        <v>1419</v>
      </c>
      <c r="M1424">
        <v>2.9932E-2</v>
      </c>
      <c r="N1424">
        <v>6032.7608289999998</v>
      </c>
    </row>
    <row r="1425" spans="12:14" x14ac:dyDescent="0.55000000000000004">
      <c r="L1425">
        <v>1420</v>
      </c>
      <c r="M1425">
        <v>2.9932E-2</v>
      </c>
      <c r="N1425">
        <v>6032.7608289999998</v>
      </c>
    </row>
    <row r="1426" spans="12:14" x14ac:dyDescent="0.55000000000000004">
      <c r="L1426">
        <v>1421</v>
      </c>
      <c r="M1426">
        <v>2.9932E-2</v>
      </c>
      <c r="N1426">
        <v>6032.7608289999998</v>
      </c>
    </row>
    <row r="1427" spans="12:14" x14ac:dyDescent="0.55000000000000004">
      <c r="L1427">
        <v>1422</v>
      </c>
      <c r="M1427">
        <v>2.9932E-2</v>
      </c>
      <c r="N1427">
        <v>6032.7608289999998</v>
      </c>
    </row>
    <row r="1428" spans="12:14" x14ac:dyDescent="0.55000000000000004">
      <c r="L1428">
        <v>1423</v>
      </c>
      <c r="M1428">
        <v>2.9932E-2</v>
      </c>
      <c r="N1428">
        <v>6032.7608289999998</v>
      </c>
    </row>
    <row r="1429" spans="12:14" x14ac:dyDescent="0.55000000000000004">
      <c r="L1429">
        <v>1424</v>
      </c>
      <c r="M1429">
        <v>2.9932E-2</v>
      </c>
      <c r="N1429">
        <v>6032.7608289999998</v>
      </c>
    </row>
    <row r="1430" spans="12:14" x14ac:dyDescent="0.55000000000000004">
      <c r="L1430">
        <v>1425</v>
      </c>
      <c r="M1430">
        <v>2.9932E-2</v>
      </c>
      <c r="N1430">
        <v>6032.7608289999998</v>
      </c>
    </row>
    <row r="1431" spans="12:14" x14ac:dyDescent="0.55000000000000004">
      <c r="L1431">
        <v>1426</v>
      </c>
      <c r="M1431">
        <v>2.9932E-2</v>
      </c>
      <c r="N1431">
        <v>6032.7608289999998</v>
      </c>
    </row>
    <row r="1432" spans="12:14" x14ac:dyDescent="0.55000000000000004">
      <c r="L1432">
        <v>1427</v>
      </c>
      <c r="M1432">
        <v>2.9932E-2</v>
      </c>
      <c r="N1432">
        <v>6032.7608289999998</v>
      </c>
    </row>
    <row r="1433" spans="12:14" x14ac:dyDescent="0.55000000000000004">
      <c r="L1433">
        <v>1428</v>
      </c>
      <c r="M1433">
        <v>2.9932E-2</v>
      </c>
      <c r="N1433">
        <v>6032.7608289999998</v>
      </c>
    </row>
    <row r="1434" spans="12:14" x14ac:dyDescent="0.55000000000000004">
      <c r="L1434">
        <v>1429</v>
      </c>
      <c r="M1434">
        <v>2.9932E-2</v>
      </c>
      <c r="N1434">
        <v>6032.7608289999998</v>
      </c>
    </row>
    <row r="1435" spans="12:14" x14ac:dyDescent="0.55000000000000004">
      <c r="L1435">
        <v>1430</v>
      </c>
      <c r="M1435">
        <v>2.9932E-2</v>
      </c>
      <c r="N1435">
        <v>6032.7608289999998</v>
      </c>
    </row>
    <row r="1436" spans="12:14" x14ac:dyDescent="0.55000000000000004">
      <c r="L1436">
        <v>1431</v>
      </c>
      <c r="M1436">
        <v>2.9932E-2</v>
      </c>
      <c r="N1436">
        <v>6032.7608289999998</v>
      </c>
    </row>
    <row r="1437" spans="12:14" x14ac:dyDescent="0.55000000000000004">
      <c r="L1437">
        <v>1432</v>
      </c>
      <c r="M1437">
        <v>2.9932E-2</v>
      </c>
      <c r="N1437">
        <v>6032.7608289999998</v>
      </c>
    </row>
    <row r="1438" spans="12:14" x14ac:dyDescent="0.55000000000000004">
      <c r="L1438">
        <v>1433</v>
      </c>
      <c r="M1438">
        <v>2.9932E-2</v>
      </c>
      <c r="N1438">
        <v>6032.7608289999998</v>
      </c>
    </row>
    <row r="1439" spans="12:14" x14ac:dyDescent="0.55000000000000004">
      <c r="L1439">
        <v>1434</v>
      </c>
      <c r="M1439">
        <v>2.9932E-2</v>
      </c>
      <c r="N1439">
        <v>6032.7608289999998</v>
      </c>
    </row>
    <row r="1440" spans="12:14" x14ac:dyDescent="0.55000000000000004">
      <c r="L1440">
        <v>1435</v>
      </c>
      <c r="M1440">
        <v>2.9932E-2</v>
      </c>
      <c r="N1440">
        <v>6032.7608289999998</v>
      </c>
    </row>
    <row r="1441" spans="12:14" x14ac:dyDescent="0.55000000000000004">
      <c r="L1441">
        <v>1436</v>
      </c>
      <c r="M1441">
        <v>2.9932E-2</v>
      </c>
      <c r="N1441">
        <v>6032.7608289999998</v>
      </c>
    </row>
    <row r="1442" spans="12:14" x14ac:dyDescent="0.55000000000000004">
      <c r="L1442">
        <v>1437</v>
      </c>
      <c r="M1442">
        <v>2.9932E-2</v>
      </c>
      <c r="N1442">
        <v>6032.7608289999998</v>
      </c>
    </row>
    <row r="1443" spans="12:14" x14ac:dyDescent="0.55000000000000004">
      <c r="L1443">
        <v>1438</v>
      </c>
      <c r="M1443">
        <v>2.9932E-2</v>
      </c>
      <c r="N1443">
        <v>6032.7608289999998</v>
      </c>
    </row>
    <row r="1444" spans="12:14" x14ac:dyDescent="0.55000000000000004">
      <c r="L1444">
        <v>1439</v>
      </c>
      <c r="M1444">
        <v>2.9932E-2</v>
      </c>
      <c r="N1444">
        <v>6032.7608289999998</v>
      </c>
    </row>
    <row r="1445" spans="12:14" x14ac:dyDescent="0.55000000000000004">
      <c r="L1445">
        <v>1440</v>
      </c>
      <c r="M1445">
        <v>2.9932E-2</v>
      </c>
      <c r="N1445">
        <v>6032.7608289999998</v>
      </c>
    </row>
    <row r="1446" spans="12:14" x14ac:dyDescent="0.55000000000000004">
      <c r="L1446">
        <v>1441</v>
      </c>
      <c r="M1446">
        <v>2.9932E-2</v>
      </c>
      <c r="N1446">
        <v>6032.7608289999998</v>
      </c>
    </row>
    <row r="1447" spans="12:14" x14ac:dyDescent="0.55000000000000004">
      <c r="L1447">
        <v>1442</v>
      </c>
      <c r="M1447">
        <v>2.9932E-2</v>
      </c>
      <c r="N1447">
        <v>6032.7608289999998</v>
      </c>
    </row>
    <row r="1448" spans="12:14" x14ac:dyDescent="0.55000000000000004">
      <c r="L1448">
        <v>1443</v>
      </c>
      <c r="M1448">
        <v>2.9932E-2</v>
      </c>
      <c r="N1448">
        <v>6032.7608289999998</v>
      </c>
    </row>
    <row r="1449" spans="12:14" x14ac:dyDescent="0.55000000000000004">
      <c r="L1449">
        <v>1444</v>
      </c>
      <c r="M1449">
        <v>2.9932E-2</v>
      </c>
      <c r="N1449">
        <v>6032.7608289999998</v>
      </c>
    </row>
    <row r="1450" spans="12:14" x14ac:dyDescent="0.55000000000000004">
      <c r="L1450">
        <v>1445</v>
      </c>
      <c r="M1450">
        <v>2.9932E-2</v>
      </c>
      <c r="N1450">
        <v>6032.7608289999998</v>
      </c>
    </row>
    <row r="1451" spans="12:14" x14ac:dyDescent="0.55000000000000004">
      <c r="L1451">
        <v>1446</v>
      </c>
      <c r="M1451">
        <v>2.9932E-2</v>
      </c>
      <c r="N1451">
        <v>6032.7608289999998</v>
      </c>
    </row>
    <row r="1452" spans="12:14" x14ac:dyDescent="0.55000000000000004">
      <c r="L1452">
        <v>1447</v>
      </c>
      <c r="M1452">
        <v>2.9932E-2</v>
      </c>
      <c r="N1452">
        <v>6032.7608289999998</v>
      </c>
    </row>
    <row r="1453" spans="12:14" x14ac:dyDescent="0.55000000000000004">
      <c r="L1453">
        <v>1448</v>
      </c>
      <c r="M1453">
        <v>2.9932E-2</v>
      </c>
      <c r="N1453">
        <v>6032.7608289999998</v>
      </c>
    </row>
    <row r="1454" spans="12:14" x14ac:dyDescent="0.55000000000000004">
      <c r="L1454">
        <v>1449</v>
      </c>
      <c r="M1454">
        <v>2.9932E-2</v>
      </c>
      <c r="N1454">
        <v>6032.7608289999998</v>
      </c>
    </row>
    <row r="1455" spans="12:14" x14ac:dyDescent="0.55000000000000004">
      <c r="L1455">
        <v>1450</v>
      </c>
      <c r="M1455">
        <v>2.9932E-2</v>
      </c>
      <c r="N1455">
        <v>6032.7608289999998</v>
      </c>
    </row>
    <row r="1456" spans="12:14" x14ac:dyDescent="0.55000000000000004">
      <c r="L1456">
        <v>1451</v>
      </c>
      <c r="M1456">
        <v>2.9932E-2</v>
      </c>
      <c r="N1456">
        <v>6032.7608289999998</v>
      </c>
    </row>
    <row r="1457" spans="12:14" x14ac:dyDescent="0.55000000000000004">
      <c r="L1457">
        <v>1452</v>
      </c>
      <c r="M1457">
        <v>2.9932E-2</v>
      </c>
      <c r="N1457">
        <v>6032.7608289999998</v>
      </c>
    </row>
    <row r="1458" spans="12:14" x14ac:dyDescent="0.55000000000000004">
      <c r="L1458">
        <v>1453</v>
      </c>
      <c r="M1458">
        <v>2.9932E-2</v>
      </c>
      <c r="N1458">
        <v>6032.7608289999998</v>
      </c>
    </row>
    <row r="1459" spans="12:14" x14ac:dyDescent="0.55000000000000004">
      <c r="L1459">
        <v>1454</v>
      </c>
      <c r="M1459">
        <v>2.9932E-2</v>
      </c>
      <c r="N1459">
        <v>6032.7608289999998</v>
      </c>
    </row>
    <row r="1460" spans="12:14" x14ac:dyDescent="0.55000000000000004">
      <c r="L1460">
        <v>1455</v>
      </c>
      <c r="M1460">
        <v>2.9932E-2</v>
      </c>
      <c r="N1460">
        <v>6032.7608289999998</v>
      </c>
    </row>
    <row r="1461" spans="12:14" x14ac:dyDescent="0.55000000000000004">
      <c r="L1461">
        <v>1456</v>
      </c>
      <c r="M1461">
        <v>2.9932E-2</v>
      </c>
      <c r="N1461">
        <v>6032.7608289999998</v>
      </c>
    </row>
    <row r="1462" spans="12:14" x14ac:dyDescent="0.55000000000000004">
      <c r="L1462">
        <v>1457</v>
      </c>
      <c r="M1462">
        <v>2.9932E-2</v>
      </c>
      <c r="N1462">
        <v>6032.7608289999998</v>
      </c>
    </row>
    <row r="1463" spans="12:14" x14ac:dyDescent="0.55000000000000004">
      <c r="L1463">
        <v>1458</v>
      </c>
      <c r="M1463">
        <v>2.9932E-2</v>
      </c>
      <c r="N1463">
        <v>6032.7608289999998</v>
      </c>
    </row>
    <row r="1464" spans="12:14" x14ac:dyDescent="0.55000000000000004">
      <c r="L1464">
        <v>1459</v>
      </c>
      <c r="M1464">
        <v>2.9932E-2</v>
      </c>
      <c r="N1464">
        <v>6032.7608289999998</v>
      </c>
    </row>
    <row r="1465" spans="12:14" x14ac:dyDescent="0.55000000000000004">
      <c r="L1465">
        <v>1460</v>
      </c>
      <c r="M1465">
        <v>2.9932E-2</v>
      </c>
      <c r="N1465">
        <v>6032.7608289999998</v>
      </c>
    </row>
    <row r="1466" spans="12:14" x14ac:dyDescent="0.55000000000000004">
      <c r="L1466">
        <v>1461</v>
      </c>
      <c r="M1466">
        <v>2.9932E-2</v>
      </c>
      <c r="N1466">
        <v>6032.7608289999998</v>
      </c>
    </row>
    <row r="1467" spans="12:14" x14ac:dyDescent="0.55000000000000004">
      <c r="L1467">
        <v>1462</v>
      </c>
      <c r="M1467">
        <v>2.9932E-2</v>
      </c>
      <c r="N1467">
        <v>6032.7608289999998</v>
      </c>
    </row>
    <row r="1468" spans="12:14" x14ac:dyDescent="0.55000000000000004">
      <c r="L1468">
        <v>1463</v>
      </c>
      <c r="M1468">
        <v>2.9932E-2</v>
      </c>
      <c r="N1468">
        <v>6032.7608289999998</v>
      </c>
    </row>
    <row r="1469" spans="12:14" x14ac:dyDescent="0.55000000000000004">
      <c r="L1469">
        <v>1464</v>
      </c>
      <c r="M1469">
        <v>2.9932E-2</v>
      </c>
      <c r="N1469">
        <v>6032.7608289999998</v>
      </c>
    </row>
    <row r="1470" spans="12:14" x14ac:dyDescent="0.55000000000000004">
      <c r="L1470">
        <v>1465</v>
      </c>
      <c r="M1470">
        <v>2.9932E-2</v>
      </c>
      <c r="N1470">
        <v>6032.7608289999998</v>
      </c>
    </row>
    <row r="1471" spans="12:14" x14ac:dyDescent="0.55000000000000004">
      <c r="L1471">
        <v>1466</v>
      </c>
      <c r="M1471">
        <v>2.9932E-2</v>
      </c>
      <c r="N1471">
        <v>6032.7608289999998</v>
      </c>
    </row>
    <row r="1472" spans="12:14" x14ac:dyDescent="0.55000000000000004">
      <c r="L1472">
        <v>1467</v>
      </c>
      <c r="M1472">
        <v>2.9932E-2</v>
      </c>
      <c r="N1472">
        <v>6032.7608289999998</v>
      </c>
    </row>
    <row r="1473" spans="12:14" x14ac:dyDescent="0.55000000000000004">
      <c r="L1473">
        <v>1468</v>
      </c>
      <c r="M1473">
        <v>2.9932E-2</v>
      </c>
      <c r="N1473">
        <v>6032.7608289999998</v>
      </c>
    </row>
    <row r="1474" spans="12:14" x14ac:dyDescent="0.55000000000000004">
      <c r="L1474">
        <v>1469</v>
      </c>
      <c r="M1474">
        <v>2.9932E-2</v>
      </c>
      <c r="N1474">
        <v>6032.7608289999998</v>
      </c>
    </row>
    <row r="1475" spans="12:14" x14ac:dyDescent="0.55000000000000004">
      <c r="L1475">
        <v>1470</v>
      </c>
      <c r="M1475">
        <v>2.9932E-2</v>
      </c>
      <c r="N1475">
        <v>6032.7608289999998</v>
      </c>
    </row>
    <row r="1476" spans="12:14" x14ac:dyDescent="0.55000000000000004">
      <c r="L1476">
        <v>1471</v>
      </c>
      <c r="M1476">
        <v>2.9932E-2</v>
      </c>
      <c r="N1476">
        <v>6032.7608289999998</v>
      </c>
    </row>
    <row r="1477" spans="12:14" x14ac:dyDescent="0.55000000000000004">
      <c r="L1477">
        <v>1472</v>
      </c>
      <c r="M1477">
        <v>2.9932E-2</v>
      </c>
      <c r="N1477">
        <v>6032.7608289999998</v>
      </c>
    </row>
    <row r="1478" spans="12:14" x14ac:dyDescent="0.55000000000000004">
      <c r="L1478">
        <v>1473</v>
      </c>
      <c r="M1478">
        <v>2.9932E-2</v>
      </c>
      <c r="N1478">
        <v>6032.7608289999998</v>
      </c>
    </row>
    <row r="1479" spans="12:14" x14ac:dyDescent="0.55000000000000004">
      <c r="L1479">
        <v>1474</v>
      </c>
      <c r="M1479">
        <v>2.9932E-2</v>
      </c>
      <c r="N1479">
        <v>6032.7608289999998</v>
      </c>
    </row>
    <row r="1480" spans="12:14" x14ac:dyDescent="0.55000000000000004">
      <c r="L1480">
        <v>1475</v>
      </c>
      <c r="M1480">
        <v>2.9932E-2</v>
      </c>
      <c r="N1480">
        <v>6032.7608289999998</v>
      </c>
    </row>
    <row r="1481" spans="12:14" x14ac:dyDescent="0.55000000000000004">
      <c r="L1481">
        <v>1476</v>
      </c>
      <c r="M1481">
        <v>2.9932E-2</v>
      </c>
      <c r="N1481">
        <v>6032.7608289999998</v>
      </c>
    </row>
    <row r="1482" spans="12:14" x14ac:dyDescent="0.55000000000000004">
      <c r="L1482">
        <v>1477</v>
      </c>
      <c r="M1482">
        <v>2.9932E-2</v>
      </c>
      <c r="N1482">
        <v>6032.7608289999998</v>
      </c>
    </row>
    <row r="1483" spans="12:14" x14ac:dyDescent="0.55000000000000004">
      <c r="L1483">
        <v>1478</v>
      </c>
      <c r="M1483">
        <v>2.9932E-2</v>
      </c>
      <c r="N1483">
        <v>6032.7608289999998</v>
      </c>
    </row>
    <row r="1484" spans="12:14" x14ac:dyDescent="0.55000000000000004">
      <c r="L1484">
        <v>1479</v>
      </c>
      <c r="M1484">
        <v>2.9932E-2</v>
      </c>
      <c r="N1484">
        <v>6032.7608289999998</v>
      </c>
    </row>
    <row r="1485" spans="12:14" x14ac:dyDescent="0.55000000000000004">
      <c r="L1485">
        <v>1480</v>
      </c>
      <c r="M1485">
        <v>2.9932E-2</v>
      </c>
      <c r="N1485">
        <v>6032.7608289999998</v>
      </c>
    </row>
    <row r="1486" spans="12:14" x14ac:dyDescent="0.55000000000000004">
      <c r="L1486">
        <v>1481</v>
      </c>
      <c r="M1486">
        <v>2.9932E-2</v>
      </c>
      <c r="N1486">
        <v>6032.7608289999998</v>
      </c>
    </row>
    <row r="1487" spans="12:14" x14ac:dyDescent="0.55000000000000004">
      <c r="L1487">
        <v>1482</v>
      </c>
      <c r="M1487">
        <v>2.9932E-2</v>
      </c>
      <c r="N1487">
        <v>6032.7608289999998</v>
      </c>
    </row>
    <row r="1488" spans="12:14" x14ac:dyDescent="0.55000000000000004">
      <c r="L1488">
        <v>1483</v>
      </c>
      <c r="M1488">
        <v>2.9932E-2</v>
      </c>
      <c r="N1488">
        <v>6032.7608289999998</v>
      </c>
    </row>
    <row r="1489" spans="12:14" x14ac:dyDescent="0.55000000000000004">
      <c r="L1489">
        <v>1484</v>
      </c>
      <c r="M1489">
        <v>2.9932E-2</v>
      </c>
      <c r="N1489">
        <v>6032.7608289999998</v>
      </c>
    </row>
    <row r="1490" spans="12:14" x14ac:dyDescent="0.55000000000000004">
      <c r="L1490">
        <v>1485</v>
      </c>
      <c r="M1490">
        <v>2.9932E-2</v>
      </c>
      <c r="N1490">
        <v>6032.7608289999998</v>
      </c>
    </row>
    <row r="1491" spans="12:14" x14ac:dyDescent="0.55000000000000004">
      <c r="L1491">
        <v>1486</v>
      </c>
      <c r="M1491">
        <v>2.9932E-2</v>
      </c>
      <c r="N1491">
        <v>6032.7608289999998</v>
      </c>
    </row>
    <row r="1492" spans="12:14" x14ac:dyDescent="0.55000000000000004">
      <c r="L1492">
        <v>1487</v>
      </c>
      <c r="M1492">
        <v>2.9932E-2</v>
      </c>
      <c r="N1492">
        <v>6032.7608289999998</v>
      </c>
    </row>
    <row r="1493" spans="12:14" x14ac:dyDescent="0.55000000000000004">
      <c r="L1493">
        <v>1488</v>
      </c>
      <c r="M1493">
        <v>2.9932E-2</v>
      </c>
      <c r="N1493">
        <v>6032.7608289999998</v>
      </c>
    </row>
    <row r="1494" spans="12:14" x14ac:dyDescent="0.55000000000000004">
      <c r="L1494">
        <v>1489</v>
      </c>
      <c r="M1494">
        <v>2.9932E-2</v>
      </c>
      <c r="N1494">
        <v>6032.7608289999998</v>
      </c>
    </row>
    <row r="1495" spans="12:14" x14ac:dyDescent="0.55000000000000004">
      <c r="L1495">
        <v>1490</v>
      </c>
      <c r="M1495">
        <v>2.9932E-2</v>
      </c>
      <c r="N1495">
        <v>6032.7608289999998</v>
      </c>
    </row>
    <row r="1496" spans="12:14" x14ac:dyDescent="0.55000000000000004">
      <c r="L1496">
        <v>1491</v>
      </c>
      <c r="M1496">
        <v>2.9932E-2</v>
      </c>
      <c r="N1496">
        <v>6032.7608289999998</v>
      </c>
    </row>
    <row r="1497" spans="12:14" x14ac:dyDescent="0.55000000000000004">
      <c r="L1497">
        <v>1492</v>
      </c>
      <c r="M1497">
        <v>2.9932E-2</v>
      </c>
      <c r="N1497">
        <v>6032.7608289999998</v>
      </c>
    </row>
    <row r="1498" spans="12:14" x14ac:dyDescent="0.55000000000000004">
      <c r="L1498">
        <v>1493</v>
      </c>
      <c r="M1498">
        <v>2.9932E-2</v>
      </c>
      <c r="N1498">
        <v>6032.7608289999998</v>
      </c>
    </row>
    <row r="1499" spans="12:14" x14ac:dyDescent="0.55000000000000004">
      <c r="L1499">
        <v>1494</v>
      </c>
      <c r="M1499">
        <v>2.9932E-2</v>
      </c>
      <c r="N1499">
        <v>6032.7608289999998</v>
      </c>
    </row>
    <row r="1500" spans="12:14" x14ac:dyDescent="0.55000000000000004">
      <c r="L1500">
        <v>1495</v>
      </c>
      <c r="M1500">
        <v>2.9932E-2</v>
      </c>
      <c r="N1500">
        <v>6032.7608289999998</v>
      </c>
    </row>
    <row r="1501" spans="12:14" x14ac:dyDescent="0.55000000000000004">
      <c r="L1501">
        <v>1496</v>
      </c>
      <c r="M1501">
        <v>2.9932E-2</v>
      </c>
      <c r="N1501">
        <v>6032.7608289999998</v>
      </c>
    </row>
    <row r="1502" spans="12:14" x14ac:dyDescent="0.55000000000000004">
      <c r="L1502">
        <v>1497</v>
      </c>
      <c r="M1502">
        <v>2.9932E-2</v>
      </c>
      <c r="N1502">
        <v>6032.7608289999998</v>
      </c>
    </row>
    <row r="1503" spans="12:14" x14ac:dyDescent="0.55000000000000004">
      <c r="L1503">
        <v>1498</v>
      </c>
      <c r="M1503">
        <v>2.9932E-2</v>
      </c>
      <c r="N1503">
        <v>6032.7608289999998</v>
      </c>
    </row>
    <row r="1504" spans="12:14" x14ac:dyDescent="0.55000000000000004">
      <c r="L1504">
        <v>1499</v>
      </c>
      <c r="M1504">
        <v>2.9932E-2</v>
      </c>
      <c r="N1504">
        <v>6032.7608289999998</v>
      </c>
    </row>
    <row r="1505" spans="12:14" x14ac:dyDescent="0.55000000000000004">
      <c r="L1505">
        <v>1500</v>
      </c>
      <c r="M1505">
        <v>2.9932E-2</v>
      </c>
      <c r="N1505">
        <v>6032.7608289999998</v>
      </c>
    </row>
    <row r="1506" spans="12:14" x14ac:dyDescent="0.55000000000000004">
      <c r="L1506">
        <v>1501</v>
      </c>
      <c r="M1506">
        <v>2.9932E-2</v>
      </c>
      <c r="N1506">
        <v>6032.7608289999998</v>
      </c>
    </row>
    <row r="1507" spans="12:14" x14ac:dyDescent="0.55000000000000004">
      <c r="L1507">
        <v>1502</v>
      </c>
      <c r="M1507">
        <v>2.9932E-2</v>
      </c>
      <c r="N1507">
        <v>6032.7608289999998</v>
      </c>
    </row>
    <row r="1508" spans="12:14" x14ac:dyDescent="0.55000000000000004">
      <c r="L1508">
        <v>1503</v>
      </c>
      <c r="M1508">
        <v>2.9932E-2</v>
      </c>
      <c r="N1508">
        <v>6032.7608289999998</v>
      </c>
    </row>
    <row r="1509" spans="12:14" x14ac:dyDescent="0.55000000000000004">
      <c r="L1509">
        <v>1504</v>
      </c>
      <c r="M1509">
        <v>2.9932E-2</v>
      </c>
      <c r="N1509">
        <v>6032.7608289999998</v>
      </c>
    </row>
    <row r="1510" spans="12:14" x14ac:dyDescent="0.55000000000000004">
      <c r="L1510">
        <v>1505</v>
      </c>
      <c r="M1510">
        <v>2.9932E-2</v>
      </c>
      <c r="N1510">
        <v>6032.7608289999998</v>
      </c>
    </row>
    <row r="1511" spans="12:14" x14ac:dyDescent="0.55000000000000004">
      <c r="L1511">
        <v>1506</v>
      </c>
      <c r="M1511">
        <v>2.9932E-2</v>
      </c>
      <c r="N1511">
        <v>6032.7608289999998</v>
      </c>
    </row>
    <row r="1512" spans="12:14" x14ac:dyDescent="0.55000000000000004">
      <c r="L1512">
        <v>1507</v>
      </c>
      <c r="M1512">
        <v>2.9932E-2</v>
      </c>
      <c r="N1512">
        <v>6032.7608289999998</v>
      </c>
    </row>
    <row r="1513" spans="12:14" x14ac:dyDescent="0.55000000000000004">
      <c r="L1513">
        <v>1508</v>
      </c>
      <c r="M1513">
        <v>2.9932E-2</v>
      </c>
      <c r="N1513">
        <v>6032.7608289999998</v>
      </c>
    </row>
    <row r="1514" spans="12:14" x14ac:dyDescent="0.55000000000000004">
      <c r="L1514">
        <v>1509</v>
      </c>
      <c r="M1514">
        <v>2.9932E-2</v>
      </c>
      <c r="N1514">
        <v>6032.7608289999998</v>
      </c>
    </row>
    <row r="1515" spans="12:14" x14ac:dyDescent="0.55000000000000004">
      <c r="L1515">
        <v>1510</v>
      </c>
      <c r="M1515">
        <v>2.9932E-2</v>
      </c>
      <c r="N1515">
        <v>6032.7608289999998</v>
      </c>
    </row>
    <row r="1516" spans="12:14" x14ac:dyDescent="0.55000000000000004">
      <c r="L1516">
        <v>1511</v>
      </c>
      <c r="M1516">
        <v>2.9932E-2</v>
      </c>
      <c r="N1516">
        <v>6032.7608289999998</v>
      </c>
    </row>
    <row r="1517" spans="12:14" x14ac:dyDescent="0.55000000000000004">
      <c r="L1517">
        <v>1512</v>
      </c>
      <c r="M1517">
        <v>2.9932E-2</v>
      </c>
      <c r="N1517">
        <v>6032.7608289999998</v>
      </c>
    </row>
    <row r="1518" spans="12:14" x14ac:dyDescent="0.55000000000000004">
      <c r="L1518">
        <v>1513</v>
      </c>
      <c r="M1518">
        <v>2.9932E-2</v>
      </c>
      <c r="N1518">
        <v>6032.7608289999998</v>
      </c>
    </row>
    <row r="1519" spans="12:14" x14ac:dyDescent="0.55000000000000004">
      <c r="L1519">
        <v>1514</v>
      </c>
      <c r="M1519">
        <v>2.9932E-2</v>
      </c>
      <c r="N1519">
        <v>6032.7608289999998</v>
      </c>
    </row>
    <row r="1520" spans="12:14" x14ac:dyDescent="0.55000000000000004">
      <c r="L1520">
        <v>1515</v>
      </c>
      <c r="M1520">
        <v>2.9932E-2</v>
      </c>
      <c r="N1520">
        <v>6032.7608289999998</v>
      </c>
    </row>
    <row r="1521" spans="12:14" x14ac:dyDescent="0.55000000000000004">
      <c r="L1521">
        <v>1516</v>
      </c>
      <c r="M1521">
        <v>2.9932E-2</v>
      </c>
      <c r="N1521">
        <v>6032.7608289999998</v>
      </c>
    </row>
    <row r="1522" spans="12:14" x14ac:dyDescent="0.55000000000000004">
      <c r="L1522">
        <v>1517</v>
      </c>
      <c r="M1522">
        <v>2.9932E-2</v>
      </c>
      <c r="N1522">
        <v>6032.7608289999998</v>
      </c>
    </row>
    <row r="1523" spans="12:14" x14ac:dyDescent="0.55000000000000004">
      <c r="L1523">
        <v>1518</v>
      </c>
      <c r="M1523">
        <v>2.9932E-2</v>
      </c>
      <c r="N1523">
        <v>6032.7608289999998</v>
      </c>
    </row>
    <row r="1524" spans="12:14" x14ac:dyDescent="0.55000000000000004">
      <c r="L1524">
        <v>1519</v>
      </c>
      <c r="M1524">
        <v>2.9932E-2</v>
      </c>
      <c r="N1524">
        <v>6032.7608289999998</v>
      </c>
    </row>
    <row r="1525" spans="12:14" x14ac:dyDescent="0.55000000000000004">
      <c r="L1525">
        <v>1520</v>
      </c>
      <c r="M1525">
        <v>2.9932E-2</v>
      </c>
      <c r="N1525">
        <v>6032.7608289999998</v>
      </c>
    </row>
    <row r="1526" spans="12:14" x14ac:dyDescent="0.55000000000000004">
      <c r="L1526">
        <v>1521</v>
      </c>
      <c r="M1526">
        <v>2.9932E-2</v>
      </c>
      <c r="N1526">
        <v>6032.7608289999998</v>
      </c>
    </row>
    <row r="1527" spans="12:14" x14ac:dyDescent="0.55000000000000004">
      <c r="L1527">
        <v>1522</v>
      </c>
      <c r="M1527">
        <v>2.9932E-2</v>
      </c>
      <c r="N1527">
        <v>6032.7608289999998</v>
      </c>
    </row>
    <row r="1528" spans="12:14" x14ac:dyDescent="0.55000000000000004">
      <c r="L1528">
        <v>1523</v>
      </c>
      <c r="M1528">
        <v>2.9932E-2</v>
      </c>
      <c r="N1528">
        <v>6032.7608289999998</v>
      </c>
    </row>
    <row r="1529" spans="12:14" x14ac:dyDescent="0.55000000000000004">
      <c r="L1529">
        <v>1524</v>
      </c>
      <c r="M1529">
        <v>2.9932E-2</v>
      </c>
      <c r="N1529">
        <v>6032.7608289999998</v>
      </c>
    </row>
    <row r="1530" spans="12:14" x14ac:dyDescent="0.55000000000000004">
      <c r="L1530">
        <v>1525</v>
      </c>
      <c r="M1530">
        <v>2.9932E-2</v>
      </c>
      <c r="N1530">
        <v>6032.7608289999998</v>
      </c>
    </row>
    <row r="1531" spans="12:14" x14ac:dyDescent="0.55000000000000004">
      <c r="L1531">
        <v>1526</v>
      </c>
      <c r="M1531">
        <v>2.9932E-2</v>
      </c>
      <c r="N1531">
        <v>6032.7608289999998</v>
      </c>
    </row>
    <row r="1532" spans="12:14" x14ac:dyDescent="0.55000000000000004">
      <c r="L1532">
        <v>1527</v>
      </c>
      <c r="M1532">
        <v>2.9932E-2</v>
      </c>
      <c r="N1532">
        <v>6032.7608289999998</v>
      </c>
    </row>
    <row r="1533" spans="12:14" x14ac:dyDescent="0.55000000000000004">
      <c r="L1533">
        <v>1528</v>
      </c>
      <c r="M1533">
        <v>2.9932E-2</v>
      </c>
      <c r="N1533">
        <v>6032.7608289999998</v>
      </c>
    </row>
    <row r="1534" spans="12:14" x14ac:dyDescent="0.55000000000000004">
      <c r="L1534">
        <v>1529</v>
      </c>
      <c r="M1534">
        <v>2.9932E-2</v>
      </c>
      <c r="N1534">
        <v>6032.7608289999998</v>
      </c>
    </row>
    <row r="1535" spans="12:14" x14ac:dyDescent="0.55000000000000004">
      <c r="L1535">
        <v>1530</v>
      </c>
      <c r="M1535">
        <v>2.9932E-2</v>
      </c>
      <c r="N1535">
        <v>6032.7608289999998</v>
      </c>
    </row>
    <row r="1536" spans="12:14" x14ac:dyDescent="0.55000000000000004">
      <c r="L1536">
        <v>1531</v>
      </c>
      <c r="M1536">
        <v>2.9932E-2</v>
      </c>
      <c r="N1536">
        <v>6032.7608289999998</v>
      </c>
    </row>
    <row r="1537" spans="12:14" x14ac:dyDescent="0.55000000000000004">
      <c r="L1537">
        <v>1532</v>
      </c>
      <c r="M1537">
        <v>2.9932E-2</v>
      </c>
      <c r="N1537">
        <v>6032.7608289999998</v>
      </c>
    </row>
    <row r="1538" spans="12:14" x14ac:dyDescent="0.55000000000000004">
      <c r="L1538">
        <v>1533</v>
      </c>
      <c r="M1538">
        <v>2.9932E-2</v>
      </c>
      <c r="N1538">
        <v>6032.7608289999998</v>
      </c>
    </row>
    <row r="1539" spans="12:14" x14ac:dyDescent="0.55000000000000004">
      <c r="L1539">
        <v>1534</v>
      </c>
      <c r="M1539">
        <v>2.9932E-2</v>
      </c>
      <c r="N1539">
        <v>6032.7608289999998</v>
      </c>
    </row>
    <row r="1540" spans="12:14" x14ac:dyDescent="0.55000000000000004">
      <c r="L1540">
        <v>1535</v>
      </c>
      <c r="M1540">
        <v>2.9932E-2</v>
      </c>
      <c r="N1540">
        <v>6032.7608289999998</v>
      </c>
    </row>
    <row r="1541" spans="12:14" x14ac:dyDescent="0.55000000000000004">
      <c r="L1541">
        <v>1536</v>
      </c>
      <c r="M1541">
        <v>2.9932E-2</v>
      </c>
      <c r="N1541">
        <v>6032.7608289999998</v>
      </c>
    </row>
    <row r="1542" spans="12:14" x14ac:dyDescent="0.55000000000000004">
      <c r="L1542">
        <v>1537</v>
      </c>
      <c r="M1542">
        <v>2.9932E-2</v>
      </c>
      <c r="N1542">
        <v>6032.7608289999998</v>
      </c>
    </row>
    <row r="1543" spans="12:14" x14ac:dyDescent="0.55000000000000004">
      <c r="L1543">
        <v>1538</v>
      </c>
      <c r="M1543">
        <v>2.9932E-2</v>
      </c>
      <c r="N1543">
        <v>6032.7608289999998</v>
      </c>
    </row>
    <row r="1544" spans="12:14" x14ac:dyDescent="0.55000000000000004">
      <c r="L1544">
        <v>1539</v>
      </c>
      <c r="M1544">
        <v>2.9932E-2</v>
      </c>
      <c r="N1544">
        <v>6032.7608289999998</v>
      </c>
    </row>
    <row r="1545" spans="12:14" x14ac:dyDescent="0.55000000000000004">
      <c r="L1545">
        <v>1540</v>
      </c>
      <c r="M1545">
        <v>2.9932E-2</v>
      </c>
      <c r="N1545">
        <v>6032.7608289999998</v>
      </c>
    </row>
    <row r="1546" spans="12:14" x14ac:dyDescent="0.55000000000000004">
      <c r="L1546">
        <v>1541</v>
      </c>
      <c r="M1546">
        <v>2.9932E-2</v>
      </c>
      <c r="N1546">
        <v>6032.7608289999998</v>
      </c>
    </row>
    <row r="1547" spans="12:14" x14ac:dyDescent="0.55000000000000004">
      <c r="L1547">
        <v>1542</v>
      </c>
      <c r="M1547">
        <v>2.9932E-2</v>
      </c>
      <c r="N1547">
        <v>6032.7608289999998</v>
      </c>
    </row>
    <row r="1548" spans="12:14" x14ac:dyDescent="0.55000000000000004">
      <c r="L1548">
        <v>1543</v>
      </c>
      <c r="M1548">
        <v>2.9932E-2</v>
      </c>
      <c r="N1548">
        <v>6032.7608289999998</v>
      </c>
    </row>
    <row r="1549" spans="12:14" x14ac:dyDescent="0.55000000000000004">
      <c r="L1549">
        <v>1544</v>
      </c>
      <c r="M1549">
        <v>2.9932E-2</v>
      </c>
      <c r="N1549">
        <v>6032.7608289999998</v>
      </c>
    </row>
    <row r="1550" spans="12:14" x14ac:dyDescent="0.55000000000000004">
      <c r="L1550">
        <v>1545</v>
      </c>
      <c r="M1550">
        <v>2.9932E-2</v>
      </c>
      <c r="N1550">
        <v>6032.7608289999998</v>
      </c>
    </row>
    <row r="1551" spans="12:14" x14ac:dyDescent="0.55000000000000004">
      <c r="L1551">
        <v>1546</v>
      </c>
      <c r="M1551">
        <v>2.9932E-2</v>
      </c>
      <c r="N1551">
        <v>6032.7608289999998</v>
      </c>
    </row>
    <row r="1552" spans="12:14" x14ac:dyDescent="0.55000000000000004">
      <c r="L1552">
        <v>1547</v>
      </c>
      <c r="M1552">
        <v>2.9932E-2</v>
      </c>
      <c r="N1552">
        <v>6032.7608289999998</v>
      </c>
    </row>
    <row r="1553" spans="12:14" x14ac:dyDescent="0.55000000000000004">
      <c r="L1553">
        <v>1548</v>
      </c>
      <c r="M1553">
        <v>2.9932E-2</v>
      </c>
      <c r="N1553">
        <v>6032.7608289999998</v>
      </c>
    </row>
    <row r="1554" spans="12:14" x14ac:dyDescent="0.55000000000000004">
      <c r="L1554">
        <v>1549</v>
      </c>
      <c r="M1554">
        <v>2.9932E-2</v>
      </c>
      <c r="N1554">
        <v>6032.7608289999998</v>
      </c>
    </row>
    <row r="1555" spans="12:14" x14ac:dyDescent="0.55000000000000004">
      <c r="L1555">
        <v>1550</v>
      </c>
      <c r="M1555">
        <v>2.9932E-2</v>
      </c>
      <c r="N1555">
        <v>6032.7608289999998</v>
      </c>
    </row>
    <row r="1556" spans="12:14" x14ac:dyDescent="0.55000000000000004">
      <c r="L1556">
        <v>1551</v>
      </c>
      <c r="M1556">
        <v>2.9932E-2</v>
      </c>
      <c r="N1556">
        <v>6032.7608289999998</v>
      </c>
    </row>
    <row r="1557" spans="12:14" x14ac:dyDescent="0.55000000000000004">
      <c r="L1557">
        <v>1552</v>
      </c>
      <c r="M1557">
        <v>2.9932E-2</v>
      </c>
      <c r="N1557">
        <v>6032.7608289999998</v>
      </c>
    </row>
    <row r="1558" spans="12:14" x14ac:dyDescent="0.55000000000000004">
      <c r="L1558">
        <v>1553</v>
      </c>
      <c r="M1558">
        <v>2.9932E-2</v>
      </c>
      <c r="N1558">
        <v>6032.7608289999998</v>
      </c>
    </row>
    <row r="1559" spans="12:14" x14ac:dyDescent="0.55000000000000004">
      <c r="L1559">
        <v>1554</v>
      </c>
      <c r="M1559">
        <v>2.9932E-2</v>
      </c>
      <c r="N1559">
        <v>6032.7608289999998</v>
      </c>
    </row>
    <row r="1560" spans="12:14" x14ac:dyDescent="0.55000000000000004">
      <c r="L1560">
        <v>1555</v>
      </c>
      <c r="M1560">
        <v>2.9932E-2</v>
      </c>
      <c r="N1560">
        <v>6032.7608289999998</v>
      </c>
    </row>
    <row r="1561" spans="12:14" x14ac:dyDescent="0.55000000000000004">
      <c r="L1561">
        <v>1556</v>
      </c>
      <c r="M1561">
        <v>2.9932E-2</v>
      </c>
      <c r="N1561">
        <v>6032.7608289999998</v>
      </c>
    </row>
    <row r="1562" spans="12:14" x14ac:dyDescent="0.55000000000000004">
      <c r="L1562">
        <v>1557</v>
      </c>
      <c r="M1562">
        <v>2.9932E-2</v>
      </c>
      <c r="N1562">
        <v>6032.7608289999998</v>
      </c>
    </row>
    <row r="1563" spans="12:14" x14ac:dyDescent="0.55000000000000004">
      <c r="L1563">
        <v>1558</v>
      </c>
      <c r="M1563">
        <v>2.9932E-2</v>
      </c>
      <c r="N1563">
        <v>6032.7608289999998</v>
      </c>
    </row>
    <row r="1564" spans="12:14" x14ac:dyDescent="0.55000000000000004">
      <c r="L1564">
        <v>1559</v>
      </c>
      <c r="M1564">
        <v>2.9932E-2</v>
      </c>
      <c r="N1564">
        <v>6032.7608289999998</v>
      </c>
    </row>
    <row r="1565" spans="12:14" x14ac:dyDescent="0.55000000000000004">
      <c r="L1565">
        <v>1560</v>
      </c>
      <c r="M1565">
        <v>2.9932E-2</v>
      </c>
      <c r="N1565">
        <v>6032.7608289999998</v>
      </c>
    </row>
    <row r="1566" spans="12:14" x14ac:dyDescent="0.55000000000000004">
      <c r="L1566">
        <v>1561</v>
      </c>
      <c r="M1566">
        <v>2.9932E-2</v>
      </c>
      <c r="N1566">
        <v>6032.7608289999998</v>
      </c>
    </row>
    <row r="1567" spans="12:14" x14ac:dyDescent="0.55000000000000004">
      <c r="L1567">
        <v>1562</v>
      </c>
      <c r="M1567">
        <v>2.9932E-2</v>
      </c>
      <c r="N1567">
        <v>6032.7608289999998</v>
      </c>
    </row>
    <row r="1568" spans="12:14" x14ac:dyDescent="0.55000000000000004">
      <c r="L1568">
        <v>1563</v>
      </c>
      <c r="M1568">
        <v>2.9932E-2</v>
      </c>
      <c r="N1568">
        <v>6032.7608289999998</v>
      </c>
    </row>
    <row r="1569" spans="12:14" x14ac:dyDescent="0.55000000000000004">
      <c r="L1569">
        <v>1564</v>
      </c>
      <c r="M1569">
        <v>2.9932E-2</v>
      </c>
      <c r="N1569">
        <v>6032.7608289999998</v>
      </c>
    </row>
    <row r="1570" spans="12:14" x14ac:dyDescent="0.55000000000000004">
      <c r="L1570">
        <v>1565</v>
      </c>
      <c r="M1570">
        <v>2.9932E-2</v>
      </c>
      <c r="N1570">
        <v>6032.7608289999998</v>
      </c>
    </row>
    <row r="1571" spans="12:14" x14ac:dyDescent="0.55000000000000004">
      <c r="L1571">
        <v>1566</v>
      </c>
      <c r="M1571">
        <v>2.9932E-2</v>
      </c>
      <c r="N1571">
        <v>6032.7608289999998</v>
      </c>
    </row>
    <row r="1572" spans="12:14" x14ac:dyDescent="0.55000000000000004">
      <c r="L1572">
        <v>1567</v>
      </c>
      <c r="M1572">
        <v>2.9932E-2</v>
      </c>
      <c r="N1572">
        <v>6032.7608289999998</v>
      </c>
    </row>
    <row r="1573" spans="12:14" x14ac:dyDescent="0.55000000000000004">
      <c r="L1573">
        <v>1568</v>
      </c>
      <c r="M1573">
        <v>2.9932E-2</v>
      </c>
      <c r="N1573">
        <v>6032.7608289999998</v>
      </c>
    </row>
    <row r="1574" spans="12:14" x14ac:dyDescent="0.55000000000000004">
      <c r="L1574">
        <v>1569</v>
      </c>
      <c r="M1574">
        <v>2.9932E-2</v>
      </c>
      <c r="N1574">
        <v>6032.7608289999998</v>
      </c>
    </row>
    <row r="1575" spans="12:14" x14ac:dyDescent="0.55000000000000004">
      <c r="L1575">
        <v>1570</v>
      </c>
      <c r="M1575">
        <v>2.9932E-2</v>
      </c>
      <c r="N1575">
        <v>6032.7608289999998</v>
      </c>
    </row>
    <row r="1576" spans="12:14" x14ac:dyDescent="0.55000000000000004">
      <c r="L1576">
        <v>1571</v>
      </c>
      <c r="M1576">
        <v>2.9932E-2</v>
      </c>
      <c r="N1576">
        <v>6032.7608289999998</v>
      </c>
    </row>
    <row r="1577" spans="12:14" x14ac:dyDescent="0.55000000000000004">
      <c r="L1577">
        <v>1572</v>
      </c>
      <c r="M1577">
        <v>2.9932E-2</v>
      </c>
      <c r="N1577">
        <v>6032.7608289999998</v>
      </c>
    </row>
    <row r="1578" spans="12:14" x14ac:dyDescent="0.55000000000000004">
      <c r="L1578">
        <v>1573</v>
      </c>
      <c r="M1578">
        <v>2.9932E-2</v>
      </c>
      <c r="N1578">
        <v>6032.7608289999998</v>
      </c>
    </row>
    <row r="1579" spans="12:14" x14ac:dyDescent="0.55000000000000004">
      <c r="L1579">
        <v>1574</v>
      </c>
      <c r="M1579">
        <v>2.9932E-2</v>
      </c>
      <c r="N1579">
        <v>6032.7608289999998</v>
      </c>
    </row>
    <row r="1580" spans="12:14" x14ac:dyDescent="0.55000000000000004">
      <c r="L1580">
        <v>1575</v>
      </c>
      <c r="M1580">
        <v>2.9932E-2</v>
      </c>
      <c r="N1580">
        <v>6032.7608289999998</v>
      </c>
    </row>
    <row r="1581" spans="12:14" x14ac:dyDescent="0.55000000000000004">
      <c r="L1581">
        <v>1576</v>
      </c>
      <c r="M1581">
        <v>2.9932E-2</v>
      </c>
      <c r="N1581">
        <v>6032.7608289999998</v>
      </c>
    </row>
    <row r="1582" spans="12:14" x14ac:dyDescent="0.55000000000000004">
      <c r="L1582">
        <v>1577</v>
      </c>
      <c r="M1582">
        <v>2.9932E-2</v>
      </c>
      <c r="N1582">
        <v>6032.7608289999998</v>
      </c>
    </row>
    <row r="1583" spans="12:14" x14ac:dyDescent="0.55000000000000004">
      <c r="L1583">
        <v>1578</v>
      </c>
      <c r="M1583">
        <v>2.9932E-2</v>
      </c>
      <c r="N1583">
        <v>6032.7608289999998</v>
      </c>
    </row>
    <row r="1584" spans="12:14" x14ac:dyDescent="0.55000000000000004">
      <c r="L1584">
        <v>1579</v>
      </c>
      <c r="M1584">
        <v>2.9932E-2</v>
      </c>
      <c r="N1584">
        <v>6032.7608289999998</v>
      </c>
    </row>
    <row r="1585" spans="12:14" x14ac:dyDescent="0.55000000000000004">
      <c r="L1585">
        <v>1580</v>
      </c>
      <c r="M1585">
        <v>2.9932E-2</v>
      </c>
      <c r="N1585">
        <v>6032.7608289999998</v>
      </c>
    </row>
    <row r="1586" spans="12:14" x14ac:dyDescent="0.55000000000000004">
      <c r="L1586">
        <v>1581</v>
      </c>
      <c r="M1586">
        <v>2.9932E-2</v>
      </c>
      <c r="N1586">
        <v>6032.7608289999998</v>
      </c>
    </row>
    <row r="1587" spans="12:14" x14ac:dyDescent="0.55000000000000004">
      <c r="L1587">
        <v>1582</v>
      </c>
      <c r="M1587">
        <v>2.9932E-2</v>
      </c>
      <c r="N1587">
        <v>6032.7608289999998</v>
      </c>
    </row>
    <row r="1588" spans="12:14" x14ac:dyDescent="0.55000000000000004">
      <c r="L1588">
        <v>1583</v>
      </c>
      <c r="M1588">
        <v>2.9932E-2</v>
      </c>
      <c r="N1588">
        <v>6032.7608289999998</v>
      </c>
    </row>
    <row r="1589" spans="12:14" x14ac:dyDescent="0.55000000000000004">
      <c r="L1589">
        <v>1584</v>
      </c>
      <c r="M1589">
        <v>2.9932E-2</v>
      </c>
      <c r="N1589">
        <v>6032.7608289999998</v>
      </c>
    </row>
    <row r="1590" spans="12:14" x14ac:dyDescent="0.55000000000000004">
      <c r="L1590">
        <v>1585</v>
      </c>
      <c r="M1590">
        <v>2.9932E-2</v>
      </c>
      <c r="N1590">
        <v>6032.7608289999998</v>
      </c>
    </row>
    <row r="1591" spans="12:14" x14ac:dyDescent="0.55000000000000004">
      <c r="L1591">
        <v>1586</v>
      </c>
      <c r="M1591">
        <v>2.9932E-2</v>
      </c>
      <c r="N1591">
        <v>6032.7608289999998</v>
      </c>
    </row>
    <row r="1592" spans="12:14" x14ac:dyDescent="0.55000000000000004">
      <c r="L1592">
        <v>1587</v>
      </c>
      <c r="M1592">
        <v>2.9932E-2</v>
      </c>
      <c r="N1592">
        <v>6032.7608289999998</v>
      </c>
    </row>
    <row r="1593" spans="12:14" x14ac:dyDescent="0.55000000000000004">
      <c r="L1593">
        <v>1588</v>
      </c>
      <c r="M1593">
        <v>2.9932E-2</v>
      </c>
      <c r="N1593">
        <v>6032.7608289999998</v>
      </c>
    </row>
    <row r="1594" spans="12:14" x14ac:dyDescent="0.55000000000000004">
      <c r="L1594">
        <v>1589</v>
      </c>
      <c r="M1594">
        <v>2.9932E-2</v>
      </c>
      <c r="N1594">
        <v>6032.7608289999998</v>
      </c>
    </row>
    <row r="1595" spans="12:14" x14ac:dyDescent="0.55000000000000004">
      <c r="L1595">
        <v>1590</v>
      </c>
      <c r="M1595">
        <v>2.9932E-2</v>
      </c>
      <c r="N1595">
        <v>6032.7608289999998</v>
      </c>
    </row>
    <row r="1596" spans="12:14" x14ac:dyDescent="0.55000000000000004">
      <c r="L1596">
        <v>1591</v>
      </c>
      <c r="M1596">
        <v>2.9932E-2</v>
      </c>
      <c r="N1596">
        <v>6032.7608289999998</v>
      </c>
    </row>
    <row r="1597" spans="12:14" x14ac:dyDescent="0.55000000000000004">
      <c r="L1597">
        <v>1592</v>
      </c>
      <c r="M1597">
        <v>2.9932E-2</v>
      </c>
      <c r="N1597">
        <v>6032.7608289999998</v>
      </c>
    </row>
    <row r="1598" spans="12:14" x14ac:dyDescent="0.55000000000000004">
      <c r="L1598">
        <v>1593</v>
      </c>
      <c r="M1598">
        <v>2.9932E-2</v>
      </c>
      <c r="N1598">
        <v>6032.7608289999998</v>
      </c>
    </row>
    <row r="1599" spans="12:14" x14ac:dyDescent="0.55000000000000004">
      <c r="L1599">
        <v>1594</v>
      </c>
      <c r="M1599">
        <v>2.9932E-2</v>
      </c>
      <c r="N1599">
        <v>6032.7608289999998</v>
      </c>
    </row>
    <row r="1600" spans="12:14" x14ac:dyDescent="0.55000000000000004">
      <c r="L1600">
        <v>1595</v>
      </c>
      <c r="M1600">
        <v>2.9932E-2</v>
      </c>
      <c r="N1600">
        <v>6032.7608289999998</v>
      </c>
    </row>
    <row r="1601" spans="12:14" x14ac:dyDescent="0.55000000000000004">
      <c r="L1601">
        <v>1596</v>
      </c>
      <c r="M1601">
        <v>2.9932E-2</v>
      </c>
      <c r="N1601">
        <v>6032.7608289999998</v>
      </c>
    </row>
    <row r="1602" spans="12:14" x14ac:dyDescent="0.55000000000000004">
      <c r="L1602">
        <v>1597</v>
      </c>
      <c r="M1602">
        <v>2.9932E-2</v>
      </c>
      <c r="N1602">
        <v>6032.7608289999998</v>
      </c>
    </row>
    <row r="1603" spans="12:14" x14ac:dyDescent="0.55000000000000004">
      <c r="L1603">
        <v>1598</v>
      </c>
      <c r="M1603">
        <v>2.9932E-2</v>
      </c>
      <c r="N1603">
        <v>6032.7608289999998</v>
      </c>
    </row>
    <row r="1604" spans="12:14" x14ac:dyDescent="0.55000000000000004">
      <c r="L1604">
        <v>1599</v>
      </c>
      <c r="M1604">
        <v>2.9932E-2</v>
      </c>
      <c r="N1604">
        <v>6032.7608289999998</v>
      </c>
    </row>
    <row r="1605" spans="12:14" x14ac:dyDescent="0.55000000000000004">
      <c r="L1605">
        <v>1600</v>
      </c>
      <c r="M1605">
        <v>2.9932E-2</v>
      </c>
      <c r="N1605">
        <v>6032.7608289999998</v>
      </c>
    </row>
    <row r="1606" spans="12:14" x14ac:dyDescent="0.55000000000000004">
      <c r="L1606">
        <v>1601</v>
      </c>
      <c r="M1606">
        <v>2.9932E-2</v>
      </c>
      <c r="N1606">
        <v>6032.7608289999998</v>
      </c>
    </row>
    <row r="1607" spans="12:14" x14ac:dyDescent="0.55000000000000004">
      <c r="L1607">
        <v>1602</v>
      </c>
      <c r="M1607">
        <v>2.9932E-2</v>
      </c>
      <c r="N1607">
        <v>6032.7608289999998</v>
      </c>
    </row>
    <row r="1608" spans="12:14" x14ac:dyDescent="0.55000000000000004">
      <c r="L1608">
        <v>1603</v>
      </c>
      <c r="M1608">
        <v>2.9932E-2</v>
      </c>
      <c r="N1608">
        <v>6032.7608289999998</v>
      </c>
    </row>
    <row r="1609" spans="12:14" x14ac:dyDescent="0.55000000000000004">
      <c r="L1609">
        <v>1604</v>
      </c>
      <c r="M1609">
        <v>2.9932E-2</v>
      </c>
      <c r="N1609">
        <v>6032.7608289999998</v>
      </c>
    </row>
    <row r="1610" spans="12:14" x14ac:dyDescent="0.55000000000000004">
      <c r="L1610">
        <v>1605</v>
      </c>
      <c r="M1610">
        <v>2.9932E-2</v>
      </c>
      <c r="N1610">
        <v>6032.7608289999998</v>
      </c>
    </row>
    <row r="1611" spans="12:14" x14ac:dyDescent="0.55000000000000004">
      <c r="L1611">
        <v>1606</v>
      </c>
      <c r="M1611">
        <v>2.9932E-2</v>
      </c>
      <c r="N1611">
        <v>6032.7608289999998</v>
      </c>
    </row>
    <row r="1612" spans="12:14" x14ac:dyDescent="0.55000000000000004">
      <c r="L1612">
        <v>1607</v>
      </c>
      <c r="M1612">
        <v>2.9932E-2</v>
      </c>
      <c r="N1612">
        <v>6032.7608289999998</v>
      </c>
    </row>
    <row r="1613" spans="12:14" x14ac:dyDescent="0.55000000000000004">
      <c r="L1613">
        <v>1608</v>
      </c>
      <c r="M1613">
        <v>2.9932E-2</v>
      </c>
      <c r="N1613">
        <v>6032.7608289999998</v>
      </c>
    </row>
    <row r="1614" spans="12:14" x14ac:dyDescent="0.55000000000000004">
      <c r="L1614">
        <v>1609</v>
      </c>
      <c r="M1614">
        <v>2.9932E-2</v>
      </c>
      <c r="N1614">
        <v>6032.7608289999998</v>
      </c>
    </row>
    <row r="1615" spans="12:14" x14ac:dyDescent="0.55000000000000004">
      <c r="L1615">
        <v>1610</v>
      </c>
      <c r="M1615">
        <v>2.9932E-2</v>
      </c>
      <c r="N1615">
        <v>6032.7608289999998</v>
      </c>
    </row>
    <row r="1616" spans="12:14" x14ac:dyDescent="0.55000000000000004">
      <c r="L1616">
        <v>1611</v>
      </c>
      <c r="M1616">
        <v>2.9932E-2</v>
      </c>
      <c r="N1616">
        <v>6032.7608289999998</v>
      </c>
    </row>
    <row r="1617" spans="12:14" x14ac:dyDescent="0.55000000000000004">
      <c r="L1617">
        <v>1612</v>
      </c>
      <c r="M1617">
        <v>2.9932E-2</v>
      </c>
      <c r="N1617">
        <v>6032.7608289999998</v>
      </c>
    </row>
    <row r="1618" spans="12:14" x14ac:dyDescent="0.55000000000000004">
      <c r="L1618">
        <v>1613</v>
      </c>
      <c r="M1618">
        <v>2.9932E-2</v>
      </c>
      <c r="N1618">
        <v>6032.7608289999998</v>
      </c>
    </row>
    <row r="1619" spans="12:14" x14ac:dyDescent="0.55000000000000004">
      <c r="L1619">
        <v>1614</v>
      </c>
      <c r="M1619">
        <v>2.9932E-2</v>
      </c>
      <c r="N1619">
        <v>6032.7608289999998</v>
      </c>
    </row>
    <row r="1620" spans="12:14" x14ac:dyDescent="0.55000000000000004">
      <c r="L1620">
        <v>1615</v>
      </c>
      <c r="M1620">
        <v>2.9932E-2</v>
      </c>
      <c r="N1620">
        <v>6032.7608289999998</v>
      </c>
    </row>
    <row r="1621" spans="12:14" x14ac:dyDescent="0.55000000000000004">
      <c r="L1621">
        <v>1616</v>
      </c>
      <c r="M1621">
        <v>2.9932E-2</v>
      </c>
      <c r="N1621">
        <v>6032.7608289999998</v>
      </c>
    </row>
    <row r="1622" spans="12:14" x14ac:dyDescent="0.55000000000000004">
      <c r="L1622">
        <v>1617</v>
      </c>
      <c r="M1622">
        <v>2.9932E-2</v>
      </c>
      <c r="N1622">
        <v>6032.7608289999998</v>
      </c>
    </row>
    <row r="1623" spans="12:14" x14ac:dyDescent="0.55000000000000004">
      <c r="L1623">
        <v>1618</v>
      </c>
      <c r="M1623">
        <v>2.9932E-2</v>
      </c>
      <c r="N1623">
        <v>6032.7608289999998</v>
      </c>
    </row>
    <row r="1624" spans="12:14" x14ac:dyDescent="0.55000000000000004">
      <c r="L1624">
        <v>1619</v>
      </c>
      <c r="M1624">
        <v>2.9932E-2</v>
      </c>
      <c r="N1624">
        <v>6032.7608289999998</v>
      </c>
    </row>
    <row r="1625" spans="12:14" x14ac:dyDescent="0.55000000000000004">
      <c r="L1625">
        <v>1620</v>
      </c>
      <c r="M1625">
        <v>2.9932E-2</v>
      </c>
      <c r="N1625">
        <v>6032.7608289999998</v>
      </c>
    </row>
    <row r="1626" spans="12:14" x14ac:dyDescent="0.55000000000000004">
      <c r="L1626">
        <v>1621</v>
      </c>
      <c r="M1626">
        <v>2.9932E-2</v>
      </c>
      <c r="N1626">
        <v>6032.7608289999998</v>
      </c>
    </row>
    <row r="1627" spans="12:14" x14ac:dyDescent="0.55000000000000004">
      <c r="L1627">
        <v>1622</v>
      </c>
      <c r="M1627">
        <v>2.9932E-2</v>
      </c>
      <c r="N1627">
        <v>6032.7608289999998</v>
      </c>
    </row>
    <row r="1628" spans="12:14" x14ac:dyDescent="0.55000000000000004">
      <c r="L1628">
        <v>1623</v>
      </c>
      <c r="M1628">
        <v>2.9932E-2</v>
      </c>
      <c r="N1628">
        <v>6032.7608289999998</v>
      </c>
    </row>
    <row r="1629" spans="12:14" x14ac:dyDescent="0.55000000000000004">
      <c r="L1629">
        <v>1624</v>
      </c>
      <c r="M1629">
        <v>2.9932E-2</v>
      </c>
      <c r="N1629">
        <v>6032.7608289999998</v>
      </c>
    </row>
    <row r="1630" spans="12:14" x14ac:dyDescent="0.55000000000000004">
      <c r="L1630">
        <v>1625</v>
      </c>
      <c r="M1630">
        <v>2.9932E-2</v>
      </c>
      <c r="N1630">
        <v>6032.7608289999998</v>
      </c>
    </row>
    <row r="1631" spans="12:14" x14ac:dyDescent="0.55000000000000004">
      <c r="L1631">
        <v>1626</v>
      </c>
      <c r="M1631">
        <v>2.9932E-2</v>
      </c>
      <c r="N1631">
        <v>6032.7608289999998</v>
      </c>
    </row>
    <row r="1632" spans="12:14" x14ac:dyDescent="0.55000000000000004">
      <c r="L1632">
        <v>1627</v>
      </c>
      <c r="M1632">
        <v>2.9932E-2</v>
      </c>
      <c r="N1632">
        <v>6032.7608289999998</v>
      </c>
    </row>
    <row r="1633" spans="12:14" x14ac:dyDescent="0.55000000000000004">
      <c r="L1633">
        <v>1628</v>
      </c>
      <c r="M1633">
        <v>2.9932E-2</v>
      </c>
      <c r="N1633">
        <v>6032.7608289999998</v>
      </c>
    </row>
    <row r="1634" spans="12:14" x14ac:dyDescent="0.55000000000000004">
      <c r="L1634">
        <v>1629</v>
      </c>
      <c r="M1634">
        <v>2.9932E-2</v>
      </c>
      <c r="N1634">
        <v>6032.7608289999998</v>
      </c>
    </row>
    <row r="1635" spans="12:14" x14ac:dyDescent="0.55000000000000004">
      <c r="L1635">
        <v>1630</v>
      </c>
      <c r="M1635">
        <v>2.9932E-2</v>
      </c>
      <c r="N1635">
        <v>6032.7608289999998</v>
      </c>
    </row>
    <row r="1636" spans="12:14" x14ac:dyDescent="0.55000000000000004">
      <c r="L1636">
        <v>1631</v>
      </c>
      <c r="M1636">
        <v>2.9932E-2</v>
      </c>
      <c r="N1636">
        <v>6032.7608289999998</v>
      </c>
    </row>
    <row r="1637" spans="12:14" x14ac:dyDescent="0.55000000000000004">
      <c r="L1637">
        <v>1632</v>
      </c>
      <c r="M1637">
        <v>2.9932E-2</v>
      </c>
      <c r="N1637">
        <v>6032.7608289999998</v>
      </c>
    </row>
    <row r="1638" spans="12:14" x14ac:dyDescent="0.55000000000000004">
      <c r="L1638">
        <v>1633</v>
      </c>
      <c r="M1638">
        <v>2.9932E-2</v>
      </c>
      <c r="N1638">
        <v>6032.7608289999998</v>
      </c>
    </row>
    <row r="1639" spans="12:14" x14ac:dyDescent="0.55000000000000004">
      <c r="L1639">
        <v>1634</v>
      </c>
      <c r="M1639">
        <v>2.9932E-2</v>
      </c>
      <c r="N1639">
        <v>6032.7608289999998</v>
      </c>
    </row>
    <row r="1640" spans="12:14" x14ac:dyDescent="0.55000000000000004">
      <c r="L1640">
        <v>1635</v>
      </c>
      <c r="M1640">
        <v>2.9932E-2</v>
      </c>
      <c r="N1640">
        <v>6032.7608289999998</v>
      </c>
    </row>
    <row r="1641" spans="12:14" x14ac:dyDescent="0.55000000000000004">
      <c r="L1641">
        <v>1636</v>
      </c>
      <c r="M1641">
        <v>2.9932E-2</v>
      </c>
      <c r="N1641">
        <v>6032.7608289999998</v>
      </c>
    </row>
    <row r="1642" spans="12:14" x14ac:dyDescent="0.55000000000000004">
      <c r="L1642">
        <v>1637</v>
      </c>
      <c r="M1642">
        <v>2.9932E-2</v>
      </c>
      <c r="N1642">
        <v>6032.7608289999998</v>
      </c>
    </row>
    <row r="1643" spans="12:14" x14ac:dyDescent="0.55000000000000004">
      <c r="L1643">
        <v>1638</v>
      </c>
      <c r="M1643">
        <v>2.9932E-2</v>
      </c>
      <c r="N1643">
        <v>6032.7608289999998</v>
      </c>
    </row>
    <row r="1644" spans="12:14" x14ac:dyDescent="0.55000000000000004">
      <c r="L1644">
        <v>1639</v>
      </c>
      <c r="M1644">
        <v>2.9932E-2</v>
      </c>
      <c r="N1644">
        <v>6032.7608289999998</v>
      </c>
    </row>
    <row r="1645" spans="12:14" x14ac:dyDescent="0.55000000000000004">
      <c r="L1645">
        <v>1640</v>
      </c>
      <c r="M1645">
        <v>2.9932E-2</v>
      </c>
      <c r="N1645">
        <v>6032.7608289999998</v>
      </c>
    </row>
    <row r="1646" spans="12:14" x14ac:dyDescent="0.55000000000000004">
      <c r="L1646">
        <v>1641</v>
      </c>
      <c r="M1646">
        <v>2.9932E-2</v>
      </c>
      <c r="N1646">
        <v>6032.7608289999998</v>
      </c>
    </row>
    <row r="1647" spans="12:14" x14ac:dyDescent="0.55000000000000004">
      <c r="L1647">
        <v>1642</v>
      </c>
      <c r="M1647">
        <v>2.9932E-2</v>
      </c>
      <c r="N1647">
        <v>6032.7608289999998</v>
      </c>
    </row>
    <row r="1648" spans="12:14" x14ac:dyDescent="0.55000000000000004">
      <c r="L1648">
        <v>1643</v>
      </c>
      <c r="M1648">
        <v>2.9932E-2</v>
      </c>
      <c r="N1648">
        <v>6032.7608289999998</v>
      </c>
    </row>
    <row r="1649" spans="12:14" x14ac:dyDescent="0.55000000000000004">
      <c r="L1649">
        <v>1644</v>
      </c>
      <c r="M1649">
        <v>2.9932E-2</v>
      </c>
      <c r="N1649">
        <v>6032.7608289999998</v>
      </c>
    </row>
    <row r="1650" spans="12:14" x14ac:dyDescent="0.55000000000000004">
      <c r="L1650">
        <v>1645</v>
      </c>
      <c r="M1650">
        <v>2.9932E-2</v>
      </c>
      <c r="N1650">
        <v>6032.7608289999998</v>
      </c>
    </row>
    <row r="1651" spans="12:14" x14ac:dyDescent="0.55000000000000004">
      <c r="L1651">
        <v>1646</v>
      </c>
      <c r="M1651">
        <v>2.9932E-2</v>
      </c>
      <c r="N1651">
        <v>6032.7608289999998</v>
      </c>
    </row>
    <row r="1652" spans="12:14" x14ac:dyDescent="0.55000000000000004">
      <c r="L1652">
        <v>1647</v>
      </c>
      <c r="M1652">
        <v>2.9932E-2</v>
      </c>
      <c r="N1652">
        <v>6032.7608289999998</v>
      </c>
    </row>
    <row r="1653" spans="12:14" x14ac:dyDescent="0.55000000000000004">
      <c r="L1653">
        <v>1648</v>
      </c>
      <c r="M1653">
        <v>2.9932E-2</v>
      </c>
      <c r="N1653">
        <v>6032.7608289999998</v>
      </c>
    </row>
    <row r="1654" spans="12:14" x14ac:dyDescent="0.55000000000000004">
      <c r="L1654">
        <v>1649</v>
      </c>
      <c r="M1654">
        <v>2.9932E-2</v>
      </c>
      <c r="N1654">
        <v>6032.7608289999998</v>
      </c>
    </row>
    <row r="1655" spans="12:14" x14ac:dyDescent="0.55000000000000004">
      <c r="L1655">
        <v>1650</v>
      </c>
      <c r="M1655">
        <v>2.9932E-2</v>
      </c>
      <c r="N1655">
        <v>6032.7608289999998</v>
      </c>
    </row>
    <row r="1656" spans="12:14" x14ac:dyDescent="0.55000000000000004">
      <c r="L1656">
        <v>1651</v>
      </c>
      <c r="M1656">
        <v>2.9932E-2</v>
      </c>
      <c r="N1656">
        <v>6032.7608289999998</v>
      </c>
    </row>
    <row r="1657" spans="12:14" x14ac:dyDescent="0.55000000000000004">
      <c r="L1657">
        <v>1652</v>
      </c>
      <c r="M1657">
        <v>2.9932E-2</v>
      </c>
      <c r="N1657">
        <v>6032.7608289999998</v>
      </c>
    </row>
    <row r="1658" spans="12:14" x14ac:dyDescent="0.55000000000000004">
      <c r="L1658">
        <v>1653</v>
      </c>
      <c r="M1658">
        <v>2.9932E-2</v>
      </c>
      <c r="N1658">
        <v>6032.7608289999998</v>
      </c>
    </row>
    <row r="1659" spans="12:14" x14ac:dyDescent="0.55000000000000004">
      <c r="L1659">
        <v>1654</v>
      </c>
      <c r="M1659">
        <v>2.9932E-2</v>
      </c>
      <c r="N1659">
        <v>6032.7608289999998</v>
      </c>
    </row>
    <row r="1660" spans="12:14" x14ac:dyDescent="0.55000000000000004">
      <c r="L1660">
        <v>1655</v>
      </c>
      <c r="M1660">
        <v>2.9932E-2</v>
      </c>
      <c r="N1660">
        <v>6032.7608289999998</v>
      </c>
    </row>
    <row r="1661" spans="12:14" x14ac:dyDescent="0.55000000000000004">
      <c r="L1661">
        <v>1656</v>
      </c>
      <c r="M1661">
        <v>2.9932E-2</v>
      </c>
      <c r="N1661">
        <v>6032.7608289999998</v>
      </c>
    </row>
    <row r="1662" spans="12:14" x14ac:dyDescent="0.55000000000000004">
      <c r="L1662">
        <v>1657</v>
      </c>
      <c r="M1662">
        <v>2.9932E-2</v>
      </c>
      <c r="N1662">
        <v>6032.7608289999998</v>
      </c>
    </row>
    <row r="1663" spans="12:14" x14ac:dyDescent="0.55000000000000004">
      <c r="L1663">
        <v>1658</v>
      </c>
      <c r="M1663">
        <v>2.9932E-2</v>
      </c>
      <c r="N1663">
        <v>6032.7608289999998</v>
      </c>
    </row>
    <row r="1664" spans="12:14" x14ac:dyDescent="0.55000000000000004">
      <c r="L1664">
        <v>1659</v>
      </c>
      <c r="M1664">
        <v>2.9932E-2</v>
      </c>
      <c r="N1664">
        <v>6032.7608289999998</v>
      </c>
    </row>
    <row r="1665" spans="12:14" x14ac:dyDescent="0.55000000000000004">
      <c r="L1665">
        <v>1660</v>
      </c>
      <c r="M1665">
        <v>2.9932E-2</v>
      </c>
      <c r="N1665">
        <v>6032.7608289999998</v>
      </c>
    </row>
    <row r="1666" spans="12:14" x14ac:dyDescent="0.55000000000000004">
      <c r="L1666">
        <v>1661</v>
      </c>
      <c r="M1666">
        <v>2.9932E-2</v>
      </c>
      <c r="N1666">
        <v>6032.7608289999998</v>
      </c>
    </row>
    <row r="1667" spans="12:14" x14ac:dyDescent="0.55000000000000004">
      <c r="L1667">
        <v>1662</v>
      </c>
      <c r="M1667">
        <v>2.9932E-2</v>
      </c>
      <c r="N1667">
        <v>6032.7608289999998</v>
      </c>
    </row>
    <row r="1668" spans="12:14" x14ac:dyDescent="0.55000000000000004">
      <c r="L1668">
        <v>1663</v>
      </c>
      <c r="M1668">
        <v>2.9932E-2</v>
      </c>
      <c r="N1668">
        <v>6032.7608289999998</v>
      </c>
    </row>
    <row r="1669" spans="12:14" x14ac:dyDescent="0.55000000000000004">
      <c r="L1669">
        <v>1664</v>
      </c>
      <c r="M1669">
        <v>2.9932E-2</v>
      </c>
      <c r="N1669">
        <v>6032.7608289999998</v>
      </c>
    </row>
    <row r="1670" spans="12:14" x14ac:dyDescent="0.55000000000000004">
      <c r="L1670">
        <v>1665</v>
      </c>
      <c r="M1670">
        <v>2.9932E-2</v>
      </c>
      <c r="N1670">
        <v>6032.7608289999998</v>
      </c>
    </row>
    <row r="1671" spans="12:14" x14ac:dyDescent="0.55000000000000004">
      <c r="L1671">
        <v>1666</v>
      </c>
      <c r="M1671">
        <v>2.9932E-2</v>
      </c>
      <c r="N1671">
        <v>6032.7608289999998</v>
      </c>
    </row>
    <row r="1672" spans="12:14" x14ac:dyDescent="0.55000000000000004">
      <c r="L1672">
        <v>1667</v>
      </c>
      <c r="M1672">
        <v>2.9932E-2</v>
      </c>
      <c r="N1672">
        <v>6032.7608289999998</v>
      </c>
    </row>
    <row r="1673" spans="12:14" x14ac:dyDescent="0.55000000000000004">
      <c r="L1673">
        <v>1668</v>
      </c>
      <c r="M1673">
        <v>2.9932E-2</v>
      </c>
      <c r="N1673">
        <v>6032.7608289999998</v>
      </c>
    </row>
    <row r="1674" spans="12:14" x14ac:dyDescent="0.55000000000000004">
      <c r="L1674">
        <v>1669</v>
      </c>
      <c r="M1674">
        <v>2.9932E-2</v>
      </c>
      <c r="N1674">
        <v>6032.7608289999998</v>
      </c>
    </row>
    <row r="1675" spans="12:14" x14ac:dyDescent="0.55000000000000004">
      <c r="L1675">
        <v>1670</v>
      </c>
      <c r="M1675">
        <v>2.9932E-2</v>
      </c>
      <c r="N1675">
        <v>6032.7608289999998</v>
      </c>
    </row>
    <row r="1676" spans="12:14" x14ac:dyDescent="0.55000000000000004">
      <c r="L1676">
        <v>1671</v>
      </c>
      <c r="M1676">
        <v>2.9932E-2</v>
      </c>
      <c r="N1676">
        <v>6032.7608289999998</v>
      </c>
    </row>
    <row r="1677" spans="12:14" x14ac:dyDescent="0.55000000000000004">
      <c r="L1677">
        <v>1672</v>
      </c>
      <c r="M1677">
        <v>2.9932E-2</v>
      </c>
      <c r="N1677">
        <v>6032.7608289999998</v>
      </c>
    </row>
    <row r="1678" spans="12:14" x14ac:dyDescent="0.55000000000000004">
      <c r="L1678">
        <v>1673</v>
      </c>
      <c r="M1678">
        <v>2.9932E-2</v>
      </c>
      <c r="N1678">
        <v>6032.7608289999998</v>
      </c>
    </row>
    <row r="1679" spans="12:14" x14ac:dyDescent="0.55000000000000004">
      <c r="L1679">
        <v>1674</v>
      </c>
      <c r="M1679">
        <v>2.9932E-2</v>
      </c>
      <c r="N1679">
        <v>6032.7608289999998</v>
      </c>
    </row>
    <row r="1680" spans="12:14" x14ac:dyDescent="0.55000000000000004">
      <c r="L1680">
        <v>1675</v>
      </c>
      <c r="M1680">
        <v>2.9932E-2</v>
      </c>
      <c r="N1680">
        <v>6032.7608289999998</v>
      </c>
    </row>
    <row r="1681" spans="12:14" x14ac:dyDescent="0.55000000000000004">
      <c r="L1681">
        <v>1676</v>
      </c>
      <c r="M1681">
        <v>2.9932E-2</v>
      </c>
      <c r="N1681">
        <v>6032.7608289999998</v>
      </c>
    </row>
    <row r="1682" spans="12:14" x14ac:dyDescent="0.55000000000000004">
      <c r="L1682">
        <v>1677</v>
      </c>
      <c r="M1682">
        <v>2.9932E-2</v>
      </c>
      <c r="N1682">
        <v>6032.7608289999998</v>
      </c>
    </row>
    <row r="1683" spans="12:14" x14ac:dyDescent="0.55000000000000004">
      <c r="L1683">
        <v>1678</v>
      </c>
      <c r="M1683">
        <v>2.9932E-2</v>
      </c>
      <c r="N1683">
        <v>6032.7608289999998</v>
      </c>
    </row>
    <row r="1684" spans="12:14" x14ac:dyDescent="0.55000000000000004">
      <c r="L1684">
        <v>1679</v>
      </c>
      <c r="M1684">
        <v>2.9932E-2</v>
      </c>
      <c r="N1684">
        <v>6032.7608289999998</v>
      </c>
    </row>
    <row r="1685" spans="12:14" x14ac:dyDescent="0.55000000000000004">
      <c r="L1685">
        <v>1680</v>
      </c>
      <c r="M1685">
        <v>2.9932E-2</v>
      </c>
      <c r="N1685">
        <v>6032.7608289999998</v>
      </c>
    </row>
    <row r="1686" spans="12:14" x14ac:dyDescent="0.55000000000000004">
      <c r="L1686">
        <v>1681</v>
      </c>
      <c r="M1686">
        <v>2.9932E-2</v>
      </c>
      <c r="N1686">
        <v>6032.7608289999998</v>
      </c>
    </row>
    <row r="1687" spans="12:14" x14ac:dyDescent="0.55000000000000004">
      <c r="L1687">
        <v>1682</v>
      </c>
      <c r="M1687">
        <v>2.9932E-2</v>
      </c>
      <c r="N1687">
        <v>6032.7608289999998</v>
      </c>
    </row>
    <row r="1688" spans="12:14" x14ac:dyDescent="0.55000000000000004">
      <c r="L1688">
        <v>1683</v>
      </c>
      <c r="M1688">
        <v>2.9932E-2</v>
      </c>
      <c r="N1688">
        <v>6032.7608289999998</v>
      </c>
    </row>
    <row r="1689" spans="12:14" x14ac:dyDescent="0.55000000000000004">
      <c r="L1689">
        <v>1684</v>
      </c>
      <c r="M1689">
        <v>2.9932E-2</v>
      </c>
      <c r="N1689">
        <v>6032.7608289999998</v>
      </c>
    </row>
    <row r="1690" spans="12:14" x14ac:dyDescent="0.55000000000000004">
      <c r="L1690">
        <v>1685</v>
      </c>
      <c r="M1690">
        <v>2.9932E-2</v>
      </c>
      <c r="N1690">
        <v>6032.7608289999998</v>
      </c>
    </row>
    <row r="1691" spans="12:14" x14ac:dyDescent="0.55000000000000004">
      <c r="L1691">
        <v>1686</v>
      </c>
      <c r="M1691">
        <v>2.9932E-2</v>
      </c>
      <c r="N1691">
        <v>6032.7608289999998</v>
      </c>
    </row>
    <row r="1692" spans="12:14" x14ac:dyDescent="0.55000000000000004">
      <c r="L1692">
        <v>1687</v>
      </c>
      <c r="M1692">
        <v>2.9932E-2</v>
      </c>
      <c r="N1692">
        <v>6032.7608289999998</v>
      </c>
    </row>
    <row r="1693" spans="12:14" x14ac:dyDescent="0.55000000000000004">
      <c r="L1693">
        <v>1688</v>
      </c>
      <c r="M1693">
        <v>2.9932E-2</v>
      </c>
      <c r="N1693">
        <v>6032.7608289999998</v>
      </c>
    </row>
    <row r="1694" spans="12:14" x14ac:dyDescent="0.55000000000000004">
      <c r="L1694">
        <v>1689</v>
      </c>
      <c r="M1694">
        <v>2.9932E-2</v>
      </c>
      <c r="N1694">
        <v>6032.7608289999998</v>
      </c>
    </row>
    <row r="1695" spans="12:14" x14ac:dyDescent="0.55000000000000004">
      <c r="L1695">
        <v>1690</v>
      </c>
      <c r="M1695">
        <v>2.9932E-2</v>
      </c>
      <c r="N1695">
        <v>6032.7608289999998</v>
      </c>
    </row>
    <row r="1696" spans="12:14" x14ac:dyDescent="0.55000000000000004">
      <c r="L1696">
        <v>1691</v>
      </c>
      <c r="M1696">
        <v>2.9932E-2</v>
      </c>
      <c r="N1696">
        <v>6032.7608289999998</v>
      </c>
    </row>
    <row r="1697" spans="12:14" x14ac:dyDescent="0.55000000000000004">
      <c r="L1697">
        <v>1692</v>
      </c>
      <c r="M1697">
        <v>2.9932E-2</v>
      </c>
      <c r="N1697">
        <v>6032.7608289999998</v>
      </c>
    </row>
    <row r="1698" spans="12:14" x14ac:dyDescent="0.55000000000000004">
      <c r="L1698">
        <v>1693</v>
      </c>
      <c r="M1698">
        <v>2.9932E-2</v>
      </c>
      <c r="N1698">
        <v>6032.7608289999998</v>
      </c>
    </row>
    <row r="1699" spans="12:14" x14ac:dyDescent="0.55000000000000004">
      <c r="L1699">
        <v>1694</v>
      </c>
      <c r="M1699">
        <v>2.9932E-2</v>
      </c>
      <c r="N1699">
        <v>6032.7608289999998</v>
      </c>
    </row>
    <row r="1700" spans="12:14" x14ac:dyDescent="0.55000000000000004">
      <c r="L1700">
        <v>1695</v>
      </c>
      <c r="M1700">
        <v>2.9932E-2</v>
      </c>
      <c r="N1700">
        <v>6032.7608289999998</v>
      </c>
    </row>
    <row r="1701" spans="12:14" x14ac:dyDescent="0.55000000000000004">
      <c r="L1701">
        <v>1696</v>
      </c>
      <c r="M1701">
        <v>2.9932E-2</v>
      </c>
      <c r="N1701">
        <v>6032.7608289999998</v>
      </c>
    </row>
    <row r="1702" spans="12:14" x14ac:dyDescent="0.55000000000000004">
      <c r="L1702">
        <v>1697</v>
      </c>
      <c r="M1702">
        <v>2.9932E-2</v>
      </c>
      <c r="N1702">
        <v>6032.7608289999998</v>
      </c>
    </row>
    <row r="1703" spans="12:14" x14ac:dyDescent="0.55000000000000004">
      <c r="L1703">
        <v>1698</v>
      </c>
      <c r="M1703">
        <v>2.9932E-2</v>
      </c>
      <c r="N1703">
        <v>6032.7608289999998</v>
      </c>
    </row>
    <row r="1704" spans="12:14" x14ac:dyDescent="0.55000000000000004">
      <c r="L1704">
        <v>1699</v>
      </c>
      <c r="M1704">
        <v>2.9932E-2</v>
      </c>
      <c r="N1704">
        <v>6032.7608289999998</v>
      </c>
    </row>
    <row r="1705" spans="12:14" x14ac:dyDescent="0.55000000000000004">
      <c r="L1705">
        <v>1700</v>
      </c>
      <c r="M1705">
        <v>2.9932E-2</v>
      </c>
      <c r="N1705">
        <v>6032.7608289999998</v>
      </c>
    </row>
    <row r="1706" spans="12:14" x14ac:dyDescent="0.55000000000000004">
      <c r="L1706">
        <v>1701</v>
      </c>
      <c r="M1706">
        <v>2.9932E-2</v>
      </c>
      <c r="N1706">
        <v>6032.7608289999998</v>
      </c>
    </row>
    <row r="1707" spans="12:14" x14ac:dyDescent="0.55000000000000004">
      <c r="L1707">
        <v>1702</v>
      </c>
      <c r="M1707">
        <v>2.9932E-2</v>
      </c>
      <c r="N1707">
        <v>6032.7608289999998</v>
      </c>
    </row>
    <row r="1708" spans="12:14" x14ac:dyDescent="0.55000000000000004">
      <c r="L1708">
        <v>1703</v>
      </c>
      <c r="M1708">
        <v>2.9932E-2</v>
      </c>
      <c r="N1708">
        <v>6032.7608289999998</v>
      </c>
    </row>
    <row r="1709" spans="12:14" x14ac:dyDescent="0.55000000000000004">
      <c r="L1709">
        <v>1704</v>
      </c>
      <c r="M1709">
        <v>2.9932E-2</v>
      </c>
      <c r="N1709">
        <v>6032.7608289999998</v>
      </c>
    </row>
    <row r="1710" spans="12:14" x14ac:dyDescent="0.55000000000000004">
      <c r="L1710">
        <v>1705</v>
      </c>
      <c r="M1710">
        <v>2.9932E-2</v>
      </c>
      <c r="N1710">
        <v>6032.7608289999998</v>
      </c>
    </row>
    <row r="1711" spans="12:14" x14ac:dyDescent="0.55000000000000004">
      <c r="L1711">
        <v>1706</v>
      </c>
      <c r="M1711">
        <v>2.9932E-2</v>
      </c>
      <c r="N1711">
        <v>6032.7608289999998</v>
      </c>
    </row>
    <row r="1712" spans="12:14" x14ac:dyDescent="0.55000000000000004">
      <c r="L1712">
        <v>1707</v>
      </c>
      <c r="M1712">
        <v>2.9932E-2</v>
      </c>
      <c r="N1712">
        <v>6032.7608289999998</v>
      </c>
    </row>
    <row r="1713" spans="12:14" x14ac:dyDescent="0.55000000000000004">
      <c r="L1713">
        <v>1708</v>
      </c>
      <c r="M1713">
        <v>2.9932E-2</v>
      </c>
      <c r="N1713">
        <v>6032.7608289999998</v>
      </c>
    </row>
    <row r="1714" spans="12:14" x14ac:dyDescent="0.55000000000000004">
      <c r="L1714">
        <v>1709</v>
      </c>
      <c r="M1714">
        <v>2.9932E-2</v>
      </c>
      <c r="N1714">
        <v>6032.7608289999998</v>
      </c>
    </row>
    <row r="1715" spans="12:14" x14ac:dyDescent="0.55000000000000004">
      <c r="L1715">
        <v>1710</v>
      </c>
      <c r="M1715">
        <v>2.9932E-2</v>
      </c>
      <c r="N1715">
        <v>6032.7608289999998</v>
      </c>
    </row>
    <row r="1716" spans="12:14" x14ac:dyDescent="0.55000000000000004">
      <c r="L1716">
        <v>1711</v>
      </c>
      <c r="M1716">
        <v>2.9932E-2</v>
      </c>
      <c r="N1716">
        <v>6032.7608289999998</v>
      </c>
    </row>
    <row r="1717" spans="12:14" x14ac:dyDescent="0.55000000000000004">
      <c r="L1717">
        <v>1712</v>
      </c>
      <c r="M1717">
        <v>2.9932E-2</v>
      </c>
      <c r="N1717">
        <v>6032.7608289999998</v>
      </c>
    </row>
    <row r="1718" spans="12:14" x14ac:dyDescent="0.55000000000000004">
      <c r="L1718">
        <v>1713</v>
      </c>
      <c r="M1718">
        <v>2.9932E-2</v>
      </c>
      <c r="N1718">
        <v>6032.7608289999998</v>
      </c>
    </row>
    <row r="1719" spans="12:14" x14ac:dyDescent="0.55000000000000004">
      <c r="L1719">
        <v>1714</v>
      </c>
      <c r="M1719">
        <v>2.9932E-2</v>
      </c>
      <c r="N1719">
        <v>6032.7608289999998</v>
      </c>
    </row>
    <row r="1720" spans="12:14" x14ac:dyDescent="0.55000000000000004">
      <c r="L1720">
        <v>1715</v>
      </c>
      <c r="M1720">
        <v>2.9932E-2</v>
      </c>
      <c r="N1720">
        <v>6032.7608289999998</v>
      </c>
    </row>
    <row r="1721" spans="12:14" x14ac:dyDescent="0.55000000000000004">
      <c r="L1721">
        <v>1716</v>
      </c>
      <c r="M1721">
        <v>2.9932E-2</v>
      </c>
      <c r="N1721">
        <v>6032.7608289999998</v>
      </c>
    </row>
    <row r="1722" spans="12:14" x14ac:dyDescent="0.55000000000000004">
      <c r="L1722">
        <v>1717</v>
      </c>
      <c r="M1722">
        <v>2.9932E-2</v>
      </c>
      <c r="N1722">
        <v>6032.7608289999998</v>
      </c>
    </row>
    <row r="1723" spans="12:14" x14ac:dyDescent="0.55000000000000004">
      <c r="L1723">
        <v>1718</v>
      </c>
      <c r="M1723">
        <v>2.9932E-2</v>
      </c>
      <c r="N1723">
        <v>6032.7608289999998</v>
      </c>
    </row>
    <row r="1724" spans="12:14" x14ac:dyDescent="0.55000000000000004">
      <c r="L1724">
        <v>1719</v>
      </c>
      <c r="M1724">
        <v>2.9932E-2</v>
      </c>
      <c r="N1724">
        <v>6032.7608289999998</v>
      </c>
    </row>
    <row r="1725" spans="12:14" x14ac:dyDescent="0.55000000000000004">
      <c r="L1725">
        <v>1720</v>
      </c>
      <c r="M1725">
        <v>2.9932E-2</v>
      </c>
      <c r="N1725">
        <v>6032.7608289999998</v>
      </c>
    </row>
    <row r="1726" spans="12:14" x14ac:dyDescent="0.55000000000000004">
      <c r="L1726">
        <v>1721</v>
      </c>
      <c r="M1726">
        <v>2.9932E-2</v>
      </c>
      <c r="N1726">
        <v>6032.7608289999998</v>
      </c>
    </row>
    <row r="1727" spans="12:14" x14ac:dyDescent="0.55000000000000004">
      <c r="L1727">
        <v>1722</v>
      </c>
      <c r="M1727">
        <v>2.9932E-2</v>
      </c>
      <c r="N1727">
        <v>6032.7608289999998</v>
      </c>
    </row>
    <row r="1728" spans="12:14" x14ac:dyDescent="0.55000000000000004">
      <c r="L1728">
        <v>1723</v>
      </c>
      <c r="M1728">
        <v>2.9932E-2</v>
      </c>
      <c r="N1728">
        <v>6032.7608289999998</v>
      </c>
    </row>
    <row r="1729" spans="12:14" x14ac:dyDescent="0.55000000000000004">
      <c r="L1729">
        <v>1724</v>
      </c>
      <c r="M1729">
        <v>2.9932E-2</v>
      </c>
      <c r="N1729">
        <v>6032.7608289999998</v>
      </c>
    </row>
    <row r="1730" spans="12:14" x14ac:dyDescent="0.55000000000000004">
      <c r="L1730">
        <v>1725</v>
      </c>
      <c r="M1730">
        <v>2.9932E-2</v>
      </c>
      <c r="N1730">
        <v>6032.7608289999998</v>
      </c>
    </row>
    <row r="1731" spans="12:14" x14ac:dyDescent="0.55000000000000004">
      <c r="L1731">
        <v>1726</v>
      </c>
      <c r="M1731">
        <v>2.9932E-2</v>
      </c>
      <c r="N1731">
        <v>6032.7608289999998</v>
      </c>
    </row>
    <row r="1732" spans="12:14" x14ac:dyDescent="0.55000000000000004">
      <c r="L1732">
        <v>1727</v>
      </c>
      <c r="M1732">
        <v>2.9932E-2</v>
      </c>
      <c r="N1732">
        <v>6032.7608289999998</v>
      </c>
    </row>
    <row r="1733" spans="12:14" x14ac:dyDescent="0.55000000000000004">
      <c r="L1733">
        <v>1728</v>
      </c>
      <c r="M1733">
        <v>2.9932E-2</v>
      </c>
      <c r="N1733">
        <v>6032.7608289999998</v>
      </c>
    </row>
    <row r="1734" spans="12:14" x14ac:dyDescent="0.55000000000000004">
      <c r="L1734">
        <v>1729</v>
      </c>
      <c r="M1734">
        <v>2.9932E-2</v>
      </c>
      <c r="N1734">
        <v>6032.7608289999998</v>
      </c>
    </row>
    <row r="1735" spans="12:14" x14ac:dyDescent="0.55000000000000004">
      <c r="L1735">
        <v>1730</v>
      </c>
      <c r="M1735">
        <v>2.9932E-2</v>
      </c>
      <c r="N1735">
        <v>6032.7608289999998</v>
      </c>
    </row>
    <row r="1736" spans="12:14" x14ac:dyDescent="0.55000000000000004">
      <c r="L1736">
        <v>1731</v>
      </c>
      <c r="M1736">
        <v>2.9932E-2</v>
      </c>
      <c r="N1736">
        <v>6032.7608289999998</v>
      </c>
    </row>
    <row r="1737" spans="12:14" x14ac:dyDescent="0.55000000000000004">
      <c r="L1737">
        <v>1732</v>
      </c>
      <c r="M1737">
        <v>2.9932E-2</v>
      </c>
      <c r="N1737">
        <v>6032.7608289999998</v>
      </c>
    </row>
    <row r="1738" spans="12:14" x14ac:dyDescent="0.55000000000000004">
      <c r="L1738">
        <v>1733</v>
      </c>
      <c r="M1738">
        <v>2.9932E-2</v>
      </c>
      <c r="N1738">
        <v>6032.7608289999998</v>
      </c>
    </row>
    <row r="1739" spans="12:14" x14ac:dyDescent="0.55000000000000004">
      <c r="L1739">
        <v>1734</v>
      </c>
      <c r="M1739">
        <v>2.9932E-2</v>
      </c>
      <c r="N1739">
        <v>6032.7608289999998</v>
      </c>
    </row>
    <row r="1740" spans="12:14" x14ac:dyDescent="0.55000000000000004">
      <c r="L1740">
        <v>1735</v>
      </c>
      <c r="M1740">
        <v>2.9932E-2</v>
      </c>
      <c r="N1740">
        <v>6032.7608289999998</v>
      </c>
    </row>
    <row r="1741" spans="12:14" x14ac:dyDescent="0.55000000000000004">
      <c r="L1741">
        <v>1736</v>
      </c>
      <c r="M1741">
        <v>2.9932E-2</v>
      </c>
      <c r="N1741">
        <v>6032.7608289999998</v>
      </c>
    </row>
    <row r="1742" spans="12:14" x14ac:dyDescent="0.55000000000000004">
      <c r="L1742">
        <v>1737</v>
      </c>
      <c r="M1742">
        <v>2.9932E-2</v>
      </c>
      <c r="N1742">
        <v>6032.7608289999998</v>
      </c>
    </row>
    <row r="1743" spans="12:14" x14ac:dyDescent="0.55000000000000004">
      <c r="L1743">
        <v>1738</v>
      </c>
      <c r="M1743">
        <v>2.9932E-2</v>
      </c>
      <c r="N1743">
        <v>6032.7608289999998</v>
      </c>
    </row>
    <row r="1744" spans="12:14" x14ac:dyDescent="0.55000000000000004">
      <c r="L1744">
        <v>1739</v>
      </c>
      <c r="M1744">
        <v>2.9932E-2</v>
      </c>
      <c r="N1744">
        <v>6032.7608289999998</v>
      </c>
    </row>
    <row r="1745" spans="12:14" x14ac:dyDescent="0.55000000000000004">
      <c r="L1745">
        <v>1740</v>
      </c>
      <c r="M1745">
        <v>2.9932E-2</v>
      </c>
      <c r="N1745">
        <v>6032.7608289999998</v>
      </c>
    </row>
    <row r="1746" spans="12:14" x14ac:dyDescent="0.55000000000000004">
      <c r="L1746">
        <v>1741</v>
      </c>
      <c r="M1746">
        <v>2.9932E-2</v>
      </c>
      <c r="N1746">
        <v>6032.7608289999998</v>
      </c>
    </row>
    <row r="1747" spans="12:14" x14ac:dyDescent="0.55000000000000004">
      <c r="L1747">
        <v>1742</v>
      </c>
      <c r="M1747">
        <v>2.9932E-2</v>
      </c>
      <c r="N1747">
        <v>6032.7608289999998</v>
      </c>
    </row>
    <row r="1748" spans="12:14" x14ac:dyDescent="0.55000000000000004">
      <c r="L1748">
        <v>1743</v>
      </c>
      <c r="M1748">
        <v>2.9932E-2</v>
      </c>
      <c r="N1748">
        <v>6032.7608289999998</v>
      </c>
    </row>
    <row r="1749" spans="12:14" x14ac:dyDescent="0.55000000000000004">
      <c r="L1749">
        <v>1744</v>
      </c>
      <c r="M1749">
        <v>2.9932E-2</v>
      </c>
      <c r="N1749">
        <v>6032.7608289999998</v>
      </c>
    </row>
    <row r="1750" spans="12:14" x14ac:dyDescent="0.55000000000000004">
      <c r="L1750">
        <v>1745</v>
      </c>
      <c r="M1750">
        <v>2.9932E-2</v>
      </c>
      <c r="N1750">
        <v>6032.7608289999998</v>
      </c>
    </row>
    <row r="1751" spans="12:14" x14ac:dyDescent="0.55000000000000004">
      <c r="L1751">
        <v>1746</v>
      </c>
      <c r="M1751">
        <v>2.9932E-2</v>
      </c>
      <c r="N1751">
        <v>6032.7608289999998</v>
      </c>
    </row>
    <row r="1752" spans="12:14" x14ac:dyDescent="0.55000000000000004">
      <c r="L1752">
        <v>1747</v>
      </c>
      <c r="M1752">
        <v>2.9932E-2</v>
      </c>
      <c r="N1752">
        <v>6032.7608289999998</v>
      </c>
    </row>
    <row r="1753" spans="12:14" x14ac:dyDescent="0.55000000000000004">
      <c r="L1753">
        <v>1748</v>
      </c>
      <c r="M1753">
        <v>2.9932E-2</v>
      </c>
      <c r="N1753">
        <v>6032.7608289999998</v>
      </c>
    </row>
    <row r="1754" spans="12:14" x14ac:dyDescent="0.55000000000000004">
      <c r="L1754">
        <v>1749</v>
      </c>
      <c r="M1754">
        <v>2.9932E-2</v>
      </c>
      <c r="N1754">
        <v>6032.7608289999998</v>
      </c>
    </row>
    <row r="1755" spans="12:14" x14ac:dyDescent="0.55000000000000004">
      <c r="L1755">
        <v>1750</v>
      </c>
      <c r="M1755">
        <v>2.9932E-2</v>
      </c>
      <c r="N1755">
        <v>6032.7608289999998</v>
      </c>
    </row>
    <row r="1756" spans="12:14" x14ac:dyDescent="0.55000000000000004">
      <c r="L1756">
        <v>1751</v>
      </c>
      <c r="M1756">
        <v>2.9932E-2</v>
      </c>
      <c r="N1756">
        <v>6032.7608289999998</v>
      </c>
    </row>
    <row r="1757" spans="12:14" x14ac:dyDescent="0.55000000000000004">
      <c r="L1757">
        <v>1752</v>
      </c>
      <c r="M1757">
        <v>2.9932E-2</v>
      </c>
      <c r="N1757">
        <v>6032.7608289999998</v>
      </c>
    </row>
    <row r="1758" spans="12:14" x14ac:dyDescent="0.55000000000000004">
      <c r="L1758">
        <v>1753</v>
      </c>
      <c r="M1758">
        <v>2.9932E-2</v>
      </c>
      <c r="N1758">
        <v>6032.7608289999998</v>
      </c>
    </row>
    <row r="1759" spans="12:14" x14ac:dyDescent="0.55000000000000004">
      <c r="L1759">
        <v>1754</v>
      </c>
      <c r="M1759">
        <v>2.9932E-2</v>
      </c>
      <c r="N1759">
        <v>6032.7608289999998</v>
      </c>
    </row>
    <row r="1760" spans="12:14" x14ac:dyDescent="0.55000000000000004">
      <c r="L1760">
        <v>1755</v>
      </c>
      <c r="M1760">
        <v>2.9932E-2</v>
      </c>
      <c r="N1760">
        <v>6032.7608289999998</v>
      </c>
    </row>
    <row r="1761" spans="12:14" x14ac:dyDescent="0.55000000000000004">
      <c r="L1761">
        <v>1756</v>
      </c>
      <c r="M1761">
        <v>2.9932E-2</v>
      </c>
      <c r="N1761">
        <v>6032.7608289999998</v>
      </c>
    </row>
    <row r="1762" spans="12:14" x14ac:dyDescent="0.55000000000000004">
      <c r="L1762">
        <v>1757</v>
      </c>
      <c r="M1762">
        <v>2.9932E-2</v>
      </c>
      <c r="N1762">
        <v>6032.7608289999998</v>
      </c>
    </row>
    <row r="1763" spans="12:14" x14ac:dyDescent="0.55000000000000004">
      <c r="L1763">
        <v>1758</v>
      </c>
      <c r="M1763">
        <v>2.9932E-2</v>
      </c>
      <c r="N1763">
        <v>6032.7608289999998</v>
      </c>
    </row>
    <row r="1764" spans="12:14" x14ac:dyDescent="0.55000000000000004">
      <c r="L1764">
        <v>1759</v>
      </c>
      <c r="M1764">
        <v>2.9932E-2</v>
      </c>
      <c r="N1764">
        <v>6032.7608289999998</v>
      </c>
    </row>
    <row r="1765" spans="12:14" x14ac:dyDescent="0.55000000000000004">
      <c r="L1765">
        <v>1760</v>
      </c>
      <c r="M1765">
        <v>2.9932E-2</v>
      </c>
      <c r="N1765">
        <v>6032.7608289999998</v>
      </c>
    </row>
    <row r="1766" spans="12:14" x14ac:dyDescent="0.55000000000000004">
      <c r="L1766">
        <v>1761</v>
      </c>
      <c r="M1766">
        <v>2.9932E-2</v>
      </c>
      <c r="N1766">
        <v>6032.7608289999998</v>
      </c>
    </row>
    <row r="1767" spans="12:14" x14ac:dyDescent="0.55000000000000004">
      <c r="L1767">
        <v>1762</v>
      </c>
      <c r="M1767">
        <v>2.9932E-2</v>
      </c>
      <c r="N1767">
        <v>6032.7608289999998</v>
      </c>
    </row>
    <row r="1768" spans="12:14" x14ac:dyDescent="0.55000000000000004">
      <c r="L1768">
        <v>1763</v>
      </c>
      <c r="M1768">
        <v>2.9932E-2</v>
      </c>
      <c r="N1768">
        <v>6032.7608289999998</v>
      </c>
    </row>
    <row r="1769" spans="12:14" x14ac:dyDescent="0.55000000000000004">
      <c r="L1769">
        <v>1764</v>
      </c>
      <c r="M1769">
        <v>2.9932E-2</v>
      </c>
      <c r="N1769">
        <v>6032.7608289999998</v>
      </c>
    </row>
    <row r="1770" spans="12:14" x14ac:dyDescent="0.55000000000000004">
      <c r="L1770">
        <v>1765</v>
      </c>
      <c r="M1770">
        <v>2.9932E-2</v>
      </c>
      <c r="N1770">
        <v>6032.7608289999998</v>
      </c>
    </row>
    <row r="1771" spans="12:14" x14ac:dyDescent="0.55000000000000004">
      <c r="L1771">
        <v>1766</v>
      </c>
      <c r="M1771">
        <v>2.9932E-2</v>
      </c>
      <c r="N1771">
        <v>6032.7608289999998</v>
      </c>
    </row>
    <row r="1772" spans="12:14" x14ac:dyDescent="0.55000000000000004">
      <c r="L1772">
        <v>1767</v>
      </c>
      <c r="M1772">
        <v>2.9932E-2</v>
      </c>
      <c r="N1772">
        <v>6032.7608289999998</v>
      </c>
    </row>
    <row r="1773" spans="12:14" x14ac:dyDescent="0.55000000000000004">
      <c r="L1773">
        <v>1768</v>
      </c>
      <c r="M1773">
        <v>2.9932E-2</v>
      </c>
      <c r="N1773">
        <v>6032.7608289999998</v>
      </c>
    </row>
    <row r="1774" spans="12:14" x14ac:dyDescent="0.55000000000000004">
      <c r="L1774">
        <v>1769</v>
      </c>
      <c r="M1774">
        <v>2.9932E-2</v>
      </c>
      <c r="N1774">
        <v>6032.7608289999998</v>
      </c>
    </row>
    <row r="1775" spans="12:14" x14ac:dyDescent="0.55000000000000004">
      <c r="L1775">
        <v>1770</v>
      </c>
      <c r="M1775">
        <v>2.9932E-2</v>
      </c>
      <c r="N1775">
        <v>6032.7608289999998</v>
      </c>
    </row>
    <row r="1776" spans="12:14" x14ac:dyDescent="0.55000000000000004">
      <c r="L1776">
        <v>1771</v>
      </c>
      <c r="M1776">
        <v>2.9932E-2</v>
      </c>
      <c r="N1776">
        <v>6032.7608289999998</v>
      </c>
    </row>
    <row r="1777" spans="12:14" x14ac:dyDescent="0.55000000000000004">
      <c r="L1777">
        <v>1772</v>
      </c>
      <c r="M1777">
        <v>2.9932E-2</v>
      </c>
      <c r="N1777">
        <v>6032.7608289999998</v>
      </c>
    </row>
    <row r="1778" spans="12:14" x14ac:dyDescent="0.55000000000000004">
      <c r="L1778">
        <v>1773</v>
      </c>
      <c r="M1778">
        <v>2.9932E-2</v>
      </c>
      <c r="N1778">
        <v>6032.7608289999998</v>
      </c>
    </row>
    <row r="1779" spans="12:14" x14ac:dyDescent="0.55000000000000004">
      <c r="L1779">
        <v>1774</v>
      </c>
      <c r="M1779">
        <v>2.9932E-2</v>
      </c>
      <c r="N1779">
        <v>6032.7608289999998</v>
      </c>
    </row>
    <row r="1780" spans="12:14" x14ac:dyDescent="0.55000000000000004">
      <c r="L1780">
        <v>1775</v>
      </c>
      <c r="M1780">
        <v>2.9932E-2</v>
      </c>
      <c r="N1780">
        <v>6032.7608289999998</v>
      </c>
    </row>
    <row r="1781" spans="12:14" x14ac:dyDescent="0.55000000000000004">
      <c r="L1781">
        <v>1776</v>
      </c>
      <c r="M1781">
        <v>2.9932E-2</v>
      </c>
      <c r="N1781">
        <v>6032.7608289999998</v>
      </c>
    </row>
    <row r="1782" spans="12:14" x14ac:dyDescent="0.55000000000000004">
      <c r="L1782">
        <v>1777</v>
      </c>
      <c r="M1782">
        <v>2.9932E-2</v>
      </c>
      <c r="N1782">
        <v>6032.7608289999998</v>
      </c>
    </row>
    <row r="1783" spans="12:14" x14ac:dyDescent="0.55000000000000004">
      <c r="L1783">
        <v>1778</v>
      </c>
      <c r="M1783">
        <v>2.9932E-2</v>
      </c>
      <c r="N1783">
        <v>6032.7608289999998</v>
      </c>
    </row>
    <row r="1784" spans="12:14" x14ac:dyDescent="0.55000000000000004">
      <c r="L1784">
        <v>1779</v>
      </c>
      <c r="M1784">
        <v>2.9932E-2</v>
      </c>
      <c r="N1784">
        <v>6032.7608289999998</v>
      </c>
    </row>
    <row r="1785" spans="12:14" x14ac:dyDescent="0.55000000000000004">
      <c r="L1785">
        <v>1780</v>
      </c>
      <c r="M1785">
        <v>2.9932E-2</v>
      </c>
      <c r="N1785">
        <v>6032.7608289999998</v>
      </c>
    </row>
    <row r="1786" spans="12:14" x14ac:dyDescent="0.55000000000000004">
      <c r="L1786">
        <v>1781</v>
      </c>
      <c r="M1786">
        <v>2.9932E-2</v>
      </c>
      <c r="N1786">
        <v>6032.7608289999998</v>
      </c>
    </row>
    <row r="1787" spans="12:14" x14ac:dyDescent="0.55000000000000004">
      <c r="L1787">
        <v>1782</v>
      </c>
      <c r="M1787">
        <v>2.9932E-2</v>
      </c>
      <c r="N1787">
        <v>6032.7608289999998</v>
      </c>
    </row>
    <row r="1788" spans="12:14" x14ac:dyDescent="0.55000000000000004">
      <c r="L1788">
        <v>1783</v>
      </c>
      <c r="M1788">
        <v>2.9932E-2</v>
      </c>
      <c r="N1788">
        <v>6032.7608289999998</v>
      </c>
    </row>
    <row r="1789" spans="12:14" x14ac:dyDescent="0.55000000000000004">
      <c r="L1789">
        <v>1784</v>
      </c>
      <c r="M1789">
        <v>2.9932E-2</v>
      </c>
      <c r="N1789">
        <v>6032.7608289999998</v>
      </c>
    </row>
    <row r="1790" spans="12:14" x14ac:dyDescent="0.55000000000000004">
      <c r="L1790">
        <v>1785</v>
      </c>
      <c r="M1790">
        <v>2.9932E-2</v>
      </c>
      <c r="N1790">
        <v>6032.7608289999998</v>
      </c>
    </row>
    <row r="1791" spans="12:14" x14ac:dyDescent="0.55000000000000004">
      <c r="L1791">
        <v>1786</v>
      </c>
      <c r="M1791">
        <v>2.9932E-2</v>
      </c>
      <c r="N1791">
        <v>6032.7608289999998</v>
      </c>
    </row>
    <row r="1792" spans="12:14" x14ac:dyDescent="0.55000000000000004">
      <c r="L1792">
        <v>1787</v>
      </c>
      <c r="M1792">
        <v>2.9932E-2</v>
      </c>
      <c r="N1792">
        <v>6032.7608289999998</v>
      </c>
    </row>
    <row r="1793" spans="12:14" x14ac:dyDescent="0.55000000000000004">
      <c r="L1793">
        <v>1788</v>
      </c>
      <c r="M1793">
        <v>2.9932E-2</v>
      </c>
      <c r="N1793">
        <v>6032.7608289999998</v>
      </c>
    </row>
    <row r="1794" spans="12:14" x14ac:dyDescent="0.55000000000000004">
      <c r="L1794">
        <v>1789</v>
      </c>
      <c r="M1794">
        <v>2.9932E-2</v>
      </c>
      <c r="N1794">
        <v>6032.7608289999998</v>
      </c>
    </row>
    <row r="1795" spans="12:14" x14ac:dyDescent="0.55000000000000004">
      <c r="L1795">
        <v>1790</v>
      </c>
      <c r="M1795">
        <v>2.9932E-2</v>
      </c>
      <c r="N1795">
        <v>6032.7608289999998</v>
      </c>
    </row>
    <row r="1796" spans="12:14" x14ac:dyDescent="0.55000000000000004">
      <c r="L1796">
        <v>1791</v>
      </c>
      <c r="M1796">
        <v>2.9932E-2</v>
      </c>
      <c r="N1796">
        <v>6032.7608289999998</v>
      </c>
    </row>
    <row r="1797" spans="12:14" x14ac:dyDescent="0.55000000000000004">
      <c r="L1797">
        <v>1792</v>
      </c>
      <c r="M1797">
        <v>2.9932E-2</v>
      </c>
      <c r="N1797">
        <v>6032.7608289999998</v>
      </c>
    </row>
    <row r="1798" spans="12:14" x14ac:dyDescent="0.55000000000000004">
      <c r="L1798">
        <v>1793</v>
      </c>
      <c r="M1798">
        <v>2.9932E-2</v>
      </c>
      <c r="N1798">
        <v>6032.7608289999998</v>
      </c>
    </row>
    <row r="1799" spans="12:14" x14ac:dyDescent="0.55000000000000004">
      <c r="L1799">
        <v>1794</v>
      </c>
      <c r="M1799">
        <v>2.9932E-2</v>
      </c>
      <c r="N1799">
        <v>6032.7608289999998</v>
      </c>
    </row>
    <row r="1800" spans="12:14" x14ac:dyDescent="0.55000000000000004">
      <c r="L1800">
        <v>1795</v>
      </c>
      <c r="M1800">
        <v>2.9932E-2</v>
      </c>
      <c r="N1800">
        <v>6032.7608289999998</v>
      </c>
    </row>
    <row r="1801" spans="12:14" x14ac:dyDescent="0.55000000000000004">
      <c r="L1801">
        <v>1796</v>
      </c>
      <c r="M1801">
        <v>2.9932E-2</v>
      </c>
      <c r="N1801">
        <v>6032.7608289999998</v>
      </c>
    </row>
    <row r="1802" spans="12:14" x14ac:dyDescent="0.55000000000000004">
      <c r="L1802">
        <v>1797</v>
      </c>
      <c r="M1802">
        <v>2.9932E-2</v>
      </c>
      <c r="N1802">
        <v>6032.7608289999998</v>
      </c>
    </row>
    <row r="1803" spans="12:14" x14ac:dyDescent="0.55000000000000004">
      <c r="L1803">
        <v>1798</v>
      </c>
      <c r="M1803">
        <v>2.9932E-2</v>
      </c>
      <c r="N1803">
        <v>6032.7608289999998</v>
      </c>
    </row>
    <row r="1804" spans="12:14" x14ac:dyDescent="0.55000000000000004">
      <c r="L1804">
        <v>1799</v>
      </c>
      <c r="M1804">
        <v>2.9932E-2</v>
      </c>
      <c r="N1804">
        <v>6032.7608289999998</v>
      </c>
    </row>
    <row r="1805" spans="12:14" x14ac:dyDescent="0.55000000000000004">
      <c r="L1805">
        <v>1800</v>
      </c>
      <c r="M1805">
        <v>2.9932E-2</v>
      </c>
      <c r="N1805">
        <v>6032.7608289999998</v>
      </c>
    </row>
    <row r="1806" spans="12:14" x14ac:dyDescent="0.55000000000000004">
      <c r="L1806">
        <v>1801</v>
      </c>
      <c r="M1806">
        <v>2.9932E-2</v>
      </c>
      <c r="N1806">
        <v>6032.7608289999998</v>
      </c>
    </row>
    <row r="1807" spans="12:14" x14ac:dyDescent="0.55000000000000004">
      <c r="L1807">
        <v>1802</v>
      </c>
      <c r="M1807">
        <v>2.9932E-2</v>
      </c>
      <c r="N1807">
        <v>6032.7608289999998</v>
      </c>
    </row>
    <row r="1808" spans="12:14" x14ac:dyDescent="0.55000000000000004">
      <c r="L1808">
        <v>1803</v>
      </c>
      <c r="M1808">
        <v>2.9932E-2</v>
      </c>
      <c r="N1808">
        <v>6032.7608289999998</v>
      </c>
    </row>
    <row r="1809" spans="12:14" x14ac:dyDescent="0.55000000000000004">
      <c r="L1809">
        <v>1804</v>
      </c>
      <c r="M1809">
        <v>2.9932E-2</v>
      </c>
      <c r="N1809">
        <v>6032.7608289999998</v>
      </c>
    </row>
    <row r="1810" spans="12:14" x14ac:dyDescent="0.55000000000000004">
      <c r="L1810">
        <v>1805</v>
      </c>
      <c r="M1810">
        <v>2.9932E-2</v>
      </c>
      <c r="N1810">
        <v>6032.7608289999998</v>
      </c>
    </row>
    <row r="1811" spans="12:14" x14ac:dyDescent="0.55000000000000004">
      <c r="L1811">
        <v>1806</v>
      </c>
      <c r="M1811">
        <v>2.9932E-2</v>
      </c>
      <c r="N1811">
        <v>6032.7608289999998</v>
      </c>
    </row>
    <row r="1812" spans="12:14" x14ac:dyDescent="0.55000000000000004">
      <c r="L1812">
        <v>1807</v>
      </c>
      <c r="M1812">
        <v>2.9932E-2</v>
      </c>
      <c r="N1812">
        <v>6032.7608289999998</v>
      </c>
    </row>
    <row r="1813" spans="12:14" x14ac:dyDescent="0.55000000000000004">
      <c r="L1813">
        <v>1808</v>
      </c>
      <c r="M1813">
        <v>2.9932E-2</v>
      </c>
      <c r="N1813">
        <v>6032.7608289999998</v>
      </c>
    </row>
    <row r="1814" spans="12:14" x14ac:dyDescent="0.55000000000000004">
      <c r="L1814">
        <v>1809</v>
      </c>
      <c r="M1814">
        <v>2.9932E-2</v>
      </c>
      <c r="N1814">
        <v>6032.7608289999998</v>
      </c>
    </row>
    <row r="1815" spans="12:14" x14ac:dyDescent="0.55000000000000004">
      <c r="L1815">
        <v>1810</v>
      </c>
      <c r="M1815">
        <v>2.9932E-2</v>
      </c>
      <c r="N1815">
        <v>6032.7608289999998</v>
      </c>
    </row>
    <row r="1816" spans="12:14" x14ac:dyDescent="0.55000000000000004">
      <c r="L1816">
        <v>1811</v>
      </c>
      <c r="M1816">
        <v>2.9932E-2</v>
      </c>
      <c r="N1816">
        <v>6032.7608289999998</v>
      </c>
    </row>
    <row r="1817" spans="12:14" x14ac:dyDescent="0.55000000000000004">
      <c r="L1817">
        <v>1812</v>
      </c>
      <c r="M1817">
        <v>2.9932E-2</v>
      </c>
      <c r="N1817">
        <v>6032.7608289999998</v>
      </c>
    </row>
    <row r="1818" spans="12:14" x14ac:dyDescent="0.55000000000000004">
      <c r="L1818">
        <v>1813</v>
      </c>
      <c r="M1818">
        <v>2.9932E-2</v>
      </c>
      <c r="N1818">
        <v>6032.7608289999998</v>
      </c>
    </row>
    <row r="1819" spans="12:14" x14ac:dyDescent="0.55000000000000004">
      <c r="L1819">
        <v>1814</v>
      </c>
      <c r="M1819">
        <v>2.9932E-2</v>
      </c>
      <c r="N1819">
        <v>6032.7608289999998</v>
      </c>
    </row>
    <row r="1820" spans="12:14" x14ac:dyDescent="0.55000000000000004">
      <c r="L1820">
        <v>1815</v>
      </c>
      <c r="M1820">
        <v>2.9932E-2</v>
      </c>
      <c r="N1820">
        <v>6032.7608289999998</v>
      </c>
    </row>
    <row r="1821" spans="12:14" x14ac:dyDescent="0.55000000000000004">
      <c r="L1821">
        <v>1816</v>
      </c>
      <c r="M1821">
        <v>2.9932E-2</v>
      </c>
      <c r="N1821">
        <v>6032.7608289999998</v>
      </c>
    </row>
    <row r="1822" spans="12:14" x14ac:dyDescent="0.55000000000000004">
      <c r="L1822">
        <v>1817</v>
      </c>
      <c r="M1822">
        <v>2.9932E-2</v>
      </c>
      <c r="N1822">
        <v>6032.7608289999998</v>
      </c>
    </row>
    <row r="1823" spans="12:14" x14ac:dyDescent="0.55000000000000004">
      <c r="L1823">
        <v>1818</v>
      </c>
      <c r="M1823">
        <v>2.9932E-2</v>
      </c>
      <c r="N1823">
        <v>6032.7608289999998</v>
      </c>
    </row>
    <row r="1824" spans="12:14" x14ac:dyDescent="0.55000000000000004">
      <c r="L1824">
        <v>1819</v>
      </c>
      <c r="M1824">
        <v>2.9932E-2</v>
      </c>
      <c r="N1824">
        <v>6032.7608289999998</v>
      </c>
    </row>
    <row r="1825" spans="12:14" x14ac:dyDescent="0.55000000000000004">
      <c r="L1825">
        <v>1820</v>
      </c>
      <c r="M1825">
        <v>2.9932E-2</v>
      </c>
      <c r="N1825">
        <v>6032.7608289999998</v>
      </c>
    </row>
    <row r="1826" spans="12:14" x14ac:dyDescent="0.55000000000000004">
      <c r="L1826">
        <v>1821</v>
      </c>
      <c r="M1826">
        <v>2.9932E-2</v>
      </c>
      <c r="N1826">
        <v>6032.7608289999998</v>
      </c>
    </row>
    <row r="1827" spans="12:14" x14ac:dyDescent="0.55000000000000004">
      <c r="L1827">
        <v>1822</v>
      </c>
      <c r="M1827">
        <v>2.9932E-2</v>
      </c>
      <c r="N1827">
        <v>6032.7608289999998</v>
      </c>
    </row>
    <row r="1828" spans="12:14" x14ac:dyDescent="0.55000000000000004">
      <c r="L1828">
        <v>1823</v>
      </c>
      <c r="M1828">
        <v>2.9932E-2</v>
      </c>
      <c r="N1828">
        <v>6032.7608289999998</v>
      </c>
    </row>
    <row r="1829" spans="12:14" x14ac:dyDescent="0.55000000000000004">
      <c r="L1829">
        <v>1824</v>
      </c>
      <c r="M1829">
        <v>2.9932E-2</v>
      </c>
      <c r="N1829">
        <v>6032.7608289999998</v>
      </c>
    </row>
    <row r="1830" spans="12:14" x14ac:dyDescent="0.55000000000000004">
      <c r="L1830">
        <v>1825</v>
      </c>
      <c r="M1830">
        <v>2.9932E-2</v>
      </c>
      <c r="N1830">
        <v>6032.7608289999998</v>
      </c>
    </row>
    <row r="1831" spans="12:14" x14ac:dyDescent="0.55000000000000004">
      <c r="L1831">
        <v>1826</v>
      </c>
      <c r="M1831">
        <v>2.9932E-2</v>
      </c>
      <c r="N1831">
        <v>6032.7608289999998</v>
      </c>
    </row>
    <row r="1832" spans="12:14" x14ac:dyDescent="0.55000000000000004">
      <c r="L1832">
        <v>1827</v>
      </c>
      <c r="M1832">
        <v>2.9932E-2</v>
      </c>
      <c r="N1832">
        <v>6032.7608289999998</v>
      </c>
    </row>
    <row r="1833" spans="12:14" x14ac:dyDescent="0.55000000000000004">
      <c r="L1833">
        <v>1828</v>
      </c>
      <c r="M1833">
        <v>2.9932E-2</v>
      </c>
      <c r="N1833">
        <v>6032.7608289999998</v>
      </c>
    </row>
    <row r="1834" spans="12:14" x14ac:dyDescent="0.55000000000000004">
      <c r="L1834">
        <v>1829</v>
      </c>
      <c r="M1834">
        <v>2.9932E-2</v>
      </c>
      <c r="N1834">
        <v>6032.7608289999998</v>
      </c>
    </row>
    <row r="1835" spans="12:14" x14ac:dyDescent="0.55000000000000004">
      <c r="L1835">
        <v>1830</v>
      </c>
      <c r="M1835">
        <v>2.9932E-2</v>
      </c>
      <c r="N1835">
        <v>6032.7608289999998</v>
      </c>
    </row>
    <row r="1836" spans="12:14" x14ac:dyDescent="0.55000000000000004">
      <c r="L1836">
        <v>1831</v>
      </c>
      <c r="M1836">
        <v>2.9932E-2</v>
      </c>
      <c r="N1836">
        <v>6032.7608289999998</v>
      </c>
    </row>
    <row r="1837" spans="12:14" x14ac:dyDescent="0.55000000000000004">
      <c r="L1837">
        <v>1832</v>
      </c>
      <c r="M1837">
        <v>2.9932E-2</v>
      </c>
      <c r="N1837">
        <v>6032.7608289999998</v>
      </c>
    </row>
    <row r="1838" spans="12:14" x14ac:dyDescent="0.55000000000000004">
      <c r="L1838">
        <v>1833</v>
      </c>
      <c r="M1838">
        <v>2.9932E-2</v>
      </c>
      <c r="N1838">
        <v>6032.7608289999998</v>
      </c>
    </row>
    <row r="1839" spans="12:14" x14ac:dyDescent="0.55000000000000004">
      <c r="L1839">
        <v>1834</v>
      </c>
      <c r="M1839">
        <v>2.9932E-2</v>
      </c>
      <c r="N1839">
        <v>6032.7608289999998</v>
      </c>
    </row>
    <row r="1840" spans="12:14" x14ac:dyDescent="0.55000000000000004">
      <c r="L1840">
        <v>1835</v>
      </c>
      <c r="M1840">
        <v>2.9932E-2</v>
      </c>
      <c r="N1840">
        <v>6032.7608289999998</v>
      </c>
    </row>
    <row r="1841" spans="12:14" x14ac:dyDescent="0.55000000000000004">
      <c r="L1841">
        <v>1836</v>
      </c>
      <c r="M1841">
        <v>2.9932E-2</v>
      </c>
      <c r="N1841">
        <v>6032.7608289999998</v>
      </c>
    </row>
    <row r="1842" spans="12:14" x14ac:dyDescent="0.55000000000000004">
      <c r="L1842">
        <v>1837</v>
      </c>
      <c r="M1842">
        <v>2.9932E-2</v>
      </c>
      <c r="N1842">
        <v>6032.7608289999998</v>
      </c>
    </row>
    <row r="1843" spans="12:14" x14ac:dyDescent="0.55000000000000004">
      <c r="L1843">
        <v>1838</v>
      </c>
      <c r="M1843">
        <v>2.9932E-2</v>
      </c>
      <c r="N1843">
        <v>6032.7608289999998</v>
      </c>
    </row>
    <row r="1844" spans="12:14" x14ac:dyDescent="0.55000000000000004">
      <c r="L1844">
        <v>1839</v>
      </c>
      <c r="M1844">
        <v>2.9932E-2</v>
      </c>
      <c r="N1844">
        <v>6032.7608289999998</v>
      </c>
    </row>
    <row r="1845" spans="12:14" x14ac:dyDescent="0.55000000000000004">
      <c r="L1845">
        <v>1840</v>
      </c>
      <c r="M1845">
        <v>2.9932E-2</v>
      </c>
      <c r="N1845">
        <v>6032.7608289999998</v>
      </c>
    </row>
    <row r="1846" spans="12:14" x14ac:dyDescent="0.55000000000000004">
      <c r="L1846">
        <v>1841</v>
      </c>
      <c r="M1846">
        <v>2.9932E-2</v>
      </c>
      <c r="N1846">
        <v>6032.7608289999998</v>
      </c>
    </row>
    <row r="1847" spans="12:14" x14ac:dyDescent="0.55000000000000004">
      <c r="L1847">
        <v>1842</v>
      </c>
      <c r="M1847">
        <v>2.9932E-2</v>
      </c>
      <c r="N1847">
        <v>6032.7608289999998</v>
      </c>
    </row>
    <row r="1848" spans="12:14" x14ac:dyDescent="0.55000000000000004">
      <c r="L1848">
        <v>1843</v>
      </c>
      <c r="M1848">
        <v>2.9932E-2</v>
      </c>
      <c r="N1848">
        <v>6032.7608289999998</v>
      </c>
    </row>
    <row r="1849" spans="12:14" x14ac:dyDescent="0.55000000000000004">
      <c r="L1849">
        <v>1844</v>
      </c>
      <c r="M1849">
        <v>2.9932E-2</v>
      </c>
      <c r="N1849">
        <v>6032.7608289999998</v>
      </c>
    </row>
    <row r="1850" spans="12:14" x14ac:dyDescent="0.55000000000000004">
      <c r="L1850">
        <v>1845</v>
      </c>
      <c r="M1850">
        <v>2.9932E-2</v>
      </c>
      <c r="N1850">
        <v>6032.7608289999998</v>
      </c>
    </row>
    <row r="1851" spans="12:14" x14ac:dyDescent="0.55000000000000004">
      <c r="L1851">
        <v>1846</v>
      </c>
      <c r="M1851">
        <v>2.9932E-2</v>
      </c>
      <c r="N1851">
        <v>6032.7608289999998</v>
      </c>
    </row>
    <row r="1852" spans="12:14" x14ac:dyDescent="0.55000000000000004">
      <c r="L1852">
        <v>1847</v>
      </c>
      <c r="M1852">
        <v>2.9932E-2</v>
      </c>
      <c r="N1852">
        <v>6032.7608289999998</v>
      </c>
    </row>
    <row r="1853" spans="12:14" x14ac:dyDescent="0.55000000000000004">
      <c r="L1853">
        <v>1848</v>
      </c>
      <c r="M1853">
        <v>2.9932E-2</v>
      </c>
      <c r="N1853">
        <v>6032.7608289999998</v>
      </c>
    </row>
    <row r="1854" spans="12:14" x14ac:dyDescent="0.55000000000000004">
      <c r="L1854">
        <v>1849</v>
      </c>
      <c r="M1854">
        <v>2.9932E-2</v>
      </c>
      <c r="N1854">
        <v>6032.7608289999998</v>
      </c>
    </row>
    <row r="1855" spans="12:14" x14ac:dyDescent="0.55000000000000004">
      <c r="L1855">
        <v>1850</v>
      </c>
      <c r="M1855">
        <v>2.9932E-2</v>
      </c>
      <c r="N1855">
        <v>6032.7608289999998</v>
      </c>
    </row>
    <row r="1856" spans="12:14" x14ac:dyDescent="0.55000000000000004">
      <c r="L1856">
        <v>1851</v>
      </c>
      <c r="M1856">
        <v>2.9932E-2</v>
      </c>
      <c r="N1856">
        <v>6032.7608289999998</v>
      </c>
    </row>
    <row r="1857" spans="12:14" x14ac:dyDescent="0.55000000000000004">
      <c r="L1857">
        <v>1852</v>
      </c>
      <c r="M1857">
        <v>2.9932E-2</v>
      </c>
      <c r="N1857">
        <v>6032.7608289999998</v>
      </c>
    </row>
    <row r="1858" spans="12:14" x14ac:dyDescent="0.55000000000000004">
      <c r="L1858">
        <v>1853</v>
      </c>
      <c r="M1858">
        <v>2.9932E-2</v>
      </c>
      <c r="N1858">
        <v>6032.7608289999998</v>
      </c>
    </row>
    <row r="1859" spans="12:14" x14ac:dyDescent="0.55000000000000004">
      <c r="L1859">
        <v>1854</v>
      </c>
      <c r="M1859">
        <v>2.9932E-2</v>
      </c>
      <c r="N1859">
        <v>6032.7608289999998</v>
      </c>
    </row>
    <row r="1860" spans="12:14" x14ac:dyDescent="0.55000000000000004">
      <c r="L1860">
        <v>1855</v>
      </c>
      <c r="M1860">
        <v>2.9932E-2</v>
      </c>
      <c r="N1860">
        <v>6032.7608289999998</v>
      </c>
    </row>
    <row r="1861" spans="12:14" x14ac:dyDescent="0.55000000000000004">
      <c r="L1861">
        <v>1856</v>
      </c>
      <c r="M1861">
        <v>2.9932E-2</v>
      </c>
      <c r="N1861">
        <v>6032.7608289999998</v>
      </c>
    </row>
    <row r="1862" spans="12:14" x14ac:dyDescent="0.55000000000000004">
      <c r="L1862">
        <v>1857</v>
      </c>
      <c r="M1862">
        <v>2.9932E-2</v>
      </c>
      <c r="N1862">
        <v>6032.7608289999998</v>
      </c>
    </row>
    <row r="1863" spans="12:14" x14ac:dyDescent="0.55000000000000004">
      <c r="L1863">
        <v>1858</v>
      </c>
      <c r="M1863">
        <v>2.9932E-2</v>
      </c>
      <c r="N1863">
        <v>6032.7608289999998</v>
      </c>
    </row>
    <row r="1864" spans="12:14" x14ac:dyDescent="0.55000000000000004">
      <c r="L1864">
        <v>1859</v>
      </c>
      <c r="M1864">
        <v>2.9932E-2</v>
      </c>
      <c r="N1864">
        <v>6032.7608289999998</v>
      </c>
    </row>
    <row r="1865" spans="12:14" x14ac:dyDescent="0.55000000000000004">
      <c r="L1865">
        <v>1860</v>
      </c>
      <c r="M1865">
        <v>2.9932E-2</v>
      </c>
      <c r="N1865">
        <v>6032.7608289999998</v>
      </c>
    </row>
    <row r="1866" spans="12:14" x14ac:dyDescent="0.55000000000000004">
      <c r="L1866">
        <v>1861</v>
      </c>
      <c r="M1866">
        <v>2.9932E-2</v>
      </c>
      <c r="N1866">
        <v>6032.7608289999998</v>
      </c>
    </row>
    <row r="1867" spans="12:14" x14ac:dyDescent="0.55000000000000004">
      <c r="L1867">
        <v>1862</v>
      </c>
      <c r="M1867">
        <v>2.9932E-2</v>
      </c>
      <c r="N1867">
        <v>6032.7608289999998</v>
      </c>
    </row>
    <row r="1868" spans="12:14" x14ac:dyDescent="0.55000000000000004">
      <c r="L1868">
        <v>1863</v>
      </c>
      <c r="M1868">
        <v>2.9932E-2</v>
      </c>
      <c r="N1868">
        <v>6032.7608289999998</v>
      </c>
    </row>
    <row r="1869" spans="12:14" x14ac:dyDescent="0.55000000000000004">
      <c r="L1869">
        <v>1864</v>
      </c>
      <c r="M1869">
        <v>2.9932E-2</v>
      </c>
      <c r="N1869">
        <v>6032.7608289999998</v>
      </c>
    </row>
    <row r="1870" spans="12:14" x14ac:dyDescent="0.55000000000000004">
      <c r="L1870">
        <v>1865</v>
      </c>
      <c r="M1870">
        <v>2.9932E-2</v>
      </c>
      <c r="N1870">
        <v>6032.7608289999998</v>
      </c>
    </row>
    <row r="1871" spans="12:14" x14ac:dyDescent="0.55000000000000004">
      <c r="L1871">
        <v>1866</v>
      </c>
      <c r="M1871">
        <v>2.9932E-2</v>
      </c>
      <c r="N1871">
        <v>6032.7608289999998</v>
      </c>
    </row>
    <row r="1872" spans="12:14" x14ac:dyDescent="0.55000000000000004">
      <c r="L1872">
        <v>1867</v>
      </c>
      <c r="M1872">
        <v>2.9932E-2</v>
      </c>
      <c r="N1872">
        <v>6032.7608289999998</v>
      </c>
    </row>
    <row r="1873" spans="12:14" x14ac:dyDescent="0.55000000000000004">
      <c r="L1873">
        <v>1868</v>
      </c>
      <c r="M1873">
        <v>2.9932E-2</v>
      </c>
      <c r="N1873">
        <v>6032.7608289999998</v>
      </c>
    </row>
    <row r="1874" spans="12:14" x14ac:dyDescent="0.55000000000000004">
      <c r="L1874">
        <v>1869</v>
      </c>
      <c r="M1874">
        <v>2.9932E-2</v>
      </c>
      <c r="N1874">
        <v>6032.7608289999998</v>
      </c>
    </row>
    <row r="1875" spans="12:14" x14ac:dyDescent="0.55000000000000004">
      <c r="L1875">
        <v>1870</v>
      </c>
      <c r="M1875">
        <v>2.9932E-2</v>
      </c>
      <c r="N1875">
        <v>6032.7608289999998</v>
      </c>
    </row>
    <row r="1876" spans="12:14" x14ac:dyDescent="0.55000000000000004">
      <c r="L1876">
        <v>1871</v>
      </c>
      <c r="M1876">
        <v>2.9932E-2</v>
      </c>
      <c r="N1876">
        <v>6032.7608289999998</v>
      </c>
    </row>
    <row r="1877" spans="12:14" x14ac:dyDescent="0.55000000000000004">
      <c r="L1877">
        <v>1872</v>
      </c>
      <c r="M1877">
        <v>2.9932E-2</v>
      </c>
      <c r="N1877">
        <v>6032.7608289999998</v>
      </c>
    </row>
    <row r="1878" spans="12:14" x14ac:dyDescent="0.55000000000000004">
      <c r="L1878">
        <v>1873</v>
      </c>
      <c r="M1878">
        <v>2.9932E-2</v>
      </c>
      <c r="N1878">
        <v>6032.7608289999998</v>
      </c>
    </row>
    <row r="1879" spans="12:14" x14ac:dyDescent="0.55000000000000004">
      <c r="L1879">
        <v>1874</v>
      </c>
      <c r="M1879">
        <v>2.9932E-2</v>
      </c>
      <c r="N1879">
        <v>6032.7608289999998</v>
      </c>
    </row>
    <row r="1880" spans="12:14" x14ac:dyDescent="0.55000000000000004">
      <c r="L1880">
        <v>1875</v>
      </c>
      <c r="M1880">
        <v>2.9932E-2</v>
      </c>
      <c r="N1880">
        <v>6032.7608289999998</v>
      </c>
    </row>
    <row r="1881" spans="12:14" x14ac:dyDescent="0.55000000000000004">
      <c r="L1881">
        <v>1876</v>
      </c>
      <c r="M1881">
        <v>2.9932E-2</v>
      </c>
      <c r="N1881">
        <v>6032.7608289999998</v>
      </c>
    </row>
    <row r="1882" spans="12:14" x14ac:dyDescent="0.55000000000000004">
      <c r="L1882">
        <v>1877</v>
      </c>
      <c r="M1882">
        <v>2.9932E-2</v>
      </c>
      <c r="N1882">
        <v>6032.7608289999998</v>
      </c>
    </row>
    <row r="1883" spans="12:14" x14ac:dyDescent="0.55000000000000004">
      <c r="L1883">
        <v>1878</v>
      </c>
      <c r="M1883">
        <v>2.9932E-2</v>
      </c>
      <c r="N1883">
        <v>6032.7608289999998</v>
      </c>
    </row>
    <row r="1884" spans="12:14" x14ac:dyDescent="0.55000000000000004">
      <c r="L1884">
        <v>1879</v>
      </c>
      <c r="M1884">
        <v>2.9932E-2</v>
      </c>
      <c r="N1884">
        <v>6032.7608289999998</v>
      </c>
    </row>
    <row r="1885" spans="12:14" x14ac:dyDescent="0.55000000000000004">
      <c r="L1885">
        <v>1880</v>
      </c>
      <c r="M1885">
        <v>2.9932E-2</v>
      </c>
      <c r="N1885">
        <v>6032.7608289999998</v>
      </c>
    </row>
    <row r="1886" spans="12:14" x14ac:dyDescent="0.55000000000000004">
      <c r="L1886">
        <v>1881</v>
      </c>
      <c r="M1886">
        <v>2.9932E-2</v>
      </c>
      <c r="N1886">
        <v>6032.7608289999998</v>
      </c>
    </row>
    <row r="1887" spans="12:14" x14ac:dyDescent="0.55000000000000004">
      <c r="L1887">
        <v>1882</v>
      </c>
      <c r="M1887">
        <v>2.9932E-2</v>
      </c>
      <c r="N1887">
        <v>6032.7608289999998</v>
      </c>
    </row>
    <row r="1888" spans="12:14" x14ac:dyDescent="0.55000000000000004">
      <c r="L1888">
        <v>1883</v>
      </c>
      <c r="M1888">
        <v>2.9932E-2</v>
      </c>
      <c r="N1888">
        <v>6032.7608289999998</v>
      </c>
    </row>
    <row r="1889" spans="12:14" x14ac:dyDescent="0.55000000000000004">
      <c r="L1889">
        <v>1884</v>
      </c>
      <c r="M1889">
        <v>2.9932E-2</v>
      </c>
      <c r="N1889">
        <v>6032.7608289999998</v>
      </c>
    </row>
    <row r="1890" spans="12:14" x14ac:dyDescent="0.55000000000000004">
      <c r="L1890">
        <v>1885</v>
      </c>
      <c r="M1890">
        <v>2.9932E-2</v>
      </c>
      <c r="N1890">
        <v>6032.7608289999998</v>
      </c>
    </row>
    <row r="1891" spans="12:14" x14ac:dyDescent="0.55000000000000004">
      <c r="L1891">
        <v>1886</v>
      </c>
      <c r="M1891">
        <v>2.9932E-2</v>
      </c>
      <c r="N1891">
        <v>6032.7608289999998</v>
      </c>
    </row>
    <row r="1892" spans="12:14" x14ac:dyDescent="0.55000000000000004">
      <c r="L1892">
        <v>1887</v>
      </c>
      <c r="M1892">
        <v>2.9932E-2</v>
      </c>
      <c r="N1892">
        <v>6032.7608289999998</v>
      </c>
    </row>
    <row r="1893" spans="12:14" x14ac:dyDescent="0.55000000000000004">
      <c r="L1893">
        <v>1888</v>
      </c>
      <c r="M1893">
        <v>2.9932E-2</v>
      </c>
      <c r="N1893">
        <v>6032.7608289999998</v>
      </c>
    </row>
    <row r="1894" spans="12:14" x14ac:dyDescent="0.55000000000000004">
      <c r="L1894">
        <v>1889</v>
      </c>
      <c r="M1894">
        <v>2.9932E-2</v>
      </c>
      <c r="N1894">
        <v>6032.7608289999998</v>
      </c>
    </row>
    <row r="1895" spans="12:14" x14ac:dyDescent="0.55000000000000004">
      <c r="L1895">
        <v>1890</v>
      </c>
      <c r="M1895">
        <v>2.9932E-2</v>
      </c>
      <c r="N1895">
        <v>6032.7608289999998</v>
      </c>
    </row>
    <row r="1896" spans="12:14" x14ac:dyDescent="0.55000000000000004">
      <c r="L1896">
        <v>1891</v>
      </c>
      <c r="M1896">
        <v>2.9932E-2</v>
      </c>
      <c r="N1896">
        <v>6032.7608289999998</v>
      </c>
    </row>
    <row r="1897" spans="12:14" x14ac:dyDescent="0.55000000000000004">
      <c r="L1897">
        <v>1892</v>
      </c>
      <c r="M1897">
        <v>2.9932E-2</v>
      </c>
      <c r="N1897">
        <v>6032.7608289999998</v>
      </c>
    </row>
    <row r="1898" spans="12:14" x14ac:dyDescent="0.55000000000000004">
      <c r="L1898">
        <v>1893</v>
      </c>
      <c r="M1898">
        <v>2.9932E-2</v>
      </c>
      <c r="N1898">
        <v>6032.7608289999998</v>
      </c>
    </row>
    <row r="1899" spans="12:14" x14ac:dyDescent="0.55000000000000004">
      <c r="L1899">
        <v>1894</v>
      </c>
      <c r="M1899">
        <v>2.9932E-2</v>
      </c>
      <c r="N1899">
        <v>6032.7608289999998</v>
      </c>
    </row>
    <row r="1900" spans="12:14" x14ac:dyDescent="0.55000000000000004">
      <c r="L1900">
        <v>1895</v>
      </c>
      <c r="M1900">
        <v>2.9932E-2</v>
      </c>
      <c r="N1900">
        <v>6032.7608289999998</v>
      </c>
    </row>
    <row r="1901" spans="12:14" x14ac:dyDescent="0.55000000000000004">
      <c r="L1901">
        <v>1896</v>
      </c>
      <c r="M1901">
        <v>2.9932E-2</v>
      </c>
      <c r="N1901">
        <v>6032.7608289999998</v>
      </c>
    </row>
    <row r="1902" spans="12:14" x14ac:dyDescent="0.55000000000000004">
      <c r="L1902">
        <v>1897</v>
      </c>
      <c r="M1902">
        <v>2.9932E-2</v>
      </c>
      <c r="N1902">
        <v>6032.7608289999998</v>
      </c>
    </row>
    <row r="1903" spans="12:14" x14ac:dyDescent="0.55000000000000004">
      <c r="L1903">
        <v>1898</v>
      </c>
      <c r="M1903">
        <v>2.9932E-2</v>
      </c>
      <c r="N1903">
        <v>6032.7608289999998</v>
      </c>
    </row>
    <row r="1904" spans="12:14" x14ac:dyDescent="0.55000000000000004">
      <c r="L1904">
        <v>1899</v>
      </c>
      <c r="M1904">
        <v>2.9932E-2</v>
      </c>
      <c r="N1904">
        <v>6032.7608289999998</v>
      </c>
    </row>
    <row r="1905" spans="12:14" x14ac:dyDescent="0.55000000000000004">
      <c r="L1905">
        <v>1900</v>
      </c>
      <c r="M1905">
        <v>2.9932E-2</v>
      </c>
      <c r="N1905">
        <v>6032.7608289999998</v>
      </c>
    </row>
    <row r="1906" spans="12:14" x14ac:dyDescent="0.55000000000000004">
      <c r="L1906">
        <v>1901</v>
      </c>
      <c r="M1906">
        <v>2.9932E-2</v>
      </c>
      <c r="N1906">
        <v>6032.7608289999998</v>
      </c>
    </row>
    <row r="1907" spans="12:14" x14ac:dyDescent="0.55000000000000004">
      <c r="L1907">
        <v>1902</v>
      </c>
      <c r="M1907">
        <v>2.9932E-2</v>
      </c>
      <c r="N1907">
        <v>6032.7608289999998</v>
      </c>
    </row>
    <row r="1908" spans="12:14" x14ac:dyDescent="0.55000000000000004">
      <c r="L1908">
        <v>1903</v>
      </c>
      <c r="M1908">
        <v>2.9932E-2</v>
      </c>
      <c r="N1908">
        <v>6032.7608289999998</v>
      </c>
    </row>
    <row r="1909" spans="12:14" x14ac:dyDescent="0.55000000000000004">
      <c r="L1909">
        <v>1904</v>
      </c>
      <c r="M1909">
        <v>2.9932E-2</v>
      </c>
      <c r="N1909">
        <v>6032.7608289999998</v>
      </c>
    </row>
    <row r="1910" spans="12:14" x14ac:dyDescent="0.55000000000000004">
      <c r="L1910">
        <v>1905</v>
      </c>
      <c r="M1910">
        <v>2.9932E-2</v>
      </c>
      <c r="N1910">
        <v>6032.7608289999998</v>
      </c>
    </row>
    <row r="1911" spans="12:14" x14ac:dyDescent="0.55000000000000004">
      <c r="L1911">
        <v>1906</v>
      </c>
      <c r="M1911">
        <v>2.9932E-2</v>
      </c>
      <c r="N1911">
        <v>6032.7608289999998</v>
      </c>
    </row>
    <row r="1912" spans="12:14" x14ac:dyDescent="0.55000000000000004">
      <c r="L1912">
        <v>1907</v>
      </c>
      <c r="M1912">
        <v>2.9932E-2</v>
      </c>
      <c r="N1912">
        <v>6032.7608289999998</v>
      </c>
    </row>
    <row r="1913" spans="12:14" x14ac:dyDescent="0.55000000000000004">
      <c r="L1913">
        <v>1908</v>
      </c>
      <c r="M1913">
        <v>2.9932E-2</v>
      </c>
      <c r="N1913">
        <v>6032.7608289999998</v>
      </c>
    </row>
    <row r="1914" spans="12:14" x14ac:dyDescent="0.55000000000000004">
      <c r="L1914">
        <v>1909</v>
      </c>
      <c r="M1914">
        <v>2.9932E-2</v>
      </c>
      <c r="N1914">
        <v>6032.7608289999998</v>
      </c>
    </row>
    <row r="1915" spans="12:14" x14ac:dyDescent="0.55000000000000004">
      <c r="L1915">
        <v>1910</v>
      </c>
      <c r="M1915">
        <v>2.9932E-2</v>
      </c>
      <c r="N1915">
        <v>6032.7608289999998</v>
      </c>
    </row>
    <row r="1916" spans="12:14" x14ac:dyDescent="0.55000000000000004">
      <c r="L1916">
        <v>1911</v>
      </c>
      <c r="M1916">
        <v>2.9932E-2</v>
      </c>
      <c r="N1916">
        <v>6032.7608289999998</v>
      </c>
    </row>
    <row r="1917" spans="12:14" x14ac:dyDescent="0.55000000000000004">
      <c r="L1917">
        <v>1912</v>
      </c>
      <c r="M1917">
        <v>2.9932E-2</v>
      </c>
      <c r="N1917">
        <v>6032.7608289999998</v>
      </c>
    </row>
    <row r="1918" spans="12:14" x14ac:dyDescent="0.55000000000000004">
      <c r="L1918">
        <v>1913</v>
      </c>
      <c r="M1918">
        <v>2.9932E-2</v>
      </c>
      <c r="N1918">
        <v>6032.7608289999998</v>
      </c>
    </row>
    <row r="1919" spans="12:14" x14ac:dyDescent="0.55000000000000004">
      <c r="L1919">
        <v>1914</v>
      </c>
      <c r="M1919">
        <v>2.9932E-2</v>
      </c>
      <c r="N1919">
        <v>6032.7608289999998</v>
      </c>
    </row>
    <row r="1920" spans="12:14" x14ac:dyDescent="0.55000000000000004">
      <c r="L1920">
        <v>1915</v>
      </c>
      <c r="M1920">
        <v>2.9932E-2</v>
      </c>
      <c r="N1920">
        <v>6032.7608289999998</v>
      </c>
    </row>
    <row r="1921" spans="12:14" x14ac:dyDescent="0.55000000000000004">
      <c r="L1921">
        <v>1916</v>
      </c>
      <c r="M1921">
        <v>2.9932E-2</v>
      </c>
      <c r="N1921">
        <v>6032.7608289999998</v>
      </c>
    </row>
    <row r="1922" spans="12:14" x14ac:dyDescent="0.55000000000000004">
      <c r="L1922">
        <v>1917</v>
      </c>
      <c r="M1922">
        <v>2.9932E-2</v>
      </c>
      <c r="N1922">
        <v>6032.7608289999998</v>
      </c>
    </row>
    <row r="1923" spans="12:14" x14ac:dyDescent="0.55000000000000004">
      <c r="L1923">
        <v>1918</v>
      </c>
      <c r="M1923">
        <v>2.9932E-2</v>
      </c>
      <c r="N1923">
        <v>6032.7608289999998</v>
      </c>
    </row>
    <row r="1924" spans="12:14" x14ac:dyDescent="0.55000000000000004">
      <c r="L1924">
        <v>1919</v>
      </c>
      <c r="M1924">
        <v>2.9932E-2</v>
      </c>
      <c r="N1924">
        <v>6032.7608289999998</v>
      </c>
    </row>
    <row r="1925" spans="12:14" x14ac:dyDescent="0.55000000000000004">
      <c r="L1925">
        <v>1920</v>
      </c>
      <c r="M1925">
        <v>2.9932E-2</v>
      </c>
      <c r="N1925">
        <v>6032.7608289999998</v>
      </c>
    </row>
    <row r="1926" spans="12:14" x14ac:dyDescent="0.55000000000000004">
      <c r="L1926">
        <v>1921</v>
      </c>
      <c r="M1926">
        <v>2.9932E-2</v>
      </c>
      <c r="N1926">
        <v>6032.7608289999998</v>
      </c>
    </row>
    <row r="1927" spans="12:14" x14ac:dyDescent="0.55000000000000004">
      <c r="L1927">
        <v>1922</v>
      </c>
      <c r="M1927">
        <v>2.9932E-2</v>
      </c>
      <c r="N1927">
        <v>6032.7608289999998</v>
      </c>
    </row>
    <row r="1928" spans="12:14" x14ac:dyDescent="0.55000000000000004">
      <c r="L1928">
        <v>1923</v>
      </c>
      <c r="M1928">
        <v>2.9932E-2</v>
      </c>
      <c r="N1928">
        <v>6032.7608289999998</v>
      </c>
    </row>
    <row r="1929" spans="12:14" x14ac:dyDescent="0.55000000000000004">
      <c r="L1929">
        <v>1924</v>
      </c>
      <c r="M1929">
        <v>2.9932E-2</v>
      </c>
      <c r="N1929">
        <v>6032.7608289999998</v>
      </c>
    </row>
    <row r="1930" spans="12:14" x14ac:dyDescent="0.55000000000000004">
      <c r="L1930">
        <v>1925</v>
      </c>
      <c r="M1930">
        <v>2.9932E-2</v>
      </c>
      <c r="N1930">
        <v>6032.7608289999998</v>
      </c>
    </row>
    <row r="1931" spans="12:14" x14ac:dyDescent="0.55000000000000004">
      <c r="L1931">
        <v>1926</v>
      </c>
      <c r="M1931">
        <v>2.9932E-2</v>
      </c>
      <c r="N1931">
        <v>6032.7608289999998</v>
      </c>
    </row>
    <row r="1932" spans="12:14" x14ac:dyDescent="0.55000000000000004">
      <c r="L1932">
        <v>1927</v>
      </c>
      <c r="M1932">
        <v>2.9932E-2</v>
      </c>
      <c r="N1932">
        <v>6032.7608289999998</v>
      </c>
    </row>
    <row r="1933" spans="12:14" x14ac:dyDescent="0.55000000000000004">
      <c r="L1933">
        <v>1928</v>
      </c>
      <c r="M1933">
        <v>2.9932E-2</v>
      </c>
      <c r="N1933">
        <v>6032.7608289999998</v>
      </c>
    </row>
    <row r="1934" spans="12:14" x14ac:dyDescent="0.55000000000000004">
      <c r="L1934">
        <v>1929</v>
      </c>
      <c r="M1934">
        <v>2.9932E-2</v>
      </c>
      <c r="N1934">
        <v>6032.7608289999998</v>
      </c>
    </row>
    <row r="1935" spans="12:14" x14ac:dyDescent="0.55000000000000004">
      <c r="L1935">
        <v>1930</v>
      </c>
      <c r="M1935">
        <v>2.9932E-2</v>
      </c>
      <c r="N1935">
        <v>6032.7608289999998</v>
      </c>
    </row>
    <row r="1936" spans="12:14" x14ac:dyDescent="0.55000000000000004">
      <c r="L1936">
        <v>1931</v>
      </c>
      <c r="M1936">
        <v>2.9932E-2</v>
      </c>
      <c r="N1936">
        <v>6032.7608289999998</v>
      </c>
    </row>
    <row r="1937" spans="12:14" x14ac:dyDescent="0.55000000000000004">
      <c r="L1937">
        <v>1932</v>
      </c>
      <c r="M1937">
        <v>2.9932E-2</v>
      </c>
      <c r="N1937">
        <v>6032.7608289999998</v>
      </c>
    </row>
    <row r="1938" spans="12:14" x14ac:dyDescent="0.55000000000000004">
      <c r="L1938">
        <v>1933</v>
      </c>
      <c r="M1938">
        <v>2.9932E-2</v>
      </c>
      <c r="N1938">
        <v>6032.7608289999998</v>
      </c>
    </row>
    <row r="1939" spans="12:14" x14ac:dyDescent="0.55000000000000004">
      <c r="L1939">
        <v>1934</v>
      </c>
      <c r="M1939">
        <v>2.9932E-2</v>
      </c>
      <c r="N1939">
        <v>6032.7608289999998</v>
      </c>
    </row>
    <row r="1940" spans="12:14" x14ac:dyDescent="0.55000000000000004">
      <c r="L1940">
        <v>1935</v>
      </c>
      <c r="M1940">
        <v>2.9932E-2</v>
      </c>
      <c r="N1940">
        <v>6032.7608289999998</v>
      </c>
    </row>
    <row r="1941" spans="12:14" x14ac:dyDescent="0.55000000000000004">
      <c r="L1941">
        <v>1936</v>
      </c>
      <c r="M1941">
        <v>2.9932E-2</v>
      </c>
      <c r="N1941">
        <v>6032.7608289999998</v>
      </c>
    </row>
    <row r="1942" spans="12:14" x14ac:dyDescent="0.55000000000000004">
      <c r="L1942">
        <v>1937</v>
      </c>
      <c r="M1942">
        <v>2.9932E-2</v>
      </c>
      <c r="N1942">
        <v>6032.7608289999998</v>
      </c>
    </row>
    <row r="1943" spans="12:14" x14ac:dyDescent="0.55000000000000004">
      <c r="L1943">
        <v>1938</v>
      </c>
      <c r="M1943">
        <v>2.9932E-2</v>
      </c>
      <c r="N1943">
        <v>6032.7608289999998</v>
      </c>
    </row>
    <row r="1944" spans="12:14" x14ac:dyDescent="0.55000000000000004">
      <c r="L1944">
        <v>1939</v>
      </c>
      <c r="M1944">
        <v>2.9932E-2</v>
      </c>
      <c r="N1944">
        <v>6032.7608289999998</v>
      </c>
    </row>
    <row r="1945" spans="12:14" x14ac:dyDescent="0.55000000000000004">
      <c r="L1945">
        <v>1940</v>
      </c>
      <c r="M1945">
        <v>2.9932E-2</v>
      </c>
      <c r="N1945">
        <v>6032.7608289999998</v>
      </c>
    </row>
    <row r="1946" spans="12:14" x14ac:dyDescent="0.55000000000000004">
      <c r="L1946">
        <v>1941</v>
      </c>
      <c r="M1946">
        <v>2.9932E-2</v>
      </c>
      <c r="N1946">
        <v>6032.7608289999998</v>
      </c>
    </row>
    <row r="1947" spans="12:14" x14ac:dyDescent="0.55000000000000004">
      <c r="L1947">
        <v>1942</v>
      </c>
      <c r="M1947">
        <v>2.9932E-2</v>
      </c>
      <c r="N1947">
        <v>6032.7608289999998</v>
      </c>
    </row>
    <row r="1948" spans="12:14" x14ac:dyDescent="0.55000000000000004">
      <c r="L1948">
        <v>1943</v>
      </c>
      <c r="M1948">
        <v>2.9932E-2</v>
      </c>
      <c r="N1948">
        <v>6032.7608289999998</v>
      </c>
    </row>
    <row r="1949" spans="12:14" x14ac:dyDescent="0.55000000000000004">
      <c r="L1949">
        <v>1944</v>
      </c>
      <c r="M1949">
        <v>2.9932E-2</v>
      </c>
      <c r="N1949">
        <v>6032.7608289999998</v>
      </c>
    </row>
    <row r="1950" spans="12:14" x14ac:dyDescent="0.55000000000000004">
      <c r="L1950">
        <v>1945</v>
      </c>
      <c r="M1950">
        <v>2.9932E-2</v>
      </c>
      <c r="N1950">
        <v>6032.7608289999998</v>
      </c>
    </row>
    <row r="1951" spans="12:14" x14ac:dyDescent="0.55000000000000004">
      <c r="L1951">
        <v>1946</v>
      </c>
      <c r="M1951">
        <v>2.9932E-2</v>
      </c>
      <c r="N1951">
        <v>6032.7608289999998</v>
      </c>
    </row>
    <row r="1952" spans="12:14" x14ac:dyDescent="0.55000000000000004">
      <c r="L1952">
        <v>1947</v>
      </c>
      <c r="M1952">
        <v>2.9932E-2</v>
      </c>
      <c r="N1952">
        <v>6032.7608289999998</v>
      </c>
    </row>
    <row r="1953" spans="12:14" x14ac:dyDescent="0.55000000000000004">
      <c r="L1953">
        <v>1948</v>
      </c>
      <c r="M1953">
        <v>2.9932E-2</v>
      </c>
      <c r="N1953">
        <v>6032.7608289999998</v>
      </c>
    </row>
    <row r="1954" spans="12:14" x14ac:dyDescent="0.55000000000000004">
      <c r="L1954">
        <v>1949</v>
      </c>
      <c r="M1954">
        <v>2.9932E-2</v>
      </c>
      <c r="N1954">
        <v>6032.7608289999998</v>
      </c>
    </row>
    <row r="1955" spans="12:14" x14ac:dyDescent="0.55000000000000004">
      <c r="L1955">
        <v>1950</v>
      </c>
      <c r="M1955">
        <v>2.9932E-2</v>
      </c>
      <c r="N1955">
        <v>6032.7608289999998</v>
      </c>
    </row>
    <row r="1956" spans="12:14" x14ac:dyDescent="0.55000000000000004">
      <c r="L1956">
        <v>1951</v>
      </c>
      <c r="M1956">
        <v>2.9932E-2</v>
      </c>
      <c r="N1956">
        <v>6032.7608289999998</v>
      </c>
    </row>
    <row r="1957" spans="12:14" x14ac:dyDescent="0.55000000000000004">
      <c r="L1957">
        <v>1952</v>
      </c>
      <c r="M1957">
        <v>2.9932E-2</v>
      </c>
      <c r="N1957">
        <v>6032.7608289999998</v>
      </c>
    </row>
    <row r="1958" spans="12:14" x14ac:dyDescent="0.55000000000000004">
      <c r="L1958">
        <v>1953</v>
      </c>
      <c r="M1958">
        <v>2.9932E-2</v>
      </c>
      <c r="N1958">
        <v>6032.7608289999998</v>
      </c>
    </row>
    <row r="1959" spans="12:14" x14ac:dyDescent="0.55000000000000004">
      <c r="L1959">
        <v>1954</v>
      </c>
      <c r="M1959">
        <v>2.9932E-2</v>
      </c>
      <c r="N1959">
        <v>6032.7608289999998</v>
      </c>
    </row>
    <row r="1960" spans="12:14" x14ac:dyDescent="0.55000000000000004">
      <c r="L1960">
        <v>1955</v>
      </c>
      <c r="M1960">
        <v>2.9932E-2</v>
      </c>
      <c r="N1960">
        <v>6032.7608289999998</v>
      </c>
    </row>
    <row r="1961" spans="12:14" x14ac:dyDescent="0.55000000000000004">
      <c r="L1961">
        <v>1956</v>
      </c>
      <c r="M1961">
        <v>2.9932E-2</v>
      </c>
      <c r="N1961">
        <v>6032.7608289999998</v>
      </c>
    </row>
    <row r="1962" spans="12:14" x14ac:dyDescent="0.55000000000000004">
      <c r="L1962">
        <v>1957</v>
      </c>
      <c r="M1962">
        <v>2.9932E-2</v>
      </c>
      <c r="N1962">
        <v>6032.7608289999998</v>
      </c>
    </row>
    <row r="1963" spans="12:14" x14ac:dyDescent="0.55000000000000004">
      <c r="L1963">
        <v>1958</v>
      </c>
      <c r="M1963">
        <v>2.9932E-2</v>
      </c>
      <c r="N1963">
        <v>6032.7608289999998</v>
      </c>
    </row>
    <row r="1964" spans="12:14" x14ac:dyDescent="0.55000000000000004">
      <c r="L1964">
        <v>1959</v>
      </c>
      <c r="M1964">
        <v>2.9932E-2</v>
      </c>
      <c r="N1964">
        <v>6032.7608289999998</v>
      </c>
    </row>
    <row r="1965" spans="12:14" x14ac:dyDescent="0.55000000000000004">
      <c r="L1965">
        <v>1960</v>
      </c>
      <c r="M1965">
        <v>2.9932E-2</v>
      </c>
      <c r="N1965">
        <v>6032.7608289999998</v>
      </c>
    </row>
    <row r="1966" spans="12:14" x14ac:dyDescent="0.55000000000000004">
      <c r="L1966">
        <v>1961</v>
      </c>
      <c r="M1966">
        <v>2.9932E-2</v>
      </c>
      <c r="N1966">
        <v>6032.7608289999998</v>
      </c>
    </row>
    <row r="1967" spans="12:14" x14ac:dyDescent="0.55000000000000004">
      <c r="L1967">
        <v>1962</v>
      </c>
      <c r="M1967">
        <v>2.9932E-2</v>
      </c>
      <c r="N1967">
        <v>6032.7608289999998</v>
      </c>
    </row>
    <row r="1968" spans="12:14" x14ac:dyDescent="0.55000000000000004">
      <c r="L1968">
        <v>1963</v>
      </c>
      <c r="M1968">
        <v>2.9932E-2</v>
      </c>
      <c r="N1968">
        <v>6032.7608289999998</v>
      </c>
    </row>
    <row r="1969" spans="12:14" x14ac:dyDescent="0.55000000000000004">
      <c r="L1969">
        <v>1964</v>
      </c>
      <c r="M1969">
        <v>2.9932E-2</v>
      </c>
      <c r="N1969">
        <v>6032.7608289999998</v>
      </c>
    </row>
    <row r="1970" spans="12:14" x14ac:dyDescent="0.55000000000000004">
      <c r="L1970">
        <v>1965</v>
      </c>
      <c r="M1970">
        <v>2.9932E-2</v>
      </c>
      <c r="N1970">
        <v>6032.7608289999998</v>
      </c>
    </row>
    <row r="1971" spans="12:14" x14ac:dyDescent="0.55000000000000004">
      <c r="L1971">
        <v>1966</v>
      </c>
      <c r="M1971">
        <v>2.9932E-2</v>
      </c>
      <c r="N1971">
        <v>6032.7608289999998</v>
      </c>
    </row>
    <row r="1972" spans="12:14" x14ac:dyDescent="0.55000000000000004">
      <c r="L1972">
        <v>1967</v>
      </c>
      <c r="M1972">
        <v>2.9932E-2</v>
      </c>
      <c r="N1972">
        <v>6032.7608289999998</v>
      </c>
    </row>
    <row r="1973" spans="12:14" x14ac:dyDescent="0.55000000000000004">
      <c r="L1973">
        <v>1968</v>
      </c>
      <c r="M1973">
        <v>2.9932E-2</v>
      </c>
      <c r="N1973">
        <v>6032.7608289999998</v>
      </c>
    </row>
    <row r="1974" spans="12:14" x14ac:dyDescent="0.55000000000000004">
      <c r="L1974">
        <v>1969</v>
      </c>
      <c r="M1974">
        <v>2.9932E-2</v>
      </c>
      <c r="N1974">
        <v>6032.7608289999998</v>
      </c>
    </row>
    <row r="1975" spans="12:14" x14ac:dyDescent="0.55000000000000004">
      <c r="L1975">
        <v>1970</v>
      </c>
      <c r="M1975">
        <v>2.9932E-2</v>
      </c>
      <c r="N1975">
        <v>6032.7608289999998</v>
      </c>
    </row>
    <row r="1976" spans="12:14" x14ac:dyDescent="0.55000000000000004">
      <c r="L1976">
        <v>1971</v>
      </c>
      <c r="M1976">
        <v>2.9932E-2</v>
      </c>
      <c r="N1976">
        <v>6032.7608289999998</v>
      </c>
    </row>
    <row r="1977" spans="12:14" x14ac:dyDescent="0.55000000000000004">
      <c r="L1977">
        <v>1972</v>
      </c>
      <c r="M1977">
        <v>2.9932E-2</v>
      </c>
      <c r="N1977">
        <v>6032.7608289999998</v>
      </c>
    </row>
    <row r="1978" spans="12:14" x14ac:dyDescent="0.55000000000000004">
      <c r="L1978">
        <v>1973</v>
      </c>
      <c r="M1978">
        <v>2.9932E-2</v>
      </c>
      <c r="N1978">
        <v>6032.7608289999998</v>
      </c>
    </row>
    <row r="1979" spans="12:14" x14ac:dyDescent="0.55000000000000004">
      <c r="L1979">
        <v>1974</v>
      </c>
      <c r="M1979">
        <v>2.9932E-2</v>
      </c>
      <c r="N1979">
        <v>6032.7608289999998</v>
      </c>
    </row>
    <row r="1980" spans="12:14" x14ac:dyDescent="0.55000000000000004">
      <c r="L1980">
        <v>1975</v>
      </c>
      <c r="M1980">
        <v>2.9932E-2</v>
      </c>
      <c r="N1980">
        <v>6032.7608289999998</v>
      </c>
    </row>
    <row r="1981" spans="12:14" x14ac:dyDescent="0.55000000000000004">
      <c r="L1981">
        <v>1976</v>
      </c>
      <c r="M1981">
        <v>2.9932E-2</v>
      </c>
      <c r="N1981">
        <v>6032.7608289999998</v>
      </c>
    </row>
    <row r="1982" spans="12:14" x14ac:dyDescent="0.55000000000000004">
      <c r="L1982">
        <v>1977</v>
      </c>
      <c r="M1982">
        <v>2.9932E-2</v>
      </c>
      <c r="N1982">
        <v>6032.7608289999998</v>
      </c>
    </row>
    <row r="1983" spans="12:14" x14ac:dyDescent="0.55000000000000004">
      <c r="L1983">
        <v>1978</v>
      </c>
      <c r="M1983">
        <v>2.9932E-2</v>
      </c>
      <c r="N1983">
        <v>6032.7608289999998</v>
      </c>
    </row>
    <row r="1984" spans="12:14" x14ac:dyDescent="0.55000000000000004">
      <c r="L1984">
        <v>1979</v>
      </c>
      <c r="M1984">
        <v>2.9932E-2</v>
      </c>
      <c r="N1984">
        <v>6032.7608289999998</v>
      </c>
    </row>
    <row r="1985" spans="12:14" x14ac:dyDescent="0.55000000000000004">
      <c r="L1985">
        <v>1980</v>
      </c>
      <c r="M1985">
        <v>2.9932E-2</v>
      </c>
      <c r="N1985">
        <v>6032.7608289999998</v>
      </c>
    </row>
    <row r="1986" spans="12:14" x14ac:dyDescent="0.55000000000000004">
      <c r="L1986">
        <v>1981</v>
      </c>
      <c r="M1986">
        <v>2.9932E-2</v>
      </c>
      <c r="N1986">
        <v>6032.7608289999998</v>
      </c>
    </row>
    <row r="1987" spans="12:14" x14ac:dyDescent="0.55000000000000004">
      <c r="L1987">
        <v>1982</v>
      </c>
      <c r="M1987">
        <v>2.9932E-2</v>
      </c>
      <c r="N1987">
        <v>6032.7608289999998</v>
      </c>
    </row>
    <row r="1988" spans="12:14" x14ac:dyDescent="0.55000000000000004">
      <c r="L1988">
        <v>1983</v>
      </c>
      <c r="M1988">
        <v>2.9932E-2</v>
      </c>
      <c r="N1988">
        <v>6032.7608289999998</v>
      </c>
    </row>
    <row r="1989" spans="12:14" x14ac:dyDescent="0.55000000000000004">
      <c r="L1989">
        <v>1984</v>
      </c>
      <c r="M1989">
        <v>2.9932E-2</v>
      </c>
      <c r="N1989">
        <v>6032.7608289999998</v>
      </c>
    </row>
    <row r="1990" spans="12:14" x14ac:dyDescent="0.55000000000000004">
      <c r="L1990">
        <v>1985</v>
      </c>
      <c r="M1990">
        <v>2.9932E-2</v>
      </c>
      <c r="N1990">
        <v>6032.7608289999998</v>
      </c>
    </row>
    <row r="1991" spans="12:14" x14ac:dyDescent="0.55000000000000004">
      <c r="L1991">
        <v>1986</v>
      </c>
      <c r="M1991">
        <v>2.9932E-2</v>
      </c>
      <c r="N1991">
        <v>6032.7608289999998</v>
      </c>
    </row>
    <row r="1992" spans="12:14" x14ac:dyDescent="0.55000000000000004">
      <c r="L1992">
        <v>1987</v>
      </c>
      <c r="M1992">
        <v>2.9932E-2</v>
      </c>
      <c r="N1992">
        <v>6032.7608289999998</v>
      </c>
    </row>
    <row r="1993" spans="12:14" x14ac:dyDescent="0.55000000000000004">
      <c r="L1993">
        <v>1988</v>
      </c>
      <c r="M1993">
        <v>2.9932E-2</v>
      </c>
      <c r="N1993">
        <v>6032.7608289999998</v>
      </c>
    </row>
    <row r="1994" spans="12:14" x14ac:dyDescent="0.55000000000000004">
      <c r="L1994">
        <v>1989</v>
      </c>
      <c r="M1994">
        <v>2.9932E-2</v>
      </c>
      <c r="N1994">
        <v>6032.7608289999998</v>
      </c>
    </row>
    <row r="1995" spans="12:14" x14ac:dyDescent="0.55000000000000004">
      <c r="L1995">
        <v>1990</v>
      </c>
      <c r="M1995">
        <v>2.9932E-2</v>
      </c>
      <c r="N1995">
        <v>6032.7608289999998</v>
      </c>
    </row>
    <row r="1996" spans="12:14" x14ac:dyDescent="0.55000000000000004">
      <c r="L1996">
        <v>1991</v>
      </c>
      <c r="M1996">
        <v>2.9932E-2</v>
      </c>
      <c r="N1996">
        <v>6032.7608289999998</v>
      </c>
    </row>
    <row r="1997" spans="12:14" x14ac:dyDescent="0.55000000000000004">
      <c r="L1997">
        <v>1992</v>
      </c>
      <c r="M1997">
        <v>2.9932E-2</v>
      </c>
      <c r="N1997">
        <v>6032.7608289999998</v>
      </c>
    </row>
    <row r="1998" spans="12:14" x14ac:dyDescent="0.55000000000000004">
      <c r="L1998">
        <v>1993</v>
      </c>
      <c r="M1998">
        <v>2.9932E-2</v>
      </c>
      <c r="N1998">
        <v>6032.7608289999998</v>
      </c>
    </row>
    <row r="1999" spans="12:14" x14ac:dyDescent="0.55000000000000004">
      <c r="L1999">
        <v>1994</v>
      </c>
      <c r="M1999">
        <v>2.9932E-2</v>
      </c>
      <c r="N1999">
        <v>6032.7608289999998</v>
      </c>
    </row>
    <row r="2000" spans="12:14" x14ac:dyDescent="0.55000000000000004">
      <c r="L2000">
        <v>1995</v>
      </c>
      <c r="M2000">
        <v>2.9932E-2</v>
      </c>
      <c r="N2000">
        <v>6032.7608289999998</v>
      </c>
    </row>
    <row r="2001" spans="12:14" x14ac:dyDescent="0.55000000000000004">
      <c r="L2001">
        <v>1996</v>
      </c>
      <c r="M2001">
        <v>2.9932E-2</v>
      </c>
      <c r="N2001">
        <v>6032.7608289999998</v>
      </c>
    </row>
    <row r="2002" spans="12:14" x14ac:dyDescent="0.55000000000000004">
      <c r="L2002">
        <v>1997</v>
      </c>
      <c r="M2002">
        <v>2.9932E-2</v>
      </c>
      <c r="N2002">
        <v>6032.7608289999998</v>
      </c>
    </row>
    <row r="2003" spans="12:14" x14ac:dyDescent="0.55000000000000004">
      <c r="L2003">
        <v>1998</v>
      </c>
      <c r="M2003">
        <v>2.9932E-2</v>
      </c>
      <c r="N2003">
        <v>6032.7608289999998</v>
      </c>
    </row>
    <row r="2004" spans="12:14" x14ac:dyDescent="0.55000000000000004">
      <c r="L2004">
        <v>1999</v>
      </c>
      <c r="M2004">
        <v>2.9932E-2</v>
      </c>
      <c r="N2004">
        <v>6032.7608289999998</v>
      </c>
    </row>
    <row r="2005" spans="12:14" x14ac:dyDescent="0.55000000000000004">
      <c r="L2005">
        <v>2000</v>
      </c>
      <c r="M2005">
        <v>2.9932E-2</v>
      </c>
      <c r="N2005">
        <v>6032.7608289999998</v>
      </c>
    </row>
    <row r="2006" spans="12:14" x14ac:dyDescent="0.55000000000000004">
      <c r="L2006">
        <v>2001</v>
      </c>
      <c r="M2006">
        <v>2.9932E-2</v>
      </c>
      <c r="N2006">
        <v>6032.7608289999998</v>
      </c>
    </row>
    <row r="2007" spans="12:14" x14ac:dyDescent="0.55000000000000004">
      <c r="L2007">
        <v>2002</v>
      </c>
      <c r="M2007">
        <v>2.9932E-2</v>
      </c>
      <c r="N2007">
        <v>6032.7608289999998</v>
      </c>
    </row>
    <row r="2008" spans="12:14" x14ac:dyDescent="0.55000000000000004">
      <c r="L2008">
        <v>2003</v>
      </c>
      <c r="M2008">
        <v>2.9932E-2</v>
      </c>
      <c r="N2008">
        <v>6032.7608289999998</v>
      </c>
    </row>
    <row r="2009" spans="12:14" x14ac:dyDescent="0.55000000000000004">
      <c r="L2009">
        <v>2004</v>
      </c>
      <c r="M2009">
        <v>2.9932E-2</v>
      </c>
      <c r="N2009">
        <v>6032.7608289999998</v>
      </c>
    </row>
    <row r="2010" spans="12:14" x14ac:dyDescent="0.55000000000000004">
      <c r="L2010">
        <v>2005</v>
      </c>
      <c r="M2010">
        <v>2.9932E-2</v>
      </c>
      <c r="N2010">
        <v>6032.7608289999998</v>
      </c>
    </row>
    <row r="2011" spans="12:14" x14ac:dyDescent="0.55000000000000004">
      <c r="L2011">
        <v>2006</v>
      </c>
      <c r="M2011">
        <v>2.9932E-2</v>
      </c>
      <c r="N2011">
        <v>6032.7608289999998</v>
      </c>
    </row>
    <row r="2012" spans="12:14" x14ac:dyDescent="0.55000000000000004">
      <c r="L2012">
        <v>2007</v>
      </c>
      <c r="M2012">
        <v>2.9932E-2</v>
      </c>
      <c r="N2012">
        <v>6032.7608289999998</v>
      </c>
    </row>
    <row r="2013" spans="12:14" x14ac:dyDescent="0.55000000000000004">
      <c r="L2013">
        <v>2008</v>
      </c>
      <c r="M2013">
        <v>2.9932E-2</v>
      </c>
      <c r="N2013">
        <v>6032.7608289999998</v>
      </c>
    </row>
    <row r="2014" spans="12:14" x14ac:dyDescent="0.55000000000000004">
      <c r="L2014">
        <v>2009</v>
      </c>
      <c r="M2014">
        <v>2.9932E-2</v>
      </c>
      <c r="N2014">
        <v>6032.7608289999998</v>
      </c>
    </row>
    <row r="2015" spans="12:14" x14ac:dyDescent="0.55000000000000004">
      <c r="L2015">
        <v>2010</v>
      </c>
      <c r="M2015">
        <v>2.9932E-2</v>
      </c>
      <c r="N2015">
        <v>6032.7608289999998</v>
      </c>
    </row>
    <row r="2016" spans="12:14" x14ac:dyDescent="0.55000000000000004">
      <c r="L2016">
        <v>2011</v>
      </c>
      <c r="M2016">
        <v>2.9932E-2</v>
      </c>
      <c r="N2016">
        <v>6032.7608289999998</v>
      </c>
    </row>
    <row r="2017" spans="12:14" x14ac:dyDescent="0.55000000000000004">
      <c r="L2017">
        <v>2012</v>
      </c>
      <c r="M2017">
        <v>2.9932E-2</v>
      </c>
      <c r="N2017">
        <v>6032.7608289999998</v>
      </c>
    </row>
    <row r="2018" spans="12:14" x14ac:dyDescent="0.55000000000000004">
      <c r="L2018">
        <v>2013</v>
      </c>
      <c r="M2018">
        <v>2.9932E-2</v>
      </c>
      <c r="N2018">
        <v>6032.7608289999998</v>
      </c>
    </row>
    <row r="2019" spans="12:14" x14ac:dyDescent="0.55000000000000004">
      <c r="L2019">
        <v>2014</v>
      </c>
      <c r="M2019">
        <v>2.9932E-2</v>
      </c>
      <c r="N2019">
        <v>6032.7608289999998</v>
      </c>
    </row>
    <row r="2020" spans="12:14" x14ac:dyDescent="0.55000000000000004">
      <c r="L2020">
        <v>2015</v>
      </c>
      <c r="M2020">
        <v>2.9932E-2</v>
      </c>
      <c r="N2020">
        <v>6032.7608289999998</v>
      </c>
    </row>
    <row r="2021" spans="12:14" x14ac:dyDescent="0.55000000000000004">
      <c r="L2021">
        <v>2016</v>
      </c>
      <c r="M2021">
        <v>2.9932E-2</v>
      </c>
      <c r="N2021">
        <v>6032.7608289999998</v>
      </c>
    </row>
    <row r="2022" spans="12:14" x14ac:dyDescent="0.55000000000000004">
      <c r="L2022">
        <v>2017</v>
      </c>
      <c r="M2022">
        <v>2.9932E-2</v>
      </c>
      <c r="N2022">
        <v>6032.7608289999998</v>
      </c>
    </row>
    <row r="2023" spans="12:14" x14ac:dyDescent="0.55000000000000004">
      <c r="L2023">
        <v>2018</v>
      </c>
      <c r="M2023">
        <v>2.9932E-2</v>
      </c>
      <c r="N2023">
        <v>6032.7608289999998</v>
      </c>
    </row>
    <row r="2024" spans="12:14" x14ac:dyDescent="0.55000000000000004">
      <c r="L2024">
        <v>2019</v>
      </c>
      <c r="M2024">
        <v>2.9932E-2</v>
      </c>
      <c r="N2024">
        <v>6032.7608289999998</v>
      </c>
    </row>
    <row r="2025" spans="12:14" x14ac:dyDescent="0.55000000000000004">
      <c r="L2025">
        <v>2020</v>
      </c>
      <c r="M2025">
        <v>2.9932E-2</v>
      </c>
      <c r="N2025">
        <v>6032.7608289999998</v>
      </c>
    </row>
    <row r="2026" spans="12:14" x14ac:dyDescent="0.55000000000000004">
      <c r="L2026">
        <v>2021</v>
      </c>
      <c r="M2026">
        <v>2.9932E-2</v>
      </c>
      <c r="N2026">
        <v>6032.7608289999998</v>
      </c>
    </row>
    <row r="2027" spans="12:14" x14ac:dyDescent="0.55000000000000004">
      <c r="L2027">
        <v>2022</v>
      </c>
      <c r="M2027">
        <v>2.9932E-2</v>
      </c>
      <c r="N2027">
        <v>6032.7608289999998</v>
      </c>
    </row>
    <row r="2028" spans="12:14" x14ac:dyDescent="0.55000000000000004">
      <c r="L2028">
        <v>2023</v>
      </c>
      <c r="M2028">
        <v>2.9932E-2</v>
      </c>
      <c r="N2028">
        <v>6032.7608289999998</v>
      </c>
    </row>
    <row r="2029" spans="12:14" x14ac:dyDescent="0.55000000000000004">
      <c r="L2029">
        <v>2024</v>
      </c>
      <c r="M2029">
        <v>2.9932E-2</v>
      </c>
      <c r="N2029">
        <v>6032.7608289999998</v>
      </c>
    </row>
    <row r="2030" spans="12:14" x14ac:dyDescent="0.55000000000000004">
      <c r="L2030">
        <v>2025</v>
      </c>
      <c r="M2030">
        <v>2.9932E-2</v>
      </c>
      <c r="N2030">
        <v>6032.7608289999998</v>
      </c>
    </row>
    <row r="2031" spans="12:14" x14ac:dyDescent="0.55000000000000004">
      <c r="L2031">
        <v>2026</v>
      </c>
      <c r="M2031">
        <v>2.9932E-2</v>
      </c>
      <c r="N2031">
        <v>6032.7608289999998</v>
      </c>
    </row>
    <row r="2032" spans="12:14" x14ac:dyDescent="0.55000000000000004">
      <c r="L2032">
        <v>2027</v>
      </c>
      <c r="M2032">
        <v>2.9932E-2</v>
      </c>
      <c r="N2032">
        <v>6032.7608289999998</v>
      </c>
    </row>
    <row r="2033" spans="12:14" x14ac:dyDescent="0.55000000000000004">
      <c r="L2033">
        <v>2028</v>
      </c>
      <c r="M2033">
        <v>2.9932E-2</v>
      </c>
      <c r="N2033">
        <v>6032.7608289999998</v>
      </c>
    </row>
    <row r="2034" spans="12:14" x14ac:dyDescent="0.55000000000000004">
      <c r="L2034">
        <v>2029</v>
      </c>
      <c r="M2034">
        <v>2.9932E-2</v>
      </c>
      <c r="N2034">
        <v>6032.7608289999998</v>
      </c>
    </row>
    <row r="2035" spans="12:14" x14ac:dyDescent="0.55000000000000004">
      <c r="L2035">
        <v>2030</v>
      </c>
      <c r="M2035">
        <v>2.9932E-2</v>
      </c>
      <c r="N2035">
        <v>6032.7608289999998</v>
      </c>
    </row>
    <row r="2036" spans="12:14" x14ac:dyDescent="0.55000000000000004">
      <c r="L2036">
        <v>2031</v>
      </c>
      <c r="M2036">
        <v>2.9932E-2</v>
      </c>
      <c r="N2036">
        <v>6032.7608289999998</v>
      </c>
    </row>
    <row r="2037" spans="12:14" x14ac:dyDescent="0.55000000000000004">
      <c r="L2037">
        <v>2032</v>
      </c>
      <c r="M2037">
        <v>2.9932E-2</v>
      </c>
      <c r="N2037">
        <v>6032.7608289999998</v>
      </c>
    </row>
    <row r="2038" spans="12:14" x14ac:dyDescent="0.55000000000000004">
      <c r="L2038">
        <v>2033</v>
      </c>
      <c r="M2038">
        <v>2.9932E-2</v>
      </c>
      <c r="N2038">
        <v>6032.7608289999998</v>
      </c>
    </row>
    <row r="2039" spans="12:14" x14ac:dyDescent="0.55000000000000004">
      <c r="L2039">
        <v>2034</v>
      </c>
      <c r="M2039">
        <v>2.9932E-2</v>
      </c>
      <c r="N2039">
        <v>6032.7608289999998</v>
      </c>
    </row>
    <row r="2040" spans="12:14" x14ac:dyDescent="0.55000000000000004">
      <c r="L2040">
        <v>2035</v>
      </c>
      <c r="M2040">
        <v>2.9932E-2</v>
      </c>
      <c r="N2040">
        <v>6032.7608289999998</v>
      </c>
    </row>
    <row r="2041" spans="12:14" x14ac:dyDescent="0.55000000000000004">
      <c r="L2041">
        <v>2036</v>
      </c>
      <c r="M2041">
        <v>2.9932E-2</v>
      </c>
      <c r="N2041">
        <v>6032.7608289999998</v>
      </c>
    </row>
    <row r="2042" spans="12:14" x14ac:dyDescent="0.55000000000000004">
      <c r="L2042">
        <v>2037</v>
      </c>
      <c r="M2042">
        <v>2.9932E-2</v>
      </c>
      <c r="N2042">
        <v>6032.7608289999998</v>
      </c>
    </row>
    <row r="2043" spans="12:14" x14ac:dyDescent="0.55000000000000004">
      <c r="L2043">
        <v>2038</v>
      </c>
      <c r="M2043">
        <v>2.9932E-2</v>
      </c>
      <c r="N2043">
        <v>6032.7608289999998</v>
      </c>
    </row>
    <row r="2044" spans="12:14" x14ac:dyDescent="0.55000000000000004">
      <c r="L2044">
        <v>2039</v>
      </c>
      <c r="M2044">
        <v>2.9932E-2</v>
      </c>
      <c r="N2044">
        <v>6032.7608289999998</v>
      </c>
    </row>
    <row r="2045" spans="12:14" x14ac:dyDescent="0.55000000000000004">
      <c r="L2045">
        <v>2040</v>
      </c>
      <c r="M2045">
        <v>2.9932E-2</v>
      </c>
      <c r="N2045">
        <v>6032.7608289999998</v>
      </c>
    </row>
    <row r="2046" spans="12:14" x14ac:dyDescent="0.55000000000000004">
      <c r="L2046">
        <v>2041</v>
      </c>
      <c r="M2046">
        <v>2.9932E-2</v>
      </c>
      <c r="N2046">
        <v>6032.7608289999998</v>
      </c>
    </row>
    <row r="2047" spans="12:14" x14ac:dyDescent="0.55000000000000004">
      <c r="L2047">
        <v>2042</v>
      </c>
      <c r="M2047">
        <v>2.9932E-2</v>
      </c>
      <c r="N2047">
        <v>6032.7608289999998</v>
      </c>
    </row>
    <row r="2048" spans="12:14" x14ac:dyDescent="0.55000000000000004">
      <c r="L2048">
        <v>2043</v>
      </c>
      <c r="M2048">
        <v>2.9932E-2</v>
      </c>
      <c r="N2048">
        <v>6032.7608289999998</v>
      </c>
    </row>
    <row r="2049" spans="12:14" x14ac:dyDescent="0.55000000000000004">
      <c r="L2049">
        <v>2044</v>
      </c>
      <c r="M2049">
        <v>2.9932E-2</v>
      </c>
      <c r="N2049">
        <v>6032.7608289999998</v>
      </c>
    </row>
    <row r="2050" spans="12:14" x14ac:dyDescent="0.55000000000000004">
      <c r="L2050">
        <v>2045</v>
      </c>
      <c r="M2050">
        <v>2.9932E-2</v>
      </c>
      <c r="N2050">
        <v>6032.7608289999998</v>
      </c>
    </row>
    <row r="2051" spans="12:14" x14ac:dyDescent="0.55000000000000004">
      <c r="L2051">
        <v>2046</v>
      </c>
      <c r="M2051">
        <v>2.9932E-2</v>
      </c>
      <c r="N2051">
        <v>6032.7608289999998</v>
      </c>
    </row>
    <row r="2052" spans="12:14" x14ac:dyDescent="0.55000000000000004">
      <c r="L2052">
        <v>2047</v>
      </c>
      <c r="M2052">
        <v>2.9932E-2</v>
      </c>
      <c r="N2052">
        <v>6032.7608289999998</v>
      </c>
    </row>
    <row r="2053" spans="12:14" x14ac:dyDescent="0.55000000000000004">
      <c r="L2053">
        <v>2048</v>
      </c>
      <c r="M2053">
        <v>2.9932E-2</v>
      </c>
      <c r="N2053">
        <v>6032.7608289999998</v>
      </c>
    </row>
    <row r="2054" spans="12:14" x14ac:dyDescent="0.55000000000000004">
      <c r="L2054">
        <v>2049</v>
      </c>
      <c r="M2054">
        <v>2.9932E-2</v>
      </c>
      <c r="N2054">
        <v>6032.7608289999998</v>
      </c>
    </row>
    <row r="2055" spans="12:14" x14ac:dyDescent="0.55000000000000004">
      <c r="L2055">
        <v>2050</v>
      </c>
      <c r="M2055">
        <v>2.9932E-2</v>
      </c>
      <c r="N2055">
        <v>6032.7608289999998</v>
      </c>
    </row>
    <row r="2056" spans="12:14" x14ac:dyDescent="0.55000000000000004">
      <c r="L2056">
        <v>2051</v>
      </c>
      <c r="M2056">
        <v>2.9932E-2</v>
      </c>
      <c r="N2056">
        <v>6032.7608289999998</v>
      </c>
    </row>
    <row r="2057" spans="12:14" x14ac:dyDescent="0.55000000000000004">
      <c r="L2057">
        <v>2052</v>
      </c>
      <c r="M2057">
        <v>2.9932E-2</v>
      </c>
      <c r="N2057">
        <v>6032.7608289999998</v>
      </c>
    </row>
    <row r="2058" spans="12:14" x14ac:dyDescent="0.55000000000000004">
      <c r="L2058">
        <v>2053</v>
      </c>
      <c r="M2058">
        <v>2.9932E-2</v>
      </c>
      <c r="N2058">
        <v>6032.7608289999998</v>
      </c>
    </row>
    <row r="2059" spans="12:14" x14ac:dyDescent="0.55000000000000004">
      <c r="L2059">
        <v>2054</v>
      </c>
      <c r="M2059">
        <v>2.9932E-2</v>
      </c>
      <c r="N2059">
        <v>6032.7608289999998</v>
      </c>
    </row>
    <row r="2060" spans="12:14" x14ac:dyDescent="0.55000000000000004">
      <c r="L2060">
        <v>2055</v>
      </c>
      <c r="M2060">
        <v>2.9932E-2</v>
      </c>
      <c r="N2060">
        <v>6032.7608289999998</v>
      </c>
    </row>
    <row r="2061" spans="12:14" x14ac:dyDescent="0.55000000000000004">
      <c r="L2061">
        <v>2056</v>
      </c>
      <c r="M2061">
        <v>2.9932E-2</v>
      </c>
      <c r="N2061">
        <v>6032.7608289999998</v>
      </c>
    </row>
    <row r="2062" spans="12:14" x14ac:dyDescent="0.55000000000000004">
      <c r="L2062">
        <v>2057</v>
      </c>
      <c r="M2062">
        <v>2.9932E-2</v>
      </c>
      <c r="N2062">
        <v>6032.7608289999998</v>
      </c>
    </row>
    <row r="2063" spans="12:14" x14ac:dyDescent="0.55000000000000004">
      <c r="L2063">
        <v>2058</v>
      </c>
      <c r="M2063">
        <v>2.9932E-2</v>
      </c>
      <c r="N2063">
        <v>6032.7608289999998</v>
      </c>
    </row>
    <row r="2064" spans="12:14" x14ac:dyDescent="0.55000000000000004">
      <c r="L2064">
        <v>2059</v>
      </c>
      <c r="M2064">
        <v>2.9932E-2</v>
      </c>
      <c r="N2064">
        <v>6032.7608289999998</v>
      </c>
    </row>
    <row r="2065" spans="12:14" x14ac:dyDescent="0.55000000000000004">
      <c r="L2065">
        <v>2060</v>
      </c>
      <c r="M2065">
        <v>2.9932E-2</v>
      </c>
      <c r="N2065">
        <v>6032.7608289999998</v>
      </c>
    </row>
    <row r="2066" spans="12:14" x14ac:dyDescent="0.55000000000000004">
      <c r="L2066">
        <v>2061</v>
      </c>
      <c r="M2066">
        <v>2.9932E-2</v>
      </c>
      <c r="N2066">
        <v>6032.7608289999998</v>
      </c>
    </row>
    <row r="2067" spans="12:14" x14ac:dyDescent="0.55000000000000004">
      <c r="L2067">
        <v>2062</v>
      </c>
      <c r="M2067">
        <v>2.9932E-2</v>
      </c>
      <c r="N2067">
        <v>6032.7608289999998</v>
      </c>
    </row>
    <row r="2068" spans="12:14" x14ac:dyDescent="0.55000000000000004">
      <c r="L2068">
        <v>2063</v>
      </c>
      <c r="M2068">
        <v>2.9932E-2</v>
      </c>
      <c r="N2068">
        <v>6032.7608289999998</v>
      </c>
    </row>
    <row r="2069" spans="12:14" x14ac:dyDescent="0.55000000000000004">
      <c r="L2069">
        <v>2064</v>
      </c>
      <c r="M2069">
        <v>2.9932E-2</v>
      </c>
      <c r="N2069">
        <v>6032.7608289999998</v>
      </c>
    </row>
    <row r="2070" spans="12:14" x14ac:dyDescent="0.55000000000000004">
      <c r="L2070">
        <v>2065</v>
      </c>
      <c r="M2070">
        <v>2.9932E-2</v>
      </c>
      <c r="N2070">
        <v>6032.7608289999998</v>
      </c>
    </row>
    <row r="2071" spans="12:14" x14ac:dyDescent="0.55000000000000004">
      <c r="L2071">
        <v>2066</v>
      </c>
      <c r="M2071">
        <v>2.9932E-2</v>
      </c>
      <c r="N2071">
        <v>6032.7608289999998</v>
      </c>
    </row>
    <row r="2072" spans="12:14" x14ac:dyDescent="0.55000000000000004">
      <c r="L2072">
        <v>2067</v>
      </c>
      <c r="M2072">
        <v>2.9932E-2</v>
      </c>
      <c r="N2072">
        <v>6032.7608289999998</v>
      </c>
    </row>
    <row r="2073" spans="12:14" x14ac:dyDescent="0.55000000000000004">
      <c r="L2073">
        <v>2068</v>
      </c>
      <c r="M2073">
        <v>2.9932E-2</v>
      </c>
      <c r="N2073">
        <v>6032.7608289999998</v>
      </c>
    </row>
    <row r="2074" spans="12:14" x14ac:dyDescent="0.55000000000000004">
      <c r="L2074">
        <v>2069</v>
      </c>
      <c r="M2074">
        <v>2.9932E-2</v>
      </c>
      <c r="N2074">
        <v>6032.7608289999998</v>
      </c>
    </row>
    <row r="2075" spans="12:14" x14ac:dyDescent="0.55000000000000004">
      <c r="L2075">
        <v>2070</v>
      </c>
      <c r="M2075">
        <v>2.9932E-2</v>
      </c>
      <c r="N2075">
        <v>6032.7608289999998</v>
      </c>
    </row>
    <row r="2076" spans="12:14" x14ac:dyDescent="0.55000000000000004">
      <c r="L2076">
        <v>2071</v>
      </c>
      <c r="M2076">
        <v>2.9932E-2</v>
      </c>
      <c r="N2076">
        <v>6032.7608289999998</v>
      </c>
    </row>
    <row r="2077" spans="12:14" x14ac:dyDescent="0.55000000000000004">
      <c r="L2077">
        <v>2072</v>
      </c>
      <c r="M2077">
        <v>2.9932E-2</v>
      </c>
      <c r="N2077">
        <v>6032.7608289999998</v>
      </c>
    </row>
    <row r="2078" spans="12:14" x14ac:dyDescent="0.55000000000000004">
      <c r="L2078">
        <v>2073</v>
      </c>
      <c r="M2078">
        <v>2.9932E-2</v>
      </c>
      <c r="N2078">
        <v>6032.7608289999998</v>
      </c>
    </row>
    <row r="2079" spans="12:14" x14ac:dyDescent="0.55000000000000004">
      <c r="L2079">
        <v>2074</v>
      </c>
      <c r="M2079">
        <v>2.9932E-2</v>
      </c>
      <c r="N2079">
        <v>6032.7608289999998</v>
      </c>
    </row>
    <row r="2080" spans="12:14" x14ac:dyDescent="0.55000000000000004">
      <c r="L2080">
        <v>2075</v>
      </c>
      <c r="M2080">
        <v>2.9932E-2</v>
      </c>
      <c r="N2080">
        <v>6032.7608289999998</v>
      </c>
    </row>
    <row r="2081" spans="12:14" x14ac:dyDescent="0.55000000000000004">
      <c r="L2081">
        <v>2076</v>
      </c>
      <c r="M2081">
        <v>2.9932E-2</v>
      </c>
      <c r="N2081">
        <v>6032.7608289999998</v>
      </c>
    </row>
    <row r="2082" spans="12:14" x14ac:dyDescent="0.55000000000000004">
      <c r="L2082">
        <v>2077</v>
      </c>
      <c r="M2082">
        <v>2.9932E-2</v>
      </c>
      <c r="N2082">
        <v>6032.7608289999998</v>
      </c>
    </row>
    <row r="2083" spans="12:14" x14ac:dyDescent="0.55000000000000004">
      <c r="L2083">
        <v>2078</v>
      </c>
      <c r="M2083">
        <v>2.9932E-2</v>
      </c>
      <c r="N2083">
        <v>6032.7608289999998</v>
      </c>
    </row>
    <row r="2084" spans="12:14" x14ac:dyDescent="0.55000000000000004">
      <c r="L2084">
        <v>2079</v>
      </c>
      <c r="M2084">
        <v>2.9932E-2</v>
      </c>
      <c r="N2084">
        <v>6032.7608289999998</v>
      </c>
    </row>
    <row r="2085" spans="12:14" x14ac:dyDescent="0.55000000000000004">
      <c r="L2085">
        <v>2080</v>
      </c>
      <c r="M2085">
        <v>2.9932E-2</v>
      </c>
      <c r="N2085">
        <v>6032.7608289999998</v>
      </c>
    </row>
    <row r="2086" spans="12:14" x14ac:dyDescent="0.55000000000000004">
      <c r="L2086">
        <v>2081</v>
      </c>
      <c r="M2086">
        <v>2.9932E-2</v>
      </c>
      <c r="N2086">
        <v>6032.7608289999998</v>
      </c>
    </row>
    <row r="2087" spans="12:14" x14ac:dyDescent="0.55000000000000004">
      <c r="L2087">
        <v>2082</v>
      </c>
      <c r="M2087">
        <v>2.9932E-2</v>
      </c>
      <c r="N2087">
        <v>6032.7608289999998</v>
      </c>
    </row>
    <row r="2088" spans="12:14" x14ac:dyDescent="0.55000000000000004">
      <c r="L2088">
        <v>2083</v>
      </c>
      <c r="M2088">
        <v>2.9932E-2</v>
      </c>
      <c r="N2088">
        <v>6032.7608289999998</v>
      </c>
    </row>
    <row r="2089" spans="12:14" x14ac:dyDescent="0.55000000000000004">
      <c r="L2089">
        <v>2084</v>
      </c>
      <c r="M2089">
        <v>2.9932E-2</v>
      </c>
      <c r="N2089">
        <v>6032.7608289999998</v>
      </c>
    </row>
    <row r="2090" spans="12:14" x14ac:dyDescent="0.55000000000000004">
      <c r="L2090">
        <v>2085</v>
      </c>
      <c r="M2090">
        <v>2.9932E-2</v>
      </c>
      <c r="N2090">
        <v>6032.7608289999998</v>
      </c>
    </row>
    <row r="2091" spans="12:14" x14ac:dyDescent="0.55000000000000004">
      <c r="L2091">
        <v>2086</v>
      </c>
      <c r="M2091">
        <v>2.9932E-2</v>
      </c>
      <c r="N2091">
        <v>6032.7608289999998</v>
      </c>
    </row>
    <row r="2092" spans="12:14" x14ac:dyDescent="0.55000000000000004">
      <c r="L2092">
        <v>2087</v>
      </c>
      <c r="M2092">
        <v>2.9932E-2</v>
      </c>
      <c r="N2092">
        <v>6032.7608289999998</v>
      </c>
    </row>
    <row r="2093" spans="12:14" x14ac:dyDescent="0.55000000000000004">
      <c r="L2093">
        <v>2088</v>
      </c>
      <c r="M2093">
        <v>2.9932E-2</v>
      </c>
      <c r="N2093">
        <v>6032.7608289999998</v>
      </c>
    </row>
    <row r="2094" spans="12:14" x14ac:dyDescent="0.55000000000000004">
      <c r="L2094">
        <v>2089</v>
      </c>
      <c r="M2094">
        <v>2.9932E-2</v>
      </c>
      <c r="N2094">
        <v>6032.7608289999998</v>
      </c>
    </row>
    <row r="2095" spans="12:14" x14ac:dyDescent="0.55000000000000004">
      <c r="L2095">
        <v>2090</v>
      </c>
      <c r="M2095">
        <v>2.9932E-2</v>
      </c>
      <c r="N2095">
        <v>6032.7608289999998</v>
      </c>
    </row>
    <row r="2096" spans="12:14" x14ac:dyDescent="0.55000000000000004">
      <c r="L2096">
        <v>2091</v>
      </c>
      <c r="M2096">
        <v>2.9932E-2</v>
      </c>
      <c r="N2096">
        <v>6032.7608289999998</v>
      </c>
    </row>
    <row r="2097" spans="12:14" x14ac:dyDescent="0.55000000000000004">
      <c r="L2097">
        <v>2092</v>
      </c>
      <c r="M2097">
        <v>2.9932E-2</v>
      </c>
      <c r="N2097">
        <v>6032.7608289999998</v>
      </c>
    </row>
    <row r="2098" spans="12:14" x14ac:dyDescent="0.55000000000000004">
      <c r="L2098">
        <v>2093</v>
      </c>
      <c r="M2098">
        <v>2.9932E-2</v>
      </c>
      <c r="N2098">
        <v>6032.7608289999998</v>
      </c>
    </row>
    <row r="2099" spans="12:14" x14ac:dyDescent="0.55000000000000004">
      <c r="L2099">
        <v>2094</v>
      </c>
      <c r="M2099">
        <v>2.9932E-2</v>
      </c>
      <c r="N2099">
        <v>6032.7608289999998</v>
      </c>
    </row>
    <row r="2100" spans="12:14" x14ac:dyDescent="0.55000000000000004">
      <c r="L2100">
        <v>2095</v>
      </c>
      <c r="M2100">
        <v>2.9932E-2</v>
      </c>
      <c r="N2100">
        <v>6032.7608289999998</v>
      </c>
    </row>
    <row r="2101" spans="12:14" x14ac:dyDescent="0.55000000000000004">
      <c r="L2101">
        <v>2096</v>
      </c>
      <c r="M2101">
        <v>2.9932E-2</v>
      </c>
      <c r="N2101">
        <v>6032.7608289999998</v>
      </c>
    </row>
    <row r="2102" spans="12:14" x14ac:dyDescent="0.55000000000000004">
      <c r="L2102">
        <v>2097</v>
      </c>
      <c r="M2102">
        <v>2.9932E-2</v>
      </c>
      <c r="N2102">
        <v>6032.7608289999998</v>
      </c>
    </row>
    <row r="2103" spans="12:14" x14ac:dyDescent="0.55000000000000004">
      <c r="L2103">
        <v>2098</v>
      </c>
      <c r="M2103">
        <v>2.9932E-2</v>
      </c>
      <c r="N2103">
        <v>6032.7608289999998</v>
      </c>
    </row>
    <row r="2104" spans="12:14" x14ac:dyDescent="0.55000000000000004">
      <c r="L2104">
        <v>2099</v>
      </c>
      <c r="M2104">
        <v>2.9932E-2</v>
      </c>
      <c r="N2104">
        <v>6032.7608289999998</v>
      </c>
    </row>
    <row r="2105" spans="12:14" x14ac:dyDescent="0.55000000000000004">
      <c r="L2105">
        <v>2100</v>
      </c>
      <c r="M2105">
        <v>2.9932E-2</v>
      </c>
      <c r="N2105">
        <v>6032.7608289999998</v>
      </c>
    </row>
    <row r="2106" spans="12:14" x14ac:dyDescent="0.55000000000000004">
      <c r="L2106">
        <v>2101</v>
      </c>
      <c r="M2106">
        <v>2.9932E-2</v>
      </c>
      <c r="N2106">
        <v>6032.7608289999998</v>
      </c>
    </row>
    <row r="2107" spans="12:14" x14ac:dyDescent="0.55000000000000004">
      <c r="L2107">
        <v>2102</v>
      </c>
      <c r="M2107">
        <v>2.9932E-2</v>
      </c>
      <c r="N2107">
        <v>6032.7608289999998</v>
      </c>
    </row>
    <row r="2108" spans="12:14" x14ac:dyDescent="0.55000000000000004">
      <c r="L2108">
        <v>2103</v>
      </c>
      <c r="M2108">
        <v>2.9932E-2</v>
      </c>
      <c r="N2108">
        <v>6032.7608289999998</v>
      </c>
    </row>
    <row r="2109" spans="12:14" x14ac:dyDescent="0.55000000000000004">
      <c r="L2109">
        <v>2104</v>
      </c>
      <c r="M2109">
        <v>2.9932E-2</v>
      </c>
      <c r="N2109">
        <v>6032.7608289999998</v>
      </c>
    </row>
    <row r="2110" spans="12:14" x14ac:dyDescent="0.55000000000000004">
      <c r="L2110">
        <v>2105</v>
      </c>
      <c r="M2110">
        <v>2.9932E-2</v>
      </c>
      <c r="N2110">
        <v>6032.7608289999998</v>
      </c>
    </row>
    <row r="2111" spans="12:14" x14ac:dyDescent="0.55000000000000004">
      <c r="L2111">
        <v>2106</v>
      </c>
      <c r="M2111">
        <v>2.9932E-2</v>
      </c>
      <c r="N2111">
        <v>6032.7608289999998</v>
      </c>
    </row>
    <row r="2112" spans="12:14" x14ac:dyDescent="0.55000000000000004">
      <c r="L2112">
        <v>2107</v>
      </c>
      <c r="M2112">
        <v>2.9932E-2</v>
      </c>
      <c r="N2112">
        <v>6032.7608289999998</v>
      </c>
    </row>
    <row r="2113" spans="12:14" x14ac:dyDescent="0.55000000000000004">
      <c r="L2113">
        <v>2108</v>
      </c>
      <c r="M2113">
        <v>2.9932E-2</v>
      </c>
      <c r="N2113">
        <v>6032.7608289999998</v>
      </c>
    </row>
    <row r="2114" spans="12:14" x14ac:dyDescent="0.55000000000000004">
      <c r="L2114">
        <v>2109</v>
      </c>
      <c r="M2114">
        <v>2.9932E-2</v>
      </c>
      <c r="N2114">
        <v>6032.7608289999998</v>
      </c>
    </row>
    <row r="2115" spans="12:14" x14ac:dyDescent="0.55000000000000004">
      <c r="L2115">
        <v>2110</v>
      </c>
      <c r="M2115">
        <v>2.9932E-2</v>
      </c>
      <c r="N2115">
        <v>6032.7608289999998</v>
      </c>
    </row>
    <row r="2116" spans="12:14" x14ac:dyDescent="0.55000000000000004">
      <c r="L2116">
        <v>2111</v>
      </c>
      <c r="M2116">
        <v>2.9932E-2</v>
      </c>
      <c r="N2116">
        <v>6032.7608289999998</v>
      </c>
    </row>
    <row r="2117" spans="12:14" x14ac:dyDescent="0.55000000000000004">
      <c r="L2117">
        <v>2112</v>
      </c>
      <c r="M2117">
        <v>2.9932E-2</v>
      </c>
      <c r="N2117">
        <v>6032.7608289999998</v>
      </c>
    </row>
    <row r="2118" spans="12:14" x14ac:dyDescent="0.55000000000000004">
      <c r="L2118">
        <v>2113</v>
      </c>
      <c r="M2118">
        <v>2.9932E-2</v>
      </c>
      <c r="N2118">
        <v>6032.7608289999998</v>
      </c>
    </row>
    <row r="2119" spans="12:14" x14ac:dyDescent="0.55000000000000004">
      <c r="L2119">
        <v>2114</v>
      </c>
      <c r="M2119">
        <v>2.9932E-2</v>
      </c>
      <c r="N2119">
        <v>6032.7608289999998</v>
      </c>
    </row>
    <row r="2120" spans="12:14" x14ac:dyDescent="0.55000000000000004">
      <c r="L2120">
        <v>2115</v>
      </c>
      <c r="M2120">
        <v>2.9932E-2</v>
      </c>
      <c r="N2120">
        <v>6032.7608289999998</v>
      </c>
    </row>
    <row r="2121" spans="12:14" x14ac:dyDescent="0.55000000000000004">
      <c r="L2121">
        <v>2116</v>
      </c>
      <c r="M2121">
        <v>2.9932E-2</v>
      </c>
      <c r="N2121">
        <v>6032.7608289999998</v>
      </c>
    </row>
    <row r="2122" spans="12:14" x14ac:dyDescent="0.55000000000000004">
      <c r="L2122">
        <v>2117</v>
      </c>
      <c r="M2122">
        <v>2.9932E-2</v>
      </c>
      <c r="N2122">
        <v>6032.7608289999998</v>
      </c>
    </row>
    <row r="2123" spans="12:14" x14ac:dyDescent="0.55000000000000004">
      <c r="L2123">
        <v>2118</v>
      </c>
      <c r="M2123">
        <v>2.9932E-2</v>
      </c>
      <c r="N2123">
        <v>6032.7608289999998</v>
      </c>
    </row>
    <row r="2124" spans="12:14" x14ac:dyDescent="0.55000000000000004">
      <c r="L2124">
        <v>2119</v>
      </c>
      <c r="M2124">
        <v>2.9932E-2</v>
      </c>
      <c r="N2124">
        <v>6032.7608289999998</v>
      </c>
    </row>
    <row r="2125" spans="12:14" x14ac:dyDescent="0.55000000000000004">
      <c r="L2125">
        <v>2120</v>
      </c>
      <c r="M2125">
        <v>2.9932E-2</v>
      </c>
      <c r="N2125">
        <v>6032.7608289999998</v>
      </c>
    </row>
    <row r="2126" spans="12:14" x14ac:dyDescent="0.55000000000000004">
      <c r="L2126">
        <v>2121</v>
      </c>
      <c r="M2126">
        <v>2.9932E-2</v>
      </c>
      <c r="N2126">
        <v>6032.7608289999998</v>
      </c>
    </row>
    <row r="2127" spans="12:14" x14ac:dyDescent="0.55000000000000004">
      <c r="L2127">
        <v>2122</v>
      </c>
      <c r="M2127">
        <v>2.9932E-2</v>
      </c>
      <c r="N2127">
        <v>6032.7608289999998</v>
      </c>
    </row>
    <row r="2128" spans="12:14" x14ac:dyDescent="0.55000000000000004">
      <c r="L2128">
        <v>2123</v>
      </c>
      <c r="M2128">
        <v>2.9932E-2</v>
      </c>
      <c r="N2128">
        <v>6032.7608289999998</v>
      </c>
    </row>
    <row r="2129" spans="12:14" x14ac:dyDescent="0.55000000000000004">
      <c r="L2129">
        <v>2124</v>
      </c>
      <c r="M2129">
        <v>2.9932E-2</v>
      </c>
      <c r="N2129">
        <v>6032.7608289999998</v>
      </c>
    </row>
    <row r="2130" spans="12:14" x14ac:dyDescent="0.55000000000000004">
      <c r="L2130">
        <v>2125</v>
      </c>
      <c r="M2130">
        <v>2.9932E-2</v>
      </c>
      <c r="N2130">
        <v>6032.7608289999998</v>
      </c>
    </row>
    <row r="2131" spans="12:14" x14ac:dyDescent="0.55000000000000004">
      <c r="L2131">
        <v>2126</v>
      </c>
      <c r="M2131">
        <v>2.9932E-2</v>
      </c>
      <c r="N2131">
        <v>6032.7608289999998</v>
      </c>
    </row>
    <row r="2132" spans="12:14" x14ac:dyDescent="0.55000000000000004">
      <c r="L2132">
        <v>2127</v>
      </c>
      <c r="M2132">
        <v>2.9932E-2</v>
      </c>
      <c r="N2132">
        <v>6032.7608289999998</v>
      </c>
    </row>
    <row r="2133" spans="12:14" x14ac:dyDescent="0.55000000000000004">
      <c r="L2133">
        <v>2128</v>
      </c>
      <c r="M2133">
        <v>2.9932E-2</v>
      </c>
      <c r="N2133">
        <v>6032.7608289999998</v>
      </c>
    </row>
    <row r="2134" spans="12:14" x14ac:dyDescent="0.55000000000000004">
      <c r="L2134">
        <v>2129</v>
      </c>
      <c r="M2134">
        <v>2.9932E-2</v>
      </c>
      <c r="N2134">
        <v>6032.7608289999998</v>
      </c>
    </row>
    <row r="2135" spans="12:14" x14ac:dyDescent="0.55000000000000004">
      <c r="L2135">
        <v>2130</v>
      </c>
      <c r="M2135">
        <v>2.9932E-2</v>
      </c>
      <c r="N2135">
        <v>6032.7608289999998</v>
      </c>
    </row>
    <row r="2136" spans="12:14" x14ac:dyDescent="0.55000000000000004">
      <c r="L2136">
        <v>2131</v>
      </c>
      <c r="M2136">
        <v>2.9932E-2</v>
      </c>
      <c r="N2136">
        <v>6032.7608289999998</v>
      </c>
    </row>
    <row r="2137" spans="12:14" x14ac:dyDescent="0.55000000000000004">
      <c r="L2137">
        <v>2132</v>
      </c>
      <c r="M2137">
        <v>2.9932E-2</v>
      </c>
      <c r="N2137">
        <v>6032.7608289999998</v>
      </c>
    </row>
    <row r="2138" spans="12:14" x14ac:dyDescent="0.55000000000000004">
      <c r="L2138">
        <v>2133</v>
      </c>
      <c r="M2138">
        <v>2.9932E-2</v>
      </c>
      <c r="N2138">
        <v>6032.7608289999998</v>
      </c>
    </row>
    <row r="2139" spans="12:14" x14ac:dyDescent="0.55000000000000004">
      <c r="L2139">
        <v>2134</v>
      </c>
      <c r="M2139">
        <v>2.9932E-2</v>
      </c>
      <c r="N2139">
        <v>6032.7608289999998</v>
      </c>
    </row>
    <row r="2140" spans="12:14" x14ac:dyDescent="0.55000000000000004">
      <c r="L2140">
        <v>2135</v>
      </c>
      <c r="M2140">
        <v>2.9932E-2</v>
      </c>
      <c r="N2140">
        <v>6032.7608289999998</v>
      </c>
    </row>
    <row r="2141" spans="12:14" x14ac:dyDescent="0.55000000000000004">
      <c r="L2141">
        <v>2136</v>
      </c>
      <c r="M2141">
        <v>2.9932E-2</v>
      </c>
      <c r="N2141">
        <v>6032.7608289999998</v>
      </c>
    </row>
    <row r="2142" spans="12:14" x14ac:dyDescent="0.55000000000000004">
      <c r="L2142">
        <v>2137</v>
      </c>
      <c r="M2142">
        <v>2.9932E-2</v>
      </c>
      <c r="N2142">
        <v>6032.7608289999998</v>
      </c>
    </row>
    <row r="2143" spans="12:14" x14ac:dyDescent="0.55000000000000004">
      <c r="L2143">
        <v>2138</v>
      </c>
      <c r="M2143">
        <v>2.9932E-2</v>
      </c>
      <c r="N2143">
        <v>6032.7608289999998</v>
      </c>
    </row>
    <row r="2144" spans="12:14" x14ac:dyDescent="0.55000000000000004">
      <c r="L2144">
        <v>2139</v>
      </c>
      <c r="M2144">
        <v>2.9932E-2</v>
      </c>
      <c r="N2144">
        <v>6032.7608289999998</v>
      </c>
    </row>
    <row r="2145" spans="12:14" x14ac:dyDescent="0.55000000000000004">
      <c r="L2145">
        <v>2140</v>
      </c>
      <c r="M2145">
        <v>2.9932E-2</v>
      </c>
      <c r="N2145">
        <v>6032.7608289999998</v>
      </c>
    </row>
    <row r="2146" spans="12:14" x14ac:dyDescent="0.55000000000000004">
      <c r="L2146">
        <v>2141</v>
      </c>
      <c r="M2146">
        <v>2.9932E-2</v>
      </c>
      <c r="N2146">
        <v>6032.7608289999998</v>
      </c>
    </row>
    <row r="2147" spans="12:14" x14ac:dyDescent="0.55000000000000004">
      <c r="L2147">
        <v>2142</v>
      </c>
      <c r="M2147">
        <v>2.9932E-2</v>
      </c>
      <c r="N2147">
        <v>6032.7608289999998</v>
      </c>
    </row>
    <row r="2148" spans="12:14" x14ac:dyDescent="0.55000000000000004">
      <c r="L2148">
        <v>2143</v>
      </c>
      <c r="M2148">
        <v>2.9932E-2</v>
      </c>
      <c r="N2148">
        <v>6032.7608289999998</v>
      </c>
    </row>
    <row r="2149" spans="12:14" x14ac:dyDescent="0.55000000000000004">
      <c r="L2149">
        <v>2144</v>
      </c>
      <c r="M2149">
        <v>2.9932E-2</v>
      </c>
      <c r="N2149">
        <v>6032.7608289999998</v>
      </c>
    </row>
    <row r="2150" spans="12:14" x14ac:dyDescent="0.55000000000000004">
      <c r="L2150">
        <v>2145</v>
      </c>
      <c r="M2150">
        <v>2.9932E-2</v>
      </c>
      <c r="N2150">
        <v>6032.7608289999998</v>
      </c>
    </row>
    <row r="2151" spans="12:14" x14ac:dyDescent="0.55000000000000004">
      <c r="L2151">
        <v>2146</v>
      </c>
      <c r="M2151">
        <v>2.9932E-2</v>
      </c>
      <c r="N2151">
        <v>6032.7608289999998</v>
      </c>
    </row>
    <row r="2152" spans="12:14" x14ac:dyDescent="0.55000000000000004">
      <c r="L2152">
        <v>2147</v>
      </c>
      <c r="M2152">
        <v>2.9932E-2</v>
      </c>
      <c r="N2152">
        <v>6032.7608289999998</v>
      </c>
    </row>
    <row r="2153" spans="12:14" x14ac:dyDescent="0.55000000000000004">
      <c r="L2153">
        <v>2148</v>
      </c>
      <c r="M2153">
        <v>2.9932E-2</v>
      </c>
      <c r="N2153">
        <v>6032.7608289999998</v>
      </c>
    </row>
    <row r="2154" spans="12:14" x14ac:dyDescent="0.55000000000000004">
      <c r="L2154">
        <v>2149</v>
      </c>
      <c r="M2154">
        <v>2.9932E-2</v>
      </c>
      <c r="N2154">
        <v>6032.7608289999998</v>
      </c>
    </row>
    <row r="2155" spans="12:14" x14ac:dyDescent="0.55000000000000004">
      <c r="L2155">
        <v>2150</v>
      </c>
      <c r="M2155">
        <v>2.9932E-2</v>
      </c>
      <c r="N2155">
        <v>6032.7608289999998</v>
      </c>
    </row>
    <row r="2156" spans="12:14" x14ac:dyDescent="0.55000000000000004">
      <c r="L2156">
        <v>2151</v>
      </c>
      <c r="M2156">
        <v>2.9932E-2</v>
      </c>
      <c r="N2156">
        <v>6032.7608289999998</v>
      </c>
    </row>
    <row r="2157" spans="12:14" x14ac:dyDescent="0.55000000000000004">
      <c r="L2157">
        <v>2152</v>
      </c>
      <c r="M2157">
        <v>2.9932E-2</v>
      </c>
      <c r="N2157">
        <v>6032.7608289999998</v>
      </c>
    </row>
    <row r="2158" spans="12:14" x14ac:dyDescent="0.55000000000000004">
      <c r="L2158">
        <v>2153</v>
      </c>
      <c r="M2158">
        <v>2.9932E-2</v>
      </c>
      <c r="N2158">
        <v>6032.7608289999998</v>
      </c>
    </row>
    <row r="2159" spans="12:14" x14ac:dyDescent="0.55000000000000004">
      <c r="L2159">
        <v>2154</v>
      </c>
      <c r="M2159">
        <v>2.9932E-2</v>
      </c>
      <c r="N2159">
        <v>6032.7608289999998</v>
      </c>
    </row>
    <row r="2160" spans="12:14" x14ac:dyDescent="0.55000000000000004">
      <c r="L2160">
        <v>2155</v>
      </c>
      <c r="M2160">
        <v>2.9932E-2</v>
      </c>
      <c r="N2160">
        <v>6032.7608289999998</v>
      </c>
    </row>
    <row r="2161" spans="12:14" x14ac:dyDescent="0.55000000000000004">
      <c r="L2161">
        <v>2156</v>
      </c>
      <c r="M2161">
        <v>2.9932E-2</v>
      </c>
      <c r="N2161">
        <v>6032.7608289999998</v>
      </c>
    </row>
    <row r="2162" spans="12:14" x14ac:dyDescent="0.55000000000000004">
      <c r="L2162">
        <v>2157</v>
      </c>
      <c r="M2162">
        <v>2.9932E-2</v>
      </c>
      <c r="N2162">
        <v>6032.7608289999998</v>
      </c>
    </row>
    <row r="2163" spans="12:14" x14ac:dyDescent="0.55000000000000004">
      <c r="L2163">
        <v>2158</v>
      </c>
      <c r="M2163">
        <v>2.9932E-2</v>
      </c>
      <c r="N2163">
        <v>6032.7608289999998</v>
      </c>
    </row>
    <row r="2164" spans="12:14" x14ac:dyDescent="0.55000000000000004">
      <c r="L2164">
        <v>2159</v>
      </c>
      <c r="M2164">
        <v>2.9932E-2</v>
      </c>
      <c r="N2164">
        <v>6032.7608289999998</v>
      </c>
    </row>
    <row r="2165" spans="12:14" x14ac:dyDescent="0.55000000000000004">
      <c r="L2165">
        <v>2160</v>
      </c>
      <c r="M2165">
        <v>2.9932E-2</v>
      </c>
      <c r="N2165">
        <v>6032.7608289999998</v>
      </c>
    </row>
    <row r="2166" spans="12:14" x14ac:dyDescent="0.55000000000000004">
      <c r="L2166">
        <v>2161</v>
      </c>
      <c r="M2166">
        <v>2.9932E-2</v>
      </c>
      <c r="N2166">
        <v>6032.7608289999998</v>
      </c>
    </row>
    <row r="2167" spans="12:14" x14ac:dyDescent="0.55000000000000004">
      <c r="L2167">
        <v>2162</v>
      </c>
      <c r="M2167">
        <v>2.9932E-2</v>
      </c>
      <c r="N2167">
        <v>6032.7608289999998</v>
      </c>
    </row>
    <row r="2168" spans="12:14" x14ac:dyDescent="0.55000000000000004">
      <c r="L2168">
        <v>2163</v>
      </c>
      <c r="M2168">
        <v>2.9932E-2</v>
      </c>
      <c r="N2168">
        <v>6032.7608289999998</v>
      </c>
    </row>
    <row r="2169" spans="12:14" x14ac:dyDescent="0.55000000000000004">
      <c r="L2169">
        <v>2164</v>
      </c>
      <c r="M2169">
        <v>2.9932E-2</v>
      </c>
      <c r="N2169">
        <v>6032.7608289999998</v>
      </c>
    </row>
    <row r="2170" spans="12:14" x14ac:dyDescent="0.55000000000000004">
      <c r="L2170">
        <v>2165</v>
      </c>
      <c r="M2170">
        <v>2.9932E-2</v>
      </c>
      <c r="N2170">
        <v>6032.7608289999998</v>
      </c>
    </row>
    <row r="2171" spans="12:14" x14ac:dyDescent="0.55000000000000004">
      <c r="L2171">
        <v>2166</v>
      </c>
      <c r="M2171">
        <v>2.9932E-2</v>
      </c>
      <c r="N2171">
        <v>6032.7608289999998</v>
      </c>
    </row>
    <row r="2172" spans="12:14" x14ac:dyDescent="0.55000000000000004">
      <c r="L2172">
        <v>2167</v>
      </c>
      <c r="M2172">
        <v>2.9932E-2</v>
      </c>
      <c r="N2172">
        <v>6032.7608289999998</v>
      </c>
    </row>
    <row r="2173" spans="12:14" x14ac:dyDescent="0.55000000000000004">
      <c r="L2173">
        <v>2168</v>
      </c>
      <c r="M2173">
        <v>2.9932E-2</v>
      </c>
      <c r="N2173">
        <v>6032.7608289999998</v>
      </c>
    </row>
    <row r="2174" spans="12:14" x14ac:dyDescent="0.55000000000000004">
      <c r="L2174">
        <v>2169</v>
      </c>
      <c r="M2174">
        <v>2.9932E-2</v>
      </c>
      <c r="N2174">
        <v>6032.7608289999998</v>
      </c>
    </row>
    <row r="2175" spans="12:14" x14ac:dyDescent="0.55000000000000004">
      <c r="L2175">
        <v>2170</v>
      </c>
      <c r="M2175">
        <v>2.9932E-2</v>
      </c>
      <c r="N2175">
        <v>6032.7608289999998</v>
      </c>
    </row>
    <row r="2176" spans="12:14" x14ac:dyDescent="0.55000000000000004">
      <c r="L2176">
        <v>2171</v>
      </c>
      <c r="M2176">
        <v>2.9932E-2</v>
      </c>
      <c r="N2176">
        <v>6032.7608289999998</v>
      </c>
    </row>
    <row r="2177" spans="12:14" x14ac:dyDescent="0.55000000000000004">
      <c r="L2177">
        <v>2172</v>
      </c>
      <c r="M2177">
        <v>2.9932E-2</v>
      </c>
      <c r="N2177">
        <v>6032.7608289999998</v>
      </c>
    </row>
    <row r="2178" spans="12:14" x14ac:dyDescent="0.55000000000000004">
      <c r="L2178">
        <v>2173</v>
      </c>
      <c r="M2178">
        <v>2.9932E-2</v>
      </c>
      <c r="N2178">
        <v>6032.7608289999998</v>
      </c>
    </row>
    <row r="2179" spans="12:14" x14ac:dyDescent="0.55000000000000004">
      <c r="L2179">
        <v>2174</v>
      </c>
      <c r="M2179">
        <v>2.9932E-2</v>
      </c>
      <c r="N2179">
        <v>6032.7608289999998</v>
      </c>
    </row>
    <row r="2180" spans="12:14" x14ac:dyDescent="0.55000000000000004">
      <c r="L2180">
        <v>2175</v>
      </c>
      <c r="M2180">
        <v>2.9932E-2</v>
      </c>
      <c r="N2180">
        <v>6032.7608289999998</v>
      </c>
    </row>
    <row r="2181" spans="12:14" x14ac:dyDescent="0.55000000000000004">
      <c r="L2181">
        <v>2176</v>
      </c>
      <c r="M2181">
        <v>2.9932E-2</v>
      </c>
      <c r="N2181">
        <v>6032.7608289999998</v>
      </c>
    </row>
    <row r="2182" spans="12:14" x14ac:dyDescent="0.55000000000000004">
      <c r="L2182">
        <v>2177</v>
      </c>
      <c r="M2182">
        <v>2.9932E-2</v>
      </c>
      <c r="N2182">
        <v>6032.7608289999998</v>
      </c>
    </row>
    <row r="2183" spans="12:14" x14ac:dyDescent="0.55000000000000004">
      <c r="L2183">
        <v>2178</v>
      </c>
      <c r="M2183">
        <v>2.9932E-2</v>
      </c>
      <c r="N2183">
        <v>6032.7608289999998</v>
      </c>
    </row>
    <row r="2184" spans="12:14" x14ac:dyDescent="0.55000000000000004">
      <c r="L2184">
        <v>2179</v>
      </c>
      <c r="M2184">
        <v>2.9932E-2</v>
      </c>
      <c r="N2184">
        <v>6032.7608289999998</v>
      </c>
    </row>
    <row r="2185" spans="12:14" x14ac:dyDescent="0.55000000000000004">
      <c r="L2185">
        <v>2180</v>
      </c>
      <c r="M2185">
        <v>2.9932E-2</v>
      </c>
      <c r="N2185">
        <v>6032.7608289999998</v>
      </c>
    </row>
    <row r="2186" spans="12:14" x14ac:dyDescent="0.55000000000000004">
      <c r="L2186">
        <v>2181</v>
      </c>
      <c r="M2186">
        <v>2.9932E-2</v>
      </c>
      <c r="N2186">
        <v>6032.7608289999998</v>
      </c>
    </row>
    <row r="2187" spans="12:14" x14ac:dyDescent="0.55000000000000004">
      <c r="L2187">
        <v>2182</v>
      </c>
      <c r="M2187">
        <v>2.9932E-2</v>
      </c>
      <c r="N2187">
        <v>6032.7608289999998</v>
      </c>
    </row>
    <row r="2188" spans="12:14" x14ac:dyDescent="0.55000000000000004">
      <c r="L2188">
        <v>2183</v>
      </c>
      <c r="M2188">
        <v>2.9932E-2</v>
      </c>
      <c r="N2188">
        <v>6032.7608289999998</v>
      </c>
    </row>
    <row r="2189" spans="12:14" x14ac:dyDescent="0.55000000000000004">
      <c r="L2189">
        <v>2184</v>
      </c>
      <c r="M2189">
        <v>2.9932E-2</v>
      </c>
      <c r="N2189">
        <v>6032.7608289999998</v>
      </c>
    </row>
    <row r="2190" spans="12:14" x14ac:dyDescent="0.55000000000000004">
      <c r="L2190">
        <v>2185</v>
      </c>
      <c r="M2190">
        <v>2.9932E-2</v>
      </c>
      <c r="N2190">
        <v>6032.7608289999998</v>
      </c>
    </row>
    <row r="2191" spans="12:14" x14ac:dyDescent="0.55000000000000004">
      <c r="L2191">
        <v>2186</v>
      </c>
      <c r="M2191">
        <v>2.9932E-2</v>
      </c>
      <c r="N2191">
        <v>6032.7608289999998</v>
      </c>
    </row>
    <row r="2192" spans="12:14" x14ac:dyDescent="0.55000000000000004">
      <c r="L2192">
        <v>2187</v>
      </c>
      <c r="M2192">
        <v>2.9932E-2</v>
      </c>
      <c r="N2192">
        <v>6032.7608289999998</v>
      </c>
    </row>
    <row r="2193" spans="12:14" x14ac:dyDescent="0.55000000000000004">
      <c r="L2193">
        <v>2188</v>
      </c>
      <c r="M2193">
        <v>2.9932E-2</v>
      </c>
      <c r="N2193">
        <v>6032.7608289999998</v>
      </c>
    </row>
    <row r="2194" spans="12:14" x14ac:dyDescent="0.55000000000000004">
      <c r="L2194">
        <v>2189</v>
      </c>
      <c r="M2194">
        <v>2.9932E-2</v>
      </c>
      <c r="N2194">
        <v>6032.7608289999998</v>
      </c>
    </row>
    <row r="2195" spans="12:14" x14ac:dyDescent="0.55000000000000004">
      <c r="L2195">
        <v>2190</v>
      </c>
      <c r="M2195">
        <v>2.9932E-2</v>
      </c>
      <c r="N2195">
        <v>6032.7608289999998</v>
      </c>
    </row>
    <row r="2196" spans="12:14" x14ac:dyDescent="0.55000000000000004">
      <c r="L2196">
        <v>2191</v>
      </c>
      <c r="M2196">
        <v>2.9932E-2</v>
      </c>
      <c r="N2196">
        <v>6032.7608289999998</v>
      </c>
    </row>
    <row r="2197" spans="12:14" x14ac:dyDescent="0.55000000000000004">
      <c r="L2197">
        <v>2192</v>
      </c>
      <c r="M2197">
        <v>2.9932E-2</v>
      </c>
      <c r="N2197">
        <v>6032.7608289999998</v>
      </c>
    </row>
    <row r="2198" spans="12:14" x14ac:dyDescent="0.55000000000000004">
      <c r="L2198">
        <v>2193</v>
      </c>
      <c r="M2198">
        <v>2.9932E-2</v>
      </c>
      <c r="N2198">
        <v>6032.7608289999998</v>
      </c>
    </row>
    <row r="2199" spans="12:14" x14ac:dyDescent="0.55000000000000004">
      <c r="L2199">
        <v>2194</v>
      </c>
      <c r="M2199">
        <v>2.9932E-2</v>
      </c>
      <c r="N2199">
        <v>6032.7608289999998</v>
      </c>
    </row>
    <row r="2200" spans="12:14" x14ac:dyDescent="0.55000000000000004">
      <c r="L2200">
        <v>2195</v>
      </c>
      <c r="M2200">
        <v>2.9932E-2</v>
      </c>
      <c r="N2200">
        <v>6032.7608289999998</v>
      </c>
    </row>
    <row r="2201" spans="12:14" x14ac:dyDescent="0.55000000000000004">
      <c r="L2201">
        <v>2196</v>
      </c>
      <c r="M2201">
        <v>2.9932E-2</v>
      </c>
      <c r="N2201">
        <v>6032.7608289999998</v>
      </c>
    </row>
    <row r="2202" spans="12:14" x14ac:dyDescent="0.55000000000000004">
      <c r="L2202">
        <v>2197</v>
      </c>
      <c r="M2202">
        <v>2.9932E-2</v>
      </c>
      <c r="N2202">
        <v>6032.7608289999998</v>
      </c>
    </row>
    <row r="2203" spans="12:14" x14ac:dyDescent="0.55000000000000004">
      <c r="L2203">
        <v>2198</v>
      </c>
      <c r="M2203">
        <v>2.9932E-2</v>
      </c>
      <c r="N2203">
        <v>6032.7608289999998</v>
      </c>
    </row>
    <row r="2204" spans="12:14" x14ac:dyDescent="0.55000000000000004">
      <c r="L2204">
        <v>2199</v>
      </c>
      <c r="M2204">
        <v>2.9932E-2</v>
      </c>
      <c r="N2204">
        <v>6032.7608289999998</v>
      </c>
    </row>
    <row r="2205" spans="12:14" x14ac:dyDescent="0.55000000000000004">
      <c r="L2205">
        <v>2200</v>
      </c>
      <c r="M2205">
        <v>2.9932E-2</v>
      </c>
      <c r="N2205">
        <v>6032.7608289999998</v>
      </c>
    </row>
    <row r="2206" spans="12:14" x14ac:dyDescent="0.55000000000000004">
      <c r="L2206">
        <v>2201</v>
      </c>
      <c r="M2206">
        <v>2.9932E-2</v>
      </c>
      <c r="N2206">
        <v>6032.7608289999998</v>
      </c>
    </row>
    <row r="2207" spans="12:14" x14ac:dyDescent="0.55000000000000004">
      <c r="L2207">
        <v>2202</v>
      </c>
      <c r="M2207">
        <v>2.9932E-2</v>
      </c>
      <c r="N2207">
        <v>6032.7608289999998</v>
      </c>
    </row>
    <row r="2208" spans="12:14" x14ac:dyDescent="0.55000000000000004">
      <c r="L2208">
        <v>2203</v>
      </c>
      <c r="M2208">
        <v>2.9932E-2</v>
      </c>
      <c r="N2208">
        <v>6032.7608289999998</v>
      </c>
    </row>
    <row r="2209" spans="12:14" x14ac:dyDescent="0.55000000000000004">
      <c r="L2209">
        <v>2204</v>
      </c>
      <c r="M2209">
        <v>2.9932E-2</v>
      </c>
      <c r="N2209">
        <v>6032.7608289999998</v>
      </c>
    </row>
    <row r="2210" spans="12:14" x14ac:dyDescent="0.55000000000000004">
      <c r="L2210">
        <v>2205</v>
      </c>
      <c r="M2210">
        <v>2.9932E-2</v>
      </c>
      <c r="N2210">
        <v>6032.7608289999998</v>
      </c>
    </row>
    <row r="2211" spans="12:14" x14ac:dyDescent="0.55000000000000004">
      <c r="L2211">
        <v>2206</v>
      </c>
      <c r="M2211">
        <v>2.9932E-2</v>
      </c>
      <c r="N2211">
        <v>6032.7608289999998</v>
      </c>
    </row>
    <row r="2212" spans="12:14" x14ac:dyDescent="0.55000000000000004">
      <c r="L2212">
        <v>2207</v>
      </c>
      <c r="M2212">
        <v>2.9932E-2</v>
      </c>
      <c r="N2212">
        <v>6032.7608289999998</v>
      </c>
    </row>
    <row r="2213" spans="12:14" x14ac:dyDescent="0.55000000000000004">
      <c r="L2213">
        <v>2208</v>
      </c>
      <c r="M2213">
        <v>2.9932E-2</v>
      </c>
      <c r="N2213">
        <v>6032.7608289999998</v>
      </c>
    </row>
    <row r="2214" spans="12:14" x14ac:dyDescent="0.55000000000000004">
      <c r="L2214">
        <v>2209</v>
      </c>
      <c r="M2214">
        <v>2.9932E-2</v>
      </c>
      <c r="N2214">
        <v>6032.7608289999998</v>
      </c>
    </row>
    <row r="2215" spans="12:14" x14ac:dyDescent="0.55000000000000004">
      <c r="L2215">
        <v>2210</v>
      </c>
      <c r="M2215">
        <v>2.9932E-2</v>
      </c>
      <c r="N2215">
        <v>6032.7608289999998</v>
      </c>
    </row>
    <row r="2216" spans="12:14" x14ac:dyDescent="0.55000000000000004">
      <c r="L2216">
        <v>2211</v>
      </c>
      <c r="M2216">
        <v>2.9932E-2</v>
      </c>
      <c r="N2216">
        <v>6032.7608289999998</v>
      </c>
    </row>
    <row r="2217" spans="12:14" x14ac:dyDescent="0.55000000000000004">
      <c r="L2217">
        <v>2212</v>
      </c>
      <c r="M2217">
        <v>2.9932E-2</v>
      </c>
      <c r="N2217">
        <v>6032.7608289999998</v>
      </c>
    </row>
    <row r="2218" spans="12:14" x14ac:dyDescent="0.55000000000000004">
      <c r="L2218">
        <v>2213</v>
      </c>
      <c r="M2218">
        <v>2.9932E-2</v>
      </c>
      <c r="N2218">
        <v>6032.7608289999998</v>
      </c>
    </row>
    <row r="2219" spans="12:14" x14ac:dyDescent="0.55000000000000004">
      <c r="L2219">
        <v>2214</v>
      </c>
      <c r="M2219">
        <v>2.9932E-2</v>
      </c>
      <c r="N2219">
        <v>6032.7608289999998</v>
      </c>
    </row>
    <row r="2220" spans="12:14" x14ac:dyDescent="0.55000000000000004">
      <c r="L2220">
        <v>2215</v>
      </c>
      <c r="M2220">
        <v>2.9932E-2</v>
      </c>
      <c r="N2220">
        <v>6032.7608289999998</v>
      </c>
    </row>
    <row r="2221" spans="12:14" x14ac:dyDescent="0.55000000000000004">
      <c r="L2221">
        <v>2216</v>
      </c>
      <c r="M2221">
        <v>2.9932E-2</v>
      </c>
      <c r="N2221">
        <v>6032.7608289999998</v>
      </c>
    </row>
    <row r="2222" spans="12:14" x14ac:dyDescent="0.55000000000000004">
      <c r="L2222">
        <v>2217</v>
      </c>
      <c r="M2222">
        <v>2.9932E-2</v>
      </c>
      <c r="N2222">
        <v>6032.7608289999998</v>
      </c>
    </row>
    <row r="2223" spans="12:14" x14ac:dyDescent="0.55000000000000004">
      <c r="L2223">
        <v>2218</v>
      </c>
      <c r="M2223">
        <v>2.9932E-2</v>
      </c>
      <c r="N2223">
        <v>6032.7608289999998</v>
      </c>
    </row>
    <row r="2224" spans="12:14" x14ac:dyDescent="0.55000000000000004">
      <c r="L2224">
        <v>2219</v>
      </c>
      <c r="M2224">
        <v>2.9932E-2</v>
      </c>
      <c r="N2224">
        <v>6032.7608289999998</v>
      </c>
    </row>
    <row r="2225" spans="12:14" x14ac:dyDescent="0.55000000000000004">
      <c r="L2225">
        <v>2220</v>
      </c>
      <c r="M2225">
        <v>2.9932E-2</v>
      </c>
      <c r="N2225">
        <v>6032.7608289999998</v>
      </c>
    </row>
    <row r="2226" spans="12:14" x14ac:dyDescent="0.55000000000000004">
      <c r="L2226">
        <v>2221</v>
      </c>
      <c r="M2226">
        <v>2.9932E-2</v>
      </c>
      <c r="N2226">
        <v>6032.7608289999998</v>
      </c>
    </row>
    <row r="2227" spans="12:14" x14ac:dyDescent="0.55000000000000004">
      <c r="L2227">
        <v>2222</v>
      </c>
      <c r="M2227">
        <v>2.9932E-2</v>
      </c>
      <c r="N2227">
        <v>6032.7608289999998</v>
      </c>
    </row>
    <row r="2228" spans="12:14" x14ac:dyDescent="0.55000000000000004">
      <c r="L2228">
        <v>2223</v>
      </c>
      <c r="M2228">
        <v>2.9932E-2</v>
      </c>
      <c r="N2228">
        <v>6032.7608289999998</v>
      </c>
    </row>
    <row r="2229" spans="12:14" x14ac:dyDescent="0.55000000000000004">
      <c r="L2229">
        <v>2224</v>
      </c>
      <c r="M2229">
        <v>2.9932E-2</v>
      </c>
      <c r="N2229">
        <v>6032.7608289999998</v>
      </c>
    </row>
    <row r="2230" spans="12:14" x14ac:dyDescent="0.55000000000000004">
      <c r="L2230">
        <v>2225</v>
      </c>
      <c r="M2230">
        <v>2.9932E-2</v>
      </c>
      <c r="N2230">
        <v>6032.7608289999998</v>
      </c>
    </row>
    <row r="2231" spans="12:14" x14ac:dyDescent="0.55000000000000004">
      <c r="L2231">
        <v>2226</v>
      </c>
      <c r="M2231">
        <v>2.9932E-2</v>
      </c>
      <c r="N2231">
        <v>6032.7608289999998</v>
      </c>
    </row>
    <row r="2232" spans="12:14" x14ac:dyDescent="0.55000000000000004">
      <c r="L2232">
        <v>2227</v>
      </c>
      <c r="M2232">
        <v>2.9932E-2</v>
      </c>
      <c r="N2232">
        <v>6032.7608289999998</v>
      </c>
    </row>
    <row r="2233" spans="12:14" x14ac:dyDescent="0.55000000000000004">
      <c r="L2233">
        <v>2228</v>
      </c>
      <c r="M2233">
        <v>2.9932E-2</v>
      </c>
      <c r="N2233">
        <v>6032.7608289999998</v>
      </c>
    </row>
    <row r="2234" spans="12:14" x14ac:dyDescent="0.55000000000000004">
      <c r="L2234">
        <v>2229</v>
      </c>
      <c r="M2234">
        <v>2.9932E-2</v>
      </c>
      <c r="N2234">
        <v>6032.7608289999998</v>
      </c>
    </row>
    <row r="2235" spans="12:14" x14ac:dyDescent="0.55000000000000004">
      <c r="L2235">
        <v>2230</v>
      </c>
      <c r="M2235">
        <v>2.9932E-2</v>
      </c>
      <c r="N2235">
        <v>6032.7608289999998</v>
      </c>
    </row>
    <row r="2236" spans="12:14" x14ac:dyDescent="0.55000000000000004">
      <c r="L2236">
        <v>2231</v>
      </c>
      <c r="M2236">
        <v>2.9932E-2</v>
      </c>
      <c r="N2236">
        <v>6032.7608289999998</v>
      </c>
    </row>
    <row r="2237" spans="12:14" x14ac:dyDescent="0.55000000000000004">
      <c r="L2237">
        <v>2232</v>
      </c>
      <c r="M2237">
        <v>2.9932E-2</v>
      </c>
      <c r="N2237">
        <v>6032.7608289999998</v>
      </c>
    </row>
    <row r="2238" spans="12:14" x14ac:dyDescent="0.55000000000000004">
      <c r="L2238">
        <v>2233</v>
      </c>
      <c r="M2238">
        <v>2.9932E-2</v>
      </c>
      <c r="N2238">
        <v>6032.7608289999998</v>
      </c>
    </row>
    <row r="2239" spans="12:14" x14ac:dyDescent="0.55000000000000004">
      <c r="L2239">
        <v>2234</v>
      </c>
      <c r="M2239">
        <v>2.9932E-2</v>
      </c>
      <c r="N2239">
        <v>6032.7608289999998</v>
      </c>
    </row>
    <row r="2240" spans="12:14" x14ac:dyDescent="0.55000000000000004">
      <c r="L2240">
        <v>2235</v>
      </c>
      <c r="M2240">
        <v>2.9932E-2</v>
      </c>
      <c r="N2240">
        <v>6032.7608289999998</v>
      </c>
    </row>
    <row r="2241" spans="12:14" x14ac:dyDescent="0.55000000000000004">
      <c r="L2241">
        <v>2236</v>
      </c>
      <c r="M2241">
        <v>2.9932E-2</v>
      </c>
      <c r="N2241">
        <v>6032.7608289999998</v>
      </c>
    </row>
    <row r="2242" spans="12:14" x14ac:dyDescent="0.55000000000000004">
      <c r="L2242">
        <v>2237</v>
      </c>
      <c r="M2242">
        <v>2.9932E-2</v>
      </c>
      <c r="N2242">
        <v>6032.7608289999998</v>
      </c>
    </row>
    <row r="2243" spans="12:14" x14ac:dyDescent="0.55000000000000004">
      <c r="L2243">
        <v>2238</v>
      </c>
      <c r="M2243">
        <v>2.9932E-2</v>
      </c>
      <c r="N2243">
        <v>6032.7608289999998</v>
      </c>
    </row>
    <row r="2244" spans="12:14" x14ac:dyDescent="0.55000000000000004">
      <c r="L2244">
        <v>2239</v>
      </c>
      <c r="M2244">
        <v>2.9932E-2</v>
      </c>
      <c r="N2244">
        <v>6032.7608289999998</v>
      </c>
    </row>
    <row r="2245" spans="12:14" x14ac:dyDescent="0.55000000000000004">
      <c r="L2245">
        <v>2240</v>
      </c>
      <c r="M2245">
        <v>2.9932E-2</v>
      </c>
      <c r="N2245">
        <v>6032.7608289999998</v>
      </c>
    </row>
    <row r="2246" spans="12:14" x14ac:dyDescent="0.55000000000000004">
      <c r="L2246">
        <v>2241</v>
      </c>
      <c r="M2246">
        <v>2.9932E-2</v>
      </c>
      <c r="N2246">
        <v>6032.7608289999998</v>
      </c>
    </row>
    <row r="2247" spans="12:14" x14ac:dyDescent="0.55000000000000004">
      <c r="L2247">
        <v>2242</v>
      </c>
      <c r="M2247">
        <v>2.9932E-2</v>
      </c>
      <c r="N2247">
        <v>6032.7608289999998</v>
      </c>
    </row>
    <row r="2248" spans="12:14" x14ac:dyDescent="0.55000000000000004">
      <c r="L2248">
        <v>2243</v>
      </c>
      <c r="M2248">
        <v>2.9932E-2</v>
      </c>
      <c r="N2248">
        <v>6032.7608289999998</v>
      </c>
    </row>
    <row r="2249" spans="12:14" x14ac:dyDescent="0.55000000000000004">
      <c r="L2249">
        <v>2244</v>
      </c>
      <c r="M2249">
        <v>2.9932E-2</v>
      </c>
      <c r="N2249">
        <v>6032.7608289999998</v>
      </c>
    </row>
    <row r="2250" spans="12:14" x14ac:dyDescent="0.55000000000000004">
      <c r="L2250">
        <v>2245</v>
      </c>
      <c r="M2250">
        <v>2.9932E-2</v>
      </c>
      <c r="N2250">
        <v>6032.7608289999998</v>
      </c>
    </row>
    <row r="2251" spans="12:14" x14ac:dyDescent="0.55000000000000004">
      <c r="L2251">
        <v>2246</v>
      </c>
      <c r="M2251">
        <v>2.9932E-2</v>
      </c>
      <c r="N2251">
        <v>6032.7608289999998</v>
      </c>
    </row>
    <row r="2252" spans="12:14" x14ac:dyDescent="0.55000000000000004">
      <c r="L2252">
        <v>2247</v>
      </c>
      <c r="M2252">
        <v>2.9932E-2</v>
      </c>
      <c r="N2252">
        <v>6032.7608289999998</v>
      </c>
    </row>
    <row r="2253" spans="12:14" x14ac:dyDescent="0.55000000000000004">
      <c r="L2253">
        <v>2248</v>
      </c>
      <c r="M2253">
        <v>2.9932E-2</v>
      </c>
      <c r="N2253">
        <v>6032.7608289999998</v>
      </c>
    </row>
    <row r="2254" spans="12:14" x14ac:dyDescent="0.55000000000000004">
      <c r="L2254">
        <v>2249</v>
      </c>
      <c r="M2254">
        <v>2.9932E-2</v>
      </c>
      <c r="N2254">
        <v>6032.7608289999998</v>
      </c>
    </row>
    <row r="2255" spans="12:14" x14ac:dyDescent="0.55000000000000004">
      <c r="L2255">
        <v>2250</v>
      </c>
      <c r="M2255">
        <v>2.9932E-2</v>
      </c>
      <c r="N2255">
        <v>6032.7608289999998</v>
      </c>
    </row>
    <row r="2256" spans="12:14" x14ac:dyDescent="0.55000000000000004">
      <c r="L2256">
        <v>2251</v>
      </c>
      <c r="M2256">
        <v>2.9932E-2</v>
      </c>
      <c r="N2256">
        <v>6032.7608289999998</v>
      </c>
    </row>
    <row r="2257" spans="12:14" x14ac:dyDescent="0.55000000000000004">
      <c r="L2257">
        <v>2252</v>
      </c>
      <c r="M2257">
        <v>2.9932E-2</v>
      </c>
      <c r="N2257">
        <v>6032.7608289999998</v>
      </c>
    </row>
    <row r="2258" spans="12:14" x14ac:dyDescent="0.55000000000000004">
      <c r="L2258">
        <v>2253</v>
      </c>
      <c r="M2258">
        <v>2.9932E-2</v>
      </c>
      <c r="N2258">
        <v>6032.7608289999998</v>
      </c>
    </row>
    <row r="2259" spans="12:14" x14ac:dyDescent="0.55000000000000004">
      <c r="L2259">
        <v>2254</v>
      </c>
      <c r="M2259">
        <v>2.9932E-2</v>
      </c>
      <c r="N2259">
        <v>6032.7608289999998</v>
      </c>
    </row>
    <row r="2260" spans="12:14" x14ac:dyDescent="0.55000000000000004">
      <c r="L2260">
        <v>2255</v>
      </c>
      <c r="M2260">
        <v>2.9932E-2</v>
      </c>
      <c r="N2260">
        <v>6032.7608289999998</v>
      </c>
    </row>
    <row r="2261" spans="12:14" x14ac:dyDescent="0.55000000000000004">
      <c r="L2261">
        <v>2256</v>
      </c>
      <c r="M2261">
        <v>2.9932E-2</v>
      </c>
      <c r="N2261">
        <v>6032.7608289999998</v>
      </c>
    </row>
    <row r="2262" spans="12:14" x14ac:dyDescent="0.55000000000000004">
      <c r="L2262">
        <v>2257</v>
      </c>
      <c r="M2262">
        <v>2.9932E-2</v>
      </c>
      <c r="N2262">
        <v>6032.7608289999998</v>
      </c>
    </row>
    <row r="2263" spans="12:14" x14ac:dyDescent="0.55000000000000004">
      <c r="L2263">
        <v>2258</v>
      </c>
      <c r="M2263">
        <v>2.9932E-2</v>
      </c>
      <c r="N2263">
        <v>6032.7608289999998</v>
      </c>
    </row>
    <row r="2264" spans="12:14" x14ac:dyDescent="0.55000000000000004">
      <c r="L2264">
        <v>2259</v>
      </c>
      <c r="M2264">
        <v>2.9932E-2</v>
      </c>
      <c r="N2264">
        <v>6032.7608289999998</v>
      </c>
    </row>
    <row r="2265" spans="12:14" x14ac:dyDescent="0.55000000000000004">
      <c r="L2265">
        <v>2260</v>
      </c>
      <c r="M2265">
        <v>2.9932E-2</v>
      </c>
      <c r="N2265">
        <v>6032.7608289999998</v>
      </c>
    </row>
    <row r="2266" spans="12:14" x14ac:dyDescent="0.55000000000000004">
      <c r="L2266">
        <v>2261</v>
      </c>
      <c r="M2266">
        <v>2.9932E-2</v>
      </c>
      <c r="N2266">
        <v>6032.7608289999998</v>
      </c>
    </row>
    <row r="2267" spans="12:14" x14ac:dyDescent="0.55000000000000004">
      <c r="L2267">
        <v>2262</v>
      </c>
      <c r="M2267">
        <v>2.9932E-2</v>
      </c>
      <c r="N2267">
        <v>6032.7608289999998</v>
      </c>
    </row>
    <row r="2268" spans="12:14" x14ac:dyDescent="0.55000000000000004">
      <c r="L2268">
        <v>2263</v>
      </c>
      <c r="M2268">
        <v>2.9932E-2</v>
      </c>
      <c r="N2268">
        <v>6032.7608289999998</v>
      </c>
    </row>
    <row r="2269" spans="12:14" x14ac:dyDescent="0.55000000000000004">
      <c r="L2269">
        <v>2264</v>
      </c>
      <c r="M2269">
        <v>2.9932E-2</v>
      </c>
      <c r="N2269">
        <v>6032.7608289999998</v>
      </c>
    </row>
    <row r="2270" spans="12:14" x14ac:dyDescent="0.55000000000000004">
      <c r="L2270">
        <v>2265</v>
      </c>
      <c r="M2270">
        <v>2.9932E-2</v>
      </c>
      <c r="N2270">
        <v>6032.7608289999998</v>
      </c>
    </row>
    <row r="2271" spans="12:14" x14ac:dyDescent="0.55000000000000004">
      <c r="L2271">
        <v>2266</v>
      </c>
      <c r="M2271">
        <v>2.9932E-2</v>
      </c>
      <c r="N2271">
        <v>6032.7608289999998</v>
      </c>
    </row>
    <row r="2272" spans="12:14" x14ac:dyDescent="0.55000000000000004">
      <c r="L2272">
        <v>2267</v>
      </c>
      <c r="M2272">
        <v>2.9932E-2</v>
      </c>
      <c r="N2272">
        <v>6032.7608289999998</v>
      </c>
    </row>
    <row r="2273" spans="12:14" x14ac:dyDescent="0.55000000000000004">
      <c r="L2273">
        <v>2268</v>
      </c>
      <c r="M2273">
        <v>2.9932E-2</v>
      </c>
      <c r="N2273">
        <v>6032.7608289999998</v>
      </c>
    </row>
    <row r="2274" spans="12:14" x14ac:dyDescent="0.55000000000000004">
      <c r="L2274">
        <v>2269</v>
      </c>
      <c r="M2274">
        <v>2.9932E-2</v>
      </c>
      <c r="N2274">
        <v>6032.7608289999998</v>
      </c>
    </row>
    <row r="2275" spans="12:14" x14ac:dyDescent="0.55000000000000004">
      <c r="L2275">
        <v>2270</v>
      </c>
      <c r="M2275">
        <v>2.9932E-2</v>
      </c>
      <c r="N2275">
        <v>6032.7608289999998</v>
      </c>
    </row>
    <row r="2276" spans="12:14" x14ac:dyDescent="0.55000000000000004">
      <c r="L2276">
        <v>2271</v>
      </c>
      <c r="M2276">
        <v>2.9932E-2</v>
      </c>
      <c r="N2276">
        <v>6032.7608289999998</v>
      </c>
    </row>
    <row r="2277" spans="12:14" x14ac:dyDescent="0.55000000000000004">
      <c r="L2277">
        <v>2272</v>
      </c>
      <c r="M2277">
        <v>2.9932E-2</v>
      </c>
      <c r="N2277">
        <v>6032.7608289999998</v>
      </c>
    </row>
    <row r="2278" spans="12:14" x14ac:dyDescent="0.55000000000000004">
      <c r="L2278">
        <v>2273</v>
      </c>
      <c r="M2278">
        <v>2.9932E-2</v>
      </c>
      <c r="N2278">
        <v>6032.7608289999998</v>
      </c>
    </row>
    <row r="2279" spans="12:14" x14ac:dyDescent="0.55000000000000004">
      <c r="L2279">
        <v>2274</v>
      </c>
      <c r="M2279">
        <v>2.9932E-2</v>
      </c>
      <c r="N2279">
        <v>6032.7608289999998</v>
      </c>
    </row>
    <row r="2280" spans="12:14" x14ac:dyDescent="0.55000000000000004">
      <c r="L2280">
        <v>2275</v>
      </c>
      <c r="M2280">
        <v>2.9932E-2</v>
      </c>
      <c r="N2280">
        <v>6032.7608289999998</v>
      </c>
    </row>
    <row r="2281" spans="12:14" x14ac:dyDescent="0.55000000000000004">
      <c r="L2281">
        <v>2276</v>
      </c>
      <c r="M2281">
        <v>2.9932E-2</v>
      </c>
      <c r="N2281">
        <v>6032.7608289999998</v>
      </c>
    </row>
    <row r="2282" spans="12:14" x14ac:dyDescent="0.55000000000000004">
      <c r="L2282">
        <v>2277</v>
      </c>
      <c r="M2282">
        <v>2.9932E-2</v>
      </c>
      <c r="N2282">
        <v>6032.7608289999998</v>
      </c>
    </row>
    <row r="2283" spans="12:14" x14ac:dyDescent="0.55000000000000004">
      <c r="L2283">
        <v>2278</v>
      </c>
      <c r="M2283">
        <v>2.9932E-2</v>
      </c>
      <c r="N2283">
        <v>6032.7608289999998</v>
      </c>
    </row>
    <row r="2284" spans="12:14" x14ac:dyDescent="0.55000000000000004">
      <c r="L2284">
        <v>2279</v>
      </c>
      <c r="M2284">
        <v>2.9932E-2</v>
      </c>
      <c r="N2284">
        <v>6032.7608289999998</v>
      </c>
    </row>
    <row r="2285" spans="12:14" x14ac:dyDescent="0.55000000000000004">
      <c r="L2285">
        <v>2280</v>
      </c>
      <c r="M2285">
        <v>2.9932E-2</v>
      </c>
      <c r="N2285">
        <v>6032.7608289999998</v>
      </c>
    </row>
    <row r="2286" spans="12:14" x14ac:dyDescent="0.55000000000000004">
      <c r="L2286">
        <v>2281</v>
      </c>
      <c r="M2286">
        <v>2.9932E-2</v>
      </c>
      <c r="N2286">
        <v>6032.7608289999998</v>
      </c>
    </row>
    <row r="2287" spans="12:14" x14ac:dyDescent="0.55000000000000004">
      <c r="L2287">
        <v>2282</v>
      </c>
      <c r="M2287">
        <v>2.9932E-2</v>
      </c>
      <c r="N2287">
        <v>6032.7608289999998</v>
      </c>
    </row>
    <row r="2288" spans="12:14" x14ac:dyDescent="0.55000000000000004">
      <c r="L2288">
        <v>2283</v>
      </c>
      <c r="M2288">
        <v>2.9932E-2</v>
      </c>
      <c r="N2288">
        <v>6032.7608289999998</v>
      </c>
    </row>
    <row r="2289" spans="12:14" x14ac:dyDescent="0.55000000000000004">
      <c r="L2289">
        <v>2284</v>
      </c>
      <c r="M2289">
        <v>2.9932E-2</v>
      </c>
      <c r="N2289">
        <v>6032.7608289999998</v>
      </c>
    </row>
    <row r="2290" spans="12:14" x14ac:dyDescent="0.55000000000000004">
      <c r="L2290">
        <v>2285</v>
      </c>
      <c r="M2290">
        <v>2.9932E-2</v>
      </c>
      <c r="N2290">
        <v>6032.7608289999998</v>
      </c>
    </row>
    <row r="2291" spans="12:14" x14ac:dyDescent="0.55000000000000004">
      <c r="L2291">
        <v>2286</v>
      </c>
      <c r="M2291">
        <v>2.9932E-2</v>
      </c>
      <c r="N2291">
        <v>6032.7608289999998</v>
      </c>
    </row>
    <row r="2292" spans="12:14" x14ac:dyDescent="0.55000000000000004">
      <c r="L2292">
        <v>2287</v>
      </c>
      <c r="M2292">
        <v>2.9932E-2</v>
      </c>
      <c r="N2292">
        <v>6032.7608289999998</v>
      </c>
    </row>
    <row r="2293" spans="12:14" x14ac:dyDescent="0.55000000000000004">
      <c r="L2293">
        <v>2288</v>
      </c>
      <c r="M2293">
        <v>2.9932E-2</v>
      </c>
      <c r="N2293">
        <v>6032.7608289999998</v>
      </c>
    </row>
    <row r="2294" spans="12:14" x14ac:dyDescent="0.55000000000000004">
      <c r="L2294">
        <v>2289</v>
      </c>
      <c r="M2294">
        <v>2.9932E-2</v>
      </c>
      <c r="N2294">
        <v>6032.7608289999998</v>
      </c>
    </row>
    <row r="2295" spans="12:14" x14ac:dyDescent="0.55000000000000004">
      <c r="L2295">
        <v>2290</v>
      </c>
      <c r="M2295">
        <v>2.9932E-2</v>
      </c>
      <c r="N2295">
        <v>6032.7608289999998</v>
      </c>
    </row>
    <row r="2296" spans="12:14" x14ac:dyDescent="0.55000000000000004">
      <c r="L2296">
        <v>2291</v>
      </c>
      <c r="M2296">
        <v>2.9932E-2</v>
      </c>
      <c r="N2296">
        <v>6032.7608289999998</v>
      </c>
    </row>
    <row r="2297" spans="12:14" x14ac:dyDescent="0.55000000000000004">
      <c r="L2297">
        <v>2292</v>
      </c>
      <c r="M2297">
        <v>2.9932E-2</v>
      </c>
      <c r="N2297">
        <v>6032.7608289999998</v>
      </c>
    </row>
    <row r="2298" spans="12:14" x14ac:dyDescent="0.55000000000000004">
      <c r="L2298">
        <v>2293</v>
      </c>
      <c r="M2298">
        <v>2.9932E-2</v>
      </c>
      <c r="N2298">
        <v>6032.7608289999998</v>
      </c>
    </row>
    <row r="2299" spans="12:14" x14ac:dyDescent="0.55000000000000004">
      <c r="L2299">
        <v>2294</v>
      </c>
      <c r="M2299">
        <v>2.9932E-2</v>
      </c>
      <c r="N2299">
        <v>6032.7608289999998</v>
      </c>
    </row>
    <row r="2300" spans="12:14" x14ac:dyDescent="0.55000000000000004">
      <c r="L2300">
        <v>2295</v>
      </c>
      <c r="M2300">
        <v>2.9932E-2</v>
      </c>
      <c r="N2300">
        <v>6032.7608289999998</v>
      </c>
    </row>
    <row r="2301" spans="12:14" x14ac:dyDescent="0.55000000000000004">
      <c r="L2301">
        <v>2296</v>
      </c>
      <c r="M2301">
        <v>2.9932E-2</v>
      </c>
      <c r="N2301">
        <v>6032.7608289999998</v>
      </c>
    </row>
    <row r="2302" spans="12:14" x14ac:dyDescent="0.55000000000000004">
      <c r="L2302">
        <v>2297</v>
      </c>
      <c r="M2302">
        <v>2.9932E-2</v>
      </c>
      <c r="N2302">
        <v>6032.7608289999998</v>
      </c>
    </row>
    <row r="2303" spans="12:14" x14ac:dyDescent="0.55000000000000004">
      <c r="L2303">
        <v>2298</v>
      </c>
      <c r="M2303">
        <v>2.9932E-2</v>
      </c>
      <c r="N2303">
        <v>6032.7608289999998</v>
      </c>
    </row>
    <row r="2304" spans="12:14" x14ac:dyDescent="0.55000000000000004">
      <c r="L2304">
        <v>2299</v>
      </c>
      <c r="M2304">
        <v>2.9932E-2</v>
      </c>
      <c r="N2304">
        <v>6032.7608289999998</v>
      </c>
    </row>
    <row r="2305" spans="12:14" x14ac:dyDescent="0.55000000000000004">
      <c r="L2305">
        <v>2300</v>
      </c>
      <c r="M2305">
        <v>2.9932E-2</v>
      </c>
      <c r="N2305">
        <v>6032.7608289999998</v>
      </c>
    </row>
    <row r="2306" spans="12:14" x14ac:dyDescent="0.55000000000000004">
      <c r="L2306">
        <v>2301</v>
      </c>
      <c r="M2306">
        <v>2.9932E-2</v>
      </c>
      <c r="N2306">
        <v>6032.7608289999998</v>
      </c>
    </row>
    <row r="2307" spans="12:14" x14ac:dyDescent="0.55000000000000004">
      <c r="L2307">
        <v>2302</v>
      </c>
      <c r="M2307">
        <v>2.9932E-2</v>
      </c>
      <c r="N2307">
        <v>6032.7608289999998</v>
      </c>
    </row>
    <row r="2308" spans="12:14" x14ac:dyDescent="0.55000000000000004">
      <c r="L2308">
        <v>2303</v>
      </c>
      <c r="M2308">
        <v>2.9932E-2</v>
      </c>
      <c r="N2308">
        <v>6032.7608289999998</v>
      </c>
    </row>
    <row r="2309" spans="12:14" x14ac:dyDescent="0.55000000000000004">
      <c r="L2309">
        <v>2304</v>
      </c>
      <c r="M2309">
        <v>2.9932E-2</v>
      </c>
      <c r="N2309">
        <v>6032.7608289999998</v>
      </c>
    </row>
    <row r="2310" spans="12:14" x14ac:dyDescent="0.55000000000000004">
      <c r="L2310">
        <v>2305</v>
      </c>
      <c r="M2310">
        <v>2.9932E-2</v>
      </c>
      <c r="N2310">
        <v>6032.7608289999998</v>
      </c>
    </row>
    <row r="2311" spans="12:14" x14ac:dyDescent="0.55000000000000004">
      <c r="L2311">
        <v>2306</v>
      </c>
      <c r="M2311">
        <v>2.9932E-2</v>
      </c>
      <c r="N2311">
        <v>6032.7608289999998</v>
      </c>
    </row>
    <row r="2312" spans="12:14" x14ac:dyDescent="0.55000000000000004">
      <c r="L2312">
        <v>2307</v>
      </c>
      <c r="M2312">
        <v>2.9932E-2</v>
      </c>
      <c r="N2312">
        <v>6032.7608289999998</v>
      </c>
    </row>
    <row r="2313" spans="12:14" x14ac:dyDescent="0.55000000000000004">
      <c r="L2313">
        <v>2308</v>
      </c>
      <c r="M2313">
        <v>2.9932E-2</v>
      </c>
      <c r="N2313">
        <v>6032.7608289999998</v>
      </c>
    </row>
    <row r="2314" spans="12:14" x14ac:dyDescent="0.55000000000000004">
      <c r="L2314">
        <v>2309</v>
      </c>
      <c r="M2314">
        <v>2.9932E-2</v>
      </c>
      <c r="N2314">
        <v>6032.7608289999998</v>
      </c>
    </row>
    <row r="2315" spans="12:14" x14ac:dyDescent="0.55000000000000004">
      <c r="L2315">
        <v>2310</v>
      </c>
      <c r="M2315">
        <v>2.9932E-2</v>
      </c>
      <c r="N2315">
        <v>6032.7608289999998</v>
      </c>
    </row>
    <row r="2316" spans="12:14" x14ac:dyDescent="0.55000000000000004">
      <c r="L2316">
        <v>2311</v>
      </c>
      <c r="M2316">
        <v>2.9932E-2</v>
      </c>
      <c r="N2316">
        <v>6032.7608289999998</v>
      </c>
    </row>
    <row r="2317" spans="12:14" x14ac:dyDescent="0.55000000000000004">
      <c r="L2317">
        <v>2312</v>
      </c>
      <c r="M2317">
        <v>2.9932E-2</v>
      </c>
      <c r="N2317">
        <v>6032.7608289999998</v>
      </c>
    </row>
    <row r="2318" spans="12:14" x14ac:dyDescent="0.55000000000000004">
      <c r="L2318">
        <v>2313</v>
      </c>
      <c r="M2318">
        <v>2.9932E-2</v>
      </c>
      <c r="N2318">
        <v>6032.7608289999998</v>
      </c>
    </row>
    <row r="2319" spans="12:14" x14ac:dyDescent="0.55000000000000004">
      <c r="L2319">
        <v>2314</v>
      </c>
      <c r="M2319">
        <v>2.9932E-2</v>
      </c>
      <c r="N2319">
        <v>6032.7608289999998</v>
      </c>
    </row>
    <row r="2320" spans="12:14" x14ac:dyDescent="0.55000000000000004">
      <c r="L2320">
        <v>2315</v>
      </c>
      <c r="M2320">
        <v>2.9932E-2</v>
      </c>
      <c r="N2320">
        <v>6032.7608289999998</v>
      </c>
    </row>
    <row r="2321" spans="12:14" x14ac:dyDescent="0.55000000000000004">
      <c r="L2321">
        <v>2316</v>
      </c>
      <c r="M2321">
        <v>2.9932E-2</v>
      </c>
      <c r="N2321">
        <v>6032.7608289999998</v>
      </c>
    </row>
    <row r="2322" spans="12:14" x14ac:dyDescent="0.55000000000000004">
      <c r="L2322">
        <v>2317</v>
      </c>
      <c r="M2322">
        <v>2.9932E-2</v>
      </c>
      <c r="N2322">
        <v>6032.7608289999998</v>
      </c>
    </row>
    <row r="2323" spans="12:14" x14ac:dyDescent="0.55000000000000004">
      <c r="L2323">
        <v>2318</v>
      </c>
      <c r="M2323">
        <v>2.9932E-2</v>
      </c>
      <c r="N2323">
        <v>6032.7608289999998</v>
      </c>
    </row>
    <row r="2324" spans="12:14" x14ac:dyDescent="0.55000000000000004">
      <c r="L2324">
        <v>2319</v>
      </c>
      <c r="M2324">
        <v>2.9932E-2</v>
      </c>
      <c r="N2324">
        <v>6032.7608289999998</v>
      </c>
    </row>
    <row r="2325" spans="12:14" x14ac:dyDescent="0.55000000000000004">
      <c r="L2325">
        <v>2320</v>
      </c>
      <c r="M2325">
        <v>2.9932E-2</v>
      </c>
      <c r="N2325">
        <v>6032.7608289999998</v>
      </c>
    </row>
    <row r="2326" spans="12:14" x14ac:dyDescent="0.55000000000000004">
      <c r="L2326">
        <v>2321</v>
      </c>
      <c r="M2326">
        <v>2.9932E-2</v>
      </c>
      <c r="N2326">
        <v>6032.7608289999998</v>
      </c>
    </row>
    <row r="2327" spans="12:14" x14ac:dyDescent="0.55000000000000004">
      <c r="L2327">
        <v>2322</v>
      </c>
      <c r="M2327">
        <v>2.9932E-2</v>
      </c>
      <c r="N2327">
        <v>6032.7608289999998</v>
      </c>
    </row>
    <row r="2328" spans="12:14" x14ac:dyDescent="0.55000000000000004">
      <c r="L2328">
        <v>2323</v>
      </c>
      <c r="M2328">
        <v>2.9932E-2</v>
      </c>
      <c r="N2328">
        <v>6032.7608289999998</v>
      </c>
    </row>
    <row r="2329" spans="12:14" x14ac:dyDescent="0.55000000000000004">
      <c r="L2329">
        <v>2324</v>
      </c>
      <c r="M2329">
        <v>2.9932E-2</v>
      </c>
      <c r="N2329">
        <v>6032.7608289999998</v>
      </c>
    </row>
    <row r="2330" spans="12:14" x14ac:dyDescent="0.55000000000000004">
      <c r="L2330">
        <v>2325</v>
      </c>
      <c r="M2330">
        <v>2.9932E-2</v>
      </c>
      <c r="N2330">
        <v>6032.7608289999998</v>
      </c>
    </row>
    <row r="2331" spans="12:14" x14ac:dyDescent="0.55000000000000004">
      <c r="L2331">
        <v>2326</v>
      </c>
      <c r="M2331">
        <v>2.9932E-2</v>
      </c>
      <c r="N2331">
        <v>6032.7608289999998</v>
      </c>
    </row>
    <row r="2332" spans="12:14" x14ac:dyDescent="0.55000000000000004">
      <c r="L2332">
        <v>2327</v>
      </c>
      <c r="M2332">
        <v>2.9932E-2</v>
      </c>
      <c r="N2332">
        <v>6032.7608289999998</v>
      </c>
    </row>
    <row r="2333" spans="12:14" x14ac:dyDescent="0.55000000000000004">
      <c r="L2333">
        <v>2328</v>
      </c>
      <c r="M2333">
        <v>2.9932E-2</v>
      </c>
      <c r="N2333">
        <v>6032.7608289999998</v>
      </c>
    </row>
    <row r="2334" spans="12:14" x14ac:dyDescent="0.55000000000000004">
      <c r="L2334">
        <v>2329</v>
      </c>
      <c r="M2334">
        <v>2.9932E-2</v>
      </c>
      <c r="N2334">
        <v>6032.7608289999998</v>
      </c>
    </row>
    <row r="2335" spans="12:14" x14ac:dyDescent="0.55000000000000004">
      <c r="L2335">
        <v>2330</v>
      </c>
      <c r="M2335">
        <v>2.9932E-2</v>
      </c>
      <c r="N2335">
        <v>6032.7608289999998</v>
      </c>
    </row>
    <row r="2336" spans="12:14" x14ac:dyDescent="0.55000000000000004">
      <c r="L2336">
        <v>2331</v>
      </c>
      <c r="M2336">
        <v>2.9932E-2</v>
      </c>
      <c r="N2336">
        <v>6032.7608289999998</v>
      </c>
    </row>
    <row r="2337" spans="12:14" x14ac:dyDescent="0.55000000000000004">
      <c r="L2337">
        <v>2332</v>
      </c>
      <c r="M2337">
        <v>2.9932E-2</v>
      </c>
      <c r="N2337">
        <v>6032.7608289999998</v>
      </c>
    </row>
    <row r="2338" spans="12:14" x14ac:dyDescent="0.55000000000000004">
      <c r="L2338">
        <v>2333</v>
      </c>
      <c r="M2338">
        <v>2.9932E-2</v>
      </c>
      <c r="N2338">
        <v>6032.7608289999998</v>
      </c>
    </row>
    <row r="2339" spans="12:14" x14ac:dyDescent="0.55000000000000004">
      <c r="L2339">
        <v>2334</v>
      </c>
      <c r="M2339">
        <v>2.9932E-2</v>
      </c>
      <c r="N2339">
        <v>6032.7608289999998</v>
      </c>
    </row>
    <row r="2340" spans="12:14" x14ac:dyDescent="0.55000000000000004">
      <c r="L2340">
        <v>2335</v>
      </c>
      <c r="M2340">
        <v>2.9932E-2</v>
      </c>
      <c r="N2340">
        <v>6032.7608289999998</v>
      </c>
    </row>
    <row r="2341" spans="12:14" x14ac:dyDescent="0.55000000000000004">
      <c r="L2341">
        <v>2336</v>
      </c>
      <c r="M2341">
        <v>2.9932E-2</v>
      </c>
      <c r="N2341">
        <v>6032.7608289999998</v>
      </c>
    </row>
    <row r="2342" spans="12:14" x14ac:dyDescent="0.55000000000000004">
      <c r="L2342">
        <v>2337</v>
      </c>
      <c r="M2342">
        <v>2.9932E-2</v>
      </c>
      <c r="N2342">
        <v>6032.7608289999998</v>
      </c>
    </row>
    <row r="2343" spans="12:14" x14ac:dyDescent="0.55000000000000004">
      <c r="L2343">
        <v>2338</v>
      </c>
      <c r="M2343">
        <v>2.9932E-2</v>
      </c>
      <c r="N2343">
        <v>6032.7608289999998</v>
      </c>
    </row>
    <row r="2344" spans="12:14" x14ac:dyDescent="0.55000000000000004">
      <c r="L2344">
        <v>2339</v>
      </c>
      <c r="M2344">
        <v>2.9932E-2</v>
      </c>
      <c r="N2344">
        <v>6032.7608289999998</v>
      </c>
    </row>
    <row r="2345" spans="12:14" x14ac:dyDescent="0.55000000000000004">
      <c r="L2345">
        <v>2340</v>
      </c>
      <c r="M2345">
        <v>2.9932E-2</v>
      </c>
      <c r="N2345">
        <v>6032.7608289999998</v>
      </c>
    </row>
    <row r="2346" spans="12:14" x14ac:dyDescent="0.55000000000000004">
      <c r="L2346">
        <v>2341</v>
      </c>
      <c r="M2346">
        <v>2.9932E-2</v>
      </c>
      <c r="N2346">
        <v>6032.7608289999998</v>
      </c>
    </row>
    <row r="2347" spans="12:14" x14ac:dyDescent="0.55000000000000004">
      <c r="L2347">
        <v>2342</v>
      </c>
      <c r="M2347">
        <v>2.9932E-2</v>
      </c>
      <c r="N2347">
        <v>6032.7608289999998</v>
      </c>
    </row>
    <row r="2348" spans="12:14" x14ac:dyDescent="0.55000000000000004">
      <c r="L2348">
        <v>2343</v>
      </c>
      <c r="M2348">
        <v>2.9932E-2</v>
      </c>
      <c r="N2348">
        <v>6032.7608289999998</v>
      </c>
    </row>
    <row r="2349" spans="12:14" x14ac:dyDescent="0.55000000000000004">
      <c r="L2349">
        <v>2344</v>
      </c>
      <c r="M2349">
        <v>2.9932E-2</v>
      </c>
      <c r="N2349">
        <v>6032.7608289999998</v>
      </c>
    </row>
    <row r="2350" spans="12:14" x14ac:dyDescent="0.55000000000000004">
      <c r="L2350">
        <v>2345</v>
      </c>
      <c r="M2350">
        <v>2.9932E-2</v>
      </c>
      <c r="N2350">
        <v>6032.7608289999998</v>
      </c>
    </row>
    <row r="2351" spans="12:14" x14ac:dyDescent="0.55000000000000004">
      <c r="L2351">
        <v>2346</v>
      </c>
      <c r="M2351">
        <v>2.9932E-2</v>
      </c>
      <c r="N2351">
        <v>6032.7608289999998</v>
      </c>
    </row>
    <row r="2352" spans="12:14" x14ac:dyDescent="0.55000000000000004">
      <c r="L2352">
        <v>2347</v>
      </c>
      <c r="M2352">
        <v>2.9932E-2</v>
      </c>
      <c r="N2352">
        <v>6032.7608289999998</v>
      </c>
    </row>
    <row r="2353" spans="12:14" x14ac:dyDescent="0.55000000000000004">
      <c r="L2353">
        <v>2348</v>
      </c>
      <c r="M2353">
        <v>2.9932E-2</v>
      </c>
      <c r="N2353">
        <v>6032.7608289999998</v>
      </c>
    </row>
    <row r="2354" spans="12:14" x14ac:dyDescent="0.55000000000000004">
      <c r="L2354">
        <v>2349</v>
      </c>
      <c r="M2354">
        <v>2.9932E-2</v>
      </c>
      <c r="N2354">
        <v>6032.7608289999998</v>
      </c>
    </row>
    <row r="2355" spans="12:14" x14ac:dyDescent="0.55000000000000004">
      <c r="L2355">
        <v>2350</v>
      </c>
      <c r="M2355">
        <v>2.9932E-2</v>
      </c>
      <c r="N2355">
        <v>6032.7608289999998</v>
      </c>
    </row>
    <row r="2356" spans="12:14" x14ac:dyDescent="0.55000000000000004">
      <c r="L2356">
        <v>2351</v>
      </c>
      <c r="M2356">
        <v>2.9932E-2</v>
      </c>
      <c r="N2356">
        <v>6032.7608289999998</v>
      </c>
    </row>
    <row r="2357" spans="12:14" x14ac:dyDescent="0.55000000000000004">
      <c r="L2357">
        <v>2352</v>
      </c>
      <c r="M2357">
        <v>2.9932E-2</v>
      </c>
      <c r="N2357">
        <v>6032.7608289999998</v>
      </c>
    </row>
    <row r="2358" spans="12:14" x14ac:dyDescent="0.55000000000000004">
      <c r="L2358">
        <v>2353</v>
      </c>
      <c r="M2358">
        <v>2.9932E-2</v>
      </c>
      <c r="N2358">
        <v>6032.7608289999998</v>
      </c>
    </row>
    <row r="2359" spans="12:14" x14ac:dyDescent="0.55000000000000004">
      <c r="L2359">
        <v>2354</v>
      </c>
      <c r="M2359">
        <v>2.9932E-2</v>
      </c>
      <c r="N2359">
        <v>6032.7608289999998</v>
      </c>
    </row>
    <row r="2360" spans="12:14" x14ac:dyDescent="0.55000000000000004">
      <c r="L2360">
        <v>2355</v>
      </c>
      <c r="M2360">
        <v>2.9932E-2</v>
      </c>
      <c r="N2360">
        <v>6032.7608289999998</v>
      </c>
    </row>
    <row r="2361" spans="12:14" x14ac:dyDescent="0.55000000000000004">
      <c r="L2361">
        <v>2356</v>
      </c>
      <c r="M2361">
        <v>2.9932E-2</v>
      </c>
      <c r="N2361">
        <v>6032.7608289999998</v>
      </c>
    </row>
    <row r="2362" spans="12:14" x14ac:dyDescent="0.55000000000000004">
      <c r="L2362">
        <v>2357</v>
      </c>
      <c r="M2362">
        <v>2.9932E-2</v>
      </c>
      <c r="N2362">
        <v>6032.7608289999998</v>
      </c>
    </row>
    <row r="2363" spans="12:14" x14ac:dyDescent="0.55000000000000004">
      <c r="L2363">
        <v>2358</v>
      </c>
      <c r="M2363">
        <v>2.9932E-2</v>
      </c>
      <c r="N2363">
        <v>6032.7608289999998</v>
      </c>
    </row>
    <row r="2364" spans="12:14" x14ac:dyDescent="0.55000000000000004">
      <c r="L2364">
        <v>2359</v>
      </c>
      <c r="M2364">
        <v>2.9932E-2</v>
      </c>
      <c r="N2364">
        <v>6032.7608289999998</v>
      </c>
    </row>
    <row r="2365" spans="12:14" x14ac:dyDescent="0.55000000000000004">
      <c r="L2365">
        <v>2360</v>
      </c>
      <c r="M2365">
        <v>2.9932E-2</v>
      </c>
      <c r="N2365">
        <v>6032.7608289999998</v>
      </c>
    </row>
    <row r="2366" spans="12:14" x14ac:dyDescent="0.55000000000000004">
      <c r="L2366">
        <v>2361</v>
      </c>
      <c r="M2366">
        <v>2.9932E-2</v>
      </c>
      <c r="N2366">
        <v>6032.7608289999998</v>
      </c>
    </row>
    <row r="2367" spans="12:14" x14ac:dyDescent="0.55000000000000004">
      <c r="L2367">
        <v>2362</v>
      </c>
      <c r="M2367">
        <v>2.9932E-2</v>
      </c>
      <c r="N2367">
        <v>6032.7608289999998</v>
      </c>
    </row>
    <row r="2368" spans="12:14" x14ac:dyDescent="0.55000000000000004">
      <c r="L2368">
        <v>2363</v>
      </c>
      <c r="M2368">
        <v>2.9932E-2</v>
      </c>
      <c r="N2368">
        <v>6032.7608289999998</v>
      </c>
    </row>
    <row r="2369" spans="12:14" x14ac:dyDescent="0.55000000000000004">
      <c r="L2369">
        <v>2364</v>
      </c>
      <c r="M2369">
        <v>2.9932E-2</v>
      </c>
      <c r="N2369">
        <v>6032.7608289999998</v>
      </c>
    </row>
    <row r="2370" spans="12:14" x14ac:dyDescent="0.55000000000000004">
      <c r="L2370">
        <v>2365</v>
      </c>
      <c r="M2370">
        <v>2.9932E-2</v>
      </c>
      <c r="N2370">
        <v>6032.7608289999998</v>
      </c>
    </row>
    <row r="2371" spans="12:14" x14ac:dyDescent="0.55000000000000004">
      <c r="L2371">
        <v>2366</v>
      </c>
      <c r="M2371">
        <v>2.9932E-2</v>
      </c>
      <c r="N2371">
        <v>6032.7608289999998</v>
      </c>
    </row>
    <row r="2372" spans="12:14" x14ac:dyDescent="0.55000000000000004">
      <c r="L2372">
        <v>2367</v>
      </c>
      <c r="M2372">
        <v>2.9932E-2</v>
      </c>
      <c r="N2372">
        <v>6032.7608289999998</v>
      </c>
    </row>
    <row r="2373" spans="12:14" x14ac:dyDescent="0.55000000000000004">
      <c r="L2373">
        <v>2368</v>
      </c>
      <c r="M2373">
        <v>2.9932E-2</v>
      </c>
      <c r="N2373">
        <v>6032.7608289999998</v>
      </c>
    </row>
    <row r="2374" spans="12:14" x14ac:dyDescent="0.55000000000000004">
      <c r="L2374">
        <v>2369</v>
      </c>
      <c r="M2374">
        <v>2.9932E-2</v>
      </c>
      <c r="N2374">
        <v>6032.7608289999998</v>
      </c>
    </row>
    <row r="2375" spans="12:14" x14ac:dyDescent="0.55000000000000004">
      <c r="L2375">
        <v>2370</v>
      </c>
      <c r="M2375">
        <v>2.9932E-2</v>
      </c>
      <c r="N2375">
        <v>6032.7608289999998</v>
      </c>
    </row>
    <row r="2376" spans="12:14" x14ac:dyDescent="0.55000000000000004">
      <c r="L2376">
        <v>2371</v>
      </c>
      <c r="M2376">
        <v>2.9932E-2</v>
      </c>
      <c r="N2376">
        <v>6032.7608289999998</v>
      </c>
    </row>
    <row r="2377" spans="12:14" x14ac:dyDescent="0.55000000000000004">
      <c r="L2377">
        <v>2372</v>
      </c>
      <c r="M2377">
        <v>2.9932E-2</v>
      </c>
      <c r="N2377">
        <v>6032.7608289999998</v>
      </c>
    </row>
    <row r="2378" spans="12:14" x14ac:dyDescent="0.55000000000000004">
      <c r="L2378">
        <v>2373</v>
      </c>
      <c r="M2378">
        <v>2.9932E-2</v>
      </c>
      <c r="N2378">
        <v>6032.7608289999998</v>
      </c>
    </row>
    <row r="2379" spans="12:14" x14ac:dyDescent="0.55000000000000004">
      <c r="L2379">
        <v>2374</v>
      </c>
      <c r="M2379">
        <v>2.9932E-2</v>
      </c>
      <c r="N2379">
        <v>6032.7608289999998</v>
      </c>
    </row>
    <row r="2380" spans="12:14" x14ac:dyDescent="0.55000000000000004">
      <c r="L2380">
        <v>2375</v>
      </c>
      <c r="M2380">
        <v>2.9932E-2</v>
      </c>
      <c r="N2380">
        <v>6032.7608289999998</v>
      </c>
    </row>
    <row r="2381" spans="12:14" x14ac:dyDescent="0.55000000000000004">
      <c r="L2381">
        <v>2376</v>
      </c>
      <c r="M2381">
        <v>2.9932E-2</v>
      </c>
      <c r="N2381">
        <v>6032.7608289999998</v>
      </c>
    </row>
    <row r="2382" spans="12:14" x14ac:dyDescent="0.55000000000000004">
      <c r="L2382">
        <v>2377</v>
      </c>
      <c r="M2382">
        <v>2.9932E-2</v>
      </c>
      <c r="N2382">
        <v>6032.7608289999998</v>
      </c>
    </row>
    <row r="2383" spans="12:14" x14ac:dyDescent="0.55000000000000004">
      <c r="L2383">
        <v>2378</v>
      </c>
      <c r="M2383">
        <v>2.9932E-2</v>
      </c>
      <c r="N2383">
        <v>6032.7608289999998</v>
      </c>
    </row>
    <row r="2384" spans="12:14" x14ac:dyDescent="0.55000000000000004">
      <c r="L2384">
        <v>2379</v>
      </c>
      <c r="M2384">
        <v>2.9932E-2</v>
      </c>
      <c r="N2384">
        <v>6032.7608289999998</v>
      </c>
    </row>
    <row r="2385" spans="12:14" x14ac:dyDescent="0.55000000000000004">
      <c r="L2385">
        <v>2380</v>
      </c>
      <c r="M2385">
        <v>2.9932E-2</v>
      </c>
      <c r="N2385">
        <v>6032.7608289999998</v>
      </c>
    </row>
    <row r="2386" spans="12:14" x14ac:dyDescent="0.55000000000000004">
      <c r="L2386">
        <v>2381</v>
      </c>
      <c r="M2386">
        <v>2.9932E-2</v>
      </c>
      <c r="N2386">
        <v>6032.7608289999998</v>
      </c>
    </row>
    <row r="2387" spans="12:14" x14ac:dyDescent="0.55000000000000004">
      <c r="L2387">
        <v>2382</v>
      </c>
      <c r="M2387">
        <v>2.9932E-2</v>
      </c>
      <c r="N2387">
        <v>6032.7608289999998</v>
      </c>
    </row>
    <row r="2388" spans="12:14" x14ac:dyDescent="0.55000000000000004">
      <c r="L2388">
        <v>2383</v>
      </c>
      <c r="M2388">
        <v>2.9932E-2</v>
      </c>
      <c r="N2388">
        <v>6032.7608289999998</v>
      </c>
    </row>
    <row r="2389" spans="12:14" x14ac:dyDescent="0.55000000000000004">
      <c r="L2389">
        <v>2384</v>
      </c>
      <c r="M2389">
        <v>2.9932E-2</v>
      </c>
      <c r="N2389">
        <v>6032.7608289999998</v>
      </c>
    </row>
    <row r="2390" spans="12:14" x14ac:dyDescent="0.55000000000000004">
      <c r="L2390">
        <v>2385</v>
      </c>
      <c r="M2390">
        <v>2.9932E-2</v>
      </c>
      <c r="N2390">
        <v>6032.7608289999998</v>
      </c>
    </row>
    <row r="2391" spans="12:14" x14ac:dyDescent="0.55000000000000004">
      <c r="L2391">
        <v>2386</v>
      </c>
      <c r="M2391">
        <v>2.9932E-2</v>
      </c>
      <c r="N2391">
        <v>6032.7608289999998</v>
      </c>
    </row>
    <row r="2392" spans="12:14" x14ac:dyDescent="0.55000000000000004">
      <c r="L2392">
        <v>2387</v>
      </c>
      <c r="M2392">
        <v>2.9932E-2</v>
      </c>
      <c r="N2392">
        <v>6032.7608289999998</v>
      </c>
    </row>
    <row r="2393" spans="12:14" x14ac:dyDescent="0.55000000000000004">
      <c r="L2393">
        <v>2388</v>
      </c>
      <c r="M2393">
        <v>2.9932E-2</v>
      </c>
      <c r="N2393">
        <v>6032.7608289999998</v>
      </c>
    </row>
    <row r="2394" spans="12:14" x14ac:dyDescent="0.55000000000000004">
      <c r="L2394">
        <v>2389</v>
      </c>
      <c r="M2394">
        <v>2.9932E-2</v>
      </c>
      <c r="N2394">
        <v>6032.7608289999998</v>
      </c>
    </row>
    <row r="2395" spans="12:14" x14ac:dyDescent="0.55000000000000004">
      <c r="L2395">
        <v>2390</v>
      </c>
      <c r="M2395">
        <v>2.9932E-2</v>
      </c>
      <c r="N2395">
        <v>6032.7608289999998</v>
      </c>
    </row>
    <row r="2396" spans="12:14" x14ac:dyDescent="0.55000000000000004">
      <c r="L2396">
        <v>2391</v>
      </c>
      <c r="M2396">
        <v>2.9932E-2</v>
      </c>
      <c r="N2396">
        <v>6032.7608289999998</v>
      </c>
    </row>
    <row r="2397" spans="12:14" x14ac:dyDescent="0.55000000000000004">
      <c r="L2397">
        <v>2392</v>
      </c>
      <c r="M2397">
        <v>2.9932E-2</v>
      </c>
      <c r="N2397">
        <v>6032.7608289999998</v>
      </c>
    </row>
    <row r="2398" spans="12:14" x14ac:dyDescent="0.55000000000000004">
      <c r="L2398">
        <v>2393</v>
      </c>
      <c r="M2398">
        <v>2.9932E-2</v>
      </c>
      <c r="N2398">
        <v>6032.7608289999998</v>
      </c>
    </row>
    <row r="2399" spans="12:14" x14ac:dyDescent="0.55000000000000004">
      <c r="L2399">
        <v>2394</v>
      </c>
      <c r="M2399">
        <v>2.9932E-2</v>
      </c>
      <c r="N2399">
        <v>6032.7608289999998</v>
      </c>
    </row>
    <row r="2400" spans="12:14" x14ac:dyDescent="0.55000000000000004">
      <c r="L2400">
        <v>2395</v>
      </c>
      <c r="M2400">
        <v>2.9932E-2</v>
      </c>
      <c r="N2400">
        <v>6032.7608289999998</v>
      </c>
    </row>
    <row r="2401" spans="12:14" x14ac:dyDescent="0.55000000000000004">
      <c r="L2401">
        <v>2396</v>
      </c>
      <c r="M2401">
        <v>2.9932E-2</v>
      </c>
      <c r="N2401">
        <v>6032.7608289999998</v>
      </c>
    </row>
    <row r="2402" spans="12:14" x14ac:dyDescent="0.55000000000000004">
      <c r="L2402">
        <v>2397</v>
      </c>
      <c r="M2402">
        <v>2.9932E-2</v>
      </c>
      <c r="N2402">
        <v>6032.7608289999998</v>
      </c>
    </row>
    <row r="2403" spans="12:14" x14ac:dyDescent="0.55000000000000004">
      <c r="L2403">
        <v>2398</v>
      </c>
      <c r="M2403">
        <v>2.9932E-2</v>
      </c>
      <c r="N2403">
        <v>6032.7608289999998</v>
      </c>
    </row>
    <row r="2404" spans="12:14" x14ac:dyDescent="0.55000000000000004">
      <c r="L2404">
        <v>2399</v>
      </c>
      <c r="M2404">
        <v>2.9932E-2</v>
      </c>
      <c r="N2404">
        <v>6032.7608289999998</v>
      </c>
    </row>
    <row r="2405" spans="12:14" x14ac:dyDescent="0.55000000000000004">
      <c r="L2405">
        <v>2400</v>
      </c>
      <c r="M2405">
        <v>2.9932E-2</v>
      </c>
      <c r="N2405">
        <v>6032.7608289999998</v>
      </c>
    </row>
    <row r="2406" spans="12:14" x14ac:dyDescent="0.55000000000000004">
      <c r="L2406">
        <v>2401</v>
      </c>
      <c r="M2406">
        <v>2.9932E-2</v>
      </c>
      <c r="N2406">
        <v>6032.7608289999998</v>
      </c>
    </row>
    <row r="2407" spans="12:14" x14ac:dyDescent="0.55000000000000004">
      <c r="L2407">
        <v>2402</v>
      </c>
      <c r="M2407">
        <v>2.9932E-2</v>
      </c>
      <c r="N2407">
        <v>6032.7608289999998</v>
      </c>
    </row>
    <row r="2408" spans="12:14" x14ac:dyDescent="0.55000000000000004">
      <c r="L2408">
        <v>2403</v>
      </c>
      <c r="M2408">
        <v>2.9932E-2</v>
      </c>
      <c r="N2408">
        <v>6032.7608289999998</v>
      </c>
    </row>
    <row r="2409" spans="12:14" x14ac:dyDescent="0.55000000000000004">
      <c r="L2409">
        <v>2404</v>
      </c>
      <c r="M2409">
        <v>2.9932E-2</v>
      </c>
      <c r="N2409">
        <v>6032.7608289999998</v>
      </c>
    </row>
    <row r="2410" spans="12:14" x14ac:dyDescent="0.55000000000000004">
      <c r="L2410">
        <v>2405</v>
      </c>
      <c r="M2410">
        <v>2.9932E-2</v>
      </c>
      <c r="N2410">
        <v>6032.7608289999998</v>
      </c>
    </row>
    <row r="2411" spans="12:14" x14ac:dyDescent="0.55000000000000004">
      <c r="L2411">
        <v>2406</v>
      </c>
      <c r="M2411">
        <v>2.9932E-2</v>
      </c>
      <c r="N2411">
        <v>6032.7608289999998</v>
      </c>
    </row>
    <row r="2412" spans="12:14" x14ac:dyDescent="0.55000000000000004">
      <c r="L2412">
        <v>2407</v>
      </c>
      <c r="M2412">
        <v>2.9932E-2</v>
      </c>
      <c r="N2412">
        <v>6032.7608289999998</v>
      </c>
    </row>
    <row r="2413" spans="12:14" x14ac:dyDescent="0.55000000000000004">
      <c r="L2413">
        <v>2408</v>
      </c>
      <c r="M2413">
        <v>2.9932E-2</v>
      </c>
      <c r="N2413">
        <v>6032.7608289999998</v>
      </c>
    </row>
    <row r="2414" spans="12:14" x14ac:dyDescent="0.55000000000000004">
      <c r="L2414">
        <v>2409</v>
      </c>
      <c r="M2414">
        <v>2.9932E-2</v>
      </c>
      <c r="N2414">
        <v>6032.7608289999998</v>
      </c>
    </row>
    <row r="2415" spans="12:14" x14ac:dyDescent="0.55000000000000004">
      <c r="L2415">
        <v>2410</v>
      </c>
      <c r="M2415">
        <v>2.9932E-2</v>
      </c>
      <c r="N2415">
        <v>6032.7608289999998</v>
      </c>
    </row>
    <row r="2416" spans="12:14" x14ac:dyDescent="0.55000000000000004">
      <c r="L2416">
        <v>2411</v>
      </c>
      <c r="M2416">
        <v>2.9932E-2</v>
      </c>
      <c r="N2416">
        <v>6032.7608289999998</v>
      </c>
    </row>
    <row r="2417" spans="12:14" x14ac:dyDescent="0.55000000000000004">
      <c r="L2417">
        <v>2412</v>
      </c>
      <c r="M2417">
        <v>2.9932E-2</v>
      </c>
      <c r="N2417">
        <v>6032.7608289999998</v>
      </c>
    </row>
    <row r="2418" spans="12:14" x14ac:dyDescent="0.55000000000000004">
      <c r="L2418">
        <v>2413</v>
      </c>
      <c r="M2418">
        <v>2.9932E-2</v>
      </c>
      <c r="N2418">
        <v>6032.7608289999998</v>
      </c>
    </row>
    <row r="2419" spans="12:14" x14ac:dyDescent="0.55000000000000004">
      <c r="L2419">
        <v>2414</v>
      </c>
      <c r="M2419">
        <v>2.9932E-2</v>
      </c>
      <c r="N2419">
        <v>6032.7608289999998</v>
      </c>
    </row>
    <row r="2420" spans="12:14" x14ac:dyDescent="0.55000000000000004">
      <c r="L2420">
        <v>2415</v>
      </c>
      <c r="M2420">
        <v>2.9932E-2</v>
      </c>
      <c r="N2420">
        <v>6032.7608289999998</v>
      </c>
    </row>
    <row r="2421" spans="12:14" x14ac:dyDescent="0.55000000000000004">
      <c r="L2421">
        <v>2416</v>
      </c>
      <c r="M2421">
        <v>2.9932E-2</v>
      </c>
      <c r="N2421">
        <v>6032.7608289999998</v>
      </c>
    </row>
    <row r="2422" spans="12:14" x14ac:dyDescent="0.55000000000000004">
      <c r="L2422">
        <v>2417</v>
      </c>
      <c r="M2422">
        <v>2.9932E-2</v>
      </c>
      <c r="N2422">
        <v>6032.7608289999998</v>
      </c>
    </row>
    <row r="2423" spans="12:14" x14ac:dyDescent="0.55000000000000004">
      <c r="L2423">
        <v>2418</v>
      </c>
      <c r="M2423">
        <v>2.9932E-2</v>
      </c>
      <c r="N2423">
        <v>6032.7608289999998</v>
      </c>
    </row>
    <row r="2424" spans="12:14" x14ac:dyDescent="0.55000000000000004">
      <c r="L2424">
        <v>2419</v>
      </c>
      <c r="M2424">
        <v>2.9932E-2</v>
      </c>
      <c r="N2424">
        <v>6032.7608289999998</v>
      </c>
    </row>
    <row r="2425" spans="12:14" x14ac:dyDescent="0.55000000000000004">
      <c r="L2425">
        <v>2420</v>
      </c>
      <c r="M2425">
        <v>2.9932E-2</v>
      </c>
      <c r="N2425">
        <v>6032.7608289999998</v>
      </c>
    </row>
    <row r="2426" spans="12:14" x14ac:dyDescent="0.55000000000000004">
      <c r="L2426">
        <v>2421</v>
      </c>
      <c r="M2426">
        <v>2.9932E-2</v>
      </c>
      <c r="N2426">
        <v>6032.7608289999998</v>
      </c>
    </row>
    <row r="2427" spans="12:14" x14ac:dyDescent="0.55000000000000004">
      <c r="L2427">
        <v>2422</v>
      </c>
      <c r="M2427">
        <v>2.9932E-2</v>
      </c>
      <c r="N2427">
        <v>6032.7608289999998</v>
      </c>
    </row>
    <row r="2428" spans="12:14" x14ac:dyDescent="0.55000000000000004">
      <c r="L2428">
        <v>2423</v>
      </c>
      <c r="M2428">
        <v>2.9932E-2</v>
      </c>
      <c r="N2428">
        <v>6032.7608289999998</v>
      </c>
    </row>
    <row r="2429" spans="12:14" x14ac:dyDescent="0.55000000000000004">
      <c r="L2429">
        <v>2424</v>
      </c>
      <c r="M2429">
        <v>2.9932E-2</v>
      </c>
      <c r="N2429">
        <v>6032.7608289999998</v>
      </c>
    </row>
    <row r="2430" spans="12:14" x14ac:dyDescent="0.55000000000000004">
      <c r="L2430">
        <v>2425</v>
      </c>
      <c r="M2430">
        <v>2.9932E-2</v>
      </c>
      <c r="N2430">
        <v>6032.7608289999998</v>
      </c>
    </row>
    <row r="2431" spans="12:14" x14ac:dyDescent="0.55000000000000004">
      <c r="L2431">
        <v>2426</v>
      </c>
      <c r="M2431">
        <v>2.9932E-2</v>
      </c>
      <c r="N2431">
        <v>6032.7608289999998</v>
      </c>
    </row>
    <row r="2432" spans="12:14" x14ac:dyDescent="0.55000000000000004">
      <c r="L2432">
        <v>2427</v>
      </c>
      <c r="M2432">
        <v>2.9932E-2</v>
      </c>
      <c r="N2432">
        <v>6032.7608289999998</v>
      </c>
    </row>
    <row r="2433" spans="12:14" x14ac:dyDescent="0.55000000000000004">
      <c r="L2433">
        <v>2428</v>
      </c>
      <c r="M2433">
        <v>2.9932E-2</v>
      </c>
      <c r="N2433">
        <v>6032.7608289999998</v>
      </c>
    </row>
    <row r="2434" spans="12:14" x14ac:dyDescent="0.55000000000000004">
      <c r="L2434">
        <v>2429</v>
      </c>
      <c r="M2434">
        <v>2.9932E-2</v>
      </c>
      <c r="N2434">
        <v>6032.7608289999998</v>
      </c>
    </row>
    <row r="2435" spans="12:14" x14ac:dyDescent="0.55000000000000004">
      <c r="L2435">
        <v>2430</v>
      </c>
      <c r="M2435">
        <v>2.9932E-2</v>
      </c>
      <c r="N2435">
        <v>6032.7608289999998</v>
      </c>
    </row>
    <row r="2436" spans="12:14" x14ac:dyDescent="0.55000000000000004">
      <c r="L2436">
        <v>2431</v>
      </c>
      <c r="M2436">
        <v>2.9932E-2</v>
      </c>
      <c r="N2436">
        <v>6032.7608289999998</v>
      </c>
    </row>
    <row r="2437" spans="12:14" x14ac:dyDescent="0.55000000000000004">
      <c r="L2437">
        <v>2432</v>
      </c>
      <c r="M2437">
        <v>2.9932E-2</v>
      </c>
      <c r="N2437">
        <v>6032.7608289999998</v>
      </c>
    </row>
    <row r="2438" spans="12:14" x14ac:dyDescent="0.55000000000000004">
      <c r="L2438">
        <v>2433</v>
      </c>
      <c r="M2438">
        <v>2.9932E-2</v>
      </c>
      <c r="N2438">
        <v>6032.7608289999998</v>
      </c>
    </row>
    <row r="2439" spans="12:14" x14ac:dyDescent="0.55000000000000004">
      <c r="L2439">
        <v>2434</v>
      </c>
      <c r="M2439">
        <v>2.9932E-2</v>
      </c>
      <c r="N2439">
        <v>6032.7608289999998</v>
      </c>
    </row>
    <row r="2440" spans="12:14" x14ac:dyDescent="0.55000000000000004">
      <c r="L2440">
        <v>2435</v>
      </c>
      <c r="M2440">
        <v>2.9932E-2</v>
      </c>
      <c r="N2440">
        <v>6032.7608289999998</v>
      </c>
    </row>
    <row r="2441" spans="12:14" x14ac:dyDescent="0.55000000000000004">
      <c r="L2441">
        <v>2436</v>
      </c>
      <c r="M2441">
        <v>2.9932E-2</v>
      </c>
      <c r="N2441">
        <v>6032.7608289999998</v>
      </c>
    </row>
    <row r="2442" spans="12:14" x14ac:dyDescent="0.55000000000000004">
      <c r="L2442">
        <v>2437</v>
      </c>
      <c r="M2442">
        <v>2.9932E-2</v>
      </c>
      <c r="N2442">
        <v>6032.7608289999998</v>
      </c>
    </row>
    <row r="2443" spans="12:14" x14ac:dyDescent="0.55000000000000004">
      <c r="L2443">
        <v>2438</v>
      </c>
      <c r="M2443">
        <v>2.9932E-2</v>
      </c>
      <c r="N2443">
        <v>6032.7608289999998</v>
      </c>
    </row>
    <row r="2444" spans="12:14" x14ac:dyDescent="0.55000000000000004">
      <c r="L2444">
        <v>2439</v>
      </c>
      <c r="M2444">
        <v>2.9932E-2</v>
      </c>
      <c r="N2444">
        <v>6032.7608289999998</v>
      </c>
    </row>
    <row r="2445" spans="12:14" x14ac:dyDescent="0.55000000000000004">
      <c r="L2445">
        <v>2440</v>
      </c>
      <c r="M2445">
        <v>2.9932E-2</v>
      </c>
      <c r="N2445">
        <v>6032.7608289999998</v>
      </c>
    </row>
    <row r="2446" spans="12:14" x14ac:dyDescent="0.55000000000000004">
      <c r="L2446">
        <v>2441</v>
      </c>
      <c r="M2446">
        <v>2.9932E-2</v>
      </c>
      <c r="N2446">
        <v>6032.7608289999998</v>
      </c>
    </row>
    <row r="2447" spans="12:14" x14ac:dyDescent="0.55000000000000004">
      <c r="L2447">
        <v>2442</v>
      </c>
      <c r="M2447">
        <v>2.9932E-2</v>
      </c>
      <c r="N2447">
        <v>6032.7608289999998</v>
      </c>
    </row>
    <row r="2448" spans="12:14" x14ac:dyDescent="0.55000000000000004">
      <c r="L2448">
        <v>2443</v>
      </c>
      <c r="M2448">
        <v>2.9932E-2</v>
      </c>
      <c r="N2448">
        <v>6032.7608289999998</v>
      </c>
    </row>
    <row r="2449" spans="12:14" x14ac:dyDescent="0.55000000000000004">
      <c r="L2449">
        <v>2444</v>
      </c>
      <c r="M2449">
        <v>2.9932E-2</v>
      </c>
      <c r="N2449">
        <v>6032.7608289999998</v>
      </c>
    </row>
    <row r="2450" spans="12:14" x14ac:dyDescent="0.55000000000000004">
      <c r="L2450">
        <v>2445</v>
      </c>
      <c r="M2450">
        <v>2.9932E-2</v>
      </c>
      <c r="N2450">
        <v>6032.7608289999998</v>
      </c>
    </row>
    <row r="2451" spans="12:14" x14ac:dyDescent="0.55000000000000004">
      <c r="L2451">
        <v>2446</v>
      </c>
      <c r="M2451">
        <v>2.9932E-2</v>
      </c>
      <c r="N2451">
        <v>6032.7608289999998</v>
      </c>
    </row>
    <row r="2452" spans="12:14" x14ac:dyDescent="0.55000000000000004">
      <c r="L2452">
        <v>2447</v>
      </c>
      <c r="M2452">
        <v>2.9932E-2</v>
      </c>
      <c r="N2452">
        <v>6032.7608289999998</v>
      </c>
    </row>
    <row r="2453" spans="12:14" x14ac:dyDescent="0.55000000000000004">
      <c r="L2453">
        <v>2448</v>
      </c>
      <c r="M2453">
        <v>2.9932E-2</v>
      </c>
      <c r="N2453">
        <v>6032.7608289999998</v>
      </c>
    </row>
    <row r="2454" spans="12:14" x14ac:dyDescent="0.55000000000000004">
      <c r="L2454">
        <v>2449</v>
      </c>
      <c r="M2454">
        <v>2.9932E-2</v>
      </c>
      <c r="N2454">
        <v>6032.7608289999998</v>
      </c>
    </row>
    <row r="2455" spans="12:14" x14ac:dyDescent="0.55000000000000004">
      <c r="L2455">
        <v>2450</v>
      </c>
      <c r="M2455">
        <v>2.9932E-2</v>
      </c>
      <c r="N2455">
        <v>6032.7608289999998</v>
      </c>
    </row>
    <row r="2456" spans="12:14" x14ac:dyDescent="0.55000000000000004">
      <c r="L2456">
        <v>2451</v>
      </c>
      <c r="M2456">
        <v>2.9932E-2</v>
      </c>
      <c r="N2456">
        <v>6032.7608289999998</v>
      </c>
    </row>
    <row r="2457" spans="12:14" x14ac:dyDescent="0.55000000000000004">
      <c r="L2457">
        <v>2452</v>
      </c>
      <c r="M2457">
        <v>2.9932E-2</v>
      </c>
      <c r="N2457">
        <v>6032.7608289999998</v>
      </c>
    </row>
    <row r="2458" spans="12:14" x14ac:dyDescent="0.55000000000000004">
      <c r="L2458">
        <v>2453</v>
      </c>
      <c r="M2458">
        <v>2.9932E-2</v>
      </c>
      <c r="N2458">
        <v>6032.7608289999998</v>
      </c>
    </row>
    <row r="2459" spans="12:14" x14ac:dyDescent="0.55000000000000004">
      <c r="L2459">
        <v>2454</v>
      </c>
      <c r="M2459">
        <v>2.9932E-2</v>
      </c>
      <c r="N2459">
        <v>6032.7608289999998</v>
      </c>
    </row>
    <row r="2460" spans="12:14" x14ac:dyDescent="0.55000000000000004">
      <c r="L2460">
        <v>2455</v>
      </c>
      <c r="M2460">
        <v>2.9932E-2</v>
      </c>
      <c r="N2460">
        <v>6032.7608289999998</v>
      </c>
    </row>
    <row r="2461" spans="12:14" x14ac:dyDescent="0.55000000000000004">
      <c r="L2461">
        <v>2456</v>
      </c>
      <c r="M2461">
        <v>2.9932E-2</v>
      </c>
      <c r="N2461">
        <v>6032.7608289999998</v>
      </c>
    </row>
    <row r="2462" spans="12:14" x14ac:dyDescent="0.55000000000000004">
      <c r="L2462">
        <v>2457</v>
      </c>
      <c r="M2462">
        <v>2.9932E-2</v>
      </c>
      <c r="N2462">
        <v>6032.7608289999998</v>
      </c>
    </row>
    <row r="2463" spans="12:14" x14ac:dyDescent="0.55000000000000004">
      <c r="L2463">
        <v>2458</v>
      </c>
      <c r="M2463">
        <v>2.9932E-2</v>
      </c>
      <c r="N2463">
        <v>6032.7608289999998</v>
      </c>
    </row>
    <row r="2464" spans="12:14" x14ac:dyDescent="0.55000000000000004">
      <c r="L2464">
        <v>2459</v>
      </c>
      <c r="M2464">
        <v>2.9932E-2</v>
      </c>
      <c r="N2464">
        <v>6032.7608289999998</v>
      </c>
    </row>
    <row r="2465" spans="12:14" x14ac:dyDescent="0.55000000000000004">
      <c r="L2465">
        <v>2460</v>
      </c>
      <c r="M2465">
        <v>2.9932E-2</v>
      </c>
      <c r="N2465">
        <v>6032.7608289999998</v>
      </c>
    </row>
    <row r="2466" spans="12:14" x14ac:dyDescent="0.55000000000000004">
      <c r="L2466">
        <v>2461</v>
      </c>
      <c r="M2466">
        <v>2.9932E-2</v>
      </c>
      <c r="N2466">
        <v>6032.7608289999998</v>
      </c>
    </row>
    <row r="2467" spans="12:14" x14ac:dyDescent="0.55000000000000004">
      <c r="L2467">
        <v>2462</v>
      </c>
      <c r="M2467">
        <v>2.9932E-2</v>
      </c>
      <c r="N2467">
        <v>6032.7608289999998</v>
      </c>
    </row>
    <row r="2468" spans="12:14" x14ac:dyDescent="0.55000000000000004">
      <c r="L2468">
        <v>2463</v>
      </c>
      <c r="M2468">
        <v>2.9932E-2</v>
      </c>
      <c r="N2468">
        <v>6032.7608289999998</v>
      </c>
    </row>
    <row r="2469" spans="12:14" x14ac:dyDescent="0.55000000000000004">
      <c r="L2469">
        <v>2464</v>
      </c>
      <c r="M2469">
        <v>2.9932E-2</v>
      </c>
      <c r="N2469">
        <v>6032.7608289999998</v>
      </c>
    </row>
    <row r="2470" spans="12:14" x14ac:dyDescent="0.55000000000000004">
      <c r="L2470">
        <v>2465</v>
      </c>
      <c r="M2470">
        <v>2.9932E-2</v>
      </c>
      <c r="N2470">
        <v>6032.7608289999998</v>
      </c>
    </row>
    <row r="2471" spans="12:14" x14ac:dyDescent="0.55000000000000004">
      <c r="L2471">
        <v>2466</v>
      </c>
      <c r="M2471">
        <v>2.9932E-2</v>
      </c>
      <c r="N2471">
        <v>6032.7608289999998</v>
      </c>
    </row>
    <row r="2472" spans="12:14" x14ac:dyDescent="0.55000000000000004">
      <c r="L2472">
        <v>2467</v>
      </c>
      <c r="M2472">
        <v>2.9932E-2</v>
      </c>
      <c r="N2472">
        <v>6032.7608289999998</v>
      </c>
    </row>
    <row r="2473" spans="12:14" x14ac:dyDescent="0.55000000000000004">
      <c r="L2473">
        <v>2468</v>
      </c>
      <c r="M2473">
        <v>2.9932E-2</v>
      </c>
      <c r="N2473">
        <v>6032.7608289999998</v>
      </c>
    </row>
    <row r="2474" spans="12:14" x14ac:dyDescent="0.55000000000000004">
      <c r="L2474">
        <v>2469</v>
      </c>
      <c r="M2474">
        <v>2.9932E-2</v>
      </c>
      <c r="N2474">
        <v>6032.7608289999998</v>
      </c>
    </row>
    <row r="2475" spans="12:14" x14ac:dyDescent="0.55000000000000004">
      <c r="L2475">
        <v>2470</v>
      </c>
      <c r="M2475">
        <v>2.9932E-2</v>
      </c>
      <c r="N2475">
        <v>6032.7608289999998</v>
      </c>
    </row>
    <row r="2476" spans="12:14" x14ac:dyDescent="0.55000000000000004">
      <c r="L2476">
        <v>2471</v>
      </c>
      <c r="M2476">
        <v>2.9932E-2</v>
      </c>
      <c r="N2476">
        <v>6032.7608289999998</v>
      </c>
    </row>
    <row r="2477" spans="12:14" x14ac:dyDescent="0.55000000000000004">
      <c r="L2477">
        <v>2472</v>
      </c>
      <c r="M2477">
        <v>2.9932E-2</v>
      </c>
      <c r="N2477">
        <v>6032.7608289999998</v>
      </c>
    </row>
    <row r="2478" spans="12:14" x14ac:dyDescent="0.55000000000000004">
      <c r="L2478">
        <v>2473</v>
      </c>
      <c r="M2478">
        <v>2.9932E-2</v>
      </c>
      <c r="N2478">
        <v>6032.7608289999998</v>
      </c>
    </row>
    <row r="2479" spans="12:14" x14ac:dyDescent="0.55000000000000004">
      <c r="L2479">
        <v>2474</v>
      </c>
      <c r="M2479">
        <v>2.9932E-2</v>
      </c>
      <c r="N2479">
        <v>6032.7608289999998</v>
      </c>
    </row>
    <row r="2480" spans="12:14" x14ac:dyDescent="0.55000000000000004">
      <c r="L2480">
        <v>2475</v>
      </c>
      <c r="M2480">
        <v>2.9932E-2</v>
      </c>
      <c r="N2480">
        <v>6032.7608289999998</v>
      </c>
    </row>
    <row r="2481" spans="12:14" x14ac:dyDescent="0.55000000000000004">
      <c r="L2481">
        <v>2476</v>
      </c>
      <c r="M2481">
        <v>2.9932E-2</v>
      </c>
      <c r="N2481">
        <v>6032.7608289999998</v>
      </c>
    </row>
    <row r="2482" spans="12:14" x14ac:dyDescent="0.55000000000000004">
      <c r="L2482">
        <v>2477</v>
      </c>
      <c r="M2482">
        <v>2.9932E-2</v>
      </c>
      <c r="N2482">
        <v>6032.7608289999998</v>
      </c>
    </row>
    <row r="2483" spans="12:14" x14ac:dyDescent="0.55000000000000004">
      <c r="L2483">
        <v>2478</v>
      </c>
      <c r="M2483">
        <v>2.9932E-2</v>
      </c>
      <c r="N2483">
        <v>6032.7608289999998</v>
      </c>
    </row>
    <row r="2484" spans="12:14" x14ac:dyDescent="0.55000000000000004">
      <c r="L2484">
        <v>2479</v>
      </c>
      <c r="M2484">
        <v>2.9932E-2</v>
      </c>
      <c r="N2484">
        <v>6032.7608289999998</v>
      </c>
    </row>
    <row r="2485" spans="12:14" x14ac:dyDescent="0.55000000000000004">
      <c r="L2485">
        <v>2480</v>
      </c>
      <c r="M2485">
        <v>2.9932E-2</v>
      </c>
      <c r="N2485">
        <v>6032.7608289999998</v>
      </c>
    </row>
    <row r="2486" spans="12:14" x14ac:dyDescent="0.55000000000000004">
      <c r="L2486">
        <v>2481</v>
      </c>
      <c r="M2486">
        <v>2.9932E-2</v>
      </c>
      <c r="N2486">
        <v>6032.7608289999998</v>
      </c>
    </row>
    <row r="2487" spans="12:14" x14ac:dyDescent="0.55000000000000004">
      <c r="L2487">
        <v>2482</v>
      </c>
      <c r="M2487">
        <v>2.9932E-2</v>
      </c>
      <c r="N2487">
        <v>6032.7608289999998</v>
      </c>
    </row>
    <row r="2488" spans="12:14" x14ac:dyDescent="0.55000000000000004">
      <c r="L2488">
        <v>2483</v>
      </c>
      <c r="M2488">
        <v>2.9932E-2</v>
      </c>
      <c r="N2488">
        <v>6032.7608289999998</v>
      </c>
    </row>
    <row r="2489" spans="12:14" x14ac:dyDescent="0.55000000000000004">
      <c r="L2489">
        <v>2484</v>
      </c>
      <c r="M2489">
        <v>2.9932E-2</v>
      </c>
      <c r="N2489">
        <v>6032.7608289999998</v>
      </c>
    </row>
    <row r="2490" spans="12:14" x14ac:dyDescent="0.55000000000000004">
      <c r="L2490">
        <v>2485</v>
      </c>
      <c r="M2490">
        <v>2.9932E-2</v>
      </c>
      <c r="N2490">
        <v>6032.7608289999998</v>
      </c>
    </row>
    <row r="2491" spans="12:14" x14ac:dyDescent="0.55000000000000004">
      <c r="L2491">
        <v>2486</v>
      </c>
      <c r="M2491">
        <v>2.9932E-2</v>
      </c>
      <c r="N2491">
        <v>6032.7608289999998</v>
      </c>
    </row>
    <row r="2492" spans="12:14" x14ac:dyDescent="0.55000000000000004">
      <c r="L2492">
        <v>2487</v>
      </c>
      <c r="M2492">
        <v>2.9932E-2</v>
      </c>
      <c r="N2492">
        <v>6032.7608289999998</v>
      </c>
    </row>
    <row r="2493" spans="12:14" x14ac:dyDescent="0.55000000000000004">
      <c r="L2493">
        <v>2488</v>
      </c>
      <c r="M2493">
        <v>2.9932E-2</v>
      </c>
      <c r="N2493">
        <v>6032.7608289999998</v>
      </c>
    </row>
    <row r="2494" spans="12:14" x14ac:dyDescent="0.55000000000000004">
      <c r="L2494">
        <v>2489</v>
      </c>
      <c r="M2494">
        <v>2.9932E-2</v>
      </c>
      <c r="N2494">
        <v>6032.7608289999998</v>
      </c>
    </row>
    <row r="2495" spans="12:14" x14ac:dyDescent="0.55000000000000004">
      <c r="L2495">
        <v>2490</v>
      </c>
      <c r="M2495">
        <v>2.9932E-2</v>
      </c>
      <c r="N2495">
        <v>6032.7608289999998</v>
      </c>
    </row>
    <row r="2496" spans="12:14" x14ac:dyDescent="0.55000000000000004">
      <c r="L2496">
        <v>2491</v>
      </c>
      <c r="M2496">
        <v>2.9932E-2</v>
      </c>
      <c r="N2496">
        <v>6032.7608289999998</v>
      </c>
    </row>
    <row r="2497" spans="12:14" x14ac:dyDescent="0.55000000000000004">
      <c r="L2497">
        <v>2492</v>
      </c>
      <c r="M2497">
        <v>2.9932E-2</v>
      </c>
      <c r="N2497">
        <v>6032.7608289999998</v>
      </c>
    </row>
    <row r="2498" spans="12:14" x14ac:dyDescent="0.55000000000000004">
      <c r="L2498">
        <v>2493</v>
      </c>
      <c r="M2498">
        <v>2.9932E-2</v>
      </c>
      <c r="N2498">
        <v>6032.7608289999998</v>
      </c>
    </row>
    <row r="2499" spans="12:14" x14ac:dyDescent="0.55000000000000004">
      <c r="L2499">
        <v>2494</v>
      </c>
      <c r="M2499">
        <v>2.9932E-2</v>
      </c>
      <c r="N2499">
        <v>6032.7608289999998</v>
      </c>
    </row>
    <row r="2500" spans="12:14" x14ac:dyDescent="0.55000000000000004">
      <c r="L2500">
        <v>2495</v>
      </c>
      <c r="M2500">
        <v>2.9932E-2</v>
      </c>
      <c r="N2500">
        <v>6032.7608289999998</v>
      </c>
    </row>
    <row r="2501" spans="12:14" x14ac:dyDescent="0.55000000000000004">
      <c r="L2501">
        <v>2496</v>
      </c>
      <c r="M2501">
        <v>2.9932E-2</v>
      </c>
      <c r="N2501">
        <v>6032.7608289999998</v>
      </c>
    </row>
    <row r="2502" spans="12:14" x14ac:dyDescent="0.55000000000000004">
      <c r="L2502">
        <v>2497</v>
      </c>
      <c r="M2502">
        <v>2.9932E-2</v>
      </c>
      <c r="N2502">
        <v>6032.7608289999998</v>
      </c>
    </row>
    <row r="2503" spans="12:14" x14ac:dyDescent="0.55000000000000004">
      <c r="L2503">
        <v>2498</v>
      </c>
      <c r="M2503">
        <v>2.9932E-2</v>
      </c>
      <c r="N2503">
        <v>6032.7608289999998</v>
      </c>
    </row>
    <row r="2504" spans="12:14" x14ac:dyDescent="0.55000000000000004">
      <c r="L2504">
        <v>2499</v>
      </c>
      <c r="M2504">
        <v>2.9932E-2</v>
      </c>
      <c r="N2504">
        <v>6032.7608289999998</v>
      </c>
    </row>
    <row r="2505" spans="12:14" x14ac:dyDescent="0.55000000000000004">
      <c r="L2505">
        <v>2500</v>
      </c>
      <c r="M2505">
        <v>2.9932E-2</v>
      </c>
      <c r="N2505">
        <v>6032.7608289999998</v>
      </c>
    </row>
    <row r="2506" spans="12:14" x14ac:dyDescent="0.55000000000000004">
      <c r="L2506">
        <v>2501</v>
      </c>
      <c r="M2506">
        <v>2.9932E-2</v>
      </c>
      <c r="N2506">
        <v>6032.7608289999998</v>
      </c>
    </row>
    <row r="2507" spans="12:14" x14ac:dyDescent="0.55000000000000004">
      <c r="L2507">
        <v>2502</v>
      </c>
      <c r="M2507">
        <v>2.9932E-2</v>
      </c>
      <c r="N2507">
        <v>6032.7608289999998</v>
      </c>
    </row>
    <row r="2508" spans="12:14" x14ac:dyDescent="0.55000000000000004">
      <c r="L2508">
        <v>2503</v>
      </c>
      <c r="M2508">
        <v>2.9932E-2</v>
      </c>
      <c r="N2508">
        <v>6032.7608289999998</v>
      </c>
    </row>
    <row r="2509" spans="12:14" x14ac:dyDescent="0.55000000000000004">
      <c r="L2509">
        <v>2504</v>
      </c>
      <c r="M2509">
        <v>2.9932E-2</v>
      </c>
      <c r="N2509">
        <v>6032.7608289999998</v>
      </c>
    </row>
    <row r="2510" spans="12:14" x14ac:dyDescent="0.55000000000000004">
      <c r="L2510">
        <v>2505</v>
      </c>
      <c r="M2510">
        <v>2.9932E-2</v>
      </c>
      <c r="N2510">
        <v>6032.7608289999998</v>
      </c>
    </row>
    <row r="2511" spans="12:14" x14ac:dyDescent="0.55000000000000004">
      <c r="L2511">
        <v>2506</v>
      </c>
      <c r="M2511">
        <v>2.9932E-2</v>
      </c>
      <c r="N2511">
        <v>6032.7608289999998</v>
      </c>
    </row>
    <row r="2512" spans="12:14" x14ac:dyDescent="0.55000000000000004">
      <c r="L2512">
        <v>2507</v>
      </c>
      <c r="M2512">
        <v>2.9932E-2</v>
      </c>
      <c r="N2512">
        <v>6032.7608289999998</v>
      </c>
    </row>
    <row r="2513" spans="12:14" x14ac:dyDescent="0.55000000000000004">
      <c r="L2513">
        <v>2508</v>
      </c>
      <c r="M2513">
        <v>2.9932E-2</v>
      </c>
      <c r="N2513">
        <v>6032.7608289999998</v>
      </c>
    </row>
    <row r="2514" spans="12:14" x14ac:dyDescent="0.55000000000000004">
      <c r="L2514">
        <v>2509</v>
      </c>
      <c r="M2514">
        <v>2.9932E-2</v>
      </c>
      <c r="N2514">
        <v>6032.7608289999998</v>
      </c>
    </row>
    <row r="2515" spans="12:14" x14ac:dyDescent="0.55000000000000004">
      <c r="L2515">
        <v>2510</v>
      </c>
      <c r="M2515">
        <v>2.9932E-2</v>
      </c>
      <c r="N2515">
        <v>6032.7608289999998</v>
      </c>
    </row>
    <row r="2516" spans="12:14" x14ac:dyDescent="0.55000000000000004">
      <c r="L2516">
        <v>2511</v>
      </c>
      <c r="M2516">
        <v>2.9932E-2</v>
      </c>
      <c r="N2516">
        <v>6032.7608289999998</v>
      </c>
    </row>
    <row r="2517" spans="12:14" x14ac:dyDescent="0.55000000000000004">
      <c r="L2517">
        <v>2512</v>
      </c>
      <c r="M2517">
        <v>2.9932E-2</v>
      </c>
      <c r="N2517">
        <v>6032.7608289999998</v>
      </c>
    </row>
    <row r="2518" spans="12:14" x14ac:dyDescent="0.55000000000000004">
      <c r="L2518">
        <v>2513</v>
      </c>
      <c r="M2518">
        <v>2.9932E-2</v>
      </c>
      <c r="N2518">
        <v>6032.7608289999998</v>
      </c>
    </row>
    <row r="2519" spans="12:14" x14ac:dyDescent="0.55000000000000004">
      <c r="L2519">
        <v>2514</v>
      </c>
      <c r="M2519">
        <v>2.9932E-2</v>
      </c>
      <c r="N2519">
        <v>6032.7608289999998</v>
      </c>
    </row>
    <row r="2520" spans="12:14" x14ac:dyDescent="0.55000000000000004">
      <c r="L2520">
        <v>2515</v>
      </c>
      <c r="M2520">
        <v>2.9932E-2</v>
      </c>
      <c r="N2520">
        <v>6032.7608289999998</v>
      </c>
    </row>
    <row r="2521" spans="12:14" x14ac:dyDescent="0.55000000000000004">
      <c r="L2521">
        <v>2516</v>
      </c>
      <c r="M2521">
        <v>2.9932E-2</v>
      </c>
      <c r="N2521">
        <v>6032.7608289999998</v>
      </c>
    </row>
    <row r="2522" spans="12:14" x14ac:dyDescent="0.55000000000000004">
      <c r="L2522">
        <v>2517</v>
      </c>
      <c r="M2522">
        <v>2.9932E-2</v>
      </c>
      <c r="N2522">
        <v>6032.7608289999998</v>
      </c>
    </row>
    <row r="2523" spans="12:14" x14ac:dyDescent="0.55000000000000004">
      <c r="L2523">
        <v>2518</v>
      </c>
      <c r="M2523">
        <v>2.9932E-2</v>
      </c>
      <c r="N2523">
        <v>6032.7608289999998</v>
      </c>
    </row>
    <row r="2524" spans="12:14" x14ac:dyDescent="0.55000000000000004">
      <c r="L2524">
        <v>2519</v>
      </c>
      <c r="M2524">
        <v>2.9932E-2</v>
      </c>
      <c r="N2524">
        <v>6032.7608289999998</v>
      </c>
    </row>
    <row r="2525" spans="12:14" x14ac:dyDescent="0.55000000000000004">
      <c r="L2525">
        <v>2520</v>
      </c>
      <c r="M2525">
        <v>2.9932E-2</v>
      </c>
      <c r="N2525">
        <v>6032.7608289999998</v>
      </c>
    </row>
    <row r="2526" spans="12:14" x14ac:dyDescent="0.55000000000000004">
      <c r="L2526">
        <v>2521</v>
      </c>
      <c r="M2526">
        <v>2.9932E-2</v>
      </c>
      <c r="N2526">
        <v>6032.7608289999998</v>
      </c>
    </row>
    <row r="2527" spans="12:14" x14ac:dyDescent="0.55000000000000004">
      <c r="L2527">
        <v>2522</v>
      </c>
      <c r="M2527">
        <v>2.9932E-2</v>
      </c>
      <c r="N2527">
        <v>6032.7608289999998</v>
      </c>
    </row>
    <row r="2528" spans="12:14" x14ac:dyDescent="0.55000000000000004">
      <c r="L2528">
        <v>2523</v>
      </c>
      <c r="M2528">
        <v>2.9932E-2</v>
      </c>
      <c r="N2528">
        <v>6032.7608289999998</v>
      </c>
    </row>
    <row r="2529" spans="12:14" x14ac:dyDescent="0.55000000000000004">
      <c r="L2529">
        <v>2524</v>
      </c>
      <c r="M2529">
        <v>2.9932E-2</v>
      </c>
      <c r="N2529">
        <v>6032.7608289999998</v>
      </c>
    </row>
    <row r="2530" spans="12:14" x14ac:dyDescent="0.55000000000000004">
      <c r="L2530">
        <v>2525</v>
      </c>
      <c r="M2530">
        <v>2.9932E-2</v>
      </c>
      <c r="N2530">
        <v>6032.7608289999998</v>
      </c>
    </row>
    <row r="2531" spans="12:14" x14ac:dyDescent="0.55000000000000004">
      <c r="L2531">
        <v>2526</v>
      </c>
      <c r="M2531">
        <v>2.9932E-2</v>
      </c>
      <c r="N2531">
        <v>6032.7608289999998</v>
      </c>
    </row>
    <row r="2532" spans="12:14" x14ac:dyDescent="0.55000000000000004">
      <c r="L2532">
        <v>2527</v>
      </c>
      <c r="M2532">
        <v>2.9932E-2</v>
      </c>
      <c r="N2532">
        <v>6032.7608289999998</v>
      </c>
    </row>
    <row r="2533" spans="12:14" x14ac:dyDescent="0.55000000000000004">
      <c r="L2533">
        <v>2528</v>
      </c>
      <c r="M2533">
        <v>2.9932E-2</v>
      </c>
      <c r="N2533">
        <v>6032.7608289999998</v>
      </c>
    </row>
    <row r="2534" spans="12:14" x14ac:dyDescent="0.55000000000000004">
      <c r="L2534">
        <v>2529</v>
      </c>
      <c r="M2534">
        <v>2.9932E-2</v>
      </c>
      <c r="N2534">
        <v>6032.7608289999998</v>
      </c>
    </row>
    <row r="2535" spans="12:14" x14ac:dyDescent="0.55000000000000004">
      <c r="L2535">
        <v>2530</v>
      </c>
      <c r="M2535">
        <v>2.9932E-2</v>
      </c>
      <c r="N2535">
        <v>6032.7608289999998</v>
      </c>
    </row>
    <row r="2536" spans="12:14" x14ac:dyDescent="0.55000000000000004">
      <c r="L2536">
        <v>2531</v>
      </c>
      <c r="M2536">
        <v>2.9932E-2</v>
      </c>
      <c r="N2536">
        <v>6032.7608289999998</v>
      </c>
    </row>
    <row r="2537" spans="12:14" x14ac:dyDescent="0.55000000000000004">
      <c r="L2537">
        <v>2532</v>
      </c>
      <c r="M2537">
        <v>2.9932E-2</v>
      </c>
      <c r="N2537">
        <v>6032.7608289999998</v>
      </c>
    </row>
    <row r="2538" spans="12:14" x14ac:dyDescent="0.55000000000000004">
      <c r="L2538">
        <v>2533</v>
      </c>
      <c r="M2538">
        <v>2.9932E-2</v>
      </c>
      <c r="N2538">
        <v>6032.7608289999998</v>
      </c>
    </row>
    <row r="2539" spans="12:14" x14ac:dyDescent="0.55000000000000004">
      <c r="L2539">
        <v>2534</v>
      </c>
      <c r="M2539">
        <v>2.9932E-2</v>
      </c>
      <c r="N2539">
        <v>6032.7608289999998</v>
      </c>
    </row>
    <row r="2540" spans="12:14" x14ac:dyDescent="0.55000000000000004">
      <c r="L2540">
        <v>2535</v>
      </c>
      <c r="M2540">
        <v>2.9932E-2</v>
      </c>
      <c r="N2540">
        <v>6032.7608289999998</v>
      </c>
    </row>
    <row r="2541" spans="12:14" x14ac:dyDescent="0.55000000000000004">
      <c r="L2541">
        <v>2536</v>
      </c>
      <c r="M2541">
        <v>2.9932E-2</v>
      </c>
      <c r="N2541">
        <v>6032.7608289999998</v>
      </c>
    </row>
    <row r="2542" spans="12:14" x14ac:dyDescent="0.55000000000000004">
      <c r="L2542">
        <v>2537</v>
      </c>
      <c r="M2542">
        <v>2.9932E-2</v>
      </c>
      <c r="N2542">
        <v>6032.7608289999998</v>
      </c>
    </row>
    <row r="2543" spans="12:14" x14ac:dyDescent="0.55000000000000004">
      <c r="L2543">
        <v>2538</v>
      </c>
      <c r="M2543">
        <v>2.9932E-2</v>
      </c>
      <c r="N2543">
        <v>6032.7608289999998</v>
      </c>
    </row>
    <row r="2544" spans="12:14" x14ac:dyDescent="0.55000000000000004">
      <c r="L2544">
        <v>2539</v>
      </c>
      <c r="M2544">
        <v>2.9932E-2</v>
      </c>
      <c r="N2544">
        <v>6032.7608289999998</v>
      </c>
    </row>
    <row r="2545" spans="12:14" x14ac:dyDescent="0.55000000000000004">
      <c r="L2545">
        <v>2540</v>
      </c>
      <c r="M2545">
        <v>2.9932E-2</v>
      </c>
      <c r="N2545">
        <v>6032.7608289999998</v>
      </c>
    </row>
    <row r="2546" spans="12:14" x14ac:dyDescent="0.55000000000000004">
      <c r="L2546">
        <v>2541</v>
      </c>
      <c r="M2546">
        <v>2.9932E-2</v>
      </c>
      <c r="N2546">
        <v>6032.7608289999998</v>
      </c>
    </row>
    <row r="2547" spans="12:14" x14ac:dyDescent="0.55000000000000004">
      <c r="L2547">
        <v>2542</v>
      </c>
      <c r="M2547">
        <v>2.9932E-2</v>
      </c>
      <c r="N2547">
        <v>6032.7608289999998</v>
      </c>
    </row>
    <row r="2548" spans="12:14" x14ac:dyDescent="0.55000000000000004">
      <c r="L2548">
        <v>2543</v>
      </c>
      <c r="M2548">
        <v>2.9932E-2</v>
      </c>
      <c r="N2548">
        <v>6032.7608289999998</v>
      </c>
    </row>
    <row r="2549" spans="12:14" x14ac:dyDescent="0.55000000000000004">
      <c r="L2549">
        <v>2544</v>
      </c>
      <c r="M2549">
        <v>2.9932E-2</v>
      </c>
      <c r="N2549">
        <v>6032.7608289999998</v>
      </c>
    </row>
    <row r="2550" spans="12:14" x14ac:dyDescent="0.55000000000000004">
      <c r="L2550">
        <v>2545</v>
      </c>
      <c r="M2550">
        <v>2.9932E-2</v>
      </c>
      <c r="N2550">
        <v>6032.7608289999998</v>
      </c>
    </row>
    <row r="2551" spans="12:14" x14ac:dyDescent="0.55000000000000004">
      <c r="L2551">
        <v>2546</v>
      </c>
      <c r="M2551">
        <v>2.9932E-2</v>
      </c>
      <c r="N2551">
        <v>6032.7608289999998</v>
      </c>
    </row>
    <row r="2552" spans="12:14" x14ac:dyDescent="0.55000000000000004">
      <c r="L2552">
        <v>2547</v>
      </c>
      <c r="M2552">
        <v>2.9932E-2</v>
      </c>
      <c r="N2552">
        <v>6032.7608289999998</v>
      </c>
    </row>
    <row r="2553" spans="12:14" x14ac:dyDescent="0.55000000000000004">
      <c r="L2553">
        <v>2548</v>
      </c>
      <c r="M2553">
        <v>2.9932E-2</v>
      </c>
      <c r="N2553">
        <v>6032.7608289999998</v>
      </c>
    </row>
    <row r="2554" spans="12:14" x14ac:dyDescent="0.55000000000000004">
      <c r="L2554">
        <v>2549</v>
      </c>
      <c r="M2554">
        <v>2.9932E-2</v>
      </c>
      <c r="N2554">
        <v>6032.7608289999998</v>
      </c>
    </row>
    <row r="2555" spans="12:14" x14ac:dyDescent="0.55000000000000004">
      <c r="L2555">
        <v>2550</v>
      </c>
      <c r="M2555">
        <v>2.9932E-2</v>
      </c>
      <c r="N2555">
        <v>6032.7608289999998</v>
      </c>
    </row>
    <row r="2556" spans="12:14" x14ac:dyDescent="0.55000000000000004">
      <c r="L2556">
        <v>2551</v>
      </c>
      <c r="M2556">
        <v>2.9932E-2</v>
      </c>
      <c r="N2556">
        <v>6032.7608289999998</v>
      </c>
    </row>
    <row r="2557" spans="12:14" x14ac:dyDescent="0.55000000000000004">
      <c r="L2557">
        <v>2552</v>
      </c>
      <c r="M2557">
        <v>2.9932E-2</v>
      </c>
      <c r="N2557">
        <v>6032.7608289999998</v>
      </c>
    </row>
    <row r="2558" spans="12:14" x14ac:dyDescent="0.55000000000000004">
      <c r="L2558">
        <v>2553</v>
      </c>
      <c r="M2558">
        <v>2.9932E-2</v>
      </c>
      <c r="N2558">
        <v>6032.7608289999998</v>
      </c>
    </row>
    <row r="2559" spans="12:14" x14ac:dyDescent="0.55000000000000004">
      <c r="L2559">
        <v>2554</v>
      </c>
      <c r="M2559">
        <v>2.9932E-2</v>
      </c>
      <c r="N2559">
        <v>6032.7608289999998</v>
      </c>
    </row>
    <row r="2560" spans="12:14" x14ac:dyDescent="0.55000000000000004">
      <c r="L2560">
        <v>2555</v>
      </c>
      <c r="M2560">
        <v>2.9932E-2</v>
      </c>
      <c r="N2560">
        <v>6032.7608289999998</v>
      </c>
    </row>
    <row r="2561" spans="12:14" x14ac:dyDescent="0.55000000000000004">
      <c r="L2561">
        <v>2556</v>
      </c>
      <c r="M2561">
        <v>2.9932E-2</v>
      </c>
      <c r="N2561">
        <v>6032.7608289999998</v>
      </c>
    </row>
    <row r="2562" spans="12:14" x14ac:dyDescent="0.55000000000000004">
      <c r="L2562">
        <v>2557</v>
      </c>
      <c r="M2562">
        <v>2.9932E-2</v>
      </c>
      <c r="N2562">
        <v>6032.7608289999998</v>
      </c>
    </row>
    <row r="2563" spans="12:14" x14ac:dyDescent="0.55000000000000004">
      <c r="L2563">
        <v>2558</v>
      </c>
      <c r="M2563">
        <v>2.9932E-2</v>
      </c>
      <c r="N2563">
        <v>6032.7608289999998</v>
      </c>
    </row>
    <row r="2564" spans="12:14" x14ac:dyDescent="0.55000000000000004">
      <c r="L2564">
        <v>2559</v>
      </c>
      <c r="M2564">
        <v>2.9932E-2</v>
      </c>
      <c r="N2564">
        <v>6032.7608289999998</v>
      </c>
    </row>
    <row r="2565" spans="12:14" x14ac:dyDescent="0.55000000000000004">
      <c r="L2565">
        <v>2560</v>
      </c>
      <c r="M2565">
        <v>2.9932E-2</v>
      </c>
      <c r="N2565">
        <v>6032.7608289999998</v>
      </c>
    </row>
    <row r="2566" spans="12:14" x14ac:dyDescent="0.55000000000000004">
      <c r="L2566">
        <v>2561</v>
      </c>
      <c r="M2566">
        <v>2.9932E-2</v>
      </c>
      <c r="N2566">
        <v>6032.7608289999998</v>
      </c>
    </row>
    <row r="2567" spans="12:14" x14ac:dyDescent="0.55000000000000004">
      <c r="L2567">
        <v>2562</v>
      </c>
      <c r="M2567">
        <v>2.9932E-2</v>
      </c>
      <c r="N2567">
        <v>6032.7608289999998</v>
      </c>
    </row>
    <row r="2568" spans="12:14" x14ac:dyDescent="0.55000000000000004">
      <c r="L2568">
        <v>2563</v>
      </c>
      <c r="M2568">
        <v>2.9932E-2</v>
      </c>
      <c r="N2568">
        <v>6032.7608289999998</v>
      </c>
    </row>
    <row r="2569" spans="12:14" x14ac:dyDescent="0.55000000000000004">
      <c r="L2569">
        <v>2564</v>
      </c>
      <c r="M2569">
        <v>2.9932E-2</v>
      </c>
      <c r="N2569">
        <v>6032.7608289999998</v>
      </c>
    </row>
    <row r="2570" spans="12:14" x14ac:dyDescent="0.55000000000000004">
      <c r="L2570">
        <v>2565</v>
      </c>
      <c r="M2570">
        <v>2.9932E-2</v>
      </c>
      <c r="N2570">
        <v>6032.7608289999998</v>
      </c>
    </row>
    <row r="2571" spans="12:14" x14ac:dyDescent="0.55000000000000004">
      <c r="L2571">
        <v>2566</v>
      </c>
      <c r="M2571">
        <v>2.9932E-2</v>
      </c>
      <c r="N2571">
        <v>6032.7608289999998</v>
      </c>
    </row>
    <row r="2572" spans="12:14" x14ac:dyDescent="0.55000000000000004">
      <c r="L2572">
        <v>2567</v>
      </c>
      <c r="M2572">
        <v>2.9932E-2</v>
      </c>
      <c r="N2572">
        <v>6032.7608289999998</v>
      </c>
    </row>
    <row r="2573" spans="12:14" x14ac:dyDescent="0.55000000000000004">
      <c r="L2573">
        <v>2568</v>
      </c>
      <c r="M2573">
        <v>2.9932E-2</v>
      </c>
      <c r="N2573">
        <v>6032.7608289999998</v>
      </c>
    </row>
    <row r="2574" spans="12:14" x14ac:dyDescent="0.55000000000000004">
      <c r="L2574">
        <v>2569</v>
      </c>
      <c r="M2574">
        <v>2.9932E-2</v>
      </c>
      <c r="N2574">
        <v>6032.7608289999998</v>
      </c>
    </row>
    <row r="2575" spans="12:14" x14ac:dyDescent="0.55000000000000004">
      <c r="L2575">
        <v>2570</v>
      </c>
      <c r="M2575">
        <v>2.9932E-2</v>
      </c>
      <c r="N2575">
        <v>6032.7608289999998</v>
      </c>
    </row>
    <row r="2576" spans="12:14" x14ac:dyDescent="0.55000000000000004">
      <c r="L2576">
        <v>2571</v>
      </c>
      <c r="M2576">
        <v>2.9932E-2</v>
      </c>
      <c r="N2576">
        <v>6032.7608289999998</v>
      </c>
    </row>
    <row r="2577" spans="12:14" x14ac:dyDescent="0.55000000000000004">
      <c r="L2577">
        <v>2572</v>
      </c>
      <c r="M2577">
        <v>2.9932E-2</v>
      </c>
      <c r="N2577">
        <v>6032.7608289999998</v>
      </c>
    </row>
    <row r="2578" spans="12:14" x14ac:dyDescent="0.55000000000000004">
      <c r="L2578">
        <v>2573</v>
      </c>
      <c r="M2578">
        <v>2.9932E-2</v>
      </c>
      <c r="N2578">
        <v>6032.7608289999998</v>
      </c>
    </row>
    <row r="2579" spans="12:14" x14ac:dyDescent="0.55000000000000004">
      <c r="L2579">
        <v>2574</v>
      </c>
      <c r="M2579">
        <v>2.9932E-2</v>
      </c>
      <c r="N2579">
        <v>6032.7608289999998</v>
      </c>
    </row>
    <row r="2580" spans="12:14" x14ac:dyDescent="0.55000000000000004">
      <c r="L2580">
        <v>2575</v>
      </c>
      <c r="M2580">
        <v>2.9932E-2</v>
      </c>
      <c r="N2580">
        <v>6032.7608289999998</v>
      </c>
    </row>
    <row r="2581" spans="12:14" x14ac:dyDescent="0.55000000000000004">
      <c r="L2581">
        <v>2576</v>
      </c>
      <c r="M2581">
        <v>2.9932E-2</v>
      </c>
      <c r="N2581">
        <v>6032.7608289999998</v>
      </c>
    </row>
    <row r="2582" spans="12:14" x14ac:dyDescent="0.55000000000000004">
      <c r="L2582">
        <v>2577</v>
      </c>
      <c r="M2582">
        <v>2.9932E-2</v>
      </c>
      <c r="N2582">
        <v>6032.7608289999998</v>
      </c>
    </row>
    <row r="2583" spans="12:14" x14ac:dyDescent="0.55000000000000004">
      <c r="L2583">
        <v>2578</v>
      </c>
      <c r="M2583">
        <v>2.9932E-2</v>
      </c>
      <c r="N2583">
        <v>6032.7608289999998</v>
      </c>
    </row>
    <row r="2584" spans="12:14" x14ac:dyDescent="0.55000000000000004">
      <c r="L2584">
        <v>2579</v>
      </c>
      <c r="M2584">
        <v>2.9932E-2</v>
      </c>
      <c r="N2584">
        <v>6032.7608289999998</v>
      </c>
    </row>
    <row r="2585" spans="12:14" x14ac:dyDescent="0.55000000000000004">
      <c r="L2585">
        <v>2580</v>
      </c>
      <c r="M2585">
        <v>2.9932E-2</v>
      </c>
      <c r="N2585">
        <v>6032.7608289999998</v>
      </c>
    </row>
    <row r="2586" spans="12:14" x14ac:dyDescent="0.55000000000000004">
      <c r="L2586">
        <v>2581</v>
      </c>
      <c r="M2586">
        <v>2.9932E-2</v>
      </c>
      <c r="N2586">
        <v>6032.7608289999998</v>
      </c>
    </row>
    <row r="2587" spans="12:14" x14ac:dyDescent="0.55000000000000004">
      <c r="L2587">
        <v>2582</v>
      </c>
      <c r="M2587">
        <v>2.9932E-2</v>
      </c>
      <c r="N2587">
        <v>6032.7608289999998</v>
      </c>
    </row>
    <row r="2588" spans="12:14" x14ac:dyDescent="0.55000000000000004">
      <c r="L2588">
        <v>2583</v>
      </c>
      <c r="M2588">
        <v>2.9932E-2</v>
      </c>
      <c r="N2588">
        <v>6032.7608289999998</v>
      </c>
    </row>
    <row r="2589" spans="12:14" x14ac:dyDescent="0.55000000000000004">
      <c r="L2589">
        <v>2584</v>
      </c>
      <c r="M2589">
        <v>2.9932E-2</v>
      </c>
      <c r="N2589">
        <v>6032.7608289999998</v>
      </c>
    </row>
    <row r="2590" spans="12:14" x14ac:dyDescent="0.55000000000000004">
      <c r="L2590">
        <v>2585</v>
      </c>
      <c r="M2590">
        <v>2.9932E-2</v>
      </c>
      <c r="N2590">
        <v>6032.7608289999998</v>
      </c>
    </row>
    <row r="2591" spans="12:14" x14ac:dyDescent="0.55000000000000004">
      <c r="L2591">
        <v>2586</v>
      </c>
      <c r="M2591">
        <v>2.9932E-2</v>
      </c>
      <c r="N2591">
        <v>6032.7608289999998</v>
      </c>
    </row>
    <row r="2592" spans="12:14" x14ac:dyDescent="0.55000000000000004">
      <c r="L2592">
        <v>2587</v>
      </c>
      <c r="M2592">
        <v>2.9932E-2</v>
      </c>
      <c r="N2592">
        <v>6032.7608289999998</v>
      </c>
    </row>
    <row r="2593" spans="12:14" x14ac:dyDescent="0.55000000000000004">
      <c r="L2593">
        <v>2588</v>
      </c>
      <c r="M2593">
        <v>2.9932E-2</v>
      </c>
      <c r="N2593">
        <v>6032.7608289999998</v>
      </c>
    </row>
    <row r="2594" spans="12:14" x14ac:dyDescent="0.55000000000000004">
      <c r="L2594">
        <v>2589</v>
      </c>
      <c r="M2594">
        <v>2.9932E-2</v>
      </c>
      <c r="N2594">
        <v>6032.7608289999998</v>
      </c>
    </row>
    <row r="2595" spans="12:14" x14ac:dyDescent="0.55000000000000004">
      <c r="L2595">
        <v>2590</v>
      </c>
      <c r="M2595">
        <v>2.9932E-2</v>
      </c>
      <c r="N2595">
        <v>6032.7608289999998</v>
      </c>
    </row>
    <row r="2596" spans="12:14" x14ac:dyDescent="0.55000000000000004">
      <c r="L2596">
        <v>2591</v>
      </c>
      <c r="M2596">
        <v>2.9932E-2</v>
      </c>
      <c r="N2596">
        <v>6032.7608289999998</v>
      </c>
    </row>
    <row r="2597" spans="12:14" x14ac:dyDescent="0.55000000000000004">
      <c r="L2597">
        <v>2592</v>
      </c>
      <c r="M2597">
        <v>2.9932E-2</v>
      </c>
      <c r="N2597">
        <v>6032.7608289999998</v>
      </c>
    </row>
    <row r="2598" spans="12:14" x14ac:dyDescent="0.55000000000000004">
      <c r="L2598">
        <v>2593</v>
      </c>
      <c r="M2598">
        <v>2.9932E-2</v>
      </c>
      <c r="N2598">
        <v>6032.7608289999998</v>
      </c>
    </row>
    <row r="2599" spans="12:14" x14ac:dyDescent="0.55000000000000004">
      <c r="L2599">
        <v>2594</v>
      </c>
      <c r="M2599">
        <v>2.9932E-2</v>
      </c>
      <c r="N2599">
        <v>6032.7608289999998</v>
      </c>
    </row>
    <row r="2600" spans="12:14" x14ac:dyDescent="0.55000000000000004">
      <c r="L2600">
        <v>2595</v>
      </c>
      <c r="M2600">
        <v>2.9932E-2</v>
      </c>
      <c r="N2600">
        <v>6032.7608289999998</v>
      </c>
    </row>
    <row r="2601" spans="12:14" x14ac:dyDescent="0.55000000000000004">
      <c r="L2601">
        <v>2596</v>
      </c>
      <c r="M2601">
        <v>2.9932E-2</v>
      </c>
      <c r="N2601">
        <v>6032.7608289999998</v>
      </c>
    </row>
    <row r="2602" spans="12:14" x14ac:dyDescent="0.55000000000000004">
      <c r="L2602">
        <v>2597</v>
      </c>
      <c r="M2602">
        <v>2.9932E-2</v>
      </c>
      <c r="N2602">
        <v>6032.7608289999998</v>
      </c>
    </row>
    <row r="2603" spans="12:14" x14ac:dyDescent="0.55000000000000004">
      <c r="L2603">
        <v>2598</v>
      </c>
      <c r="M2603">
        <v>2.9932E-2</v>
      </c>
      <c r="N2603">
        <v>6032.7608289999998</v>
      </c>
    </row>
    <row r="2604" spans="12:14" x14ac:dyDescent="0.55000000000000004">
      <c r="L2604">
        <v>2599</v>
      </c>
      <c r="M2604">
        <v>2.9932E-2</v>
      </c>
      <c r="N2604">
        <v>6032.7608289999998</v>
      </c>
    </row>
    <row r="2605" spans="12:14" x14ac:dyDescent="0.55000000000000004">
      <c r="L2605">
        <v>2600</v>
      </c>
      <c r="M2605">
        <v>2.9932E-2</v>
      </c>
      <c r="N2605">
        <v>6032.7608289999998</v>
      </c>
    </row>
    <row r="2606" spans="12:14" x14ac:dyDescent="0.55000000000000004">
      <c r="L2606">
        <v>2601</v>
      </c>
      <c r="M2606">
        <v>2.9932E-2</v>
      </c>
      <c r="N2606">
        <v>6032.7608289999998</v>
      </c>
    </row>
    <row r="2607" spans="12:14" x14ac:dyDescent="0.55000000000000004">
      <c r="L2607">
        <v>2602</v>
      </c>
      <c r="M2607">
        <v>2.9932E-2</v>
      </c>
      <c r="N2607">
        <v>6032.7608289999998</v>
      </c>
    </row>
    <row r="2608" spans="12:14" x14ac:dyDescent="0.55000000000000004">
      <c r="L2608">
        <v>2603</v>
      </c>
      <c r="M2608">
        <v>2.9932E-2</v>
      </c>
      <c r="N2608">
        <v>6032.7608289999998</v>
      </c>
    </row>
    <row r="2609" spans="12:14" x14ac:dyDescent="0.55000000000000004">
      <c r="L2609">
        <v>2604</v>
      </c>
      <c r="M2609">
        <v>2.9932E-2</v>
      </c>
      <c r="N2609">
        <v>6032.7608289999998</v>
      </c>
    </row>
    <row r="2610" spans="12:14" x14ac:dyDescent="0.55000000000000004">
      <c r="L2610">
        <v>2605</v>
      </c>
      <c r="M2610">
        <v>2.9932E-2</v>
      </c>
      <c r="N2610">
        <v>6032.7608289999998</v>
      </c>
    </row>
    <row r="2611" spans="12:14" x14ac:dyDescent="0.55000000000000004">
      <c r="L2611">
        <v>2606</v>
      </c>
      <c r="M2611">
        <v>2.9932E-2</v>
      </c>
      <c r="N2611">
        <v>6032.7608289999998</v>
      </c>
    </row>
    <row r="2612" spans="12:14" x14ac:dyDescent="0.55000000000000004">
      <c r="L2612">
        <v>2607</v>
      </c>
      <c r="M2612">
        <v>2.9932E-2</v>
      </c>
      <c r="N2612">
        <v>6032.7608289999998</v>
      </c>
    </row>
    <row r="2613" spans="12:14" x14ac:dyDescent="0.55000000000000004">
      <c r="L2613">
        <v>2608</v>
      </c>
      <c r="M2613">
        <v>2.9932E-2</v>
      </c>
      <c r="N2613">
        <v>6032.7608289999998</v>
      </c>
    </row>
    <row r="2614" spans="12:14" x14ac:dyDescent="0.55000000000000004">
      <c r="L2614">
        <v>2609</v>
      </c>
      <c r="M2614">
        <v>2.9932E-2</v>
      </c>
      <c r="N2614">
        <v>6032.7608289999998</v>
      </c>
    </row>
    <row r="2615" spans="12:14" x14ac:dyDescent="0.55000000000000004">
      <c r="L2615">
        <v>2610</v>
      </c>
      <c r="M2615">
        <v>2.9932E-2</v>
      </c>
      <c r="N2615">
        <v>6032.7608289999998</v>
      </c>
    </row>
    <row r="2616" spans="12:14" x14ac:dyDescent="0.55000000000000004">
      <c r="L2616">
        <v>2611</v>
      </c>
      <c r="M2616">
        <v>2.9932E-2</v>
      </c>
      <c r="N2616">
        <v>6032.7608289999998</v>
      </c>
    </row>
    <row r="2617" spans="12:14" x14ac:dyDescent="0.55000000000000004">
      <c r="L2617">
        <v>2612</v>
      </c>
      <c r="M2617">
        <v>2.9932E-2</v>
      </c>
      <c r="N2617">
        <v>6032.7608289999998</v>
      </c>
    </row>
    <row r="2618" spans="12:14" x14ac:dyDescent="0.55000000000000004">
      <c r="L2618">
        <v>2613</v>
      </c>
      <c r="M2618">
        <v>2.9932E-2</v>
      </c>
      <c r="N2618">
        <v>6032.7608289999998</v>
      </c>
    </row>
    <row r="2619" spans="12:14" x14ac:dyDescent="0.55000000000000004">
      <c r="L2619">
        <v>2614</v>
      </c>
      <c r="M2619">
        <v>2.9932E-2</v>
      </c>
      <c r="N2619">
        <v>6032.7608289999998</v>
      </c>
    </row>
    <row r="2620" spans="12:14" x14ac:dyDescent="0.55000000000000004">
      <c r="L2620">
        <v>2615</v>
      </c>
      <c r="M2620">
        <v>2.9932E-2</v>
      </c>
      <c r="N2620">
        <v>6032.7608289999998</v>
      </c>
    </row>
    <row r="2621" spans="12:14" x14ac:dyDescent="0.55000000000000004">
      <c r="L2621">
        <v>2616</v>
      </c>
      <c r="M2621">
        <v>2.9932E-2</v>
      </c>
      <c r="N2621">
        <v>6032.7608289999998</v>
      </c>
    </row>
    <row r="2622" spans="12:14" x14ac:dyDescent="0.55000000000000004">
      <c r="L2622">
        <v>2617</v>
      </c>
      <c r="M2622">
        <v>2.9932E-2</v>
      </c>
      <c r="N2622">
        <v>6032.7608289999998</v>
      </c>
    </row>
    <row r="2623" spans="12:14" x14ac:dyDescent="0.55000000000000004">
      <c r="L2623">
        <v>2618</v>
      </c>
      <c r="M2623">
        <v>2.9932E-2</v>
      </c>
      <c r="N2623">
        <v>6032.7608289999998</v>
      </c>
    </row>
    <row r="2624" spans="12:14" x14ac:dyDescent="0.55000000000000004">
      <c r="L2624">
        <v>2619</v>
      </c>
      <c r="M2624">
        <v>2.9932E-2</v>
      </c>
      <c r="N2624">
        <v>6032.7608289999998</v>
      </c>
    </row>
    <row r="2625" spans="12:14" x14ac:dyDescent="0.55000000000000004">
      <c r="L2625">
        <v>2620</v>
      </c>
      <c r="M2625">
        <v>2.9932E-2</v>
      </c>
      <c r="N2625">
        <v>6032.7608289999998</v>
      </c>
    </row>
    <row r="2626" spans="12:14" x14ac:dyDescent="0.55000000000000004">
      <c r="L2626">
        <v>2621</v>
      </c>
      <c r="M2626">
        <v>2.9932E-2</v>
      </c>
      <c r="N2626">
        <v>6032.7608289999998</v>
      </c>
    </row>
    <row r="2627" spans="12:14" x14ac:dyDescent="0.55000000000000004">
      <c r="L2627">
        <v>2622</v>
      </c>
      <c r="M2627">
        <v>2.9932E-2</v>
      </c>
      <c r="N2627">
        <v>6032.7608289999998</v>
      </c>
    </row>
    <row r="2628" spans="12:14" x14ac:dyDescent="0.55000000000000004">
      <c r="L2628">
        <v>2623</v>
      </c>
      <c r="M2628">
        <v>2.9932E-2</v>
      </c>
      <c r="N2628">
        <v>6032.7608289999998</v>
      </c>
    </row>
    <row r="2629" spans="12:14" x14ac:dyDescent="0.55000000000000004">
      <c r="L2629">
        <v>2624</v>
      </c>
      <c r="M2629">
        <v>2.9932E-2</v>
      </c>
      <c r="N2629">
        <v>6032.7608289999998</v>
      </c>
    </row>
    <row r="2630" spans="12:14" x14ac:dyDescent="0.55000000000000004">
      <c r="L2630">
        <v>2625</v>
      </c>
      <c r="M2630">
        <v>2.9932E-2</v>
      </c>
      <c r="N2630">
        <v>6032.7608289999998</v>
      </c>
    </row>
    <row r="2631" spans="12:14" x14ac:dyDescent="0.55000000000000004">
      <c r="L2631">
        <v>2626</v>
      </c>
      <c r="M2631">
        <v>2.9932E-2</v>
      </c>
      <c r="N2631">
        <v>6032.7608289999998</v>
      </c>
    </row>
    <row r="2632" spans="12:14" x14ac:dyDescent="0.55000000000000004">
      <c r="L2632">
        <v>2627</v>
      </c>
      <c r="M2632">
        <v>2.9932E-2</v>
      </c>
      <c r="N2632">
        <v>6032.7608289999998</v>
      </c>
    </row>
    <row r="2633" spans="12:14" x14ac:dyDescent="0.55000000000000004">
      <c r="L2633">
        <v>2628</v>
      </c>
      <c r="M2633">
        <v>2.9932E-2</v>
      </c>
      <c r="N2633">
        <v>6032.7608289999998</v>
      </c>
    </row>
    <row r="2634" spans="12:14" x14ac:dyDescent="0.55000000000000004">
      <c r="L2634">
        <v>2629</v>
      </c>
      <c r="M2634">
        <v>2.9932E-2</v>
      </c>
      <c r="N2634">
        <v>6032.7608289999998</v>
      </c>
    </row>
    <row r="2635" spans="12:14" x14ac:dyDescent="0.55000000000000004">
      <c r="L2635">
        <v>2630</v>
      </c>
      <c r="M2635">
        <v>2.9932E-2</v>
      </c>
      <c r="N2635">
        <v>6032.7608289999998</v>
      </c>
    </row>
    <row r="2636" spans="12:14" x14ac:dyDescent="0.55000000000000004">
      <c r="L2636">
        <v>2631</v>
      </c>
      <c r="M2636">
        <v>2.9932E-2</v>
      </c>
      <c r="N2636">
        <v>6032.7608289999998</v>
      </c>
    </row>
    <row r="2637" spans="12:14" x14ac:dyDescent="0.55000000000000004">
      <c r="L2637">
        <v>2632</v>
      </c>
      <c r="M2637">
        <v>2.9932E-2</v>
      </c>
      <c r="N2637">
        <v>6032.7608289999998</v>
      </c>
    </row>
    <row r="2638" spans="12:14" x14ac:dyDescent="0.55000000000000004">
      <c r="L2638">
        <v>2633</v>
      </c>
      <c r="M2638">
        <v>2.9932E-2</v>
      </c>
      <c r="N2638">
        <v>6032.7608289999998</v>
      </c>
    </row>
    <row r="2639" spans="12:14" x14ac:dyDescent="0.55000000000000004">
      <c r="L2639">
        <v>2634</v>
      </c>
      <c r="M2639">
        <v>2.9932E-2</v>
      </c>
      <c r="N2639">
        <v>6032.7608289999998</v>
      </c>
    </row>
    <row r="2640" spans="12:14" x14ac:dyDescent="0.55000000000000004">
      <c r="L2640">
        <v>2635</v>
      </c>
      <c r="M2640">
        <v>2.9932E-2</v>
      </c>
      <c r="N2640">
        <v>6032.7608289999998</v>
      </c>
    </row>
    <row r="2641" spans="12:14" x14ac:dyDescent="0.55000000000000004">
      <c r="L2641">
        <v>2636</v>
      </c>
      <c r="M2641">
        <v>2.9932E-2</v>
      </c>
      <c r="N2641">
        <v>6032.7608289999998</v>
      </c>
    </row>
    <row r="2642" spans="12:14" x14ac:dyDescent="0.55000000000000004">
      <c r="L2642">
        <v>2637</v>
      </c>
      <c r="M2642">
        <v>2.9932E-2</v>
      </c>
      <c r="N2642">
        <v>6032.7608289999998</v>
      </c>
    </row>
    <row r="2643" spans="12:14" x14ac:dyDescent="0.55000000000000004">
      <c r="L2643">
        <v>2638</v>
      </c>
      <c r="M2643">
        <v>2.9932E-2</v>
      </c>
      <c r="N2643">
        <v>6032.7608289999998</v>
      </c>
    </row>
    <row r="2644" spans="12:14" x14ac:dyDescent="0.55000000000000004">
      <c r="L2644">
        <v>2639</v>
      </c>
      <c r="M2644">
        <v>2.9932E-2</v>
      </c>
      <c r="N2644">
        <v>6032.7608289999998</v>
      </c>
    </row>
    <row r="2645" spans="12:14" x14ac:dyDescent="0.55000000000000004">
      <c r="L2645">
        <v>2640</v>
      </c>
      <c r="M2645">
        <v>2.9932E-2</v>
      </c>
      <c r="N2645">
        <v>6032.7608289999998</v>
      </c>
    </row>
    <row r="2646" spans="12:14" x14ac:dyDescent="0.55000000000000004">
      <c r="L2646">
        <v>2641</v>
      </c>
      <c r="M2646">
        <v>2.9932E-2</v>
      </c>
      <c r="N2646">
        <v>6032.7608289999998</v>
      </c>
    </row>
    <row r="2647" spans="12:14" x14ac:dyDescent="0.55000000000000004">
      <c r="L2647">
        <v>2642</v>
      </c>
      <c r="M2647">
        <v>2.9932E-2</v>
      </c>
      <c r="N2647">
        <v>6032.7608289999998</v>
      </c>
    </row>
    <row r="2648" spans="12:14" x14ac:dyDescent="0.55000000000000004">
      <c r="L2648">
        <v>2643</v>
      </c>
      <c r="M2648">
        <v>2.9932E-2</v>
      </c>
      <c r="N2648">
        <v>6032.7608289999998</v>
      </c>
    </row>
    <row r="2649" spans="12:14" x14ac:dyDescent="0.55000000000000004">
      <c r="L2649">
        <v>2644</v>
      </c>
      <c r="M2649">
        <v>2.9932E-2</v>
      </c>
      <c r="N2649">
        <v>6032.7608289999998</v>
      </c>
    </row>
    <row r="2650" spans="12:14" x14ac:dyDescent="0.55000000000000004">
      <c r="L2650">
        <v>2645</v>
      </c>
      <c r="M2650">
        <v>2.9932E-2</v>
      </c>
      <c r="N2650">
        <v>6032.7608289999998</v>
      </c>
    </row>
    <row r="2651" spans="12:14" x14ac:dyDescent="0.55000000000000004">
      <c r="L2651">
        <v>2646</v>
      </c>
      <c r="M2651">
        <v>2.9932E-2</v>
      </c>
      <c r="N2651">
        <v>6032.7608289999998</v>
      </c>
    </row>
    <row r="2652" spans="12:14" x14ac:dyDescent="0.55000000000000004">
      <c r="L2652">
        <v>2647</v>
      </c>
      <c r="M2652">
        <v>2.9932E-2</v>
      </c>
      <c r="N2652">
        <v>6032.7608289999998</v>
      </c>
    </row>
    <row r="2653" spans="12:14" x14ac:dyDescent="0.55000000000000004">
      <c r="L2653">
        <v>2648</v>
      </c>
      <c r="M2653">
        <v>2.9932E-2</v>
      </c>
      <c r="N2653">
        <v>6032.7608289999998</v>
      </c>
    </row>
    <row r="2654" spans="12:14" x14ac:dyDescent="0.55000000000000004">
      <c r="L2654">
        <v>2649</v>
      </c>
      <c r="M2654">
        <v>2.9932E-2</v>
      </c>
      <c r="N2654">
        <v>6032.7608289999998</v>
      </c>
    </row>
    <row r="2655" spans="12:14" x14ac:dyDescent="0.55000000000000004">
      <c r="L2655">
        <v>2650</v>
      </c>
      <c r="M2655">
        <v>2.9932E-2</v>
      </c>
      <c r="N2655">
        <v>6032.7608289999998</v>
      </c>
    </row>
    <row r="2656" spans="12:14" x14ac:dyDescent="0.55000000000000004">
      <c r="L2656">
        <v>2651</v>
      </c>
      <c r="M2656">
        <v>2.9932E-2</v>
      </c>
      <c r="N2656">
        <v>6032.7608289999998</v>
      </c>
    </row>
    <row r="2657" spans="12:14" x14ac:dyDescent="0.55000000000000004">
      <c r="L2657">
        <v>2652</v>
      </c>
      <c r="M2657">
        <v>2.9932E-2</v>
      </c>
      <c r="N2657">
        <v>6032.7608289999998</v>
      </c>
    </row>
    <row r="2658" spans="12:14" x14ac:dyDescent="0.55000000000000004">
      <c r="L2658">
        <v>2653</v>
      </c>
      <c r="M2658">
        <v>2.9932E-2</v>
      </c>
      <c r="N2658">
        <v>6032.7608289999998</v>
      </c>
    </row>
    <row r="2659" spans="12:14" x14ac:dyDescent="0.55000000000000004">
      <c r="L2659">
        <v>2654</v>
      </c>
      <c r="M2659">
        <v>2.9932E-2</v>
      </c>
      <c r="N2659">
        <v>6032.7608289999998</v>
      </c>
    </row>
    <row r="2660" spans="12:14" x14ac:dyDescent="0.55000000000000004">
      <c r="L2660">
        <v>2655</v>
      </c>
      <c r="M2660">
        <v>2.9932E-2</v>
      </c>
      <c r="N2660">
        <v>6032.7608289999998</v>
      </c>
    </row>
    <row r="2661" spans="12:14" x14ac:dyDescent="0.55000000000000004">
      <c r="L2661">
        <v>2656</v>
      </c>
      <c r="M2661">
        <v>2.9932E-2</v>
      </c>
      <c r="N2661">
        <v>6032.7608289999998</v>
      </c>
    </row>
    <row r="2662" spans="12:14" x14ac:dyDescent="0.55000000000000004">
      <c r="L2662">
        <v>2657</v>
      </c>
      <c r="M2662">
        <v>2.9932E-2</v>
      </c>
      <c r="N2662">
        <v>6032.7608289999998</v>
      </c>
    </row>
    <row r="2663" spans="12:14" x14ac:dyDescent="0.55000000000000004">
      <c r="L2663">
        <v>2658</v>
      </c>
      <c r="M2663">
        <v>2.9932E-2</v>
      </c>
      <c r="N2663">
        <v>6032.7608289999998</v>
      </c>
    </row>
    <row r="2664" spans="12:14" x14ac:dyDescent="0.55000000000000004">
      <c r="L2664">
        <v>2659</v>
      </c>
      <c r="M2664">
        <v>2.9932E-2</v>
      </c>
      <c r="N2664">
        <v>6032.7608289999998</v>
      </c>
    </row>
    <row r="2665" spans="12:14" x14ac:dyDescent="0.55000000000000004">
      <c r="L2665">
        <v>2660</v>
      </c>
      <c r="M2665">
        <v>2.9932E-2</v>
      </c>
      <c r="N2665">
        <v>6032.7608289999998</v>
      </c>
    </row>
    <row r="2666" spans="12:14" x14ac:dyDescent="0.55000000000000004">
      <c r="L2666">
        <v>2661</v>
      </c>
      <c r="M2666">
        <v>2.9932E-2</v>
      </c>
      <c r="N2666">
        <v>6032.7608289999998</v>
      </c>
    </row>
    <row r="2667" spans="12:14" x14ac:dyDescent="0.55000000000000004">
      <c r="L2667">
        <v>2662</v>
      </c>
      <c r="M2667">
        <v>2.9932E-2</v>
      </c>
      <c r="N2667">
        <v>6032.7608289999998</v>
      </c>
    </row>
    <row r="2668" spans="12:14" x14ac:dyDescent="0.55000000000000004">
      <c r="L2668">
        <v>2663</v>
      </c>
      <c r="M2668">
        <v>2.9932E-2</v>
      </c>
      <c r="N2668">
        <v>6032.7608289999998</v>
      </c>
    </row>
    <row r="2669" spans="12:14" x14ac:dyDescent="0.55000000000000004">
      <c r="L2669">
        <v>2664</v>
      </c>
      <c r="M2669">
        <v>2.9932E-2</v>
      </c>
      <c r="N2669">
        <v>6032.7608289999998</v>
      </c>
    </row>
    <row r="2670" spans="12:14" x14ac:dyDescent="0.55000000000000004">
      <c r="L2670">
        <v>2665</v>
      </c>
      <c r="M2670">
        <v>2.9932E-2</v>
      </c>
      <c r="N2670">
        <v>6032.7608289999998</v>
      </c>
    </row>
    <row r="2671" spans="12:14" x14ac:dyDescent="0.55000000000000004">
      <c r="L2671">
        <v>2666</v>
      </c>
      <c r="M2671">
        <v>2.9932E-2</v>
      </c>
      <c r="N2671">
        <v>6032.7608289999998</v>
      </c>
    </row>
    <row r="2672" spans="12:14" x14ac:dyDescent="0.55000000000000004">
      <c r="L2672">
        <v>2667</v>
      </c>
      <c r="M2672">
        <v>2.9932E-2</v>
      </c>
      <c r="N2672">
        <v>6032.7608289999998</v>
      </c>
    </row>
    <row r="2673" spans="12:14" x14ac:dyDescent="0.55000000000000004">
      <c r="L2673">
        <v>2668</v>
      </c>
      <c r="M2673">
        <v>2.9932E-2</v>
      </c>
      <c r="N2673">
        <v>6032.7608289999998</v>
      </c>
    </row>
    <row r="2674" spans="12:14" x14ac:dyDescent="0.55000000000000004">
      <c r="L2674">
        <v>2669</v>
      </c>
      <c r="M2674">
        <v>2.9932E-2</v>
      </c>
      <c r="N2674">
        <v>6032.7608289999998</v>
      </c>
    </row>
    <row r="2675" spans="12:14" x14ac:dyDescent="0.55000000000000004">
      <c r="L2675">
        <v>2670</v>
      </c>
      <c r="M2675">
        <v>2.9932E-2</v>
      </c>
      <c r="N2675">
        <v>6032.7608289999998</v>
      </c>
    </row>
    <row r="2676" spans="12:14" x14ac:dyDescent="0.55000000000000004">
      <c r="L2676">
        <v>2671</v>
      </c>
      <c r="M2676">
        <v>2.9932E-2</v>
      </c>
      <c r="N2676">
        <v>6032.7608289999998</v>
      </c>
    </row>
    <row r="2677" spans="12:14" x14ac:dyDescent="0.55000000000000004">
      <c r="L2677">
        <v>2672</v>
      </c>
      <c r="M2677">
        <v>2.9932E-2</v>
      </c>
      <c r="N2677">
        <v>6032.7608289999998</v>
      </c>
    </row>
    <row r="2678" spans="12:14" x14ac:dyDescent="0.55000000000000004">
      <c r="L2678">
        <v>2673</v>
      </c>
      <c r="M2678">
        <v>2.9932E-2</v>
      </c>
      <c r="N2678">
        <v>6032.7608289999998</v>
      </c>
    </row>
    <row r="2679" spans="12:14" x14ac:dyDescent="0.55000000000000004">
      <c r="L2679">
        <v>2674</v>
      </c>
      <c r="M2679">
        <v>2.9932E-2</v>
      </c>
      <c r="N2679">
        <v>6032.7608289999998</v>
      </c>
    </row>
    <row r="2680" spans="12:14" x14ac:dyDescent="0.55000000000000004">
      <c r="L2680">
        <v>2675</v>
      </c>
      <c r="M2680">
        <v>2.9932E-2</v>
      </c>
      <c r="N2680">
        <v>6032.7608289999998</v>
      </c>
    </row>
    <row r="2681" spans="12:14" x14ac:dyDescent="0.55000000000000004">
      <c r="L2681">
        <v>2676</v>
      </c>
      <c r="M2681">
        <v>2.9932E-2</v>
      </c>
      <c r="N2681">
        <v>6032.7608289999998</v>
      </c>
    </row>
    <row r="2682" spans="12:14" x14ac:dyDescent="0.55000000000000004">
      <c r="L2682">
        <v>2677</v>
      </c>
      <c r="M2682">
        <v>2.9932E-2</v>
      </c>
      <c r="N2682">
        <v>6032.7608289999998</v>
      </c>
    </row>
    <row r="2683" spans="12:14" x14ac:dyDescent="0.55000000000000004">
      <c r="L2683">
        <v>2678</v>
      </c>
      <c r="M2683">
        <v>2.9932E-2</v>
      </c>
      <c r="N2683">
        <v>6032.7608289999998</v>
      </c>
    </row>
    <row r="2684" spans="12:14" x14ac:dyDescent="0.55000000000000004">
      <c r="L2684">
        <v>2679</v>
      </c>
      <c r="M2684">
        <v>2.9932E-2</v>
      </c>
      <c r="N2684">
        <v>6032.7608289999998</v>
      </c>
    </row>
    <row r="2685" spans="12:14" x14ac:dyDescent="0.55000000000000004">
      <c r="L2685">
        <v>2680</v>
      </c>
      <c r="M2685">
        <v>2.9932E-2</v>
      </c>
      <c r="N2685">
        <v>6032.7608289999998</v>
      </c>
    </row>
    <row r="2686" spans="12:14" x14ac:dyDescent="0.55000000000000004">
      <c r="L2686">
        <v>2681</v>
      </c>
      <c r="M2686">
        <v>2.9932E-2</v>
      </c>
      <c r="N2686">
        <v>6032.7608289999998</v>
      </c>
    </row>
    <row r="2687" spans="12:14" x14ac:dyDescent="0.55000000000000004">
      <c r="L2687">
        <v>2682</v>
      </c>
      <c r="M2687">
        <v>2.9932E-2</v>
      </c>
      <c r="N2687">
        <v>6032.7608289999998</v>
      </c>
    </row>
    <row r="2688" spans="12:14" x14ac:dyDescent="0.55000000000000004">
      <c r="L2688">
        <v>2683</v>
      </c>
      <c r="M2688">
        <v>2.9932E-2</v>
      </c>
      <c r="N2688">
        <v>6032.7608289999998</v>
      </c>
    </row>
    <row r="2689" spans="12:14" x14ac:dyDescent="0.55000000000000004">
      <c r="L2689">
        <v>2684</v>
      </c>
      <c r="M2689">
        <v>2.9932E-2</v>
      </c>
      <c r="N2689">
        <v>6032.7608289999998</v>
      </c>
    </row>
    <row r="2690" spans="12:14" x14ac:dyDescent="0.55000000000000004">
      <c r="L2690">
        <v>2685</v>
      </c>
      <c r="M2690">
        <v>2.9932E-2</v>
      </c>
      <c r="N2690">
        <v>6032.7608289999998</v>
      </c>
    </row>
    <row r="2691" spans="12:14" x14ac:dyDescent="0.55000000000000004">
      <c r="L2691">
        <v>2686</v>
      </c>
      <c r="M2691">
        <v>2.9932E-2</v>
      </c>
      <c r="N2691">
        <v>6032.7608289999998</v>
      </c>
    </row>
    <row r="2692" spans="12:14" x14ac:dyDescent="0.55000000000000004">
      <c r="L2692">
        <v>2687</v>
      </c>
      <c r="M2692">
        <v>2.9932E-2</v>
      </c>
      <c r="N2692">
        <v>6032.7608289999998</v>
      </c>
    </row>
    <row r="2693" spans="12:14" x14ac:dyDescent="0.55000000000000004">
      <c r="L2693">
        <v>2688</v>
      </c>
      <c r="M2693">
        <v>2.9932E-2</v>
      </c>
      <c r="N2693">
        <v>6032.7608289999998</v>
      </c>
    </row>
    <row r="2694" spans="12:14" x14ac:dyDescent="0.55000000000000004">
      <c r="L2694">
        <v>2689</v>
      </c>
      <c r="M2694">
        <v>2.9932E-2</v>
      </c>
      <c r="N2694">
        <v>6032.7608289999998</v>
      </c>
    </row>
    <row r="2695" spans="12:14" x14ac:dyDescent="0.55000000000000004">
      <c r="L2695">
        <v>2690</v>
      </c>
      <c r="M2695">
        <v>2.9932E-2</v>
      </c>
      <c r="N2695">
        <v>6032.7608289999998</v>
      </c>
    </row>
    <row r="2696" spans="12:14" x14ac:dyDescent="0.55000000000000004">
      <c r="L2696">
        <v>2691</v>
      </c>
      <c r="M2696">
        <v>2.9932E-2</v>
      </c>
      <c r="N2696">
        <v>6032.7608289999998</v>
      </c>
    </row>
    <row r="2697" spans="12:14" x14ac:dyDescent="0.55000000000000004">
      <c r="L2697">
        <v>2692</v>
      </c>
      <c r="M2697">
        <v>2.9932E-2</v>
      </c>
      <c r="N2697">
        <v>6032.7608289999998</v>
      </c>
    </row>
    <row r="2698" spans="12:14" x14ac:dyDescent="0.55000000000000004">
      <c r="L2698">
        <v>2693</v>
      </c>
      <c r="M2698">
        <v>2.9932E-2</v>
      </c>
      <c r="N2698">
        <v>6032.7608289999998</v>
      </c>
    </row>
    <row r="2699" spans="12:14" x14ac:dyDescent="0.55000000000000004">
      <c r="L2699">
        <v>2694</v>
      </c>
      <c r="M2699">
        <v>2.9932E-2</v>
      </c>
      <c r="N2699">
        <v>6032.7608289999998</v>
      </c>
    </row>
    <row r="2700" spans="12:14" x14ac:dyDescent="0.55000000000000004">
      <c r="L2700">
        <v>2695</v>
      </c>
      <c r="M2700">
        <v>2.9932E-2</v>
      </c>
      <c r="N2700">
        <v>6032.7608289999998</v>
      </c>
    </row>
    <row r="2701" spans="12:14" x14ac:dyDescent="0.55000000000000004">
      <c r="L2701">
        <v>2696</v>
      </c>
      <c r="M2701">
        <v>2.9932E-2</v>
      </c>
      <c r="N2701">
        <v>6032.7608289999998</v>
      </c>
    </row>
    <row r="2702" spans="12:14" x14ac:dyDescent="0.55000000000000004">
      <c r="L2702">
        <v>2697</v>
      </c>
      <c r="M2702">
        <v>2.9932E-2</v>
      </c>
      <c r="N2702">
        <v>6032.7608289999998</v>
      </c>
    </row>
    <row r="2703" spans="12:14" x14ac:dyDescent="0.55000000000000004">
      <c r="L2703">
        <v>2698</v>
      </c>
      <c r="M2703">
        <v>2.9932E-2</v>
      </c>
      <c r="N2703">
        <v>6032.7608289999998</v>
      </c>
    </row>
    <row r="2704" spans="12:14" x14ac:dyDescent="0.55000000000000004">
      <c r="L2704">
        <v>2699</v>
      </c>
      <c r="M2704">
        <v>2.9932E-2</v>
      </c>
      <c r="N2704">
        <v>6032.7608289999998</v>
      </c>
    </row>
    <row r="2705" spans="12:14" x14ac:dyDescent="0.55000000000000004">
      <c r="L2705">
        <v>2700</v>
      </c>
      <c r="M2705">
        <v>2.9932E-2</v>
      </c>
      <c r="N2705">
        <v>6032.7608289999998</v>
      </c>
    </row>
    <row r="2706" spans="12:14" x14ac:dyDescent="0.55000000000000004">
      <c r="L2706">
        <v>2701</v>
      </c>
      <c r="M2706">
        <v>2.9932E-2</v>
      </c>
      <c r="N2706">
        <v>6032.7608289999998</v>
      </c>
    </row>
    <row r="2707" spans="12:14" x14ac:dyDescent="0.55000000000000004">
      <c r="L2707">
        <v>2702</v>
      </c>
      <c r="M2707">
        <v>2.9932E-2</v>
      </c>
      <c r="N2707">
        <v>6032.7608289999998</v>
      </c>
    </row>
    <row r="2708" spans="12:14" x14ac:dyDescent="0.55000000000000004">
      <c r="L2708">
        <v>2703</v>
      </c>
      <c r="M2708">
        <v>2.9932E-2</v>
      </c>
      <c r="N2708">
        <v>6032.7608289999998</v>
      </c>
    </row>
    <row r="2709" spans="12:14" x14ac:dyDescent="0.55000000000000004">
      <c r="L2709">
        <v>2704</v>
      </c>
      <c r="M2709">
        <v>2.9932E-2</v>
      </c>
      <c r="N2709">
        <v>6032.7608289999998</v>
      </c>
    </row>
    <row r="2710" spans="12:14" x14ac:dyDescent="0.55000000000000004">
      <c r="L2710">
        <v>2705</v>
      </c>
      <c r="M2710">
        <v>2.9932E-2</v>
      </c>
      <c r="N2710">
        <v>6032.7608289999998</v>
      </c>
    </row>
    <row r="2711" spans="12:14" x14ac:dyDescent="0.55000000000000004">
      <c r="L2711">
        <v>2706</v>
      </c>
      <c r="M2711">
        <v>2.9932E-2</v>
      </c>
      <c r="N2711">
        <v>6032.7608289999998</v>
      </c>
    </row>
    <row r="2712" spans="12:14" x14ac:dyDescent="0.55000000000000004">
      <c r="L2712">
        <v>2707</v>
      </c>
      <c r="M2712">
        <v>2.9932E-2</v>
      </c>
      <c r="N2712">
        <v>6032.7608289999998</v>
      </c>
    </row>
    <row r="2713" spans="12:14" x14ac:dyDescent="0.55000000000000004">
      <c r="L2713">
        <v>2708</v>
      </c>
      <c r="M2713">
        <v>2.9932E-2</v>
      </c>
      <c r="N2713">
        <v>6032.7608289999998</v>
      </c>
    </row>
    <row r="2714" spans="12:14" x14ac:dyDescent="0.55000000000000004">
      <c r="L2714">
        <v>2709</v>
      </c>
      <c r="M2714">
        <v>2.9932E-2</v>
      </c>
      <c r="N2714">
        <v>6032.7608289999998</v>
      </c>
    </row>
    <row r="2715" spans="12:14" x14ac:dyDescent="0.55000000000000004">
      <c r="L2715">
        <v>2710</v>
      </c>
      <c r="M2715">
        <v>2.9932E-2</v>
      </c>
      <c r="N2715">
        <v>6032.7608289999998</v>
      </c>
    </row>
    <row r="2716" spans="12:14" x14ac:dyDescent="0.55000000000000004">
      <c r="L2716">
        <v>2711</v>
      </c>
      <c r="M2716">
        <v>2.9932E-2</v>
      </c>
      <c r="N2716">
        <v>6032.7608289999998</v>
      </c>
    </row>
    <row r="2717" spans="12:14" x14ac:dyDescent="0.55000000000000004">
      <c r="L2717">
        <v>2712</v>
      </c>
      <c r="M2717">
        <v>2.9932E-2</v>
      </c>
      <c r="N2717">
        <v>6032.7608289999998</v>
      </c>
    </row>
    <row r="2718" spans="12:14" x14ac:dyDescent="0.55000000000000004">
      <c r="L2718">
        <v>2713</v>
      </c>
      <c r="M2718">
        <v>2.9932E-2</v>
      </c>
      <c r="N2718">
        <v>6032.7608289999998</v>
      </c>
    </row>
    <row r="2719" spans="12:14" x14ac:dyDescent="0.55000000000000004">
      <c r="L2719">
        <v>2714</v>
      </c>
      <c r="M2719">
        <v>2.9932E-2</v>
      </c>
      <c r="N2719">
        <v>6032.7608289999998</v>
      </c>
    </row>
    <row r="2720" spans="12:14" x14ac:dyDescent="0.55000000000000004">
      <c r="L2720">
        <v>2715</v>
      </c>
      <c r="M2720">
        <v>2.9932E-2</v>
      </c>
      <c r="N2720">
        <v>6032.7608289999998</v>
      </c>
    </row>
    <row r="2721" spans="12:14" x14ac:dyDescent="0.55000000000000004">
      <c r="L2721">
        <v>2716</v>
      </c>
      <c r="M2721">
        <v>2.9932E-2</v>
      </c>
      <c r="N2721">
        <v>6032.7608289999998</v>
      </c>
    </row>
    <row r="2722" spans="12:14" x14ac:dyDescent="0.55000000000000004">
      <c r="L2722">
        <v>2717</v>
      </c>
      <c r="M2722">
        <v>2.9932E-2</v>
      </c>
      <c r="N2722">
        <v>6032.7608289999998</v>
      </c>
    </row>
    <row r="2723" spans="12:14" x14ac:dyDescent="0.55000000000000004">
      <c r="L2723">
        <v>2718</v>
      </c>
      <c r="M2723">
        <v>2.9932E-2</v>
      </c>
      <c r="N2723">
        <v>6032.7608289999998</v>
      </c>
    </row>
    <row r="2724" spans="12:14" x14ac:dyDescent="0.55000000000000004">
      <c r="L2724">
        <v>2719</v>
      </c>
      <c r="M2724">
        <v>2.9932E-2</v>
      </c>
      <c r="N2724">
        <v>6032.7608289999998</v>
      </c>
    </row>
    <row r="2725" spans="12:14" x14ac:dyDescent="0.55000000000000004">
      <c r="L2725">
        <v>2720</v>
      </c>
      <c r="M2725">
        <v>2.9932E-2</v>
      </c>
      <c r="N2725">
        <v>6032.7608289999998</v>
      </c>
    </row>
    <row r="2726" spans="12:14" x14ac:dyDescent="0.55000000000000004">
      <c r="L2726">
        <v>2721</v>
      </c>
      <c r="M2726">
        <v>2.9932E-2</v>
      </c>
      <c r="N2726">
        <v>6032.7608289999998</v>
      </c>
    </row>
    <row r="2727" spans="12:14" x14ac:dyDescent="0.55000000000000004">
      <c r="L2727">
        <v>2722</v>
      </c>
      <c r="M2727">
        <v>2.9932E-2</v>
      </c>
      <c r="N2727">
        <v>6032.7608289999998</v>
      </c>
    </row>
    <row r="2728" spans="12:14" x14ac:dyDescent="0.55000000000000004">
      <c r="L2728">
        <v>2723</v>
      </c>
      <c r="M2728">
        <v>2.9932E-2</v>
      </c>
      <c r="N2728">
        <v>6032.7608289999998</v>
      </c>
    </row>
    <row r="2729" spans="12:14" x14ac:dyDescent="0.55000000000000004">
      <c r="L2729">
        <v>2724</v>
      </c>
      <c r="M2729">
        <v>2.9932E-2</v>
      </c>
      <c r="N2729">
        <v>6032.7608289999998</v>
      </c>
    </row>
    <row r="2730" spans="12:14" x14ac:dyDescent="0.55000000000000004">
      <c r="L2730">
        <v>2725</v>
      </c>
      <c r="M2730">
        <v>2.9932E-2</v>
      </c>
      <c r="N2730">
        <v>6032.7608289999998</v>
      </c>
    </row>
    <row r="2731" spans="12:14" x14ac:dyDescent="0.55000000000000004">
      <c r="L2731">
        <v>2726</v>
      </c>
      <c r="M2731">
        <v>2.9932E-2</v>
      </c>
      <c r="N2731">
        <v>6032.7608289999998</v>
      </c>
    </row>
    <row r="2732" spans="12:14" x14ac:dyDescent="0.55000000000000004">
      <c r="L2732">
        <v>2727</v>
      </c>
      <c r="M2732">
        <v>2.9932E-2</v>
      </c>
      <c r="N2732">
        <v>6032.7608289999998</v>
      </c>
    </row>
    <row r="2733" spans="12:14" x14ac:dyDescent="0.55000000000000004">
      <c r="L2733">
        <v>2728</v>
      </c>
      <c r="M2733">
        <v>2.9932E-2</v>
      </c>
      <c r="N2733">
        <v>6032.7608289999998</v>
      </c>
    </row>
    <row r="2734" spans="12:14" x14ac:dyDescent="0.55000000000000004">
      <c r="L2734">
        <v>2729</v>
      </c>
      <c r="M2734">
        <v>2.9932E-2</v>
      </c>
      <c r="N2734">
        <v>6032.7608289999998</v>
      </c>
    </row>
    <row r="2735" spans="12:14" x14ac:dyDescent="0.55000000000000004">
      <c r="L2735">
        <v>2730</v>
      </c>
      <c r="M2735">
        <v>2.9932E-2</v>
      </c>
      <c r="N2735">
        <v>6032.7608289999998</v>
      </c>
    </row>
    <row r="2736" spans="12:14" x14ac:dyDescent="0.55000000000000004">
      <c r="L2736">
        <v>2731</v>
      </c>
      <c r="M2736">
        <v>2.9932E-2</v>
      </c>
      <c r="N2736">
        <v>6032.7608289999998</v>
      </c>
    </row>
    <row r="2737" spans="12:14" x14ac:dyDescent="0.55000000000000004">
      <c r="L2737">
        <v>2732</v>
      </c>
      <c r="M2737">
        <v>2.9932E-2</v>
      </c>
      <c r="N2737">
        <v>6032.7608289999998</v>
      </c>
    </row>
    <row r="2738" spans="12:14" x14ac:dyDescent="0.55000000000000004">
      <c r="L2738">
        <v>2733</v>
      </c>
      <c r="M2738">
        <v>2.9932E-2</v>
      </c>
      <c r="N2738">
        <v>6032.7608289999998</v>
      </c>
    </row>
    <row r="2739" spans="12:14" x14ac:dyDescent="0.55000000000000004">
      <c r="L2739">
        <v>2734</v>
      </c>
      <c r="M2739">
        <v>2.9932E-2</v>
      </c>
      <c r="N2739">
        <v>6032.7608289999998</v>
      </c>
    </row>
    <row r="2740" spans="12:14" x14ac:dyDescent="0.55000000000000004">
      <c r="L2740">
        <v>2735</v>
      </c>
      <c r="M2740">
        <v>2.9932E-2</v>
      </c>
      <c r="N2740">
        <v>6032.7608289999998</v>
      </c>
    </row>
    <row r="2741" spans="12:14" x14ac:dyDescent="0.55000000000000004">
      <c r="L2741">
        <v>2736</v>
      </c>
      <c r="M2741">
        <v>2.9932E-2</v>
      </c>
      <c r="N2741">
        <v>6032.7608289999998</v>
      </c>
    </row>
    <row r="2742" spans="12:14" x14ac:dyDescent="0.55000000000000004">
      <c r="L2742">
        <v>2737</v>
      </c>
      <c r="M2742">
        <v>2.9932E-2</v>
      </c>
      <c r="N2742">
        <v>6032.7608289999998</v>
      </c>
    </row>
    <row r="2743" spans="12:14" x14ac:dyDescent="0.55000000000000004">
      <c r="L2743">
        <v>2738</v>
      </c>
      <c r="M2743">
        <v>2.9932E-2</v>
      </c>
      <c r="N2743">
        <v>6032.7608289999998</v>
      </c>
    </row>
    <row r="2744" spans="12:14" x14ac:dyDescent="0.55000000000000004">
      <c r="L2744">
        <v>2739</v>
      </c>
      <c r="M2744">
        <v>2.9932E-2</v>
      </c>
      <c r="N2744">
        <v>6032.7608289999998</v>
      </c>
    </row>
    <row r="2745" spans="12:14" x14ac:dyDescent="0.55000000000000004">
      <c r="L2745">
        <v>2740</v>
      </c>
      <c r="M2745">
        <v>2.9932E-2</v>
      </c>
      <c r="N2745">
        <v>6032.7608289999998</v>
      </c>
    </row>
    <row r="2746" spans="12:14" x14ac:dyDescent="0.55000000000000004">
      <c r="L2746">
        <v>2741</v>
      </c>
      <c r="M2746">
        <v>2.9932E-2</v>
      </c>
      <c r="N2746">
        <v>6032.7608289999998</v>
      </c>
    </row>
    <row r="2747" spans="12:14" x14ac:dyDescent="0.55000000000000004">
      <c r="L2747">
        <v>2742</v>
      </c>
      <c r="M2747">
        <v>2.9932E-2</v>
      </c>
      <c r="N2747">
        <v>6032.7608289999998</v>
      </c>
    </row>
    <row r="2748" spans="12:14" x14ac:dyDescent="0.55000000000000004">
      <c r="L2748">
        <v>2743</v>
      </c>
      <c r="M2748">
        <v>2.9932E-2</v>
      </c>
      <c r="N2748">
        <v>6032.7608289999998</v>
      </c>
    </row>
    <row r="2749" spans="12:14" x14ac:dyDescent="0.55000000000000004">
      <c r="L2749">
        <v>2744</v>
      </c>
      <c r="M2749">
        <v>2.9932E-2</v>
      </c>
      <c r="N2749">
        <v>6032.7608289999998</v>
      </c>
    </row>
    <row r="2750" spans="12:14" x14ac:dyDescent="0.55000000000000004">
      <c r="L2750">
        <v>2745</v>
      </c>
      <c r="M2750">
        <v>2.9932E-2</v>
      </c>
      <c r="N2750">
        <v>6032.7608289999998</v>
      </c>
    </row>
    <row r="2751" spans="12:14" x14ac:dyDescent="0.55000000000000004">
      <c r="L2751">
        <v>2746</v>
      </c>
      <c r="M2751">
        <v>2.9932E-2</v>
      </c>
      <c r="N2751">
        <v>6032.7608289999998</v>
      </c>
    </row>
    <row r="2752" spans="12:14" x14ac:dyDescent="0.55000000000000004">
      <c r="L2752">
        <v>2747</v>
      </c>
      <c r="M2752">
        <v>2.9932E-2</v>
      </c>
      <c r="N2752">
        <v>6032.7608289999998</v>
      </c>
    </row>
    <row r="2753" spans="12:14" x14ac:dyDescent="0.55000000000000004">
      <c r="L2753">
        <v>2748</v>
      </c>
      <c r="M2753">
        <v>2.9932E-2</v>
      </c>
      <c r="N2753">
        <v>6032.7608289999998</v>
      </c>
    </row>
    <row r="2754" spans="12:14" x14ac:dyDescent="0.55000000000000004">
      <c r="L2754">
        <v>2749</v>
      </c>
      <c r="M2754">
        <v>2.9932E-2</v>
      </c>
      <c r="N2754">
        <v>6032.7608289999998</v>
      </c>
    </row>
    <row r="2755" spans="12:14" x14ac:dyDescent="0.55000000000000004">
      <c r="L2755">
        <v>2750</v>
      </c>
      <c r="M2755">
        <v>2.9932E-2</v>
      </c>
      <c r="N2755">
        <v>6032.7608289999998</v>
      </c>
    </row>
    <row r="2756" spans="12:14" x14ac:dyDescent="0.55000000000000004">
      <c r="L2756">
        <v>2751</v>
      </c>
      <c r="M2756">
        <v>2.9932E-2</v>
      </c>
      <c r="N2756">
        <v>6032.7608289999998</v>
      </c>
    </row>
    <row r="2757" spans="12:14" x14ac:dyDescent="0.55000000000000004">
      <c r="L2757">
        <v>2752</v>
      </c>
      <c r="M2757">
        <v>2.9932E-2</v>
      </c>
      <c r="N2757">
        <v>6032.7608289999998</v>
      </c>
    </row>
    <row r="2758" spans="12:14" x14ac:dyDescent="0.55000000000000004">
      <c r="L2758">
        <v>2753</v>
      </c>
      <c r="M2758">
        <v>2.9932E-2</v>
      </c>
      <c r="N2758">
        <v>6032.7608289999998</v>
      </c>
    </row>
    <row r="2759" spans="12:14" x14ac:dyDescent="0.55000000000000004">
      <c r="L2759">
        <v>2754</v>
      </c>
      <c r="M2759">
        <v>2.9932E-2</v>
      </c>
      <c r="N2759">
        <v>6032.7608289999998</v>
      </c>
    </row>
    <row r="2760" spans="12:14" x14ac:dyDescent="0.55000000000000004">
      <c r="L2760">
        <v>2755</v>
      </c>
      <c r="M2760">
        <v>2.9932E-2</v>
      </c>
      <c r="N2760">
        <v>6032.7608289999998</v>
      </c>
    </row>
    <row r="2761" spans="12:14" x14ac:dyDescent="0.55000000000000004">
      <c r="L2761">
        <v>2756</v>
      </c>
      <c r="M2761">
        <v>2.9932E-2</v>
      </c>
      <c r="N2761">
        <v>6032.7608289999998</v>
      </c>
    </row>
    <row r="2762" spans="12:14" x14ac:dyDescent="0.55000000000000004">
      <c r="L2762">
        <v>2757</v>
      </c>
      <c r="M2762">
        <v>2.9932E-2</v>
      </c>
      <c r="N2762">
        <v>6032.7608289999998</v>
      </c>
    </row>
    <row r="2763" spans="12:14" x14ac:dyDescent="0.55000000000000004">
      <c r="L2763">
        <v>2758</v>
      </c>
      <c r="M2763">
        <v>2.9932E-2</v>
      </c>
      <c r="N2763">
        <v>6032.7608289999998</v>
      </c>
    </row>
    <row r="2764" spans="12:14" x14ac:dyDescent="0.55000000000000004">
      <c r="L2764">
        <v>2759</v>
      </c>
      <c r="M2764">
        <v>2.9932E-2</v>
      </c>
      <c r="N2764">
        <v>6032.7608289999998</v>
      </c>
    </row>
    <row r="2765" spans="12:14" x14ac:dyDescent="0.55000000000000004">
      <c r="L2765">
        <v>2760</v>
      </c>
      <c r="M2765">
        <v>2.9932E-2</v>
      </c>
      <c r="N2765">
        <v>6032.7608289999998</v>
      </c>
    </row>
    <row r="2766" spans="12:14" x14ac:dyDescent="0.55000000000000004">
      <c r="L2766">
        <v>2761</v>
      </c>
      <c r="M2766">
        <v>2.9932E-2</v>
      </c>
      <c r="N2766">
        <v>6032.7608289999998</v>
      </c>
    </row>
    <row r="2767" spans="12:14" x14ac:dyDescent="0.55000000000000004">
      <c r="L2767">
        <v>2762</v>
      </c>
      <c r="M2767">
        <v>2.9932E-2</v>
      </c>
      <c r="N2767">
        <v>6032.7608289999998</v>
      </c>
    </row>
    <row r="2768" spans="12:14" x14ac:dyDescent="0.55000000000000004">
      <c r="L2768">
        <v>2763</v>
      </c>
      <c r="M2768">
        <v>2.9932E-2</v>
      </c>
      <c r="N2768">
        <v>6032.7608289999998</v>
      </c>
    </row>
    <row r="2769" spans="12:14" x14ac:dyDescent="0.55000000000000004">
      <c r="L2769">
        <v>2764</v>
      </c>
      <c r="M2769">
        <v>2.9932E-2</v>
      </c>
      <c r="N2769">
        <v>6032.7608289999998</v>
      </c>
    </row>
    <row r="2770" spans="12:14" x14ac:dyDescent="0.55000000000000004">
      <c r="L2770">
        <v>2765</v>
      </c>
      <c r="M2770">
        <v>2.9932E-2</v>
      </c>
      <c r="N2770">
        <v>6032.7608289999998</v>
      </c>
    </row>
    <row r="2771" spans="12:14" x14ac:dyDescent="0.55000000000000004">
      <c r="L2771">
        <v>2766</v>
      </c>
      <c r="M2771">
        <v>2.9932E-2</v>
      </c>
      <c r="N2771">
        <v>6032.7608289999998</v>
      </c>
    </row>
    <row r="2772" spans="12:14" x14ac:dyDescent="0.55000000000000004">
      <c r="L2772">
        <v>2767</v>
      </c>
      <c r="M2772">
        <v>2.9932E-2</v>
      </c>
      <c r="N2772">
        <v>6032.7608289999998</v>
      </c>
    </row>
    <row r="2773" spans="12:14" x14ac:dyDescent="0.55000000000000004">
      <c r="L2773">
        <v>2768</v>
      </c>
      <c r="M2773">
        <v>2.9932E-2</v>
      </c>
      <c r="N2773">
        <v>6032.7608289999998</v>
      </c>
    </row>
    <row r="2774" spans="12:14" x14ac:dyDescent="0.55000000000000004">
      <c r="L2774">
        <v>2769</v>
      </c>
      <c r="M2774">
        <v>2.9932E-2</v>
      </c>
      <c r="N2774">
        <v>6032.7608289999998</v>
      </c>
    </row>
    <row r="2775" spans="12:14" x14ac:dyDescent="0.55000000000000004">
      <c r="L2775">
        <v>2770</v>
      </c>
      <c r="M2775">
        <v>2.9932E-2</v>
      </c>
      <c r="N2775">
        <v>6032.7608289999998</v>
      </c>
    </row>
    <row r="2776" spans="12:14" x14ac:dyDescent="0.55000000000000004">
      <c r="L2776">
        <v>2771</v>
      </c>
      <c r="M2776">
        <v>2.9932E-2</v>
      </c>
      <c r="N2776">
        <v>6032.7608289999998</v>
      </c>
    </row>
    <row r="2777" spans="12:14" x14ac:dyDescent="0.55000000000000004">
      <c r="L2777">
        <v>2772</v>
      </c>
      <c r="M2777">
        <v>2.9932E-2</v>
      </c>
      <c r="N2777">
        <v>6032.7608289999998</v>
      </c>
    </row>
    <row r="2778" spans="12:14" x14ac:dyDescent="0.55000000000000004">
      <c r="L2778">
        <v>2773</v>
      </c>
      <c r="M2778">
        <v>2.9932E-2</v>
      </c>
      <c r="N2778">
        <v>6032.7608289999998</v>
      </c>
    </row>
    <row r="2779" spans="12:14" x14ac:dyDescent="0.55000000000000004">
      <c r="L2779">
        <v>2774</v>
      </c>
      <c r="M2779">
        <v>2.9932E-2</v>
      </c>
      <c r="N2779">
        <v>6032.7608289999998</v>
      </c>
    </row>
    <row r="2780" spans="12:14" x14ac:dyDescent="0.55000000000000004">
      <c r="L2780">
        <v>2775</v>
      </c>
      <c r="M2780">
        <v>2.9932E-2</v>
      </c>
      <c r="N2780">
        <v>6032.7608289999998</v>
      </c>
    </row>
    <row r="2781" spans="12:14" x14ac:dyDescent="0.55000000000000004">
      <c r="L2781">
        <v>2776</v>
      </c>
      <c r="M2781">
        <v>2.9932E-2</v>
      </c>
      <c r="N2781">
        <v>6032.7608289999998</v>
      </c>
    </row>
    <row r="2782" spans="12:14" x14ac:dyDescent="0.55000000000000004">
      <c r="L2782">
        <v>2777</v>
      </c>
      <c r="M2782">
        <v>2.9932E-2</v>
      </c>
      <c r="N2782">
        <v>6032.7608289999998</v>
      </c>
    </row>
    <row r="2783" spans="12:14" x14ac:dyDescent="0.55000000000000004">
      <c r="L2783">
        <v>2778</v>
      </c>
      <c r="M2783">
        <v>2.9932E-2</v>
      </c>
      <c r="N2783">
        <v>6032.7608289999998</v>
      </c>
    </row>
    <row r="2784" spans="12:14" x14ac:dyDescent="0.55000000000000004">
      <c r="L2784">
        <v>2779</v>
      </c>
      <c r="M2784">
        <v>2.9932E-2</v>
      </c>
      <c r="N2784">
        <v>6032.7608289999998</v>
      </c>
    </row>
    <row r="2785" spans="12:14" x14ac:dyDescent="0.55000000000000004">
      <c r="L2785">
        <v>2780</v>
      </c>
      <c r="M2785">
        <v>2.9932E-2</v>
      </c>
      <c r="N2785">
        <v>6032.7608289999998</v>
      </c>
    </row>
    <row r="2786" spans="12:14" x14ac:dyDescent="0.55000000000000004">
      <c r="L2786">
        <v>2781</v>
      </c>
      <c r="M2786">
        <v>2.9932E-2</v>
      </c>
      <c r="N2786">
        <v>6032.7608289999998</v>
      </c>
    </row>
    <row r="2787" spans="12:14" x14ac:dyDescent="0.55000000000000004">
      <c r="L2787">
        <v>2782</v>
      </c>
      <c r="M2787">
        <v>2.9932E-2</v>
      </c>
      <c r="N2787">
        <v>6032.7608289999998</v>
      </c>
    </row>
    <row r="2788" spans="12:14" x14ac:dyDescent="0.55000000000000004">
      <c r="L2788">
        <v>2783</v>
      </c>
      <c r="M2788">
        <v>2.9932E-2</v>
      </c>
      <c r="N2788">
        <v>6032.7608289999998</v>
      </c>
    </row>
    <row r="2789" spans="12:14" x14ac:dyDescent="0.55000000000000004">
      <c r="L2789">
        <v>2784</v>
      </c>
      <c r="M2789">
        <v>2.9932E-2</v>
      </c>
      <c r="N2789">
        <v>6032.7608289999998</v>
      </c>
    </row>
    <row r="2790" spans="12:14" x14ac:dyDescent="0.55000000000000004">
      <c r="L2790">
        <v>2785</v>
      </c>
      <c r="M2790">
        <v>2.9932E-2</v>
      </c>
      <c r="N2790">
        <v>6032.7608289999998</v>
      </c>
    </row>
    <row r="2791" spans="12:14" x14ac:dyDescent="0.55000000000000004">
      <c r="L2791">
        <v>2786</v>
      </c>
      <c r="M2791">
        <v>2.9932E-2</v>
      </c>
      <c r="N2791">
        <v>6032.7608289999998</v>
      </c>
    </row>
    <row r="2792" spans="12:14" x14ac:dyDescent="0.55000000000000004">
      <c r="L2792">
        <v>2787</v>
      </c>
      <c r="M2792">
        <v>2.9932E-2</v>
      </c>
      <c r="N2792">
        <v>6032.7608289999998</v>
      </c>
    </row>
    <row r="2793" spans="12:14" x14ac:dyDescent="0.55000000000000004">
      <c r="L2793">
        <v>2788</v>
      </c>
      <c r="M2793">
        <v>2.9932E-2</v>
      </c>
      <c r="N2793">
        <v>6032.7608289999998</v>
      </c>
    </row>
    <row r="2794" spans="12:14" x14ac:dyDescent="0.55000000000000004">
      <c r="L2794">
        <v>2789</v>
      </c>
      <c r="M2794">
        <v>2.9932E-2</v>
      </c>
      <c r="N2794">
        <v>6032.7608289999998</v>
      </c>
    </row>
    <row r="2795" spans="12:14" x14ac:dyDescent="0.55000000000000004">
      <c r="L2795">
        <v>2790</v>
      </c>
      <c r="M2795">
        <v>2.9932E-2</v>
      </c>
      <c r="N2795">
        <v>6032.7608289999998</v>
      </c>
    </row>
    <row r="2796" spans="12:14" x14ac:dyDescent="0.55000000000000004">
      <c r="L2796">
        <v>2791</v>
      </c>
      <c r="M2796">
        <v>2.9932E-2</v>
      </c>
      <c r="N2796">
        <v>6032.7608289999998</v>
      </c>
    </row>
    <row r="2797" spans="12:14" x14ac:dyDescent="0.55000000000000004">
      <c r="L2797">
        <v>2792</v>
      </c>
      <c r="M2797">
        <v>2.9932E-2</v>
      </c>
      <c r="N2797">
        <v>6032.7608289999998</v>
      </c>
    </row>
    <row r="2798" spans="12:14" x14ac:dyDescent="0.55000000000000004">
      <c r="L2798">
        <v>2793</v>
      </c>
      <c r="M2798">
        <v>2.9932E-2</v>
      </c>
      <c r="N2798">
        <v>6032.7608289999998</v>
      </c>
    </row>
    <row r="2799" spans="12:14" x14ac:dyDescent="0.55000000000000004">
      <c r="L2799">
        <v>2794</v>
      </c>
      <c r="M2799">
        <v>2.9932E-2</v>
      </c>
      <c r="N2799">
        <v>6032.7608289999998</v>
      </c>
    </row>
    <row r="2800" spans="12:14" x14ac:dyDescent="0.55000000000000004">
      <c r="L2800">
        <v>2795</v>
      </c>
      <c r="M2800">
        <v>2.9932E-2</v>
      </c>
      <c r="N2800">
        <v>6032.7608289999998</v>
      </c>
    </row>
    <row r="2801" spans="12:14" x14ac:dyDescent="0.55000000000000004">
      <c r="L2801">
        <v>2796</v>
      </c>
      <c r="M2801">
        <v>2.9932E-2</v>
      </c>
      <c r="N2801">
        <v>6032.7608289999998</v>
      </c>
    </row>
    <row r="2802" spans="12:14" x14ac:dyDescent="0.55000000000000004">
      <c r="L2802">
        <v>2797</v>
      </c>
      <c r="M2802">
        <v>2.9932E-2</v>
      </c>
      <c r="N2802">
        <v>6032.7608289999998</v>
      </c>
    </row>
    <row r="2803" spans="12:14" x14ac:dyDescent="0.55000000000000004">
      <c r="L2803">
        <v>2798</v>
      </c>
      <c r="M2803">
        <v>2.9932E-2</v>
      </c>
      <c r="N2803">
        <v>6032.7608289999998</v>
      </c>
    </row>
    <row r="2804" spans="12:14" x14ac:dyDescent="0.55000000000000004">
      <c r="L2804">
        <v>2799</v>
      </c>
      <c r="M2804">
        <v>2.9932E-2</v>
      </c>
      <c r="N2804">
        <v>6032.7608289999998</v>
      </c>
    </row>
    <row r="2805" spans="12:14" x14ac:dyDescent="0.55000000000000004">
      <c r="L2805">
        <v>2800</v>
      </c>
      <c r="M2805">
        <v>2.9932E-2</v>
      </c>
      <c r="N2805">
        <v>6032.7608289999998</v>
      </c>
    </row>
    <row r="2806" spans="12:14" x14ac:dyDescent="0.55000000000000004">
      <c r="L2806">
        <v>2801</v>
      </c>
      <c r="M2806">
        <v>2.9932E-2</v>
      </c>
      <c r="N2806">
        <v>6032.7608289999998</v>
      </c>
    </row>
    <row r="2807" spans="12:14" x14ac:dyDescent="0.55000000000000004">
      <c r="L2807">
        <v>2802</v>
      </c>
      <c r="M2807">
        <v>2.9932E-2</v>
      </c>
      <c r="N2807">
        <v>6032.7608289999998</v>
      </c>
    </row>
    <row r="2808" spans="12:14" x14ac:dyDescent="0.55000000000000004">
      <c r="L2808">
        <v>2803</v>
      </c>
      <c r="M2808">
        <v>2.9932E-2</v>
      </c>
      <c r="N2808">
        <v>6032.7608289999998</v>
      </c>
    </row>
    <row r="2809" spans="12:14" x14ac:dyDescent="0.55000000000000004">
      <c r="L2809">
        <v>2804</v>
      </c>
      <c r="M2809">
        <v>2.9932E-2</v>
      </c>
      <c r="N2809">
        <v>6032.7608289999998</v>
      </c>
    </row>
    <row r="2810" spans="12:14" x14ac:dyDescent="0.55000000000000004">
      <c r="L2810">
        <v>2805</v>
      </c>
      <c r="M2810">
        <v>2.9932E-2</v>
      </c>
      <c r="N2810">
        <v>6032.7608289999998</v>
      </c>
    </row>
    <row r="2811" spans="12:14" x14ac:dyDescent="0.55000000000000004">
      <c r="L2811">
        <v>2806</v>
      </c>
      <c r="M2811">
        <v>2.9932E-2</v>
      </c>
      <c r="N2811">
        <v>6032.7608289999998</v>
      </c>
    </row>
    <row r="2812" spans="12:14" x14ac:dyDescent="0.55000000000000004">
      <c r="L2812">
        <v>2807</v>
      </c>
      <c r="M2812">
        <v>2.9932E-2</v>
      </c>
      <c r="N2812">
        <v>6032.7608289999998</v>
      </c>
    </row>
    <row r="2813" spans="12:14" x14ac:dyDescent="0.55000000000000004">
      <c r="L2813">
        <v>2808</v>
      </c>
      <c r="M2813">
        <v>2.9932E-2</v>
      </c>
      <c r="N2813">
        <v>6032.7608289999998</v>
      </c>
    </row>
    <row r="2814" spans="12:14" x14ac:dyDescent="0.55000000000000004">
      <c r="L2814">
        <v>2809</v>
      </c>
      <c r="M2814">
        <v>2.9932E-2</v>
      </c>
      <c r="N2814">
        <v>6032.7608289999998</v>
      </c>
    </row>
    <row r="2815" spans="12:14" x14ac:dyDescent="0.55000000000000004">
      <c r="L2815">
        <v>2810</v>
      </c>
      <c r="M2815">
        <v>2.9932E-2</v>
      </c>
      <c r="N2815">
        <v>6032.7608289999998</v>
      </c>
    </row>
    <row r="2816" spans="12:14" x14ac:dyDescent="0.55000000000000004">
      <c r="L2816">
        <v>2811</v>
      </c>
      <c r="M2816">
        <v>2.9932E-2</v>
      </c>
      <c r="N2816">
        <v>6032.7608289999998</v>
      </c>
    </row>
    <row r="2817" spans="12:14" x14ac:dyDescent="0.55000000000000004">
      <c r="L2817">
        <v>2812</v>
      </c>
      <c r="M2817">
        <v>2.9932E-2</v>
      </c>
      <c r="N2817">
        <v>6032.7608289999998</v>
      </c>
    </row>
    <row r="2818" spans="12:14" x14ac:dyDescent="0.55000000000000004">
      <c r="L2818">
        <v>2813</v>
      </c>
      <c r="M2818">
        <v>2.9932E-2</v>
      </c>
      <c r="N2818">
        <v>6032.7608289999998</v>
      </c>
    </row>
    <row r="2819" spans="12:14" x14ac:dyDescent="0.55000000000000004">
      <c r="L2819">
        <v>2814</v>
      </c>
      <c r="M2819">
        <v>2.9932E-2</v>
      </c>
      <c r="N2819">
        <v>6032.7608289999998</v>
      </c>
    </row>
    <row r="2820" spans="12:14" x14ac:dyDescent="0.55000000000000004">
      <c r="L2820">
        <v>2815</v>
      </c>
      <c r="M2820">
        <v>2.9932E-2</v>
      </c>
      <c r="N2820">
        <v>6032.7608289999998</v>
      </c>
    </row>
    <row r="2821" spans="12:14" x14ac:dyDescent="0.55000000000000004">
      <c r="L2821">
        <v>2816</v>
      </c>
      <c r="M2821">
        <v>2.9932E-2</v>
      </c>
      <c r="N2821">
        <v>6032.7608289999998</v>
      </c>
    </row>
    <row r="2822" spans="12:14" x14ac:dyDescent="0.55000000000000004">
      <c r="L2822">
        <v>2817</v>
      </c>
      <c r="M2822">
        <v>2.9932E-2</v>
      </c>
      <c r="N2822">
        <v>6032.7608289999998</v>
      </c>
    </row>
    <row r="2823" spans="12:14" x14ac:dyDescent="0.55000000000000004">
      <c r="L2823">
        <v>2818</v>
      </c>
      <c r="M2823">
        <v>2.9932E-2</v>
      </c>
      <c r="N2823">
        <v>6032.7608289999998</v>
      </c>
    </row>
    <row r="2824" spans="12:14" x14ac:dyDescent="0.55000000000000004">
      <c r="L2824">
        <v>2819</v>
      </c>
      <c r="M2824">
        <v>2.9932E-2</v>
      </c>
      <c r="N2824">
        <v>6032.7608289999998</v>
      </c>
    </row>
    <row r="2825" spans="12:14" x14ac:dyDescent="0.55000000000000004">
      <c r="L2825">
        <v>2820</v>
      </c>
      <c r="M2825">
        <v>2.9932E-2</v>
      </c>
      <c r="N2825">
        <v>6032.7608289999998</v>
      </c>
    </row>
    <row r="2826" spans="12:14" x14ac:dyDescent="0.55000000000000004">
      <c r="L2826">
        <v>2821</v>
      </c>
      <c r="M2826">
        <v>2.9932E-2</v>
      </c>
      <c r="N2826">
        <v>6032.7608289999998</v>
      </c>
    </row>
    <row r="2827" spans="12:14" x14ac:dyDescent="0.55000000000000004">
      <c r="L2827">
        <v>2822</v>
      </c>
      <c r="M2827">
        <v>2.9932E-2</v>
      </c>
      <c r="N2827">
        <v>6032.7608289999998</v>
      </c>
    </row>
    <row r="2828" spans="12:14" x14ac:dyDescent="0.55000000000000004">
      <c r="L2828">
        <v>2823</v>
      </c>
      <c r="M2828">
        <v>2.9932E-2</v>
      </c>
      <c r="N2828">
        <v>6032.7608289999998</v>
      </c>
    </row>
    <row r="2829" spans="12:14" x14ac:dyDescent="0.55000000000000004">
      <c r="L2829">
        <v>2824</v>
      </c>
      <c r="M2829">
        <v>2.9932E-2</v>
      </c>
      <c r="N2829">
        <v>6032.7608289999998</v>
      </c>
    </row>
    <row r="2830" spans="12:14" x14ac:dyDescent="0.55000000000000004">
      <c r="L2830">
        <v>2825</v>
      </c>
      <c r="M2830">
        <v>2.9932E-2</v>
      </c>
      <c r="N2830">
        <v>6032.7608289999998</v>
      </c>
    </row>
    <row r="2831" spans="12:14" x14ac:dyDescent="0.55000000000000004">
      <c r="L2831">
        <v>2826</v>
      </c>
      <c r="M2831">
        <v>2.9932E-2</v>
      </c>
      <c r="N2831">
        <v>6032.7608289999998</v>
      </c>
    </row>
    <row r="2832" spans="12:14" x14ac:dyDescent="0.55000000000000004">
      <c r="L2832">
        <v>2827</v>
      </c>
      <c r="M2832">
        <v>2.9932E-2</v>
      </c>
      <c r="N2832">
        <v>6032.7608289999998</v>
      </c>
    </row>
    <row r="2833" spans="12:14" x14ac:dyDescent="0.55000000000000004">
      <c r="L2833">
        <v>2828</v>
      </c>
      <c r="M2833">
        <v>2.9932E-2</v>
      </c>
      <c r="N2833">
        <v>6032.7608289999998</v>
      </c>
    </row>
    <row r="2834" spans="12:14" x14ac:dyDescent="0.55000000000000004">
      <c r="L2834">
        <v>2829</v>
      </c>
      <c r="M2834">
        <v>2.9932E-2</v>
      </c>
      <c r="N2834">
        <v>6032.7608289999998</v>
      </c>
    </row>
    <row r="2835" spans="12:14" x14ac:dyDescent="0.55000000000000004">
      <c r="L2835">
        <v>2830</v>
      </c>
      <c r="M2835">
        <v>2.9932E-2</v>
      </c>
      <c r="N2835">
        <v>6032.7608289999998</v>
      </c>
    </row>
    <row r="2836" spans="12:14" x14ac:dyDescent="0.55000000000000004">
      <c r="L2836">
        <v>2831</v>
      </c>
      <c r="M2836">
        <v>2.9932E-2</v>
      </c>
      <c r="N2836">
        <v>6032.7608289999998</v>
      </c>
    </row>
    <row r="2837" spans="12:14" x14ac:dyDescent="0.55000000000000004">
      <c r="L2837">
        <v>2832</v>
      </c>
      <c r="M2837">
        <v>2.9932E-2</v>
      </c>
      <c r="N2837">
        <v>6032.7608289999998</v>
      </c>
    </row>
    <row r="2838" spans="12:14" x14ac:dyDescent="0.55000000000000004">
      <c r="L2838">
        <v>2833</v>
      </c>
      <c r="M2838">
        <v>2.9932E-2</v>
      </c>
      <c r="N2838">
        <v>6032.7608289999998</v>
      </c>
    </row>
    <row r="2839" spans="12:14" x14ac:dyDescent="0.55000000000000004">
      <c r="L2839">
        <v>2834</v>
      </c>
      <c r="M2839">
        <v>2.9932E-2</v>
      </c>
      <c r="N2839">
        <v>6032.7608289999998</v>
      </c>
    </row>
    <row r="2840" spans="12:14" x14ac:dyDescent="0.55000000000000004">
      <c r="L2840">
        <v>2835</v>
      </c>
      <c r="M2840">
        <v>2.9932E-2</v>
      </c>
      <c r="N2840">
        <v>6032.7608289999998</v>
      </c>
    </row>
    <row r="2841" spans="12:14" x14ac:dyDescent="0.55000000000000004">
      <c r="L2841">
        <v>2836</v>
      </c>
      <c r="M2841">
        <v>2.9932E-2</v>
      </c>
      <c r="N2841">
        <v>6032.7608289999998</v>
      </c>
    </row>
    <row r="2842" spans="12:14" x14ac:dyDescent="0.55000000000000004">
      <c r="L2842">
        <v>2837</v>
      </c>
      <c r="M2842">
        <v>2.9932E-2</v>
      </c>
      <c r="N2842">
        <v>6032.7608289999998</v>
      </c>
    </row>
    <row r="2843" spans="12:14" x14ac:dyDescent="0.55000000000000004">
      <c r="L2843">
        <v>2838</v>
      </c>
      <c r="M2843">
        <v>2.9932E-2</v>
      </c>
      <c r="N2843">
        <v>6032.7608289999998</v>
      </c>
    </row>
    <row r="2844" spans="12:14" x14ac:dyDescent="0.55000000000000004">
      <c r="L2844">
        <v>2839</v>
      </c>
      <c r="M2844">
        <v>2.9932E-2</v>
      </c>
      <c r="N2844">
        <v>6032.7608289999998</v>
      </c>
    </row>
    <row r="2845" spans="12:14" x14ac:dyDescent="0.55000000000000004">
      <c r="L2845">
        <v>2840</v>
      </c>
      <c r="M2845">
        <v>2.9932E-2</v>
      </c>
      <c r="N2845">
        <v>6032.7608289999998</v>
      </c>
    </row>
    <row r="2846" spans="12:14" x14ac:dyDescent="0.55000000000000004">
      <c r="L2846">
        <v>2841</v>
      </c>
      <c r="M2846">
        <v>2.9932E-2</v>
      </c>
      <c r="N2846">
        <v>6032.7608289999998</v>
      </c>
    </row>
    <row r="2847" spans="12:14" x14ac:dyDescent="0.55000000000000004">
      <c r="L2847">
        <v>2842</v>
      </c>
      <c r="M2847">
        <v>2.9932E-2</v>
      </c>
      <c r="N2847">
        <v>6032.7608289999998</v>
      </c>
    </row>
    <row r="2848" spans="12:14" x14ac:dyDescent="0.55000000000000004">
      <c r="L2848">
        <v>2843</v>
      </c>
      <c r="M2848">
        <v>2.9932E-2</v>
      </c>
      <c r="N2848">
        <v>6032.7608289999998</v>
      </c>
    </row>
    <row r="2849" spans="12:14" x14ac:dyDescent="0.55000000000000004">
      <c r="L2849">
        <v>2844</v>
      </c>
      <c r="M2849">
        <v>2.9932E-2</v>
      </c>
      <c r="N2849">
        <v>6032.7608289999998</v>
      </c>
    </row>
    <row r="2850" spans="12:14" x14ac:dyDescent="0.55000000000000004">
      <c r="L2850">
        <v>2845</v>
      </c>
      <c r="M2850">
        <v>2.9932E-2</v>
      </c>
      <c r="N2850">
        <v>6032.7608289999998</v>
      </c>
    </row>
    <row r="2851" spans="12:14" x14ac:dyDescent="0.55000000000000004">
      <c r="L2851">
        <v>2846</v>
      </c>
      <c r="M2851">
        <v>2.9932E-2</v>
      </c>
      <c r="N2851">
        <v>6032.7608289999998</v>
      </c>
    </row>
    <row r="2852" spans="12:14" x14ac:dyDescent="0.55000000000000004">
      <c r="L2852">
        <v>2847</v>
      </c>
      <c r="M2852">
        <v>2.9932E-2</v>
      </c>
      <c r="N2852">
        <v>6032.7608289999998</v>
      </c>
    </row>
    <row r="2853" spans="12:14" x14ac:dyDescent="0.55000000000000004">
      <c r="L2853">
        <v>2848</v>
      </c>
      <c r="M2853">
        <v>2.9932E-2</v>
      </c>
      <c r="N2853">
        <v>6032.7608289999998</v>
      </c>
    </row>
    <row r="2854" spans="12:14" x14ac:dyDescent="0.55000000000000004">
      <c r="L2854">
        <v>2849</v>
      </c>
      <c r="M2854">
        <v>2.9932E-2</v>
      </c>
      <c r="N2854">
        <v>6032.7608289999998</v>
      </c>
    </row>
    <row r="2855" spans="12:14" x14ac:dyDescent="0.55000000000000004">
      <c r="L2855">
        <v>2850</v>
      </c>
      <c r="M2855">
        <v>2.9932E-2</v>
      </c>
      <c r="N2855">
        <v>6032.7608289999998</v>
      </c>
    </row>
    <row r="2856" spans="12:14" x14ac:dyDescent="0.55000000000000004">
      <c r="L2856">
        <v>2851</v>
      </c>
      <c r="M2856">
        <v>2.9932E-2</v>
      </c>
      <c r="N2856">
        <v>6032.7608289999998</v>
      </c>
    </row>
    <row r="2857" spans="12:14" x14ac:dyDescent="0.55000000000000004">
      <c r="L2857">
        <v>2852</v>
      </c>
      <c r="M2857">
        <v>2.9932E-2</v>
      </c>
      <c r="N2857">
        <v>6032.7608289999998</v>
      </c>
    </row>
    <row r="2858" spans="12:14" x14ac:dyDescent="0.55000000000000004">
      <c r="L2858">
        <v>2853</v>
      </c>
      <c r="M2858">
        <v>2.9932E-2</v>
      </c>
      <c r="N2858">
        <v>6032.7608289999998</v>
      </c>
    </row>
    <row r="2859" spans="12:14" x14ac:dyDescent="0.55000000000000004">
      <c r="L2859">
        <v>2854</v>
      </c>
      <c r="M2859">
        <v>2.9932E-2</v>
      </c>
      <c r="N2859">
        <v>6032.7608289999998</v>
      </c>
    </row>
    <row r="2860" spans="12:14" x14ac:dyDescent="0.55000000000000004">
      <c r="L2860">
        <v>2855</v>
      </c>
      <c r="M2860">
        <v>2.9932E-2</v>
      </c>
      <c r="N2860">
        <v>6032.7608289999998</v>
      </c>
    </row>
    <row r="2861" spans="12:14" x14ac:dyDescent="0.55000000000000004">
      <c r="L2861">
        <v>2856</v>
      </c>
      <c r="M2861">
        <v>2.9932E-2</v>
      </c>
      <c r="N2861">
        <v>6032.7608289999998</v>
      </c>
    </row>
    <row r="2862" spans="12:14" x14ac:dyDescent="0.55000000000000004">
      <c r="L2862">
        <v>2857</v>
      </c>
      <c r="M2862">
        <v>2.9932E-2</v>
      </c>
      <c r="N2862">
        <v>6032.7608289999998</v>
      </c>
    </row>
    <row r="2863" spans="12:14" x14ac:dyDescent="0.55000000000000004">
      <c r="L2863">
        <v>2858</v>
      </c>
      <c r="M2863">
        <v>2.9932E-2</v>
      </c>
      <c r="N2863">
        <v>6032.7608289999998</v>
      </c>
    </row>
    <row r="2864" spans="12:14" x14ac:dyDescent="0.55000000000000004">
      <c r="L2864">
        <v>2859</v>
      </c>
      <c r="M2864">
        <v>2.9932E-2</v>
      </c>
      <c r="N2864">
        <v>6032.7608289999998</v>
      </c>
    </row>
    <row r="2865" spans="12:14" x14ac:dyDescent="0.55000000000000004">
      <c r="L2865">
        <v>2860</v>
      </c>
      <c r="M2865">
        <v>2.9932E-2</v>
      </c>
      <c r="N2865">
        <v>6032.7608289999998</v>
      </c>
    </row>
    <row r="2866" spans="12:14" x14ac:dyDescent="0.55000000000000004">
      <c r="L2866">
        <v>2861</v>
      </c>
      <c r="M2866">
        <v>2.9932E-2</v>
      </c>
      <c r="N2866">
        <v>6032.7608289999998</v>
      </c>
    </row>
    <row r="2867" spans="12:14" x14ac:dyDescent="0.55000000000000004">
      <c r="L2867">
        <v>2862</v>
      </c>
      <c r="M2867">
        <v>2.9932E-2</v>
      </c>
      <c r="N2867">
        <v>6032.7608289999998</v>
      </c>
    </row>
    <row r="2868" spans="12:14" x14ac:dyDescent="0.55000000000000004">
      <c r="L2868">
        <v>2863</v>
      </c>
      <c r="M2868">
        <v>2.9932E-2</v>
      </c>
      <c r="N2868">
        <v>6032.7608289999998</v>
      </c>
    </row>
    <row r="2869" spans="12:14" x14ac:dyDescent="0.55000000000000004">
      <c r="L2869">
        <v>2864</v>
      </c>
      <c r="M2869">
        <v>2.9932E-2</v>
      </c>
      <c r="N2869">
        <v>6032.7608289999998</v>
      </c>
    </row>
    <row r="2870" spans="12:14" x14ac:dyDescent="0.55000000000000004">
      <c r="L2870">
        <v>2865</v>
      </c>
      <c r="M2870">
        <v>2.9932E-2</v>
      </c>
      <c r="N2870">
        <v>6032.7608289999998</v>
      </c>
    </row>
    <row r="2871" spans="12:14" x14ac:dyDescent="0.55000000000000004">
      <c r="L2871">
        <v>2866</v>
      </c>
      <c r="M2871">
        <v>2.9932E-2</v>
      </c>
      <c r="N2871">
        <v>6032.7608289999998</v>
      </c>
    </row>
    <row r="2872" spans="12:14" x14ac:dyDescent="0.55000000000000004">
      <c r="L2872">
        <v>2867</v>
      </c>
      <c r="M2872">
        <v>2.9932E-2</v>
      </c>
      <c r="N2872">
        <v>6032.7608289999998</v>
      </c>
    </row>
    <row r="2873" spans="12:14" x14ac:dyDescent="0.55000000000000004">
      <c r="L2873">
        <v>2868</v>
      </c>
      <c r="M2873">
        <v>2.9932E-2</v>
      </c>
      <c r="N2873">
        <v>6032.7608289999998</v>
      </c>
    </row>
    <row r="2874" spans="12:14" x14ac:dyDescent="0.55000000000000004">
      <c r="L2874">
        <v>2869</v>
      </c>
      <c r="M2874">
        <v>2.9932E-2</v>
      </c>
      <c r="N2874">
        <v>6032.7608289999998</v>
      </c>
    </row>
    <row r="2875" spans="12:14" x14ac:dyDescent="0.55000000000000004">
      <c r="L2875">
        <v>2870</v>
      </c>
      <c r="M2875">
        <v>2.9932E-2</v>
      </c>
      <c r="N2875">
        <v>6032.7608289999998</v>
      </c>
    </row>
    <row r="2876" spans="12:14" x14ac:dyDescent="0.55000000000000004">
      <c r="L2876">
        <v>2871</v>
      </c>
      <c r="M2876">
        <v>2.9932E-2</v>
      </c>
      <c r="N2876">
        <v>6032.7608289999998</v>
      </c>
    </row>
    <row r="2877" spans="12:14" x14ac:dyDescent="0.55000000000000004">
      <c r="L2877">
        <v>2872</v>
      </c>
      <c r="M2877">
        <v>2.9932E-2</v>
      </c>
      <c r="N2877">
        <v>6032.7608289999998</v>
      </c>
    </row>
    <row r="2878" spans="12:14" x14ac:dyDescent="0.55000000000000004">
      <c r="L2878">
        <v>2873</v>
      </c>
      <c r="M2878">
        <v>2.9932E-2</v>
      </c>
      <c r="N2878">
        <v>6032.7608289999998</v>
      </c>
    </row>
    <row r="2879" spans="12:14" x14ac:dyDescent="0.55000000000000004">
      <c r="L2879">
        <v>2874</v>
      </c>
      <c r="M2879">
        <v>2.9932E-2</v>
      </c>
      <c r="N2879">
        <v>6032.7608289999998</v>
      </c>
    </row>
    <row r="2880" spans="12:14" x14ac:dyDescent="0.55000000000000004">
      <c r="L2880">
        <v>2875</v>
      </c>
      <c r="M2880">
        <v>2.9932E-2</v>
      </c>
      <c r="N2880">
        <v>6032.7608289999998</v>
      </c>
    </row>
    <row r="2881" spans="12:14" x14ac:dyDescent="0.55000000000000004">
      <c r="L2881">
        <v>2876</v>
      </c>
      <c r="M2881">
        <v>2.9932E-2</v>
      </c>
      <c r="N2881">
        <v>6032.7608289999998</v>
      </c>
    </row>
    <row r="2882" spans="12:14" x14ac:dyDescent="0.55000000000000004">
      <c r="L2882">
        <v>2877</v>
      </c>
      <c r="M2882">
        <v>2.9932E-2</v>
      </c>
      <c r="N2882">
        <v>6032.7608289999998</v>
      </c>
    </row>
    <row r="2883" spans="12:14" x14ac:dyDescent="0.55000000000000004">
      <c r="L2883">
        <v>2878</v>
      </c>
      <c r="M2883">
        <v>2.9932E-2</v>
      </c>
      <c r="N2883">
        <v>6032.7608289999998</v>
      </c>
    </row>
    <row r="2884" spans="12:14" x14ac:dyDescent="0.55000000000000004">
      <c r="L2884">
        <v>2879</v>
      </c>
      <c r="M2884">
        <v>2.9932E-2</v>
      </c>
      <c r="N2884">
        <v>6032.7608289999998</v>
      </c>
    </row>
    <row r="2885" spans="12:14" x14ac:dyDescent="0.55000000000000004">
      <c r="L2885">
        <v>2880</v>
      </c>
      <c r="M2885">
        <v>2.9932E-2</v>
      </c>
      <c r="N2885">
        <v>6032.7608289999998</v>
      </c>
    </row>
    <row r="2886" spans="12:14" x14ac:dyDescent="0.55000000000000004">
      <c r="L2886">
        <v>2881</v>
      </c>
      <c r="M2886">
        <v>2.9932E-2</v>
      </c>
      <c r="N2886">
        <v>6032.7608289999998</v>
      </c>
    </row>
    <row r="2887" spans="12:14" x14ac:dyDescent="0.55000000000000004">
      <c r="L2887">
        <v>2882</v>
      </c>
      <c r="M2887">
        <v>2.9932E-2</v>
      </c>
      <c r="N2887">
        <v>6032.7608289999998</v>
      </c>
    </row>
    <row r="2888" spans="12:14" x14ac:dyDescent="0.55000000000000004">
      <c r="L2888">
        <v>2883</v>
      </c>
      <c r="M2888">
        <v>2.9932E-2</v>
      </c>
      <c r="N2888">
        <v>6032.7608289999998</v>
      </c>
    </row>
    <row r="2889" spans="12:14" x14ac:dyDescent="0.55000000000000004">
      <c r="L2889">
        <v>2884</v>
      </c>
      <c r="M2889">
        <v>2.9932E-2</v>
      </c>
      <c r="N2889">
        <v>6032.7608289999998</v>
      </c>
    </row>
    <row r="2890" spans="12:14" x14ac:dyDescent="0.55000000000000004">
      <c r="L2890">
        <v>2885</v>
      </c>
      <c r="M2890">
        <v>2.9932E-2</v>
      </c>
      <c r="N2890">
        <v>6032.7608289999998</v>
      </c>
    </row>
    <row r="2891" spans="12:14" x14ac:dyDescent="0.55000000000000004">
      <c r="L2891">
        <v>2886</v>
      </c>
      <c r="M2891">
        <v>2.9932E-2</v>
      </c>
      <c r="N2891">
        <v>6032.7608289999998</v>
      </c>
    </row>
    <row r="2892" spans="12:14" x14ac:dyDescent="0.55000000000000004">
      <c r="L2892">
        <v>2887</v>
      </c>
      <c r="M2892">
        <v>2.9932E-2</v>
      </c>
      <c r="N2892">
        <v>6032.7608289999998</v>
      </c>
    </row>
    <row r="2893" spans="12:14" x14ac:dyDescent="0.55000000000000004">
      <c r="L2893">
        <v>2888</v>
      </c>
      <c r="M2893">
        <v>2.9932E-2</v>
      </c>
      <c r="N2893">
        <v>6032.7608289999998</v>
      </c>
    </row>
    <row r="2894" spans="12:14" x14ac:dyDescent="0.55000000000000004">
      <c r="L2894">
        <v>2889</v>
      </c>
      <c r="M2894">
        <v>2.9932E-2</v>
      </c>
      <c r="N2894">
        <v>6032.7608289999998</v>
      </c>
    </row>
    <row r="2895" spans="12:14" x14ac:dyDescent="0.55000000000000004">
      <c r="L2895">
        <v>2890</v>
      </c>
      <c r="M2895">
        <v>2.9932E-2</v>
      </c>
      <c r="N2895">
        <v>6032.7608289999998</v>
      </c>
    </row>
    <row r="2896" spans="12:14" x14ac:dyDescent="0.55000000000000004">
      <c r="L2896">
        <v>2891</v>
      </c>
      <c r="M2896">
        <v>2.9932E-2</v>
      </c>
      <c r="N2896">
        <v>6032.7608289999998</v>
      </c>
    </row>
    <row r="2897" spans="12:14" x14ac:dyDescent="0.55000000000000004">
      <c r="L2897">
        <v>2892</v>
      </c>
      <c r="M2897">
        <v>2.9932E-2</v>
      </c>
      <c r="N2897">
        <v>6032.7608289999998</v>
      </c>
    </row>
    <row r="2898" spans="12:14" x14ac:dyDescent="0.55000000000000004">
      <c r="L2898">
        <v>2893</v>
      </c>
      <c r="M2898">
        <v>2.9932E-2</v>
      </c>
      <c r="N2898">
        <v>6032.7608289999998</v>
      </c>
    </row>
    <row r="2899" spans="12:14" x14ac:dyDescent="0.55000000000000004">
      <c r="L2899">
        <v>2894</v>
      </c>
      <c r="M2899">
        <v>2.9932E-2</v>
      </c>
      <c r="N2899">
        <v>6032.7608289999998</v>
      </c>
    </row>
    <row r="2900" spans="12:14" x14ac:dyDescent="0.55000000000000004">
      <c r="L2900">
        <v>2895</v>
      </c>
      <c r="M2900">
        <v>2.9932E-2</v>
      </c>
      <c r="N2900">
        <v>6032.7608289999998</v>
      </c>
    </row>
    <row r="2901" spans="12:14" x14ac:dyDescent="0.55000000000000004">
      <c r="L2901">
        <v>2896</v>
      </c>
      <c r="M2901">
        <v>2.9932E-2</v>
      </c>
      <c r="N2901">
        <v>6032.7608289999998</v>
      </c>
    </row>
    <row r="2902" spans="12:14" x14ac:dyDescent="0.55000000000000004">
      <c r="L2902">
        <v>2897</v>
      </c>
      <c r="M2902">
        <v>2.9932E-2</v>
      </c>
      <c r="N2902">
        <v>6032.7608289999998</v>
      </c>
    </row>
    <row r="2903" spans="12:14" x14ac:dyDescent="0.55000000000000004">
      <c r="L2903">
        <v>2898</v>
      </c>
      <c r="M2903">
        <v>2.9932E-2</v>
      </c>
      <c r="N2903">
        <v>6032.7608289999998</v>
      </c>
    </row>
    <row r="2904" spans="12:14" x14ac:dyDescent="0.55000000000000004">
      <c r="L2904">
        <v>2899</v>
      </c>
      <c r="M2904">
        <v>2.9932E-2</v>
      </c>
      <c r="N2904">
        <v>6032.7608289999998</v>
      </c>
    </row>
    <row r="2905" spans="12:14" x14ac:dyDescent="0.55000000000000004">
      <c r="L2905">
        <v>2900</v>
      </c>
      <c r="M2905">
        <v>2.9932E-2</v>
      </c>
      <c r="N2905">
        <v>6032.7608289999998</v>
      </c>
    </row>
    <row r="2906" spans="12:14" x14ac:dyDescent="0.55000000000000004">
      <c r="L2906">
        <v>2901</v>
      </c>
      <c r="M2906">
        <v>2.9932E-2</v>
      </c>
      <c r="N2906">
        <v>6032.7608289999998</v>
      </c>
    </row>
    <row r="2907" spans="12:14" x14ac:dyDescent="0.55000000000000004">
      <c r="L2907">
        <v>2902</v>
      </c>
      <c r="M2907">
        <v>2.9932E-2</v>
      </c>
      <c r="N2907">
        <v>6032.7608289999998</v>
      </c>
    </row>
    <row r="2908" spans="12:14" x14ac:dyDescent="0.55000000000000004">
      <c r="L2908">
        <v>2903</v>
      </c>
      <c r="M2908">
        <v>2.9932E-2</v>
      </c>
      <c r="N2908">
        <v>6032.7608289999998</v>
      </c>
    </row>
    <row r="2909" spans="12:14" x14ac:dyDescent="0.55000000000000004">
      <c r="L2909">
        <v>2904</v>
      </c>
      <c r="M2909">
        <v>2.9932E-2</v>
      </c>
      <c r="N2909">
        <v>6032.7608289999998</v>
      </c>
    </row>
    <row r="2910" spans="12:14" x14ac:dyDescent="0.55000000000000004">
      <c r="L2910">
        <v>2905</v>
      </c>
      <c r="M2910">
        <v>2.9932E-2</v>
      </c>
      <c r="N2910">
        <v>6032.7608289999998</v>
      </c>
    </row>
    <row r="2911" spans="12:14" x14ac:dyDescent="0.55000000000000004">
      <c r="L2911">
        <v>2906</v>
      </c>
      <c r="M2911">
        <v>2.9932E-2</v>
      </c>
      <c r="N2911">
        <v>6032.7608289999998</v>
      </c>
    </row>
    <row r="2912" spans="12:14" x14ac:dyDescent="0.55000000000000004">
      <c r="L2912">
        <v>2907</v>
      </c>
      <c r="M2912">
        <v>2.9932E-2</v>
      </c>
      <c r="N2912">
        <v>6032.7608289999998</v>
      </c>
    </row>
    <row r="2913" spans="12:14" x14ac:dyDescent="0.55000000000000004">
      <c r="L2913">
        <v>2908</v>
      </c>
      <c r="M2913">
        <v>2.9932E-2</v>
      </c>
      <c r="N2913">
        <v>6032.7608289999998</v>
      </c>
    </row>
    <row r="2914" spans="12:14" x14ac:dyDescent="0.55000000000000004">
      <c r="L2914">
        <v>2909</v>
      </c>
      <c r="M2914">
        <v>2.9932E-2</v>
      </c>
      <c r="N2914">
        <v>6032.7608289999998</v>
      </c>
    </row>
    <row r="2915" spans="12:14" x14ac:dyDescent="0.55000000000000004">
      <c r="L2915">
        <v>2910</v>
      </c>
      <c r="M2915">
        <v>2.9932E-2</v>
      </c>
      <c r="N2915">
        <v>6032.7608289999998</v>
      </c>
    </row>
    <row r="2916" spans="12:14" x14ac:dyDescent="0.55000000000000004">
      <c r="L2916">
        <v>2911</v>
      </c>
      <c r="M2916">
        <v>2.9932E-2</v>
      </c>
      <c r="N2916">
        <v>6032.7608289999998</v>
      </c>
    </row>
    <row r="2917" spans="12:14" x14ac:dyDescent="0.55000000000000004">
      <c r="L2917">
        <v>2912</v>
      </c>
      <c r="M2917">
        <v>2.9932E-2</v>
      </c>
      <c r="N2917">
        <v>6032.7608289999998</v>
      </c>
    </row>
    <row r="2918" spans="12:14" x14ac:dyDescent="0.55000000000000004">
      <c r="L2918">
        <v>2913</v>
      </c>
      <c r="M2918">
        <v>2.9932E-2</v>
      </c>
      <c r="N2918">
        <v>6032.7608289999998</v>
      </c>
    </row>
    <row r="2919" spans="12:14" x14ac:dyDescent="0.55000000000000004">
      <c r="L2919">
        <v>2914</v>
      </c>
      <c r="M2919">
        <v>2.9932E-2</v>
      </c>
      <c r="N2919">
        <v>6032.7608289999998</v>
      </c>
    </row>
    <row r="2920" spans="12:14" x14ac:dyDescent="0.55000000000000004">
      <c r="L2920">
        <v>2915</v>
      </c>
      <c r="M2920">
        <v>2.9932E-2</v>
      </c>
      <c r="N2920">
        <v>6032.7608289999998</v>
      </c>
    </row>
    <row r="2921" spans="12:14" x14ac:dyDescent="0.55000000000000004">
      <c r="L2921">
        <v>2916</v>
      </c>
      <c r="M2921">
        <v>2.9932E-2</v>
      </c>
      <c r="N2921">
        <v>6032.7608289999998</v>
      </c>
    </row>
    <row r="2922" spans="12:14" x14ac:dyDescent="0.55000000000000004">
      <c r="L2922">
        <v>2917</v>
      </c>
      <c r="M2922">
        <v>2.9932E-2</v>
      </c>
      <c r="N2922">
        <v>6032.7608289999998</v>
      </c>
    </row>
    <row r="2923" spans="12:14" x14ac:dyDescent="0.55000000000000004">
      <c r="L2923">
        <v>2918</v>
      </c>
      <c r="M2923">
        <v>2.9932E-2</v>
      </c>
      <c r="N2923">
        <v>6032.7608289999998</v>
      </c>
    </row>
    <row r="2924" spans="12:14" x14ac:dyDescent="0.55000000000000004">
      <c r="L2924">
        <v>2919</v>
      </c>
      <c r="M2924">
        <v>2.9932E-2</v>
      </c>
      <c r="N2924">
        <v>6032.7608289999998</v>
      </c>
    </row>
    <row r="2925" spans="12:14" x14ac:dyDescent="0.55000000000000004">
      <c r="L2925">
        <v>2920</v>
      </c>
      <c r="M2925">
        <v>2.9932E-2</v>
      </c>
      <c r="N2925">
        <v>6032.7608289999998</v>
      </c>
    </row>
    <row r="2926" spans="12:14" x14ac:dyDescent="0.55000000000000004">
      <c r="L2926">
        <v>2921</v>
      </c>
      <c r="M2926">
        <v>2.9932E-2</v>
      </c>
      <c r="N2926">
        <v>6032.7608289999998</v>
      </c>
    </row>
    <row r="2927" spans="12:14" x14ac:dyDescent="0.55000000000000004">
      <c r="L2927">
        <v>2922</v>
      </c>
      <c r="M2927">
        <v>2.9932E-2</v>
      </c>
      <c r="N2927">
        <v>6032.7608289999998</v>
      </c>
    </row>
    <row r="2928" spans="12:14" x14ac:dyDescent="0.55000000000000004">
      <c r="L2928">
        <v>2923</v>
      </c>
      <c r="M2928">
        <v>2.9932E-2</v>
      </c>
      <c r="N2928">
        <v>6032.7608289999998</v>
      </c>
    </row>
    <row r="2929" spans="12:14" x14ac:dyDescent="0.55000000000000004">
      <c r="L2929">
        <v>2924</v>
      </c>
      <c r="M2929">
        <v>2.9932E-2</v>
      </c>
      <c r="N2929">
        <v>6032.7608289999998</v>
      </c>
    </row>
    <row r="2930" spans="12:14" x14ac:dyDescent="0.55000000000000004">
      <c r="L2930">
        <v>2925</v>
      </c>
      <c r="M2930">
        <v>2.9932E-2</v>
      </c>
      <c r="N2930">
        <v>6032.7608289999998</v>
      </c>
    </row>
    <row r="2931" spans="12:14" x14ac:dyDescent="0.55000000000000004">
      <c r="L2931">
        <v>2926</v>
      </c>
      <c r="M2931">
        <v>2.9932E-2</v>
      </c>
      <c r="N2931">
        <v>6032.7608289999998</v>
      </c>
    </row>
    <row r="2932" spans="12:14" x14ac:dyDescent="0.55000000000000004">
      <c r="L2932">
        <v>2927</v>
      </c>
      <c r="M2932">
        <v>2.9932E-2</v>
      </c>
      <c r="N2932">
        <v>6032.7608289999998</v>
      </c>
    </row>
    <row r="2933" spans="12:14" x14ac:dyDescent="0.55000000000000004">
      <c r="L2933">
        <v>2928</v>
      </c>
      <c r="M2933">
        <v>2.9932E-2</v>
      </c>
      <c r="N2933">
        <v>6032.7608289999998</v>
      </c>
    </row>
    <row r="2934" spans="12:14" x14ac:dyDescent="0.55000000000000004">
      <c r="L2934">
        <v>2929</v>
      </c>
      <c r="M2934">
        <v>2.9932E-2</v>
      </c>
      <c r="N2934">
        <v>6032.7608289999998</v>
      </c>
    </row>
    <row r="2935" spans="12:14" x14ac:dyDescent="0.55000000000000004">
      <c r="L2935">
        <v>2930</v>
      </c>
      <c r="M2935">
        <v>2.9932E-2</v>
      </c>
      <c r="N2935">
        <v>6032.7608289999998</v>
      </c>
    </row>
    <row r="2936" spans="12:14" x14ac:dyDescent="0.55000000000000004">
      <c r="L2936">
        <v>2931</v>
      </c>
      <c r="M2936">
        <v>2.9932E-2</v>
      </c>
      <c r="N2936">
        <v>6032.7608289999998</v>
      </c>
    </row>
    <row r="2937" spans="12:14" x14ac:dyDescent="0.55000000000000004">
      <c r="L2937">
        <v>2932</v>
      </c>
      <c r="M2937">
        <v>2.9932E-2</v>
      </c>
      <c r="N2937">
        <v>6032.7608289999998</v>
      </c>
    </row>
    <row r="2938" spans="12:14" x14ac:dyDescent="0.55000000000000004">
      <c r="L2938">
        <v>2933</v>
      </c>
      <c r="M2938">
        <v>2.9932E-2</v>
      </c>
      <c r="N2938">
        <v>6032.7608289999998</v>
      </c>
    </row>
    <row r="2939" spans="12:14" x14ac:dyDescent="0.55000000000000004">
      <c r="L2939">
        <v>2934</v>
      </c>
      <c r="M2939">
        <v>2.9932E-2</v>
      </c>
      <c r="N2939">
        <v>6032.7608289999998</v>
      </c>
    </row>
    <row r="2940" spans="12:14" x14ac:dyDescent="0.55000000000000004">
      <c r="L2940">
        <v>2935</v>
      </c>
      <c r="M2940">
        <v>2.9932E-2</v>
      </c>
      <c r="N2940">
        <v>6032.7608289999998</v>
      </c>
    </row>
    <row r="2941" spans="12:14" x14ac:dyDescent="0.55000000000000004">
      <c r="L2941">
        <v>2936</v>
      </c>
      <c r="M2941">
        <v>2.9932E-2</v>
      </c>
      <c r="N2941">
        <v>6032.7608289999998</v>
      </c>
    </row>
    <row r="2942" spans="12:14" x14ac:dyDescent="0.55000000000000004">
      <c r="L2942">
        <v>2937</v>
      </c>
      <c r="M2942">
        <v>2.9932E-2</v>
      </c>
      <c r="N2942">
        <v>6032.7608289999998</v>
      </c>
    </row>
    <row r="2943" spans="12:14" x14ac:dyDescent="0.55000000000000004">
      <c r="L2943">
        <v>2938</v>
      </c>
      <c r="M2943">
        <v>2.9932E-2</v>
      </c>
      <c r="N2943">
        <v>6032.7608289999998</v>
      </c>
    </row>
    <row r="2944" spans="12:14" x14ac:dyDescent="0.55000000000000004">
      <c r="L2944">
        <v>2939</v>
      </c>
      <c r="M2944">
        <v>2.9932E-2</v>
      </c>
      <c r="N2944">
        <v>6032.7608289999998</v>
      </c>
    </row>
    <row r="2945" spans="12:14" x14ac:dyDescent="0.55000000000000004">
      <c r="L2945">
        <v>2940</v>
      </c>
      <c r="M2945">
        <v>2.9932E-2</v>
      </c>
      <c r="N2945">
        <v>6032.7608289999998</v>
      </c>
    </row>
    <row r="2946" spans="12:14" x14ac:dyDescent="0.55000000000000004">
      <c r="L2946">
        <v>2941</v>
      </c>
      <c r="M2946">
        <v>2.9932E-2</v>
      </c>
      <c r="N2946">
        <v>6032.7608289999998</v>
      </c>
    </row>
    <row r="2947" spans="12:14" x14ac:dyDescent="0.55000000000000004">
      <c r="L2947">
        <v>2942</v>
      </c>
      <c r="M2947">
        <v>2.9932E-2</v>
      </c>
      <c r="N2947">
        <v>6032.7608289999998</v>
      </c>
    </row>
    <row r="2948" spans="12:14" x14ac:dyDescent="0.55000000000000004">
      <c r="L2948">
        <v>2943</v>
      </c>
      <c r="M2948">
        <v>2.9932E-2</v>
      </c>
      <c r="N2948">
        <v>6032.7608289999998</v>
      </c>
    </row>
    <row r="2949" spans="12:14" x14ac:dyDescent="0.55000000000000004">
      <c r="L2949">
        <v>2944</v>
      </c>
      <c r="M2949">
        <v>2.9932E-2</v>
      </c>
      <c r="N2949">
        <v>6032.7608289999998</v>
      </c>
    </row>
    <row r="2950" spans="12:14" x14ac:dyDescent="0.55000000000000004">
      <c r="L2950">
        <v>2945</v>
      </c>
      <c r="M2950">
        <v>2.9932E-2</v>
      </c>
      <c r="N2950">
        <v>6032.7608289999998</v>
      </c>
    </row>
    <row r="2951" spans="12:14" x14ac:dyDescent="0.55000000000000004">
      <c r="L2951">
        <v>2946</v>
      </c>
      <c r="M2951">
        <v>2.9932E-2</v>
      </c>
      <c r="N2951">
        <v>6032.7608289999998</v>
      </c>
    </row>
    <row r="2952" spans="12:14" x14ac:dyDescent="0.55000000000000004">
      <c r="L2952">
        <v>2947</v>
      </c>
      <c r="M2952">
        <v>2.9932E-2</v>
      </c>
      <c r="N2952">
        <v>6032.7608289999998</v>
      </c>
    </row>
    <row r="2953" spans="12:14" x14ac:dyDescent="0.55000000000000004">
      <c r="L2953">
        <v>2948</v>
      </c>
      <c r="M2953">
        <v>2.9932E-2</v>
      </c>
      <c r="N2953">
        <v>6032.7608289999998</v>
      </c>
    </row>
    <row r="2954" spans="12:14" x14ac:dyDescent="0.55000000000000004">
      <c r="L2954">
        <v>2949</v>
      </c>
      <c r="M2954">
        <v>2.9932E-2</v>
      </c>
      <c r="N2954">
        <v>6032.7608289999998</v>
      </c>
    </row>
    <row r="2955" spans="12:14" x14ac:dyDescent="0.55000000000000004">
      <c r="L2955">
        <v>2950</v>
      </c>
      <c r="M2955">
        <v>2.9932E-2</v>
      </c>
      <c r="N2955">
        <v>6032.7608289999998</v>
      </c>
    </row>
    <row r="2956" spans="12:14" x14ac:dyDescent="0.55000000000000004">
      <c r="L2956">
        <v>2951</v>
      </c>
      <c r="M2956">
        <v>2.9932E-2</v>
      </c>
      <c r="N2956">
        <v>6032.7608289999998</v>
      </c>
    </row>
    <row r="2957" spans="12:14" x14ac:dyDescent="0.55000000000000004">
      <c r="L2957">
        <v>2952</v>
      </c>
      <c r="M2957">
        <v>2.9932E-2</v>
      </c>
      <c r="N2957">
        <v>6032.7608289999998</v>
      </c>
    </row>
    <row r="2958" spans="12:14" x14ac:dyDescent="0.55000000000000004">
      <c r="L2958">
        <v>2953</v>
      </c>
      <c r="M2958">
        <v>2.9932E-2</v>
      </c>
      <c r="N2958">
        <v>6032.7608289999998</v>
      </c>
    </row>
    <row r="2959" spans="12:14" x14ac:dyDescent="0.55000000000000004">
      <c r="L2959">
        <v>2954</v>
      </c>
      <c r="M2959">
        <v>2.9932E-2</v>
      </c>
      <c r="N2959">
        <v>6032.7608289999998</v>
      </c>
    </row>
    <row r="2960" spans="12:14" x14ac:dyDescent="0.55000000000000004">
      <c r="L2960">
        <v>2955</v>
      </c>
      <c r="M2960">
        <v>2.9932E-2</v>
      </c>
      <c r="N2960">
        <v>6032.7608289999998</v>
      </c>
    </row>
    <row r="2961" spans="12:14" x14ac:dyDescent="0.55000000000000004">
      <c r="L2961">
        <v>2956</v>
      </c>
      <c r="M2961">
        <v>2.9932E-2</v>
      </c>
      <c r="N2961">
        <v>6032.7608289999998</v>
      </c>
    </row>
    <row r="2962" spans="12:14" x14ac:dyDescent="0.55000000000000004">
      <c r="L2962">
        <v>2957</v>
      </c>
      <c r="M2962">
        <v>2.9932E-2</v>
      </c>
      <c r="N2962">
        <v>6032.7608289999998</v>
      </c>
    </row>
    <row r="2963" spans="12:14" x14ac:dyDescent="0.55000000000000004">
      <c r="L2963">
        <v>2958</v>
      </c>
      <c r="M2963">
        <v>2.9932E-2</v>
      </c>
      <c r="N2963">
        <v>6032.7608289999998</v>
      </c>
    </row>
    <row r="2964" spans="12:14" x14ac:dyDescent="0.55000000000000004">
      <c r="L2964">
        <v>2959</v>
      </c>
      <c r="M2964">
        <v>2.9932E-2</v>
      </c>
      <c r="N2964">
        <v>6032.7608289999998</v>
      </c>
    </row>
    <row r="2965" spans="12:14" x14ac:dyDescent="0.55000000000000004">
      <c r="L2965">
        <v>2960</v>
      </c>
      <c r="M2965">
        <v>2.9932E-2</v>
      </c>
      <c r="N2965">
        <v>6032.7608289999998</v>
      </c>
    </row>
    <row r="2966" spans="12:14" x14ac:dyDescent="0.55000000000000004">
      <c r="L2966">
        <v>2961</v>
      </c>
      <c r="M2966">
        <v>2.9932E-2</v>
      </c>
      <c r="N2966">
        <v>6032.7608289999998</v>
      </c>
    </row>
    <row r="2967" spans="12:14" x14ac:dyDescent="0.55000000000000004">
      <c r="L2967">
        <v>2962</v>
      </c>
      <c r="M2967">
        <v>2.9932E-2</v>
      </c>
      <c r="N2967">
        <v>6032.7608289999998</v>
      </c>
    </row>
    <row r="2968" spans="12:14" x14ac:dyDescent="0.55000000000000004">
      <c r="L2968">
        <v>2963</v>
      </c>
      <c r="M2968">
        <v>2.9932E-2</v>
      </c>
      <c r="N2968">
        <v>6032.7608289999998</v>
      </c>
    </row>
    <row r="2969" spans="12:14" x14ac:dyDescent="0.55000000000000004">
      <c r="L2969">
        <v>2964</v>
      </c>
      <c r="M2969">
        <v>2.9932E-2</v>
      </c>
      <c r="N2969">
        <v>6032.7608289999998</v>
      </c>
    </row>
    <row r="2970" spans="12:14" x14ac:dyDescent="0.55000000000000004">
      <c r="L2970">
        <v>2965</v>
      </c>
      <c r="M2970">
        <v>2.9932E-2</v>
      </c>
      <c r="N2970">
        <v>6032.7608289999998</v>
      </c>
    </row>
    <row r="2971" spans="12:14" x14ac:dyDescent="0.55000000000000004">
      <c r="L2971">
        <v>2966</v>
      </c>
      <c r="M2971">
        <v>2.9932E-2</v>
      </c>
      <c r="N2971">
        <v>6032.7608289999998</v>
      </c>
    </row>
    <row r="2972" spans="12:14" x14ac:dyDescent="0.55000000000000004">
      <c r="L2972">
        <v>2967</v>
      </c>
      <c r="M2972">
        <v>2.9932E-2</v>
      </c>
      <c r="N2972">
        <v>6032.7608289999998</v>
      </c>
    </row>
    <row r="2973" spans="12:14" x14ac:dyDescent="0.55000000000000004">
      <c r="L2973">
        <v>2968</v>
      </c>
      <c r="M2973">
        <v>2.9932E-2</v>
      </c>
      <c r="N2973">
        <v>6032.7608289999998</v>
      </c>
    </row>
    <row r="2974" spans="12:14" x14ac:dyDescent="0.55000000000000004">
      <c r="L2974">
        <v>2969</v>
      </c>
      <c r="M2974">
        <v>2.9932E-2</v>
      </c>
      <c r="N2974">
        <v>6032.7608289999998</v>
      </c>
    </row>
    <row r="2975" spans="12:14" x14ac:dyDescent="0.55000000000000004">
      <c r="L2975">
        <v>2970</v>
      </c>
      <c r="M2975">
        <v>2.9932E-2</v>
      </c>
      <c r="N2975">
        <v>6032.7608289999998</v>
      </c>
    </row>
    <row r="2976" spans="12:14" x14ac:dyDescent="0.55000000000000004">
      <c r="L2976">
        <v>2971</v>
      </c>
      <c r="M2976">
        <v>2.9932E-2</v>
      </c>
      <c r="N2976">
        <v>6032.7608289999998</v>
      </c>
    </row>
    <row r="2977" spans="12:14" x14ac:dyDescent="0.55000000000000004">
      <c r="L2977">
        <v>2972</v>
      </c>
      <c r="M2977">
        <v>2.9932E-2</v>
      </c>
      <c r="N2977">
        <v>6032.7608289999998</v>
      </c>
    </row>
    <row r="2978" spans="12:14" x14ac:dyDescent="0.55000000000000004">
      <c r="L2978">
        <v>2973</v>
      </c>
      <c r="M2978">
        <v>2.9932E-2</v>
      </c>
      <c r="N2978">
        <v>6032.7608289999998</v>
      </c>
    </row>
    <row r="2979" spans="12:14" x14ac:dyDescent="0.55000000000000004">
      <c r="L2979">
        <v>2974</v>
      </c>
      <c r="M2979">
        <v>2.9932E-2</v>
      </c>
      <c r="N2979">
        <v>6032.7608289999998</v>
      </c>
    </row>
    <row r="2980" spans="12:14" x14ac:dyDescent="0.55000000000000004">
      <c r="L2980">
        <v>2975</v>
      </c>
      <c r="M2980">
        <v>2.9932E-2</v>
      </c>
      <c r="N2980">
        <v>6032.7608289999998</v>
      </c>
    </row>
    <row r="2981" spans="12:14" x14ac:dyDescent="0.55000000000000004">
      <c r="L2981">
        <v>2976</v>
      </c>
      <c r="M2981">
        <v>2.9932E-2</v>
      </c>
      <c r="N2981">
        <v>6032.7608289999998</v>
      </c>
    </row>
    <row r="2982" spans="12:14" x14ac:dyDescent="0.55000000000000004">
      <c r="L2982">
        <v>2977</v>
      </c>
      <c r="M2982">
        <v>2.9932E-2</v>
      </c>
      <c r="N2982">
        <v>6032.7608289999998</v>
      </c>
    </row>
    <row r="2983" spans="12:14" x14ac:dyDescent="0.55000000000000004">
      <c r="L2983">
        <v>2978</v>
      </c>
      <c r="M2983">
        <v>2.9932E-2</v>
      </c>
      <c r="N2983">
        <v>6032.7608289999998</v>
      </c>
    </row>
    <row r="2984" spans="12:14" x14ac:dyDescent="0.55000000000000004">
      <c r="L2984">
        <v>2979</v>
      </c>
      <c r="M2984">
        <v>2.9932E-2</v>
      </c>
      <c r="N2984">
        <v>6032.7608289999998</v>
      </c>
    </row>
    <row r="2985" spans="12:14" x14ac:dyDescent="0.55000000000000004">
      <c r="L2985">
        <v>2980</v>
      </c>
      <c r="M2985">
        <v>2.9932E-2</v>
      </c>
      <c r="N2985">
        <v>6032.7608289999998</v>
      </c>
    </row>
    <row r="2986" spans="12:14" x14ac:dyDescent="0.55000000000000004">
      <c r="L2986">
        <v>2981</v>
      </c>
      <c r="M2986">
        <v>2.9932E-2</v>
      </c>
      <c r="N2986">
        <v>6032.7608289999998</v>
      </c>
    </row>
    <row r="2987" spans="12:14" x14ac:dyDescent="0.55000000000000004">
      <c r="L2987">
        <v>2982</v>
      </c>
      <c r="M2987">
        <v>2.9932E-2</v>
      </c>
      <c r="N2987">
        <v>6032.7608289999998</v>
      </c>
    </row>
    <row r="2988" spans="12:14" x14ac:dyDescent="0.55000000000000004">
      <c r="L2988">
        <v>2983</v>
      </c>
      <c r="M2988">
        <v>2.9932E-2</v>
      </c>
      <c r="N2988">
        <v>6032.7608289999998</v>
      </c>
    </row>
    <row r="2989" spans="12:14" x14ac:dyDescent="0.55000000000000004">
      <c r="L2989">
        <v>2984</v>
      </c>
      <c r="M2989">
        <v>2.9932E-2</v>
      </c>
      <c r="N2989">
        <v>6032.7608289999998</v>
      </c>
    </row>
    <row r="2990" spans="12:14" x14ac:dyDescent="0.55000000000000004">
      <c r="L2990">
        <v>2985</v>
      </c>
      <c r="M2990">
        <v>2.9932E-2</v>
      </c>
      <c r="N2990">
        <v>6032.7608289999998</v>
      </c>
    </row>
    <row r="2991" spans="12:14" x14ac:dyDescent="0.55000000000000004">
      <c r="L2991">
        <v>2986</v>
      </c>
      <c r="M2991">
        <v>2.9932E-2</v>
      </c>
      <c r="N2991">
        <v>6032.7608289999998</v>
      </c>
    </row>
    <row r="2992" spans="12:14" x14ac:dyDescent="0.55000000000000004">
      <c r="L2992">
        <v>2987</v>
      </c>
      <c r="M2992">
        <v>2.9932E-2</v>
      </c>
      <c r="N2992">
        <v>6032.7608289999998</v>
      </c>
    </row>
    <row r="2993" spans="12:14" x14ac:dyDescent="0.55000000000000004">
      <c r="L2993">
        <v>2988</v>
      </c>
      <c r="M2993">
        <v>2.9932E-2</v>
      </c>
      <c r="N2993">
        <v>6032.7608289999998</v>
      </c>
    </row>
    <row r="2994" spans="12:14" x14ac:dyDescent="0.55000000000000004">
      <c r="L2994">
        <v>2989</v>
      </c>
      <c r="M2994">
        <v>2.9932E-2</v>
      </c>
      <c r="N2994">
        <v>6032.7608289999998</v>
      </c>
    </row>
    <row r="2995" spans="12:14" x14ac:dyDescent="0.55000000000000004">
      <c r="L2995">
        <v>2990</v>
      </c>
      <c r="M2995">
        <v>2.9932E-2</v>
      </c>
      <c r="N2995">
        <v>6032.7608289999998</v>
      </c>
    </row>
    <row r="2996" spans="12:14" x14ac:dyDescent="0.55000000000000004">
      <c r="L2996">
        <v>2991</v>
      </c>
      <c r="M2996">
        <v>2.9932E-2</v>
      </c>
      <c r="N2996">
        <v>6032.7608289999998</v>
      </c>
    </row>
    <row r="2997" spans="12:14" x14ac:dyDescent="0.55000000000000004">
      <c r="L2997">
        <v>2992</v>
      </c>
      <c r="M2997">
        <v>2.9932E-2</v>
      </c>
      <c r="N2997">
        <v>6032.7608289999998</v>
      </c>
    </row>
    <row r="2998" spans="12:14" x14ac:dyDescent="0.55000000000000004">
      <c r="L2998">
        <v>2993</v>
      </c>
      <c r="M2998">
        <v>2.9932E-2</v>
      </c>
      <c r="N2998">
        <v>6032.7608289999998</v>
      </c>
    </row>
    <row r="2999" spans="12:14" x14ac:dyDescent="0.55000000000000004">
      <c r="L2999">
        <v>2994</v>
      </c>
      <c r="M2999">
        <v>2.9932E-2</v>
      </c>
      <c r="N2999">
        <v>6032.7608289999998</v>
      </c>
    </row>
    <row r="3000" spans="12:14" x14ac:dyDescent="0.55000000000000004">
      <c r="L3000">
        <v>2995</v>
      </c>
      <c r="M3000">
        <v>2.9932E-2</v>
      </c>
      <c r="N3000">
        <v>6032.7608289999998</v>
      </c>
    </row>
    <row r="3001" spans="12:14" x14ac:dyDescent="0.55000000000000004">
      <c r="L3001">
        <v>2996</v>
      </c>
      <c r="M3001">
        <v>2.9932E-2</v>
      </c>
      <c r="N3001">
        <v>6032.7608289999998</v>
      </c>
    </row>
    <row r="3002" spans="12:14" x14ac:dyDescent="0.55000000000000004">
      <c r="L3002">
        <v>2997</v>
      </c>
      <c r="M3002">
        <v>2.9932E-2</v>
      </c>
      <c r="N3002">
        <v>6032.7608289999998</v>
      </c>
    </row>
    <row r="3003" spans="12:14" x14ac:dyDescent="0.55000000000000004">
      <c r="L3003">
        <v>2998</v>
      </c>
      <c r="M3003">
        <v>2.9932E-2</v>
      </c>
      <c r="N3003">
        <v>6032.7608289999998</v>
      </c>
    </row>
    <row r="3004" spans="12:14" x14ac:dyDescent="0.55000000000000004">
      <c r="L3004">
        <v>2999</v>
      </c>
      <c r="M3004">
        <v>2.9932E-2</v>
      </c>
      <c r="N3004">
        <v>6032.7608289999998</v>
      </c>
    </row>
    <row r="3005" spans="12:14" x14ac:dyDescent="0.55000000000000004">
      <c r="L3005">
        <v>3000</v>
      </c>
      <c r="M3005">
        <v>2.9932E-2</v>
      </c>
      <c r="N3005">
        <v>6032.7608289999998</v>
      </c>
    </row>
    <row r="3006" spans="12:14" x14ac:dyDescent="0.55000000000000004">
      <c r="L3006">
        <v>3001</v>
      </c>
      <c r="M3006">
        <v>2.9932E-2</v>
      </c>
      <c r="N3006">
        <v>6032.7608289999998</v>
      </c>
    </row>
    <row r="3007" spans="12:14" x14ac:dyDescent="0.55000000000000004">
      <c r="L3007">
        <v>3002</v>
      </c>
      <c r="M3007">
        <v>2.9932E-2</v>
      </c>
      <c r="N3007">
        <v>6032.7608289999998</v>
      </c>
    </row>
    <row r="3008" spans="12:14" x14ac:dyDescent="0.55000000000000004">
      <c r="L3008">
        <v>3003</v>
      </c>
      <c r="M3008">
        <v>2.9932E-2</v>
      </c>
      <c r="N3008">
        <v>6032.7608289999998</v>
      </c>
    </row>
    <row r="3009" spans="12:14" x14ac:dyDescent="0.55000000000000004">
      <c r="L3009">
        <v>3004</v>
      </c>
      <c r="M3009">
        <v>2.9932E-2</v>
      </c>
      <c r="N3009">
        <v>6032.7608289999998</v>
      </c>
    </row>
    <row r="3010" spans="12:14" x14ac:dyDescent="0.55000000000000004">
      <c r="L3010">
        <v>3005</v>
      </c>
      <c r="M3010">
        <v>2.9932E-2</v>
      </c>
      <c r="N3010">
        <v>6032.7608289999998</v>
      </c>
    </row>
    <row r="3011" spans="12:14" x14ac:dyDescent="0.55000000000000004">
      <c r="L3011">
        <v>3006</v>
      </c>
      <c r="M3011">
        <v>2.9932E-2</v>
      </c>
      <c r="N3011">
        <v>6032.7608289999998</v>
      </c>
    </row>
    <row r="3012" spans="12:14" x14ac:dyDescent="0.55000000000000004">
      <c r="L3012">
        <v>3007</v>
      </c>
      <c r="M3012">
        <v>2.9932E-2</v>
      </c>
      <c r="N3012">
        <v>6032.7608289999998</v>
      </c>
    </row>
    <row r="3013" spans="12:14" x14ac:dyDescent="0.55000000000000004">
      <c r="L3013">
        <v>3008</v>
      </c>
      <c r="M3013">
        <v>2.9932E-2</v>
      </c>
      <c r="N3013">
        <v>6032.7608289999998</v>
      </c>
    </row>
    <row r="3014" spans="12:14" x14ac:dyDescent="0.55000000000000004">
      <c r="L3014">
        <v>3009</v>
      </c>
      <c r="M3014">
        <v>2.9932E-2</v>
      </c>
      <c r="N3014">
        <v>6032.7608289999998</v>
      </c>
    </row>
    <row r="3015" spans="12:14" x14ac:dyDescent="0.55000000000000004">
      <c r="L3015">
        <v>3010</v>
      </c>
      <c r="M3015">
        <v>2.9932E-2</v>
      </c>
      <c r="N3015">
        <v>6032.7608289999998</v>
      </c>
    </row>
    <row r="3016" spans="12:14" x14ac:dyDescent="0.55000000000000004">
      <c r="L3016">
        <v>3011</v>
      </c>
      <c r="M3016">
        <v>2.9932E-2</v>
      </c>
      <c r="N3016">
        <v>6032.7608289999998</v>
      </c>
    </row>
    <row r="3017" spans="12:14" x14ac:dyDescent="0.55000000000000004">
      <c r="L3017">
        <v>3012</v>
      </c>
      <c r="M3017">
        <v>2.9932E-2</v>
      </c>
      <c r="N3017">
        <v>6032.7608289999998</v>
      </c>
    </row>
    <row r="3018" spans="12:14" x14ac:dyDescent="0.55000000000000004">
      <c r="L3018">
        <v>3013</v>
      </c>
      <c r="M3018">
        <v>2.9932E-2</v>
      </c>
      <c r="N3018">
        <v>6032.7608289999998</v>
      </c>
    </row>
    <row r="3019" spans="12:14" x14ac:dyDescent="0.55000000000000004">
      <c r="L3019">
        <v>3014</v>
      </c>
      <c r="M3019">
        <v>2.9932E-2</v>
      </c>
      <c r="N3019">
        <v>6032.7608289999998</v>
      </c>
    </row>
    <row r="3020" spans="12:14" x14ac:dyDescent="0.55000000000000004">
      <c r="L3020">
        <v>3015</v>
      </c>
      <c r="M3020">
        <v>2.9932E-2</v>
      </c>
      <c r="N3020">
        <v>6032.7608289999998</v>
      </c>
    </row>
    <row r="3021" spans="12:14" x14ac:dyDescent="0.55000000000000004">
      <c r="L3021">
        <v>3016</v>
      </c>
      <c r="M3021">
        <v>2.9932E-2</v>
      </c>
      <c r="N3021">
        <v>6032.7608289999998</v>
      </c>
    </row>
    <row r="3022" spans="12:14" x14ac:dyDescent="0.55000000000000004">
      <c r="L3022">
        <v>3017</v>
      </c>
      <c r="M3022">
        <v>2.9932E-2</v>
      </c>
      <c r="N3022">
        <v>6032.7608289999998</v>
      </c>
    </row>
    <row r="3023" spans="12:14" x14ac:dyDescent="0.55000000000000004">
      <c r="L3023">
        <v>3018</v>
      </c>
      <c r="M3023">
        <v>2.9932E-2</v>
      </c>
      <c r="N3023">
        <v>6032.7608289999998</v>
      </c>
    </row>
    <row r="3024" spans="12:14" x14ac:dyDescent="0.55000000000000004">
      <c r="L3024">
        <v>3019</v>
      </c>
      <c r="M3024">
        <v>2.9932E-2</v>
      </c>
      <c r="N3024">
        <v>6032.7608289999998</v>
      </c>
    </row>
    <row r="3025" spans="12:14" x14ac:dyDescent="0.55000000000000004">
      <c r="L3025">
        <v>3020</v>
      </c>
      <c r="M3025">
        <v>2.9932E-2</v>
      </c>
      <c r="N3025">
        <v>6032.7608289999998</v>
      </c>
    </row>
    <row r="3026" spans="12:14" x14ac:dyDescent="0.55000000000000004">
      <c r="L3026">
        <v>3021</v>
      </c>
      <c r="M3026">
        <v>2.9932E-2</v>
      </c>
      <c r="N3026">
        <v>6032.7608289999998</v>
      </c>
    </row>
    <row r="3027" spans="12:14" x14ac:dyDescent="0.55000000000000004">
      <c r="L3027">
        <v>3022</v>
      </c>
      <c r="M3027">
        <v>2.9932E-2</v>
      </c>
      <c r="N3027">
        <v>6032.7608289999998</v>
      </c>
    </row>
    <row r="3028" spans="12:14" x14ac:dyDescent="0.55000000000000004">
      <c r="L3028">
        <v>3023</v>
      </c>
      <c r="M3028">
        <v>2.9932E-2</v>
      </c>
      <c r="N3028">
        <v>6032.7608289999998</v>
      </c>
    </row>
    <row r="3029" spans="12:14" x14ac:dyDescent="0.55000000000000004">
      <c r="L3029">
        <v>3024</v>
      </c>
      <c r="M3029">
        <v>2.9932E-2</v>
      </c>
      <c r="N3029">
        <v>6032.7608289999998</v>
      </c>
    </row>
    <row r="3030" spans="12:14" x14ac:dyDescent="0.55000000000000004">
      <c r="L3030">
        <v>3025</v>
      </c>
      <c r="M3030">
        <v>2.9932E-2</v>
      </c>
      <c r="N3030">
        <v>6032.7608289999998</v>
      </c>
    </row>
    <row r="3031" spans="12:14" x14ac:dyDescent="0.55000000000000004">
      <c r="L3031">
        <v>3026</v>
      </c>
      <c r="M3031">
        <v>2.9932E-2</v>
      </c>
      <c r="N3031">
        <v>6032.7608289999998</v>
      </c>
    </row>
    <row r="3032" spans="12:14" x14ac:dyDescent="0.55000000000000004">
      <c r="L3032">
        <v>3027</v>
      </c>
      <c r="M3032">
        <v>2.9932E-2</v>
      </c>
      <c r="N3032">
        <v>6032.7608289999998</v>
      </c>
    </row>
    <row r="3033" spans="12:14" x14ac:dyDescent="0.55000000000000004">
      <c r="L3033">
        <v>3028</v>
      </c>
      <c r="M3033">
        <v>2.9932E-2</v>
      </c>
      <c r="N3033">
        <v>6032.7608289999998</v>
      </c>
    </row>
    <row r="3034" spans="12:14" x14ac:dyDescent="0.55000000000000004">
      <c r="L3034">
        <v>3029</v>
      </c>
      <c r="M3034">
        <v>2.9932E-2</v>
      </c>
      <c r="N3034">
        <v>6032.7608289999998</v>
      </c>
    </row>
    <row r="3035" spans="12:14" x14ac:dyDescent="0.55000000000000004">
      <c r="L3035">
        <v>3030</v>
      </c>
      <c r="M3035">
        <v>2.9932E-2</v>
      </c>
      <c r="N3035">
        <v>6032.7608289999998</v>
      </c>
    </row>
    <row r="3036" spans="12:14" x14ac:dyDescent="0.55000000000000004">
      <c r="L3036">
        <v>3031</v>
      </c>
      <c r="M3036">
        <v>2.9932E-2</v>
      </c>
      <c r="N3036">
        <v>6032.7608289999998</v>
      </c>
    </row>
    <row r="3037" spans="12:14" x14ac:dyDescent="0.55000000000000004">
      <c r="L3037">
        <v>3032</v>
      </c>
      <c r="M3037">
        <v>2.9932E-2</v>
      </c>
      <c r="N3037">
        <v>6032.7608289999998</v>
      </c>
    </row>
    <row r="3038" spans="12:14" x14ac:dyDescent="0.55000000000000004">
      <c r="L3038">
        <v>3033</v>
      </c>
      <c r="M3038">
        <v>2.9932E-2</v>
      </c>
      <c r="N3038">
        <v>6032.7608289999998</v>
      </c>
    </row>
    <row r="3039" spans="12:14" x14ac:dyDescent="0.55000000000000004">
      <c r="L3039">
        <v>3034</v>
      </c>
      <c r="M3039">
        <v>2.9932E-2</v>
      </c>
      <c r="N3039">
        <v>6032.7608289999998</v>
      </c>
    </row>
    <row r="3040" spans="12:14" x14ac:dyDescent="0.55000000000000004">
      <c r="L3040">
        <v>3035</v>
      </c>
      <c r="M3040">
        <v>2.9932E-2</v>
      </c>
      <c r="N3040">
        <v>6032.7608289999998</v>
      </c>
    </row>
    <row r="3041" spans="12:14" x14ac:dyDescent="0.55000000000000004">
      <c r="L3041">
        <v>3036</v>
      </c>
      <c r="M3041">
        <v>2.9932E-2</v>
      </c>
      <c r="N3041">
        <v>6032.7608289999998</v>
      </c>
    </row>
    <row r="3042" spans="12:14" x14ac:dyDescent="0.55000000000000004">
      <c r="L3042">
        <v>3037</v>
      </c>
      <c r="M3042">
        <v>2.9932E-2</v>
      </c>
      <c r="N3042">
        <v>6032.7608289999998</v>
      </c>
    </row>
    <row r="3043" spans="12:14" x14ac:dyDescent="0.55000000000000004">
      <c r="L3043">
        <v>3038</v>
      </c>
      <c r="M3043">
        <v>2.9932E-2</v>
      </c>
      <c r="N3043">
        <v>6032.7608289999998</v>
      </c>
    </row>
    <row r="3044" spans="12:14" x14ac:dyDescent="0.55000000000000004">
      <c r="L3044">
        <v>3039</v>
      </c>
      <c r="M3044">
        <v>2.9932E-2</v>
      </c>
      <c r="N3044">
        <v>6032.7608289999998</v>
      </c>
    </row>
    <row r="3045" spans="12:14" x14ac:dyDescent="0.55000000000000004">
      <c r="L3045">
        <v>3040</v>
      </c>
      <c r="M3045">
        <v>2.9932E-2</v>
      </c>
      <c r="N3045">
        <v>6032.7608289999998</v>
      </c>
    </row>
    <row r="3046" spans="12:14" x14ac:dyDescent="0.55000000000000004">
      <c r="L3046">
        <v>3041</v>
      </c>
      <c r="M3046">
        <v>2.9932E-2</v>
      </c>
      <c r="N3046">
        <v>6032.7608289999998</v>
      </c>
    </row>
    <row r="3047" spans="12:14" x14ac:dyDescent="0.55000000000000004">
      <c r="L3047">
        <v>3042</v>
      </c>
      <c r="M3047">
        <v>2.9932E-2</v>
      </c>
      <c r="N3047">
        <v>6032.7608289999998</v>
      </c>
    </row>
    <row r="3048" spans="12:14" x14ac:dyDescent="0.55000000000000004">
      <c r="L3048">
        <v>3043</v>
      </c>
      <c r="M3048">
        <v>2.9932E-2</v>
      </c>
      <c r="N3048">
        <v>6032.7608289999998</v>
      </c>
    </row>
    <row r="3049" spans="12:14" x14ac:dyDescent="0.55000000000000004">
      <c r="L3049">
        <v>3044</v>
      </c>
      <c r="M3049">
        <v>2.9932E-2</v>
      </c>
      <c r="N3049">
        <v>6032.7608289999998</v>
      </c>
    </row>
    <row r="3050" spans="12:14" x14ac:dyDescent="0.55000000000000004">
      <c r="L3050">
        <v>3045</v>
      </c>
      <c r="M3050">
        <v>2.9932E-2</v>
      </c>
      <c r="N3050">
        <v>6032.7608289999998</v>
      </c>
    </row>
    <row r="3051" spans="12:14" x14ac:dyDescent="0.55000000000000004">
      <c r="L3051">
        <v>3046</v>
      </c>
      <c r="M3051">
        <v>2.9932E-2</v>
      </c>
      <c r="N3051">
        <v>6032.7608289999998</v>
      </c>
    </row>
    <row r="3052" spans="12:14" x14ac:dyDescent="0.55000000000000004">
      <c r="L3052">
        <v>3047</v>
      </c>
      <c r="M3052">
        <v>2.9932E-2</v>
      </c>
      <c r="N3052">
        <v>6032.7608289999998</v>
      </c>
    </row>
    <row r="3053" spans="12:14" x14ac:dyDescent="0.55000000000000004">
      <c r="L3053">
        <v>3048</v>
      </c>
      <c r="M3053">
        <v>2.9932E-2</v>
      </c>
      <c r="N3053">
        <v>6032.7608289999998</v>
      </c>
    </row>
    <row r="3054" spans="12:14" x14ac:dyDescent="0.55000000000000004">
      <c r="L3054">
        <v>3049</v>
      </c>
      <c r="M3054">
        <v>2.9932E-2</v>
      </c>
      <c r="N3054">
        <v>6032.7608289999998</v>
      </c>
    </row>
    <row r="3055" spans="12:14" x14ac:dyDescent="0.55000000000000004">
      <c r="L3055">
        <v>3050</v>
      </c>
      <c r="M3055">
        <v>2.9932E-2</v>
      </c>
      <c r="N3055">
        <v>6032.7608289999998</v>
      </c>
    </row>
    <row r="3056" spans="12:14" x14ac:dyDescent="0.55000000000000004">
      <c r="L3056">
        <v>3051</v>
      </c>
      <c r="M3056">
        <v>2.9932E-2</v>
      </c>
      <c r="N3056">
        <v>6032.7608289999998</v>
      </c>
    </row>
    <row r="3057" spans="12:14" x14ac:dyDescent="0.55000000000000004">
      <c r="L3057">
        <v>3052</v>
      </c>
      <c r="M3057">
        <v>2.9932E-2</v>
      </c>
      <c r="N3057">
        <v>6032.7608289999998</v>
      </c>
    </row>
    <row r="3058" spans="12:14" x14ac:dyDescent="0.55000000000000004">
      <c r="L3058">
        <v>3053</v>
      </c>
      <c r="M3058">
        <v>2.9932E-2</v>
      </c>
      <c r="N3058">
        <v>6032.7608289999998</v>
      </c>
    </row>
    <row r="3059" spans="12:14" x14ac:dyDescent="0.55000000000000004">
      <c r="L3059">
        <v>3054</v>
      </c>
      <c r="M3059">
        <v>2.9932E-2</v>
      </c>
      <c r="N3059">
        <v>6032.7608289999998</v>
      </c>
    </row>
    <row r="3060" spans="12:14" x14ac:dyDescent="0.55000000000000004">
      <c r="L3060">
        <v>3055</v>
      </c>
      <c r="M3060">
        <v>2.9932E-2</v>
      </c>
      <c r="N3060">
        <v>6032.7608289999998</v>
      </c>
    </row>
    <row r="3061" spans="12:14" x14ac:dyDescent="0.55000000000000004">
      <c r="L3061">
        <v>3056</v>
      </c>
      <c r="M3061">
        <v>2.9932E-2</v>
      </c>
      <c r="N3061">
        <v>6032.7608289999998</v>
      </c>
    </row>
    <row r="3062" spans="12:14" x14ac:dyDescent="0.55000000000000004">
      <c r="L3062">
        <v>3057</v>
      </c>
      <c r="M3062">
        <v>2.9932E-2</v>
      </c>
      <c r="N3062">
        <v>6032.7608289999998</v>
      </c>
    </row>
    <row r="3063" spans="12:14" x14ac:dyDescent="0.55000000000000004">
      <c r="L3063">
        <v>3058</v>
      </c>
      <c r="M3063">
        <v>2.9932E-2</v>
      </c>
      <c r="N3063">
        <v>6032.7608289999998</v>
      </c>
    </row>
    <row r="3064" spans="12:14" x14ac:dyDescent="0.55000000000000004">
      <c r="L3064">
        <v>3059</v>
      </c>
      <c r="M3064">
        <v>2.9932E-2</v>
      </c>
      <c r="N3064">
        <v>6032.7608289999998</v>
      </c>
    </row>
    <row r="3065" spans="12:14" x14ac:dyDescent="0.55000000000000004">
      <c r="L3065">
        <v>3060</v>
      </c>
      <c r="M3065">
        <v>2.9932E-2</v>
      </c>
      <c r="N3065">
        <v>6032.7608289999998</v>
      </c>
    </row>
    <row r="3066" spans="12:14" x14ac:dyDescent="0.55000000000000004">
      <c r="L3066">
        <v>3061</v>
      </c>
      <c r="M3066">
        <v>2.9932E-2</v>
      </c>
      <c r="N3066">
        <v>6032.7608289999998</v>
      </c>
    </row>
    <row r="3067" spans="12:14" x14ac:dyDescent="0.55000000000000004">
      <c r="L3067">
        <v>3062</v>
      </c>
      <c r="M3067">
        <v>2.9932E-2</v>
      </c>
      <c r="N3067">
        <v>6032.7608289999998</v>
      </c>
    </row>
    <row r="3068" spans="12:14" x14ac:dyDescent="0.55000000000000004">
      <c r="L3068">
        <v>3063</v>
      </c>
      <c r="M3068">
        <v>2.9932E-2</v>
      </c>
      <c r="N3068">
        <v>6032.7608289999998</v>
      </c>
    </row>
    <row r="3069" spans="12:14" x14ac:dyDescent="0.55000000000000004">
      <c r="L3069">
        <v>3064</v>
      </c>
      <c r="M3069">
        <v>2.9932E-2</v>
      </c>
      <c r="N3069">
        <v>6032.7608289999998</v>
      </c>
    </row>
    <row r="3070" spans="12:14" x14ac:dyDescent="0.55000000000000004">
      <c r="L3070">
        <v>3065</v>
      </c>
      <c r="M3070">
        <v>2.9932E-2</v>
      </c>
      <c r="N3070">
        <v>6032.7608289999998</v>
      </c>
    </row>
    <row r="3071" spans="12:14" x14ac:dyDescent="0.55000000000000004">
      <c r="L3071">
        <v>3066</v>
      </c>
      <c r="M3071">
        <v>2.9932E-2</v>
      </c>
      <c r="N3071">
        <v>6032.7608289999998</v>
      </c>
    </row>
    <row r="3072" spans="12:14" x14ac:dyDescent="0.55000000000000004">
      <c r="L3072">
        <v>3067</v>
      </c>
      <c r="M3072">
        <v>2.9932E-2</v>
      </c>
      <c r="N3072">
        <v>6032.7608289999998</v>
      </c>
    </row>
    <row r="3073" spans="12:14" x14ac:dyDescent="0.55000000000000004">
      <c r="L3073">
        <v>3068</v>
      </c>
      <c r="M3073">
        <v>2.9932E-2</v>
      </c>
      <c r="N3073">
        <v>6032.7608289999998</v>
      </c>
    </row>
    <row r="3074" spans="12:14" x14ac:dyDescent="0.55000000000000004">
      <c r="L3074">
        <v>3069</v>
      </c>
      <c r="M3074">
        <v>2.9932E-2</v>
      </c>
      <c r="N3074">
        <v>6032.7608289999998</v>
      </c>
    </row>
    <row r="3075" spans="12:14" x14ac:dyDescent="0.55000000000000004">
      <c r="L3075">
        <v>3070</v>
      </c>
      <c r="M3075">
        <v>2.9932E-2</v>
      </c>
      <c r="N3075">
        <v>6032.7608289999998</v>
      </c>
    </row>
    <row r="3076" spans="12:14" x14ac:dyDescent="0.55000000000000004">
      <c r="L3076">
        <v>3071</v>
      </c>
      <c r="M3076">
        <v>2.9932E-2</v>
      </c>
      <c r="N3076">
        <v>6032.7608289999998</v>
      </c>
    </row>
    <row r="3077" spans="12:14" x14ac:dyDescent="0.55000000000000004">
      <c r="L3077">
        <v>3072</v>
      </c>
      <c r="M3077">
        <v>2.9932E-2</v>
      </c>
      <c r="N3077">
        <v>6032.7608289999998</v>
      </c>
    </row>
    <row r="3078" spans="12:14" x14ac:dyDescent="0.55000000000000004">
      <c r="L3078">
        <v>3073</v>
      </c>
      <c r="M3078">
        <v>2.9932E-2</v>
      </c>
      <c r="N3078">
        <v>6032.7608289999998</v>
      </c>
    </row>
    <row r="3079" spans="12:14" x14ac:dyDescent="0.55000000000000004">
      <c r="L3079">
        <v>3074</v>
      </c>
      <c r="M3079">
        <v>2.9932E-2</v>
      </c>
      <c r="N3079">
        <v>6032.7608289999998</v>
      </c>
    </row>
    <row r="3080" spans="12:14" x14ac:dyDescent="0.55000000000000004">
      <c r="L3080">
        <v>3075</v>
      </c>
      <c r="M3080">
        <v>2.9932E-2</v>
      </c>
      <c r="N3080">
        <v>6032.7608289999998</v>
      </c>
    </row>
    <row r="3081" spans="12:14" x14ac:dyDescent="0.55000000000000004">
      <c r="L3081">
        <v>3076</v>
      </c>
      <c r="M3081">
        <v>2.9932E-2</v>
      </c>
      <c r="N3081">
        <v>6032.7608289999998</v>
      </c>
    </row>
    <row r="3082" spans="12:14" x14ac:dyDescent="0.55000000000000004">
      <c r="L3082">
        <v>3077</v>
      </c>
      <c r="M3082">
        <v>2.9932E-2</v>
      </c>
      <c r="N3082">
        <v>6032.7608289999998</v>
      </c>
    </row>
    <row r="3083" spans="12:14" x14ac:dyDescent="0.55000000000000004">
      <c r="L3083">
        <v>3078</v>
      </c>
      <c r="M3083">
        <v>2.9932E-2</v>
      </c>
      <c r="N3083">
        <v>6032.7608289999998</v>
      </c>
    </row>
    <row r="3084" spans="12:14" x14ac:dyDescent="0.55000000000000004">
      <c r="L3084">
        <v>3079</v>
      </c>
      <c r="M3084">
        <v>2.9932E-2</v>
      </c>
      <c r="N3084">
        <v>6032.7608289999998</v>
      </c>
    </row>
    <row r="3085" spans="12:14" x14ac:dyDescent="0.55000000000000004">
      <c r="L3085">
        <v>3080</v>
      </c>
      <c r="M3085">
        <v>2.9932E-2</v>
      </c>
      <c r="N3085">
        <v>6032.7608289999998</v>
      </c>
    </row>
    <row r="3086" spans="12:14" x14ac:dyDescent="0.55000000000000004">
      <c r="L3086">
        <v>3081</v>
      </c>
      <c r="M3086">
        <v>2.9932E-2</v>
      </c>
      <c r="N3086">
        <v>6032.7608289999998</v>
      </c>
    </row>
    <row r="3087" spans="12:14" x14ac:dyDescent="0.55000000000000004">
      <c r="L3087">
        <v>3082</v>
      </c>
      <c r="M3087">
        <v>2.9932E-2</v>
      </c>
      <c r="N3087">
        <v>6032.7608289999998</v>
      </c>
    </row>
    <row r="3088" spans="12:14" x14ac:dyDescent="0.55000000000000004">
      <c r="L3088">
        <v>3083</v>
      </c>
      <c r="M3088">
        <v>2.9932E-2</v>
      </c>
      <c r="N3088">
        <v>6032.7608289999998</v>
      </c>
    </row>
    <row r="3089" spans="12:14" x14ac:dyDescent="0.55000000000000004">
      <c r="L3089">
        <v>3084</v>
      </c>
      <c r="M3089">
        <v>2.9932E-2</v>
      </c>
      <c r="N3089">
        <v>6032.7608289999998</v>
      </c>
    </row>
    <row r="3090" spans="12:14" x14ac:dyDescent="0.55000000000000004">
      <c r="L3090">
        <v>3085</v>
      </c>
      <c r="M3090">
        <v>2.9932E-2</v>
      </c>
      <c r="N3090">
        <v>6032.7608289999998</v>
      </c>
    </row>
    <row r="3091" spans="12:14" x14ac:dyDescent="0.55000000000000004">
      <c r="L3091">
        <v>3086</v>
      </c>
      <c r="M3091">
        <v>2.9932E-2</v>
      </c>
      <c r="N3091">
        <v>6032.7608289999998</v>
      </c>
    </row>
    <row r="3092" spans="12:14" x14ac:dyDescent="0.55000000000000004">
      <c r="L3092">
        <v>3087</v>
      </c>
      <c r="M3092">
        <v>2.9932E-2</v>
      </c>
      <c r="N3092">
        <v>6032.7608289999998</v>
      </c>
    </row>
    <row r="3093" spans="12:14" x14ac:dyDescent="0.55000000000000004">
      <c r="L3093">
        <v>3088</v>
      </c>
      <c r="M3093">
        <v>2.9932E-2</v>
      </c>
      <c r="N3093">
        <v>6032.7608289999998</v>
      </c>
    </row>
    <row r="3094" spans="12:14" x14ac:dyDescent="0.55000000000000004">
      <c r="L3094">
        <v>3089</v>
      </c>
      <c r="M3094">
        <v>2.9932E-2</v>
      </c>
      <c r="N3094">
        <v>6032.7608289999998</v>
      </c>
    </row>
    <row r="3095" spans="12:14" x14ac:dyDescent="0.55000000000000004">
      <c r="L3095">
        <v>3090</v>
      </c>
      <c r="M3095">
        <v>2.9932E-2</v>
      </c>
      <c r="N3095">
        <v>6032.7608289999998</v>
      </c>
    </row>
    <row r="3096" spans="12:14" x14ac:dyDescent="0.55000000000000004">
      <c r="L3096">
        <v>3091</v>
      </c>
      <c r="M3096">
        <v>2.9932E-2</v>
      </c>
      <c r="N3096">
        <v>6032.7608289999998</v>
      </c>
    </row>
    <row r="3097" spans="12:14" x14ac:dyDescent="0.55000000000000004">
      <c r="L3097">
        <v>3092</v>
      </c>
      <c r="M3097">
        <v>2.9932E-2</v>
      </c>
      <c r="N3097">
        <v>6032.7608289999998</v>
      </c>
    </row>
    <row r="3098" spans="12:14" x14ac:dyDescent="0.55000000000000004">
      <c r="L3098">
        <v>3093</v>
      </c>
      <c r="M3098">
        <v>2.9932E-2</v>
      </c>
      <c r="N3098">
        <v>6032.7608289999998</v>
      </c>
    </row>
    <row r="3099" spans="12:14" x14ac:dyDescent="0.55000000000000004">
      <c r="L3099">
        <v>3094</v>
      </c>
      <c r="M3099">
        <v>2.9932E-2</v>
      </c>
      <c r="N3099">
        <v>6032.7608289999998</v>
      </c>
    </row>
    <row r="3100" spans="12:14" x14ac:dyDescent="0.55000000000000004">
      <c r="L3100">
        <v>3095</v>
      </c>
      <c r="M3100">
        <v>2.9932E-2</v>
      </c>
      <c r="N3100">
        <v>6032.7608289999998</v>
      </c>
    </row>
    <row r="3101" spans="12:14" x14ac:dyDescent="0.55000000000000004">
      <c r="L3101">
        <v>3096</v>
      </c>
      <c r="M3101">
        <v>2.9932E-2</v>
      </c>
      <c r="N3101">
        <v>6032.7608289999998</v>
      </c>
    </row>
    <row r="3102" spans="12:14" x14ac:dyDescent="0.55000000000000004">
      <c r="L3102">
        <v>3097</v>
      </c>
      <c r="M3102">
        <v>2.9932E-2</v>
      </c>
      <c r="N3102">
        <v>6032.7608289999998</v>
      </c>
    </row>
    <row r="3103" spans="12:14" x14ac:dyDescent="0.55000000000000004">
      <c r="L3103">
        <v>3098</v>
      </c>
      <c r="M3103">
        <v>2.9932E-2</v>
      </c>
      <c r="N3103">
        <v>6032.7608289999998</v>
      </c>
    </row>
    <row r="3104" spans="12:14" x14ac:dyDescent="0.55000000000000004">
      <c r="L3104">
        <v>3099</v>
      </c>
      <c r="M3104">
        <v>2.9932E-2</v>
      </c>
      <c r="N3104">
        <v>6032.7608289999998</v>
      </c>
    </row>
    <row r="3105" spans="12:14" x14ac:dyDescent="0.55000000000000004">
      <c r="L3105">
        <v>3100</v>
      </c>
      <c r="M3105">
        <v>2.9932E-2</v>
      </c>
      <c r="N3105">
        <v>6032.7608289999998</v>
      </c>
    </row>
    <row r="3106" spans="12:14" x14ac:dyDescent="0.55000000000000004">
      <c r="L3106">
        <v>3101</v>
      </c>
      <c r="M3106">
        <v>2.9932E-2</v>
      </c>
      <c r="N3106">
        <v>6032.7608289999998</v>
      </c>
    </row>
    <row r="3107" spans="12:14" x14ac:dyDescent="0.55000000000000004">
      <c r="L3107">
        <v>3102</v>
      </c>
      <c r="M3107">
        <v>2.9932E-2</v>
      </c>
      <c r="N3107">
        <v>6032.7608289999998</v>
      </c>
    </row>
    <row r="3108" spans="12:14" x14ac:dyDescent="0.55000000000000004">
      <c r="L3108">
        <v>3103</v>
      </c>
      <c r="M3108">
        <v>2.9932E-2</v>
      </c>
      <c r="N3108">
        <v>6032.7608289999998</v>
      </c>
    </row>
    <row r="3109" spans="12:14" x14ac:dyDescent="0.55000000000000004">
      <c r="L3109">
        <v>3104</v>
      </c>
      <c r="M3109">
        <v>2.9932E-2</v>
      </c>
      <c r="N3109">
        <v>6032.7608289999998</v>
      </c>
    </row>
    <row r="3110" spans="12:14" x14ac:dyDescent="0.55000000000000004">
      <c r="L3110">
        <v>3105</v>
      </c>
      <c r="M3110">
        <v>2.9932E-2</v>
      </c>
      <c r="N3110">
        <v>6032.7608289999998</v>
      </c>
    </row>
    <row r="3111" spans="12:14" x14ac:dyDescent="0.55000000000000004">
      <c r="L3111">
        <v>3106</v>
      </c>
      <c r="M3111">
        <v>2.9932E-2</v>
      </c>
      <c r="N3111">
        <v>6032.7608289999998</v>
      </c>
    </row>
    <row r="3112" spans="12:14" x14ac:dyDescent="0.55000000000000004">
      <c r="L3112">
        <v>3107</v>
      </c>
      <c r="M3112">
        <v>2.9932E-2</v>
      </c>
      <c r="N3112">
        <v>6032.7608289999998</v>
      </c>
    </row>
    <row r="3113" spans="12:14" x14ac:dyDescent="0.55000000000000004">
      <c r="L3113">
        <v>3108</v>
      </c>
      <c r="M3113">
        <v>2.9932E-2</v>
      </c>
      <c r="N3113">
        <v>6032.7608289999998</v>
      </c>
    </row>
    <row r="3114" spans="12:14" x14ac:dyDescent="0.55000000000000004">
      <c r="L3114">
        <v>3109</v>
      </c>
      <c r="M3114">
        <v>2.9932E-2</v>
      </c>
      <c r="N3114">
        <v>6032.7608289999998</v>
      </c>
    </row>
    <row r="3115" spans="12:14" x14ac:dyDescent="0.55000000000000004">
      <c r="L3115">
        <v>3110</v>
      </c>
      <c r="M3115">
        <v>2.9932E-2</v>
      </c>
      <c r="N3115">
        <v>6032.7608289999998</v>
      </c>
    </row>
    <row r="3116" spans="12:14" x14ac:dyDescent="0.55000000000000004">
      <c r="L3116">
        <v>3111</v>
      </c>
      <c r="M3116">
        <v>2.9932E-2</v>
      </c>
      <c r="N3116">
        <v>6032.7608289999998</v>
      </c>
    </row>
    <row r="3117" spans="12:14" x14ac:dyDescent="0.55000000000000004">
      <c r="L3117">
        <v>3112</v>
      </c>
      <c r="M3117">
        <v>2.9932E-2</v>
      </c>
      <c r="N3117">
        <v>6032.7608289999998</v>
      </c>
    </row>
    <row r="3118" spans="12:14" x14ac:dyDescent="0.55000000000000004">
      <c r="L3118">
        <v>3113</v>
      </c>
      <c r="M3118">
        <v>2.9932E-2</v>
      </c>
      <c r="N3118">
        <v>6032.7608289999998</v>
      </c>
    </row>
    <row r="3119" spans="12:14" x14ac:dyDescent="0.55000000000000004">
      <c r="L3119">
        <v>3114</v>
      </c>
      <c r="M3119">
        <v>2.9932E-2</v>
      </c>
      <c r="N3119">
        <v>6032.7608289999998</v>
      </c>
    </row>
    <row r="3120" spans="12:14" x14ac:dyDescent="0.55000000000000004">
      <c r="L3120">
        <v>3115</v>
      </c>
      <c r="M3120">
        <v>2.9932E-2</v>
      </c>
      <c r="N3120">
        <v>6032.7608289999998</v>
      </c>
    </row>
    <row r="3121" spans="12:14" x14ac:dyDescent="0.55000000000000004">
      <c r="L3121">
        <v>3116</v>
      </c>
      <c r="M3121">
        <v>2.9932E-2</v>
      </c>
      <c r="N3121">
        <v>6032.7608289999998</v>
      </c>
    </row>
    <row r="3122" spans="12:14" x14ac:dyDescent="0.55000000000000004">
      <c r="L3122">
        <v>3117</v>
      </c>
      <c r="M3122">
        <v>2.9932E-2</v>
      </c>
      <c r="N3122">
        <v>6032.7608289999998</v>
      </c>
    </row>
    <row r="3123" spans="12:14" x14ac:dyDescent="0.55000000000000004">
      <c r="L3123">
        <v>3118</v>
      </c>
      <c r="M3123">
        <v>2.9932E-2</v>
      </c>
      <c r="N3123">
        <v>6032.7608289999998</v>
      </c>
    </row>
    <row r="3124" spans="12:14" x14ac:dyDescent="0.55000000000000004">
      <c r="L3124">
        <v>3119</v>
      </c>
      <c r="M3124">
        <v>2.9932E-2</v>
      </c>
      <c r="N3124">
        <v>6032.7608289999998</v>
      </c>
    </row>
    <row r="3125" spans="12:14" x14ac:dyDescent="0.55000000000000004">
      <c r="L3125">
        <v>3120</v>
      </c>
      <c r="M3125">
        <v>2.9932E-2</v>
      </c>
      <c r="N3125">
        <v>6032.7608289999998</v>
      </c>
    </row>
    <row r="3126" spans="12:14" x14ac:dyDescent="0.55000000000000004">
      <c r="L3126">
        <v>3121</v>
      </c>
      <c r="M3126">
        <v>2.9932E-2</v>
      </c>
      <c r="N3126">
        <v>6032.7608289999998</v>
      </c>
    </row>
    <row r="3127" spans="12:14" x14ac:dyDescent="0.55000000000000004">
      <c r="L3127">
        <v>3122</v>
      </c>
      <c r="M3127">
        <v>2.9932E-2</v>
      </c>
      <c r="N3127">
        <v>6032.7608289999998</v>
      </c>
    </row>
    <row r="3128" spans="12:14" x14ac:dyDescent="0.55000000000000004">
      <c r="L3128">
        <v>3123</v>
      </c>
      <c r="M3128">
        <v>2.9932E-2</v>
      </c>
      <c r="N3128">
        <v>6032.7608289999998</v>
      </c>
    </row>
    <row r="3129" spans="12:14" x14ac:dyDescent="0.55000000000000004">
      <c r="L3129">
        <v>3124</v>
      </c>
      <c r="M3129">
        <v>2.9932E-2</v>
      </c>
      <c r="N3129">
        <v>6032.7608289999998</v>
      </c>
    </row>
    <row r="3130" spans="12:14" x14ac:dyDescent="0.55000000000000004">
      <c r="L3130">
        <v>3125</v>
      </c>
      <c r="M3130">
        <v>2.9932E-2</v>
      </c>
      <c r="N3130">
        <v>6032.7608289999998</v>
      </c>
    </row>
    <row r="3131" spans="12:14" x14ac:dyDescent="0.55000000000000004">
      <c r="L3131">
        <v>3126</v>
      </c>
      <c r="M3131">
        <v>2.9932E-2</v>
      </c>
      <c r="N3131">
        <v>6032.7608289999998</v>
      </c>
    </row>
    <row r="3132" spans="12:14" x14ac:dyDescent="0.55000000000000004">
      <c r="L3132">
        <v>3127</v>
      </c>
      <c r="M3132">
        <v>2.9932E-2</v>
      </c>
      <c r="N3132">
        <v>6032.7608289999998</v>
      </c>
    </row>
    <row r="3133" spans="12:14" x14ac:dyDescent="0.55000000000000004">
      <c r="L3133">
        <v>3128</v>
      </c>
      <c r="M3133">
        <v>2.9932E-2</v>
      </c>
      <c r="N3133">
        <v>6032.7608289999998</v>
      </c>
    </row>
    <row r="3134" spans="12:14" x14ac:dyDescent="0.55000000000000004">
      <c r="L3134">
        <v>3129</v>
      </c>
      <c r="M3134">
        <v>2.9932E-2</v>
      </c>
      <c r="N3134">
        <v>6032.7608289999998</v>
      </c>
    </row>
    <row r="3135" spans="12:14" x14ac:dyDescent="0.55000000000000004">
      <c r="L3135">
        <v>3130</v>
      </c>
      <c r="M3135">
        <v>2.9932E-2</v>
      </c>
      <c r="N3135">
        <v>6032.7608289999998</v>
      </c>
    </row>
    <row r="3136" spans="12:14" x14ac:dyDescent="0.55000000000000004">
      <c r="L3136">
        <v>3131</v>
      </c>
      <c r="M3136">
        <v>2.9932E-2</v>
      </c>
      <c r="N3136">
        <v>6032.7608289999998</v>
      </c>
    </row>
    <row r="3137" spans="12:14" x14ac:dyDescent="0.55000000000000004">
      <c r="L3137">
        <v>3132</v>
      </c>
      <c r="M3137">
        <v>2.9932E-2</v>
      </c>
      <c r="N3137">
        <v>6032.7608289999998</v>
      </c>
    </row>
    <row r="3138" spans="12:14" x14ac:dyDescent="0.55000000000000004">
      <c r="L3138">
        <v>3133</v>
      </c>
      <c r="M3138">
        <v>2.9932E-2</v>
      </c>
      <c r="N3138">
        <v>6032.7608289999998</v>
      </c>
    </row>
    <row r="3139" spans="12:14" x14ac:dyDescent="0.55000000000000004">
      <c r="L3139">
        <v>3134</v>
      </c>
      <c r="M3139">
        <v>2.9932E-2</v>
      </c>
      <c r="N3139">
        <v>6032.7608289999998</v>
      </c>
    </row>
    <row r="3140" spans="12:14" x14ac:dyDescent="0.55000000000000004">
      <c r="L3140">
        <v>3135</v>
      </c>
      <c r="M3140">
        <v>2.9932E-2</v>
      </c>
      <c r="N3140">
        <v>6032.7608289999998</v>
      </c>
    </row>
    <row r="3141" spans="12:14" x14ac:dyDescent="0.55000000000000004">
      <c r="L3141">
        <v>3136</v>
      </c>
      <c r="M3141">
        <v>2.9932E-2</v>
      </c>
      <c r="N3141">
        <v>6032.7608289999998</v>
      </c>
    </row>
    <row r="3142" spans="12:14" x14ac:dyDescent="0.55000000000000004">
      <c r="L3142">
        <v>3137</v>
      </c>
      <c r="M3142">
        <v>2.9932E-2</v>
      </c>
      <c r="N3142">
        <v>6032.7608289999998</v>
      </c>
    </row>
    <row r="3143" spans="12:14" x14ac:dyDescent="0.55000000000000004">
      <c r="L3143">
        <v>3138</v>
      </c>
      <c r="M3143">
        <v>2.9932E-2</v>
      </c>
      <c r="N3143">
        <v>6032.7608289999998</v>
      </c>
    </row>
    <row r="3144" spans="12:14" x14ac:dyDescent="0.55000000000000004">
      <c r="L3144">
        <v>3139</v>
      </c>
      <c r="M3144">
        <v>2.9932E-2</v>
      </c>
      <c r="N3144">
        <v>6032.7608289999998</v>
      </c>
    </row>
    <row r="3145" spans="12:14" x14ac:dyDescent="0.55000000000000004">
      <c r="L3145">
        <v>3140</v>
      </c>
      <c r="M3145">
        <v>2.9932E-2</v>
      </c>
      <c r="N3145">
        <v>6032.7608289999998</v>
      </c>
    </row>
    <row r="3146" spans="12:14" x14ac:dyDescent="0.55000000000000004">
      <c r="L3146">
        <v>3141</v>
      </c>
      <c r="M3146">
        <v>2.9932E-2</v>
      </c>
      <c r="N3146">
        <v>6032.7608289999998</v>
      </c>
    </row>
    <row r="3147" spans="12:14" x14ac:dyDescent="0.55000000000000004">
      <c r="L3147">
        <v>3142</v>
      </c>
      <c r="M3147">
        <v>2.9932E-2</v>
      </c>
      <c r="N3147">
        <v>6032.7608289999998</v>
      </c>
    </row>
    <row r="3148" spans="12:14" x14ac:dyDescent="0.55000000000000004">
      <c r="L3148">
        <v>3143</v>
      </c>
      <c r="M3148">
        <v>2.9932E-2</v>
      </c>
      <c r="N3148">
        <v>6032.7608289999998</v>
      </c>
    </row>
    <row r="3149" spans="12:14" x14ac:dyDescent="0.55000000000000004">
      <c r="L3149">
        <v>3144</v>
      </c>
      <c r="M3149">
        <v>2.9932E-2</v>
      </c>
      <c r="N3149">
        <v>6032.7608289999998</v>
      </c>
    </row>
    <row r="3150" spans="12:14" x14ac:dyDescent="0.55000000000000004">
      <c r="L3150">
        <v>3145</v>
      </c>
      <c r="M3150">
        <v>2.9932E-2</v>
      </c>
      <c r="N3150">
        <v>6032.7608289999998</v>
      </c>
    </row>
    <row r="3151" spans="12:14" x14ac:dyDescent="0.55000000000000004">
      <c r="L3151">
        <v>3146</v>
      </c>
      <c r="M3151">
        <v>2.9932E-2</v>
      </c>
      <c r="N3151">
        <v>6032.7608289999998</v>
      </c>
    </row>
    <row r="3152" spans="12:14" x14ac:dyDescent="0.55000000000000004">
      <c r="L3152">
        <v>3147</v>
      </c>
      <c r="M3152">
        <v>2.9932E-2</v>
      </c>
      <c r="N3152">
        <v>6032.7608289999998</v>
      </c>
    </row>
    <row r="3153" spans="12:14" x14ac:dyDescent="0.55000000000000004">
      <c r="L3153">
        <v>3148</v>
      </c>
      <c r="M3153">
        <v>2.9932E-2</v>
      </c>
      <c r="N3153">
        <v>6032.7608289999998</v>
      </c>
    </row>
    <row r="3154" spans="12:14" x14ac:dyDescent="0.55000000000000004">
      <c r="L3154">
        <v>3149</v>
      </c>
      <c r="M3154">
        <v>2.9932E-2</v>
      </c>
      <c r="N3154">
        <v>6032.7608289999998</v>
      </c>
    </row>
    <row r="3155" spans="12:14" x14ac:dyDescent="0.55000000000000004">
      <c r="L3155">
        <v>3150</v>
      </c>
      <c r="M3155">
        <v>2.9932E-2</v>
      </c>
      <c r="N3155">
        <v>6032.7608289999998</v>
      </c>
    </row>
    <row r="3156" spans="12:14" x14ac:dyDescent="0.55000000000000004">
      <c r="L3156">
        <v>3151</v>
      </c>
      <c r="M3156">
        <v>2.9932E-2</v>
      </c>
      <c r="N3156">
        <v>6032.7608289999998</v>
      </c>
    </row>
    <row r="3157" spans="12:14" x14ac:dyDescent="0.55000000000000004">
      <c r="L3157">
        <v>3152</v>
      </c>
      <c r="M3157">
        <v>2.9932E-2</v>
      </c>
      <c r="N3157">
        <v>6032.7608289999998</v>
      </c>
    </row>
    <row r="3158" spans="12:14" x14ac:dyDescent="0.55000000000000004">
      <c r="L3158">
        <v>3153</v>
      </c>
      <c r="M3158">
        <v>2.9932E-2</v>
      </c>
      <c r="N3158">
        <v>6032.7608289999998</v>
      </c>
    </row>
    <row r="3159" spans="12:14" x14ac:dyDescent="0.55000000000000004">
      <c r="L3159">
        <v>3154</v>
      </c>
      <c r="M3159">
        <v>2.9932E-2</v>
      </c>
      <c r="N3159">
        <v>6032.7608289999998</v>
      </c>
    </row>
    <row r="3160" spans="12:14" x14ac:dyDescent="0.55000000000000004">
      <c r="L3160">
        <v>3155</v>
      </c>
      <c r="M3160">
        <v>2.9932E-2</v>
      </c>
      <c r="N3160">
        <v>6032.7608289999998</v>
      </c>
    </row>
    <row r="3161" spans="12:14" x14ac:dyDescent="0.55000000000000004">
      <c r="L3161">
        <v>3156</v>
      </c>
      <c r="M3161">
        <v>2.9932E-2</v>
      </c>
      <c r="N3161">
        <v>6032.7608289999998</v>
      </c>
    </row>
    <row r="3162" spans="12:14" x14ac:dyDescent="0.55000000000000004">
      <c r="L3162">
        <v>3157</v>
      </c>
      <c r="M3162">
        <v>2.9932E-2</v>
      </c>
      <c r="N3162">
        <v>6032.7608289999998</v>
      </c>
    </row>
    <row r="3163" spans="12:14" x14ac:dyDescent="0.55000000000000004">
      <c r="L3163">
        <v>3158</v>
      </c>
      <c r="M3163">
        <v>2.9932E-2</v>
      </c>
      <c r="N3163">
        <v>6032.7608289999998</v>
      </c>
    </row>
    <row r="3164" spans="12:14" x14ac:dyDescent="0.55000000000000004">
      <c r="L3164">
        <v>3159</v>
      </c>
      <c r="M3164">
        <v>2.9932E-2</v>
      </c>
      <c r="N3164">
        <v>6032.7608289999998</v>
      </c>
    </row>
    <row r="3165" spans="12:14" x14ac:dyDescent="0.55000000000000004">
      <c r="L3165">
        <v>3160</v>
      </c>
      <c r="M3165">
        <v>2.9932E-2</v>
      </c>
      <c r="N3165">
        <v>6032.7608289999998</v>
      </c>
    </row>
    <row r="3166" spans="12:14" x14ac:dyDescent="0.55000000000000004">
      <c r="L3166">
        <v>3161</v>
      </c>
      <c r="M3166">
        <v>2.9932E-2</v>
      </c>
      <c r="N3166">
        <v>6032.7608289999998</v>
      </c>
    </row>
    <row r="3167" spans="12:14" x14ac:dyDescent="0.55000000000000004">
      <c r="L3167">
        <v>3162</v>
      </c>
      <c r="M3167">
        <v>2.9932E-2</v>
      </c>
      <c r="N3167">
        <v>6032.7608289999998</v>
      </c>
    </row>
    <row r="3168" spans="12:14" x14ac:dyDescent="0.55000000000000004">
      <c r="L3168">
        <v>3163</v>
      </c>
      <c r="M3168">
        <v>2.9932E-2</v>
      </c>
      <c r="N3168">
        <v>6032.7608289999998</v>
      </c>
    </row>
    <row r="3169" spans="12:14" x14ac:dyDescent="0.55000000000000004">
      <c r="L3169">
        <v>3164</v>
      </c>
      <c r="M3169">
        <v>2.9932E-2</v>
      </c>
      <c r="N3169">
        <v>6032.7608289999998</v>
      </c>
    </row>
    <row r="3170" spans="12:14" x14ac:dyDescent="0.55000000000000004">
      <c r="L3170">
        <v>3165</v>
      </c>
      <c r="M3170">
        <v>2.9932E-2</v>
      </c>
      <c r="N3170">
        <v>6032.7608289999998</v>
      </c>
    </row>
    <row r="3171" spans="12:14" x14ac:dyDescent="0.55000000000000004">
      <c r="L3171">
        <v>3166</v>
      </c>
      <c r="M3171">
        <v>2.9932E-2</v>
      </c>
      <c r="N3171">
        <v>6032.7608289999998</v>
      </c>
    </row>
    <row r="3172" spans="12:14" x14ac:dyDescent="0.55000000000000004">
      <c r="L3172">
        <v>3167</v>
      </c>
      <c r="M3172">
        <v>2.9932E-2</v>
      </c>
      <c r="N3172">
        <v>6032.7608289999998</v>
      </c>
    </row>
    <row r="3173" spans="12:14" x14ac:dyDescent="0.55000000000000004">
      <c r="L3173">
        <v>3168</v>
      </c>
      <c r="M3173">
        <v>2.9932E-2</v>
      </c>
      <c r="N3173">
        <v>6032.7608289999998</v>
      </c>
    </row>
    <row r="3174" spans="12:14" x14ac:dyDescent="0.55000000000000004">
      <c r="L3174">
        <v>3169</v>
      </c>
      <c r="M3174">
        <v>2.9932E-2</v>
      </c>
      <c r="N3174">
        <v>6032.7608289999998</v>
      </c>
    </row>
    <row r="3175" spans="12:14" x14ac:dyDescent="0.55000000000000004">
      <c r="L3175">
        <v>3170</v>
      </c>
      <c r="M3175">
        <v>2.9932E-2</v>
      </c>
      <c r="N3175">
        <v>6032.7608289999998</v>
      </c>
    </row>
    <row r="3176" spans="12:14" x14ac:dyDescent="0.55000000000000004">
      <c r="L3176">
        <v>3171</v>
      </c>
      <c r="M3176">
        <v>2.9932E-2</v>
      </c>
      <c r="N3176">
        <v>6032.7608289999998</v>
      </c>
    </row>
    <row r="3177" spans="12:14" x14ac:dyDescent="0.55000000000000004">
      <c r="L3177">
        <v>3172</v>
      </c>
      <c r="M3177">
        <v>2.9932E-2</v>
      </c>
      <c r="N3177">
        <v>6032.7608289999998</v>
      </c>
    </row>
    <row r="3178" spans="12:14" x14ac:dyDescent="0.55000000000000004">
      <c r="L3178">
        <v>3173</v>
      </c>
      <c r="M3178">
        <v>2.9932E-2</v>
      </c>
      <c r="N3178">
        <v>6032.7608289999998</v>
      </c>
    </row>
    <row r="3179" spans="12:14" x14ac:dyDescent="0.55000000000000004">
      <c r="L3179">
        <v>3174</v>
      </c>
      <c r="M3179">
        <v>2.9932E-2</v>
      </c>
      <c r="N3179">
        <v>6032.7608289999998</v>
      </c>
    </row>
    <row r="3180" spans="12:14" x14ac:dyDescent="0.55000000000000004">
      <c r="L3180">
        <v>3175</v>
      </c>
      <c r="M3180">
        <v>2.9932E-2</v>
      </c>
      <c r="N3180">
        <v>6032.7608289999998</v>
      </c>
    </row>
    <row r="3181" spans="12:14" x14ac:dyDescent="0.55000000000000004">
      <c r="L3181">
        <v>3176</v>
      </c>
      <c r="M3181">
        <v>2.9932E-2</v>
      </c>
      <c r="N3181">
        <v>6032.7608289999998</v>
      </c>
    </row>
    <row r="3182" spans="12:14" x14ac:dyDescent="0.55000000000000004">
      <c r="L3182">
        <v>3177</v>
      </c>
      <c r="M3182">
        <v>2.9932E-2</v>
      </c>
      <c r="N3182">
        <v>6032.7608289999998</v>
      </c>
    </row>
    <row r="3183" spans="12:14" x14ac:dyDescent="0.55000000000000004">
      <c r="L3183">
        <v>3178</v>
      </c>
      <c r="M3183">
        <v>2.9932E-2</v>
      </c>
      <c r="N3183">
        <v>6032.7608289999998</v>
      </c>
    </row>
    <row r="3184" spans="12:14" x14ac:dyDescent="0.55000000000000004">
      <c r="L3184">
        <v>3179</v>
      </c>
      <c r="M3184">
        <v>2.9932E-2</v>
      </c>
      <c r="N3184">
        <v>6032.7608289999998</v>
      </c>
    </row>
    <row r="3185" spans="12:14" x14ac:dyDescent="0.55000000000000004">
      <c r="L3185">
        <v>3180</v>
      </c>
      <c r="M3185">
        <v>2.9932E-2</v>
      </c>
      <c r="N3185">
        <v>6032.7608289999998</v>
      </c>
    </row>
    <row r="3186" spans="12:14" x14ac:dyDescent="0.55000000000000004">
      <c r="L3186">
        <v>3181</v>
      </c>
      <c r="M3186">
        <v>2.9932E-2</v>
      </c>
      <c r="N3186">
        <v>6032.7608289999998</v>
      </c>
    </row>
    <row r="3187" spans="12:14" x14ac:dyDescent="0.55000000000000004">
      <c r="L3187">
        <v>3182</v>
      </c>
      <c r="M3187">
        <v>2.9932E-2</v>
      </c>
      <c r="N3187">
        <v>6032.7608289999998</v>
      </c>
    </row>
    <row r="3188" spans="12:14" x14ac:dyDescent="0.55000000000000004">
      <c r="L3188">
        <v>3183</v>
      </c>
      <c r="M3188">
        <v>2.9932E-2</v>
      </c>
      <c r="N3188">
        <v>6032.7608289999998</v>
      </c>
    </row>
    <row r="3189" spans="12:14" x14ac:dyDescent="0.55000000000000004">
      <c r="L3189">
        <v>3184</v>
      </c>
      <c r="M3189">
        <v>2.9932E-2</v>
      </c>
      <c r="N3189">
        <v>6032.7608289999998</v>
      </c>
    </row>
    <row r="3190" spans="12:14" x14ac:dyDescent="0.55000000000000004">
      <c r="L3190">
        <v>3185</v>
      </c>
      <c r="M3190">
        <v>2.9932E-2</v>
      </c>
      <c r="N3190">
        <v>6032.7608289999998</v>
      </c>
    </row>
    <row r="3191" spans="12:14" x14ac:dyDescent="0.55000000000000004">
      <c r="L3191">
        <v>3186</v>
      </c>
      <c r="M3191">
        <v>2.9932E-2</v>
      </c>
      <c r="N3191">
        <v>6032.7608289999998</v>
      </c>
    </row>
    <row r="3192" spans="12:14" x14ac:dyDescent="0.55000000000000004">
      <c r="L3192">
        <v>3187</v>
      </c>
      <c r="M3192">
        <v>2.9932E-2</v>
      </c>
      <c r="N3192">
        <v>6032.7608289999998</v>
      </c>
    </row>
    <row r="3193" spans="12:14" x14ac:dyDescent="0.55000000000000004">
      <c r="L3193">
        <v>3188</v>
      </c>
      <c r="M3193">
        <v>2.9932E-2</v>
      </c>
      <c r="N3193">
        <v>6032.7608289999998</v>
      </c>
    </row>
    <row r="3194" spans="12:14" x14ac:dyDescent="0.55000000000000004">
      <c r="L3194">
        <v>3189</v>
      </c>
      <c r="M3194">
        <v>2.9932E-2</v>
      </c>
      <c r="N3194">
        <v>6032.7608289999998</v>
      </c>
    </row>
    <row r="3195" spans="12:14" x14ac:dyDescent="0.55000000000000004">
      <c r="L3195">
        <v>3190</v>
      </c>
      <c r="M3195">
        <v>2.9932E-2</v>
      </c>
      <c r="N3195">
        <v>6032.7608289999998</v>
      </c>
    </row>
    <row r="3196" spans="12:14" x14ac:dyDescent="0.55000000000000004">
      <c r="L3196">
        <v>3191</v>
      </c>
      <c r="M3196">
        <v>2.9932E-2</v>
      </c>
      <c r="N3196">
        <v>6032.7608289999998</v>
      </c>
    </row>
    <row r="3197" spans="12:14" x14ac:dyDescent="0.55000000000000004">
      <c r="L3197">
        <v>3192</v>
      </c>
      <c r="M3197">
        <v>2.9932E-2</v>
      </c>
      <c r="N3197">
        <v>6032.7608289999998</v>
      </c>
    </row>
    <row r="3198" spans="12:14" x14ac:dyDescent="0.55000000000000004">
      <c r="L3198">
        <v>3193</v>
      </c>
      <c r="M3198">
        <v>2.9932E-2</v>
      </c>
      <c r="N3198">
        <v>6032.7608289999998</v>
      </c>
    </row>
    <row r="3199" spans="12:14" x14ac:dyDescent="0.55000000000000004">
      <c r="L3199">
        <v>3194</v>
      </c>
      <c r="M3199">
        <v>2.9932E-2</v>
      </c>
      <c r="N3199">
        <v>6032.7608289999998</v>
      </c>
    </row>
    <row r="3200" spans="12:14" x14ac:dyDescent="0.55000000000000004">
      <c r="L3200">
        <v>3195</v>
      </c>
      <c r="M3200">
        <v>2.9932E-2</v>
      </c>
      <c r="N3200">
        <v>6032.7608289999998</v>
      </c>
    </row>
    <row r="3201" spans="12:14" x14ac:dyDescent="0.55000000000000004">
      <c r="L3201">
        <v>3196</v>
      </c>
      <c r="M3201">
        <v>2.9932E-2</v>
      </c>
      <c r="N3201">
        <v>6032.7608289999998</v>
      </c>
    </row>
    <row r="3202" spans="12:14" x14ac:dyDescent="0.55000000000000004">
      <c r="L3202">
        <v>3197</v>
      </c>
      <c r="M3202">
        <v>2.9932E-2</v>
      </c>
      <c r="N3202">
        <v>6032.7608289999998</v>
      </c>
    </row>
    <row r="3203" spans="12:14" x14ac:dyDescent="0.55000000000000004">
      <c r="L3203">
        <v>3198</v>
      </c>
      <c r="M3203">
        <v>2.9932E-2</v>
      </c>
      <c r="N3203">
        <v>6032.7608289999998</v>
      </c>
    </row>
    <row r="3204" spans="12:14" x14ac:dyDescent="0.55000000000000004">
      <c r="L3204">
        <v>3199</v>
      </c>
      <c r="M3204">
        <v>2.9932E-2</v>
      </c>
      <c r="N3204">
        <v>6032.7608289999998</v>
      </c>
    </row>
    <row r="3205" spans="12:14" x14ac:dyDescent="0.55000000000000004">
      <c r="L3205">
        <v>3200</v>
      </c>
      <c r="M3205">
        <v>2.9932E-2</v>
      </c>
      <c r="N3205">
        <v>6032.7608289999998</v>
      </c>
    </row>
    <row r="3206" spans="12:14" x14ac:dyDescent="0.55000000000000004">
      <c r="L3206">
        <v>3201</v>
      </c>
      <c r="M3206">
        <v>2.9932E-2</v>
      </c>
      <c r="N3206">
        <v>6032.7608289999998</v>
      </c>
    </row>
    <row r="3207" spans="12:14" x14ac:dyDescent="0.55000000000000004">
      <c r="L3207">
        <v>3202</v>
      </c>
      <c r="M3207">
        <v>2.9932E-2</v>
      </c>
      <c r="N3207">
        <v>6032.7608289999998</v>
      </c>
    </row>
    <row r="3208" spans="12:14" x14ac:dyDescent="0.55000000000000004">
      <c r="L3208">
        <v>3203</v>
      </c>
      <c r="M3208">
        <v>2.9932E-2</v>
      </c>
      <c r="N3208">
        <v>6032.7608289999998</v>
      </c>
    </row>
    <row r="3209" spans="12:14" x14ac:dyDescent="0.55000000000000004">
      <c r="L3209">
        <v>3204</v>
      </c>
      <c r="M3209">
        <v>2.9932E-2</v>
      </c>
      <c r="N3209">
        <v>6032.7608289999998</v>
      </c>
    </row>
    <row r="3210" spans="12:14" x14ac:dyDescent="0.55000000000000004">
      <c r="L3210">
        <v>3205</v>
      </c>
      <c r="M3210">
        <v>2.9932E-2</v>
      </c>
      <c r="N3210">
        <v>6032.7608289999998</v>
      </c>
    </row>
    <row r="3211" spans="12:14" x14ac:dyDescent="0.55000000000000004">
      <c r="L3211">
        <v>3206</v>
      </c>
      <c r="M3211">
        <v>2.9932E-2</v>
      </c>
      <c r="N3211">
        <v>6032.7608289999998</v>
      </c>
    </row>
    <row r="3212" spans="12:14" x14ac:dyDescent="0.55000000000000004">
      <c r="L3212">
        <v>3207</v>
      </c>
      <c r="M3212">
        <v>2.9932E-2</v>
      </c>
      <c r="N3212">
        <v>6032.7608289999998</v>
      </c>
    </row>
    <row r="3213" spans="12:14" x14ac:dyDescent="0.55000000000000004">
      <c r="L3213">
        <v>3208</v>
      </c>
      <c r="M3213">
        <v>2.9932E-2</v>
      </c>
      <c r="N3213">
        <v>6032.7608289999998</v>
      </c>
    </row>
    <row r="3214" spans="12:14" x14ac:dyDescent="0.55000000000000004">
      <c r="L3214">
        <v>3209</v>
      </c>
      <c r="M3214">
        <v>2.9932E-2</v>
      </c>
      <c r="N3214">
        <v>6032.7608289999998</v>
      </c>
    </row>
    <row r="3215" spans="12:14" x14ac:dyDescent="0.55000000000000004">
      <c r="L3215">
        <v>3210</v>
      </c>
      <c r="M3215">
        <v>2.9932E-2</v>
      </c>
      <c r="N3215">
        <v>6032.7608289999998</v>
      </c>
    </row>
    <row r="3216" spans="12:14" x14ac:dyDescent="0.55000000000000004">
      <c r="L3216">
        <v>3211</v>
      </c>
      <c r="M3216">
        <v>2.9932E-2</v>
      </c>
      <c r="N3216">
        <v>6032.7608289999998</v>
      </c>
    </row>
    <row r="3217" spans="12:14" x14ac:dyDescent="0.55000000000000004">
      <c r="L3217">
        <v>3212</v>
      </c>
      <c r="M3217">
        <v>2.9932E-2</v>
      </c>
      <c r="N3217">
        <v>6032.7608289999998</v>
      </c>
    </row>
    <row r="3218" spans="12:14" x14ac:dyDescent="0.55000000000000004">
      <c r="L3218">
        <v>3213</v>
      </c>
      <c r="M3218">
        <v>2.9932E-2</v>
      </c>
      <c r="N3218">
        <v>6032.7608289999998</v>
      </c>
    </row>
    <row r="3219" spans="12:14" x14ac:dyDescent="0.55000000000000004">
      <c r="L3219">
        <v>3214</v>
      </c>
      <c r="M3219">
        <v>2.9932E-2</v>
      </c>
      <c r="N3219">
        <v>6032.7608289999998</v>
      </c>
    </row>
    <row r="3220" spans="12:14" x14ac:dyDescent="0.55000000000000004">
      <c r="L3220">
        <v>3215</v>
      </c>
      <c r="M3220">
        <v>2.9932E-2</v>
      </c>
      <c r="N3220">
        <v>6032.7608289999998</v>
      </c>
    </row>
    <row r="3221" spans="12:14" x14ac:dyDescent="0.55000000000000004">
      <c r="L3221">
        <v>3216</v>
      </c>
      <c r="M3221">
        <v>2.9932E-2</v>
      </c>
      <c r="N3221">
        <v>6032.7608289999998</v>
      </c>
    </row>
    <row r="3222" spans="12:14" x14ac:dyDescent="0.55000000000000004">
      <c r="L3222">
        <v>3217</v>
      </c>
      <c r="M3222">
        <v>2.9932E-2</v>
      </c>
      <c r="N3222">
        <v>6032.7608289999998</v>
      </c>
    </row>
    <row r="3223" spans="12:14" x14ac:dyDescent="0.55000000000000004">
      <c r="L3223">
        <v>3218</v>
      </c>
      <c r="M3223">
        <v>2.9932E-2</v>
      </c>
      <c r="N3223">
        <v>6032.7608289999998</v>
      </c>
    </row>
    <row r="3224" spans="12:14" x14ac:dyDescent="0.55000000000000004">
      <c r="L3224">
        <v>3219</v>
      </c>
      <c r="M3224">
        <v>2.9932E-2</v>
      </c>
      <c r="N3224">
        <v>6032.7608289999998</v>
      </c>
    </row>
    <row r="3225" spans="12:14" x14ac:dyDescent="0.55000000000000004">
      <c r="L3225">
        <v>3220</v>
      </c>
      <c r="M3225">
        <v>2.9932E-2</v>
      </c>
      <c r="N3225">
        <v>6032.7608289999998</v>
      </c>
    </row>
    <row r="3226" spans="12:14" x14ac:dyDescent="0.55000000000000004">
      <c r="L3226">
        <v>3221</v>
      </c>
      <c r="M3226">
        <v>2.9932E-2</v>
      </c>
      <c r="N3226">
        <v>6032.7608289999998</v>
      </c>
    </row>
    <row r="3227" spans="12:14" x14ac:dyDescent="0.55000000000000004">
      <c r="L3227">
        <v>3222</v>
      </c>
      <c r="M3227">
        <v>2.9932E-2</v>
      </c>
      <c r="N3227">
        <v>6032.7608289999998</v>
      </c>
    </row>
    <row r="3228" spans="12:14" x14ac:dyDescent="0.55000000000000004">
      <c r="L3228">
        <v>3223</v>
      </c>
      <c r="M3228">
        <v>2.9932E-2</v>
      </c>
      <c r="N3228">
        <v>6032.7608289999998</v>
      </c>
    </row>
    <row r="3229" spans="12:14" x14ac:dyDescent="0.55000000000000004">
      <c r="L3229">
        <v>3224</v>
      </c>
      <c r="M3229">
        <v>2.9932E-2</v>
      </c>
      <c r="N3229">
        <v>6032.7608289999998</v>
      </c>
    </row>
    <row r="3230" spans="12:14" x14ac:dyDescent="0.55000000000000004">
      <c r="L3230">
        <v>3225</v>
      </c>
      <c r="M3230">
        <v>2.9932E-2</v>
      </c>
      <c r="N3230">
        <v>6032.7608289999998</v>
      </c>
    </row>
    <row r="3231" spans="12:14" x14ac:dyDescent="0.55000000000000004">
      <c r="L3231">
        <v>3226</v>
      </c>
      <c r="M3231">
        <v>2.9932E-2</v>
      </c>
      <c r="N3231">
        <v>6032.7608289999998</v>
      </c>
    </row>
    <row r="3232" spans="12:14" x14ac:dyDescent="0.55000000000000004">
      <c r="L3232">
        <v>3227</v>
      </c>
      <c r="M3232">
        <v>2.9932E-2</v>
      </c>
      <c r="N3232">
        <v>6032.7608289999998</v>
      </c>
    </row>
    <row r="3233" spans="12:14" x14ac:dyDescent="0.55000000000000004">
      <c r="L3233">
        <v>3228</v>
      </c>
      <c r="M3233">
        <v>2.9932E-2</v>
      </c>
      <c r="N3233">
        <v>6032.7608289999998</v>
      </c>
    </row>
    <row r="3234" spans="12:14" x14ac:dyDescent="0.55000000000000004">
      <c r="L3234">
        <v>3229</v>
      </c>
      <c r="M3234">
        <v>2.9932E-2</v>
      </c>
      <c r="N3234">
        <v>6032.7608289999998</v>
      </c>
    </row>
    <row r="3235" spans="12:14" x14ac:dyDescent="0.55000000000000004">
      <c r="L3235">
        <v>3230</v>
      </c>
      <c r="M3235">
        <v>2.9932E-2</v>
      </c>
      <c r="N3235">
        <v>6032.7608289999998</v>
      </c>
    </row>
    <row r="3236" spans="12:14" x14ac:dyDescent="0.55000000000000004">
      <c r="L3236">
        <v>3231</v>
      </c>
      <c r="M3236">
        <v>2.9932E-2</v>
      </c>
      <c r="N3236">
        <v>6032.7608289999998</v>
      </c>
    </row>
    <row r="3237" spans="12:14" x14ac:dyDescent="0.55000000000000004">
      <c r="L3237">
        <v>3232</v>
      </c>
      <c r="M3237">
        <v>2.9932E-2</v>
      </c>
      <c r="N3237">
        <v>6032.7608289999998</v>
      </c>
    </row>
    <row r="3238" spans="12:14" x14ac:dyDescent="0.55000000000000004">
      <c r="L3238">
        <v>3233</v>
      </c>
      <c r="M3238">
        <v>2.9932E-2</v>
      </c>
      <c r="N3238">
        <v>6032.7608289999998</v>
      </c>
    </row>
    <row r="3239" spans="12:14" x14ac:dyDescent="0.55000000000000004">
      <c r="L3239">
        <v>3234</v>
      </c>
      <c r="M3239">
        <v>2.9932E-2</v>
      </c>
      <c r="N3239">
        <v>6032.7608289999998</v>
      </c>
    </row>
    <row r="3240" spans="12:14" x14ac:dyDescent="0.55000000000000004">
      <c r="L3240">
        <v>3235</v>
      </c>
      <c r="M3240">
        <v>2.9932E-2</v>
      </c>
      <c r="N3240">
        <v>6032.7608289999998</v>
      </c>
    </row>
    <row r="3241" spans="12:14" x14ac:dyDescent="0.55000000000000004">
      <c r="L3241">
        <v>3236</v>
      </c>
      <c r="M3241">
        <v>2.9932E-2</v>
      </c>
      <c r="N3241">
        <v>6032.7608289999998</v>
      </c>
    </row>
    <row r="3242" spans="12:14" x14ac:dyDescent="0.55000000000000004">
      <c r="L3242">
        <v>3237</v>
      </c>
      <c r="M3242">
        <v>2.9932E-2</v>
      </c>
      <c r="N3242">
        <v>6032.7608289999998</v>
      </c>
    </row>
    <row r="3243" spans="12:14" x14ac:dyDescent="0.55000000000000004">
      <c r="L3243">
        <v>3238</v>
      </c>
      <c r="M3243">
        <v>2.9932E-2</v>
      </c>
      <c r="N3243">
        <v>6032.7608289999998</v>
      </c>
    </row>
    <row r="3244" spans="12:14" x14ac:dyDescent="0.55000000000000004">
      <c r="L3244">
        <v>3239</v>
      </c>
      <c r="M3244">
        <v>2.9932E-2</v>
      </c>
      <c r="N3244">
        <v>6032.7608289999998</v>
      </c>
    </row>
    <row r="3245" spans="12:14" x14ac:dyDescent="0.55000000000000004">
      <c r="L3245">
        <v>3240</v>
      </c>
      <c r="M3245">
        <v>2.9932E-2</v>
      </c>
      <c r="N3245">
        <v>6032.7608289999998</v>
      </c>
    </row>
    <row r="3246" spans="12:14" x14ac:dyDescent="0.55000000000000004">
      <c r="L3246">
        <v>3241</v>
      </c>
      <c r="M3246">
        <v>2.9932E-2</v>
      </c>
      <c r="N3246">
        <v>6032.7608289999998</v>
      </c>
    </row>
    <row r="3247" spans="12:14" x14ac:dyDescent="0.55000000000000004">
      <c r="L3247">
        <v>3242</v>
      </c>
      <c r="M3247">
        <v>2.9932E-2</v>
      </c>
      <c r="N3247">
        <v>6032.7608289999998</v>
      </c>
    </row>
    <row r="3248" spans="12:14" x14ac:dyDescent="0.55000000000000004">
      <c r="L3248">
        <v>3243</v>
      </c>
      <c r="M3248">
        <v>2.9932E-2</v>
      </c>
      <c r="N3248">
        <v>6032.7608289999998</v>
      </c>
    </row>
    <row r="3249" spans="12:14" x14ac:dyDescent="0.55000000000000004">
      <c r="L3249">
        <v>3244</v>
      </c>
      <c r="M3249">
        <v>2.9932E-2</v>
      </c>
      <c r="N3249">
        <v>6032.7608289999998</v>
      </c>
    </row>
    <row r="3250" spans="12:14" x14ac:dyDescent="0.55000000000000004">
      <c r="L3250">
        <v>3245</v>
      </c>
      <c r="M3250">
        <v>2.9932E-2</v>
      </c>
      <c r="N3250">
        <v>6032.7608289999998</v>
      </c>
    </row>
    <row r="3251" spans="12:14" x14ac:dyDescent="0.55000000000000004">
      <c r="L3251">
        <v>3246</v>
      </c>
      <c r="M3251">
        <v>2.9932E-2</v>
      </c>
      <c r="N3251">
        <v>6032.7608289999998</v>
      </c>
    </row>
    <row r="3252" spans="12:14" x14ac:dyDescent="0.55000000000000004">
      <c r="L3252">
        <v>3247</v>
      </c>
      <c r="M3252">
        <v>2.9932E-2</v>
      </c>
      <c r="N3252">
        <v>6032.7608289999998</v>
      </c>
    </row>
    <row r="3253" spans="12:14" x14ac:dyDescent="0.55000000000000004">
      <c r="L3253">
        <v>3248</v>
      </c>
      <c r="M3253">
        <v>2.9932E-2</v>
      </c>
      <c r="N3253">
        <v>6032.7608289999998</v>
      </c>
    </row>
    <row r="3254" spans="12:14" x14ac:dyDescent="0.55000000000000004">
      <c r="L3254">
        <v>3249</v>
      </c>
      <c r="M3254">
        <v>2.9932E-2</v>
      </c>
      <c r="N3254">
        <v>6032.7608289999998</v>
      </c>
    </row>
    <row r="3255" spans="12:14" x14ac:dyDescent="0.55000000000000004">
      <c r="L3255">
        <v>3250</v>
      </c>
      <c r="M3255">
        <v>2.9932E-2</v>
      </c>
      <c r="N3255">
        <v>6032.7608289999998</v>
      </c>
    </row>
    <row r="3256" spans="12:14" x14ac:dyDescent="0.55000000000000004">
      <c r="L3256">
        <v>3251</v>
      </c>
      <c r="M3256">
        <v>2.9932E-2</v>
      </c>
      <c r="N3256">
        <v>6032.7608289999998</v>
      </c>
    </row>
    <row r="3257" spans="12:14" x14ac:dyDescent="0.55000000000000004">
      <c r="L3257">
        <v>3252</v>
      </c>
      <c r="M3257">
        <v>2.9932E-2</v>
      </c>
      <c r="N3257">
        <v>6032.7608289999998</v>
      </c>
    </row>
    <row r="3258" spans="12:14" x14ac:dyDescent="0.55000000000000004">
      <c r="L3258">
        <v>3253</v>
      </c>
      <c r="M3258">
        <v>2.9932E-2</v>
      </c>
      <c r="N3258">
        <v>6032.7608289999998</v>
      </c>
    </row>
    <row r="3259" spans="12:14" x14ac:dyDescent="0.55000000000000004">
      <c r="L3259">
        <v>3254</v>
      </c>
      <c r="M3259">
        <v>2.9932E-2</v>
      </c>
      <c r="N3259">
        <v>6032.7608289999998</v>
      </c>
    </row>
    <row r="3260" spans="12:14" x14ac:dyDescent="0.55000000000000004">
      <c r="L3260">
        <v>3255</v>
      </c>
      <c r="M3260">
        <v>2.9932E-2</v>
      </c>
      <c r="N3260">
        <v>6032.7608289999998</v>
      </c>
    </row>
    <row r="3261" spans="12:14" x14ac:dyDescent="0.55000000000000004">
      <c r="L3261">
        <v>3256</v>
      </c>
      <c r="M3261">
        <v>2.9932E-2</v>
      </c>
      <c r="N3261">
        <v>6032.7608289999998</v>
      </c>
    </row>
    <row r="3262" spans="12:14" x14ac:dyDescent="0.55000000000000004">
      <c r="L3262">
        <v>3257</v>
      </c>
      <c r="M3262">
        <v>2.9932E-2</v>
      </c>
      <c r="N3262">
        <v>6032.7608289999998</v>
      </c>
    </row>
    <row r="3263" spans="12:14" x14ac:dyDescent="0.55000000000000004">
      <c r="L3263">
        <v>3258</v>
      </c>
      <c r="M3263">
        <v>2.9932E-2</v>
      </c>
      <c r="N3263">
        <v>6032.7608289999998</v>
      </c>
    </row>
    <row r="3264" spans="12:14" x14ac:dyDescent="0.55000000000000004">
      <c r="L3264">
        <v>3259</v>
      </c>
      <c r="M3264">
        <v>2.9932E-2</v>
      </c>
      <c r="N3264">
        <v>6032.7608289999998</v>
      </c>
    </row>
    <row r="3265" spans="12:14" x14ac:dyDescent="0.55000000000000004">
      <c r="L3265">
        <v>3260</v>
      </c>
      <c r="M3265">
        <v>2.9932E-2</v>
      </c>
      <c r="N3265">
        <v>6032.7608289999998</v>
      </c>
    </row>
    <row r="3266" spans="12:14" x14ac:dyDescent="0.55000000000000004">
      <c r="L3266">
        <v>3261</v>
      </c>
      <c r="M3266">
        <v>2.9932E-2</v>
      </c>
      <c r="N3266">
        <v>6032.7608289999998</v>
      </c>
    </row>
    <row r="3267" spans="12:14" x14ac:dyDescent="0.55000000000000004">
      <c r="L3267">
        <v>3262</v>
      </c>
      <c r="M3267">
        <v>2.9932E-2</v>
      </c>
      <c r="N3267">
        <v>6032.7608289999998</v>
      </c>
    </row>
    <row r="3268" spans="12:14" x14ac:dyDescent="0.55000000000000004">
      <c r="L3268">
        <v>3263</v>
      </c>
      <c r="M3268">
        <v>2.9932E-2</v>
      </c>
      <c r="N3268">
        <v>6032.7608289999998</v>
      </c>
    </row>
    <row r="3269" spans="12:14" x14ac:dyDescent="0.55000000000000004">
      <c r="L3269">
        <v>3264</v>
      </c>
      <c r="M3269">
        <v>2.9932E-2</v>
      </c>
      <c r="N3269">
        <v>6032.7608289999998</v>
      </c>
    </row>
    <row r="3270" spans="12:14" x14ac:dyDescent="0.55000000000000004">
      <c r="L3270">
        <v>3265</v>
      </c>
      <c r="M3270">
        <v>2.9932E-2</v>
      </c>
      <c r="N3270">
        <v>6032.7608289999998</v>
      </c>
    </row>
    <row r="3271" spans="12:14" x14ac:dyDescent="0.55000000000000004">
      <c r="L3271">
        <v>3266</v>
      </c>
      <c r="M3271">
        <v>2.9932E-2</v>
      </c>
      <c r="N3271">
        <v>6032.7608289999998</v>
      </c>
    </row>
    <row r="3272" spans="12:14" x14ac:dyDescent="0.55000000000000004">
      <c r="L3272">
        <v>3267</v>
      </c>
      <c r="M3272">
        <v>2.9932E-2</v>
      </c>
      <c r="N3272">
        <v>6032.7608289999998</v>
      </c>
    </row>
    <row r="3273" spans="12:14" x14ac:dyDescent="0.55000000000000004">
      <c r="L3273">
        <v>3268</v>
      </c>
      <c r="M3273">
        <v>2.9932E-2</v>
      </c>
      <c r="N3273">
        <v>6032.7608289999998</v>
      </c>
    </row>
    <row r="3274" spans="12:14" x14ac:dyDescent="0.55000000000000004">
      <c r="L3274">
        <v>3269</v>
      </c>
      <c r="M3274">
        <v>2.9932E-2</v>
      </c>
      <c r="N3274">
        <v>6032.7608289999998</v>
      </c>
    </row>
    <row r="3275" spans="12:14" x14ac:dyDescent="0.55000000000000004">
      <c r="L3275">
        <v>3270</v>
      </c>
      <c r="M3275">
        <v>2.9932E-2</v>
      </c>
      <c r="N3275">
        <v>6032.7608289999998</v>
      </c>
    </row>
    <row r="3276" spans="12:14" x14ac:dyDescent="0.55000000000000004">
      <c r="L3276">
        <v>3271</v>
      </c>
      <c r="M3276">
        <v>2.9932E-2</v>
      </c>
      <c r="N3276">
        <v>6032.7608289999998</v>
      </c>
    </row>
    <row r="3277" spans="12:14" x14ac:dyDescent="0.55000000000000004">
      <c r="L3277">
        <v>3272</v>
      </c>
      <c r="M3277">
        <v>2.9932E-2</v>
      </c>
      <c r="N3277">
        <v>6032.7608289999998</v>
      </c>
    </row>
    <row r="3278" spans="12:14" x14ac:dyDescent="0.55000000000000004">
      <c r="L3278">
        <v>3273</v>
      </c>
      <c r="M3278">
        <v>2.9932E-2</v>
      </c>
      <c r="N3278">
        <v>6032.7608289999998</v>
      </c>
    </row>
    <row r="3279" spans="12:14" x14ac:dyDescent="0.55000000000000004">
      <c r="L3279">
        <v>3274</v>
      </c>
      <c r="M3279">
        <v>2.9932E-2</v>
      </c>
      <c r="N3279">
        <v>6032.7608289999998</v>
      </c>
    </row>
    <row r="3280" spans="12:14" x14ac:dyDescent="0.55000000000000004">
      <c r="L3280">
        <v>3275</v>
      </c>
      <c r="M3280">
        <v>2.9932E-2</v>
      </c>
      <c r="N3280">
        <v>6032.7608289999998</v>
      </c>
    </row>
    <row r="3281" spans="12:14" x14ac:dyDescent="0.55000000000000004">
      <c r="L3281">
        <v>3276</v>
      </c>
      <c r="M3281">
        <v>2.9932E-2</v>
      </c>
      <c r="N3281">
        <v>6032.7608289999998</v>
      </c>
    </row>
    <row r="3282" spans="12:14" x14ac:dyDescent="0.55000000000000004">
      <c r="L3282">
        <v>3277</v>
      </c>
      <c r="M3282">
        <v>2.9932E-2</v>
      </c>
      <c r="N3282">
        <v>6032.7608289999998</v>
      </c>
    </row>
    <row r="3283" spans="12:14" x14ac:dyDescent="0.55000000000000004">
      <c r="L3283">
        <v>3278</v>
      </c>
      <c r="M3283">
        <v>2.9932E-2</v>
      </c>
      <c r="N3283">
        <v>6032.7608289999998</v>
      </c>
    </row>
    <row r="3284" spans="12:14" x14ac:dyDescent="0.55000000000000004">
      <c r="L3284">
        <v>3279</v>
      </c>
      <c r="M3284">
        <v>2.9932E-2</v>
      </c>
      <c r="N3284">
        <v>6032.7608289999998</v>
      </c>
    </row>
    <row r="3285" spans="12:14" x14ac:dyDescent="0.55000000000000004">
      <c r="L3285">
        <v>3280</v>
      </c>
      <c r="M3285">
        <v>2.9932E-2</v>
      </c>
      <c r="N3285">
        <v>6032.7608289999998</v>
      </c>
    </row>
    <row r="3286" spans="12:14" x14ac:dyDescent="0.55000000000000004">
      <c r="L3286">
        <v>3281</v>
      </c>
      <c r="M3286">
        <v>2.9932E-2</v>
      </c>
      <c r="N3286">
        <v>6032.7608289999998</v>
      </c>
    </row>
    <row r="3287" spans="12:14" x14ac:dyDescent="0.55000000000000004">
      <c r="L3287">
        <v>3282</v>
      </c>
      <c r="M3287">
        <v>2.9932E-2</v>
      </c>
      <c r="N3287">
        <v>6032.7608289999998</v>
      </c>
    </row>
    <row r="3288" spans="12:14" x14ac:dyDescent="0.55000000000000004">
      <c r="L3288">
        <v>3283</v>
      </c>
      <c r="M3288">
        <v>2.9932E-2</v>
      </c>
      <c r="N3288">
        <v>6032.7608289999998</v>
      </c>
    </row>
    <row r="3289" spans="12:14" x14ac:dyDescent="0.55000000000000004">
      <c r="L3289">
        <v>3284</v>
      </c>
      <c r="M3289">
        <v>2.9932E-2</v>
      </c>
      <c r="N3289">
        <v>6032.7608289999998</v>
      </c>
    </row>
    <row r="3290" spans="12:14" x14ac:dyDescent="0.55000000000000004">
      <c r="L3290">
        <v>3285</v>
      </c>
      <c r="M3290">
        <v>2.9932E-2</v>
      </c>
      <c r="N3290">
        <v>6032.7608289999998</v>
      </c>
    </row>
    <row r="3291" spans="12:14" x14ac:dyDescent="0.55000000000000004">
      <c r="L3291">
        <v>3286</v>
      </c>
      <c r="M3291">
        <v>2.9932E-2</v>
      </c>
      <c r="N3291">
        <v>6032.7608289999998</v>
      </c>
    </row>
    <row r="3292" spans="12:14" x14ac:dyDescent="0.55000000000000004">
      <c r="L3292">
        <v>3287</v>
      </c>
      <c r="M3292">
        <v>2.9932E-2</v>
      </c>
      <c r="N3292">
        <v>6032.7608289999998</v>
      </c>
    </row>
    <row r="3293" spans="12:14" x14ac:dyDescent="0.55000000000000004">
      <c r="L3293">
        <v>3288</v>
      </c>
      <c r="M3293">
        <v>2.9932E-2</v>
      </c>
      <c r="N3293">
        <v>6032.7608289999998</v>
      </c>
    </row>
    <row r="3294" spans="12:14" x14ac:dyDescent="0.55000000000000004">
      <c r="L3294">
        <v>3289</v>
      </c>
      <c r="M3294">
        <v>2.9932E-2</v>
      </c>
      <c r="N3294">
        <v>6032.7608289999998</v>
      </c>
    </row>
    <row r="3295" spans="12:14" x14ac:dyDescent="0.55000000000000004">
      <c r="L3295">
        <v>3290</v>
      </c>
      <c r="M3295">
        <v>2.9932E-2</v>
      </c>
      <c r="N3295">
        <v>6032.7608289999998</v>
      </c>
    </row>
    <row r="3296" spans="12:14" x14ac:dyDescent="0.55000000000000004">
      <c r="L3296">
        <v>3291</v>
      </c>
      <c r="M3296">
        <v>2.9932E-2</v>
      </c>
      <c r="N3296">
        <v>6032.7608289999998</v>
      </c>
    </row>
    <row r="3297" spans="12:14" x14ac:dyDescent="0.55000000000000004">
      <c r="L3297">
        <v>3292</v>
      </c>
      <c r="M3297">
        <v>2.9932E-2</v>
      </c>
      <c r="N3297">
        <v>6032.7608289999998</v>
      </c>
    </row>
    <row r="3298" spans="12:14" x14ac:dyDescent="0.55000000000000004">
      <c r="L3298">
        <v>3293</v>
      </c>
      <c r="M3298">
        <v>2.9932E-2</v>
      </c>
      <c r="N3298">
        <v>6032.7608289999998</v>
      </c>
    </row>
    <row r="3299" spans="12:14" x14ac:dyDescent="0.55000000000000004">
      <c r="L3299">
        <v>3294</v>
      </c>
      <c r="M3299">
        <v>2.9932E-2</v>
      </c>
      <c r="N3299">
        <v>6032.7608289999998</v>
      </c>
    </row>
    <row r="3300" spans="12:14" x14ac:dyDescent="0.55000000000000004">
      <c r="L3300">
        <v>3295</v>
      </c>
      <c r="M3300">
        <v>2.9932E-2</v>
      </c>
      <c r="N3300">
        <v>6032.7608289999998</v>
      </c>
    </row>
    <row r="3301" spans="12:14" x14ac:dyDescent="0.55000000000000004">
      <c r="L3301">
        <v>3296</v>
      </c>
      <c r="M3301">
        <v>2.9932E-2</v>
      </c>
      <c r="N3301">
        <v>6032.7608289999998</v>
      </c>
    </row>
    <row r="3302" spans="12:14" x14ac:dyDescent="0.55000000000000004">
      <c r="L3302">
        <v>3297</v>
      </c>
      <c r="M3302">
        <v>2.9932E-2</v>
      </c>
      <c r="N3302">
        <v>6032.7608289999998</v>
      </c>
    </row>
    <row r="3303" spans="12:14" x14ac:dyDescent="0.55000000000000004">
      <c r="L3303">
        <v>3298</v>
      </c>
      <c r="M3303">
        <v>2.9932E-2</v>
      </c>
      <c r="N3303">
        <v>6032.7608289999998</v>
      </c>
    </row>
    <row r="3304" spans="12:14" x14ac:dyDescent="0.55000000000000004">
      <c r="L3304">
        <v>3299</v>
      </c>
      <c r="M3304">
        <v>2.9932E-2</v>
      </c>
      <c r="N3304">
        <v>6032.7608289999998</v>
      </c>
    </row>
    <row r="3305" spans="12:14" x14ac:dyDescent="0.55000000000000004">
      <c r="L3305">
        <v>3300</v>
      </c>
      <c r="M3305">
        <v>2.9932E-2</v>
      </c>
      <c r="N3305">
        <v>6032.7608289999998</v>
      </c>
    </row>
    <row r="3306" spans="12:14" x14ac:dyDescent="0.55000000000000004">
      <c r="L3306">
        <v>3301</v>
      </c>
      <c r="M3306">
        <v>2.9932E-2</v>
      </c>
      <c r="N3306">
        <v>6032.7608289999998</v>
      </c>
    </row>
    <row r="3307" spans="12:14" x14ac:dyDescent="0.55000000000000004">
      <c r="L3307">
        <v>3302</v>
      </c>
      <c r="M3307">
        <v>2.9932E-2</v>
      </c>
      <c r="N3307">
        <v>6032.7608289999998</v>
      </c>
    </row>
    <row r="3308" spans="12:14" x14ac:dyDescent="0.55000000000000004">
      <c r="L3308">
        <v>3303</v>
      </c>
      <c r="M3308">
        <v>2.9932E-2</v>
      </c>
      <c r="N3308">
        <v>6032.7608289999998</v>
      </c>
    </row>
    <row r="3309" spans="12:14" x14ac:dyDescent="0.55000000000000004">
      <c r="L3309">
        <v>3304</v>
      </c>
      <c r="M3309">
        <v>2.9932E-2</v>
      </c>
      <c r="N3309">
        <v>6032.7608289999998</v>
      </c>
    </row>
    <row r="3310" spans="12:14" x14ac:dyDescent="0.55000000000000004">
      <c r="L3310">
        <v>3305</v>
      </c>
      <c r="M3310">
        <v>2.9932E-2</v>
      </c>
      <c r="N3310">
        <v>6032.7608289999998</v>
      </c>
    </row>
    <row r="3311" spans="12:14" x14ac:dyDescent="0.55000000000000004">
      <c r="L3311">
        <v>3306</v>
      </c>
      <c r="M3311">
        <v>2.9932E-2</v>
      </c>
      <c r="N3311">
        <v>6032.7608289999998</v>
      </c>
    </row>
    <row r="3312" spans="12:14" x14ac:dyDescent="0.55000000000000004">
      <c r="L3312">
        <v>3307</v>
      </c>
      <c r="M3312">
        <v>2.9932E-2</v>
      </c>
      <c r="N3312">
        <v>6032.7608289999998</v>
      </c>
    </row>
    <row r="3313" spans="12:14" x14ac:dyDescent="0.55000000000000004">
      <c r="L3313">
        <v>3308</v>
      </c>
      <c r="M3313">
        <v>2.9932E-2</v>
      </c>
      <c r="N3313">
        <v>6032.7608289999998</v>
      </c>
    </row>
    <row r="3314" spans="12:14" x14ac:dyDescent="0.55000000000000004">
      <c r="L3314">
        <v>3309</v>
      </c>
      <c r="M3314">
        <v>2.9932E-2</v>
      </c>
      <c r="N3314">
        <v>6032.7608289999998</v>
      </c>
    </row>
    <row r="3315" spans="12:14" x14ac:dyDescent="0.55000000000000004">
      <c r="L3315">
        <v>3310</v>
      </c>
      <c r="M3315">
        <v>2.9932E-2</v>
      </c>
      <c r="N3315">
        <v>6032.7608289999998</v>
      </c>
    </row>
    <row r="3316" spans="12:14" x14ac:dyDescent="0.55000000000000004">
      <c r="L3316">
        <v>3311</v>
      </c>
      <c r="M3316">
        <v>2.9932E-2</v>
      </c>
      <c r="N3316">
        <v>6032.7608289999998</v>
      </c>
    </row>
    <row r="3317" spans="12:14" x14ac:dyDescent="0.55000000000000004">
      <c r="L3317">
        <v>3312</v>
      </c>
      <c r="M3317">
        <v>2.9932E-2</v>
      </c>
      <c r="N3317">
        <v>6032.7608289999998</v>
      </c>
    </row>
    <row r="3318" spans="12:14" x14ac:dyDescent="0.55000000000000004">
      <c r="L3318">
        <v>3313</v>
      </c>
      <c r="M3318">
        <v>2.9932E-2</v>
      </c>
      <c r="N3318">
        <v>6032.7608289999998</v>
      </c>
    </row>
    <row r="3319" spans="12:14" x14ac:dyDescent="0.55000000000000004">
      <c r="L3319">
        <v>3314</v>
      </c>
      <c r="M3319">
        <v>2.9932E-2</v>
      </c>
      <c r="N3319">
        <v>6032.7608289999998</v>
      </c>
    </row>
    <row r="3320" spans="12:14" x14ac:dyDescent="0.55000000000000004">
      <c r="L3320">
        <v>3315</v>
      </c>
      <c r="M3320">
        <v>2.9932E-2</v>
      </c>
      <c r="N3320">
        <v>6032.7608289999998</v>
      </c>
    </row>
    <row r="3321" spans="12:14" x14ac:dyDescent="0.55000000000000004">
      <c r="L3321">
        <v>3316</v>
      </c>
      <c r="M3321">
        <v>2.9932E-2</v>
      </c>
      <c r="N3321">
        <v>6032.7608289999998</v>
      </c>
    </row>
    <row r="3322" spans="12:14" x14ac:dyDescent="0.55000000000000004">
      <c r="L3322">
        <v>3317</v>
      </c>
      <c r="M3322">
        <v>2.9932E-2</v>
      </c>
      <c r="N3322">
        <v>6032.7608289999998</v>
      </c>
    </row>
    <row r="3323" spans="12:14" x14ac:dyDescent="0.55000000000000004">
      <c r="L3323">
        <v>3318</v>
      </c>
      <c r="M3323">
        <v>2.9932E-2</v>
      </c>
      <c r="N3323">
        <v>6032.7608289999998</v>
      </c>
    </row>
    <row r="3324" spans="12:14" x14ac:dyDescent="0.55000000000000004">
      <c r="L3324">
        <v>3319</v>
      </c>
      <c r="M3324">
        <v>2.9932E-2</v>
      </c>
      <c r="N3324">
        <v>6032.7608289999998</v>
      </c>
    </row>
    <row r="3325" spans="12:14" x14ac:dyDescent="0.55000000000000004">
      <c r="L3325">
        <v>3320</v>
      </c>
      <c r="M3325">
        <v>2.9932E-2</v>
      </c>
      <c r="N3325">
        <v>6032.7608289999998</v>
      </c>
    </row>
    <row r="3326" spans="12:14" x14ac:dyDescent="0.55000000000000004">
      <c r="L3326">
        <v>3321</v>
      </c>
      <c r="M3326">
        <v>2.9932E-2</v>
      </c>
      <c r="N3326">
        <v>6032.7608289999998</v>
      </c>
    </row>
    <row r="3327" spans="12:14" x14ac:dyDescent="0.55000000000000004">
      <c r="L3327">
        <v>3322</v>
      </c>
      <c r="M3327">
        <v>2.9932E-2</v>
      </c>
      <c r="N3327">
        <v>6032.7608289999998</v>
      </c>
    </row>
    <row r="3328" spans="12:14" x14ac:dyDescent="0.55000000000000004">
      <c r="L3328">
        <v>3323</v>
      </c>
      <c r="M3328">
        <v>2.9932E-2</v>
      </c>
      <c r="N3328">
        <v>6032.7608289999998</v>
      </c>
    </row>
    <row r="3329" spans="12:14" x14ac:dyDescent="0.55000000000000004">
      <c r="L3329">
        <v>3324</v>
      </c>
      <c r="M3329">
        <v>2.9932E-2</v>
      </c>
      <c r="N3329">
        <v>6032.7608289999998</v>
      </c>
    </row>
    <row r="3330" spans="12:14" x14ac:dyDescent="0.55000000000000004">
      <c r="L3330">
        <v>3325</v>
      </c>
      <c r="M3330">
        <v>2.9932E-2</v>
      </c>
      <c r="N3330">
        <v>6032.7608289999998</v>
      </c>
    </row>
    <row r="3331" spans="12:14" x14ac:dyDescent="0.55000000000000004">
      <c r="L3331">
        <v>3326</v>
      </c>
      <c r="M3331">
        <v>2.9932E-2</v>
      </c>
      <c r="N3331">
        <v>6032.7608289999998</v>
      </c>
    </row>
    <row r="3332" spans="12:14" x14ac:dyDescent="0.55000000000000004">
      <c r="L3332">
        <v>3327</v>
      </c>
      <c r="M3332">
        <v>2.9932E-2</v>
      </c>
      <c r="N3332">
        <v>6032.7608289999998</v>
      </c>
    </row>
    <row r="3333" spans="12:14" x14ac:dyDescent="0.55000000000000004">
      <c r="L3333">
        <v>3328</v>
      </c>
      <c r="M3333">
        <v>2.9932E-2</v>
      </c>
      <c r="N3333">
        <v>6032.7608289999998</v>
      </c>
    </row>
    <row r="3334" spans="12:14" x14ac:dyDescent="0.55000000000000004">
      <c r="L3334">
        <v>3329</v>
      </c>
      <c r="M3334">
        <v>2.9932E-2</v>
      </c>
      <c r="N3334">
        <v>6032.7608289999998</v>
      </c>
    </row>
    <row r="3335" spans="12:14" x14ac:dyDescent="0.55000000000000004">
      <c r="L3335">
        <v>3330</v>
      </c>
      <c r="M3335">
        <v>2.9932E-2</v>
      </c>
      <c r="N3335">
        <v>6032.7608289999998</v>
      </c>
    </row>
    <row r="3336" spans="12:14" x14ac:dyDescent="0.55000000000000004">
      <c r="L3336">
        <v>3331</v>
      </c>
      <c r="M3336">
        <v>2.9932E-2</v>
      </c>
      <c r="N3336">
        <v>6032.7608289999998</v>
      </c>
    </row>
    <row r="3337" spans="12:14" x14ac:dyDescent="0.55000000000000004">
      <c r="L3337">
        <v>3332</v>
      </c>
      <c r="M3337">
        <v>2.9932E-2</v>
      </c>
      <c r="N3337">
        <v>6032.7608289999998</v>
      </c>
    </row>
    <row r="3338" spans="12:14" x14ac:dyDescent="0.55000000000000004">
      <c r="L3338">
        <v>3333</v>
      </c>
      <c r="M3338">
        <v>2.9932E-2</v>
      </c>
      <c r="N3338">
        <v>6032.7608289999998</v>
      </c>
    </row>
    <row r="3339" spans="12:14" x14ac:dyDescent="0.55000000000000004">
      <c r="L3339">
        <v>3334</v>
      </c>
      <c r="M3339">
        <v>2.9932E-2</v>
      </c>
      <c r="N3339">
        <v>6032.7608289999998</v>
      </c>
    </row>
    <row r="3340" spans="12:14" x14ac:dyDescent="0.55000000000000004">
      <c r="L3340">
        <v>3335</v>
      </c>
      <c r="M3340">
        <v>2.9932E-2</v>
      </c>
      <c r="N3340">
        <v>6032.7608289999998</v>
      </c>
    </row>
    <row r="3341" spans="12:14" x14ac:dyDescent="0.55000000000000004">
      <c r="L3341">
        <v>3336</v>
      </c>
      <c r="M3341">
        <v>2.9932E-2</v>
      </c>
      <c r="N3341">
        <v>6032.7608289999998</v>
      </c>
    </row>
    <row r="3342" spans="12:14" x14ac:dyDescent="0.55000000000000004">
      <c r="L3342">
        <v>3337</v>
      </c>
      <c r="M3342">
        <v>2.9932E-2</v>
      </c>
      <c r="N3342">
        <v>6032.7608289999998</v>
      </c>
    </row>
    <row r="3343" spans="12:14" x14ac:dyDescent="0.55000000000000004">
      <c r="L3343">
        <v>3338</v>
      </c>
      <c r="M3343">
        <v>2.9932E-2</v>
      </c>
      <c r="N3343">
        <v>6032.7608289999998</v>
      </c>
    </row>
    <row r="3344" spans="12:14" x14ac:dyDescent="0.55000000000000004">
      <c r="L3344">
        <v>3339</v>
      </c>
      <c r="M3344">
        <v>2.9932E-2</v>
      </c>
      <c r="N3344">
        <v>6032.7608289999998</v>
      </c>
    </row>
    <row r="3345" spans="12:14" x14ac:dyDescent="0.55000000000000004">
      <c r="L3345">
        <v>3340</v>
      </c>
      <c r="M3345">
        <v>2.9932E-2</v>
      </c>
      <c r="N3345">
        <v>6032.7608289999998</v>
      </c>
    </row>
    <row r="3346" spans="12:14" x14ac:dyDescent="0.55000000000000004">
      <c r="L3346">
        <v>3341</v>
      </c>
      <c r="M3346">
        <v>2.9932E-2</v>
      </c>
      <c r="N3346">
        <v>6032.7608289999998</v>
      </c>
    </row>
    <row r="3347" spans="12:14" x14ac:dyDescent="0.55000000000000004">
      <c r="L3347">
        <v>3342</v>
      </c>
      <c r="M3347">
        <v>2.9932E-2</v>
      </c>
      <c r="N3347">
        <v>6032.7608289999998</v>
      </c>
    </row>
    <row r="3348" spans="12:14" x14ac:dyDescent="0.55000000000000004">
      <c r="L3348">
        <v>3343</v>
      </c>
      <c r="M3348">
        <v>2.9932E-2</v>
      </c>
      <c r="N3348">
        <v>6032.7608289999998</v>
      </c>
    </row>
    <row r="3349" spans="12:14" x14ac:dyDescent="0.55000000000000004">
      <c r="L3349">
        <v>3344</v>
      </c>
      <c r="M3349">
        <v>2.9932E-2</v>
      </c>
      <c r="N3349">
        <v>6032.7608289999998</v>
      </c>
    </row>
    <row r="3350" spans="12:14" x14ac:dyDescent="0.55000000000000004">
      <c r="L3350">
        <v>3345</v>
      </c>
      <c r="M3350">
        <v>2.9932E-2</v>
      </c>
      <c r="N3350">
        <v>6032.7608289999998</v>
      </c>
    </row>
    <row r="3351" spans="12:14" x14ac:dyDescent="0.55000000000000004">
      <c r="L3351">
        <v>3346</v>
      </c>
      <c r="M3351">
        <v>2.9932E-2</v>
      </c>
      <c r="N3351">
        <v>6032.7608289999998</v>
      </c>
    </row>
    <row r="3352" spans="12:14" x14ac:dyDescent="0.55000000000000004">
      <c r="L3352">
        <v>3347</v>
      </c>
      <c r="M3352">
        <v>2.9932E-2</v>
      </c>
      <c r="N3352">
        <v>6032.7608289999998</v>
      </c>
    </row>
    <row r="3353" spans="12:14" x14ac:dyDescent="0.55000000000000004">
      <c r="L3353">
        <v>3348</v>
      </c>
      <c r="M3353">
        <v>2.9932E-2</v>
      </c>
      <c r="N3353">
        <v>6032.7608289999998</v>
      </c>
    </row>
    <row r="3354" spans="12:14" x14ac:dyDescent="0.55000000000000004">
      <c r="L3354">
        <v>3349</v>
      </c>
      <c r="M3354">
        <v>2.9932E-2</v>
      </c>
      <c r="N3354">
        <v>6032.7608289999998</v>
      </c>
    </row>
    <row r="3355" spans="12:14" x14ac:dyDescent="0.55000000000000004">
      <c r="L3355">
        <v>3350</v>
      </c>
      <c r="M3355">
        <v>2.9932E-2</v>
      </c>
      <c r="N3355">
        <v>6032.7608289999998</v>
      </c>
    </row>
    <row r="3356" spans="12:14" x14ac:dyDescent="0.55000000000000004">
      <c r="L3356">
        <v>3351</v>
      </c>
      <c r="M3356">
        <v>2.9932E-2</v>
      </c>
      <c r="N3356">
        <v>6032.7608289999998</v>
      </c>
    </row>
    <row r="3357" spans="12:14" x14ac:dyDescent="0.55000000000000004">
      <c r="L3357">
        <v>3352</v>
      </c>
      <c r="M3357">
        <v>2.9932E-2</v>
      </c>
      <c r="N3357">
        <v>6032.7608289999998</v>
      </c>
    </row>
    <row r="3358" spans="12:14" x14ac:dyDescent="0.55000000000000004">
      <c r="L3358">
        <v>3353</v>
      </c>
      <c r="M3358">
        <v>2.9932E-2</v>
      </c>
      <c r="N3358">
        <v>6032.7608289999998</v>
      </c>
    </row>
    <row r="3359" spans="12:14" x14ac:dyDescent="0.55000000000000004">
      <c r="L3359">
        <v>3354</v>
      </c>
      <c r="M3359">
        <v>2.9932E-2</v>
      </c>
      <c r="N3359">
        <v>6032.7608289999998</v>
      </c>
    </row>
    <row r="3360" spans="12:14" x14ac:dyDescent="0.55000000000000004">
      <c r="L3360">
        <v>3355</v>
      </c>
      <c r="M3360">
        <v>2.9932E-2</v>
      </c>
      <c r="N3360">
        <v>6032.7608289999998</v>
      </c>
    </row>
    <row r="3361" spans="12:14" x14ac:dyDescent="0.55000000000000004">
      <c r="L3361">
        <v>3356</v>
      </c>
      <c r="M3361">
        <v>2.9932E-2</v>
      </c>
      <c r="N3361">
        <v>6032.7608289999998</v>
      </c>
    </row>
    <row r="3362" spans="12:14" x14ac:dyDescent="0.55000000000000004">
      <c r="L3362">
        <v>3357</v>
      </c>
      <c r="M3362">
        <v>2.9932E-2</v>
      </c>
      <c r="N3362">
        <v>6032.7608289999998</v>
      </c>
    </row>
    <row r="3363" spans="12:14" x14ac:dyDescent="0.55000000000000004">
      <c r="L3363">
        <v>3358</v>
      </c>
      <c r="M3363">
        <v>2.9932E-2</v>
      </c>
      <c r="N3363">
        <v>6032.7608289999998</v>
      </c>
    </row>
    <row r="3364" spans="12:14" x14ac:dyDescent="0.55000000000000004">
      <c r="L3364">
        <v>3359</v>
      </c>
      <c r="M3364">
        <v>2.9932E-2</v>
      </c>
      <c r="N3364">
        <v>6032.7608289999998</v>
      </c>
    </row>
    <row r="3365" spans="12:14" x14ac:dyDescent="0.55000000000000004">
      <c r="L3365">
        <v>3360</v>
      </c>
      <c r="M3365">
        <v>2.9932E-2</v>
      </c>
      <c r="N3365">
        <v>6032.7608289999998</v>
      </c>
    </row>
    <row r="3366" spans="12:14" x14ac:dyDescent="0.55000000000000004">
      <c r="L3366">
        <v>3361</v>
      </c>
      <c r="M3366">
        <v>2.9932E-2</v>
      </c>
      <c r="N3366">
        <v>6032.7608289999998</v>
      </c>
    </row>
    <row r="3367" spans="12:14" x14ac:dyDescent="0.55000000000000004">
      <c r="L3367">
        <v>3362</v>
      </c>
      <c r="M3367">
        <v>2.9932E-2</v>
      </c>
      <c r="N3367">
        <v>6032.7608289999998</v>
      </c>
    </row>
    <row r="3368" spans="12:14" x14ac:dyDescent="0.55000000000000004">
      <c r="L3368">
        <v>3363</v>
      </c>
      <c r="M3368">
        <v>2.9932E-2</v>
      </c>
      <c r="N3368">
        <v>6032.7608289999998</v>
      </c>
    </row>
    <row r="3369" spans="12:14" x14ac:dyDescent="0.55000000000000004">
      <c r="L3369">
        <v>3364</v>
      </c>
      <c r="M3369">
        <v>2.9932E-2</v>
      </c>
      <c r="N3369">
        <v>6032.7608289999998</v>
      </c>
    </row>
    <row r="3370" spans="12:14" x14ac:dyDescent="0.55000000000000004">
      <c r="L3370">
        <v>3365</v>
      </c>
      <c r="M3370">
        <v>2.9932E-2</v>
      </c>
      <c r="N3370">
        <v>6032.7608289999998</v>
      </c>
    </row>
    <row r="3371" spans="12:14" x14ac:dyDescent="0.55000000000000004">
      <c r="L3371">
        <v>3366</v>
      </c>
      <c r="M3371">
        <v>2.9932E-2</v>
      </c>
      <c r="N3371">
        <v>6032.7608289999998</v>
      </c>
    </row>
    <row r="3372" spans="12:14" x14ac:dyDescent="0.55000000000000004">
      <c r="L3372">
        <v>3367</v>
      </c>
      <c r="M3372">
        <v>2.9932E-2</v>
      </c>
      <c r="N3372">
        <v>6032.7608289999998</v>
      </c>
    </row>
    <row r="3373" spans="12:14" x14ac:dyDescent="0.55000000000000004">
      <c r="L3373">
        <v>3368</v>
      </c>
      <c r="M3373">
        <v>2.9932E-2</v>
      </c>
      <c r="N3373">
        <v>6032.7608289999998</v>
      </c>
    </row>
    <row r="3374" spans="12:14" x14ac:dyDescent="0.55000000000000004">
      <c r="L3374">
        <v>3369</v>
      </c>
      <c r="M3374">
        <v>2.9932E-2</v>
      </c>
      <c r="N3374">
        <v>6032.7608289999998</v>
      </c>
    </row>
    <row r="3375" spans="12:14" x14ac:dyDescent="0.55000000000000004">
      <c r="L3375">
        <v>3370</v>
      </c>
      <c r="M3375">
        <v>2.9932E-2</v>
      </c>
      <c r="N3375">
        <v>6032.7608289999998</v>
      </c>
    </row>
    <row r="3376" spans="12:14" x14ac:dyDescent="0.55000000000000004">
      <c r="L3376">
        <v>3371</v>
      </c>
      <c r="M3376">
        <v>2.9932E-2</v>
      </c>
      <c r="N3376">
        <v>6032.7608289999998</v>
      </c>
    </row>
    <row r="3377" spans="12:14" x14ac:dyDescent="0.55000000000000004">
      <c r="L3377">
        <v>3372</v>
      </c>
      <c r="M3377">
        <v>2.9932E-2</v>
      </c>
      <c r="N3377">
        <v>6032.7608289999998</v>
      </c>
    </row>
    <row r="3378" spans="12:14" x14ac:dyDescent="0.55000000000000004">
      <c r="L3378">
        <v>3373</v>
      </c>
      <c r="M3378">
        <v>2.9932E-2</v>
      </c>
      <c r="N3378">
        <v>6032.7608289999998</v>
      </c>
    </row>
    <row r="3379" spans="12:14" x14ac:dyDescent="0.55000000000000004">
      <c r="L3379">
        <v>3374</v>
      </c>
      <c r="M3379">
        <v>2.9932E-2</v>
      </c>
      <c r="N3379">
        <v>6032.7608289999998</v>
      </c>
    </row>
    <row r="3380" spans="12:14" x14ac:dyDescent="0.55000000000000004">
      <c r="L3380">
        <v>3375</v>
      </c>
      <c r="M3380">
        <v>2.9932E-2</v>
      </c>
      <c r="N3380">
        <v>6032.7608289999998</v>
      </c>
    </row>
    <row r="3381" spans="12:14" x14ac:dyDescent="0.55000000000000004">
      <c r="L3381">
        <v>3376</v>
      </c>
      <c r="M3381">
        <v>2.9932E-2</v>
      </c>
      <c r="N3381">
        <v>6032.7608289999998</v>
      </c>
    </row>
    <row r="3382" spans="12:14" x14ac:dyDescent="0.55000000000000004">
      <c r="L3382">
        <v>3377</v>
      </c>
      <c r="M3382">
        <v>2.9932E-2</v>
      </c>
      <c r="N3382">
        <v>6032.7608289999998</v>
      </c>
    </row>
    <row r="3383" spans="12:14" x14ac:dyDescent="0.55000000000000004">
      <c r="L3383">
        <v>3378</v>
      </c>
      <c r="M3383">
        <v>2.9932E-2</v>
      </c>
      <c r="N3383">
        <v>6032.7608289999998</v>
      </c>
    </row>
    <row r="3384" spans="12:14" x14ac:dyDescent="0.55000000000000004">
      <c r="L3384">
        <v>3379</v>
      </c>
      <c r="M3384">
        <v>2.9932E-2</v>
      </c>
      <c r="N3384">
        <v>6032.7608289999998</v>
      </c>
    </row>
    <row r="3385" spans="12:14" x14ac:dyDescent="0.55000000000000004">
      <c r="L3385">
        <v>3380</v>
      </c>
      <c r="M3385">
        <v>2.9932E-2</v>
      </c>
      <c r="N3385">
        <v>6032.7608289999998</v>
      </c>
    </row>
    <row r="3386" spans="12:14" x14ac:dyDescent="0.55000000000000004">
      <c r="L3386">
        <v>3381</v>
      </c>
      <c r="M3386">
        <v>2.9932E-2</v>
      </c>
      <c r="N3386">
        <v>6032.7608289999998</v>
      </c>
    </row>
    <row r="3387" spans="12:14" x14ac:dyDescent="0.55000000000000004">
      <c r="L3387">
        <v>3382</v>
      </c>
      <c r="M3387">
        <v>2.9932E-2</v>
      </c>
      <c r="N3387">
        <v>6032.7608289999998</v>
      </c>
    </row>
    <row r="3388" spans="12:14" x14ac:dyDescent="0.55000000000000004">
      <c r="L3388">
        <v>3383</v>
      </c>
      <c r="M3388">
        <v>2.9932E-2</v>
      </c>
      <c r="N3388">
        <v>6032.7608289999998</v>
      </c>
    </row>
    <row r="3389" spans="12:14" x14ac:dyDescent="0.55000000000000004">
      <c r="L3389">
        <v>3384</v>
      </c>
      <c r="M3389">
        <v>2.9932E-2</v>
      </c>
      <c r="N3389">
        <v>6032.7608289999998</v>
      </c>
    </row>
    <row r="3390" spans="12:14" x14ac:dyDescent="0.55000000000000004">
      <c r="L3390">
        <v>3385</v>
      </c>
      <c r="M3390">
        <v>2.9932E-2</v>
      </c>
      <c r="N3390">
        <v>6032.7608289999998</v>
      </c>
    </row>
    <row r="3391" spans="12:14" x14ac:dyDescent="0.55000000000000004">
      <c r="L3391">
        <v>3386</v>
      </c>
      <c r="M3391">
        <v>2.9932E-2</v>
      </c>
      <c r="N3391">
        <v>6032.7608289999998</v>
      </c>
    </row>
    <row r="3392" spans="12:14" x14ac:dyDescent="0.55000000000000004">
      <c r="L3392">
        <v>3387</v>
      </c>
      <c r="M3392">
        <v>2.9932E-2</v>
      </c>
      <c r="N3392">
        <v>6032.7608289999998</v>
      </c>
    </row>
    <row r="3393" spans="12:14" x14ac:dyDescent="0.55000000000000004">
      <c r="L3393">
        <v>3388</v>
      </c>
      <c r="M3393">
        <v>2.9932E-2</v>
      </c>
      <c r="N3393">
        <v>6032.7608289999998</v>
      </c>
    </row>
    <row r="3394" spans="12:14" x14ac:dyDescent="0.55000000000000004">
      <c r="L3394">
        <v>3389</v>
      </c>
      <c r="M3394">
        <v>2.9932E-2</v>
      </c>
      <c r="N3394">
        <v>6032.7608289999998</v>
      </c>
    </row>
    <row r="3395" spans="12:14" x14ac:dyDescent="0.55000000000000004">
      <c r="L3395">
        <v>3390</v>
      </c>
      <c r="M3395">
        <v>2.9932E-2</v>
      </c>
      <c r="N3395">
        <v>6032.7608289999998</v>
      </c>
    </row>
    <row r="3396" spans="12:14" x14ac:dyDescent="0.55000000000000004">
      <c r="L3396">
        <v>3391</v>
      </c>
      <c r="M3396">
        <v>2.9932E-2</v>
      </c>
      <c r="N3396">
        <v>6032.7608289999998</v>
      </c>
    </row>
    <row r="3397" spans="12:14" x14ac:dyDescent="0.55000000000000004">
      <c r="L3397">
        <v>3392</v>
      </c>
      <c r="M3397">
        <v>2.9932E-2</v>
      </c>
      <c r="N3397">
        <v>6032.7608289999998</v>
      </c>
    </row>
    <row r="3398" spans="12:14" x14ac:dyDescent="0.55000000000000004">
      <c r="L3398">
        <v>3393</v>
      </c>
      <c r="M3398">
        <v>2.9932E-2</v>
      </c>
      <c r="N3398">
        <v>6032.7608289999998</v>
      </c>
    </row>
    <row r="3399" spans="12:14" x14ac:dyDescent="0.55000000000000004">
      <c r="L3399">
        <v>3394</v>
      </c>
      <c r="M3399">
        <v>2.9932E-2</v>
      </c>
      <c r="N3399">
        <v>6032.7608289999998</v>
      </c>
    </row>
    <row r="3400" spans="12:14" x14ac:dyDescent="0.55000000000000004">
      <c r="L3400">
        <v>3395</v>
      </c>
      <c r="M3400">
        <v>2.9932E-2</v>
      </c>
      <c r="N3400">
        <v>6032.7608289999998</v>
      </c>
    </row>
    <row r="3401" spans="12:14" x14ac:dyDescent="0.55000000000000004">
      <c r="L3401">
        <v>3396</v>
      </c>
      <c r="M3401">
        <v>2.9932E-2</v>
      </c>
      <c r="N3401">
        <v>6032.7608289999998</v>
      </c>
    </row>
    <row r="3402" spans="12:14" x14ac:dyDescent="0.55000000000000004">
      <c r="L3402">
        <v>3397</v>
      </c>
      <c r="M3402">
        <v>2.9932E-2</v>
      </c>
      <c r="N3402">
        <v>6032.7608289999998</v>
      </c>
    </row>
    <row r="3403" spans="12:14" x14ac:dyDescent="0.55000000000000004">
      <c r="L3403">
        <v>3398</v>
      </c>
      <c r="M3403">
        <v>2.9932E-2</v>
      </c>
      <c r="N3403">
        <v>6032.7608289999998</v>
      </c>
    </row>
    <row r="3404" spans="12:14" x14ac:dyDescent="0.55000000000000004">
      <c r="L3404">
        <v>3399</v>
      </c>
      <c r="M3404">
        <v>2.9932E-2</v>
      </c>
      <c r="N3404">
        <v>6032.7608289999998</v>
      </c>
    </row>
    <row r="3405" spans="12:14" x14ac:dyDescent="0.55000000000000004">
      <c r="L3405">
        <v>3400</v>
      </c>
      <c r="M3405">
        <v>2.9932E-2</v>
      </c>
      <c r="N3405">
        <v>6032.7608289999998</v>
      </c>
    </row>
    <row r="3406" spans="12:14" x14ac:dyDescent="0.55000000000000004">
      <c r="L3406">
        <v>3401</v>
      </c>
      <c r="M3406">
        <v>2.9932E-2</v>
      </c>
      <c r="N3406">
        <v>6032.7608289999998</v>
      </c>
    </row>
    <row r="3407" spans="12:14" x14ac:dyDescent="0.55000000000000004">
      <c r="L3407">
        <v>3402</v>
      </c>
      <c r="M3407">
        <v>2.9932E-2</v>
      </c>
      <c r="N3407">
        <v>6032.7608289999998</v>
      </c>
    </row>
    <row r="3408" spans="12:14" x14ac:dyDescent="0.55000000000000004">
      <c r="L3408">
        <v>3403</v>
      </c>
      <c r="M3408">
        <v>2.9932E-2</v>
      </c>
      <c r="N3408">
        <v>6032.7608289999998</v>
      </c>
    </row>
    <row r="3409" spans="12:14" x14ac:dyDescent="0.55000000000000004">
      <c r="L3409">
        <v>3404</v>
      </c>
      <c r="M3409">
        <v>2.9932E-2</v>
      </c>
      <c r="N3409">
        <v>6032.7608289999998</v>
      </c>
    </row>
    <row r="3410" spans="12:14" x14ac:dyDescent="0.55000000000000004">
      <c r="L3410">
        <v>3405</v>
      </c>
      <c r="M3410">
        <v>2.9932E-2</v>
      </c>
      <c r="N3410">
        <v>6032.7608289999998</v>
      </c>
    </row>
    <row r="3411" spans="12:14" x14ac:dyDescent="0.55000000000000004">
      <c r="L3411">
        <v>3406</v>
      </c>
      <c r="M3411">
        <v>2.9932E-2</v>
      </c>
      <c r="N3411">
        <v>6032.7608289999998</v>
      </c>
    </row>
    <row r="3412" spans="12:14" x14ac:dyDescent="0.55000000000000004">
      <c r="L3412">
        <v>3407</v>
      </c>
      <c r="M3412">
        <v>2.9932E-2</v>
      </c>
      <c r="N3412">
        <v>6032.7608289999998</v>
      </c>
    </row>
    <row r="3413" spans="12:14" x14ac:dyDescent="0.55000000000000004">
      <c r="L3413">
        <v>3408</v>
      </c>
      <c r="M3413">
        <v>2.9932E-2</v>
      </c>
      <c r="N3413">
        <v>6032.7608289999998</v>
      </c>
    </row>
    <row r="3414" spans="12:14" x14ac:dyDescent="0.55000000000000004">
      <c r="L3414">
        <v>3409</v>
      </c>
      <c r="M3414">
        <v>2.9932E-2</v>
      </c>
      <c r="N3414">
        <v>6032.7608289999998</v>
      </c>
    </row>
    <row r="3415" spans="12:14" x14ac:dyDescent="0.55000000000000004">
      <c r="L3415">
        <v>3410</v>
      </c>
      <c r="M3415">
        <v>2.9932E-2</v>
      </c>
      <c r="N3415">
        <v>6032.7608289999998</v>
      </c>
    </row>
    <row r="3416" spans="12:14" x14ac:dyDescent="0.55000000000000004">
      <c r="L3416">
        <v>3411</v>
      </c>
      <c r="M3416">
        <v>2.9932E-2</v>
      </c>
      <c r="N3416">
        <v>6032.7608289999998</v>
      </c>
    </row>
    <row r="3417" spans="12:14" x14ac:dyDescent="0.55000000000000004">
      <c r="L3417">
        <v>3412</v>
      </c>
      <c r="M3417">
        <v>2.9932E-2</v>
      </c>
      <c r="N3417">
        <v>6032.7608289999998</v>
      </c>
    </row>
    <row r="3418" spans="12:14" x14ac:dyDescent="0.55000000000000004">
      <c r="L3418">
        <v>3413</v>
      </c>
      <c r="M3418">
        <v>2.9932E-2</v>
      </c>
      <c r="N3418">
        <v>6032.7608289999998</v>
      </c>
    </row>
    <row r="3419" spans="12:14" x14ac:dyDescent="0.55000000000000004">
      <c r="L3419">
        <v>3414</v>
      </c>
      <c r="M3419">
        <v>2.9932E-2</v>
      </c>
      <c r="N3419">
        <v>6032.7608289999998</v>
      </c>
    </row>
    <row r="3420" spans="12:14" x14ac:dyDescent="0.55000000000000004">
      <c r="L3420">
        <v>3415</v>
      </c>
      <c r="M3420">
        <v>2.9932E-2</v>
      </c>
      <c r="N3420">
        <v>6032.7608289999998</v>
      </c>
    </row>
    <row r="3421" spans="12:14" x14ac:dyDescent="0.55000000000000004">
      <c r="L3421">
        <v>3416</v>
      </c>
      <c r="M3421">
        <v>2.9932E-2</v>
      </c>
      <c r="N3421">
        <v>6032.7608289999998</v>
      </c>
    </row>
    <row r="3422" spans="12:14" x14ac:dyDescent="0.55000000000000004">
      <c r="L3422">
        <v>3417</v>
      </c>
      <c r="M3422">
        <v>2.9932E-2</v>
      </c>
      <c r="N3422">
        <v>6032.7608289999998</v>
      </c>
    </row>
    <row r="3423" spans="12:14" x14ac:dyDescent="0.55000000000000004">
      <c r="L3423">
        <v>3418</v>
      </c>
      <c r="M3423">
        <v>2.9932E-2</v>
      </c>
      <c r="N3423">
        <v>6032.7608289999998</v>
      </c>
    </row>
    <row r="3424" spans="12:14" x14ac:dyDescent="0.55000000000000004">
      <c r="L3424">
        <v>3419</v>
      </c>
      <c r="M3424">
        <v>2.9932E-2</v>
      </c>
      <c r="N3424">
        <v>6032.7608289999998</v>
      </c>
    </row>
    <row r="3425" spans="12:14" x14ac:dyDescent="0.55000000000000004">
      <c r="L3425">
        <v>3420</v>
      </c>
      <c r="M3425">
        <v>2.9932E-2</v>
      </c>
      <c r="N3425">
        <v>6032.7608289999998</v>
      </c>
    </row>
    <row r="3426" spans="12:14" x14ac:dyDescent="0.55000000000000004">
      <c r="L3426">
        <v>3421</v>
      </c>
      <c r="M3426">
        <v>2.9932E-2</v>
      </c>
      <c r="N3426">
        <v>6032.7608289999998</v>
      </c>
    </row>
    <row r="3427" spans="12:14" x14ac:dyDescent="0.55000000000000004">
      <c r="L3427">
        <v>3422</v>
      </c>
      <c r="M3427">
        <v>2.9932E-2</v>
      </c>
      <c r="N3427">
        <v>6032.7608289999998</v>
      </c>
    </row>
    <row r="3428" spans="12:14" x14ac:dyDescent="0.55000000000000004">
      <c r="L3428">
        <v>3423</v>
      </c>
      <c r="M3428">
        <v>2.9932E-2</v>
      </c>
      <c r="N3428">
        <v>6032.7608289999998</v>
      </c>
    </row>
    <row r="3429" spans="12:14" x14ac:dyDescent="0.55000000000000004">
      <c r="L3429">
        <v>3424</v>
      </c>
      <c r="M3429">
        <v>2.9932E-2</v>
      </c>
      <c r="N3429">
        <v>6032.7608289999998</v>
      </c>
    </row>
    <row r="3430" spans="12:14" x14ac:dyDescent="0.55000000000000004">
      <c r="L3430">
        <v>3425</v>
      </c>
      <c r="M3430">
        <v>2.9932E-2</v>
      </c>
      <c r="N3430">
        <v>6032.7608289999998</v>
      </c>
    </row>
    <row r="3431" spans="12:14" x14ac:dyDescent="0.55000000000000004">
      <c r="L3431">
        <v>3426</v>
      </c>
      <c r="M3431">
        <v>2.9932E-2</v>
      </c>
      <c r="N3431">
        <v>6032.7608289999998</v>
      </c>
    </row>
    <row r="3432" spans="12:14" x14ac:dyDescent="0.55000000000000004">
      <c r="L3432">
        <v>3427</v>
      </c>
      <c r="M3432">
        <v>2.9932E-2</v>
      </c>
      <c r="N3432">
        <v>6032.7608289999998</v>
      </c>
    </row>
    <row r="3433" spans="12:14" x14ac:dyDescent="0.55000000000000004">
      <c r="L3433">
        <v>3428</v>
      </c>
      <c r="M3433">
        <v>2.9932E-2</v>
      </c>
      <c r="N3433">
        <v>6032.7608289999998</v>
      </c>
    </row>
    <row r="3434" spans="12:14" x14ac:dyDescent="0.55000000000000004">
      <c r="L3434">
        <v>3429</v>
      </c>
      <c r="M3434">
        <v>2.9932E-2</v>
      </c>
      <c r="N3434">
        <v>6032.7608289999998</v>
      </c>
    </row>
    <row r="3435" spans="12:14" x14ac:dyDescent="0.55000000000000004">
      <c r="L3435">
        <v>3430</v>
      </c>
      <c r="M3435">
        <v>2.9932E-2</v>
      </c>
      <c r="N3435">
        <v>6032.7608289999998</v>
      </c>
    </row>
    <row r="3436" spans="12:14" x14ac:dyDescent="0.55000000000000004">
      <c r="L3436">
        <v>3431</v>
      </c>
      <c r="M3436">
        <v>2.9932E-2</v>
      </c>
      <c r="N3436">
        <v>6032.7608289999998</v>
      </c>
    </row>
    <row r="3437" spans="12:14" x14ac:dyDescent="0.55000000000000004">
      <c r="L3437">
        <v>3432</v>
      </c>
      <c r="M3437">
        <v>2.9932E-2</v>
      </c>
      <c r="N3437">
        <v>6032.7608289999998</v>
      </c>
    </row>
    <row r="3438" spans="12:14" x14ac:dyDescent="0.55000000000000004">
      <c r="L3438">
        <v>3433</v>
      </c>
      <c r="M3438">
        <v>2.9932E-2</v>
      </c>
      <c r="N3438">
        <v>6032.7608289999998</v>
      </c>
    </row>
    <row r="3439" spans="12:14" x14ac:dyDescent="0.55000000000000004">
      <c r="L3439">
        <v>3434</v>
      </c>
      <c r="M3439">
        <v>2.9932E-2</v>
      </c>
      <c r="N3439">
        <v>6032.7608289999998</v>
      </c>
    </row>
    <row r="3440" spans="12:14" x14ac:dyDescent="0.55000000000000004">
      <c r="L3440">
        <v>3435</v>
      </c>
      <c r="M3440">
        <v>2.9932E-2</v>
      </c>
      <c r="N3440">
        <v>6032.7608289999998</v>
      </c>
    </row>
    <row r="3441" spans="12:14" x14ac:dyDescent="0.55000000000000004">
      <c r="L3441">
        <v>3436</v>
      </c>
      <c r="M3441">
        <v>2.9932E-2</v>
      </c>
      <c r="N3441">
        <v>6032.7608289999998</v>
      </c>
    </row>
    <row r="3442" spans="12:14" x14ac:dyDescent="0.55000000000000004">
      <c r="L3442">
        <v>3437</v>
      </c>
      <c r="M3442">
        <v>2.9932E-2</v>
      </c>
      <c r="N3442">
        <v>6032.7608289999998</v>
      </c>
    </row>
    <row r="3443" spans="12:14" x14ac:dyDescent="0.55000000000000004">
      <c r="L3443">
        <v>3438</v>
      </c>
      <c r="M3443">
        <v>2.9932E-2</v>
      </c>
      <c r="N3443">
        <v>6032.7608289999998</v>
      </c>
    </row>
    <row r="3444" spans="12:14" x14ac:dyDescent="0.55000000000000004">
      <c r="L3444">
        <v>3439</v>
      </c>
      <c r="M3444">
        <v>2.9932E-2</v>
      </c>
      <c r="N3444">
        <v>6032.7608289999998</v>
      </c>
    </row>
    <row r="3445" spans="12:14" x14ac:dyDescent="0.55000000000000004">
      <c r="L3445">
        <v>3440</v>
      </c>
      <c r="M3445">
        <v>2.9932E-2</v>
      </c>
      <c r="N3445">
        <v>6032.7608289999998</v>
      </c>
    </row>
    <row r="3446" spans="12:14" x14ac:dyDescent="0.55000000000000004">
      <c r="L3446">
        <v>3441</v>
      </c>
      <c r="M3446">
        <v>2.9932E-2</v>
      </c>
      <c r="N3446">
        <v>6032.7608289999998</v>
      </c>
    </row>
    <row r="3447" spans="12:14" x14ac:dyDescent="0.55000000000000004">
      <c r="L3447">
        <v>3442</v>
      </c>
      <c r="M3447">
        <v>2.9932E-2</v>
      </c>
      <c r="N3447">
        <v>6032.7608289999998</v>
      </c>
    </row>
    <row r="3448" spans="12:14" x14ac:dyDescent="0.55000000000000004">
      <c r="L3448">
        <v>3443</v>
      </c>
      <c r="M3448">
        <v>2.9932E-2</v>
      </c>
      <c r="N3448">
        <v>6032.7608289999998</v>
      </c>
    </row>
    <row r="3449" spans="12:14" x14ac:dyDescent="0.55000000000000004">
      <c r="L3449">
        <v>3444</v>
      </c>
      <c r="M3449">
        <v>2.9932E-2</v>
      </c>
      <c r="N3449">
        <v>6032.7608289999998</v>
      </c>
    </row>
    <row r="3450" spans="12:14" x14ac:dyDescent="0.55000000000000004">
      <c r="L3450">
        <v>3445</v>
      </c>
      <c r="M3450">
        <v>2.9932E-2</v>
      </c>
      <c r="N3450">
        <v>6032.7608289999998</v>
      </c>
    </row>
    <row r="3451" spans="12:14" x14ac:dyDescent="0.55000000000000004">
      <c r="L3451">
        <v>3446</v>
      </c>
      <c r="M3451">
        <v>2.9932E-2</v>
      </c>
      <c r="N3451">
        <v>6032.7608289999998</v>
      </c>
    </row>
    <row r="3452" spans="12:14" x14ac:dyDescent="0.55000000000000004">
      <c r="L3452">
        <v>3447</v>
      </c>
      <c r="M3452">
        <v>2.9932E-2</v>
      </c>
      <c r="N3452">
        <v>6032.7608289999998</v>
      </c>
    </row>
    <row r="3453" spans="12:14" x14ac:dyDescent="0.55000000000000004">
      <c r="L3453">
        <v>3448</v>
      </c>
      <c r="M3453">
        <v>2.9932E-2</v>
      </c>
      <c r="N3453">
        <v>6032.7608289999998</v>
      </c>
    </row>
    <row r="3454" spans="12:14" x14ac:dyDescent="0.55000000000000004">
      <c r="L3454">
        <v>3449</v>
      </c>
      <c r="M3454">
        <v>2.9932E-2</v>
      </c>
      <c r="N3454">
        <v>6032.7608289999998</v>
      </c>
    </row>
    <row r="3455" spans="12:14" x14ac:dyDescent="0.55000000000000004">
      <c r="L3455">
        <v>3450</v>
      </c>
      <c r="M3455">
        <v>2.9932E-2</v>
      </c>
      <c r="N3455">
        <v>6032.7608289999998</v>
      </c>
    </row>
    <row r="3456" spans="12:14" x14ac:dyDescent="0.55000000000000004">
      <c r="L3456">
        <v>3451</v>
      </c>
      <c r="M3456">
        <v>2.9932E-2</v>
      </c>
      <c r="N3456">
        <v>6032.7608289999998</v>
      </c>
    </row>
    <row r="3457" spans="12:14" x14ac:dyDescent="0.55000000000000004">
      <c r="L3457">
        <v>3452</v>
      </c>
      <c r="M3457">
        <v>2.9932E-2</v>
      </c>
      <c r="N3457">
        <v>6032.7608289999998</v>
      </c>
    </row>
    <row r="3458" spans="12:14" x14ac:dyDescent="0.55000000000000004">
      <c r="L3458">
        <v>3453</v>
      </c>
      <c r="M3458">
        <v>2.9932E-2</v>
      </c>
      <c r="N3458">
        <v>6032.7608289999998</v>
      </c>
    </row>
    <row r="3459" spans="12:14" x14ac:dyDescent="0.55000000000000004">
      <c r="L3459">
        <v>3454</v>
      </c>
      <c r="M3459">
        <v>2.9932E-2</v>
      </c>
      <c r="N3459">
        <v>6032.7608289999998</v>
      </c>
    </row>
    <row r="3460" spans="12:14" x14ac:dyDescent="0.55000000000000004">
      <c r="L3460">
        <v>3455</v>
      </c>
      <c r="M3460">
        <v>2.9932E-2</v>
      </c>
      <c r="N3460">
        <v>6032.7608289999998</v>
      </c>
    </row>
    <row r="3461" spans="12:14" x14ac:dyDescent="0.55000000000000004">
      <c r="L3461">
        <v>3456</v>
      </c>
      <c r="M3461">
        <v>2.9932E-2</v>
      </c>
      <c r="N3461">
        <v>6032.7608289999998</v>
      </c>
    </row>
    <row r="3462" spans="12:14" x14ac:dyDescent="0.55000000000000004">
      <c r="L3462">
        <v>3457</v>
      </c>
      <c r="M3462">
        <v>2.9932E-2</v>
      </c>
      <c r="N3462">
        <v>6032.7608289999998</v>
      </c>
    </row>
    <row r="3463" spans="12:14" x14ac:dyDescent="0.55000000000000004">
      <c r="L3463">
        <v>3458</v>
      </c>
      <c r="M3463">
        <v>2.9932E-2</v>
      </c>
      <c r="N3463">
        <v>6032.7608289999998</v>
      </c>
    </row>
    <row r="3464" spans="12:14" x14ac:dyDescent="0.55000000000000004">
      <c r="L3464">
        <v>3459</v>
      </c>
      <c r="M3464">
        <v>2.9932E-2</v>
      </c>
      <c r="N3464">
        <v>6032.7608289999998</v>
      </c>
    </row>
    <row r="3465" spans="12:14" x14ac:dyDescent="0.55000000000000004">
      <c r="L3465">
        <v>3460</v>
      </c>
      <c r="M3465">
        <v>2.9932E-2</v>
      </c>
      <c r="N3465">
        <v>6032.7608289999998</v>
      </c>
    </row>
    <row r="3466" spans="12:14" x14ac:dyDescent="0.55000000000000004">
      <c r="L3466">
        <v>3461</v>
      </c>
      <c r="M3466">
        <v>2.9932E-2</v>
      </c>
      <c r="N3466">
        <v>6032.7608289999998</v>
      </c>
    </row>
    <row r="3467" spans="12:14" x14ac:dyDescent="0.55000000000000004">
      <c r="L3467">
        <v>3462</v>
      </c>
      <c r="M3467">
        <v>2.9932E-2</v>
      </c>
      <c r="N3467">
        <v>6032.7608289999998</v>
      </c>
    </row>
    <row r="3468" spans="12:14" x14ac:dyDescent="0.55000000000000004">
      <c r="L3468">
        <v>3463</v>
      </c>
      <c r="M3468">
        <v>2.9932E-2</v>
      </c>
      <c r="N3468">
        <v>6032.7608289999998</v>
      </c>
    </row>
    <row r="3469" spans="12:14" x14ac:dyDescent="0.55000000000000004">
      <c r="L3469">
        <v>3464</v>
      </c>
      <c r="M3469">
        <v>2.9932E-2</v>
      </c>
      <c r="N3469">
        <v>6032.7608289999998</v>
      </c>
    </row>
    <row r="3470" spans="12:14" x14ac:dyDescent="0.55000000000000004">
      <c r="L3470">
        <v>3465</v>
      </c>
      <c r="M3470">
        <v>2.9932E-2</v>
      </c>
      <c r="N3470">
        <v>6032.7608289999998</v>
      </c>
    </row>
    <row r="3471" spans="12:14" x14ac:dyDescent="0.55000000000000004">
      <c r="L3471">
        <v>3466</v>
      </c>
      <c r="M3471">
        <v>2.9932E-2</v>
      </c>
      <c r="N3471">
        <v>6032.7608289999998</v>
      </c>
    </row>
    <row r="3472" spans="12:14" x14ac:dyDescent="0.55000000000000004">
      <c r="L3472">
        <v>3467</v>
      </c>
      <c r="M3472">
        <v>2.9932E-2</v>
      </c>
      <c r="N3472">
        <v>6032.7608289999998</v>
      </c>
    </row>
    <row r="3473" spans="12:14" x14ac:dyDescent="0.55000000000000004">
      <c r="L3473">
        <v>3468</v>
      </c>
      <c r="M3473">
        <v>2.9932E-2</v>
      </c>
      <c r="N3473">
        <v>6032.7608289999998</v>
      </c>
    </row>
    <row r="3474" spans="12:14" x14ac:dyDescent="0.55000000000000004">
      <c r="L3474">
        <v>3469</v>
      </c>
      <c r="M3474">
        <v>2.9932E-2</v>
      </c>
      <c r="N3474">
        <v>6032.7608289999998</v>
      </c>
    </row>
    <row r="3475" spans="12:14" x14ac:dyDescent="0.55000000000000004">
      <c r="L3475">
        <v>3470</v>
      </c>
      <c r="M3475">
        <v>2.9932E-2</v>
      </c>
      <c r="N3475">
        <v>6032.7608289999998</v>
      </c>
    </row>
    <row r="3476" spans="12:14" x14ac:dyDescent="0.55000000000000004">
      <c r="L3476">
        <v>3471</v>
      </c>
      <c r="M3476">
        <v>2.9932E-2</v>
      </c>
      <c r="N3476">
        <v>6032.7608289999998</v>
      </c>
    </row>
    <row r="3477" spans="12:14" x14ac:dyDescent="0.55000000000000004">
      <c r="L3477">
        <v>3472</v>
      </c>
      <c r="M3477">
        <v>2.9932E-2</v>
      </c>
      <c r="N3477">
        <v>6032.7608289999998</v>
      </c>
    </row>
    <row r="3478" spans="12:14" x14ac:dyDescent="0.55000000000000004">
      <c r="L3478">
        <v>3473</v>
      </c>
      <c r="M3478">
        <v>2.9932E-2</v>
      </c>
      <c r="N3478">
        <v>6032.7608289999998</v>
      </c>
    </row>
    <row r="3479" spans="12:14" x14ac:dyDescent="0.55000000000000004">
      <c r="L3479">
        <v>3474</v>
      </c>
      <c r="M3479">
        <v>2.9932E-2</v>
      </c>
      <c r="N3479">
        <v>6032.7608289999998</v>
      </c>
    </row>
    <row r="3480" spans="12:14" x14ac:dyDescent="0.55000000000000004">
      <c r="L3480">
        <v>3475</v>
      </c>
      <c r="M3480">
        <v>2.9932E-2</v>
      </c>
      <c r="N3480">
        <v>6032.7608289999998</v>
      </c>
    </row>
    <row r="3481" spans="12:14" x14ac:dyDescent="0.55000000000000004">
      <c r="L3481">
        <v>3476</v>
      </c>
      <c r="M3481">
        <v>2.9932E-2</v>
      </c>
      <c r="N3481">
        <v>6032.7608289999998</v>
      </c>
    </row>
    <row r="3482" spans="12:14" x14ac:dyDescent="0.55000000000000004">
      <c r="L3482">
        <v>3477</v>
      </c>
      <c r="M3482">
        <v>2.9932E-2</v>
      </c>
      <c r="N3482">
        <v>6032.7608289999998</v>
      </c>
    </row>
    <row r="3483" spans="12:14" x14ac:dyDescent="0.55000000000000004">
      <c r="L3483">
        <v>3478</v>
      </c>
      <c r="M3483">
        <v>2.9932E-2</v>
      </c>
      <c r="N3483">
        <v>6032.7608289999998</v>
      </c>
    </row>
    <row r="3484" spans="12:14" x14ac:dyDescent="0.55000000000000004">
      <c r="L3484">
        <v>3479</v>
      </c>
      <c r="M3484">
        <v>2.9932E-2</v>
      </c>
      <c r="N3484">
        <v>6032.7608289999998</v>
      </c>
    </row>
    <row r="3485" spans="12:14" x14ac:dyDescent="0.55000000000000004">
      <c r="L3485">
        <v>3480</v>
      </c>
      <c r="M3485">
        <v>2.9932E-2</v>
      </c>
      <c r="N3485">
        <v>6032.7608289999998</v>
      </c>
    </row>
    <row r="3486" spans="12:14" x14ac:dyDescent="0.55000000000000004">
      <c r="L3486">
        <v>3481</v>
      </c>
      <c r="M3486">
        <v>2.9932E-2</v>
      </c>
      <c r="N3486">
        <v>6032.7608289999998</v>
      </c>
    </row>
    <row r="3487" spans="12:14" x14ac:dyDescent="0.55000000000000004">
      <c r="L3487">
        <v>3482</v>
      </c>
      <c r="M3487">
        <v>2.9932E-2</v>
      </c>
      <c r="N3487">
        <v>6032.7608289999998</v>
      </c>
    </row>
    <row r="3488" spans="12:14" x14ac:dyDescent="0.55000000000000004">
      <c r="L3488">
        <v>3483</v>
      </c>
      <c r="M3488">
        <v>2.9932E-2</v>
      </c>
      <c r="N3488">
        <v>6032.7608289999998</v>
      </c>
    </row>
    <row r="3489" spans="12:14" x14ac:dyDescent="0.55000000000000004">
      <c r="L3489">
        <v>3484</v>
      </c>
      <c r="M3489">
        <v>2.9932E-2</v>
      </c>
      <c r="N3489">
        <v>6032.7608289999998</v>
      </c>
    </row>
    <row r="3490" spans="12:14" x14ac:dyDescent="0.55000000000000004">
      <c r="L3490">
        <v>3485</v>
      </c>
      <c r="M3490">
        <v>2.9932E-2</v>
      </c>
      <c r="N3490">
        <v>6032.7608289999998</v>
      </c>
    </row>
    <row r="3491" spans="12:14" x14ac:dyDescent="0.55000000000000004">
      <c r="L3491">
        <v>3486</v>
      </c>
      <c r="M3491">
        <v>2.9932E-2</v>
      </c>
      <c r="N3491">
        <v>6032.7608289999998</v>
      </c>
    </row>
    <row r="3492" spans="12:14" x14ac:dyDescent="0.55000000000000004">
      <c r="L3492">
        <v>3487</v>
      </c>
      <c r="M3492">
        <v>2.9932E-2</v>
      </c>
      <c r="N3492">
        <v>6032.7608289999998</v>
      </c>
    </row>
    <row r="3493" spans="12:14" x14ac:dyDescent="0.55000000000000004">
      <c r="L3493">
        <v>3488</v>
      </c>
      <c r="M3493">
        <v>2.9932E-2</v>
      </c>
      <c r="N3493">
        <v>6032.7608289999998</v>
      </c>
    </row>
    <row r="3494" spans="12:14" x14ac:dyDescent="0.55000000000000004">
      <c r="L3494">
        <v>3489</v>
      </c>
      <c r="M3494">
        <v>2.9932E-2</v>
      </c>
      <c r="N3494">
        <v>6032.7608289999998</v>
      </c>
    </row>
    <row r="3495" spans="12:14" x14ac:dyDescent="0.55000000000000004">
      <c r="L3495">
        <v>3490</v>
      </c>
      <c r="M3495">
        <v>2.9932E-2</v>
      </c>
      <c r="N3495">
        <v>6032.7608289999998</v>
      </c>
    </row>
    <row r="3496" spans="12:14" x14ac:dyDescent="0.55000000000000004">
      <c r="L3496">
        <v>3491</v>
      </c>
      <c r="M3496">
        <v>2.9932E-2</v>
      </c>
      <c r="N3496">
        <v>6032.7608289999998</v>
      </c>
    </row>
    <row r="3497" spans="12:14" x14ac:dyDescent="0.55000000000000004">
      <c r="L3497">
        <v>3492</v>
      </c>
      <c r="M3497">
        <v>2.9932E-2</v>
      </c>
      <c r="N3497">
        <v>6032.7608289999998</v>
      </c>
    </row>
    <row r="3498" spans="12:14" x14ac:dyDescent="0.55000000000000004">
      <c r="L3498">
        <v>3493</v>
      </c>
      <c r="M3498">
        <v>2.9932E-2</v>
      </c>
      <c r="N3498">
        <v>6032.7608289999998</v>
      </c>
    </row>
    <row r="3499" spans="12:14" x14ac:dyDescent="0.55000000000000004">
      <c r="L3499">
        <v>3494</v>
      </c>
      <c r="M3499">
        <v>2.9932E-2</v>
      </c>
      <c r="N3499">
        <v>6032.7608289999998</v>
      </c>
    </row>
    <row r="3500" spans="12:14" x14ac:dyDescent="0.55000000000000004">
      <c r="L3500">
        <v>3495</v>
      </c>
      <c r="M3500">
        <v>2.9932E-2</v>
      </c>
      <c r="N3500">
        <v>6032.7608289999998</v>
      </c>
    </row>
    <row r="3501" spans="12:14" x14ac:dyDescent="0.55000000000000004">
      <c r="L3501">
        <v>3496</v>
      </c>
      <c r="M3501">
        <v>2.9932E-2</v>
      </c>
      <c r="N3501">
        <v>6032.7608289999998</v>
      </c>
    </row>
    <row r="3502" spans="12:14" x14ac:dyDescent="0.55000000000000004">
      <c r="L3502">
        <v>3497</v>
      </c>
      <c r="M3502">
        <v>2.9932E-2</v>
      </c>
      <c r="N3502">
        <v>6032.7608289999998</v>
      </c>
    </row>
    <row r="3503" spans="12:14" x14ac:dyDescent="0.55000000000000004">
      <c r="L3503">
        <v>3498</v>
      </c>
      <c r="M3503">
        <v>2.9932E-2</v>
      </c>
      <c r="N3503">
        <v>6032.7608289999998</v>
      </c>
    </row>
    <row r="3504" spans="12:14" x14ac:dyDescent="0.55000000000000004">
      <c r="L3504">
        <v>3499</v>
      </c>
      <c r="M3504">
        <v>2.9932E-2</v>
      </c>
      <c r="N3504">
        <v>6032.7608289999998</v>
      </c>
    </row>
    <row r="3505" spans="12:14" x14ac:dyDescent="0.55000000000000004">
      <c r="L3505">
        <v>3500</v>
      </c>
      <c r="M3505">
        <v>2.9932E-2</v>
      </c>
      <c r="N3505">
        <v>6032.7608289999998</v>
      </c>
    </row>
    <row r="3506" spans="12:14" x14ac:dyDescent="0.55000000000000004">
      <c r="L3506">
        <v>3501</v>
      </c>
      <c r="M3506">
        <v>2.9932E-2</v>
      </c>
      <c r="N3506">
        <v>6032.7608289999998</v>
      </c>
    </row>
    <row r="3507" spans="12:14" x14ac:dyDescent="0.55000000000000004">
      <c r="L3507">
        <v>3502</v>
      </c>
      <c r="M3507">
        <v>2.9932E-2</v>
      </c>
      <c r="N3507">
        <v>6032.7608289999998</v>
      </c>
    </row>
    <row r="3508" spans="12:14" x14ac:dyDescent="0.55000000000000004">
      <c r="L3508">
        <v>3503</v>
      </c>
      <c r="M3508">
        <v>2.9932E-2</v>
      </c>
      <c r="N3508">
        <v>6032.7608289999998</v>
      </c>
    </row>
    <row r="3509" spans="12:14" x14ac:dyDescent="0.55000000000000004">
      <c r="L3509">
        <v>3504</v>
      </c>
      <c r="M3509">
        <v>2.9932E-2</v>
      </c>
      <c r="N3509">
        <v>6032.7608289999998</v>
      </c>
    </row>
    <row r="3510" spans="12:14" x14ac:dyDescent="0.55000000000000004">
      <c r="L3510">
        <v>3505</v>
      </c>
      <c r="M3510">
        <v>2.9932E-2</v>
      </c>
      <c r="N3510">
        <v>6032.7608289999998</v>
      </c>
    </row>
    <row r="3511" spans="12:14" x14ac:dyDescent="0.55000000000000004">
      <c r="L3511">
        <v>3506</v>
      </c>
      <c r="M3511">
        <v>2.9932E-2</v>
      </c>
      <c r="N3511">
        <v>6032.7608289999998</v>
      </c>
    </row>
    <row r="3512" spans="12:14" x14ac:dyDescent="0.55000000000000004">
      <c r="L3512">
        <v>3507</v>
      </c>
      <c r="M3512">
        <v>2.9932E-2</v>
      </c>
      <c r="N3512">
        <v>6032.7608289999998</v>
      </c>
    </row>
    <row r="3513" spans="12:14" x14ac:dyDescent="0.55000000000000004">
      <c r="L3513">
        <v>3508</v>
      </c>
      <c r="M3513">
        <v>2.9932E-2</v>
      </c>
      <c r="N3513">
        <v>6032.7608289999998</v>
      </c>
    </row>
    <row r="3514" spans="12:14" x14ac:dyDescent="0.55000000000000004">
      <c r="L3514">
        <v>3509</v>
      </c>
      <c r="M3514">
        <v>2.9932E-2</v>
      </c>
      <c r="N3514">
        <v>6032.7608289999998</v>
      </c>
    </row>
    <row r="3515" spans="12:14" x14ac:dyDescent="0.55000000000000004">
      <c r="L3515">
        <v>3510</v>
      </c>
      <c r="M3515">
        <v>2.9932E-2</v>
      </c>
      <c r="N3515">
        <v>6032.7608289999998</v>
      </c>
    </row>
    <row r="3516" spans="12:14" x14ac:dyDescent="0.55000000000000004">
      <c r="L3516">
        <v>3511</v>
      </c>
      <c r="M3516">
        <v>2.9932E-2</v>
      </c>
      <c r="N3516">
        <v>6032.7608289999998</v>
      </c>
    </row>
    <row r="3517" spans="12:14" x14ac:dyDescent="0.55000000000000004">
      <c r="L3517">
        <v>3512</v>
      </c>
      <c r="M3517">
        <v>2.9932E-2</v>
      </c>
      <c r="N3517">
        <v>6032.7608289999998</v>
      </c>
    </row>
    <row r="3518" spans="12:14" x14ac:dyDescent="0.55000000000000004">
      <c r="L3518">
        <v>3513</v>
      </c>
      <c r="M3518">
        <v>2.9932E-2</v>
      </c>
      <c r="N3518">
        <v>6032.7608289999998</v>
      </c>
    </row>
    <row r="3519" spans="12:14" x14ac:dyDescent="0.55000000000000004">
      <c r="L3519">
        <v>3514</v>
      </c>
      <c r="M3519">
        <v>2.9932E-2</v>
      </c>
      <c r="N3519">
        <v>6032.7608289999998</v>
      </c>
    </row>
    <row r="3520" spans="12:14" x14ac:dyDescent="0.55000000000000004">
      <c r="L3520">
        <v>3515</v>
      </c>
      <c r="M3520">
        <v>2.9932E-2</v>
      </c>
      <c r="N3520">
        <v>6032.7608289999998</v>
      </c>
    </row>
    <row r="3521" spans="12:14" x14ac:dyDescent="0.55000000000000004">
      <c r="L3521">
        <v>3516</v>
      </c>
      <c r="M3521">
        <v>2.9932E-2</v>
      </c>
      <c r="N3521">
        <v>6032.7608289999998</v>
      </c>
    </row>
    <row r="3522" spans="12:14" x14ac:dyDescent="0.55000000000000004">
      <c r="L3522">
        <v>3517</v>
      </c>
      <c r="M3522">
        <v>2.9932E-2</v>
      </c>
      <c r="N3522">
        <v>6032.7608289999998</v>
      </c>
    </row>
    <row r="3523" spans="12:14" x14ac:dyDescent="0.55000000000000004">
      <c r="L3523">
        <v>3518</v>
      </c>
      <c r="M3523">
        <v>2.9932E-2</v>
      </c>
      <c r="N3523">
        <v>6032.7608289999998</v>
      </c>
    </row>
    <row r="3524" spans="12:14" x14ac:dyDescent="0.55000000000000004">
      <c r="L3524">
        <v>3519</v>
      </c>
      <c r="M3524">
        <v>2.9932E-2</v>
      </c>
      <c r="N3524">
        <v>6032.7608289999998</v>
      </c>
    </row>
    <row r="3525" spans="12:14" x14ac:dyDescent="0.55000000000000004">
      <c r="L3525">
        <v>3520</v>
      </c>
      <c r="M3525">
        <v>2.9932E-2</v>
      </c>
      <c r="N3525">
        <v>6032.7608289999998</v>
      </c>
    </row>
    <row r="3526" spans="12:14" x14ac:dyDescent="0.55000000000000004">
      <c r="L3526">
        <v>3521</v>
      </c>
      <c r="M3526">
        <v>2.9932E-2</v>
      </c>
      <c r="N3526">
        <v>6032.7608289999998</v>
      </c>
    </row>
    <row r="3527" spans="12:14" x14ac:dyDescent="0.55000000000000004">
      <c r="L3527">
        <v>3522</v>
      </c>
      <c r="M3527">
        <v>2.9932E-2</v>
      </c>
      <c r="N3527">
        <v>6032.7608289999998</v>
      </c>
    </row>
    <row r="3528" spans="12:14" x14ac:dyDescent="0.55000000000000004">
      <c r="L3528">
        <v>3523</v>
      </c>
      <c r="M3528">
        <v>2.9932E-2</v>
      </c>
      <c r="N3528">
        <v>6032.7608289999998</v>
      </c>
    </row>
    <row r="3529" spans="12:14" x14ac:dyDescent="0.55000000000000004">
      <c r="L3529">
        <v>3524</v>
      </c>
      <c r="M3529">
        <v>2.9932E-2</v>
      </c>
      <c r="N3529">
        <v>6032.7608289999998</v>
      </c>
    </row>
    <row r="3530" spans="12:14" x14ac:dyDescent="0.55000000000000004">
      <c r="L3530">
        <v>3525</v>
      </c>
      <c r="M3530">
        <v>2.9932E-2</v>
      </c>
      <c r="N3530">
        <v>6032.7608289999998</v>
      </c>
    </row>
    <row r="3531" spans="12:14" x14ac:dyDescent="0.55000000000000004">
      <c r="L3531">
        <v>3526</v>
      </c>
      <c r="M3531">
        <v>2.9932E-2</v>
      </c>
      <c r="N3531">
        <v>6032.7608289999998</v>
      </c>
    </row>
    <row r="3532" spans="12:14" x14ac:dyDescent="0.55000000000000004">
      <c r="L3532">
        <v>3527</v>
      </c>
      <c r="M3532">
        <v>2.9932E-2</v>
      </c>
      <c r="N3532">
        <v>6032.7608289999998</v>
      </c>
    </row>
    <row r="3533" spans="12:14" x14ac:dyDescent="0.55000000000000004">
      <c r="L3533">
        <v>3528</v>
      </c>
      <c r="M3533">
        <v>2.9932E-2</v>
      </c>
      <c r="N3533">
        <v>6032.7608289999998</v>
      </c>
    </row>
    <row r="3534" spans="12:14" x14ac:dyDescent="0.55000000000000004">
      <c r="L3534">
        <v>3529</v>
      </c>
      <c r="M3534">
        <v>2.9932E-2</v>
      </c>
      <c r="N3534">
        <v>6032.7608289999998</v>
      </c>
    </row>
    <row r="3535" spans="12:14" x14ac:dyDescent="0.55000000000000004">
      <c r="L3535">
        <v>3530</v>
      </c>
      <c r="M3535">
        <v>2.9932E-2</v>
      </c>
      <c r="N3535">
        <v>6032.7608289999998</v>
      </c>
    </row>
    <row r="3536" spans="12:14" x14ac:dyDescent="0.55000000000000004">
      <c r="L3536">
        <v>3531</v>
      </c>
      <c r="M3536">
        <v>2.9932E-2</v>
      </c>
      <c r="N3536">
        <v>6032.7608289999998</v>
      </c>
    </row>
    <row r="3537" spans="12:14" x14ac:dyDescent="0.55000000000000004">
      <c r="L3537">
        <v>3532</v>
      </c>
      <c r="M3537">
        <v>2.9932E-2</v>
      </c>
      <c r="N3537">
        <v>6032.7608289999998</v>
      </c>
    </row>
    <row r="3538" spans="12:14" x14ac:dyDescent="0.55000000000000004">
      <c r="L3538">
        <v>3533</v>
      </c>
      <c r="M3538">
        <v>2.9932E-2</v>
      </c>
      <c r="N3538">
        <v>6032.7608289999998</v>
      </c>
    </row>
    <row r="3539" spans="12:14" x14ac:dyDescent="0.55000000000000004">
      <c r="L3539">
        <v>3534</v>
      </c>
      <c r="M3539">
        <v>2.9932E-2</v>
      </c>
      <c r="N3539">
        <v>6032.7608289999998</v>
      </c>
    </row>
    <row r="3540" spans="12:14" x14ac:dyDescent="0.55000000000000004">
      <c r="L3540">
        <v>3535</v>
      </c>
      <c r="M3540">
        <v>2.9932E-2</v>
      </c>
      <c r="N3540">
        <v>6032.7608289999998</v>
      </c>
    </row>
    <row r="3541" spans="12:14" x14ac:dyDescent="0.55000000000000004">
      <c r="L3541">
        <v>3536</v>
      </c>
      <c r="M3541">
        <v>2.9932E-2</v>
      </c>
      <c r="N3541">
        <v>6032.7608289999998</v>
      </c>
    </row>
    <row r="3542" spans="12:14" x14ac:dyDescent="0.55000000000000004">
      <c r="L3542">
        <v>3537</v>
      </c>
      <c r="M3542">
        <v>2.9932E-2</v>
      </c>
      <c r="N3542">
        <v>6032.7608289999998</v>
      </c>
    </row>
    <row r="3543" spans="12:14" x14ac:dyDescent="0.55000000000000004">
      <c r="L3543">
        <v>3538</v>
      </c>
      <c r="M3543">
        <v>2.9932E-2</v>
      </c>
      <c r="N3543">
        <v>6032.7608289999998</v>
      </c>
    </row>
    <row r="3544" spans="12:14" x14ac:dyDescent="0.55000000000000004">
      <c r="L3544">
        <v>3539</v>
      </c>
      <c r="M3544">
        <v>2.9932E-2</v>
      </c>
      <c r="N3544">
        <v>6032.7608289999998</v>
      </c>
    </row>
    <row r="3545" spans="12:14" x14ac:dyDescent="0.55000000000000004">
      <c r="L3545">
        <v>3540</v>
      </c>
      <c r="M3545">
        <v>2.9932E-2</v>
      </c>
      <c r="N3545">
        <v>6032.7608289999998</v>
      </c>
    </row>
    <row r="3546" spans="12:14" x14ac:dyDescent="0.55000000000000004">
      <c r="L3546">
        <v>3541</v>
      </c>
      <c r="M3546">
        <v>2.9932E-2</v>
      </c>
      <c r="N3546">
        <v>6032.7608289999998</v>
      </c>
    </row>
    <row r="3547" spans="12:14" x14ac:dyDescent="0.55000000000000004">
      <c r="L3547">
        <v>3542</v>
      </c>
      <c r="M3547">
        <v>2.9932E-2</v>
      </c>
      <c r="N3547">
        <v>6032.7608289999998</v>
      </c>
    </row>
    <row r="3548" spans="12:14" x14ac:dyDescent="0.55000000000000004">
      <c r="L3548">
        <v>3543</v>
      </c>
      <c r="M3548">
        <v>2.9932E-2</v>
      </c>
      <c r="N3548">
        <v>6032.7608289999998</v>
      </c>
    </row>
    <row r="3549" spans="12:14" x14ac:dyDescent="0.55000000000000004">
      <c r="L3549">
        <v>3544</v>
      </c>
      <c r="M3549">
        <v>2.9932E-2</v>
      </c>
      <c r="N3549">
        <v>6032.7608289999998</v>
      </c>
    </row>
    <row r="3550" spans="12:14" x14ac:dyDescent="0.55000000000000004">
      <c r="L3550">
        <v>3545</v>
      </c>
      <c r="M3550">
        <v>2.9932E-2</v>
      </c>
      <c r="N3550">
        <v>6032.7608289999998</v>
      </c>
    </row>
    <row r="3551" spans="12:14" x14ac:dyDescent="0.55000000000000004">
      <c r="L3551">
        <v>3546</v>
      </c>
      <c r="M3551">
        <v>2.9932E-2</v>
      </c>
      <c r="N3551">
        <v>6032.7608289999998</v>
      </c>
    </row>
    <row r="3552" spans="12:14" x14ac:dyDescent="0.55000000000000004">
      <c r="L3552">
        <v>3547</v>
      </c>
      <c r="M3552">
        <v>2.9932E-2</v>
      </c>
      <c r="N3552">
        <v>6032.7608289999998</v>
      </c>
    </row>
    <row r="3553" spans="12:14" x14ac:dyDescent="0.55000000000000004">
      <c r="L3553">
        <v>3548</v>
      </c>
      <c r="M3553">
        <v>2.9932E-2</v>
      </c>
      <c r="N3553">
        <v>6032.7608289999998</v>
      </c>
    </row>
    <row r="3554" spans="12:14" x14ac:dyDescent="0.55000000000000004">
      <c r="L3554">
        <v>3549</v>
      </c>
      <c r="M3554">
        <v>2.9932E-2</v>
      </c>
      <c r="N3554">
        <v>6032.7608289999998</v>
      </c>
    </row>
    <row r="3555" spans="12:14" x14ac:dyDescent="0.55000000000000004">
      <c r="L3555">
        <v>3550</v>
      </c>
      <c r="M3555">
        <v>2.9932E-2</v>
      </c>
      <c r="N3555">
        <v>6032.7608289999998</v>
      </c>
    </row>
    <row r="3556" spans="12:14" x14ac:dyDescent="0.55000000000000004">
      <c r="L3556">
        <v>3551</v>
      </c>
      <c r="M3556">
        <v>2.9932E-2</v>
      </c>
      <c r="N3556">
        <v>6032.7608289999998</v>
      </c>
    </row>
    <row r="3557" spans="12:14" x14ac:dyDescent="0.55000000000000004">
      <c r="L3557">
        <v>3552</v>
      </c>
      <c r="M3557">
        <v>2.9932E-2</v>
      </c>
      <c r="N3557">
        <v>6032.7608289999998</v>
      </c>
    </row>
    <row r="3558" spans="12:14" x14ac:dyDescent="0.55000000000000004">
      <c r="L3558">
        <v>3553</v>
      </c>
      <c r="M3558">
        <v>2.9932E-2</v>
      </c>
      <c r="N3558">
        <v>6032.7608289999998</v>
      </c>
    </row>
    <row r="3559" spans="12:14" x14ac:dyDescent="0.55000000000000004">
      <c r="L3559">
        <v>3554</v>
      </c>
      <c r="M3559">
        <v>2.9932E-2</v>
      </c>
      <c r="N3559">
        <v>6032.7608289999998</v>
      </c>
    </row>
    <row r="3560" spans="12:14" x14ac:dyDescent="0.55000000000000004">
      <c r="L3560">
        <v>3555</v>
      </c>
      <c r="M3560">
        <v>2.9932E-2</v>
      </c>
      <c r="N3560">
        <v>6032.7608289999998</v>
      </c>
    </row>
    <row r="3561" spans="12:14" x14ac:dyDescent="0.55000000000000004">
      <c r="L3561">
        <v>3556</v>
      </c>
      <c r="M3561">
        <v>2.9932E-2</v>
      </c>
      <c r="N3561">
        <v>6032.7608289999998</v>
      </c>
    </row>
    <row r="3562" spans="12:14" x14ac:dyDescent="0.55000000000000004">
      <c r="L3562">
        <v>3557</v>
      </c>
      <c r="M3562">
        <v>2.9932E-2</v>
      </c>
      <c r="N3562">
        <v>6032.7608289999998</v>
      </c>
    </row>
    <row r="3563" spans="12:14" x14ac:dyDescent="0.55000000000000004">
      <c r="L3563">
        <v>3558</v>
      </c>
      <c r="M3563">
        <v>2.9932E-2</v>
      </c>
      <c r="N3563">
        <v>6032.7608289999998</v>
      </c>
    </row>
    <row r="3564" spans="12:14" x14ac:dyDescent="0.55000000000000004">
      <c r="L3564">
        <v>3559</v>
      </c>
      <c r="M3564">
        <v>2.9932E-2</v>
      </c>
      <c r="N3564">
        <v>6032.7608289999998</v>
      </c>
    </row>
    <row r="3565" spans="12:14" x14ac:dyDescent="0.55000000000000004">
      <c r="L3565">
        <v>3560</v>
      </c>
      <c r="M3565">
        <v>2.9932E-2</v>
      </c>
      <c r="N3565">
        <v>6032.7608289999998</v>
      </c>
    </row>
    <row r="3566" spans="12:14" x14ac:dyDescent="0.55000000000000004">
      <c r="L3566">
        <v>3561</v>
      </c>
      <c r="M3566">
        <v>2.9932E-2</v>
      </c>
      <c r="N3566">
        <v>6032.7608289999998</v>
      </c>
    </row>
    <row r="3567" spans="12:14" x14ac:dyDescent="0.55000000000000004">
      <c r="L3567">
        <v>3562</v>
      </c>
      <c r="M3567">
        <v>2.9932E-2</v>
      </c>
      <c r="N3567">
        <v>6032.7608289999998</v>
      </c>
    </row>
    <row r="3568" spans="12:14" x14ac:dyDescent="0.55000000000000004">
      <c r="L3568">
        <v>3563</v>
      </c>
      <c r="M3568">
        <v>2.9932E-2</v>
      </c>
      <c r="N3568">
        <v>6032.7608289999998</v>
      </c>
    </row>
    <row r="3569" spans="12:14" x14ac:dyDescent="0.55000000000000004">
      <c r="L3569">
        <v>3564</v>
      </c>
      <c r="M3569">
        <v>2.9932E-2</v>
      </c>
      <c r="N3569">
        <v>6032.7608289999998</v>
      </c>
    </row>
    <row r="3570" spans="12:14" x14ac:dyDescent="0.55000000000000004">
      <c r="L3570">
        <v>3565</v>
      </c>
      <c r="M3570">
        <v>2.9932E-2</v>
      </c>
      <c r="N3570">
        <v>6032.7608289999998</v>
      </c>
    </row>
    <row r="3571" spans="12:14" x14ac:dyDescent="0.55000000000000004">
      <c r="L3571">
        <v>3566</v>
      </c>
      <c r="M3571">
        <v>2.9932E-2</v>
      </c>
      <c r="N3571">
        <v>6032.7608289999998</v>
      </c>
    </row>
    <row r="3572" spans="12:14" x14ac:dyDescent="0.55000000000000004">
      <c r="L3572">
        <v>3567</v>
      </c>
      <c r="M3572">
        <v>2.9932E-2</v>
      </c>
      <c r="N3572">
        <v>6032.7608289999998</v>
      </c>
    </row>
    <row r="3573" spans="12:14" x14ac:dyDescent="0.55000000000000004">
      <c r="L3573">
        <v>3568</v>
      </c>
      <c r="M3573">
        <v>2.9932E-2</v>
      </c>
      <c r="N3573">
        <v>6032.7608289999998</v>
      </c>
    </row>
    <row r="3574" spans="12:14" x14ac:dyDescent="0.55000000000000004">
      <c r="L3574">
        <v>3569</v>
      </c>
      <c r="M3574">
        <v>2.9932E-2</v>
      </c>
      <c r="N3574">
        <v>6032.7608289999998</v>
      </c>
    </row>
    <row r="3575" spans="12:14" x14ac:dyDescent="0.55000000000000004">
      <c r="L3575">
        <v>3570</v>
      </c>
      <c r="M3575">
        <v>2.9932E-2</v>
      </c>
      <c r="N3575">
        <v>6032.7608289999998</v>
      </c>
    </row>
    <row r="3576" spans="12:14" x14ac:dyDescent="0.55000000000000004">
      <c r="L3576">
        <v>3571</v>
      </c>
      <c r="M3576">
        <v>2.9932E-2</v>
      </c>
      <c r="N3576">
        <v>6032.7608289999998</v>
      </c>
    </row>
    <row r="3577" spans="12:14" x14ac:dyDescent="0.55000000000000004">
      <c r="L3577">
        <v>3572</v>
      </c>
      <c r="M3577">
        <v>2.9932E-2</v>
      </c>
      <c r="N3577">
        <v>6032.7608289999998</v>
      </c>
    </row>
    <row r="3578" spans="12:14" x14ac:dyDescent="0.55000000000000004">
      <c r="L3578">
        <v>3573</v>
      </c>
      <c r="M3578">
        <v>2.9932E-2</v>
      </c>
      <c r="N3578">
        <v>6032.7608289999998</v>
      </c>
    </row>
    <row r="3579" spans="12:14" x14ac:dyDescent="0.55000000000000004">
      <c r="L3579">
        <v>3574</v>
      </c>
      <c r="M3579">
        <v>2.9932E-2</v>
      </c>
      <c r="N3579">
        <v>6032.7608289999998</v>
      </c>
    </row>
    <row r="3580" spans="12:14" x14ac:dyDescent="0.55000000000000004">
      <c r="L3580">
        <v>3575</v>
      </c>
      <c r="M3580">
        <v>2.9932E-2</v>
      </c>
      <c r="N3580">
        <v>6032.7608289999998</v>
      </c>
    </row>
    <row r="3581" spans="12:14" x14ac:dyDescent="0.55000000000000004">
      <c r="L3581">
        <v>3576</v>
      </c>
      <c r="M3581">
        <v>2.9932E-2</v>
      </c>
      <c r="N3581">
        <v>6032.7608289999998</v>
      </c>
    </row>
    <row r="3582" spans="12:14" x14ac:dyDescent="0.55000000000000004">
      <c r="L3582">
        <v>3577</v>
      </c>
      <c r="M3582">
        <v>2.9932E-2</v>
      </c>
      <c r="N3582">
        <v>6032.7608289999998</v>
      </c>
    </row>
    <row r="3583" spans="12:14" x14ac:dyDescent="0.55000000000000004">
      <c r="L3583">
        <v>3578</v>
      </c>
      <c r="M3583">
        <v>2.9932E-2</v>
      </c>
      <c r="N3583">
        <v>6032.7608289999998</v>
      </c>
    </row>
    <row r="3584" spans="12:14" x14ac:dyDescent="0.55000000000000004">
      <c r="L3584">
        <v>3579</v>
      </c>
      <c r="M3584">
        <v>2.9932E-2</v>
      </c>
      <c r="N3584">
        <v>6032.7608289999998</v>
      </c>
    </row>
    <row r="3585" spans="12:14" x14ac:dyDescent="0.55000000000000004">
      <c r="L3585">
        <v>3580</v>
      </c>
      <c r="M3585">
        <v>2.9932E-2</v>
      </c>
      <c r="N3585">
        <v>6032.7608289999998</v>
      </c>
    </row>
    <row r="3586" spans="12:14" x14ac:dyDescent="0.55000000000000004">
      <c r="L3586">
        <v>3581</v>
      </c>
      <c r="M3586">
        <v>2.9932E-2</v>
      </c>
      <c r="N3586">
        <v>6032.7608289999998</v>
      </c>
    </row>
    <row r="3587" spans="12:14" x14ac:dyDescent="0.55000000000000004">
      <c r="L3587">
        <v>3582</v>
      </c>
      <c r="M3587">
        <v>2.9932E-2</v>
      </c>
      <c r="N3587">
        <v>6032.7608289999998</v>
      </c>
    </row>
    <row r="3588" spans="12:14" x14ac:dyDescent="0.55000000000000004">
      <c r="L3588">
        <v>3583</v>
      </c>
      <c r="M3588">
        <v>2.9932E-2</v>
      </c>
      <c r="N3588">
        <v>6032.7608289999998</v>
      </c>
    </row>
    <row r="3589" spans="12:14" x14ac:dyDescent="0.55000000000000004">
      <c r="L3589">
        <v>3584</v>
      </c>
      <c r="M3589">
        <v>2.9932E-2</v>
      </c>
      <c r="N3589">
        <v>6032.7608289999998</v>
      </c>
    </row>
    <row r="3590" spans="12:14" x14ac:dyDescent="0.55000000000000004">
      <c r="L3590">
        <v>3585</v>
      </c>
      <c r="M3590">
        <v>2.9932E-2</v>
      </c>
      <c r="N3590">
        <v>6032.7608289999998</v>
      </c>
    </row>
    <row r="3591" spans="12:14" x14ac:dyDescent="0.55000000000000004">
      <c r="L3591">
        <v>3586</v>
      </c>
      <c r="M3591">
        <v>2.9932E-2</v>
      </c>
      <c r="N3591">
        <v>6032.7608289999998</v>
      </c>
    </row>
    <row r="3592" spans="12:14" x14ac:dyDescent="0.55000000000000004">
      <c r="L3592">
        <v>3587</v>
      </c>
      <c r="M3592">
        <v>2.9932E-2</v>
      </c>
      <c r="N3592">
        <v>6032.7608289999998</v>
      </c>
    </row>
    <row r="3593" spans="12:14" x14ac:dyDescent="0.55000000000000004">
      <c r="L3593">
        <v>3588</v>
      </c>
      <c r="M3593">
        <v>2.9932E-2</v>
      </c>
      <c r="N3593">
        <v>6032.7608289999998</v>
      </c>
    </row>
    <row r="3594" spans="12:14" x14ac:dyDescent="0.55000000000000004">
      <c r="L3594">
        <v>3589</v>
      </c>
      <c r="M3594">
        <v>2.9932E-2</v>
      </c>
      <c r="N3594">
        <v>6032.7608289999998</v>
      </c>
    </row>
    <row r="3595" spans="12:14" x14ac:dyDescent="0.55000000000000004">
      <c r="L3595">
        <v>3590</v>
      </c>
      <c r="M3595">
        <v>2.9932E-2</v>
      </c>
      <c r="N3595">
        <v>6032.7608289999998</v>
      </c>
    </row>
    <row r="3596" spans="12:14" x14ac:dyDescent="0.55000000000000004">
      <c r="L3596">
        <v>3591</v>
      </c>
      <c r="M3596">
        <v>2.9932E-2</v>
      </c>
      <c r="N3596">
        <v>6032.7608289999998</v>
      </c>
    </row>
    <row r="3597" spans="12:14" x14ac:dyDescent="0.55000000000000004">
      <c r="L3597">
        <v>3592</v>
      </c>
      <c r="M3597">
        <v>2.9932E-2</v>
      </c>
      <c r="N3597">
        <v>6032.7608289999998</v>
      </c>
    </row>
    <row r="3598" spans="12:14" x14ac:dyDescent="0.55000000000000004">
      <c r="L3598">
        <v>3593</v>
      </c>
      <c r="M3598">
        <v>2.9932E-2</v>
      </c>
      <c r="N3598">
        <v>6032.7608289999998</v>
      </c>
    </row>
    <row r="3599" spans="12:14" x14ac:dyDescent="0.55000000000000004">
      <c r="L3599">
        <v>3594</v>
      </c>
      <c r="M3599">
        <v>2.9932E-2</v>
      </c>
      <c r="N3599">
        <v>6032.7608289999998</v>
      </c>
    </row>
    <row r="3600" spans="12:14" x14ac:dyDescent="0.55000000000000004">
      <c r="L3600">
        <v>3595</v>
      </c>
      <c r="M3600">
        <v>2.9932E-2</v>
      </c>
      <c r="N3600">
        <v>6032.7608289999998</v>
      </c>
    </row>
    <row r="3601" spans="12:14" x14ac:dyDescent="0.55000000000000004">
      <c r="L3601">
        <v>3596</v>
      </c>
      <c r="M3601">
        <v>2.9932E-2</v>
      </c>
      <c r="N3601">
        <v>6032.7608289999998</v>
      </c>
    </row>
    <row r="3602" spans="12:14" x14ac:dyDescent="0.55000000000000004">
      <c r="L3602">
        <v>3597</v>
      </c>
      <c r="M3602">
        <v>2.9932E-2</v>
      </c>
      <c r="N3602">
        <v>6032.7608289999998</v>
      </c>
    </row>
    <row r="3603" spans="12:14" x14ac:dyDescent="0.55000000000000004">
      <c r="L3603">
        <v>3598</v>
      </c>
      <c r="M3603">
        <v>2.9932E-2</v>
      </c>
      <c r="N3603">
        <v>6032.7608289999998</v>
      </c>
    </row>
    <row r="3604" spans="12:14" x14ac:dyDescent="0.55000000000000004">
      <c r="L3604">
        <v>3599</v>
      </c>
      <c r="M3604">
        <v>2.9932E-2</v>
      </c>
      <c r="N3604">
        <v>6032.7608289999998</v>
      </c>
    </row>
    <row r="3605" spans="12:14" x14ac:dyDescent="0.55000000000000004">
      <c r="L3605">
        <v>3600</v>
      </c>
      <c r="M3605">
        <v>2.9932E-2</v>
      </c>
      <c r="N3605">
        <v>6032.7608289999998</v>
      </c>
    </row>
    <row r="3606" spans="12:14" x14ac:dyDescent="0.55000000000000004">
      <c r="L3606">
        <v>3601</v>
      </c>
      <c r="M3606">
        <v>2.9932E-2</v>
      </c>
      <c r="N3606">
        <v>6032.7608289999998</v>
      </c>
    </row>
    <row r="3607" spans="12:14" x14ac:dyDescent="0.55000000000000004">
      <c r="L3607">
        <v>3602</v>
      </c>
      <c r="M3607">
        <v>2.9932E-2</v>
      </c>
      <c r="N3607">
        <v>6032.7608289999998</v>
      </c>
    </row>
    <row r="3608" spans="12:14" x14ac:dyDescent="0.55000000000000004">
      <c r="L3608">
        <v>3603</v>
      </c>
      <c r="M3608">
        <v>2.9932E-2</v>
      </c>
      <c r="N3608">
        <v>6032.7608289999998</v>
      </c>
    </row>
    <row r="3609" spans="12:14" x14ac:dyDescent="0.55000000000000004">
      <c r="L3609">
        <v>3604</v>
      </c>
      <c r="M3609">
        <v>2.9932E-2</v>
      </c>
      <c r="N3609">
        <v>6032.7608289999998</v>
      </c>
    </row>
    <row r="3610" spans="12:14" x14ac:dyDescent="0.55000000000000004">
      <c r="L3610">
        <v>3605</v>
      </c>
      <c r="M3610">
        <v>2.9932E-2</v>
      </c>
      <c r="N3610">
        <v>6032.7608289999998</v>
      </c>
    </row>
    <row r="3611" spans="12:14" x14ac:dyDescent="0.55000000000000004">
      <c r="L3611">
        <v>3606</v>
      </c>
      <c r="M3611">
        <v>2.9932E-2</v>
      </c>
      <c r="N3611">
        <v>6032.7608289999998</v>
      </c>
    </row>
    <row r="3612" spans="12:14" x14ac:dyDescent="0.55000000000000004">
      <c r="L3612">
        <v>3607</v>
      </c>
      <c r="M3612">
        <v>2.9932E-2</v>
      </c>
      <c r="N3612">
        <v>6032.7608289999998</v>
      </c>
    </row>
    <row r="3613" spans="12:14" x14ac:dyDescent="0.55000000000000004">
      <c r="L3613">
        <v>3608</v>
      </c>
      <c r="M3613">
        <v>2.9932E-2</v>
      </c>
      <c r="N3613">
        <v>6032.7608289999998</v>
      </c>
    </row>
    <row r="3614" spans="12:14" x14ac:dyDescent="0.55000000000000004">
      <c r="L3614">
        <v>3609</v>
      </c>
      <c r="M3614">
        <v>2.9932E-2</v>
      </c>
      <c r="N3614">
        <v>6032.7608289999998</v>
      </c>
    </row>
    <row r="3615" spans="12:14" x14ac:dyDescent="0.55000000000000004">
      <c r="L3615">
        <v>3610</v>
      </c>
      <c r="M3615">
        <v>2.9932E-2</v>
      </c>
      <c r="N3615">
        <v>6032.7608289999998</v>
      </c>
    </row>
    <row r="3616" spans="12:14" x14ac:dyDescent="0.55000000000000004">
      <c r="L3616">
        <v>3611</v>
      </c>
      <c r="M3616">
        <v>2.9932E-2</v>
      </c>
      <c r="N3616">
        <v>6032.7608289999998</v>
      </c>
    </row>
    <row r="3617" spans="12:14" x14ac:dyDescent="0.55000000000000004">
      <c r="L3617">
        <v>3612</v>
      </c>
      <c r="M3617">
        <v>2.9932E-2</v>
      </c>
      <c r="N3617">
        <v>6032.7608289999998</v>
      </c>
    </row>
    <row r="3618" spans="12:14" x14ac:dyDescent="0.55000000000000004">
      <c r="L3618">
        <v>3613</v>
      </c>
      <c r="M3618">
        <v>2.9932E-2</v>
      </c>
      <c r="N3618">
        <v>6032.7608289999998</v>
      </c>
    </row>
    <row r="3619" spans="12:14" x14ac:dyDescent="0.55000000000000004">
      <c r="L3619">
        <v>3614</v>
      </c>
      <c r="M3619">
        <v>2.9932E-2</v>
      </c>
      <c r="N3619">
        <v>6032.7608289999998</v>
      </c>
    </row>
    <row r="3620" spans="12:14" x14ac:dyDescent="0.55000000000000004">
      <c r="L3620">
        <v>3615</v>
      </c>
      <c r="M3620">
        <v>2.9932E-2</v>
      </c>
      <c r="N3620">
        <v>6032.7608289999998</v>
      </c>
    </row>
    <row r="3621" spans="12:14" x14ac:dyDescent="0.55000000000000004">
      <c r="L3621">
        <v>3616</v>
      </c>
      <c r="M3621">
        <v>2.9932E-2</v>
      </c>
      <c r="N3621">
        <v>6032.7608289999998</v>
      </c>
    </row>
    <row r="3622" spans="12:14" x14ac:dyDescent="0.55000000000000004">
      <c r="L3622">
        <v>3617</v>
      </c>
      <c r="M3622">
        <v>2.9932E-2</v>
      </c>
      <c r="N3622">
        <v>6032.7608289999998</v>
      </c>
    </row>
    <row r="3623" spans="12:14" x14ac:dyDescent="0.55000000000000004">
      <c r="L3623">
        <v>3618</v>
      </c>
      <c r="M3623">
        <v>2.9932E-2</v>
      </c>
      <c r="N3623">
        <v>6032.7608289999998</v>
      </c>
    </row>
    <row r="3624" spans="12:14" x14ac:dyDescent="0.55000000000000004">
      <c r="L3624">
        <v>3619</v>
      </c>
      <c r="M3624">
        <v>2.9932E-2</v>
      </c>
      <c r="N3624">
        <v>6032.7608289999998</v>
      </c>
    </row>
    <row r="3625" spans="12:14" x14ac:dyDescent="0.55000000000000004">
      <c r="L3625">
        <v>3620</v>
      </c>
      <c r="M3625">
        <v>2.9932E-2</v>
      </c>
      <c r="N3625">
        <v>6032.7608289999998</v>
      </c>
    </row>
    <row r="3626" spans="12:14" x14ac:dyDescent="0.55000000000000004">
      <c r="L3626">
        <v>3621</v>
      </c>
      <c r="M3626">
        <v>2.9932E-2</v>
      </c>
      <c r="N3626">
        <v>6032.7608289999998</v>
      </c>
    </row>
    <row r="3627" spans="12:14" x14ac:dyDescent="0.55000000000000004">
      <c r="L3627">
        <v>3622</v>
      </c>
      <c r="M3627">
        <v>2.9932E-2</v>
      </c>
      <c r="N3627">
        <v>6032.7608289999998</v>
      </c>
    </row>
    <row r="3628" spans="12:14" x14ac:dyDescent="0.55000000000000004">
      <c r="L3628">
        <v>3623</v>
      </c>
      <c r="M3628">
        <v>2.9932E-2</v>
      </c>
      <c r="N3628">
        <v>6032.7608289999998</v>
      </c>
    </row>
    <row r="3629" spans="12:14" x14ac:dyDescent="0.55000000000000004">
      <c r="L3629">
        <v>3624</v>
      </c>
      <c r="M3629">
        <v>2.9932E-2</v>
      </c>
      <c r="N3629">
        <v>6032.7608289999998</v>
      </c>
    </row>
    <row r="3630" spans="12:14" x14ac:dyDescent="0.55000000000000004">
      <c r="L3630">
        <v>3625</v>
      </c>
      <c r="M3630">
        <v>2.9932E-2</v>
      </c>
      <c r="N3630">
        <v>6032.7608289999998</v>
      </c>
    </row>
    <row r="3631" spans="12:14" x14ac:dyDescent="0.55000000000000004">
      <c r="L3631">
        <v>3626</v>
      </c>
      <c r="M3631">
        <v>2.9932E-2</v>
      </c>
      <c r="N3631">
        <v>6032.7608289999998</v>
      </c>
    </row>
    <row r="3632" spans="12:14" x14ac:dyDescent="0.55000000000000004">
      <c r="L3632">
        <v>3627</v>
      </c>
      <c r="M3632">
        <v>2.9932E-2</v>
      </c>
      <c r="N3632">
        <v>6032.7608289999998</v>
      </c>
    </row>
    <row r="3633" spans="12:14" x14ac:dyDescent="0.55000000000000004">
      <c r="L3633">
        <v>3628</v>
      </c>
      <c r="M3633">
        <v>2.9932E-2</v>
      </c>
      <c r="N3633">
        <v>6032.7608289999998</v>
      </c>
    </row>
    <row r="3634" spans="12:14" x14ac:dyDescent="0.55000000000000004">
      <c r="L3634">
        <v>3629</v>
      </c>
      <c r="M3634">
        <v>2.9932E-2</v>
      </c>
      <c r="N3634">
        <v>6032.7608289999998</v>
      </c>
    </row>
    <row r="3635" spans="12:14" x14ac:dyDescent="0.55000000000000004">
      <c r="L3635">
        <v>3630</v>
      </c>
      <c r="M3635">
        <v>2.9932E-2</v>
      </c>
      <c r="N3635">
        <v>6032.7608289999998</v>
      </c>
    </row>
    <row r="3636" spans="12:14" x14ac:dyDescent="0.55000000000000004">
      <c r="L3636">
        <v>3631</v>
      </c>
      <c r="M3636">
        <v>2.9932E-2</v>
      </c>
      <c r="N3636">
        <v>6032.7608289999998</v>
      </c>
    </row>
    <row r="3637" spans="12:14" x14ac:dyDescent="0.55000000000000004">
      <c r="L3637">
        <v>3632</v>
      </c>
      <c r="M3637">
        <v>2.9932E-2</v>
      </c>
      <c r="N3637">
        <v>6032.7608289999998</v>
      </c>
    </row>
    <row r="3638" spans="12:14" x14ac:dyDescent="0.55000000000000004">
      <c r="L3638">
        <v>3633</v>
      </c>
      <c r="M3638">
        <v>2.9932E-2</v>
      </c>
      <c r="N3638">
        <v>6032.7608289999998</v>
      </c>
    </row>
    <row r="3639" spans="12:14" x14ac:dyDescent="0.55000000000000004">
      <c r="L3639">
        <v>3634</v>
      </c>
      <c r="M3639">
        <v>2.9932E-2</v>
      </c>
      <c r="N3639">
        <v>6032.7608289999998</v>
      </c>
    </row>
    <row r="3640" spans="12:14" x14ac:dyDescent="0.55000000000000004">
      <c r="L3640">
        <v>3635</v>
      </c>
      <c r="M3640">
        <v>2.9932E-2</v>
      </c>
      <c r="N3640">
        <v>6032.7608289999998</v>
      </c>
    </row>
    <row r="3641" spans="12:14" x14ac:dyDescent="0.55000000000000004">
      <c r="L3641">
        <v>3636</v>
      </c>
      <c r="M3641">
        <v>2.9932E-2</v>
      </c>
      <c r="N3641">
        <v>6032.7608289999998</v>
      </c>
    </row>
    <row r="3642" spans="12:14" x14ac:dyDescent="0.55000000000000004">
      <c r="L3642">
        <v>3637</v>
      </c>
      <c r="M3642">
        <v>2.9932E-2</v>
      </c>
      <c r="N3642">
        <v>6032.7608289999998</v>
      </c>
    </row>
    <row r="3643" spans="12:14" x14ac:dyDescent="0.55000000000000004">
      <c r="L3643">
        <v>3638</v>
      </c>
      <c r="M3643">
        <v>2.9932E-2</v>
      </c>
      <c r="N3643">
        <v>6032.7608289999998</v>
      </c>
    </row>
    <row r="3644" spans="12:14" x14ac:dyDescent="0.55000000000000004">
      <c r="L3644">
        <v>3639</v>
      </c>
      <c r="M3644">
        <v>2.9932E-2</v>
      </c>
      <c r="N3644">
        <v>6032.7608289999998</v>
      </c>
    </row>
    <row r="3645" spans="12:14" x14ac:dyDescent="0.55000000000000004">
      <c r="L3645">
        <v>3640</v>
      </c>
      <c r="M3645">
        <v>2.9932E-2</v>
      </c>
      <c r="N3645">
        <v>6032.7608289999998</v>
      </c>
    </row>
    <row r="3646" spans="12:14" x14ac:dyDescent="0.55000000000000004">
      <c r="L3646">
        <v>3641</v>
      </c>
      <c r="M3646">
        <v>2.9932E-2</v>
      </c>
      <c r="N3646">
        <v>6032.7608289999998</v>
      </c>
    </row>
    <row r="3647" spans="12:14" x14ac:dyDescent="0.55000000000000004">
      <c r="L3647">
        <v>3642</v>
      </c>
      <c r="M3647">
        <v>2.9932E-2</v>
      </c>
      <c r="N3647">
        <v>6032.7608289999998</v>
      </c>
    </row>
    <row r="3648" spans="12:14" x14ac:dyDescent="0.55000000000000004">
      <c r="L3648">
        <v>3643</v>
      </c>
      <c r="M3648">
        <v>2.9932E-2</v>
      </c>
      <c r="N3648">
        <v>6032.7608289999998</v>
      </c>
    </row>
    <row r="3649" spans="12:14" x14ac:dyDescent="0.55000000000000004">
      <c r="L3649">
        <v>3644</v>
      </c>
      <c r="M3649">
        <v>2.9932E-2</v>
      </c>
      <c r="N3649">
        <v>6032.7608289999998</v>
      </c>
    </row>
    <row r="3650" spans="12:14" x14ac:dyDescent="0.55000000000000004">
      <c r="L3650">
        <v>3645</v>
      </c>
      <c r="M3650">
        <v>2.9932E-2</v>
      </c>
      <c r="N3650">
        <v>6032.7608289999998</v>
      </c>
    </row>
    <row r="3651" spans="12:14" x14ac:dyDescent="0.55000000000000004">
      <c r="L3651">
        <v>3646</v>
      </c>
      <c r="M3651">
        <v>2.9932E-2</v>
      </c>
      <c r="N3651">
        <v>6032.7608289999998</v>
      </c>
    </row>
    <row r="3652" spans="12:14" x14ac:dyDescent="0.55000000000000004">
      <c r="L3652">
        <v>3647</v>
      </c>
      <c r="M3652">
        <v>2.9932E-2</v>
      </c>
      <c r="N3652">
        <v>6032.7608289999998</v>
      </c>
    </row>
    <row r="3653" spans="12:14" x14ac:dyDescent="0.55000000000000004">
      <c r="L3653">
        <v>3648</v>
      </c>
      <c r="M3653">
        <v>2.9932E-2</v>
      </c>
      <c r="N3653">
        <v>6032.7608289999998</v>
      </c>
    </row>
    <row r="3654" spans="12:14" x14ac:dyDescent="0.55000000000000004">
      <c r="L3654">
        <v>3649</v>
      </c>
      <c r="M3654">
        <v>2.9932E-2</v>
      </c>
      <c r="N3654">
        <v>6032.7608289999998</v>
      </c>
    </row>
    <row r="3655" spans="12:14" x14ac:dyDescent="0.55000000000000004">
      <c r="L3655">
        <v>3650</v>
      </c>
      <c r="M3655">
        <v>2.9932E-2</v>
      </c>
      <c r="N3655">
        <v>6032.7608289999998</v>
      </c>
    </row>
    <row r="3656" spans="12:14" x14ac:dyDescent="0.55000000000000004">
      <c r="L3656">
        <v>3651</v>
      </c>
      <c r="M3656">
        <v>2.9932E-2</v>
      </c>
      <c r="N3656">
        <v>6032.7608289999998</v>
      </c>
    </row>
    <row r="3657" spans="12:14" x14ac:dyDescent="0.55000000000000004">
      <c r="L3657">
        <v>3652</v>
      </c>
      <c r="M3657">
        <v>2.9932E-2</v>
      </c>
      <c r="N3657">
        <v>6032.7608289999998</v>
      </c>
    </row>
    <row r="3658" spans="12:14" x14ac:dyDescent="0.55000000000000004">
      <c r="L3658">
        <v>3653</v>
      </c>
      <c r="M3658">
        <v>2.9932E-2</v>
      </c>
      <c r="N3658">
        <v>6032.7608289999998</v>
      </c>
    </row>
    <row r="3659" spans="12:14" x14ac:dyDescent="0.55000000000000004">
      <c r="L3659">
        <v>3654</v>
      </c>
      <c r="M3659">
        <v>2.9932E-2</v>
      </c>
      <c r="N3659">
        <v>6032.7608289999998</v>
      </c>
    </row>
    <row r="3660" spans="12:14" x14ac:dyDescent="0.55000000000000004">
      <c r="L3660">
        <v>3655</v>
      </c>
      <c r="M3660">
        <v>2.9932E-2</v>
      </c>
      <c r="N3660">
        <v>6032.7608289999998</v>
      </c>
    </row>
    <row r="3661" spans="12:14" x14ac:dyDescent="0.55000000000000004">
      <c r="L3661">
        <v>3656</v>
      </c>
      <c r="M3661">
        <v>2.9932E-2</v>
      </c>
      <c r="N3661">
        <v>6032.7608289999998</v>
      </c>
    </row>
    <row r="3662" spans="12:14" x14ac:dyDescent="0.55000000000000004">
      <c r="L3662">
        <v>3657</v>
      </c>
      <c r="M3662">
        <v>2.9932E-2</v>
      </c>
      <c r="N3662">
        <v>6032.7608289999998</v>
      </c>
    </row>
    <row r="3663" spans="12:14" x14ac:dyDescent="0.55000000000000004">
      <c r="L3663">
        <v>3658</v>
      </c>
      <c r="M3663">
        <v>2.9932E-2</v>
      </c>
      <c r="N3663">
        <v>6032.7608289999998</v>
      </c>
    </row>
    <row r="3664" spans="12:14" x14ac:dyDescent="0.55000000000000004">
      <c r="L3664">
        <v>3659</v>
      </c>
      <c r="M3664">
        <v>2.9932E-2</v>
      </c>
      <c r="N3664">
        <v>6032.7608289999998</v>
      </c>
    </row>
    <row r="3665" spans="12:14" x14ac:dyDescent="0.55000000000000004">
      <c r="L3665">
        <v>3660</v>
      </c>
      <c r="M3665">
        <v>2.9932E-2</v>
      </c>
      <c r="N3665">
        <v>6032.7608289999998</v>
      </c>
    </row>
    <row r="3666" spans="12:14" x14ac:dyDescent="0.55000000000000004">
      <c r="L3666">
        <v>3661</v>
      </c>
      <c r="M3666">
        <v>2.9932E-2</v>
      </c>
      <c r="N3666">
        <v>6032.7608289999998</v>
      </c>
    </row>
    <row r="3667" spans="12:14" x14ac:dyDescent="0.55000000000000004">
      <c r="L3667">
        <v>3662</v>
      </c>
      <c r="M3667">
        <v>2.9932E-2</v>
      </c>
      <c r="N3667">
        <v>6032.7608289999998</v>
      </c>
    </row>
    <row r="3668" spans="12:14" x14ac:dyDescent="0.55000000000000004">
      <c r="L3668">
        <v>3663</v>
      </c>
      <c r="M3668">
        <v>2.9932E-2</v>
      </c>
      <c r="N3668">
        <v>6032.7608289999998</v>
      </c>
    </row>
    <row r="3669" spans="12:14" x14ac:dyDescent="0.55000000000000004">
      <c r="L3669">
        <v>3664</v>
      </c>
      <c r="M3669">
        <v>2.9932E-2</v>
      </c>
      <c r="N3669">
        <v>6032.7608289999998</v>
      </c>
    </row>
    <row r="3670" spans="12:14" x14ac:dyDescent="0.55000000000000004">
      <c r="L3670">
        <v>3665</v>
      </c>
      <c r="M3670">
        <v>2.9932E-2</v>
      </c>
      <c r="N3670">
        <v>6032.7608289999998</v>
      </c>
    </row>
    <row r="3671" spans="12:14" x14ac:dyDescent="0.55000000000000004">
      <c r="L3671">
        <v>3666</v>
      </c>
      <c r="M3671">
        <v>2.9932E-2</v>
      </c>
      <c r="N3671">
        <v>6032.7608289999998</v>
      </c>
    </row>
    <row r="3672" spans="12:14" x14ac:dyDescent="0.55000000000000004">
      <c r="L3672">
        <v>3667</v>
      </c>
      <c r="M3672">
        <v>2.9932E-2</v>
      </c>
      <c r="N3672">
        <v>6032.7608289999998</v>
      </c>
    </row>
    <row r="3673" spans="12:14" x14ac:dyDescent="0.55000000000000004">
      <c r="L3673">
        <v>3668</v>
      </c>
      <c r="M3673">
        <v>2.9932E-2</v>
      </c>
      <c r="N3673">
        <v>6032.7608289999998</v>
      </c>
    </row>
    <row r="3674" spans="12:14" x14ac:dyDescent="0.55000000000000004">
      <c r="L3674">
        <v>3669</v>
      </c>
      <c r="M3674">
        <v>2.9932E-2</v>
      </c>
      <c r="N3674">
        <v>6032.7608289999998</v>
      </c>
    </row>
    <row r="3675" spans="12:14" x14ac:dyDescent="0.55000000000000004">
      <c r="L3675">
        <v>3670</v>
      </c>
      <c r="M3675">
        <v>2.9932E-2</v>
      </c>
      <c r="N3675">
        <v>6032.7608289999998</v>
      </c>
    </row>
    <row r="3676" spans="12:14" x14ac:dyDescent="0.55000000000000004">
      <c r="L3676">
        <v>3671</v>
      </c>
      <c r="M3676">
        <v>2.9932E-2</v>
      </c>
      <c r="N3676">
        <v>6032.7608289999998</v>
      </c>
    </row>
    <row r="3677" spans="12:14" x14ac:dyDescent="0.55000000000000004">
      <c r="L3677">
        <v>3672</v>
      </c>
      <c r="M3677">
        <v>2.9932E-2</v>
      </c>
      <c r="N3677">
        <v>6032.7608289999998</v>
      </c>
    </row>
    <row r="3678" spans="12:14" x14ac:dyDescent="0.55000000000000004">
      <c r="L3678">
        <v>3673</v>
      </c>
      <c r="M3678">
        <v>2.9932E-2</v>
      </c>
      <c r="N3678">
        <v>6032.7608289999998</v>
      </c>
    </row>
    <row r="3679" spans="12:14" x14ac:dyDescent="0.55000000000000004">
      <c r="L3679">
        <v>3674</v>
      </c>
      <c r="M3679">
        <v>2.9932E-2</v>
      </c>
      <c r="N3679">
        <v>6032.7608289999998</v>
      </c>
    </row>
    <row r="3680" spans="12:14" x14ac:dyDescent="0.55000000000000004">
      <c r="L3680">
        <v>3675</v>
      </c>
      <c r="M3680">
        <v>2.9932E-2</v>
      </c>
      <c r="N3680">
        <v>6032.7608289999998</v>
      </c>
    </row>
    <row r="3681" spans="12:14" x14ac:dyDescent="0.55000000000000004">
      <c r="L3681">
        <v>3676</v>
      </c>
      <c r="M3681">
        <v>2.9932E-2</v>
      </c>
      <c r="N3681">
        <v>6032.7608289999998</v>
      </c>
    </row>
    <row r="3682" spans="12:14" x14ac:dyDescent="0.55000000000000004">
      <c r="L3682">
        <v>3677</v>
      </c>
      <c r="M3682">
        <v>2.9932E-2</v>
      </c>
      <c r="N3682">
        <v>6032.7608289999998</v>
      </c>
    </row>
    <row r="3683" spans="12:14" x14ac:dyDescent="0.55000000000000004">
      <c r="L3683">
        <v>3678</v>
      </c>
      <c r="M3683">
        <v>2.9932E-2</v>
      </c>
      <c r="N3683">
        <v>6032.7608289999998</v>
      </c>
    </row>
    <row r="3684" spans="12:14" x14ac:dyDescent="0.55000000000000004">
      <c r="L3684">
        <v>3679</v>
      </c>
      <c r="M3684">
        <v>2.9932E-2</v>
      </c>
      <c r="N3684">
        <v>6032.7608289999998</v>
      </c>
    </row>
    <row r="3685" spans="12:14" x14ac:dyDescent="0.55000000000000004">
      <c r="L3685">
        <v>3680</v>
      </c>
      <c r="M3685">
        <v>2.9932E-2</v>
      </c>
      <c r="N3685">
        <v>6032.7608289999998</v>
      </c>
    </row>
    <row r="3686" spans="12:14" x14ac:dyDescent="0.55000000000000004">
      <c r="L3686">
        <v>3681</v>
      </c>
      <c r="M3686">
        <v>2.9932E-2</v>
      </c>
      <c r="N3686">
        <v>6032.7608289999998</v>
      </c>
    </row>
    <row r="3687" spans="12:14" x14ac:dyDescent="0.55000000000000004">
      <c r="L3687">
        <v>3682</v>
      </c>
      <c r="M3687">
        <v>2.9932E-2</v>
      </c>
      <c r="N3687">
        <v>6032.7608289999998</v>
      </c>
    </row>
    <row r="3688" spans="12:14" x14ac:dyDescent="0.55000000000000004">
      <c r="L3688">
        <v>3683</v>
      </c>
      <c r="M3688">
        <v>2.9932E-2</v>
      </c>
      <c r="N3688">
        <v>6032.7608289999998</v>
      </c>
    </row>
    <row r="3689" spans="12:14" x14ac:dyDescent="0.55000000000000004">
      <c r="L3689">
        <v>3684</v>
      </c>
      <c r="M3689">
        <v>2.9932E-2</v>
      </c>
      <c r="N3689">
        <v>6032.7608289999998</v>
      </c>
    </row>
    <row r="3690" spans="12:14" x14ac:dyDescent="0.55000000000000004">
      <c r="L3690">
        <v>3685</v>
      </c>
      <c r="M3690">
        <v>2.9932E-2</v>
      </c>
      <c r="N3690">
        <v>6032.7608289999998</v>
      </c>
    </row>
    <row r="3691" spans="12:14" x14ac:dyDescent="0.55000000000000004">
      <c r="L3691">
        <v>3686</v>
      </c>
      <c r="M3691">
        <v>2.9932E-2</v>
      </c>
      <c r="N3691">
        <v>6032.7608289999998</v>
      </c>
    </row>
    <row r="3692" spans="12:14" x14ac:dyDescent="0.55000000000000004">
      <c r="L3692">
        <v>3687</v>
      </c>
      <c r="M3692">
        <v>2.9932E-2</v>
      </c>
      <c r="N3692">
        <v>6032.7608289999998</v>
      </c>
    </row>
    <row r="3693" spans="12:14" x14ac:dyDescent="0.55000000000000004">
      <c r="L3693">
        <v>3688</v>
      </c>
      <c r="M3693">
        <v>2.9932E-2</v>
      </c>
      <c r="N3693">
        <v>6032.7608289999998</v>
      </c>
    </row>
    <row r="3694" spans="12:14" x14ac:dyDescent="0.55000000000000004">
      <c r="L3694">
        <v>3689</v>
      </c>
      <c r="M3694">
        <v>2.9932E-2</v>
      </c>
      <c r="N3694">
        <v>6032.7608289999998</v>
      </c>
    </row>
    <row r="3695" spans="12:14" x14ac:dyDescent="0.55000000000000004">
      <c r="L3695">
        <v>3690</v>
      </c>
      <c r="M3695">
        <v>2.9932E-2</v>
      </c>
      <c r="N3695">
        <v>6032.7608289999998</v>
      </c>
    </row>
    <row r="3696" spans="12:14" x14ac:dyDescent="0.55000000000000004">
      <c r="L3696">
        <v>3691</v>
      </c>
      <c r="M3696">
        <v>2.9932E-2</v>
      </c>
      <c r="N3696">
        <v>6032.7608289999998</v>
      </c>
    </row>
    <row r="3697" spans="12:14" x14ac:dyDescent="0.55000000000000004">
      <c r="L3697">
        <v>3692</v>
      </c>
      <c r="M3697">
        <v>2.9932E-2</v>
      </c>
      <c r="N3697">
        <v>6032.7608289999998</v>
      </c>
    </row>
    <row r="3698" spans="12:14" x14ac:dyDescent="0.55000000000000004">
      <c r="L3698">
        <v>3693</v>
      </c>
      <c r="M3698">
        <v>2.9932E-2</v>
      </c>
      <c r="N3698">
        <v>6032.7608289999998</v>
      </c>
    </row>
    <row r="3699" spans="12:14" x14ac:dyDescent="0.55000000000000004">
      <c r="L3699">
        <v>3694</v>
      </c>
      <c r="M3699">
        <v>2.9932E-2</v>
      </c>
      <c r="N3699">
        <v>6032.7608289999998</v>
      </c>
    </row>
    <row r="3700" spans="12:14" x14ac:dyDescent="0.55000000000000004">
      <c r="L3700">
        <v>3695</v>
      </c>
      <c r="M3700">
        <v>2.9932E-2</v>
      </c>
      <c r="N3700">
        <v>6032.7608289999998</v>
      </c>
    </row>
    <row r="3701" spans="12:14" x14ac:dyDescent="0.55000000000000004">
      <c r="L3701">
        <v>3696</v>
      </c>
      <c r="M3701">
        <v>2.9932E-2</v>
      </c>
      <c r="N3701">
        <v>6032.7608289999998</v>
      </c>
    </row>
    <row r="3702" spans="12:14" x14ac:dyDescent="0.55000000000000004">
      <c r="L3702">
        <v>3697</v>
      </c>
      <c r="M3702">
        <v>2.9932E-2</v>
      </c>
      <c r="N3702">
        <v>6032.7608289999998</v>
      </c>
    </row>
    <row r="3703" spans="12:14" x14ac:dyDescent="0.55000000000000004">
      <c r="L3703">
        <v>3698</v>
      </c>
      <c r="M3703">
        <v>2.9932E-2</v>
      </c>
      <c r="N3703">
        <v>6032.7608289999998</v>
      </c>
    </row>
    <row r="3704" spans="12:14" x14ac:dyDescent="0.55000000000000004">
      <c r="L3704">
        <v>3699</v>
      </c>
      <c r="M3704">
        <v>2.9932E-2</v>
      </c>
      <c r="N3704">
        <v>6032.7608289999998</v>
      </c>
    </row>
    <row r="3705" spans="12:14" x14ac:dyDescent="0.55000000000000004">
      <c r="L3705">
        <v>3700</v>
      </c>
      <c r="M3705">
        <v>2.9932E-2</v>
      </c>
      <c r="N3705">
        <v>6032.7608289999998</v>
      </c>
    </row>
    <row r="3706" spans="12:14" x14ac:dyDescent="0.55000000000000004">
      <c r="L3706">
        <v>3701</v>
      </c>
      <c r="M3706">
        <v>2.9932E-2</v>
      </c>
      <c r="N3706">
        <v>6032.7608289999998</v>
      </c>
    </row>
    <row r="3707" spans="12:14" x14ac:dyDescent="0.55000000000000004">
      <c r="L3707">
        <v>3702</v>
      </c>
      <c r="M3707">
        <v>2.9932E-2</v>
      </c>
      <c r="N3707">
        <v>6032.7608289999998</v>
      </c>
    </row>
    <row r="3708" spans="12:14" x14ac:dyDescent="0.55000000000000004">
      <c r="L3708">
        <v>3703</v>
      </c>
      <c r="M3708">
        <v>2.9932E-2</v>
      </c>
      <c r="N3708">
        <v>6032.7608289999998</v>
      </c>
    </row>
    <row r="3709" spans="12:14" x14ac:dyDescent="0.55000000000000004">
      <c r="L3709">
        <v>3704</v>
      </c>
      <c r="M3709">
        <v>2.9932E-2</v>
      </c>
      <c r="N3709">
        <v>6032.7608289999998</v>
      </c>
    </row>
    <row r="3710" spans="12:14" x14ac:dyDescent="0.55000000000000004">
      <c r="L3710">
        <v>3705</v>
      </c>
      <c r="M3710">
        <v>2.9932E-2</v>
      </c>
      <c r="N3710">
        <v>6032.7608289999998</v>
      </c>
    </row>
    <row r="3711" spans="12:14" x14ac:dyDescent="0.55000000000000004">
      <c r="L3711">
        <v>3706</v>
      </c>
      <c r="M3711">
        <v>2.9932E-2</v>
      </c>
      <c r="N3711">
        <v>6032.7608289999998</v>
      </c>
    </row>
    <row r="3712" spans="12:14" x14ac:dyDescent="0.55000000000000004">
      <c r="L3712">
        <v>3707</v>
      </c>
      <c r="M3712">
        <v>2.9932E-2</v>
      </c>
      <c r="N3712">
        <v>6032.7608289999998</v>
      </c>
    </row>
    <row r="3713" spans="12:14" x14ac:dyDescent="0.55000000000000004">
      <c r="L3713">
        <v>3708</v>
      </c>
      <c r="M3713">
        <v>2.9932E-2</v>
      </c>
      <c r="N3713">
        <v>6032.7608289999998</v>
      </c>
    </row>
    <row r="3714" spans="12:14" x14ac:dyDescent="0.55000000000000004">
      <c r="L3714">
        <v>3709</v>
      </c>
      <c r="M3714">
        <v>2.9932E-2</v>
      </c>
      <c r="N3714">
        <v>6032.7608289999998</v>
      </c>
    </row>
    <row r="3715" spans="12:14" x14ac:dyDescent="0.55000000000000004">
      <c r="L3715">
        <v>3710</v>
      </c>
      <c r="M3715">
        <v>2.9932E-2</v>
      </c>
      <c r="N3715">
        <v>6032.7608289999998</v>
      </c>
    </row>
    <row r="3716" spans="12:14" x14ac:dyDescent="0.55000000000000004">
      <c r="L3716">
        <v>3711</v>
      </c>
      <c r="M3716">
        <v>2.9932E-2</v>
      </c>
      <c r="N3716">
        <v>6032.7608289999998</v>
      </c>
    </row>
    <row r="3717" spans="12:14" x14ac:dyDescent="0.55000000000000004">
      <c r="L3717">
        <v>3712</v>
      </c>
      <c r="M3717">
        <v>2.9932E-2</v>
      </c>
      <c r="N3717">
        <v>6032.7608289999998</v>
      </c>
    </row>
    <row r="3718" spans="12:14" x14ac:dyDescent="0.55000000000000004">
      <c r="L3718">
        <v>3713</v>
      </c>
      <c r="M3718">
        <v>2.9932E-2</v>
      </c>
      <c r="N3718">
        <v>6032.7608289999998</v>
      </c>
    </row>
    <row r="3719" spans="12:14" x14ac:dyDescent="0.55000000000000004">
      <c r="L3719">
        <v>3714</v>
      </c>
      <c r="M3719">
        <v>2.9932E-2</v>
      </c>
      <c r="N3719">
        <v>6032.7608289999998</v>
      </c>
    </row>
    <row r="3720" spans="12:14" x14ac:dyDescent="0.55000000000000004">
      <c r="L3720">
        <v>3715</v>
      </c>
      <c r="M3720">
        <v>2.9932E-2</v>
      </c>
      <c r="N3720">
        <v>6032.7608289999998</v>
      </c>
    </row>
    <row r="3721" spans="12:14" x14ac:dyDescent="0.55000000000000004">
      <c r="L3721">
        <v>3716</v>
      </c>
      <c r="M3721">
        <v>2.9932E-2</v>
      </c>
      <c r="N3721">
        <v>6032.7608289999998</v>
      </c>
    </row>
    <row r="3722" spans="12:14" x14ac:dyDescent="0.55000000000000004">
      <c r="L3722">
        <v>3717</v>
      </c>
      <c r="M3722">
        <v>2.9932E-2</v>
      </c>
      <c r="N3722">
        <v>6032.7608289999998</v>
      </c>
    </row>
    <row r="3723" spans="12:14" x14ac:dyDescent="0.55000000000000004">
      <c r="L3723">
        <v>3718</v>
      </c>
      <c r="M3723">
        <v>2.9932E-2</v>
      </c>
      <c r="N3723">
        <v>6032.7608289999998</v>
      </c>
    </row>
    <row r="3724" spans="12:14" x14ac:dyDescent="0.55000000000000004">
      <c r="L3724">
        <v>3719</v>
      </c>
      <c r="M3724">
        <v>2.9932E-2</v>
      </c>
      <c r="N3724">
        <v>6032.7608289999998</v>
      </c>
    </row>
    <row r="3725" spans="12:14" x14ac:dyDescent="0.55000000000000004">
      <c r="L3725">
        <v>3720</v>
      </c>
      <c r="M3725">
        <v>2.9932E-2</v>
      </c>
      <c r="N3725">
        <v>6032.7608289999998</v>
      </c>
    </row>
    <row r="3726" spans="12:14" x14ac:dyDescent="0.55000000000000004">
      <c r="L3726">
        <v>3721</v>
      </c>
      <c r="M3726">
        <v>2.9932E-2</v>
      </c>
      <c r="N3726">
        <v>6032.7608289999998</v>
      </c>
    </row>
    <row r="3727" spans="12:14" x14ac:dyDescent="0.55000000000000004">
      <c r="L3727">
        <v>3722</v>
      </c>
      <c r="M3727">
        <v>2.9932E-2</v>
      </c>
      <c r="N3727">
        <v>6032.7608289999998</v>
      </c>
    </row>
    <row r="3728" spans="12:14" x14ac:dyDescent="0.55000000000000004">
      <c r="L3728">
        <v>3723</v>
      </c>
      <c r="M3728">
        <v>2.9932E-2</v>
      </c>
      <c r="N3728">
        <v>6032.7608289999998</v>
      </c>
    </row>
    <row r="3729" spans="12:14" x14ac:dyDescent="0.55000000000000004">
      <c r="L3729">
        <v>3724</v>
      </c>
      <c r="M3729">
        <v>2.9932E-2</v>
      </c>
      <c r="N3729">
        <v>6032.7608289999998</v>
      </c>
    </row>
    <row r="3730" spans="12:14" x14ac:dyDescent="0.55000000000000004">
      <c r="L3730">
        <v>3725</v>
      </c>
      <c r="M3730">
        <v>2.9932E-2</v>
      </c>
      <c r="N3730">
        <v>6032.7608289999998</v>
      </c>
    </row>
    <row r="3731" spans="12:14" x14ac:dyDescent="0.55000000000000004">
      <c r="L3731">
        <v>3726</v>
      </c>
      <c r="M3731">
        <v>2.9932E-2</v>
      </c>
      <c r="N3731">
        <v>6032.7608289999998</v>
      </c>
    </row>
    <row r="3732" spans="12:14" x14ac:dyDescent="0.55000000000000004">
      <c r="L3732">
        <v>3727</v>
      </c>
      <c r="M3732">
        <v>2.9932E-2</v>
      </c>
      <c r="N3732">
        <v>6032.7608289999998</v>
      </c>
    </row>
    <row r="3733" spans="12:14" x14ac:dyDescent="0.55000000000000004">
      <c r="L3733">
        <v>3728</v>
      </c>
      <c r="M3733">
        <v>2.9932E-2</v>
      </c>
      <c r="N3733">
        <v>6032.7608289999998</v>
      </c>
    </row>
    <row r="3734" spans="12:14" x14ac:dyDescent="0.55000000000000004">
      <c r="L3734">
        <v>3729</v>
      </c>
      <c r="M3734">
        <v>2.9932E-2</v>
      </c>
      <c r="N3734">
        <v>6032.7608289999998</v>
      </c>
    </row>
    <row r="3735" spans="12:14" x14ac:dyDescent="0.55000000000000004">
      <c r="L3735">
        <v>3730</v>
      </c>
      <c r="M3735">
        <v>2.9932E-2</v>
      </c>
      <c r="N3735">
        <v>6032.7608289999998</v>
      </c>
    </row>
    <row r="3736" spans="12:14" x14ac:dyDescent="0.55000000000000004">
      <c r="L3736">
        <v>3731</v>
      </c>
      <c r="M3736">
        <v>2.9932E-2</v>
      </c>
      <c r="N3736">
        <v>6032.7608289999998</v>
      </c>
    </row>
    <row r="3737" spans="12:14" x14ac:dyDescent="0.55000000000000004">
      <c r="L3737">
        <v>3732</v>
      </c>
      <c r="M3737">
        <v>2.9932E-2</v>
      </c>
      <c r="N3737">
        <v>6032.7608289999998</v>
      </c>
    </row>
    <row r="3738" spans="12:14" x14ac:dyDescent="0.55000000000000004">
      <c r="L3738">
        <v>3733</v>
      </c>
      <c r="M3738">
        <v>2.9932E-2</v>
      </c>
      <c r="N3738">
        <v>6032.7608289999998</v>
      </c>
    </row>
    <row r="3739" spans="12:14" x14ac:dyDescent="0.55000000000000004">
      <c r="L3739">
        <v>3734</v>
      </c>
      <c r="M3739">
        <v>2.9932E-2</v>
      </c>
      <c r="N3739">
        <v>6032.7608289999998</v>
      </c>
    </row>
    <row r="3740" spans="12:14" x14ac:dyDescent="0.55000000000000004">
      <c r="L3740">
        <v>3735</v>
      </c>
      <c r="M3740">
        <v>2.9932E-2</v>
      </c>
      <c r="N3740">
        <v>6032.7608289999998</v>
      </c>
    </row>
    <row r="3741" spans="12:14" x14ac:dyDescent="0.55000000000000004">
      <c r="L3741">
        <v>3736</v>
      </c>
      <c r="M3741">
        <v>2.9932E-2</v>
      </c>
      <c r="N3741">
        <v>6032.7608289999998</v>
      </c>
    </row>
    <row r="3742" spans="12:14" x14ac:dyDescent="0.55000000000000004">
      <c r="L3742">
        <v>3737</v>
      </c>
      <c r="M3742">
        <v>2.9932E-2</v>
      </c>
      <c r="N3742">
        <v>6032.7608289999998</v>
      </c>
    </row>
    <row r="3743" spans="12:14" x14ac:dyDescent="0.55000000000000004">
      <c r="L3743">
        <v>3738</v>
      </c>
      <c r="M3743">
        <v>2.9932E-2</v>
      </c>
      <c r="N3743">
        <v>6032.7608289999998</v>
      </c>
    </row>
    <row r="3744" spans="12:14" x14ac:dyDescent="0.55000000000000004">
      <c r="L3744">
        <v>3739</v>
      </c>
      <c r="M3744">
        <v>2.9932E-2</v>
      </c>
      <c r="N3744">
        <v>6032.7608289999998</v>
      </c>
    </row>
    <row r="3745" spans="12:14" x14ac:dyDescent="0.55000000000000004">
      <c r="L3745">
        <v>3740</v>
      </c>
      <c r="M3745">
        <v>2.9932E-2</v>
      </c>
      <c r="N3745">
        <v>6032.7608289999998</v>
      </c>
    </row>
    <row r="3746" spans="12:14" x14ac:dyDescent="0.55000000000000004">
      <c r="L3746">
        <v>3741</v>
      </c>
      <c r="M3746">
        <v>2.9932E-2</v>
      </c>
      <c r="N3746">
        <v>6032.7608289999998</v>
      </c>
    </row>
    <row r="3747" spans="12:14" x14ac:dyDescent="0.55000000000000004">
      <c r="L3747">
        <v>3742</v>
      </c>
      <c r="M3747">
        <v>2.9932E-2</v>
      </c>
      <c r="N3747">
        <v>6032.7608289999998</v>
      </c>
    </row>
    <row r="3748" spans="12:14" x14ac:dyDescent="0.55000000000000004">
      <c r="L3748">
        <v>3743</v>
      </c>
      <c r="M3748">
        <v>2.9932E-2</v>
      </c>
      <c r="N3748">
        <v>6032.7608289999998</v>
      </c>
    </row>
    <row r="3749" spans="12:14" x14ac:dyDescent="0.55000000000000004">
      <c r="L3749">
        <v>3744</v>
      </c>
      <c r="M3749">
        <v>2.9932E-2</v>
      </c>
      <c r="N3749">
        <v>6032.7608289999998</v>
      </c>
    </row>
    <row r="3750" spans="12:14" x14ac:dyDescent="0.55000000000000004">
      <c r="L3750">
        <v>3745</v>
      </c>
      <c r="M3750">
        <v>2.9932E-2</v>
      </c>
      <c r="N3750">
        <v>6032.7608289999998</v>
      </c>
    </row>
    <row r="3751" spans="12:14" x14ac:dyDescent="0.55000000000000004">
      <c r="L3751">
        <v>3746</v>
      </c>
      <c r="M3751">
        <v>2.9932E-2</v>
      </c>
      <c r="N3751">
        <v>6032.7608289999998</v>
      </c>
    </row>
    <row r="3752" spans="12:14" x14ac:dyDescent="0.55000000000000004">
      <c r="L3752">
        <v>3747</v>
      </c>
      <c r="M3752">
        <v>2.9932E-2</v>
      </c>
      <c r="N3752">
        <v>6032.7608289999998</v>
      </c>
    </row>
    <row r="3753" spans="12:14" x14ac:dyDescent="0.55000000000000004">
      <c r="L3753">
        <v>3748</v>
      </c>
      <c r="M3753">
        <v>2.9932E-2</v>
      </c>
      <c r="N3753">
        <v>6032.7608289999998</v>
      </c>
    </row>
    <row r="3754" spans="12:14" x14ac:dyDescent="0.55000000000000004">
      <c r="L3754">
        <v>3749</v>
      </c>
      <c r="M3754">
        <v>2.9932E-2</v>
      </c>
      <c r="N3754">
        <v>6032.7608289999998</v>
      </c>
    </row>
    <row r="3755" spans="12:14" x14ac:dyDescent="0.55000000000000004">
      <c r="L3755">
        <v>3750</v>
      </c>
      <c r="M3755">
        <v>2.9932E-2</v>
      </c>
      <c r="N3755">
        <v>6032.7608289999998</v>
      </c>
    </row>
    <row r="3756" spans="12:14" x14ac:dyDescent="0.55000000000000004">
      <c r="L3756">
        <v>3751</v>
      </c>
      <c r="M3756">
        <v>2.9932E-2</v>
      </c>
      <c r="N3756">
        <v>6032.7608289999998</v>
      </c>
    </row>
    <row r="3757" spans="12:14" x14ac:dyDescent="0.55000000000000004">
      <c r="L3757">
        <v>3752</v>
      </c>
      <c r="M3757">
        <v>2.9932E-2</v>
      </c>
      <c r="N3757">
        <v>6032.7608289999998</v>
      </c>
    </row>
    <row r="3758" spans="12:14" x14ac:dyDescent="0.55000000000000004">
      <c r="L3758">
        <v>3753</v>
      </c>
      <c r="M3758">
        <v>2.9932E-2</v>
      </c>
      <c r="N3758">
        <v>6032.7608289999998</v>
      </c>
    </row>
    <row r="3759" spans="12:14" x14ac:dyDescent="0.55000000000000004">
      <c r="L3759">
        <v>3754</v>
      </c>
      <c r="M3759">
        <v>2.9932E-2</v>
      </c>
      <c r="N3759">
        <v>6032.7608289999998</v>
      </c>
    </row>
    <row r="3760" spans="12:14" x14ac:dyDescent="0.55000000000000004">
      <c r="L3760">
        <v>3755</v>
      </c>
      <c r="M3760">
        <v>2.9932E-2</v>
      </c>
      <c r="N3760">
        <v>6032.7608289999998</v>
      </c>
    </row>
    <row r="3761" spans="12:14" x14ac:dyDescent="0.55000000000000004">
      <c r="L3761">
        <v>3756</v>
      </c>
      <c r="M3761">
        <v>2.9932E-2</v>
      </c>
      <c r="N3761">
        <v>6032.7608289999998</v>
      </c>
    </row>
    <row r="3762" spans="12:14" x14ac:dyDescent="0.55000000000000004">
      <c r="L3762">
        <v>3757</v>
      </c>
      <c r="M3762">
        <v>2.9932E-2</v>
      </c>
      <c r="N3762">
        <v>6032.7608289999998</v>
      </c>
    </row>
    <row r="3763" spans="12:14" x14ac:dyDescent="0.55000000000000004">
      <c r="L3763">
        <v>3758</v>
      </c>
      <c r="M3763">
        <v>2.9932E-2</v>
      </c>
      <c r="N3763">
        <v>6032.7608289999998</v>
      </c>
    </row>
    <row r="3764" spans="12:14" x14ac:dyDescent="0.55000000000000004">
      <c r="L3764">
        <v>3759</v>
      </c>
      <c r="M3764">
        <v>2.9932E-2</v>
      </c>
      <c r="N3764">
        <v>6032.7608289999998</v>
      </c>
    </row>
    <row r="3765" spans="12:14" x14ac:dyDescent="0.55000000000000004">
      <c r="L3765">
        <v>3760</v>
      </c>
      <c r="M3765">
        <v>2.9932E-2</v>
      </c>
      <c r="N3765">
        <v>6032.7608289999998</v>
      </c>
    </row>
    <row r="3766" spans="12:14" x14ac:dyDescent="0.55000000000000004">
      <c r="L3766">
        <v>3761</v>
      </c>
      <c r="M3766">
        <v>2.9932E-2</v>
      </c>
      <c r="N3766">
        <v>6032.7608289999998</v>
      </c>
    </row>
    <row r="3767" spans="12:14" x14ac:dyDescent="0.55000000000000004">
      <c r="L3767">
        <v>3762</v>
      </c>
      <c r="M3767">
        <v>2.9932E-2</v>
      </c>
      <c r="N3767">
        <v>6032.7608289999998</v>
      </c>
    </row>
    <row r="3768" spans="12:14" x14ac:dyDescent="0.55000000000000004">
      <c r="L3768">
        <v>3763</v>
      </c>
      <c r="M3768">
        <v>2.9932E-2</v>
      </c>
      <c r="N3768">
        <v>6032.7608289999998</v>
      </c>
    </row>
    <row r="3769" spans="12:14" x14ac:dyDescent="0.55000000000000004">
      <c r="L3769">
        <v>3764</v>
      </c>
      <c r="M3769">
        <v>2.9932E-2</v>
      </c>
      <c r="N3769">
        <v>6032.7608289999998</v>
      </c>
    </row>
    <row r="3770" spans="12:14" x14ac:dyDescent="0.55000000000000004">
      <c r="L3770">
        <v>3765</v>
      </c>
      <c r="M3770">
        <v>2.9932E-2</v>
      </c>
      <c r="N3770">
        <v>6032.7608289999998</v>
      </c>
    </row>
    <row r="3771" spans="12:14" x14ac:dyDescent="0.55000000000000004">
      <c r="L3771">
        <v>3766</v>
      </c>
      <c r="M3771">
        <v>2.9932E-2</v>
      </c>
      <c r="N3771">
        <v>6032.7608289999998</v>
      </c>
    </row>
    <row r="3772" spans="12:14" x14ac:dyDescent="0.55000000000000004">
      <c r="L3772">
        <v>3767</v>
      </c>
      <c r="M3772">
        <v>2.9932E-2</v>
      </c>
      <c r="N3772">
        <v>6032.7608289999998</v>
      </c>
    </row>
    <row r="3773" spans="12:14" x14ac:dyDescent="0.55000000000000004">
      <c r="L3773">
        <v>3768</v>
      </c>
      <c r="M3773">
        <v>2.9932E-2</v>
      </c>
      <c r="N3773">
        <v>6032.7608289999998</v>
      </c>
    </row>
    <row r="3774" spans="12:14" x14ac:dyDescent="0.55000000000000004">
      <c r="L3774">
        <v>3769</v>
      </c>
      <c r="M3774">
        <v>2.9932E-2</v>
      </c>
      <c r="N3774">
        <v>6032.7608289999998</v>
      </c>
    </row>
    <row r="3775" spans="12:14" x14ac:dyDescent="0.55000000000000004">
      <c r="L3775">
        <v>3770</v>
      </c>
      <c r="M3775">
        <v>2.9932E-2</v>
      </c>
      <c r="N3775">
        <v>6032.7608289999998</v>
      </c>
    </row>
    <row r="3776" spans="12:14" x14ac:dyDescent="0.55000000000000004">
      <c r="L3776">
        <v>3771</v>
      </c>
      <c r="M3776">
        <v>2.9932E-2</v>
      </c>
      <c r="N3776">
        <v>6032.7608289999998</v>
      </c>
    </row>
    <row r="3777" spans="12:14" x14ac:dyDescent="0.55000000000000004">
      <c r="L3777">
        <v>3772</v>
      </c>
      <c r="M3777">
        <v>2.9932E-2</v>
      </c>
      <c r="N3777">
        <v>6032.7608289999998</v>
      </c>
    </row>
    <row r="3778" spans="12:14" x14ac:dyDescent="0.55000000000000004">
      <c r="L3778">
        <v>3773</v>
      </c>
      <c r="M3778">
        <v>2.9932E-2</v>
      </c>
      <c r="N3778">
        <v>6032.7608289999998</v>
      </c>
    </row>
    <row r="3779" spans="12:14" x14ac:dyDescent="0.55000000000000004">
      <c r="L3779">
        <v>3774</v>
      </c>
      <c r="M3779">
        <v>2.9932E-2</v>
      </c>
      <c r="N3779">
        <v>6032.7608289999998</v>
      </c>
    </row>
    <row r="3780" spans="12:14" x14ac:dyDescent="0.55000000000000004">
      <c r="L3780">
        <v>3775</v>
      </c>
      <c r="M3780">
        <v>2.9932E-2</v>
      </c>
      <c r="N3780">
        <v>6032.7608289999998</v>
      </c>
    </row>
    <row r="3781" spans="12:14" x14ac:dyDescent="0.55000000000000004">
      <c r="L3781">
        <v>3776</v>
      </c>
      <c r="M3781">
        <v>2.9932E-2</v>
      </c>
      <c r="N3781">
        <v>6032.7608289999998</v>
      </c>
    </row>
    <row r="3782" spans="12:14" x14ac:dyDescent="0.55000000000000004">
      <c r="L3782">
        <v>3777</v>
      </c>
      <c r="M3782">
        <v>2.9932E-2</v>
      </c>
      <c r="N3782">
        <v>6032.7608289999998</v>
      </c>
    </row>
    <row r="3783" spans="12:14" x14ac:dyDescent="0.55000000000000004">
      <c r="L3783">
        <v>3778</v>
      </c>
      <c r="M3783">
        <v>2.9932E-2</v>
      </c>
      <c r="N3783">
        <v>6032.7608289999998</v>
      </c>
    </row>
    <row r="3784" spans="12:14" x14ac:dyDescent="0.55000000000000004">
      <c r="L3784">
        <v>3779</v>
      </c>
      <c r="M3784">
        <v>2.9932E-2</v>
      </c>
      <c r="N3784">
        <v>6032.7608289999998</v>
      </c>
    </row>
    <row r="3785" spans="12:14" x14ac:dyDescent="0.55000000000000004">
      <c r="L3785">
        <v>3780</v>
      </c>
      <c r="M3785">
        <v>2.9932E-2</v>
      </c>
      <c r="N3785">
        <v>6032.7608289999998</v>
      </c>
    </row>
    <row r="3786" spans="12:14" x14ac:dyDescent="0.55000000000000004">
      <c r="L3786">
        <v>3781</v>
      </c>
      <c r="M3786">
        <v>2.9932E-2</v>
      </c>
      <c r="N3786">
        <v>6032.7608289999998</v>
      </c>
    </row>
    <row r="3787" spans="12:14" x14ac:dyDescent="0.55000000000000004">
      <c r="L3787">
        <v>3782</v>
      </c>
      <c r="M3787">
        <v>2.9932E-2</v>
      </c>
      <c r="N3787">
        <v>6032.7608289999998</v>
      </c>
    </row>
    <row r="3788" spans="12:14" x14ac:dyDescent="0.55000000000000004">
      <c r="L3788">
        <v>3783</v>
      </c>
      <c r="M3788">
        <v>2.9932E-2</v>
      </c>
      <c r="N3788">
        <v>6032.7608289999998</v>
      </c>
    </row>
    <row r="3789" spans="12:14" x14ac:dyDescent="0.55000000000000004">
      <c r="L3789">
        <v>3784</v>
      </c>
      <c r="M3789">
        <v>2.9932E-2</v>
      </c>
      <c r="N3789">
        <v>6032.7608289999998</v>
      </c>
    </row>
    <row r="3790" spans="12:14" x14ac:dyDescent="0.55000000000000004">
      <c r="L3790">
        <v>3785</v>
      </c>
      <c r="M3790">
        <v>2.9932E-2</v>
      </c>
      <c r="N3790">
        <v>6032.7608289999998</v>
      </c>
    </row>
    <row r="3791" spans="12:14" x14ac:dyDescent="0.55000000000000004">
      <c r="L3791">
        <v>3786</v>
      </c>
      <c r="M3791">
        <v>2.9932E-2</v>
      </c>
      <c r="N3791">
        <v>6032.7608289999998</v>
      </c>
    </row>
    <row r="3792" spans="12:14" x14ac:dyDescent="0.55000000000000004">
      <c r="L3792">
        <v>3787</v>
      </c>
      <c r="M3792">
        <v>2.9932E-2</v>
      </c>
      <c r="N3792">
        <v>6032.7608289999998</v>
      </c>
    </row>
    <row r="3793" spans="12:14" x14ac:dyDescent="0.55000000000000004">
      <c r="L3793">
        <v>3788</v>
      </c>
      <c r="M3793">
        <v>2.9932E-2</v>
      </c>
      <c r="N3793">
        <v>6032.7608289999998</v>
      </c>
    </row>
    <row r="3794" spans="12:14" x14ac:dyDescent="0.55000000000000004">
      <c r="L3794">
        <v>3789</v>
      </c>
      <c r="M3794">
        <v>2.9932E-2</v>
      </c>
      <c r="N3794">
        <v>6032.7608289999998</v>
      </c>
    </row>
    <row r="3795" spans="12:14" x14ac:dyDescent="0.55000000000000004">
      <c r="L3795">
        <v>3790</v>
      </c>
      <c r="M3795">
        <v>2.9932E-2</v>
      </c>
      <c r="N3795">
        <v>6032.7608289999998</v>
      </c>
    </row>
    <row r="3796" spans="12:14" x14ac:dyDescent="0.55000000000000004">
      <c r="L3796">
        <v>3791</v>
      </c>
      <c r="M3796">
        <v>2.9932E-2</v>
      </c>
      <c r="N3796">
        <v>6032.7608289999998</v>
      </c>
    </row>
    <row r="3797" spans="12:14" x14ac:dyDescent="0.55000000000000004">
      <c r="L3797">
        <v>3792</v>
      </c>
      <c r="M3797">
        <v>2.9932E-2</v>
      </c>
      <c r="N3797">
        <v>6032.7608289999998</v>
      </c>
    </row>
    <row r="3798" spans="12:14" x14ac:dyDescent="0.55000000000000004">
      <c r="L3798">
        <v>3793</v>
      </c>
      <c r="M3798">
        <v>2.9932E-2</v>
      </c>
      <c r="N3798">
        <v>6032.7608289999998</v>
      </c>
    </row>
    <row r="3799" spans="12:14" x14ac:dyDescent="0.55000000000000004">
      <c r="L3799">
        <v>3794</v>
      </c>
      <c r="M3799">
        <v>2.9932E-2</v>
      </c>
      <c r="N3799">
        <v>6032.7608289999998</v>
      </c>
    </row>
    <row r="3800" spans="12:14" x14ac:dyDescent="0.55000000000000004">
      <c r="L3800">
        <v>3795</v>
      </c>
      <c r="M3800">
        <v>2.9932E-2</v>
      </c>
      <c r="N3800">
        <v>6032.7608289999998</v>
      </c>
    </row>
    <row r="3801" spans="12:14" x14ac:dyDescent="0.55000000000000004">
      <c r="L3801">
        <v>3796</v>
      </c>
      <c r="M3801">
        <v>2.9932E-2</v>
      </c>
      <c r="N3801">
        <v>6032.7608289999998</v>
      </c>
    </row>
    <row r="3802" spans="12:14" x14ac:dyDescent="0.55000000000000004">
      <c r="L3802">
        <v>3797</v>
      </c>
      <c r="M3802">
        <v>2.9932E-2</v>
      </c>
      <c r="N3802">
        <v>6032.7608289999998</v>
      </c>
    </row>
    <row r="3803" spans="12:14" x14ac:dyDescent="0.55000000000000004">
      <c r="L3803">
        <v>3798</v>
      </c>
      <c r="M3803">
        <v>2.9932E-2</v>
      </c>
      <c r="N3803">
        <v>6032.7608289999998</v>
      </c>
    </row>
    <row r="3804" spans="12:14" x14ac:dyDescent="0.55000000000000004">
      <c r="L3804">
        <v>3799</v>
      </c>
      <c r="M3804">
        <v>2.9932E-2</v>
      </c>
      <c r="N3804">
        <v>6032.7608289999998</v>
      </c>
    </row>
    <row r="3805" spans="12:14" x14ac:dyDescent="0.55000000000000004">
      <c r="L3805">
        <v>3800</v>
      </c>
      <c r="M3805">
        <v>2.9932E-2</v>
      </c>
      <c r="N3805">
        <v>6032.7608289999998</v>
      </c>
    </row>
    <row r="3806" spans="12:14" x14ac:dyDescent="0.55000000000000004">
      <c r="L3806">
        <v>3801</v>
      </c>
      <c r="M3806">
        <v>2.9932E-2</v>
      </c>
      <c r="N3806">
        <v>6032.7608289999998</v>
      </c>
    </row>
    <row r="3807" spans="12:14" x14ac:dyDescent="0.55000000000000004">
      <c r="L3807">
        <v>3802</v>
      </c>
      <c r="M3807">
        <v>2.9932E-2</v>
      </c>
      <c r="N3807">
        <v>6032.7608289999998</v>
      </c>
    </row>
    <row r="3808" spans="12:14" x14ac:dyDescent="0.55000000000000004">
      <c r="L3808">
        <v>3803</v>
      </c>
      <c r="M3808">
        <v>2.9932E-2</v>
      </c>
      <c r="N3808">
        <v>6032.7608289999998</v>
      </c>
    </row>
    <row r="3809" spans="12:14" x14ac:dyDescent="0.55000000000000004">
      <c r="L3809">
        <v>3804</v>
      </c>
      <c r="M3809">
        <v>2.9932E-2</v>
      </c>
      <c r="N3809">
        <v>6032.7608289999998</v>
      </c>
    </row>
    <row r="3810" spans="12:14" x14ac:dyDescent="0.55000000000000004">
      <c r="L3810">
        <v>3805</v>
      </c>
      <c r="M3810">
        <v>2.9932E-2</v>
      </c>
      <c r="N3810">
        <v>6032.7608289999998</v>
      </c>
    </row>
    <row r="3811" spans="12:14" x14ac:dyDescent="0.55000000000000004">
      <c r="L3811">
        <v>3806</v>
      </c>
      <c r="M3811">
        <v>2.9932E-2</v>
      </c>
      <c r="N3811">
        <v>6032.7608289999998</v>
      </c>
    </row>
    <row r="3812" spans="12:14" x14ac:dyDescent="0.55000000000000004">
      <c r="L3812">
        <v>3807</v>
      </c>
      <c r="M3812">
        <v>2.9932E-2</v>
      </c>
      <c r="N3812">
        <v>6032.7608289999998</v>
      </c>
    </row>
    <row r="3813" spans="12:14" x14ac:dyDescent="0.55000000000000004">
      <c r="L3813">
        <v>3808</v>
      </c>
      <c r="M3813">
        <v>2.9932E-2</v>
      </c>
      <c r="N3813">
        <v>6032.7608289999998</v>
      </c>
    </row>
    <row r="3814" spans="12:14" x14ac:dyDescent="0.55000000000000004">
      <c r="L3814">
        <v>3809</v>
      </c>
      <c r="M3814">
        <v>2.9932E-2</v>
      </c>
      <c r="N3814">
        <v>6032.7608289999998</v>
      </c>
    </row>
    <row r="3815" spans="12:14" x14ac:dyDescent="0.55000000000000004">
      <c r="L3815">
        <v>3810</v>
      </c>
      <c r="M3815">
        <v>2.9932E-2</v>
      </c>
      <c r="N3815">
        <v>6032.7608289999998</v>
      </c>
    </row>
    <row r="3816" spans="12:14" x14ac:dyDescent="0.55000000000000004">
      <c r="L3816">
        <v>3811</v>
      </c>
      <c r="M3816">
        <v>2.9932E-2</v>
      </c>
      <c r="N3816">
        <v>6032.7608289999998</v>
      </c>
    </row>
    <row r="3817" spans="12:14" x14ac:dyDescent="0.55000000000000004">
      <c r="L3817">
        <v>3812</v>
      </c>
      <c r="M3817">
        <v>2.9932E-2</v>
      </c>
      <c r="N3817">
        <v>6032.7608289999998</v>
      </c>
    </row>
    <row r="3818" spans="12:14" x14ac:dyDescent="0.55000000000000004">
      <c r="L3818">
        <v>3813</v>
      </c>
      <c r="M3818">
        <v>2.9932E-2</v>
      </c>
      <c r="N3818">
        <v>6032.7608289999998</v>
      </c>
    </row>
    <row r="3819" spans="12:14" x14ac:dyDescent="0.55000000000000004">
      <c r="L3819">
        <v>3814</v>
      </c>
      <c r="M3819">
        <v>2.9932E-2</v>
      </c>
      <c r="N3819">
        <v>6032.7608289999998</v>
      </c>
    </row>
    <row r="3820" spans="12:14" x14ac:dyDescent="0.55000000000000004">
      <c r="L3820">
        <v>3815</v>
      </c>
      <c r="M3820">
        <v>2.9932E-2</v>
      </c>
      <c r="N3820">
        <v>6032.7608289999998</v>
      </c>
    </row>
    <row r="3821" spans="12:14" x14ac:dyDescent="0.55000000000000004">
      <c r="L3821">
        <v>3816</v>
      </c>
      <c r="M3821">
        <v>2.9932E-2</v>
      </c>
      <c r="N3821">
        <v>6032.7608289999998</v>
      </c>
    </row>
    <row r="3822" spans="12:14" x14ac:dyDescent="0.55000000000000004">
      <c r="L3822">
        <v>3817</v>
      </c>
      <c r="M3822">
        <v>2.9932E-2</v>
      </c>
      <c r="N3822">
        <v>6032.7608289999998</v>
      </c>
    </row>
    <row r="3823" spans="12:14" x14ac:dyDescent="0.55000000000000004">
      <c r="L3823">
        <v>3818</v>
      </c>
      <c r="M3823">
        <v>2.9932E-2</v>
      </c>
      <c r="N3823">
        <v>6032.7608289999998</v>
      </c>
    </row>
    <row r="3824" spans="12:14" x14ac:dyDescent="0.55000000000000004">
      <c r="L3824">
        <v>3819</v>
      </c>
      <c r="M3824">
        <v>2.9932E-2</v>
      </c>
      <c r="N3824">
        <v>6032.7608289999998</v>
      </c>
    </row>
    <row r="3825" spans="12:14" x14ac:dyDescent="0.55000000000000004">
      <c r="L3825">
        <v>3820</v>
      </c>
      <c r="M3825">
        <v>2.9932E-2</v>
      </c>
      <c r="N3825">
        <v>6032.7608289999998</v>
      </c>
    </row>
    <row r="3826" spans="12:14" x14ac:dyDescent="0.55000000000000004">
      <c r="L3826">
        <v>3821</v>
      </c>
      <c r="M3826">
        <v>2.9932E-2</v>
      </c>
      <c r="N3826">
        <v>6032.7608289999998</v>
      </c>
    </row>
    <row r="3827" spans="12:14" x14ac:dyDescent="0.55000000000000004">
      <c r="L3827">
        <v>3822</v>
      </c>
      <c r="M3827">
        <v>2.9932E-2</v>
      </c>
      <c r="N3827">
        <v>6032.7608289999998</v>
      </c>
    </row>
    <row r="3828" spans="12:14" x14ac:dyDescent="0.55000000000000004">
      <c r="L3828">
        <v>3823</v>
      </c>
      <c r="M3828">
        <v>2.9932E-2</v>
      </c>
      <c r="N3828">
        <v>6032.7608289999998</v>
      </c>
    </row>
    <row r="3829" spans="12:14" x14ac:dyDescent="0.55000000000000004">
      <c r="L3829">
        <v>3824</v>
      </c>
      <c r="M3829">
        <v>2.9932E-2</v>
      </c>
      <c r="N3829">
        <v>6032.7608289999998</v>
      </c>
    </row>
    <row r="3830" spans="12:14" x14ac:dyDescent="0.55000000000000004">
      <c r="L3830">
        <v>3825</v>
      </c>
      <c r="M3830">
        <v>2.9932E-2</v>
      </c>
      <c r="N3830">
        <v>6032.7608289999998</v>
      </c>
    </row>
    <row r="3831" spans="12:14" x14ac:dyDescent="0.55000000000000004">
      <c r="L3831">
        <v>3826</v>
      </c>
      <c r="M3831">
        <v>2.9932E-2</v>
      </c>
      <c r="N3831">
        <v>6032.7608289999998</v>
      </c>
    </row>
    <row r="3832" spans="12:14" x14ac:dyDescent="0.55000000000000004">
      <c r="L3832">
        <v>3827</v>
      </c>
      <c r="M3832">
        <v>2.9932E-2</v>
      </c>
      <c r="N3832">
        <v>6032.7608289999998</v>
      </c>
    </row>
    <row r="3833" spans="12:14" x14ac:dyDescent="0.55000000000000004">
      <c r="L3833">
        <v>3828</v>
      </c>
      <c r="M3833">
        <v>2.9932E-2</v>
      </c>
      <c r="N3833">
        <v>6032.7608289999998</v>
      </c>
    </row>
    <row r="3834" spans="12:14" x14ac:dyDescent="0.55000000000000004">
      <c r="L3834">
        <v>3829</v>
      </c>
      <c r="M3834">
        <v>2.9932E-2</v>
      </c>
      <c r="N3834">
        <v>6032.7608289999998</v>
      </c>
    </row>
    <row r="3835" spans="12:14" x14ac:dyDescent="0.55000000000000004">
      <c r="L3835">
        <v>3830</v>
      </c>
      <c r="M3835">
        <v>2.9932E-2</v>
      </c>
      <c r="N3835">
        <v>6032.7608289999998</v>
      </c>
    </row>
    <row r="3836" spans="12:14" x14ac:dyDescent="0.55000000000000004">
      <c r="L3836">
        <v>3831</v>
      </c>
      <c r="M3836">
        <v>2.9932E-2</v>
      </c>
      <c r="N3836">
        <v>6032.7608289999998</v>
      </c>
    </row>
    <row r="3837" spans="12:14" x14ac:dyDescent="0.55000000000000004">
      <c r="L3837">
        <v>3832</v>
      </c>
      <c r="M3837">
        <v>2.9932E-2</v>
      </c>
      <c r="N3837">
        <v>6032.7608289999998</v>
      </c>
    </row>
    <row r="3838" spans="12:14" x14ac:dyDescent="0.55000000000000004">
      <c r="L3838">
        <v>3833</v>
      </c>
      <c r="M3838">
        <v>2.9932E-2</v>
      </c>
      <c r="N3838">
        <v>6032.7608289999998</v>
      </c>
    </row>
    <row r="3839" spans="12:14" x14ac:dyDescent="0.55000000000000004">
      <c r="L3839">
        <v>3834</v>
      </c>
      <c r="M3839">
        <v>2.9932E-2</v>
      </c>
      <c r="N3839">
        <v>6032.7608289999998</v>
      </c>
    </row>
    <row r="3840" spans="12:14" x14ac:dyDescent="0.55000000000000004">
      <c r="L3840">
        <v>3835</v>
      </c>
      <c r="M3840">
        <v>2.9932E-2</v>
      </c>
      <c r="N3840">
        <v>6032.7608289999998</v>
      </c>
    </row>
    <row r="3841" spans="12:14" x14ac:dyDescent="0.55000000000000004">
      <c r="L3841">
        <v>3836</v>
      </c>
      <c r="M3841">
        <v>2.9932E-2</v>
      </c>
      <c r="N3841">
        <v>6032.7608289999998</v>
      </c>
    </row>
    <row r="3842" spans="12:14" x14ac:dyDescent="0.55000000000000004">
      <c r="L3842">
        <v>3837</v>
      </c>
      <c r="M3842">
        <v>2.9932E-2</v>
      </c>
      <c r="N3842">
        <v>6032.7608289999998</v>
      </c>
    </row>
    <row r="3843" spans="12:14" x14ac:dyDescent="0.55000000000000004">
      <c r="L3843">
        <v>3838</v>
      </c>
      <c r="M3843">
        <v>2.9932E-2</v>
      </c>
      <c r="N3843">
        <v>6032.7608289999998</v>
      </c>
    </row>
    <row r="3844" spans="12:14" x14ac:dyDescent="0.55000000000000004">
      <c r="L3844">
        <v>3839</v>
      </c>
      <c r="M3844">
        <v>2.9932E-2</v>
      </c>
      <c r="N3844">
        <v>6032.7608289999998</v>
      </c>
    </row>
    <row r="3845" spans="12:14" x14ac:dyDescent="0.55000000000000004">
      <c r="L3845">
        <v>3840</v>
      </c>
      <c r="M3845">
        <v>2.9932E-2</v>
      </c>
      <c r="N3845">
        <v>6032.7608289999998</v>
      </c>
    </row>
    <row r="3846" spans="12:14" x14ac:dyDescent="0.55000000000000004">
      <c r="L3846">
        <v>3841</v>
      </c>
      <c r="M3846">
        <v>2.9932E-2</v>
      </c>
      <c r="N3846">
        <v>6032.7608289999998</v>
      </c>
    </row>
    <row r="3847" spans="12:14" x14ac:dyDescent="0.55000000000000004">
      <c r="L3847">
        <v>3842</v>
      </c>
      <c r="M3847">
        <v>2.9932E-2</v>
      </c>
      <c r="N3847">
        <v>6032.7608289999998</v>
      </c>
    </row>
    <row r="3848" spans="12:14" x14ac:dyDescent="0.55000000000000004">
      <c r="L3848">
        <v>3843</v>
      </c>
      <c r="M3848">
        <v>2.9932E-2</v>
      </c>
      <c r="N3848">
        <v>6032.7608289999998</v>
      </c>
    </row>
    <row r="3849" spans="12:14" x14ac:dyDescent="0.55000000000000004">
      <c r="L3849">
        <v>3844</v>
      </c>
      <c r="M3849">
        <v>2.9932E-2</v>
      </c>
      <c r="N3849">
        <v>6032.7608289999998</v>
      </c>
    </row>
    <row r="3850" spans="12:14" x14ac:dyDescent="0.55000000000000004">
      <c r="L3850">
        <v>3845</v>
      </c>
      <c r="M3850">
        <v>2.9932E-2</v>
      </c>
      <c r="N3850">
        <v>6032.7608289999998</v>
      </c>
    </row>
    <row r="3851" spans="12:14" x14ac:dyDescent="0.55000000000000004">
      <c r="L3851">
        <v>3846</v>
      </c>
      <c r="M3851">
        <v>2.9932E-2</v>
      </c>
      <c r="N3851">
        <v>6032.7608289999998</v>
      </c>
    </row>
    <row r="3852" spans="12:14" x14ac:dyDescent="0.55000000000000004">
      <c r="L3852">
        <v>3847</v>
      </c>
      <c r="M3852">
        <v>2.9932E-2</v>
      </c>
      <c r="N3852">
        <v>6032.7608289999998</v>
      </c>
    </row>
    <row r="3853" spans="12:14" x14ac:dyDescent="0.55000000000000004">
      <c r="L3853">
        <v>3848</v>
      </c>
      <c r="M3853">
        <v>2.9932E-2</v>
      </c>
      <c r="N3853">
        <v>6032.7608289999998</v>
      </c>
    </row>
    <row r="3854" spans="12:14" x14ac:dyDescent="0.55000000000000004">
      <c r="L3854">
        <v>3849</v>
      </c>
      <c r="M3854">
        <v>2.9932E-2</v>
      </c>
      <c r="N3854">
        <v>6032.7608289999998</v>
      </c>
    </row>
    <row r="3855" spans="12:14" x14ac:dyDescent="0.55000000000000004">
      <c r="L3855">
        <v>3850</v>
      </c>
      <c r="M3855">
        <v>2.9932E-2</v>
      </c>
      <c r="N3855">
        <v>6032.7608289999998</v>
      </c>
    </row>
    <row r="3856" spans="12:14" x14ac:dyDescent="0.55000000000000004">
      <c r="L3856">
        <v>3851</v>
      </c>
      <c r="M3856">
        <v>2.9932E-2</v>
      </c>
      <c r="N3856">
        <v>6032.7608289999998</v>
      </c>
    </row>
    <row r="3857" spans="12:14" x14ac:dyDescent="0.55000000000000004">
      <c r="L3857">
        <v>3852</v>
      </c>
      <c r="M3857">
        <v>2.9932E-2</v>
      </c>
      <c r="N3857">
        <v>6032.7608289999998</v>
      </c>
    </row>
    <row r="3858" spans="12:14" x14ac:dyDescent="0.55000000000000004">
      <c r="L3858">
        <v>3853</v>
      </c>
      <c r="M3858">
        <v>2.9932E-2</v>
      </c>
      <c r="N3858">
        <v>6032.7608289999998</v>
      </c>
    </row>
    <row r="3859" spans="12:14" x14ac:dyDescent="0.55000000000000004">
      <c r="L3859">
        <v>3854</v>
      </c>
      <c r="M3859">
        <v>2.9932E-2</v>
      </c>
      <c r="N3859">
        <v>6032.7608289999998</v>
      </c>
    </row>
    <row r="3860" spans="12:14" x14ac:dyDescent="0.55000000000000004">
      <c r="L3860">
        <v>3855</v>
      </c>
      <c r="M3860">
        <v>2.9932E-2</v>
      </c>
      <c r="N3860">
        <v>6032.7608289999998</v>
      </c>
    </row>
    <row r="3861" spans="12:14" x14ac:dyDescent="0.55000000000000004">
      <c r="L3861">
        <v>3856</v>
      </c>
      <c r="M3861">
        <v>2.9932E-2</v>
      </c>
      <c r="N3861">
        <v>6032.7608289999998</v>
      </c>
    </row>
    <row r="3862" spans="12:14" x14ac:dyDescent="0.55000000000000004">
      <c r="L3862">
        <v>3857</v>
      </c>
      <c r="M3862">
        <v>2.9932E-2</v>
      </c>
      <c r="N3862">
        <v>6032.7608289999998</v>
      </c>
    </row>
    <row r="3863" spans="12:14" x14ac:dyDescent="0.55000000000000004">
      <c r="L3863">
        <v>3858</v>
      </c>
      <c r="M3863">
        <v>2.9932E-2</v>
      </c>
      <c r="N3863">
        <v>6032.7608289999998</v>
      </c>
    </row>
    <row r="3864" spans="12:14" x14ac:dyDescent="0.55000000000000004">
      <c r="L3864">
        <v>3859</v>
      </c>
      <c r="M3864">
        <v>2.9932E-2</v>
      </c>
      <c r="N3864">
        <v>6032.7608289999998</v>
      </c>
    </row>
    <row r="3865" spans="12:14" x14ac:dyDescent="0.55000000000000004">
      <c r="L3865">
        <v>3860</v>
      </c>
      <c r="M3865">
        <v>2.9932E-2</v>
      </c>
      <c r="N3865">
        <v>6032.7608289999998</v>
      </c>
    </row>
    <row r="3866" spans="12:14" x14ac:dyDescent="0.55000000000000004">
      <c r="L3866">
        <v>3861</v>
      </c>
      <c r="M3866">
        <v>2.9932E-2</v>
      </c>
      <c r="N3866">
        <v>6032.7608289999998</v>
      </c>
    </row>
    <row r="3867" spans="12:14" x14ac:dyDescent="0.55000000000000004">
      <c r="L3867">
        <v>3862</v>
      </c>
      <c r="M3867">
        <v>2.9932E-2</v>
      </c>
      <c r="N3867">
        <v>6032.7608289999998</v>
      </c>
    </row>
    <row r="3868" spans="12:14" x14ac:dyDescent="0.55000000000000004">
      <c r="L3868">
        <v>3863</v>
      </c>
      <c r="M3868">
        <v>2.9932E-2</v>
      </c>
      <c r="N3868">
        <v>6032.7608289999998</v>
      </c>
    </row>
    <row r="3869" spans="12:14" x14ac:dyDescent="0.55000000000000004">
      <c r="L3869">
        <v>3864</v>
      </c>
      <c r="M3869">
        <v>2.9932E-2</v>
      </c>
      <c r="N3869">
        <v>6032.7608289999998</v>
      </c>
    </row>
    <row r="3870" spans="12:14" x14ac:dyDescent="0.55000000000000004">
      <c r="L3870">
        <v>3865</v>
      </c>
      <c r="M3870">
        <v>2.9932E-2</v>
      </c>
      <c r="N3870">
        <v>6032.7608289999998</v>
      </c>
    </row>
    <row r="3871" spans="12:14" x14ac:dyDescent="0.55000000000000004">
      <c r="L3871">
        <v>3866</v>
      </c>
      <c r="M3871">
        <v>2.9932E-2</v>
      </c>
      <c r="N3871">
        <v>6032.7608289999998</v>
      </c>
    </row>
    <row r="3872" spans="12:14" x14ac:dyDescent="0.55000000000000004">
      <c r="L3872">
        <v>3867</v>
      </c>
      <c r="M3872">
        <v>2.9932E-2</v>
      </c>
      <c r="N3872">
        <v>6032.7608289999998</v>
      </c>
    </row>
    <row r="3873" spans="12:14" x14ac:dyDescent="0.55000000000000004">
      <c r="L3873">
        <v>3868</v>
      </c>
      <c r="M3873">
        <v>2.9932E-2</v>
      </c>
      <c r="N3873">
        <v>6032.7608289999998</v>
      </c>
    </row>
    <row r="3874" spans="12:14" x14ac:dyDescent="0.55000000000000004">
      <c r="L3874">
        <v>3869</v>
      </c>
      <c r="M3874">
        <v>2.9932E-2</v>
      </c>
      <c r="N3874">
        <v>6032.7608289999998</v>
      </c>
    </row>
    <row r="3875" spans="12:14" x14ac:dyDescent="0.55000000000000004">
      <c r="L3875">
        <v>3870</v>
      </c>
      <c r="M3875">
        <v>2.9932E-2</v>
      </c>
      <c r="N3875">
        <v>6032.7608289999998</v>
      </c>
    </row>
    <row r="3876" spans="12:14" x14ac:dyDescent="0.55000000000000004">
      <c r="L3876">
        <v>3871</v>
      </c>
      <c r="M3876">
        <v>2.9932E-2</v>
      </c>
      <c r="N3876">
        <v>6032.7608289999998</v>
      </c>
    </row>
    <row r="3877" spans="12:14" x14ac:dyDescent="0.55000000000000004">
      <c r="L3877">
        <v>3872</v>
      </c>
      <c r="M3877">
        <v>2.9932E-2</v>
      </c>
      <c r="N3877">
        <v>6032.7608289999998</v>
      </c>
    </row>
    <row r="3878" spans="12:14" x14ac:dyDescent="0.55000000000000004">
      <c r="L3878">
        <v>3873</v>
      </c>
      <c r="M3878">
        <v>2.9932E-2</v>
      </c>
      <c r="N3878">
        <v>6032.7608289999998</v>
      </c>
    </row>
    <row r="3879" spans="12:14" x14ac:dyDescent="0.55000000000000004">
      <c r="L3879">
        <v>3874</v>
      </c>
      <c r="M3879">
        <v>2.9932E-2</v>
      </c>
      <c r="N3879">
        <v>6032.7608289999998</v>
      </c>
    </row>
    <row r="3880" spans="12:14" x14ac:dyDescent="0.55000000000000004">
      <c r="L3880">
        <v>3875</v>
      </c>
      <c r="M3880">
        <v>2.9932E-2</v>
      </c>
      <c r="N3880">
        <v>6032.7608289999998</v>
      </c>
    </row>
    <row r="3881" spans="12:14" x14ac:dyDescent="0.55000000000000004">
      <c r="L3881">
        <v>3876</v>
      </c>
      <c r="M3881">
        <v>2.9932E-2</v>
      </c>
      <c r="N3881">
        <v>6032.7608289999998</v>
      </c>
    </row>
    <row r="3882" spans="12:14" x14ac:dyDescent="0.55000000000000004">
      <c r="L3882">
        <v>3877</v>
      </c>
      <c r="M3882">
        <v>2.9932E-2</v>
      </c>
      <c r="N3882">
        <v>6032.7608289999998</v>
      </c>
    </row>
    <row r="3883" spans="12:14" x14ac:dyDescent="0.55000000000000004">
      <c r="L3883">
        <v>3878</v>
      </c>
      <c r="M3883">
        <v>2.9932E-2</v>
      </c>
      <c r="N3883">
        <v>6032.7608289999998</v>
      </c>
    </row>
    <row r="3884" spans="12:14" x14ac:dyDescent="0.55000000000000004">
      <c r="L3884">
        <v>3879</v>
      </c>
      <c r="M3884">
        <v>2.9932E-2</v>
      </c>
      <c r="N3884">
        <v>6032.7608289999998</v>
      </c>
    </row>
    <row r="3885" spans="12:14" x14ac:dyDescent="0.55000000000000004">
      <c r="L3885">
        <v>3880</v>
      </c>
      <c r="M3885">
        <v>2.9932E-2</v>
      </c>
      <c r="N3885">
        <v>6032.7608289999998</v>
      </c>
    </row>
    <row r="3886" spans="12:14" x14ac:dyDescent="0.55000000000000004">
      <c r="L3886">
        <v>3881</v>
      </c>
      <c r="M3886">
        <v>2.9932E-2</v>
      </c>
      <c r="N3886">
        <v>6032.7608289999998</v>
      </c>
    </row>
    <row r="3887" spans="12:14" x14ac:dyDescent="0.55000000000000004">
      <c r="L3887">
        <v>3882</v>
      </c>
      <c r="M3887">
        <v>2.9932E-2</v>
      </c>
      <c r="N3887">
        <v>6032.7608289999998</v>
      </c>
    </row>
    <row r="3888" spans="12:14" x14ac:dyDescent="0.55000000000000004">
      <c r="L3888">
        <v>3883</v>
      </c>
      <c r="M3888">
        <v>2.9932E-2</v>
      </c>
      <c r="N3888">
        <v>6032.7608289999998</v>
      </c>
    </row>
    <row r="3889" spans="12:14" x14ac:dyDescent="0.55000000000000004">
      <c r="L3889">
        <v>3884</v>
      </c>
      <c r="M3889">
        <v>2.9932E-2</v>
      </c>
      <c r="N3889">
        <v>6032.7608289999998</v>
      </c>
    </row>
    <row r="3890" spans="12:14" x14ac:dyDescent="0.55000000000000004">
      <c r="L3890">
        <v>3885</v>
      </c>
      <c r="M3890">
        <v>2.9932E-2</v>
      </c>
      <c r="N3890">
        <v>6032.7608289999998</v>
      </c>
    </row>
    <row r="3891" spans="12:14" x14ac:dyDescent="0.55000000000000004">
      <c r="L3891">
        <v>3886</v>
      </c>
      <c r="M3891">
        <v>2.9932E-2</v>
      </c>
      <c r="N3891">
        <v>6032.7608289999998</v>
      </c>
    </row>
    <row r="3892" spans="12:14" x14ac:dyDescent="0.55000000000000004">
      <c r="L3892">
        <v>3887</v>
      </c>
      <c r="M3892">
        <v>2.9932E-2</v>
      </c>
      <c r="N3892">
        <v>6032.7608289999998</v>
      </c>
    </row>
    <row r="3893" spans="12:14" x14ac:dyDescent="0.55000000000000004">
      <c r="L3893">
        <v>3888</v>
      </c>
      <c r="M3893">
        <v>2.9932E-2</v>
      </c>
      <c r="N3893">
        <v>6032.7608289999998</v>
      </c>
    </row>
    <row r="3894" spans="12:14" x14ac:dyDescent="0.55000000000000004">
      <c r="L3894">
        <v>3889</v>
      </c>
      <c r="M3894">
        <v>2.9932E-2</v>
      </c>
      <c r="N3894">
        <v>6032.7608289999998</v>
      </c>
    </row>
    <row r="3895" spans="12:14" x14ac:dyDescent="0.55000000000000004">
      <c r="L3895">
        <v>3890</v>
      </c>
      <c r="M3895">
        <v>2.9932E-2</v>
      </c>
      <c r="N3895">
        <v>6032.7608289999998</v>
      </c>
    </row>
    <row r="3896" spans="12:14" x14ac:dyDescent="0.55000000000000004">
      <c r="L3896">
        <v>3891</v>
      </c>
      <c r="M3896">
        <v>2.9932E-2</v>
      </c>
      <c r="N3896">
        <v>6032.7608289999998</v>
      </c>
    </row>
    <row r="3897" spans="12:14" x14ac:dyDescent="0.55000000000000004">
      <c r="L3897">
        <v>3892</v>
      </c>
      <c r="M3897">
        <v>2.9932E-2</v>
      </c>
      <c r="N3897">
        <v>6032.7608289999998</v>
      </c>
    </row>
    <row r="3898" spans="12:14" x14ac:dyDescent="0.55000000000000004">
      <c r="L3898">
        <v>3893</v>
      </c>
      <c r="M3898">
        <v>2.9932E-2</v>
      </c>
      <c r="N3898">
        <v>6032.7608289999998</v>
      </c>
    </row>
    <row r="3899" spans="12:14" x14ac:dyDescent="0.55000000000000004">
      <c r="L3899">
        <v>3894</v>
      </c>
      <c r="M3899">
        <v>2.9932E-2</v>
      </c>
      <c r="N3899">
        <v>6032.7608289999998</v>
      </c>
    </row>
    <row r="3900" spans="12:14" x14ac:dyDescent="0.55000000000000004">
      <c r="L3900">
        <v>3895</v>
      </c>
      <c r="M3900">
        <v>2.9932E-2</v>
      </c>
      <c r="N3900">
        <v>6032.7608289999998</v>
      </c>
    </row>
    <row r="3901" spans="12:14" x14ac:dyDescent="0.55000000000000004">
      <c r="L3901">
        <v>3896</v>
      </c>
      <c r="M3901">
        <v>2.9932E-2</v>
      </c>
      <c r="N3901">
        <v>6032.7608289999998</v>
      </c>
    </row>
    <row r="3902" spans="12:14" x14ac:dyDescent="0.55000000000000004">
      <c r="L3902">
        <v>3897</v>
      </c>
      <c r="M3902">
        <v>2.9932E-2</v>
      </c>
      <c r="N3902">
        <v>6032.7608289999998</v>
      </c>
    </row>
    <row r="3903" spans="12:14" x14ac:dyDescent="0.55000000000000004">
      <c r="L3903">
        <v>3898</v>
      </c>
      <c r="M3903">
        <v>2.9932E-2</v>
      </c>
      <c r="N3903">
        <v>6032.7608289999998</v>
      </c>
    </row>
    <row r="3904" spans="12:14" x14ac:dyDescent="0.55000000000000004">
      <c r="L3904">
        <v>3899</v>
      </c>
      <c r="M3904">
        <v>2.9932E-2</v>
      </c>
      <c r="N3904">
        <v>6032.7608289999998</v>
      </c>
    </row>
    <row r="3905" spans="12:14" x14ac:dyDescent="0.55000000000000004">
      <c r="L3905">
        <v>3900</v>
      </c>
      <c r="M3905">
        <v>2.9932E-2</v>
      </c>
      <c r="N3905">
        <v>6032.7608289999998</v>
      </c>
    </row>
    <row r="3906" spans="12:14" x14ac:dyDescent="0.55000000000000004">
      <c r="L3906">
        <v>3901</v>
      </c>
      <c r="M3906">
        <v>2.9932E-2</v>
      </c>
      <c r="N3906">
        <v>6032.7608289999998</v>
      </c>
    </row>
    <row r="3907" spans="12:14" x14ac:dyDescent="0.55000000000000004">
      <c r="L3907">
        <v>3902</v>
      </c>
      <c r="M3907">
        <v>2.9932E-2</v>
      </c>
      <c r="N3907">
        <v>6032.7608289999998</v>
      </c>
    </row>
    <row r="3908" spans="12:14" x14ac:dyDescent="0.55000000000000004">
      <c r="L3908">
        <v>3903</v>
      </c>
      <c r="M3908">
        <v>2.9932E-2</v>
      </c>
      <c r="N3908">
        <v>6032.7608289999998</v>
      </c>
    </row>
    <row r="3909" spans="12:14" x14ac:dyDescent="0.55000000000000004">
      <c r="L3909">
        <v>3904</v>
      </c>
      <c r="M3909">
        <v>2.9932E-2</v>
      </c>
      <c r="N3909">
        <v>6032.7608289999998</v>
      </c>
    </row>
    <row r="3910" spans="12:14" x14ac:dyDescent="0.55000000000000004">
      <c r="L3910">
        <v>3905</v>
      </c>
      <c r="M3910">
        <v>2.9932E-2</v>
      </c>
      <c r="N3910">
        <v>6032.7608289999998</v>
      </c>
    </row>
    <row r="3911" spans="12:14" x14ac:dyDescent="0.55000000000000004">
      <c r="L3911">
        <v>3906</v>
      </c>
      <c r="M3911">
        <v>2.9932E-2</v>
      </c>
      <c r="N3911">
        <v>6032.7608289999998</v>
      </c>
    </row>
    <row r="3912" spans="12:14" x14ac:dyDescent="0.55000000000000004">
      <c r="L3912">
        <v>3907</v>
      </c>
      <c r="M3912">
        <v>2.9932E-2</v>
      </c>
      <c r="N3912">
        <v>6032.7608289999998</v>
      </c>
    </row>
    <row r="3913" spans="12:14" x14ac:dyDescent="0.55000000000000004">
      <c r="L3913">
        <v>3908</v>
      </c>
      <c r="M3913">
        <v>2.9932E-2</v>
      </c>
      <c r="N3913">
        <v>6032.7608289999998</v>
      </c>
    </row>
    <row r="3914" spans="12:14" x14ac:dyDescent="0.55000000000000004">
      <c r="L3914">
        <v>3909</v>
      </c>
      <c r="M3914">
        <v>2.9932E-2</v>
      </c>
      <c r="N3914">
        <v>6032.7608289999998</v>
      </c>
    </row>
    <row r="3915" spans="12:14" x14ac:dyDescent="0.55000000000000004">
      <c r="L3915">
        <v>3910</v>
      </c>
      <c r="M3915">
        <v>2.9932E-2</v>
      </c>
      <c r="N3915">
        <v>6032.7608289999998</v>
      </c>
    </row>
    <row r="3916" spans="12:14" x14ac:dyDescent="0.55000000000000004">
      <c r="L3916">
        <v>3911</v>
      </c>
      <c r="M3916">
        <v>2.9932E-2</v>
      </c>
      <c r="N3916">
        <v>6032.7608289999998</v>
      </c>
    </row>
    <row r="3917" spans="12:14" x14ac:dyDescent="0.55000000000000004">
      <c r="L3917">
        <v>3912</v>
      </c>
      <c r="M3917">
        <v>2.9932E-2</v>
      </c>
      <c r="N3917">
        <v>6032.7608289999998</v>
      </c>
    </row>
    <row r="3918" spans="12:14" x14ac:dyDescent="0.55000000000000004">
      <c r="L3918">
        <v>3913</v>
      </c>
      <c r="M3918">
        <v>2.9932E-2</v>
      </c>
      <c r="N3918">
        <v>6032.7608289999998</v>
      </c>
    </row>
    <row r="3919" spans="12:14" x14ac:dyDescent="0.55000000000000004">
      <c r="L3919">
        <v>3914</v>
      </c>
      <c r="M3919">
        <v>2.9932E-2</v>
      </c>
      <c r="N3919">
        <v>6032.7608289999998</v>
      </c>
    </row>
    <row r="3920" spans="12:14" x14ac:dyDescent="0.55000000000000004">
      <c r="L3920">
        <v>3915</v>
      </c>
      <c r="M3920">
        <v>2.9932E-2</v>
      </c>
      <c r="N3920">
        <v>6032.7608289999998</v>
      </c>
    </row>
    <row r="3921" spans="12:14" x14ac:dyDescent="0.55000000000000004">
      <c r="L3921">
        <v>3916</v>
      </c>
      <c r="M3921">
        <v>2.9932E-2</v>
      </c>
      <c r="N3921">
        <v>6032.7608289999998</v>
      </c>
    </row>
    <row r="3922" spans="12:14" x14ac:dyDescent="0.55000000000000004">
      <c r="L3922">
        <v>3917</v>
      </c>
      <c r="M3922">
        <v>2.9932E-2</v>
      </c>
      <c r="N3922">
        <v>6032.7608289999998</v>
      </c>
    </row>
    <row r="3923" spans="12:14" x14ac:dyDescent="0.55000000000000004">
      <c r="L3923">
        <v>3918</v>
      </c>
      <c r="M3923">
        <v>2.9932E-2</v>
      </c>
      <c r="N3923">
        <v>6032.7608289999998</v>
      </c>
    </row>
    <row r="3924" spans="12:14" x14ac:dyDescent="0.55000000000000004">
      <c r="L3924">
        <v>3919</v>
      </c>
      <c r="M3924">
        <v>2.9932E-2</v>
      </c>
      <c r="N3924">
        <v>6032.7608289999998</v>
      </c>
    </row>
    <row r="3925" spans="12:14" x14ac:dyDescent="0.55000000000000004">
      <c r="L3925">
        <v>3920</v>
      </c>
      <c r="M3925">
        <v>2.9932E-2</v>
      </c>
      <c r="N3925">
        <v>6032.7608289999998</v>
      </c>
    </row>
    <row r="3926" spans="12:14" x14ac:dyDescent="0.55000000000000004">
      <c r="L3926">
        <v>3921</v>
      </c>
      <c r="M3926">
        <v>2.9932E-2</v>
      </c>
      <c r="N3926">
        <v>6032.7608289999998</v>
      </c>
    </row>
    <row r="3927" spans="12:14" x14ac:dyDescent="0.55000000000000004">
      <c r="L3927">
        <v>3922</v>
      </c>
      <c r="M3927">
        <v>2.9932E-2</v>
      </c>
      <c r="N3927">
        <v>6032.7608289999998</v>
      </c>
    </row>
    <row r="3928" spans="12:14" x14ac:dyDescent="0.55000000000000004">
      <c r="L3928">
        <v>3923</v>
      </c>
      <c r="M3928">
        <v>2.9932E-2</v>
      </c>
      <c r="N3928">
        <v>6032.7608289999998</v>
      </c>
    </row>
    <row r="3929" spans="12:14" x14ac:dyDescent="0.55000000000000004">
      <c r="L3929">
        <v>3924</v>
      </c>
      <c r="M3929">
        <v>2.9932E-2</v>
      </c>
      <c r="N3929">
        <v>6032.7608289999998</v>
      </c>
    </row>
    <row r="3930" spans="12:14" x14ac:dyDescent="0.55000000000000004">
      <c r="L3930">
        <v>3925</v>
      </c>
      <c r="M3930">
        <v>2.9932E-2</v>
      </c>
      <c r="N3930">
        <v>6032.7608289999998</v>
      </c>
    </row>
    <row r="3931" spans="12:14" x14ac:dyDescent="0.55000000000000004">
      <c r="L3931">
        <v>3926</v>
      </c>
      <c r="M3931">
        <v>2.9932E-2</v>
      </c>
      <c r="N3931">
        <v>6032.7608289999998</v>
      </c>
    </row>
    <row r="3932" spans="12:14" x14ac:dyDescent="0.55000000000000004">
      <c r="L3932">
        <v>3927</v>
      </c>
      <c r="M3932">
        <v>2.9932E-2</v>
      </c>
      <c r="N3932">
        <v>6032.7608289999998</v>
      </c>
    </row>
    <row r="3933" spans="12:14" x14ac:dyDescent="0.55000000000000004">
      <c r="L3933">
        <v>3928</v>
      </c>
      <c r="M3933">
        <v>2.9932E-2</v>
      </c>
      <c r="N3933">
        <v>6032.7608289999998</v>
      </c>
    </row>
    <row r="3934" spans="12:14" x14ac:dyDescent="0.55000000000000004">
      <c r="L3934">
        <v>3929</v>
      </c>
      <c r="M3934">
        <v>2.9932E-2</v>
      </c>
      <c r="N3934">
        <v>6032.7608289999998</v>
      </c>
    </row>
    <row r="3935" spans="12:14" x14ac:dyDescent="0.55000000000000004">
      <c r="L3935">
        <v>3930</v>
      </c>
      <c r="M3935">
        <v>2.9932E-2</v>
      </c>
      <c r="N3935">
        <v>6032.7608289999998</v>
      </c>
    </row>
    <row r="3936" spans="12:14" x14ac:dyDescent="0.55000000000000004">
      <c r="L3936">
        <v>3931</v>
      </c>
      <c r="M3936">
        <v>2.9932E-2</v>
      </c>
      <c r="N3936">
        <v>6032.7608289999998</v>
      </c>
    </row>
    <row r="3937" spans="12:14" x14ac:dyDescent="0.55000000000000004">
      <c r="L3937">
        <v>3932</v>
      </c>
      <c r="M3937">
        <v>2.9932E-2</v>
      </c>
      <c r="N3937">
        <v>6032.7608289999998</v>
      </c>
    </row>
    <row r="3938" spans="12:14" x14ac:dyDescent="0.55000000000000004">
      <c r="L3938">
        <v>3933</v>
      </c>
      <c r="M3938">
        <v>2.9932E-2</v>
      </c>
      <c r="N3938">
        <v>6032.7608289999998</v>
      </c>
    </row>
    <row r="3939" spans="12:14" x14ac:dyDescent="0.55000000000000004">
      <c r="L3939">
        <v>3934</v>
      </c>
      <c r="M3939">
        <v>2.9932E-2</v>
      </c>
      <c r="N3939">
        <v>6032.7608289999998</v>
      </c>
    </row>
    <row r="3940" spans="12:14" x14ac:dyDescent="0.55000000000000004">
      <c r="L3940">
        <v>3935</v>
      </c>
      <c r="M3940">
        <v>2.9932E-2</v>
      </c>
      <c r="N3940">
        <v>6032.7608289999998</v>
      </c>
    </row>
    <row r="3941" spans="12:14" x14ac:dyDescent="0.55000000000000004">
      <c r="L3941">
        <v>3936</v>
      </c>
      <c r="M3941">
        <v>2.9932E-2</v>
      </c>
      <c r="N3941">
        <v>6032.7608289999998</v>
      </c>
    </row>
    <row r="3942" spans="12:14" x14ac:dyDescent="0.55000000000000004">
      <c r="L3942">
        <v>3937</v>
      </c>
      <c r="M3942">
        <v>2.9932E-2</v>
      </c>
      <c r="N3942">
        <v>6032.7608289999998</v>
      </c>
    </row>
    <row r="3943" spans="12:14" x14ac:dyDescent="0.55000000000000004">
      <c r="L3943">
        <v>3938</v>
      </c>
      <c r="M3943">
        <v>2.9932E-2</v>
      </c>
      <c r="N3943">
        <v>6032.7608289999998</v>
      </c>
    </row>
    <row r="3944" spans="12:14" x14ac:dyDescent="0.55000000000000004">
      <c r="L3944">
        <v>3939</v>
      </c>
      <c r="M3944">
        <v>2.9932E-2</v>
      </c>
      <c r="N3944">
        <v>6032.7608289999998</v>
      </c>
    </row>
    <row r="3945" spans="12:14" x14ac:dyDescent="0.55000000000000004">
      <c r="L3945">
        <v>3940</v>
      </c>
      <c r="M3945">
        <v>2.9932E-2</v>
      </c>
      <c r="N3945">
        <v>6032.7608289999998</v>
      </c>
    </row>
    <row r="3946" spans="12:14" x14ac:dyDescent="0.55000000000000004">
      <c r="L3946">
        <v>3941</v>
      </c>
      <c r="M3946">
        <v>2.9932E-2</v>
      </c>
      <c r="N3946">
        <v>6032.7608289999998</v>
      </c>
    </row>
    <row r="3947" spans="12:14" x14ac:dyDescent="0.55000000000000004">
      <c r="L3947">
        <v>3942</v>
      </c>
      <c r="M3947">
        <v>2.9932E-2</v>
      </c>
      <c r="N3947">
        <v>6032.7608289999998</v>
      </c>
    </row>
    <row r="3948" spans="12:14" x14ac:dyDescent="0.55000000000000004">
      <c r="L3948">
        <v>3943</v>
      </c>
      <c r="M3948">
        <v>2.9932E-2</v>
      </c>
      <c r="N3948">
        <v>6032.7608289999998</v>
      </c>
    </row>
    <row r="3949" spans="12:14" x14ac:dyDescent="0.55000000000000004">
      <c r="L3949">
        <v>3944</v>
      </c>
      <c r="M3949">
        <v>2.9932E-2</v>
      </c>
      <c r="N3949">
        <v>6032.7608289999998</v>
      </c>
    </row>
    <row r="3950" spans="12:14" x14ac:dyDescent="0.55000000000000004">
      <c r="L3950">
        <v>3945</v>
      </c>
      <c r="M3950">
        <v>2.9932E-2</v>
      </c>
      <c r="N3950">
        <v>6032.7608289999998</v>
      </c>
    </row>
    <row r="3951" spans="12:14" x14ac:dyDescent="0.55000000000000004">
      <c r="L3951">
        <v>3946</v>
      </c>
      <c r="M3951">
        <v>2.9932E-2</v>
      </c>
      <c r="N3951">
        <v>6032.7608289999998</v>
      </c>
    </row>
    <row r="3952" spans="12:14" x14ac:dyDescent="0.55000000000000004">
      <c r="L3952">
        <v>3947</v>
      </c>
      <c r="M3952">
        <v>2.9932E-2</v>
      </c>
      <c r="N3952">
        <v>6032.7608289999998</v>
      </c>
    </row>
    <row r="3953" spans="12:14" x14ac:dyDescent="0.55000000000000004">
      <c r="L3953">
        <v>3948</v>
      </c>
      <c r="M3953">
        <v>2.9932E-2</v>
      </c>
      <c r="N3953">
        <v>6032.7608289999998</v>
      </c>
    </row>
    <row r="3954" spans="12:14" x14ac:dyDescent="0.55000000000000004">
      <c r="L3954">
        <v>3949</v>
      </c>
      <c r="M3954">
        <v>2.9932E-2</v>
      </c>
      <c r="N3954">
        <v>6032.7608289999998</v>
      </c>
    </row>
    <row r="3955" spans="12:14" x14ac:dyDescent="0.55000000000000004">
      <c r="L3955">
        <v>3950</v>
      </c>
      <c r="M3955">
        <v>2.9932E-2</v>
      </c>
      <c r="N3955">
        <v>6032.7608289999998</v>
      </c>
    </row>
    <row r="3956" spans="12:14" x14ac:dyDescent="0.55000000000000004">
      <c r="L3956">
        <v>3951</v>
      </c>
      <c r="M3956">
        <v>2.9932E-2</v>
      </c>
      <c r="N3956">
        <v>6032.7608289999998</v>
      </c>
    </row>
    <row r="3957" spans="12:14" x14ac:dyDescent="0.55000000000000004">
      <c r="L3957">
        <v>3952</v>
      </c>
      <c r="M3957">
        <v>2.9932E-2</v>
      </c>
      <c r="N3957">
        <v>6032.7608289999998</v>
      </c>
    </row>
    <row r="3958" spans="12:14" x14ac:dyDescent="0.55000000000000004">
      <c r="L3958">
        <v>3953</v>
      </c>
      <c r="M3958">
        <v>2.9932E-2</v>
      </c>
      <c r="N3958">
        <v>6032.7608289999998</v>
      </c>
    </row>
    <row r="3959" spans="12:14" x14ac:dyDescent="0.55000000000000004">
      <c r="L3959">
        <v>3954</v>
      </c>
      <c r="M3959">
        <v>2.9932E-2</v>
      </c>
      <c r="N3959">
        <v>6032.7608289999998</v>
      </c>
    </row>
    <row r="3960" spans="12:14" x14ac:dyDescent="0.55000000000000004">
      <c r="L3960">
        <v>3955</v>
      </c>
      <c r="M3960">
        <v>2.9932E-2</v>
      </c>
      <c r="N3960">
        <v>6032.7608289999998</v>
      </c>
    </row>
    <row r="3961" spans="12:14" x14ac:dyDescent="0.55000000000000004">
      <c r="L3961">
        <v>3956</v>
      </c>
      <c r="M3961">
        <v>2.9932E-2</v>
      </c>
      <c r="N3961">
        <v>6032.7608289999998</v>
      </c>
    </row>
    <row r="3962" spans="12:14" x14ac:dyDescent="0.55000000000000004">
      <c r="L3962">
        <v>3957</v>
      </c>
      <c r="M3962">
        <v>2.9932E-2</v>
      </c>
      <c r="N3962">
        <v>6032.7608289999998</v>
      </c>
    </row>
    <row r="3963" spans="12:14" x14ac:dyDescent="0.55000000000000004">
      <c r="L3963">
        <v>3958</v>
      </c>
      <c r="M3963">
        <v>2.9932E-2</v>
      </c>
      <c r="N3963">
        <v>6032.7608289999998</v>
      </c>
    </row>
    <row r="3964" spans="12:14" x14ac:dyDescent="0.55000000000000004">
      <c r="L3964">
        <v>3959</v>
      </c>
      <c r="M3964">
        <v>2.9932E-2</v>
      </c>
      <c r="N3964">
        <v>6032.7608289999998</v>
      </c>
    </row>
    <row r="3965" spans="12:14" x14ac:dyDescent="0.55000000000000004">
      <c r="L3965">
        <v>3960</v>
      </c>
      <c r="M3965">
        <v>2.9932E-2</v>
      </c>
      <c r="N3965">
        <v>6032.7608289999998</v>
      </c>
    </row>
    <row r="3966" spans="12:14" x14ac:dyDescent="0.55000000000000004">
      <c r="L3966">
        <v>3961</v>
      </c>
      <c r="M3966">
        <v>2.9932E-2</v>
      </c>
      <c r="N3966">
        <v>6032.7608289999998</v>
      </c>
    </row>
    <row r="3967" spans="12:14" x14ac:dyDescent="0.55000000000000004">
      <c r="L3967">
        <v>3962</v>
      </c>
      <c r="M3967">
        <v>2.9932E-2</v>
      </c>
      <c r="N3967">
        <v>6032.7608289999998</v>
      </c>
    </row>
    <row r="3968" spans="12:14" x14ac:dyDescent="0.55000000000000004">
      <c r="L3968">
        <v>3963</v>
      </c>
      <c r="M3968">
        <v>2.9932E-2</v>
      </c>
      <c r="N3968">
        <v>6032.7608289999998</v>
      </c>
    </row>
    <row r="3969" spans="12:14" x14ac:dyDescent="0.55000000000000004">
      <c r="L3969">
        <v>3964</v>
      </c>
      <c r="M3969">
        <v>2.9932E-2</v>
      </c>
      <c r="N3969">
        <v>6032.7608289999998</v>
      </c>
    </row>
    <row r="3970" spans="12:14" x14ac:dyDescent="0.55000000000000004">
      <c r="L3970">
        <v>3965</v>
      </c>
      <c r="M3970">
        <v>2.9932E-2</v>
      </c>
      <c r="N3970">
        <v>6032.7608289999998</v>
      </c>
    </row>
    <row r="3971" spans="12:14" x14ac:dyDescent="0.55000000000000004">
      <c r="L3971">
        <v>3966</v>
      </c>
      <c r="M3971">
        <v>2.9932E-2</v>
      </c>
      <c r="N3971">
        <v>6032.7608289999998</v>
      </c>
    </row>
    <row r="3972" spans="12:14" x14ac:dyDescent="0.55000000000000004">
      <c r="L3972">
        <v>3967</v>
      </c>
      <c r="M3972">
        <v>2.9932E-2</v>
      </c>
      <c r="N3972">
        <v>6032.7608289999998</v>
      </c>
    </row>
    <row r="3973" spans="12:14" x14ac:dyDescent="0.55000000000000004">
      <c r="L3973">
        <v>3968</v>
      </c>
      <c r="M3973">
        <v>2.9932E-2</v>
      </c>
      <c r="N3973">
        <v>6032.7608289999998</v>
      </c>
    </row>
    <row r="3974" spans="12:14" x14ac:dyDescent="0.55000000000000004">
      <c r="L3974">
        <v>3969</v>
      </c>
      <c r="M3974">
        <v>2.9932E-2</v>
      </c>
      <c r="N3974">
        <v>6032.7608289999998</v>
      </c>
    </row>
    <row r="3975" spans="12:14" x14ac:dyDescent="0.55000000000000004">
      <c r="L3975">
        <v>3970</v>
      </c>
      <c r="M3975">
        <v>2.9932E-2</v>
      </c>
      <c r="N3975">
        <v>6032.7608289999998</v>
      </c>
    </row>
    <row r="3976" spans="12:14" x14ac:dyDescent="0.55000000000000004">
      <c r="L3976">
        <v>3971</v>
      </c>
      <c r="M3976">
        <v>2.9932E-2</v>
      </c>
      <c r="N3976">
        <v>6032.7608289999998</v>
      </c>
    </row>
    <row r="3977" spans="12:14" x14ac:dyDescent="0.55000000000000004">
      <c r="L3977">
        <v>3972</v>
      </c>
      <c r="M3977">
        <v>2.9932E-2</v>
      </c>
      <c r="N3977">
        <v>6032.7608289999998</v>
      </c>
    </row>
    <row r="3978" spans="12:14" x14ac:dyDescent="0.55000000000000004">
      <c r="L3978">
        <v>3973</v>
      </c>
      <c r="M3978">
        <v>2.9932E-2</v>
      </c>
      <c r="N3978">
        <v>6032.7608289999998</v>
      </c>
    </row>
    <row r="3979" spans="12:14" x14ac:dyDescent="0.55000000000000004">
      <c r="L3979">
        <v>3974</v>
      </c>
      <c r="M3979">
        <v>2.9932E-2</v>
      </c>
      <c r="N3979">
        <v>6032.7608289999998</v>
      </c>
    </row>
    <row r="3980" spans="12:14" x14ac:dyDescent="0.55000000000000004">
      <c r="L3980">
        <v>3975</v>
      </c>
      <c r="M3980">
        <v>2.9932E-2</v>
      </c>
      <c r="N3980">
        <v>6032.7608289999998</v>
      </c>
    </row>
    <row r="3981" spans="12:14" x14ac:dyDescent="0.55000000000000004">
      <c r="L3981">
        <v>3976</v>
      </c>
      <c r="M3981">
        <v>2.9932E-2</v>
      </c>
      <c r="N3981">
        <v>6032.7608289999998</v>
      </c>
    </row>
    <row r="3982" spans="12:14" x14ac:dyDescent="0.55000000000000004">
      <c r="L3982">
        <v>3977</v>
      </c>
      <c r="M3982">
        <v>2.9932E-2</v>
      </c>
      <c r="N3982">
        <v>6032.7608289999998</v>
      </c>
    </row>
    <row r="3983" spans="12:14" x14ac:dyDescent="0.55000000000000004">
      <c r="L3983">
        <v>3978</v>
      </c>
      <c r="M3983">
        <v>2.9932E-2</v>
      </c>
      <c r="N3983">
        <v>6032.7608289999998</v>
      </c>
    </row>
    <row r="3984" spans="12:14" x14ac:dyDescent="0.55000000000000004">
      <c r="L3984">
        <v>3979</v>
      </c>
      <c r="M3984">
        <v>2.9932E-2</v>
      </c>
      <c r="N3984">
        <v>6032.7608289999998</v>
      </c>
    </row>
    <row r="3985" spans="12:14" x14ac:dyDescent="0.55000000000000004">
      <c r="L3985">
        <v>3980</v>
      </c>
      <c r="M3985">
        <v>2.9932E-2</v>
      </c>
      <c r="N3985">
        <v>6032.7608289999998</v>
      </c>
    </row>
    <row r="3986" spans="12:14" x14ac:dyDescent="0.55000000000000004">
      <c r="L3986">
        <v>3981</v>
      </c>
      <c r="M3986">
        <v>2.9932E-2</v>
      </c>
      <c r="N3986">
        <v>6032.7608289999998</v>
      </c>
    </row>
    <row r="3987" spans="12:14" x14ac:dyDescent="0.55000000000000004">
      <c r="L3987">
        <v>3982</v>
      </c>
      <c r="M3987">
        <v>2.9932E-2</v>
      </c>
      <c r="N3987">
        <v>6032.7608289999998</v>
      </c>
    </row>
    <row r="3988" spans="12:14" x14ac:dyDescent="0.55000000000000004">
      <c r="L3988">
        <v>3983</v>
      </c>
      <c r="M3988">
        <v>2.9932E-2</v>
      </c>
      <c r="N3988">
        <v>6032.7608289999998</v>
      </c>
    </row>
    <row r="3989" spans="12:14" x14ac:dyDescent="0.55000000000000004">
      <c r="L3989">
        <v>3984</v>
      </c>
      <c r="M3989">
        <v>2.9932E-2</v>
      </c>
      <c r="N3989">
        <v>6032.7608289999998</v>
      </c>
    </row>
    <row r="3990" spans="12:14" x14ac:dyDescent="0.55000000000000004">
      <c r="L3990">
        <v>3985</v>
      </c>
      <c r="M3990">
        <v>2.9932E-2</v>
      </c>
      <c r="N3990">
        <v>6032.7608289999998</v>
      </c>
    </row>
    <row r="3991" spans="12:14" x14ac:dyDescent="0.55000000000000004">
      <c r="L3991">
        <v>3986</v>
      </c>
      <c r="M3991">
        <v>2.9932E-2</v>
      </c>
      <c r="N3991">
        <v>6032.7608289999998</v>
      </c>
    </row>
    <row r="3992" spans="12:14" x14ac:dyDescent="0.55000000000000004">
      <c r="L3992">
        <v>3987</v>
      </c>
      <c r="M3992">
        <v>2.9932E-2</v>
      </c>
      <c r="N3992">
        <v>6032.7608289999998</v>
      </c>
    </row>
    <row r="3993" spans="12:14" x14ac:dyDescent="0.55000000000000004">
      <c r="L3993">
        <v>3988</v>
      </c>
      <c r="M3993">
        <v>2.9932E-2</v>
      </c>
      <c r="N3993">
        <v>6032.7608289999998</v>
      </c>
    </row>
    <row r="3994" spans="12:14" x14ac:dyDescent="0.55000000000000004">
      <c r="L3994">
        <v>3989</v>
      </c>
      <c r="M3994">
        <v>2.9932E-2</v>
      </c>
      <c r="N3994">
        <v>6032.7608289999998</v>
      </c>
    </row>
    <row r="3995" spans="12:14" x14ac:dyDescent="0.55000000000000004">
      <c r="L3995">
        <v>3990</v>
      </c>
      <c r="M3995">
        <v>2.9932E-2</v>
      </c>
      <c r="N3995">
        <v>6032.7608289999998</v>
      </c>
    </row>
    <row r="3996" spans="12:14" x14ac:dyDescent="0.55000000000000004">
      <c r="L3996">
        <v>3991</v>
      </c>
      <c r="M3996">
        <v>2.9932E-2</v>
      </c>
      <c r="N3996">
        <v>6032.7608289999998</v>
      </c>
    </row>
    <row r="3997" spans="12:14" x14ac:dyDescent="0.55000000000000004">
      <c r="L3997">
        <v>3992</v>
      </c>
      <c r="M3997">
        <v>2.9932E-2</v>
      </c>
      <c r="N3997">
        <v>6032.7608289999998</v>
      </c>
    </row>
    <row r="3998" spans="12:14" x14ac:dyDescent="0.55000000000000004">
      <c r="L3998">
        <v>3993</v>
      </c>
      <c r="M3998">
        <v>2.9932E-2</v>
      </c>
      <c r="N3998">
        <v>6032.7608289999998</v>
      </c>
    </row>
    <row r="3999" spans="12:14" x14ac:dyDescent="0.55000000000000004">
      <c r="L3999">
        <v>3994</v>
      </c>
      <c r="M3999">
        <v>2.9932E-2</v>
      </c>
      <c r="N3999">
        <v>6032.7608289999998</v>
      </c>
    </row>
    <row r="4000" spans="12:14" x14ac:dyDescent="0.55000000000000004">
      <c r="L4000">
        <v>3995</v>
      </c>
      <c r="M4000">
        <v>2.9932E-2</v>
      </c>
      <c r="N4000">
        <v>6032.7608289999998</v>
      </c>
    </row>
    <row r="4001" spans="12:14" x14ac:dyDescent="0.55000000000000004">
      <c r="L4001">
        <v>3996</v>
      </c>
      <c r="M4001">
        <v>2.9932E-2</v>
      </c>
      <c r="N4001">
        <v>6032.7608289999998</v>
      </c>
    </row>
    <row r="4002" spans="12:14" x14ac:dyDescent="0.55000000000000004">
      <c r="L4002">
        <v>3997</v>
      </c>
      <c r="M4002">
        <v>2.9932E-2</v>
      </c>
      <c r="N4002">
        <v>6032.7608289999998</v>
      </c>
    </row>
    <row r="4003" spans="12:14" x14ac:dyDescent="0.55000000000000004">
      <c r="L4003">
        <v>3998</v>
      </c>
      <c r="M4003">
        <v>2.9932E-2</v>
      </c>
      <c r="N4003">
        <v>6032.7608289999998</v>
      </c>
    </row>
    <row r="4004" spans="12:14" x14ac:dyDescent="0.55000000000000004">
      <c r="L4004">
        <v>3999</v>
      </c>
      <c r="M4004">
        <v>2.9932E-2</v>
      </c>
      <c r="N4004">
        <v>6032.7608289999998</v>
      </c>
    </row>
    <row r="4005" spans="12:14" x14ac:dyDescent="0.55000000000000004">
      <c r="L4005">
        <v>4000</v>
      </c>
      <c r="M4005">
        <v>2.9932E-2</v>
      </c>
      <c r="N4005">
        <v>6032.7608289999998</v>
      </c>
    </row>
    <row r="4006" spans="12:14" x14ac:dyDescent="0.55000000000000004">
      <c r="L4006">
        <v>4001</v>
      </c>
      <c r="M4006">
        <v>2.9932E-2</v>
      </c>
      <c r="N4006">
        <v>6032.7608289999998</v>
      </c>
    </row>
    <row r="4007" spans="12:14" x14ac:dyDescent="0.55000000000000004">
      <c r="L4007">
        <v>4002</v>
      </c>
      <c r="M4007">
        <v>2.9932E-2</v>
      </c>
      <c r="N4007">
        <v>6032.7608289999998</v>
      </c>
    </row>
    <row r="4008" spans="12:14" x14ac:dyDescent="0.55000000000000004">
      <c r="L4008">
        <v>4003</v>
      </c>
      <c r="M4008">
        <v>2.9932E-2</v>
      </c>
      <c r="N4008">
        <v>6032.7608289999998</v>
      </c>
    </row>
    <row r="4009" spans="12:14" x14ac:dyDescent="0.55000000000000004">
      <c r="L4009">
        <v>4004</v>
      </c>
      <c r="M4009">
        <v>2.9932E-2</v>
      </c>
      <c r="N4009">
        <v>6032.7608289999998</v>
      </c>
    </row>
    <row r="4010" spans="12:14" x14ac:dyDescent="0.55000000000000004">
      <c r="L4010">
        <v>4005</v>
      </c>
      <c r="M4010">
        <v>2.9932E-2</v>
      </c>
      <c r="N4010">
        <v>6032.7608289999998</v>
      </c>
    </row>
    <row r="4011" spans="12:14" x14ac:dyDescent="0.55000000000000004">
      <c r="L4011">
        <v>4006</v>
      </c>
      <c r="M4011">
        <v>2.9932E-2</v>
      </c>
      <c r="N4011">
        <v>6032.7608289999998</v>
      </c>
    </row>
    <row r="4012" spans="12:14" x14ac:dyDescent="0.55000000000000004">
      <c r="L4012">
        <v>4007</v>
      </c>
      <c r="M4012">
        <v>2.9932E-2</v>
      </c>
      <c r="N4012">
        <v>6032.7608289999998</v>
      </c>
    </row>
    <row r="4013" spans="12:14" x14ac:dyDescent="0.55000000000000004">
      <c r="L4013">
        <v>4008</v>
      </c>
      <c r="M4013">
        <v>2.9932E-2</v>
      </c>
      <c r="N4013">
        <v>6032.7608289999998</v>
      </c>
    </row>
    <row r="4014" spans="12:14" x14ac:dyDescent="0.55000000000000004">
      <c r="L4014">
        <v>4009</v>
      </c>
      <c r="M4014">
        <v>2.9932E-2</v>
      </c>
      <c r="N4014">
        <v>6032.7608289999998</v>
      </c>
    </row>
    <row r="4015" spans="12:14" x14ac:dyDescent="0.55000000000000004">
      <c r="L4015">
        <v>4010</v>
      </c>
      <c r="M4015">
        <v>2.9932E-2</v>
      </c>
      <c r="N4015">
        <v>6032.7608289999998</v>
      </c>
    </row>
    <row r="4016" spans="12:14" x14ac:dyDescent="0.55000000000000004">
      <c r="L4016">
        <v>4011</v>
      </c>
      <c r="M4016">
        <v>2.9932E-2</v>
      </c>
      <c r="N4016">
        <v>6032.7608289999998</v>
      </c>
    </row>
    <row r="4017" spans="12:14" x14ac:dyDescent="0.55000000000000004">
      <c r="L4017">
        <v>4012</v>
      </c>
      <c r="M4017">
        <v>2.9932E-2</v>
      </c>
      <c r="N4017">
        <v>6032.7608289999998</v>
      </c>
    </row>
    <row r="4018" spans="12:14" x14ac:dyDescent="0.55000000000000004">
      <c r="L4018">
        <v>4013</v>
      </c>
      <c r="M4018">
        <v>2.9932E-2</v>
      </c>
      <c r="N4018">
        <v>6032.7608289999998</v>
      </c>
    </row>
    <row r="4019" spans="12:14" x14ac:dyDescent="0.55000000000000004">
      <c r="L4019">
        <v>4014</v>
      </c>
      <c r="M4019">
        <v>2.9932E-2</v>
      </c>
      <c r="N4019">
        <v>6032.7608289999998</v>
      </c>
    </row>
    <row r="4020" spans="12:14" x14ac:dyDescent="0.55000000000000004">
      <c r="L4020">
        <v>4015</v>
      </c>
      <c r="M4020">
        <v>2.9932E-2</v>
      </c>
      <c r="N4020">
        <v>6032.7608289999998</v>
      </c>
    </row>
    <row r="4021" spans="12:14" x14ac:dyDescent="0.55000000000000004">
      <c r="L4021">
        <v>4016</v>
      </c>
      <c r="M4021">
        <v>2.9932E-2</v>
      </c>
      <c r="N4021">
        <v>6032.7608289999998</v>
      </c>
    </row>
    <row r="4022" spans="12:14" x14ac:dyDescent="0.55000000000000004">
      <c r="L4022">
        <v>4017</v>
      </c>
      <c r="M4022">
        <v>2.9932E-2</v>
      </c>
      <c r="N4022">
        <v>6032.7608289999998</v>
      </c>
    </row>
    <row r="4023" spans="12:14" x14ac:dyDescent="0.55000000000000004">
      <c r="L4023">
        <v>4018</v>
      </c>
      <c r="M4023">
        <v>2.9932E-2</v>
      </c>
      <c r="N4023">
        <v>6032.7608289999998</v>
      </c>
    </row>
    <row r="4024" spans="12:14" x14ac:dyDescent="0.55000000000000004">
      <c r="L4024">
        <v>4019</v>
      </c>
      <c r="M4024">
        <v>2.9932E-2</v>
      </c>
      <c r="N4024">
        <v>6032.7608289999998</v>
      </c>
    </row>
    <row r="4025" spans="12:14" x14ac:dyDescent="0.55000000000000004">
      <c r="L4025">
        <v>4020</v>
      </c>
      <c r="M4025">
        <v>2.9932E-2</v>
      </c>
      <c r="N4025">
        <v>6032.7608289999998</v>
      </c>
    </row>
    <row r="4026" spans="12:14" x14ac:dyDescent="0.55000000000000004">
      <c r="L4026">
        <v>4021</v>
      </c>
      <c r="M4026">
        <v>2.9932E-2</v>
      </c>
      <c r="N4026">
        <v>6032.7608289999998</v>
      </c>
    </row>
    <row r="4027" spans="12:14" x14ac:dyDescent="0.55000000000000004">
      <c r="L4027">
        <v>4022</v>
      </c>
      <c r="M4027">
        <v>2.9932E-2</v>
      </c>
      <c r="N4027">
        <v>6032.7608289999998</v>
      </c>
    </row>
    <row r="4028" spans="12:14" x14ac:dyDescent="0.55000000000000004">
      <c r="L4028">
        <v>4023</v>
      </c>
      <c r="M4028">
        <v>2.9932E-2</v>
      </c>
      <c r="N4028">
        <v>6032.7608289999998</v>
      </c>
    </row>
    <row r="4029" spans="12:14" x14ac:dyDescent="0.55000000000000004">
      <c r="L4029">
        <v>4024</v>
      </c>
      <c r="M4029">
        <v>2.9932E-2</v>
      </c>
      <c r="N4029">
        <v>6032.7608289999998</v>
      </c>
    </row>
    <row r="4030" spans="12:14" x14ac:dyDescent="0.55000000000000004">
      <c r="L4030">
        <v>4025</v>
      </c>
      <c r="M4030">
        <v>2.9932E-2</v>
      </c>
      <c r="N4030">
        <v>6032.7608289999998</v>
      </c>
    </row>
    <row r="4031" spans="12:14" x14ac:dyDescent="0.55000000000000004">
      <c r="L4031">
        <v>4026</v>
      </c>
      <c r="M4031">
        <v>2.9932E-2</v>
      </c>
      <c r="N4031">
        <v>6032.7608289999998</v>
      </c>
    </row>
    <row r="4032" spans="12:14" x14ac:dyDescent="0.55000000000000004">
      <c r="L4032">
        <v>4027</v>
      </c>
      <c r="M4032">
        <v>2.9932E-2</v>
      </c>
      <c r="N4032">
        <v>6032.7608289999998</v>
      </c>
    </row>
    <row r="4033" spans="12:14" x14ac:dyDescent="0.55000000000000004">
      <c r="L4033">
        <v>4028</v>
      </c>
      <c r="M4033">
        <v>2.9932E-2</v>
      </c>
      <c r="N4033">
        <v>6032.7608289999998</v>
      </c>
    </row>
    <row r="4034" spans="12:14" x14ac:dyDescent="0.55000000000000004">
      <c r="L4034">
        <v>4029</v>
      </c>
      <c r="M4034">
        <v>2.9932E-2</v>
      </c>
      <c r="N4034">
        <v>6032.7608289999998</v>
      </c>
    </row>
    <row r="4035" spans="12:14" x14ac:dyDescent="0.55000000000000004">
      <c r="L4035">
        <v>4030</v>
      </c>
      <c r="M4035">
        <v>2.9932E-2</v>
      </c>
      <c r="N4035">
        <v>6032.7608289999998</v>
      </c>
    </row>
    <row r="4036" spans="12:14" x14ac:dyDescent="0.55000000000000004">
      <c r="L4036">
        <v>4031</v>
      </c>
      <c r="M4036">
        <v>2.9932E-2</v>
      </c>
      <c r="N4036">
        <v>6032.7608289999998</v>
      </c>
    </row>
    <row r="4037" spans="12:14" x14ac:dyDescent="0.55000000000000004">
      <c r="L4037">
        <v>4032</v>
      </c>
      <c r="M4037">
        <v>2.9932E-2</v>
      </c>
      <c r="N4037">
        <v>6032.7608289999998</v>
      </c>
    </row>
    <row r="4038" spans="12:14" x14ac:dyDescent="0.55000000000000004">
      <c r="L4038">
        <v>4033</v>
      </c>
      <c r="M4038">
        <v>2.9932E-2</v>
      </c>
      <c r="N4038">
        <v>6032.7608289999998</v>
      </c>
    </row>
    <row r="4039" spans="12:14" x14ac:dyDescent="0.55000000000000004">
      <c r="L4039">
        <v>4034</v>
      </c>
      <c r="M4039">
        <v>2.9932E-2</v>
      </c>
      <c r="N4039">
        <v>6032.7608289999998</v>
      </c>
    </row>
    <row r="4040" spans="12:14" x14ac:dyDescent="0.55000000000000004">
      <c r="L4040">
        <v>4035</v>
      </c>
      <c r="M4040">
        <v>2.9932E-2</v>
      </c>
      <c r="N4040">
        <v>6032.7608289999998</v>
      </c>
    </row>
    <row r="4041" spans="12:14" x14ac:dyDescent="0.55000000000000004">
      <c r="L4041">
        <v>4036</v>
      </c>
      <c r="M4041">
        <v>2.9932E-2</v>
      </c>
      <c r="N4041">
        <v>6032.7608289999998</v>
      </c>
    </row>
    <row r="4042" spans="12:14" x14ac:dyDescent="0.55000000000000004">
      <c r="L4042">
        <v>4037</v>
      </c>
      <c r="M4042">
        <v>2.9932E-2</v>
      </c>
      <c r="N4042">
        <v>6032.7608289999998</v>
      </c>
    </row>
    <row r="4043" spans="12:14" x14ac:dyDescent="0.55000000000000004">
      <c r="L4043">
        <v>4038</v>
      </c>
      <c r="M4043">
        <v>2.9932E-2</v>
      </c>
      <c r="N4043">
        <v>6032.7608289999998</v>
      </c>
    </row>
    <row r="4044" spans="12:14" x14ac:dyDescent="0.55000000000000004">
      <c r="L4044">
        <v>4039</v>
      </c>
      <c r="M4044">
        <v>2.9932E-2</v>
      </c>
      <c r="N4044">
        <v>6032.7608289999998</v>
      </c>
    </row>
    <row r="4045" spans="12:14" x14ac:dyDescent="0.55000000000000004">
      <c r="L4045">
        <v>4040</v>
      </c>
      <c r="M4045">
        <v>2.9932E-2</v>
      </c>
      <c r="N4045">
        <v>6032.7608289999998</v>
      </c>
    </row>
    <row r="4046" spans="12:14" x14ac:dyDescent="0.55000000000000004">
      <c r="L4046">
        <v>4041</v>
      </c>
      <c r="M4046">
        <v>2.9932E-2</v>
      </c>
      <c r="N4046">
        <v>6032.7608289999998</v>
      </c>
    </row>
    <row r="4047" spans="12:14" x14ac:dyDescent="0.55000000000000004">
      <c r="L4047">
        <v>4042</v>
      </c>
      <c r="M4047">
        <v>2.9932E-2</v>
      </c>
      <c r="N4047">
        <v>6032.7608289999998</v>
      </c>
    </row>
    <row r="4048" spans="12:14" x14ac:dyDescent="0.55000000000000004">
      <c r="L4048">
        <v>4043</v>
      </c>
      <c r="M4048">
        <v>2.9932E-2</v>
      </c>
      <c r="N4048">
        <v>6032.7608289999998</v>
      </c>
    </row>
    <row r="4049" spans="12:14" x14ac:dyDescent="0.55000000000000004">
      <c r="L4049">
        <v>4044</v>
      </c>
      <c r="M4049">
        <v>2.9932E-2</v>
      </c>
      <c r="N4049">
        <v>6032.7608289999998</v>
      </c>
    </row>
    <row r="4050" spans="12:14" x14ac:dyDescent="0.55000000000000004">
      <c r="L4050">
        <v>4045</v>
      </c>
      <c r="M4050">
        <v>2.9932E-2</v>
      </c>
      <c r="N4050">
        <v>6032.7608289999998</v>
      </c>
    </row>
    <row r="4051" spans="12:14" x14ac:dyDescent="0.55000000000000004">
      <c r="L4051">
        <v>4046</v>
      </c>
      <c r="M4051">
        <v>2.9932E-2</v>
      </c>
      <c r="N4051">
        <v>6032.7608289999998</v>
      </c>
    </row>
    <row r="4052" spans="12:14" x14ac:dyDescent="0.55000000000000004">
      <c r="L4052">
        <v>4047</v>
      </c>
      <c r="M4052">
        <v>2.9932E-2</v>
      </c>
      <c r="N4052">
        <v>6032.7608289999998</v>
      </c>
    </row>
    <row r="4053" spans="12:14" x14ac:dyDescent="0.55000000000000004">
      <c r="L4053">
        <v>4048</v>
      </c>
      <c r="M4053">
        <v>2.9932E-2</v>
      </c>
      <c r="N4053">
        <v>6032.7608289999998</v>
      </c>
    </row>
    <row r="4054" spans="12:14" x14ac:dyDescent="0.55000000000000004">
      <c r="L4054">
        <v>4049</v>
      </c>
      <c r="M4054">
        <v>2.9932E-2</v>
      </c>
      <c r="N4054">
        <v>6032.7608289999998</v>
      </c>
    </row>
    <row r="4055" spans="12:14" x14ac:dyDescent="0.55000000000000004">
      <c r="L4055">
        <v>4050</v>
      </c>
      <c r="M4055">
        <v>2.9932E-2</v>
      </c>
      <c r="N4055">
        <v>6032.7608289999998</v>
      </c>
    </row>
    <row r="4056" spans="12:14" x14ac:dyDescent="0.55000000000000004">
      <c r="L4056">
        <v>4051</v>
      </c>
      <c r="M4056">
        <v>2.9932E-2</v>
      </c>
      <c r="N4056">
        <v>6032.7608289999998</v>
      </c>
    </row>
    <row r="4057" spans="12:14" x14ac:dyDescent="0.55000000000000004">
      <c r="L4057">
        <v>4052</v>
      </c>
      <c r="M4057">
        <v>2.9932E-2</v>
      </c>
      <c r="N4057">
        <v>6032.7608289999998</v>
      </c>
    </row>
    <row r="4058" spans="12:14" x14ac:dyDescent="0.55000000000000004">
      <c r="L4058">
        <v>4053</v>
      </c>
      <c r="M4058">
        <v>2.9932E-2</v>
      </c>
      <c r="N4058">
        <v>6032.7608289999998</v>
      </c>
    </row>
    <row r="4059" spans="12:14" x14ac:dyDescent="0.55000000000000004">
      <c r="L4059">
        <v>4054</v>
      </c>
      <c r="M4059">
        <v>2.9932E-2</v>
      </c>
      <c r="N4059">
        <v>6032.7608289999998</v>
      </c>
    </row>
    <row r="4060" spans="12:14" x14ac:dyDescent="0.55000000000000004">
      <c r="L4060">
        <v>4055</v>
      </c>
      <c r="M4060">
        <v>2.9932E-2</v>
      </c>
      <c r="N4060">
        <v>6032.7608289999998</v>
      </c>
    </row>
    <row r="4061" spans="12:14" x14ac:dyDescent="0.55000000000000004">
      <c r="L4061">
        <v>4056</v>
      </c>
      <c r="M4061">
        <v>2.9932E-2</v>
      </c>
      <c r="N4061">
        <v>6032.7608289999998</v>
      </c>
    </row>
    <row r="4062" spans="12:14" x14ac:dyDescent="0.55000000000000004">
      <c r="L4062">
        <v>4057</v>
      </c>
      <c r="M4062">
        <v>2.9932E-2</v>
      </c>
      <c r="N4062">
        <v>6032.7608289999998</v>
      </c>
    </row>
    <row r="4063" spans="12:14" x14ac:dyDescent="0.55000000000000004">
      <c r="L4063">
        <v>4058</v>
      </c>
      <c r="M4063">
        <v>2.9932E-2</v>
      </c>
      <c r="N4063">
        <v>6032.7608289999998</v>
      </c>
    </row>
    <row r="4064" spans="12:14" x14ac:dyDescent="0.55000000000000004">
      <c r="L4064">
        <v>4059</v>
      </c>
      <c r="M4064">
        <v>2.9932E-2</v>
      </c>
      <c r="N4064">
        <v>6032.7608289999998</v>
      </c>
    </row>
    <row r="4065" spans="12:14" x14ac:dyDescent="0.55000000000000004">
      <c r="L4065">
        <v>4060</v>
      </c>
      <c r="M4065">
        <v>2.9932E-2</v>
      </c>
      <c r="N4065">
        <v>6032.7608289999998</v>
      </c>
    </row>
    <row r="4066" spans="12:14" x14ac:dyDescent="0.55000000000000004">
      <c r="L4066">
        <v>4061</v>
      </c>
      <c r="M4066">
        <v>2.9932E-2</v>
      </c>
      <c r="N4066">
        <v>6032.7608289999998</v>
      </c>
    </row>
    <row r="4067" spans="12:14" x14ac:dyDescent="0.55000000000000004">
      <c r="L4067">
        <v>4062</v>
      </c>
      <c r="M4067">
        <v>2.9932E-2</v>
      </c>
      <c r="N4067">
        <v>6032.7608289999998</v>
      </c>
    </row>
    <row r="4068" spans="12:14" x14ac:dyDescent="0.55000000000000004">
      <c r="L4068">
        <v>4063</v>
      </c>
      <c r="M4068">
        <v>2.9932E-2</v>
      </c>
      <c r="N4068">
        <v>6032.7608289999998</v>
      </c>
    </row>
    <row r="4069" spans="12:14" x14ac:dyDescent="0.55000000000000004">
      <c r="L4069">
        <v>4064</v>
      </c>
      <c r="M4069">
        <v>2.9932E-2</v>
      </c>
      <c r="N4069">
        <v>6032.7608289999998</v>
      </c>
    </row>
    <row r="4070" spans="12:14" x14ac:dyDescent="0.55000000000000004">
      <c r="L4070">
        <v>4065</v>
      </c>
      <c r="M4070">
        <v>2.9932E-2</v>
      </c>
      <c r="N4070">
        <v>6032.7608289999998</v>
      </c>
    </row>
    <row r="4071" spans="12:14" x14ac:dyDescent="0.55000000000000004">
      <c r="L4071">
        <v>4066</v>
      </c>
      <c r="M4071">
        <v>2.9932E-2</v>
      </c>
      <c r="N4071">
        <v>6032.7608289999998</v>
      </c>
    </row>
    <row r="4072" spans="12:14" x14ac:dyDescent="0.55000000000000004">
      <c r="L4072">
        <v>4067</v>
      </c>
      <c r="M4072">
        <v>2.9932E-2</v>
      </c>
      <c r="N4072">
        <v>6032.7608289999998</v>
      </c>
    </row>
    <row r="4073" spans="12:14" x14ac:dyDescent="0.55000000000000004">
      <c r="L4073">
        <v>4068</v>
      </c>
      <c r="M4073">
        <v>2.9932E-2</v>
      </c>
      <c r="N4073">
        <v>6032.7608289999998</v>
      </c>
    </row>
    <row r="4074" spans="12:14" x14ac:dyDescent="0.55000000000000004">
      <c r="L4074">
        <v>4069</v>
      </c>
      <c r="M4074">
        <v>2.9932E-2</v>
      </c>
      <c r="N4074">
        <v>6032.7608289999998</v>
      </c>
    </row>
    <row r="4075" spans="12:14" x14ac:dyDescent="0.55000000000000004">
      <c r="L4075">
        <v>4070</v>
      </c>
      <c r="M4075">
        <v>2.9932E-2</v>
      </c>
      <c r="N4075">
        <v>6032.7608289999998</v>
      </c>
    </row>
    <row r="4076" spans="12:14" x14ac:dyDescent="0.55000000000000004">
      <c r="L4076">
        <v>4071</v>
      </c>
      <c r="M4076">
        <v>2.9932E-2</v>
      </c>
      <c r="N4076">
        <v>6032.7608289999998</v>
      </c>
    </row>
    <row r="4077" spans="12:14" x14ac:dyDescent="0.55000000000000004">
      <c r="L4077">
        <v>4072</v>
      </c>
      <c r="M4077">
        <v>2.9932E-2</v>
      </c>
      <c r="N4077">
        <v>6032.7608289999998</v>
      </c>
    </row>
    <row r="4078" spans="12:14" x14ac:dyDescent="0.55000000000000004">
      <c r="L4078">
        <v>4073</v>
      </c>
      <c r="M4078">
        <v>2.9932E-2</v>
      </c>
      <c r="N4078">
        <v>6032.7608289999998</v>
      </c>
    </row>
    <row r="4079" spans="12:14" x14ac:dyDescent="0.55000000000000004">
      <c r="L4079">
        <v>4074</v>
      </c>
      <c r="M4079">
        <v>2.9932E-2</v>
      </c>
      <c r="N4079">
        <v>6032.7608289999998</v>
      </c>
    </row>
    <row r="4080" spans="12:14" x14ac:dyDescent="0.55000000000000004">
      <c r="L4080">
        <v>4075</v>
      </c>
      <c r="M4080">
        <v>2.9932E-2</v>
      </c>
      <c r="N4080">
        <v>6032.7608289999998</v>
      </c>
    </row>
    <row r="4081" spans="12:14" x14ac:dyDescent="0.55000000000000004">
      <c r="L4081">
        <v>4076</v>
      </c>
      <c r="M4081">
        <v>2.9932E-2</v>
      </c>
      <c r="N4081">
        <v>6032.7608289999998</v>
      </c>
    </row>
    <row r="4082" spans="12:14" x14ac:dyDescent="0.55000000000000004">
      <c r="L4082">
        <v>4077</v>
      </c>
      <c r="M4082">
        <v>2.9932E-2</v>
      </c>
      <c r="N4082">
        <v>6032.7608289999998</v>
      </c>
    </row>
    <row r="4083" spans="12:14" x14ac:dyDescent="0.55000000000000004">
      <c r="L4083">
        <v>4078</v>
      </c>
      <c r="M4083">
        <v>2.9932E-2</v>
      </c>
      <c r="N4083">
        <v>6032.7608289999998</v>
      </c>
    </row>
    <row r="4084" spans="12:14" x14ac:dyDescent="0.55000000000000004">
      <c r="L4084">
        <v>4079</v>
      </c>
      <c r="M4084">
        <v>2.9932E-2</v>
      </c>
      <c r="N4084">
        <v>6032.7608289999998</v>
      </c>
    </row>
    <row r="4085" spans="12:14" x14ac:dyDescent="0.55000000000000004">
      <c r="L4085">
        <v>4080</v>
      </c>
      <c r="M4085">
        <v>2.9932E-2</v>
      </c>
      <c r="N4085">
        <v>6032.7608289999998</v>
      </c>
    </row>
    <row r="4086" spans="12:14" x14ac:dyDescent="0.55000000000000004">
      <c r="L4086">
        <v>4081</v>
      </c>
      <c r="M4086">
        <v>2.9932E-2</v>
      </c>
      <c r="N4086">
        <v>6032.7608289999998</v>
      </c>
    </row>
    <row r="4087" spans="12:14" x14ac:dyDescent="0.55000000000000004">
      <c r="L4087">
        <v>4082</v>
      </c>
      <c r="M4087">
        <v>2.9932E-2</v>
      </c>
      <c r="N4087">
        <v>6032.7608289999998</v>
      </c>
    </row>
    <row r="4088" spans="12:14" x14ac:dyDescent="0.55000000000000004">
      <c r="L4088">
        <v>4083</v>
      </c>
      <c r="M4088">
        <v>2.9932E-2</v>
      </c>
      <c r="N4088">
        <v>6032.7608289999998</v>
      </c>
    </row>
    <row r="4089" spans="12:14" x14ac:dyDescent="0.55000000000000004">
      <c r="L4089">
        <v>4084</v>
      </c>
      <c r="M4089">
        <v>2.9932E-2</v>
      </c>
      <c r="N4089">
        <v>6032.7608289999998</v>
      </c>
    </row>
    <row r="4090" spans="12:14" x14ac:dyDescent="0.55000000000000004">
      <c r="L4090">
        <v>4085</v>
      </c>
      <c r="M4090">
        <v>2.9932E-2</v>
      </c>
      <c r="N4090">
        <v>6032.7608289999998</v>
      </c>
    </row>
    <row r="4091" spans="12:14" x14ac:dyDescent="0.55000000000000004">
      <c r="L4091">
        <v>4086</v>
      </c>
      <c r="M4091">
        <v>2.9932E-2</v>
      </c>
      <c r="N4091">
        <v>6032.7608289999998</v>
      </c>
    </row>
    <row r="4092" spans="12:14" x14ac:dyDescent="0.55000000000000004">
      <c r="L4092">
        <v>4087</v>
      </c>
      <c r="M4092">
        <v>2.9932E-2</v>
      </c>
      <c r="N4092">
        <v>6032.7608289999998</v>
      </c>
    </row>
    <row r="4093" spans="12:14" x14ac:dyDescent="0.55000000000000004">
      <c r="L4093">
        <v>4088</v>
      </c>
      <c r="M4093">
        <v>2.9932E-2</v>
      </c>
      <c r="N4093">
        <v>6032.7608289999998</v>
      </c>
    </row>
    <row r="4094" spans="12:14" x14ac:dyDescent="0.55000000000000004">
      <c r="L4094">
        <v>4089</v>
      </c>
      <c r="M4094">
        <v>2.9932E-2</v>
      </c>
      <c r="N4094">
        <v>6032.7608289999998</v>
      </c>
    </row>
    <row r="4095" spans="12:14" x14ac:dyDescent="0.55000000000000004">
      <c r="L4095">
        <v>4090</v>
      </c>
      <c r="M4095">
        <v>2.9932E-2</v>
      </c>
      <c r="N4095">
        <v>6032.7608289999998</v>
      </c>
    </row>
    <row r="4096" spans="12:14" x14ac:dyDescent="0.55000000000000004">
      <c r="L4096">
        <v>4091</v>
      </c>
      <c r="M4096">
        <v>2.9932E-2</v>
      </c>
      <c r="N4096">
        <v>6032.7608289999998</v>
      </c>
    </row>
    <row r="4097" spans="12:14" x14ac:dyDescent="0.55000000000000004">
      <c r="L4097">
        <v>4092</v>
      </c>
      <c r="M4097">
        <v>2.9932E-2</v>
      </c>
      <c r="N4097">
        <v>6032.7608289999998</v>
      </c>
    </row>
    <row r="4098" spans="12:14" x14ac:dyDescent="0.55000000000000004">
      <c r="L4098">
        <v>4093</v>
      </c>
      <c r="M4098">
        <v>2.9932E-2</v>
      </c>
      <c r="N4098">
        <v>6032.7608289999998</v>
      </c>
    </row>
    <row r="4099" spans="12:14" x14ac:dyDescent="0.55000000000000004">
      <c r="L4099">
        <v>4094</v>
      </c>
      <c r="M4099">
        <v>2.9932E-2</v>
      </c>
      <c r="N4099">
        <v>6032.7608289999998</v>
      </c>
    </row>
    <row r="4100" spans="12:14" x14ac:dyDescent="0.55000000000000004">
      <c r="L4100">
        <v>4095</v>
      </c>
      <c r="M4100">
        <v>2.9932E-2</v>
      </c>
      <c r="N4100">
        <v>6032.7608289999998</v>
      </c>
    </row>
    <row r="4101" spans="12:14" x14ac:dyDescent="0.55000000000000004">
      <c r="L4101">
        <v>4096</v>
      </c>
      <c r="M4101">
        <v>2.9932E-2</v>
      </c>
      <c r="N4101">
        <v>6032.7608289999998</v>
      </c>
    </row>
    <row r="4102" spans="12:14" x14ac:dyDescent="0.55000000000000004">
      <c r="L4102">
        <v>4097</v>
      </c>
      <c r="M4102">
        <v>2.9932E-2</v>
      </c>
      <c r="N4102">
        <v>6032.7608289999998</v>
      </c>
    </row>
    <row r="4103" spans="12:14" x14ac:dyDescent="0.55000000000000004">
      <c r="L4103">
        <v>4098</v>
      </c>
      <c r="M4103">
        <v>2.9932E-2</v>
      </c>
      <c r="N4103">
        <v>6032.7608289999998</v>
      </c>
    </row>
    <row r="4104" spans="12:14" x14ac:dyDescent="0.55000000000000004">
      <c r="L4104">
        <v>4099</v>
      </c>
      <c r="M4104">
        <v>2.9932E-2</v>
      </c>
      <c r="N4104">
        <v>6032.7608289999998</v>
      </c>
    </row>
    <row r="4105" spans="12:14" x14ac:dyDescent="0.55000000000000004">
      <c r="L4105">
        <v>4100</v>
      </c>
      <c r="M4105">
        <v>2.9932E-2</v>
      </c>
      <c r="N4105">
        <v>6032.7608289999998</v>
      </c>
    </row>
    <row r="4106" spans="12:14" x14ac:dyDescent="0.55000000000000004">
      <c r="L4106">
        <v>4101</v>
      </c>
      <c r="M4106">
        <v>2.9932E-2</v>
      </c>
      <c r="N4106">
        <v>6032.7608289999998</v>
      </c>
    </row>
    <row r="4107" spans="12:14" x14ac:dyDescent="0.55000000000000004">
      <c r="L4107">
        <v>4102</v>
      </c>
      <c r="M4107">
        <v>2.9932E-2</v>
      </c>
      <c r="N4107">
        <v>6032.7608289999998</v>
      </c>
    </row>
    <row r="4108" spans="12:14" x14ac:dyDescent="0.55000000000000004">
      <c r="L4108">
        <v>4103</v>
      </c>
      <c r="M4108">
        <v>2.9932E-2</v>
      </c>
      <c r="N4108">
        <v>6032.7608289999998</v>
      </c>
    </row>
    <row r="4109" spans="12:14" x14ac:dyDescent="0.55000000000000004">
      <c r="L4109">
        <v>4104</v>
      </c>
      <c r="M4109">
        <v>2.9932E-2</v>
      </c>
      <c r="N4109">
        <v>6032.7608289999998</v>
      </c>
    </row>
    <row r="4110" spans="12:14" x14ac:dyDescent="0.55000000000000004">
      <c r="L4110">
        <v>4105</v>
      </c>
      <c r="M4110">
        <v>2.9932E-2</v>
      </c>
      <c r="N4110">
        <v>6032.7608289999998</v>
      </c>
    </row>
    <row r="4111" spans="12:14" x14ac:dyDescent="0.55000000000000004">
      <c r="L4111">
        <v>4106</v>
      </c>
      <c r="M4111">
        <v>2.9932E-2</v>
      </c>
      <c r="N4111">
        <v>6032.7608289999998</v>
      </c>
    </row>
    <row r="4112" spans="12:14" x14ac:dyDescent="0.55000000000000004">
      <c r="L4112">
        <v>4107</v>
      </c>
      <c r="M4112">
        <v>2.9932E-2</v>
      </c>
      <c r="N4112">
        <v>6032.7608289999998</v>
      </c>
    </row>
    <row r="4113" spans="12:14" x14ac:dyDescent="0.55000000000000004">
      <c r="L4113">
        <v>4108</v>
      </c>
      <c r="M4113">
        <v>2.9932E-2</v>
      </c>
      <c r="N4113">
        <v>6032.7608289999998</v>
      </c>
    </row>
    <row r="4114" spans="12:14" x14ac:dyDescent="0.55000000000000004">
      <c r="L4114">
        <v>4109</v>
      </c>
      <c r="M4114">
        <v>2.9932E-2</v>
      </c>
      <c r="N4114">
        <v>6032.7608289999998</v>
      </c>
    </row>
    <row r="4115" spans="12:14" x14ac:dyDescent="0.55000000000000004">
      <c r="L4115">
        <v>4110</v>
      </c>
      <c r="M4115">
        <v>2.9932E-2</v>
      </c>
      <c r="N4115">
        <v>6032.7608289999998</v>
      </c>
    </row>
    <row r="4116" spans="12:14" x14ac:dyDescent="0.55000000000000004">
      <c r="L4116">
        <v>4111</v>
      </c>
      <c r="M4116">
        <v>2.9932E-2</v>
      </c>
      <c r="N4116">
        <v>6032.7608289999998</v>
      </c>
    </row>
    <row r="4117" spans="12:14" x14ac:dyDescent="0.55000000000000004">
      <c r="L4117">
        <v>4112</v>
      </c>
      <c r="M4117">
        <v>2.9932E-2</v>
      </c>
      <c r="N4117">
        <v>6032.7608289999998</v>
      </c>
    </row>
    <row r="4118" spans="12:14" x14ac:dyDescent="0.55000000000000004">
      <c r="L4118">
        <v>4113</v>
      </c>
      <c r="M4118">
        <v>2.9932E-2</v>
      </c>
      <c r="N4118">
        <v>6032.7608289999998</v>
      </c>
    </row>
    <row r="4119" spans="12:14" x14ac:dyDescent="0.55000000000000004">
      <c r="L4119">
        <v>4114</v>
      </c>
      <c r="M4119">
        <v>2.9932E-2</v>
      </c>
      <c r="N4119">
        <v>6032.7608289999998</v>
      </c>
    </row>
    <row r="4120" spans="12:14" x14ac:dyDescent="0.55000000000000004">
      <c r="L4120">
        <v>4115</v>
      </c>
      <c r="M4120">
        <v>2.9932E-2</v>
      </c>
      <c r="N4120">
        <v>6032.7608289999998</v>
      </c>
    </row>
    <row r="4121" spans="12:14" x14ac:dyDescent="0.55000000000000004">
      <c r="L4121">
        <v>4116</v>
      </c>
      <c r="M4121">
        <v>2.9932E-2</v>
      </c>
      <c r="N4121">
        <v>6032.7608289999998</v>
      </c>
    </row>
    <row r="4122" spans="12:14" x14ac:dyDescent="0.55000000000000004">
      <c r="L4122">
        <v>4117</v>
      </c>
      <c r="M4122">
        <v>2.9932E-2</v>
      </c>
      <c r="N4122">
        <v>6032.7608289999998</v>
      </c>
    </row>
    <row r="4123" spans="12:14" x14ac:dyDescent="0.55000000000000004">
      <c r="L4123">
        <v>4118</v>
      </c>
      <c r="M4123">
        <v>2.9932E-2</v>
      </c>
      <c r="N4123">
        <v>6032.7608289999998</v>
      </c>
    </row>
    <row r="4124" spans="12:14" x14ac:dyDescent="0.55000000000000004">
      <c r="L4124">
        <v>4119</v>
      </c>
      <c r="M4124">
        <v>2.9932E-2</v>
      </c>
      <c r="N4124">
        <v>6032.7608289999998</v>
      </c>
    </row>
    <row r="4125" spans="12:14" x14ac:dyDescent="0.55000000000000004">
      <c r="L4125">
        <v>4120</v>
      </c>
      <c r="M4125">
        <v>2.9932E-2</v>
      </c>
      <c r="N4125">
        <v>6032.7608289999998</v>
      </c>
    </row>
    <row r="4126" spans="12:14" x14ac:dyDescent="0.55000000000000004">
      <c r="L4126">
        <v>4121</v>
      </c>
      <c r="M4126">
        <v>2.9932E-2</v>
      </c>
      <c r="N4126">
        <v>6032.7608289999998</v>
      </c>
    </row>
    <row r="4127" spans="12:14" x14ac:dyDescent="0.55000000000000004">
      <c r="L4127">
        <v>4122</v>
      </c>
      <c r="M4127">
        <v>2.9932E-2</v>
      </c>
      <c r="N4127">
        <v>6032.7608289999998</v>
      </c>
    </row>
    <row r="4128" spans="12:14" x14ac:dyDescent="0.55000000000000004">
      <c r="L4128">
        <v>4123</v>
      </c>
      <c r="M4128">
        <v>2.9932E-2</v>
      </c>
      <c r="N4128">
        <v>6032.7608289999998</v>
      </c>
    </row>
    <row r="4129" spans="12:14" x14ac:dyDescent="0.55000000000000004">
      <c r="L4129">
        <v>4124</v>
      </c>
      <c r="M4129">
        <v>2.9932E-2</v>
      </c>
      <c r="N4129">
        <v>6032.7608289999998</v>
      </c>
    </row>
    <row r="4130" spans="12:14" x14ac:dyDescent="0.55000000000000004">
      <c r="L4130">
        <v>4125</v>
      </c>
      <c r="M4130">
        <v>2.9932E-2</v>
      </c>
      <c r="N4130">
        <v>6032.7608289999998</v>
      </c>
    </row>
    <row r="4131" spans="12:14" x14ac:dyDescent="0.55000000000000004">
      <c r="L4131">
        <v>4126</v>
      </c>
      <c r="M4131">
        <v>2.9932E-2</v>
      </c>
      <c r="N4131">
        <v>6032.7608289999998</v>
      </c>
    </row>
    <row r="4132" spans="12:14" x14ac:dyDescent="0.55000000000000004">
      <c r="L4132">
        <v>4127</v>
      </c>
      <c r="M4132">
        <v>2.9932E-2</v>
      </c>
      <c r="N4132">
        <v>6032.7608289999998</v>
      </c>
    </row>
    <row r="4133" spans="12:14" x14ac:dyDescent="0.55000000000000004">
      <c r="L4133">
        <v>4128</v>
      </c>
      <c r="M4133">
        <v>2.9932E-2</v>
      </c>
      <c r="N4133">
        <v>6032.7608289999998</v>
      </c>
    </row>
    <row r="4134" spans="12:14" x14ac:dyDescent="0.55000000000000004">
      <c r="L4134">
        <v>4129</v>
      </c>
      <c r="M4134">
        <v>2.9932E-2</v>
      </c>
      <c r="N4134">
        <v>6032.7608289999998</v>
      </c>
    </row>
    <row r="4135" spans="12:14" x14ac:dyDescent="0.55000000000000004">
      <c r="L4135">
        <v>4130</v>
      </c>
      <c r="M4135">
        <v>2.9932E-2</v>
      </c>
      <c r="N4135">
        <v>6032.7608289999998</v>
      </c>
    </row>
    <row r="4136" spans="12:14" x14ac:dyDescent="0.55000000000000004">
      <c r="L4136">
        <v>4131</v>
      </c>
      <c r="M4136">
        <v>2.9932E-2</v>
      </c>
      <c r="N4136">
        <v>6032.7608289999998</v>
      </c>
    </row>
    <row r="4137" spans="12:14" x14ac:dyDescent="0.55000000000000004">
      <c r="L4137">
        <v>4132</v>
      </c>
      <c r="M4137">
        <v>2.9932E-2</v>
      </c>
      <c r="N4137">
        <v>6032.7608289999998</v>
      </c>
    </row>
    <row r="4138" spans="12:14" x14ac:dyDescent="0.55000000000000004">
      <c r="L4138">
        <v>4133</v>
      </c>
      <c r="M4138">
        <v>2.9932E-2</v>
      </c>
      <c r="N4138">
        <v>6032.7608289999998</v>
      </c>
    </row>
    <row r="4139" spans="12:14" x14ac:dyDescent="0.55000000000000004">
      <c r="L4139">
        <v>4134</v>
      </c>
      <c r="M4139">
        <v>2.9932E-2</v>
      </c>
      <c r="N4139">
        <v>6032.7608289999998</v>
      </c>
    </row>
    <row r="4140" spans="12:14" x14ac:dyDescent="0.55000000000000004">
      <c r="L4140">
        <v>4135</v>
      </c>
      <c r="M4140">
        <v>2.9932E-2</v>
      </c>
      <c r="N4140">
        <v>6032.7608289999998</v>
      </c>
    </row>
    <row r="4141" spans="12:14" x14ac:dyDescent="0.55000000000000004">
      <c r="L4141">
        <v>4136</v>
      </c>
      <c r="M4141">
        <v>2.9932E-2</v>
      </c>
      <c r="N4141">
        <v>6032.7608289999998</v>
      </c>
    </row>
    <row r="4142" spans="12:14" x14ac:dyDescent="0.55000000000000004">
      <c r="L4142">
        <v>4137</v>
      </c>
      <c r="M4142">
        <v>2.9932E-2</v>
      </c>
      <c r="N4142">
        <v>6032.7608289999998</v>
      </c>
    </row>
    <row r="4143" spans="12:14" x14ac:dyDescent="0.55000000000000004">
      <c r="L4143">
        <v>4138</v>
      </c>
      <c r="M4143">
        <v>2.9932E-2</v>
      </c>
      <c r="N4143">
        <v>6032.7608289999998</v>
      </c>
    </row>
    <row r="4144" spans="12:14" x14ac:dyDescent="0.55000000000000004">
      <c r="L4144">
        <v>4139</v>
      </c>
      <c r="M4144">
        <v>2.9932E-2</v>
      </c>
      <c r="N4144">
        <v>6032.7608289999998</v>
      </c>
    </row>
    <row r="4145" spans="12:14" x14ac:dyDescent="0.55000000000000004">
      <c r="L4145">
        <v>4140</v>
      </c>
      <c r="M4145">
        <v>2.9932E-2</v>
      </c>
      <c r="N4145">
        <v>6032.7608289999998</v>
      </c>
    </row>
    <row r="4146" spans="12:14" x14ac:dyDescent="0.55000000000000004">
      <c r="L4146">
        <v>4141</v>
      </c>
      <c r="M4146">
        <v>2.9932E-2</v>
      </c>
      <c r="N4146">
        <v>6032.7608289999998</v>
      </c>
    </row>
    <row r="4147" spans="12:14" x14ac:dyDescent="0.55000000000000004">
      <c r="L4147">
        <v>4142</v>
      </c>
      <c r="M4147">
        <v>2.9932E-2</v>
      </c>
      <c r="N4147">
        <v>6032.7608289999998</v>
      </c>
    </row>
    <row r="4148" spans="12:14" x14ac:dyDescent="0.55000000000000004">
      <c r="L4148">
        <v>4143</v>
      </c>
      <c r="M4148">
        <v>2.9932E-2</v>
      </c>
      <c r="N4148">
        <v>6032.7608289999998</v>
      </c>
    </row>
    <row r="4149" spans="12:14" x14ac:dyDescent="0.55000000000000004">
      <c r="L4149">
        <v>4144</v>
      </c>
      <c r="M4149">
        <v>2.9932E-2</v>
      </c>
      <c r="N4149">
        <v>6032.7608289999998</v>
      </c>
    </row>
    <row r="4150" spans="12:14" x14ac:dyDescent="0.55000000000000004">
      <c r="L4150">
        <v>4145</v>
      </c>
      <c r="M4150">
        <v>2.9932E-2</v>
      </c>
      <c r="N4150">
        <v>6032.7608289999998</v>
      </c>
    </row>
    <row r="4151" spans="12:14" x14ac:dyDescent="0.55000000000000004">
      <c r="L4151">
        <v>4146</v>
      </c>
      <c r="M4151">
        <v>2.9932E-2</v>
      </c>
      <c r="N4151">
        <v>6032.7608289999998</v>
      </c>
    </row>
    <row r="4152" spans="12:14" x14ac:dyDescent="0.55000000000000004">
      <c r="L4152">
        <v>4147</v>
      </c>
      <c r="M4152">
        <v>2.9932E-2</v>
      </c>
      <c r="N4152">
        <v>6032.7608289999998</v>
      </c>
    </row>
    <row r="4153" spans="12:14" x14ac:dyDescent="0.55000000000000004">
      <c r="L4153">
        <v>4148</v>
      </c>
      <c r="M4153">
        <v>2.9932E-2</v>
      </c>
      <c r="N4153">
        <v>6032.7608289999998</v>
      </c>
    </row>
    <row r="4154" spans="12:14" x14ac:dyDescent="0.55000000000000004">
      <c r="L4154">
        <v>4149</v>
      </c>
      <c r="M4154">
        <v>2.9932E-2</v>
      </c>
      <c r="N4154">
        <v>6032.7608289999998</v>
      </c>
    </row>
    <row r="4155" spans="12:14" x14ac:dyDescent="0.55000000000000004">
      <c r="L4155">
        <v>4150</v>
      </c>
      <c r="M4155">
        <v>2.9932E-2</v>
      </c>
      <c r="N4155">
        <v>6032.7608289999998</v>
      </c>
    </row>
    <row r="4156" spans="12:14" x14ac:dyDescent="0.55000000000000004">
      <c r="L4156">
        <v>4151</v>
      </c>
      <c r="M4156">
        <v>2.9932E-2</v>
      </c>
      <c r="N4156">
        <v>6032.7608289999998</v>
      </c>
    </row>
    <row r="4157" spans="12:14" x14ac:dyDescent="0.55000000000000004">
      <c r="L4157">
        <v>4152</v>
      </c>
      <c r="M4157">
        <v>2.9932E-2</v>
      </c>
      <c r="N4157">
        <v>6032.7608289999998</v>
      </c>
    </row>
    <row r="4158" spans="12:14" x14ac:dyDescent="0.55000000000000004">
      <c r="L4158">
        <v>4153</v>
      </c>
      <c r="M4158">
        <v>2.9932E-2</v>
      </c>
      <c r="N4158">
        <v>6032.7608289999998</v>
      </c>
    </row>
    <row r="4159" spans="12:14" x14ac:dyDescent="0.55000000000000004">
      <c r="L4159">
        <v>4154</v>
      </c>
      <c r="M4159">
        <v>2.9932E-2</v>
      </c>
      <c r="N4159">
        <v>6032.7608289999998</v>
      </c>
    </row>
    <row r="4160" spans="12:14" x14ac:dyDescent="0.55000000000000004">
      <c r="L4160">
        <v>4155</v>
      </c>
      <c r="M4160">
        <v>2.9932E-2</v>
      </c>
      <c r="N4160">
        <v>6032.7608289999998</v>
      </c>
    </row>
    <row r="4161" spans="12:14" x14ac:dyDescent="0.55000000000000004">
      <c r="L4161">
        <v>4156</v>
      </c>
      <c r="M4161">
        <v>2.9932E-2</v>
      </c>
      <c r="N4161">
        <v>6032.7608289999998</v>
      </c>
    </row>
    <row r="4162" spans="12:14" x14ac:dyDescent="0.55000000000000004">
      <c r="L4162">
        <v>4157</v>
      </c>
      <c r="M4162">
        <v>2.9932E-2</v>
      </c>
      <c r="N4162">
        <v>6032.7608289999998</v>
      </c>
    </row>
    <row r="4163" spans="12:14" x14ac:dyDescent="0.55000000000000004">
      <c r="L4163">
        <v>4158</v>
      </c>
      <c r="M4163">
        <v>2.9932E-2</v>
      </c>
      <c r="N4163">
        <v>6032.7608289999998</v>
      </c>
    </row>
    <row r="4164" spans="12:14" x14ac:dyDescent="0.55000000000000004">
      <c r="L4164">
        <v>4159</v>
      </c>
      <c r="M4164">
        <v>2.9932E-2</v>
      </c>
      <c r="N4164">
        <v>6032.7608289999998</v>
      </c>
    </row>
    <row r="4165" spans="12:14" x14ac:dyDescent="0.55000000000000004">
      <c r="L4165">
        <v>4160</v>
      </c>
      <c r="M4165">
        <v>2.9932E-2</v>
      </c>
      <c r="N4165">
        <v>6032.7608289999998</v>
      </c>
    </row>
    <row r="4166" spans="12:14" x14ac:dyDescent="0.55000000000000004">
      <c r="L4166">
        <v>4161</v>
      </c>
      <c r="M4166">
        <v>2.9932E-2</v>
      </c>
      <c r="N4166">
        <v>6032.7608289999998</v>
      </c>
    </row>
    <row r="4167" spans="12:14" x14ac:dyDescent="0.55000000000000004">
      <c r="L4167">
        <v>4162</v>
      </c>
      <c r="M4167">
        <v>2.9932E-2</v>
      </c>
      <c r="N4167">
        <v>6032.7608289999998</v>
      </c>
    </row>
    <row r="4168" spans="12:14" x14ac:dyDescent="0.55000000000000004">
      <c r="L4168">
        <v>4163</v>
      </c>
      <c r="M4168">
        <v>2.9932E-2</v>
      </c>
      <c r="N4168">
        <v>6032.7608289999998</v>
      </c>
    </row>
    <row r="4169" spans="12:14" x14ac:dyDescent="0.55000000000000004">
      <c r="L4169">
        <v>4164</v>
      </c>
      <c r="M4169">
        <v>2.9932E-2</v>
      </c>
      <c r="N4169">
        <v>6032.7608289999998</v>
      </c>
    </row>
    <row r="4170" spans="12:14" x14ac:dyDescent="0.55000000000000004">
      <c r="L4170">
        <v>4165</v>
      </c>
      <c r="M4170">
        <v>2.9932E-2</v>
      </c>
      <c r="N4170">
        <v>6032.7608289999998</v>
      </c>
    </row>
    <row r="4171" spans="12:14" x14ac:dyDescent="0.55000000000000004">
      <c r="L4171">
        <v>4166</v>
      </c>
      <c r="M4171">
        <v>2.9932E-2</v>
      </c>
      <c r="N4171">
        <v>6032.7608289999998</v>
      </c>
    </row>
    <row r="4172" spans="12:14" x14ac:dyDescent="0.55000000000000004">
      <c r="L4172">
        <v>4167</v>
      </c>
      <c r="M4172">
        <v>2.9932E-2</v>
      </c>
      <c r="N4172">
        <v>6032.7608289999998</v>
      </c>
    </row>
    <row r="4173" spans="12:14" x14ac:dyDescent="0.55000000000000004">
      <c r="L4173">
        <v>4168</v>
      </c>
      <c r="M4173">
        <v>2.9932E-2</v>
      </c>
      <c r="N4173">
        <v>6032.7608289999998</v>
      </c>
    </row>
    <row r="4174" spans="12:14" x14ac:dyDescent="0.55000000000000004">
      <c r="L4174">
        <v>4169</v>
      </c>
      <c r="M4174">
        <v>2.9932E-2</v>
      </c>
      <c r="N4174">
        <v>6032.7608289999998</v>
      </c>
    </row>
    <row r="4175" spans="12:14" x14ac:dyDescent="0.55000000000000004">
      <c r="L4175">
        <v>4170</v>
      </c>
      <c r="M4175">
        <v>2.9932E-2</v>
      </c>
      <c r="N4175">
        <v>6032.7608289999998</v>
      </c>
    </row>
    <row r="4176" spans="12:14" x14ac:dyDescent="0.55000000000000004">
      <c r="L4176">
        <v>4171</v>
      </c>
      <c r="M4176">
        <v>2.9932E-2</v>
      </c>
      <c r="N4176">
        <v>6032.7608289999998</v>
      </c>
    </row>
    <row r="4177" spans="12:14" x14ac:dyDescent="0.55000000000000004">
      <c r="L4177">
        <v>4172</v>
      </c>
      <c r="M4177">
        <v>2.9932E-2</v>
      </c>
      <c r="N4177">
        <v>6032.7608289999998</v>
      </c>
    </row>
    <row r="4178" spans="12:14" x14ac:dyDescent="0.55000000000000004">
      <c r="L4178">
        <v>4173</v>
      </c>
      <c r="M4178">
        <v>2.9932E-2</v>
      </c>
      <c r="N4178">
        <v>6032.7608289999998</v>
      </c>
    </row>
    <row r="4179" spans="12:14" x14ac:dyDescent="0.55000000000000004">
      <c r="L4179">
        <v>4174</v>
      </c>
      <c r="M4179">
        <v>2.9932E-2</v>
      </c>
      <c r="N4179">
        <v>6032.7608289999998</v>
      </c>
    </row>
    <row r="4180" spans="12:14" x14ac:dyDescent="0.55000000000000004">
      <c r="L4180">
        <v>4175</v>
      </c>
      <c r="M4180">
        <v>2.9932E-2</v>
      </c>
      <c r="N4180">
        <v>6032.7608289999998</v>
      </c>
    </row>
    <row r="4181" spans="12:14" x14ac:dyDescent="0.55000000000000004">
      <c r="L4181">
        <v>4176</v>
      </c>
      <c r="M4181">
        <v>2.9932E-2</v>
      </c>
      <c r="N4181">
        <v>6032.7608289999998</v>
      </c>
    </row>
    <row r="4182" spans="12:14" x14ac:dyDescent="0.55000000000000004">
      <c r="L4182">
        <v>4177</v>
      </c>
      <c r="M4182">
        <v>2.9932E-2</v>
      </c>
      <c r="N4182">
        <v>6032.7608289999998</v>
      </c>
    </row>
    <row r="4183" spans="12:14" x14ac:dyDescent="0.55000000000000004">
      <c r="L4183">
        <v>4178</v>
      </c>
      <c r="M4183">
        <v>2.9932E-2</v>
      </c>
      <c r="N4183">
        <v>6032.7608289999998</v>
      </c>
    </row>
    <row r="4184" spans="12:14" x14ac:dyDescent="0.55000000000000004">
      <c r="L4184">
        <v>4179</v>
      </c>
      <c r="M4184">
        <v>2.9932E-2</v>
      </c>
      <c r="N4184">
        <v>6032.7608289999998</v>
      </c>
    </row>
    <row r="4185" spans="12:14" x14ac:dyDescent="0.55000000000000004">
      <c r="L4185">
        <v>4180</v>
      </c>
      <c r="M4185">
        <v>2.9932E-2</v>
      </c>
      <c r="N4185">
        <v>6032.7608289999998</v>
      </c>
    </row>
    <row r="4186" spans="12:14" x14ac:dyDescent="0.55000000000000004">
      <c r="L4186">
        <v>4181</v>
      </c>
      <c r="M4186">
        <v>2.9932E-2</v>
      </c>
      <c r="N4186">
        <v>6032.7608289999998</v>
      </c>
    </row>
    <row r="4187" spans="12:14" x14ac:dyDescent="0.55000000000000004">
      <c r="L4187">
        <v>4182</v>
      </c>
      <c r="M4187">
        <v>2.9932E-2</v>
      </c>
      <c r="N4187">
        <v>6032.7608289999998</v>
      </c>
    </row>
    <row r="4188" spans="12:14" x14ac:dyDescent="0.55000000000000004">
      <c r="L4188">
        <v>4183</v>
      </c>
      <c r="M4188">
        <v>2.9932E-2</v>
      </c>
      <c r="N4188">
        <v>6032.7608289999998</v>
      </c>
    </row>
    <row r="4189" spans="12:14" x14ac:dyDescent="0.55000000000000004">
      <c r="L4189">
        <v>4184</v>
      </c>
      <c r="M4189">
        <v>2.9932E-2</v>
      </c>
      <c r="N4189">
        <v>6032.7608289999998</v>
      </c>
    </row>
    <row r="4190" spans="12:14" x14ac:dyDescent="0.55000000000000004">
      <c r="L4190">
        <v>4185</v>
      </c>
      <c r="M4190">
        <v>2.9932E-2</v>
      </c>
      <c r="N4190">
        <v>6032.7608289999998</v>
      </c>
    </row>
    <row r="4191" spans="12:14" x14ac:dyDescent="0.55000000000000004">
      <c r="L4191">
        <v>4186</v>
      </c>
      <c r="M4191">
        <v>2.9932E-2</v>
      </c>
      <c r="N4191">
        <v>6032.7608289999998</v>
      </c>
    </row>
    <row r="4192" spans="12:14" x14ac:dyDescent="0.55000000000000004">
      <c r="L4192">
        <v>4187</v>
      </c>
      <c r="M4192">
        <v>2.9932E-2</v>
      </c>
      <c r="N4192">
        <v>6032.7608289999998</v>
      </c>
    </row>
    <row r="4193" spans="12:14" x14ac:dyDescent="0.55000000000000004">
      <c r="L4193">
        <v>4188</v>
      </c>
      <c r="M4193">
        <v>2.9932E-2</v>
      </c>
      <c r="N4193">
        <v>6032.7608289999998</v>
      </c>
    </row>
    <row r="4194" spans="12:14" x14ac:dyDescent="0.55000000000000004">
      <c r="L4194">
        <v>4189</v>
      </c>
      <c r="M4194">
        <v>2.9932E-2</v>
      </c>
      <c r="N4194">
        <v>6032.7608289999998</v>
      </c>
    </row>
    <row r="4195" spans="12:14" x14ac:dyDescent="0.55000000000000004">
      <c r="L4195">
        <v>4190</v>
      </c>
      <c r="M4195">
        <v>2.9932E-2</v>
      </c>
      <c r="N4195">
        <v>6032.7608289999998</v>
      </c>
    </row>
    <row r="4196" spans="12:14" x14ac:dyDescent="0.55000000000000004">
      <c r="L4196">
        <v>4191</v>
      </c>
      <c r="M4196">
        <v>2.9932E-2</v>
      </c>
      <c r="N4196">
        <v>6032.7608289999998</v>
      </c>
    </row>
    <row r="4197" spans="12:14" x14ac:dyDescent="0.55000000000000004">
      <c r="L4197">
        <v>4192</v>
      </c>
      <c r="M4197">
        <v>2.9932E-2</v>
      </c>
      <c r="N4197">
        <v>6032.7608289999998</v>
      </c>
    </row>
    <row r="4198" spans="12:14" x14ac:dyDescent="0.55000000000000004">
      <c r="L4198">
        <v>4193</v>
      </c>
      <c r="M4198">
        <v>2.9932E-2</v>
      </c>
      <c r="N4198">
        <v>6032.7608289999998</v>
      </c>
    </row>
    <row r="4199" spans="12:14" x14ac:dyDescent="0.55000000000000004">
      <c r="L4199">
        <v>4194</v>
      </c>
      <c r="M4199">
        <v>2.9932E-2</v>
      </c>
      <c r="N4199">
        <v>6032.7608289999998</v>
      </c>
    </row>
    <row r="4200" spans="12:14" x14ac:dyDescent="0.55000000000000004">
      <c r="L4200">
        <v>4195</v>
      </c>
      <c r="M4200">
        <v>2.9932E-2</v>
      </c>
      <c r="N4200">
        <v>6032.7608289999998</v>
      </c>
    </row>
    <row r="4201" spans="12:14" x14ac:dyDescent="0.55000000000000004">
      <c r="L4201">
        <v>4196</v>
      </c>
      <c r="M4201">
        <v>2.9932E-2</v>
      </c>
      <c r="N4201">
        <v>6032.7608289999998</v>
      </c>
    </row>
    <row r="4202" spans="12:14" x14ac:dyDescent="0.55000000000000004">
      <c r="L4202">
        <v>4197</v>
      </c>
      <c r="M4202">
        <v>2.9932E-2</v>
      </c>
      <c r="N4202">
        <v>6032.7608289999998</v>
      </c>
    </row>
    <row r="4203" spans="12:14" x14ac:dyDescent="0.55000000000000004">
      <c r="L4203">
        <v>4198</v>
      </c>
      <c r="M4203">
        <v>2.9932E-2</v>
      </c>
      <c r="N4203">
        <v>6032.7608289999998</v>
      </c>
    </row>
    <row r="4204" spans="12:14" x14ac:dyDescent="0.55000000000000004">
      <c r="L4204">
        <v>4199</v>
      </c>
      <c r="M4204">
        <v>2.9932E-2</v>
      </c>
      <c r="N4204">
        <v>6032.7608289999998</v>
      </c>
    </row>
    <row r="4205" spans="12:14" x14ac:dyDescent="0.55000000000000004">
      <c r="L4205">
        <v>4200</v>
      </c>
      <c r="M4205">
        <v>2.9932E-2</v>
      </c>
      <c r="N4205">
        <v>6032.7608289999998</v>
      </c>
    </row>
    <row r="4206" spans="12:14" x14ac:dyDescent="0.55000000000000004">
      <c r="L4206">
        <v>4201</v>
      </c>
      <c r="M4206">
        <v>2.9932E-2</v>
      </c>
      <c r="N4206">
        <v>6032.7608289999998</v>
      </c>
    </row>
    <row r="4207" spans="12:14" x14ac:dyDescent="0.55000000000000004">
      <c r="L4207">
        <v>4202</v>
      </c>
      <c r="M4207">
        <v>2.9932E-2</v>
      </c>
      <c r="N4207">
        <v>6032.7608289999998</v>
      </c>
    </row>
    <row r="4208" spans="12:14" x14ac:dyDescent="0.55000000000000004">
      <c r="L4208">
        <v>4203</v>
      </c>
      <c r="M4208">
        <v>2.9932E-2</v>
      </c>
      <c r="N4208">
        <v>6032.7608289999998</v>
      </c>
    </row>
    <row r="4209" spans="12:14" x14ac:dyDescent="0.55000000000000004">
      <c r="L4209">
        <v>4204</v>
      </c>
      <c r="M4209">
        <v>2.9932E-2</v>
      </c>
      <c r="N4209">
        <v>6032.7608289999998</v>
      </c>
    </row>
    <row r="4210" spans="12:14" x14ac:dyDescent="0.55000000000000004">
      <c r="L4210">
        <v>4205</v>
      </c>
      <c r="M4210">
        <v>2.9932E-2</v>
      </c>
      <c r="N4210">
        <v>6032.7608289999998</v>
      </c>
    </row>
    <row r="4211" spans="12:14" x14ac:dyDescent="0.55000000000000004">
      <c r="L4211">
        <v>4206</v>
      </c>
      <c r="M4211">
        <v>2.9932E-2</v>
      </c>
      <c r="N4211">
        <v>6032.7608289999998</v>
      </c>
    </row>
    <row r="4212" spans="12:14" x14ac:dyDescent="0.55000000000000004">
      <c r="L4212">
        <v>4207</v>
      </c>
      <c r="M4212">
        <v>2.9932E-2</v>
      </c>
      <c r="N4212">
        <v>6032.7608289999998</v>
      </c>
    </row>
    <row r="4213" spans="12:14" x14ac:dyDescent="0.55000000000000004">
      <c r="L4213">
        <v>4208</v>
      </c>
      <c r="M4213">
        <v>2.9932E-2</v>
      </c>
      <c r="N4213">
        <v>6032.7608289999998</v>
      </c>
    </row>
    <row r="4214" spans="12:14" x14ac:dyDescent="0.55000000000000004">
      <c r="L4214">
        <v>4209</v>
      </c>
      <c r="M4214">
        <v>2.9932E-2</v>
      </c>
      <c r="N4214">
        <v>6032.7608289999998</v>
      </c>
    </row>
    <row r="4215" spans="12:14" x14ac:dyDescent="0.55000000000000004">
      <c r="L4215">
        <v>4210</v>
      </c>
      <c r="M4215">
        <v>2.9932E-2</v>
      </c>
      <c r="N4215">
        <v>6032.7608289999998</v>
      </c>
    </row>
    <row r="4216" spans="12:14" x14ac:dyDescent="0.55000000000000004">
      <c r="L4216">
        <v>4211</v>
      </c>
      <c r="M4216">
        <v>2.9932E-2</v>
      </c>
      <c r="N4216">
        <v>6032.7608289999998</v>
      </c>
    </row>
    <row r="4217" spans="12:14" x14ac:dyDescent="0.55000000000000004">
      <c r="L4217">
        <v>4212</v>
      </c>
      <c r="M4217">
        <v>2.9932E-2</v>
      </c>
      <c r="N4217">
        <v>6032.7608289999998</v>
      </c>
    </row>
    <row r="4218" spans="12:14" x14ac:dyDescent="0.55000000000000004">
      <c r="L4218">
        <v>4213</v>
      </c>
      <c r="M4218">
        <v>2.9932E-2</v>
      </c>
      <c r="N4218">
        <v>6032.7608289999998</v>
      </c>
    </row>
    <row r="4219" spans="12:14" x14ac:dyDescent="0.55000000000000004">
      <c r="L4219">
        <v>4214</v>
      </c>
      <c r="M4219">
        <v>2.9932E-2</v>
      </c>
      <c r="N4219">
        <v>6032.7608289999998</v>
      </c>
    </row>
    <row r="4220" spans="12:14" x14ac:dyDescent="0.55000000000000004">
      <c r="L4220">
        <v>4215</v>
      </c>
      <c r="M4220">
        <v>2.9932E-2</v>
      </c>
      <c r="N4220">
        <v>6032.7608289999998</v>
      </c>
    </row>
    <row r="4221" spans="12:14" x14ac:dyDescent="0.55000000000000004">
      <c r="L4221">
        <v>4216</v>
      </c>
      <c r="M4221">
        <v>2.9932E-2</v>
      </c>
      <c r="N4221">
        <v>6032.7608289999998</v>
      </c>
    </row>
    <row r="4222" spans="12:14" x14ac:dyDescent="0.55000000000000004">
      <c r="L4222">
        <v>4217</v>
      </c>
      <c r="M4222">
        <v>2.9932E-2</v>
      </c>
      <c r="N4222">
        <v>6032.7608289999998</v>
      </c>
    </row>
    <row r="4223" spans="12:14" x14ac:dyDescent="0.55000000000000004">
      <c r="L4223">
        <v>4218</v>
      </c>
      <c r="M4223">
        <v>2.9932E-2</v>
      </c>
      <c r="N4223">
        <v>6032.7608289999998</v>
      </c>
    </row>
    <row r="4224" spans="12:14" x14ac:dyDescent="0.55000000000000004">
      <c r="L4224">
        <v>4219</v>
      </c>
      <c r="M4224">
        <v>2.9932E-2</v>
      </c>
      <c r="N4224">
        <v>6032.7608289999998</v>
      </c>
    </row>
    <row r="4225" spans="12:14" x14ac:dyDescent="0.55000000000000004">
      <c r="L4225">
        <v>4220</v>
      </c>
      <c r="M4225">
        <v>2.9932E-2</v>
      </c>
      <c r="N4225">
        <v>6032.7608289999998</v>
      </c>
    </row>
    <row r="4226" spans="12:14" x14ac:dyDescent="0.55000000000000004">
      <c r="L4226">
        <v>4221</v>
      </c>
      <c r="M4226">
        <v>2.9932E-2</v>
      </c>
      <c r="N4226">
        <v>6032.7608289999998</v>
      </c>
    </row>
    <row r="4227" spans="12:14" x14ac:dyDescent="0.55000000000000004">
      <c r="L4227">
        <v>4222</v>
      </c>
      <c r="M4227">
        <v>2.9932E-2</v>
      </c>
      <c r="N4227">
        <v>6032.7608289999998</v>
      </c>
    </row>
    <row r="4228" spans="12:14" x14ac:dyDescent="0.55000000000000004">
      <c r="L4228">
        <v>4223</v>
      </c>
      <c r="M4228">
        <v>2.9932E-2</v>
      </c>
      <c r="N4228">
        <v>6032.7608289999998</v>
      </c>
    </row>
    <row r="4229" spans="12:14" x14ac:dyDescent="0.55000000000000004">
      <c r="L4229">
        <v>4224</v>
      </c>
      <c r="M4229">
        <v>2.9932E-2</v>
      </c>
      <c r="N4229">
        <v>6032.7608289999998</v>
      </c>
    </row>
    <row r="4230" spans="12:14" x14ac:dyDescent="0.55000000000000004">
      <c r="L4230">
        <v>4225</v>
      </c>
      <c r="M4230">
        <v>2.9932E-2</v>
      </c>
      <c r="N4230">
        <v>6032.7608289999998</v>
      </c>
    </row>
    <row r="4231" spans="12:14" x14ac:dyDescent="0.55000000000000004">
      <c r="L4231">
        <v>4226</v>
      </c>
      <c r="M4231">
        <v>2.9932E-2</v>
      </c>
      <c r="N4231">
        <v>6032.7608289999998</v>
      </c>
    </row>
    <row r="4232" spans="12:14" x14ac:dyDescent="0.55000000000000004">
      <c r="L4232">
        <v>4227</v>
      </c>
      <c r="M4232">
        <v>2.9932E-2</v>
      </c>
      <c r="N4232">
        <v>6032.7608289999998</v>
      </c>
    </row>
    <row r="4233" spans="12:14" x14ac:dyDescent="0.55000000000000004">
      <c r="L4233">
        <v>4228</v>
      </c>
      <c r="M4233">
        <v>2.9932E-2</v>
      </c>
      <c r="N4233">
        <v>6032.7608289999998</v>
      </c>
    </row>
    <row r="4234" spans="12:14" x14ac:dyDescent="0.55000000000000004">
      <c r="L4234">
        <v>4229</v>
      </c>
      <c r="M4234">
        <v>2.9932E-2</v>
      </c>
      <c r="N4234">
        <v>6032.7608289999998</v>
      </c>
    </row>
    <row r="4235" spans="12:14" x14ac:dyDescent="0.55000000000000004">
      <c r="L4235">
        <v>4230</v>
      </c>
      <c r="M4235">
        <v>2.9932E-2</v>
      </c>
      <c r="N4235">
        <v>6032.7608289999998</v>
      </c>
    </row>
    <row r="4236" spans="12:14" x14ac:dyDescent="0.55000000000000004">
      <c r="L4236">
        <v>4231</v>
      </c>
      <c r="M4236">
        <v>2.9932E-2</v>
      </c>
      <c r="N4236">
        <v>6032.7608289999998</v>
      </c>
    </row>
    <row r="4237" spans="12:14" x14ac:dyDescent="0.55000000000000004">
      <c r="L4237">
        <v>4232</v>
      </c>
      <c r="M4237">
        <v>2.9932E-2</v>
      </c>
      <c r="N4237">
        <v>6032.7608289999998</v>
      </c>
    </row>
    <row r="4238" spans="12:14" x14ac:dyDescent="0.55000000000000004">
      <c r="L4238">
        <v>4233</v>
      </c>
      <c r="M4238">
        <v>2.9932E-2</v>
      </c>
      <c r="N4238">
        <v>6032.7608289999998</v>
      </c>
    </row>
    <row r="4239" spans="12:14" x14ac:dyDescent="0.55000000000000004">
      <c r="L4239">
        <v>4234</v>
      </c>
      <c r="M4239">
        <v>2.9932E-2</v>
      </c>
      <c r="N4239">
        <v>6032.7608289999998</v>
      </c>
    </row>
    <row r="4240" spans="12:14" x14ac:dyDescent="0.55000000000000004">
      <c r="L4240">
        <v>4235</v>
      </c>
      <c r="M4240">
        <v>2.9932E-2</v>
      </c>
      <c r="N4240">
        <v>6032.7608289999998</v>
      </c>
    </row>
    <row r="4241" spans="12:14" x14ac:dyDescent="0.55000000000000004">
      <c r="L4241">
        <v>4236</v>
      </c>
      <c r="M4241">
        <v>2.9932E-2</v>
      </c>
      <c r="N4241">
        <v>6032.7608289999998</v>
      </c>
    </row>
    <row r="4242" spans="12:14" x14ac:dyDescent="0.55000000000000004">
      <c r="L4242">
        <v>4237</v>
      </c>
      <c r="M4242">
        <v>2.9932E-2</v>
      </c>
      <c r="N4242">
        <v>6032.7608289999998</v>
      </c>
    </row>
    <row r="4243" spans="12:14" x14ac:dyDescent="0.55000000000000004">
      <c r="L4243">
        <v>4238</v>
      </c>
      <c r="M4243">
        <v>2.9932E-2</v>
      </c>
      <c r="N4243">
        <v>6032.7608289999998</v>
      </c>
    </row>
    <row r="4244" spans="12:14" x14ac:dyDescent="0.55000000000000004">
      <c r="L4244">
        <v>4239</v>
      </c>
      <c r="M4244">
        <v>2.9932E-2</v>
      </c>
      <c r="N4244">
        <v>6032.7608289999998</v>
      </c>
    </row>
    <row r="4245" spans="12:14" x14ac:dyDescent="0.55000000000000004">
      <c r="L4245">
        <v>4240</v>
      </c>
      <c r="M4245">
        <v>2.9932E-2</v>
      </c>
      <c r="N4245">
        <v>6032.7608289999998</v>
      </c>
    </row>
    <row r="4246" spans="12:14" x14ac:dyDescent="0.55000000000000004">
      <c r="L4246">
        <v>4241</v>
      </c>
      <c r="M4246">
        <v>2.9932E-2</v>
      </c>
      <c r="N4246">
        <v>6032.7608289999998</v>
      </c>
    </row>
    <row r="4247" spans="12:14" x14ac:dyDescent="0.55000000000000004">
      <c r="L4247">
        <v>4242</v>
      </c>
      <c r="M4247">
        <v>2.9932E-2</v>
      </c>
      <c r="N4247">
        <v>6032.7608289999998</v>
      </c>
    </row>
    <row r="4248" spans="12:14" x14ac:dyDescent="0.55000000000000004">
      <c r="L4248">
        <v>4243</v>
      </c>
      <c r="M4248">
        <v>2.9932E-2</v>
      </c>
      <c r="N4248">
        <v>6032.7608289999998</v>
      </c>
    </row>
    <row r="4249" spans="12:14" x14ac:dyDescent="0.55000000000000004">
      <c r="L4249">
        <v>4244</v>
      </c>
      <c r="M4249">
        <v>2.9932E-2</v>
      </c>
      <c r="N4249">
        <v>6032.7608289999998</v>
      </c>
    </row>
    <row r="4250" spans="12:14" x14ac:dyDescent="0.55000000000000004">
      <c r="L4250">
        <v>4245</v>
      </c>
      <c r="M4250">
        <v>2.9932E-2</v>
      </c>
      <c r="N4250">
        <v>6032.7608289999998</v>
      </c>
    </row>
    <row r="4251" spans="12:14" x14ac:dyDescent="0.55000000000000004">
      <c r="L4251">
        <v>4246</v>
      </c>
      <c r="M4251">
        <v>2.9932E-2</v>
      </c>
      <c r="N4251">
        <v>6032.7608289999998</v>
      </c>
    </row>
    <row r="4252" spans="12:14" x14ac:dyDescent="0.55000000000000004">
      <c r="L4252">
        <v>4247</v>
      </c>
      <c r="M4252">
        <v>2.9932E-2</v>
      </c>
      <c r="N4252">
        <v>6032.7608289999998</v>
      </c>
    </row>
    <row r="4253" spans="12:14" x14ac:dyDescent="0.55000000000000004">
      <c r="L4253">
        <v>4248</v>
      </c>
      <c r="M4253">
        <v>2.9932E-2</v>
      </c>
      <c r="N4253">
        <v>6032.7608289999998</v>
      </c>
    </row>
    <row r="4254" spans="12:14" x14ac:dyDescent="0.55000000000000004">
      <c r="L4254">
        <v>4249</v>
      </c>
      <c r="M4254">
        <v>2.9932E-2</v>
      </c>
      <c r="N4254">
        <v>6032.7608289999998</v>
      </c>
    </row>
    <row r="4255" spans="12:14" x14ac:dyDescent="0.55000000000000004">
      <c r="L4255">
        <v>4250</v>
      </c>
      <c r="M4255">
        <v>2.9932E-2</v>
      </c>
      <c r="N4255">
        <v>6032.7608289999998</v>
      </c>
    </row>
    <row r="4256" spans="12:14" x14ac:dyDescent="0.55000000000000004">
      <c r="L4256">
        <v>4251</v>
      </c>
      <c r="M4256">
        <v>2.9932E-2</v>
      </c>
      <c r="N4256">
        <v>6032.7608289999998</v>
      </c>
    </row>
    <row r="4257" spans="12:14" x14ac:dyDescent="0.55000000000000004">
      <c r="L4257">
        <v>4252</v>
      </c>
      <c r="M4257">
        <v>2.9932E-2</v>
      </c>
      <c r="N4257">
        <v>6032.7608289999998</v>
      </c>
    </row>
    <row r="4258" spans="12:14" x14ac:dyDescent="0.55000000000000004">
      <c r="L4258">
        <v>4253</v>
      </c>
      <c r="M4258">
        <v>2.9932E-2</v>
      </c>
      <c r="N4258">
        <v>6032.7608289999998</v>
      </c>
    </row>
    <row r="4259" spans="12:14" x14ac:dyDescent="0.55000000000000004">
      <c r="L4259">
        <v>4254</v>
      </c>
      <c r="M4259">
        <v>2.9932E-2</v>
      </c>
      <c r="N4259">
        <v>6032.7608289999998</v>
      </c>
    </row>
    <row r="4260" spans="12:14" x14ac:dyDescent="0.55000000000000004">
      <c r="L4260">
        <v>4255</v>
      </c>
      <c r="M4260">
        <v>2.9932E-2</v>
      </c>
      <c r="N4260">
        <v>6032.7608289999998</v>
      </c>
    </row>
    <row r="4261" spans="12:14" x14ac:dyDescent="0.55000000000000004">
      <c r="L4261">
        <v>4256</v>
      </c>
      <c r="M4261">
        <v>2.9932E-2</v>
      </c>
      <c r="N4261">
        <v>6032.7608289999998</v>
      </c>
    </row>
    <row r="4262" spans="12:14" x14ac:dyDescent="0.55000000000000004">
      <c r="L4262">
        <v>4257</v>
      </c>
      <c r="M4262">
        <v>2.9932E-2</v>
      </c>
      <c r="N4262">
        <v>6032.7608289999998</v>
      </c>
    </row>
    <row r="4263" spans="12:14" x14ac:dyDescent="0.55000000000000004">
      <c r="L4263">
        <v>4258</v>
      </c>
      <c r="M4263">
        <v>2.9932E-2</v>
      </c>
      <c r="N4263">
        <v>6032.7608289999998</v>
      </c>
    </row>
    <row r="4264" spans="12:14" x14ac:dyDescent="0.55000000000000004">
      <c r="L4264">
        <v>4259</v>
      </c>
      <c r="M4264">
        <v>2.9932E-2</v>
      </c>
      <c r="N4264">
        <v>6032.7608289999998</v>
      </c>
    </row>
    <row r="4265" spans="12:14" x14ac:dyDescent="0.55000000000000004">
      <c r="L4265">
        <v>4260</v>
      </c>
      <c r="M4265">
        <v>2.9932E-2</v>
      </c>
      <c r="N4265">
        <v>6032.7608289999998</v>
      </c>
    </row>
    <row r="4266" spans="12:14" x14ac:dyDescent="0.55000000000000004">
      <c r="L4266">
        <v>4261</v>
      </c>
      <c r="M4266">
        <v>2.9932E-2</v>
      </c>
      <c r="N4266">
        <v>6032.7608289999998</v>
      </c>
    </row>
    <row r="4267" spans="12:14" x14ac:dyDescent="0.55000000000000004">
      <c r="L4267">
        <v>4262</v>
      </c>
      <c r="M4267">
        <v>2.9932E-2</v>
      </c>
      <c r="N4267">
        <v>6032.7608289999998</v>
      </c>
    </row>
    <row r="4268" spans="12:14" x14ac:dyDescent="0.55000000000000004">
      <c r="L4268">
        <v>4263</v>
      </c>
      <c r="M4268">
        <v>2.9932E-2</v>
      </c>
      <c r="N4268">
        <v>6032.7608289999998</v>
      </c>
    </row>
    <row r="4269" spans="12:14" x14ac:dyDescent="0.55000000000000004">
      <c r="L4269">
        <v>4264</v>
      </c>
      <c r="M4269">
        <v>2.9932E-2</v>
      </c>
      <c r="N4269">
        <v>6032.7608289999998</v>
      </c>
    </row>
    <row r="4270" spans="12:14" x14ac:dyDescent="0.55000000000000004">
      <c r="L4270">
        <v>4265</v>
      </c>
      <c r="M4270">
        <v>2.9932E-2</v>
      </c>
      <c r="N4270">
        <v>6032.7608289999998</v>
      </c>
    </row>
    <row r="4271" spans="12:14" x14ac:dyDescent="0.55000000000000004">
      <c r="L4271">
        <v>4266</v>
      </c>
      <c r="M4271">
        <v>2.9932E-2</v>
      </c>
      <c r="N4271">
        <v>6032.7608289999998</v>
      </c>
    </row>
    <row r="4272" spans="12:14" x14ac:dyDescent="0.55000000000000004">
      <c r="L4272">
        <v>4267</v>
      </c>
      <c r="M4272">
        <v>2.9932E-2</v>
      </c>
      <c r="N4272">
        <v>6032.7608289999998</v>
      </c>
    </row>
    <row r="4273" spans="12:14" x14ac:dyDescent="0.55000000000000004">
      <c r="L4273">
        <v>4268</v>
      </c>
      <c r="M4273">
        <v>2.9932E-2</v>
      </c>
      <c r="N4273">
        <v>6032.7608289999998</v>
      </c>
    </row>
    <row r="4274" spans="12:14" x14ac:dyDescent="0.55000000000000004">
      <c r="L4274">
        <v>4269</v>
      </c>
      <c r="M4274">
        <v>2.9932E-2</v>
      </c>
      <c r="N4274">
        <v>6032.7608289999998</v>
      </c>
    </row>
    <row r="4275" spans="12:14" x14ac:dyDescent="0.55000000000000004">
      <c r="L4275">
        <v>4270</v>
      </c>
      <c r="M4275">
        <v>2.9932E-2</v>
      </c>
      <c r="N4275">
        <v>6032.7608289999998</v>
      </c>
    </row>
    <row r="4276" spans="12:14" x14ac:dyDescent="0.55000000000000004">
      <c r="L4276">
        <v>4271</v>
      </c>
      <c r="M4276">
        <v>2.9932E-2</v>
      </c>
      <c r="N4276">
        <v>6032.7608289999998</v>
      </c>
    </row>
    <row r="4277" spans="12:14" x14ac:dyDescent="0.55000000000000004">
      <c r="L4277">
        <v>4272</v>
      </c>
      <c r="M4277">
        <v>2.9932E-2</v>
      </c>
      <c r="N4277">
        <v>6032.7608289999998</v>
      </c>
    </row>
    <row r="4278" spans="12:14" x14ac:dyDescent="0.55000000000000004">
      <c r="L4278">
        <v>4273</v>
      </c>
      <c r="M4278">
        <v>2.9932E-2</v>
      </c>
      <c r="N4278">
        <v>6032.7608289999998</v>
      </c>
    </row>
    <row r="4279" spans="12:14" x14ac:dyDescent="0.55000000000000004">
      <c r="L4279">
        <v>4274</v>
      </c>
      <c r="M4279">
        <v>2.9932E-2</v>
      </c>
      <c r="N4279">
        <v>6032.7608289999998</v>
      </c>
    </row>
    <row r="4280" spans="12:14" x14ac:dyDescent="0.55000000000000004">
      <c r="L4280">
        <v>4275</v>
      </c>
      <c r="M4280">
        <v>2.9932E-2</v>
      </c>
      <c r="N4280">
        <v>6032.7608289999998</v>
      </c>
    </row>
    <row r="4281" spans="12:14" x14ac:dyDescent="0.55000000000000004">
      <c r="L4281">
        <v>4276</v>
      </c>
      <c r="M4281">
        <v>2.9932E-2</v>
      </c>
      <c r="N4281">
        <v>6032.7608289999998</v>
      </c>
    </row>
    <row r="4282" spans="12:14" x14ac:dyDescent="0.55000000000000004">
      <c r="L4282">
        <v>4277</v>
      </c>
      <c r="M4282">
        <v>2.9932E-2</v>
      </c>
      <c r="N4282">
        <v>6032.7608289999998</v>
      </c>
    </row>
    <row r="4283" spans="12:14" x14ac:dyDescent="0.55000000000000004">
      <c r="L4283">
        <v>4278</v>
      </c>
      <c r="M4283">
        <v>2.9932E-2</v>
      </c>
      <c r="N4283">
        <v>6032.7608289999998</v>
      </c>
    </row>
    <row r="4284" spans="12:14" x14ac:dyDescent="0.55000000000000004">
      <c r="L4284">
        <v>4279</v>
      </c>
      <c r="M4284">
        <v>2.9932E-2</v>
      </c>
      <c r="N4284">
        <v>6032.7608289999998</v>
      </c>
    </row>
    <row r="4285" spans="12:14" x14ac:dyDescent="0.55000000000000004">
      <c r="L4285">
        <v>4280</v>
      </c>
      <c r="M4285">
        <v>2.9932E-2</v>
      </c>
      <c r="N4285">
        <v>6032.7608289999998</v>
      </c>
    </row>
    <row r="4286" spans="12:14" x14ac:dyDescent="0.55000000000000004">
      <c r="L4286">
        <v>4281</v>
      </c>
      <c r="M4286">
        <v>2.9932E-2</v>
      </c>
      <c r="N4286">
        <v>6032.7608289999998</v>
      </c>
    </row>
    <row r="4287" spans="12:14" x14ac:dyDescent="0.55000000000000004">
      <c r="L4287">
        <v>4282</v>
      </c>
      <c r="M4287">
        <v>2.9932E-2</v>
      </c>
      <c r="N4287">
        <v>6032.7608289999998</v>
      </c>
    </row>
    <row r="4288" spans="12:14" x14ac:dyDescent="0.55000000000000004">
      <c r="L4288">
        <v>4283</v>
      </c>
      <c r="M4288">
        <v>2.9932E-2</v>
      </c>
      <c r="N4288">
        <v>6032.7608289999998</v>
      </c>
    </row>
    <row r="4289" spans="12:14" x14ac:dyDescent="0.55000000000000004">
      <c r="L4289">
        <v>4284</v>
      </c>
      <c r="M4289">
        <v>2.9932E-2</v>
      </c>
      <c r="N4289">
        <v>6032.7608289999998</v>
      </c>
    </row>
    <row r="4290" spans="12:14" x14ac:dyDescent="0.55000000000000004">
      <c r="L4290">
        <v>4285</v>
      </c>
      <c r="M4290">
        <v>2.9932E-2</v>
      </c>
      <c r="N4290">
        <v>6032.7608289999998</v>
      </c>
    </row>
    <row r="4291" spans="12:14" x14ac:dyDescent="0.55000000000000004">
      <c r="L4291">
        <v>4286</v>
      </c>
      <c r="M4291">
        <v>2.9932E-2</v>
      </c>
      <c r="N4291">
        <v>6032.7608289999998</v>
      </c>
    </row>
    <row r="4292" spans="12:14" x14ac:dyDescent="0.55000000000000004">
      <c r="L4292">
        <v>4287</v>
      </c>
      <c r="M4292">
        <v>2.9932E-2</v>
      </c>
      <c r="N4292">
        <v>6032.7608289999998</v>
      </c>
    </row>
    <row r="4293" spans="12:14" x14ac:dyDescent="0.55000000000000004">
      <c r="L4293">
        <v>4288</v>
      </c>
      <c r="M4293">
        <v>2.9932E-2</v>
      </c>
      <c r="N4293">
        <v>6032.7608289999998</v>
      </c>
    </row>
    <row r="4294" spans="12:14" x14ac:dyDescent="0.55000000000000004">
      <c r="L4294">
        <v>4289</v>
      </c>
      <c r="M4294">
        <v>2.9932E-2</v>
      </c>
      <c r="N4294">
        <v>6032.7608289999998</v>
      </c>
    </row>
    <row r="4295" spans="12:14" x14ac:dyDescent="0.55000000000000004">
      <c r="L4295">
        <v>4290</v>
      </c>
      <c r="M4295">
        <v>2.9932E-2</v>
      </c>
      <c r="N4295">
        <v>6032.7608289999998</v>
      </c>
    </row>
    <row r="4296" spans="12:14" x14ac:dyDescent="0.55000000000000004">
      <c r="L4296">
        <v>4291</v>
      </c>
      <c r="M4296">
        <v>2.9932E-2</v>
      </c>
      <c r="N4296">
        <v>6032.7608289999998</v>
      </c>
    </row>
    <row r="4297" spans="12:14" x14ac:dyDescent="0.55000000000000004">
      <c r="L4297">
        <v>4292</v>
      </c>
      <c r="M4297">
        <v>2.9932E-2</v>
      </c>
      <c r="N4297">
        <v>6032.7608289999998</v>
      </c>
    </row>
    <row r="4298" spans="12:14" x14ac:dyDescent="0.55000000000000004">
      <c r="L4298">
        <v>4293</v>
      </c>
      <c r="M4298">
        <v>2.9932E-2</v>
      </c>
      <c r="N4298">
        <v>6032.7608289999998</v>
      </c>
    </row>
    <row r="4299" spans="12:14" x14ac:dyDescent="0.55000000000000004">
      <c r="L4299">
        <v>4294</v>
      </c>
      <c r="M4299">
        <v>2.9932E-2</v>
      </c>
      <c r="N4299">
        <v>6032.7608289999998</v>
      </c>
    </row>
    <row r="4300" spans="12:14" x14ac:dyDescent="0.55000000000000004">
      <c r="L4300">
        <v>4295</v>
      </c>
      <c r="M4300">
        <v>2.9932E-2</v>
      </c>
      <c r="N4300">
        <v>6032.7608289999998</v>
      </c>
    </row>
    <row r="4301" spans="12:14" x14ac:dyDescent="0.55000000000000004">
      <c r="L4301">
        <v>4296</v>
      </c>
      <c r="M4301">
        <v>2.9932E-2</v>
      </c>
      <c r="N4301">
        <v>6032.7608289999998</v>
      </c>
    </row>
    <row r="4302" spans="12:14" x14ac:dyDescent="0.55000000000000004">
      <c r="L4302">
        <v>4297</v>
      </c>
      <c r="M4302">
        <v>2.9932E-2</v>
      </c>
      <c r="N4302">
        <v>6032.7608289999998</v>
      </c>
    </row>
    <row r="4303" spans="12:14" x14ac:dyDescent="0.55000000000000004">
      <c r="L4303">
        <v>4298</v>
      </c>
      <c r="M4303">
        <v>2.9932E-2</v>
      </c>
      <c r="N4303">
        <v>6032.7608289999998</v>
      </c>
    </row>
    <row r="4304" spans="12:14" x14ac:dyDescent="0.55000000000000004">
      <c r="L4304">
        <v>4299</v>
      </c>
      <c r="M4304">
        <v>2.9932E-2</v>
      </c>
      <c r="N4304">
        <v>6032.7608289999998</v>
      </c>
    </row>
    <row r="4305" spans="12:14" x14ac:dyDescent="0.55000000000000004">
      <c r="L4305">
        <v>4300</v>
      </c>
      <c r="M4305">
        <v>2.9932E-2</v>
      </c>
      <c r="N4305">
        <v>6032.7608289999998</v>
      </c>
    </row>
    <row r="4306" spans="12:14" x14ac:dyDescent="0.55000000000000004">
      <c r="L4306">
        <v>4301</v>
      </c>
      <c r="M4306">
        <v>2.9932E-2</v>
      </c>
      <c r="N4306">
        <v>6032.7608289999998</v>
      </c>
    </row>
    <row r="4307" spans="12:14" x14ac:dyDescent="0.55000000000000004">
      <c r="L4307">
        <v>4302</v>
      </c>
      <c r="M4307">
        <v>2.9932E-2</v>
      </c>
      <c r="N4307">
        <v>6032.7608289999998</v>
      </c>
    </row>
    <row r="4308" spans="12:14" x14ac:dyDescent="0.55000000000000004">
      <c r="L4308">
        <v>4303</v>
      </c>
      <c r="M4308">
        <v>2.9932E-2</v>
      </c>
      <c r="N4308">
        <v>6032.7608289999998</v>
      </c>
    </row>
    <row r="4309" spans="12:14" x14ac:dyDescent="0.55000000000000004">
      <c r="L4309">
        <v>4304</v>
      </c>
      <c r="M4309">
        <v>2.9932E-2</v>
      </c>
      <c r="N4309">
        <v>6032.7608289999998</v>
      </c>
    </row>
    <row r="4310" spans="12:14" x14ac:dyDescent="0.55000000000000004">
      <c r="L4310">
        <v>4305</v>
      </c>
      <c r="M4310">
        <v>2.9932E-2</v>
      </c>
      <c r="N4310">
        <v>6032.7608289999998</v>
      </c>
    </row>
    <row r="4311" spans="12:14" x14ac:dyDescent="0.55000000000000004">
      <c r="L4311">
        <v>4306</v>
      </c>
      <c r="M4311">
        <v>2.9932E-2</v>
      </c>
      <c r="N4311">
        <v>6032.7608289999998</v>
      </c>
    </row>
    <row r="4312" spans="12:14" x14ac:dyDescent="0.55000000000000004">
      <c r="L4312">
        <v>4307</v>
      </c>
      <c r="M4312">
        <v>2.9932E-2</v>
      </c>
      <c r="N4312">
        <v>6032.7608289999998</v>
      </c>
    </row>
    <row r="4313" spans="12:14" x14ac:dyDescent="0.55000000000000004">
      <c r="L4313">
        <v>4308</v>
      </c>
      <c r="M4313">
        <v>2.9932E-2</v>
      </c>
      <c r="N4313">
        <v>6032.7608289999998</v>
      </c>
    </row>
    <row r="4314" spans="12:14" x14ac:dyDescent="0.55000000000000004">
      <c r="L4314">
        <v>4309</v>
      </c>
      <c r="M4314">
        <v>2.9932E-2</v>
      </c>
      <c r="N4314">
        <v>6032.7608289999998</v>
      </c>
    </row>
    <row r="4315" spans="12:14" x14ac:dyDescent="0.55000000000000004">
      <c r="L4315">
        <v>4310</v>
      </c>
      <c r="M4315">
        <v>2.9932E-2</v>
      </c>
      <c r="N4315">
        <v>6032.7608289999998</v>
      </c>
    </row>
    <row r="4316" spans="12:14" x14ac:dyDescent="0.55000000000000004">
      <c r="L4316">
        <v>4311</v>
      </c>
      <c r="M4316">
        <v>2.9932E-2</v>
      </c>
      <c r="N4316">
        <v>6032.7608289999998</v>
      </c>
    </row>
    <row r="4317" spans="12:14" x14ac:dyDescent="0.55000000000000004">
      <c r="L4317">
        <v>4312</v>
      </c>
      <c r="M4317">
        <v>2.9932E-2</v>
      </c>
      <c r="N4317">
        <v>6032.7608289999998</v>
      </c>
    </row>
    <row r="4318" spans="12:14" x14ac:dyDescent="0.55000000000000004">
      <c r="L4318">
        <v>4313</v>
      </c>
      <c r="M4318">
        <v>2.9932E-2</v>
      </c>
      <c r="N4318">
        <v>6032.7608289999998</v>
      </c>
    </row>
    <row r="4319" spans="12:14" x14ac:dyDescent="0.55000000000000004">
      <c r="L4319">
        <v>4314</v>
      </c>
      <c r="M4319">
        <v>2.9932E-2</v>
      </c>
      <c r="N4319">
        <v>6032.7608289999998</v>
      </c>
    </row>
    <row r="4320" spans="12:14" x14ac:dyDescent="0.55000000000000004">
      <c r="L4320">
        <v>4315</v>
      </c>
      <c r="M4320">
        <v>2.9932E-2</v>
      </c>
      <c r="N4320">
        <v>6032.7608289999998</v>
      </c>
    </row>
    <row r="4321" spans="12:14" x14ac:dyDescent="0.55000000000000004">
      <c r="L4321">
        <v>4316</v>
      </c>
      <c r="M4321">
        <v>2.9932E-2</v>
      </c>
      <c r="N4321">
        <v>6032.7608289999998</v>
      </c>
    </row>
    <row r="4322" spans="12:14" x14ac:dyDescent="0.55000000000000004">
      <c r="L4322">
        <v>4317</v>
      </c>
      <c r="M4322">
        <v>2.9932E-2</v>
      </c>
      <c r="N4322">
        <v>6032.7608289999998</v>
      </c>
    </row>
    <row r="4323" spans="12:14" x14ac:dyDescent="0.55000000000000004">
      <c r="L4323">
        <v>4318</v>
      </c>
      <c r="M4323">
        <v>2.9932E-2</v>
      </c>
      <c r="N4323">
        <v>6032.7608289999998</v>
      </c>
    </row>
    <row r="4324" spans="12:14" x14ac:dyDescent="0.55000000000000004">
      <c r="L4324">
        <v>4319</v>
      </c>
      <c r="M4324">
        <v>2.9932E-2</v>
      </c>
      <c r="N4324">
        <v>6032.7608289999998</v>
      </c>
    </row>
    <row r="4325" spans="12:14" x14ac:dyDescent="0.55000000000000004">
      <c r="L4325">
        <v>4320</v>
      </c>
      <c r="M4325">
        <v>2.9932E-2</v>
      </c>
      <c r="N4325">
        <v>6032.7608289999998</v>
      </c>
    </row>
    <row r="4326" spans="12:14" x14ac:dyDescent="0.55000000000000004">
      <c r="L4326">
        <v>4321</v>
      </c>
      <c r="M4326">
        <v>2.9932E-2</v>
      </c>
      <c r="N4326">
        <v>6032.7608289999998</v>
      </c>
    </row>
    <row r="4327" spans="12:14" x14ac:dyDescent="0.55000000000000004">
      <c r="L4327">
        <v>4322</v>
      </c>
      <c r="M4327">
        <v>2.9932E-2</v>
      </c>
      <c r="N4327">
        <v>6032.7608289999998</v>
      </c>
    </row>
    <row r="4328" spans="12:14" x14ac:dyDescent="0.55000000000000004">
      <c r="L4328">
        <v>4323</v>
      </c>
      <c r="M4328">
        <v>2.9932E-2</v>
      </c>
      <c r="N4328">
        <v>6032.7608289999998</v>
      </c>
    </row>
    <row r="4329" spans="12:14" x14ac:dyDescent="0.55000000000000004">
      <c r="L4329">
        <v>4324</v>
      </c>
      <c r="M4329">
        <v>2.9932E-2</v>
      </c>
      <c r="N4329">
        <v>6032.7608289999998</v>
      </c>
    </row>
    <row r="4330" spans="12:14" x14ac:dyDescent="0.55000000000000004">
      <c r="L4330">
        <v>4325</v>
      </c>
      <c r="M4330">
        <v>2.9932E-2</v>
      </c>
      <c r="N4330">
        <v>6032.7608289999998</v>
      </c>
    </row>
    <row r="4331" spans="12:14" x14ac:dyDescent="0.55000000000000004">
      <c r="L4331">
        <v>4326</v>
      </c>
      <c r="M4331">
        <v>2.9932E-2</v>
      </c>
      <c r="N4331">
        <v>6032.7608289999998</v>
      </c>
    </row>
    <row r="4332" spans="12:14" x14ac:dyDescent="0.55000000000000004">
      <c r="L4332">
        <v>4327</v>
      </c>
      <c r="M4332">
        <v>2.9932E-2</v>
      </c>
      <c r="N4332">
        <v>6032.7608289999998</v>
      </c>
    </row>
    <row r="4333" spans="12:14" x14ac:dyDescent="0.55000000000000004">
      <c r="L4333">
        <v>4328</v>
      </c>
      <c r="M4333">
        <v>2.9932E-2</v>
      </c>
      <c r="N4333">
        <v>6032.7608289999998</v>
      </c>
    </row>
    <row r="4334" spans="12:14" x14ac:dyDescent="0.55000000000000004">
      <c r="L4334">
        <v>4329</v>
      </c>
      <c r="M4334">
        <v>2.9932E-2</v>
      </c>
      <c r="N4334">
        <v>6032.7608289999998</v>
      </c>
    </row>
    <row r="4335" spans="12:14" x14ac:dyDescent="0.55000000000000004">
      <c r="L4335">
        <v>4330</v>
      </c>
      <c r="M4335">
        <v>2.9932E-2</v>
      </c>
      <c r="N4335">
        <v>6032.7608289999998</v>
      </c>
    </row>
    <row r="4336" spans="12:14" x14ac:dyDescent="0.55000000000000004">
      <c r="L4336">
        <v>4331</v>
      </c>
      <c r="M4336">
        <v>2.9932E-2</v>
      </c>
      <c r="N4336">
        <v>6032.7608289999998</v>
      </c>
    </row>
    <row r="4337" spans="12:14" x14ac:dyDescent="0.55000000000000004">
      <c r="L4337">
        <v>4332</v>
      </c>
      <c r="M4337">
        <v>2.9932E-2</v>
      </c>
      <c r="N4337">
        <v>6032.7608289999998</v>
      </c>
    </row>
    <row r="4338" spans="12:14" x14ac:dyDescent="0.55000000000000004">
      <c r="L4338">
        <v>4333</v>
      </c>
      <c r="M4338">
        <v>2.9932E-2</v>
      </c>
      <c r="N4338">
        <v>6032.7608289999998</v>
      </c>
    </row>
    <row r="4339" spans="12:14" x14ac:dyDescent="0.55000000000000004">
      <c r="L4339">
        <v>4334</v>
      </c>
      <c r="M4339">
        <v>2.9932E-2</v>
      </c>
      <c r="N4339">
        <v>6032.7608289999998</v>
      </c>
    </row>
    <row r="4340" spans="12:14" x14ac:dyDescent="0.55000000000000004">
      <c r="L4340">
        <v>4335</v>
      </c>
      <c r="M4340">
        <v>2.9932E-2</v>
      </c>
      <c r="N4340">
        <v>6032.7608289999998</v>
      </c>
    </row>
    <row r="4341" spans="12:14" x14ac:dyDescent="0.55000000000000004">
      <c r="L4341">
        <v>4336</v>
      </c>
      <c r="M4341">
        <v>2.9932E-2</v>
      </c>
      <c r="N4341">
        <v>6032.7608289999998</v>
      </c>
    </row>
    <row r="4342" spans="12:14" x14ac:dyDescent="0.55000000000000004">
      <c r="L4342">
        <v>4337</v>
      </c>
      <c r="M4342">
        <v>2.9932E-2</v>
      </c>
      <c r="N4342">
        <v>6032.7608289999998</v>
      </c>
    </row>
    <row r="4343" spans="12:14" x14ac:dyDescent="0.55000000000000004">
      <c r="L4343">
        <v>4338</v>
      </c>
      <c r="M4343">
        <v>2.9932E-2</v>
      </c>
      <c r="N4343">
        <v>6032.7608289999998</v>
      </c>
    </row>
    <row r="4344" spans="12:14" x14ac:dyDescent="0.55000000000000004">
      <c r="L4344">
        <v>4339</v>
      </c>
      <c r="M4344">
        <v>2.9932E-2</v>
      </c>
      <c r="N4344">
        <v>6032.7608289999998</v>
      </c>
    </row>
    <row r="4345" spans="12:14" x14ac:dyDescent="0.55000000000000004">
      <c r="L4345">
        <v>4340</v>
      </c>
      <c r="M4345">
        <v>2.9932E-2</v>
      </c>
      <c r="N4345">
        <v>6032.7608289999998</v>
      </c>
    </row>
    <row r="4346" spans="12:14" x14ac:dyDescent="0.55000000000000004">
      <c r="L4346">
        <v>4341</v>
      </c>
      <c r="M4346">
        <v>2.9932E-2</v>
      </c>
      <c r="N4346">
        <v>6032.7608289999998</v>
      </c>
    </row>
    <row r="4347" spans="12:14" x14ac:dyDescent="0.55000000000000004">
      <c r="L4347">
        <v>4342</v>
      </c>
      <c r="M4347">
        <v>2.9932E-2</v>
      </c>
      <c r="N4347">
        <v>6032.7608289999998</v>
      </c>
    </row>
    <row r="4348" spans="12:14" x14ac:dyDescent="0.55000000000000004">
      <c r="L4348">
        <v>4343</v>
      </c>
      <c r="M4348">
        <v>2.9932E-2</v>
      </c>
      <c r="N4348">
        <v>6032.7608289999998</v>
      </c>
    </row>
    <row r="4349" spans="12:14" x14ac:dyDescent="0.55000000000000004">
      <c r="L4349">
        <v>4344</v>
      </c>
      <c r="M4349">
        <v>2.9932E-2</v>
      </c>
      <c r="N4349">
        <v>6032.7608289999998</v>
      </c>
    </row>
    <row r="4350" spans="12:14" x14ac:dyDescent="0.55000000000000004">
      <c r="L4350">
        <v>4345</v>
      </c>
      <c r="M4350">
        <v>2.9932E-2</v>
      </c>
      <c r="N4350">
        <v>6032.7608289999998</v>
      </c>
    </row>
    <row r="4351" spans="12:14" x14ac:dyDescent="0.55000000000000004">
      <c r="L4351">
        <v>4346</v>
      </c>
      <c r="M4351">
        <v>2.9932E-2</v>
      </c>
      <c r="N4351">
        <v>6032.7608289999998</v>
      </c>
    </row>
    <row r="4352" spans="12:14" x14ac:dyDescent="0.55000000000000004">
      <c r="L4352">
        <v>4347</v>
      </c>
      <c r="M4352">
        <v>2.9932E-2</v>
      </c>
      <c r="N4352">
        <v>6032.7608289999998</v>
      </c>
    </row>
    <row r="4353" spans="12:14" x14ac:dyDescent="0.55000000000000004">
      <c r="L4353">
        <v>4348</v>
      </c>
      <c r="M4353">
        <v>2.9932E-2</v>
      </c>
      <c r="N4353">
        <v>6032.7608289999998</v>
      </c>
    </row>
    <row r="4354" spans="12:14" x14ac:dyDescent="0.55000000000000004">
      <c r="L4354">
        <v>4349</v>
      </c>
      <c r="M4354">
        <v>2.9932E-2</v>
      </c>
      <c r="N4354">
        <v>6032.7608289999998</v>
      </c>
    </row>
    <row r="4355" spans="12:14" x14ac:dyDescent="0.55000000000000004">
      <c r="L4355">
        <v>4350</v>
      </c>
      <c r="M4355">
        <v>2.9932E-2</v>
      </c>
      <c r="N4355">
        <v>6032.7608289999998</v>
      </c>
    </row>
    <row r="4356" spans="12:14" x14ac:dyDescent="0.55000000000000004">
      <c r="L4356">
        <v>4351</v>
      </c>
      <c r="M4356">
        <v>2.9932E-2</v>
      </c>
      <c r="N4356">
        <v>6032.7608289999998</v>
      </c>
    </row>
    <row r="4357" spans="12:14" x14ac:dyDescent="0.55000000000000004">
      <c r="L4357">
        <v>4352</v>
      </c>
      <c r="M4357">
        <v>2.9932E-2</v>
      </c>
      <c r="N4357">
        <v>6032.7608289999998</v>
      </c>
    </row>
    <row r="4358" spans="12:14" x14ac:dyDescent="0.55000000000000004">
      <c r="L4358">
        <v>4353</v>
      </c>
      <c r="M4358">
        <v>2.9932E-2</v>
      </c>
      <c r="N4358">
        <v>6032.7608289999998</v>
      </c>
    </row>
    <row r="4359" spans="12:14" x14ac:dyDescent="0.55000000000000004">
      <c r="L4359">
        <v>4354</v>
      </c>
      <c r="M4359">
        <v>2.9932E-2</v>
      </c>
      <c r="N4359">
        <v>6032.7608289999998</v>
      </c>
    </row>
    <row r="4360" spans="12:14" x14ac:dyDescent="0.55000000000000004">
      <c r="L4360">
        <v>4355</v>
      </c>
      <c r="M4360">
        <v>2.9932E-2</v>
      </c>
      <c r="N4360">
        <v>6032.7608289999998</v>
      </c>
    </row>
    <row r="4361" spans="12:14" x14ac:dyDescent="0.55000000000000004">
      <c r="L4361">
        <v>4356</v>
      </c>
      <c r="M4361">
        <v>2.9932E-2</v>
      </c>
      <c r="N4361">
        <v>6032.7608289999998</v>
      </c>
    </row>
    <row r="4362" spans="12:14" x14ac:dyDescent="0.55000000000000004">
      <c r="L4362">
        <v>4357</v>
      </c>
      <c r="M4362">
        <v>2.9932E-2</v>
      </c>
      <c r="N4362">
        <v>6032.7608289999998</v>
      </c>
    </row>
    <row r="4363" spans="12:14" x14ac:dyDescent="0.55000000000000004">
      <c r="L4363">
        <v>4358</v>
      </c>
      <c r="M4363">
        <v>2.9932E-2</v>
      </c>
      <c r="N4363">
        <v>6032.7608289999998</v>
      </c>
    </row>
    <row r="4364" spans="12:14" x14ac:dyDescent="0.55000000000000004">
      <c r="L4364">
        <v>4359</v>
      </c>
      <c r="M4364">
        <v>2.9932E-2</v>
      </c>
      <c r="N4364">
        <v>6032.7608289999998</v>
      </c>
    </row>
    <row r="4365" spans="12:14" x14ac:dyDescent="0.55000000000000004">
      <c r="L4365">
        <v>4360</v>
      </c>
      <c r="M4365">
        <v>2.9932E-2</v>
      </c>
      <c r="N4365">
        <v>6032.7608289999998</v>
      </c>
    </row>
    <row r="4366" spans="12:14" x14ac:dyDescent="0.55000000000000004">
      <c r="L4366">
        <v>4361</v>
      </c>
      <c r="M4366">
        <v>2.9932E-2</v>
      </c>
      <c r="N4366">
        <v>6032.7608289999998</v>
      </c>
    </row>
    <row r="4367" spans="12:14" x14ac:dyDescent="0.55000000000000004">
      <c r="L4367">
        <v>4362</v>
      </c>
      <c r="M4367">
        <v>2.9932E-2</v>
      </c>
      <c r="N4367">
        <v>6032.7608289999998</v>
      </c>
    </row>
    <row r="4368" spans="12:14" x14ac:dyDescent="0.55000000000000004">
      <c r="L4368">
        <v>4363</v>
      </c>
      <c r="M4368">
        <v>2.9932E-2</v>
      </c>
      <c r="N4368">
        <v>6032.7608289999998</v>
      </c>
    </row>
    <row r="4369" spans="12:14" x14ac:dyDescent="0.55000000000000004">
      <c r="L4369">
        <v>4364</v>
      </c>
      <c r="M4369">
        <v>2.9932E-2</v>
      </c>
      <c r="N4369">
        <v>6032.7608289999998</v>
      </c>
    </row>
    <row r="4370" spans="12:14" x14ac:dyDescent="0.55000000000000004">
      <c r="L4370">
        <v>4365</v>
      </c>
      <c r="M4370">
        <v>2.9932E-2</v>
      </c>
      <c r="N4370">
        <v>6032.7608289999998</v>
      </c>
    </row>
    <row r="4371" spans="12:14" x14ac:dyDescent="0.55000000000000004">
      <c r="L4371">
        <v>4366</v>
      </c>
      <c r="M4371">
        <v>2.9932E-2</v>
      </c>
      <c r="N4371">
        <v>6032.7608289999998</v>
      </c>
    </row>
    <row r="4372" spans="12:14" x14ac:dyDescent="0.55000000000000004">
      <c r="L4372">
        <v>4367</v>
      </c>
      <c r="M4372">
        <v>2.9932E-2</v>
      </c>
      <c r="N4372">
        <v>6032.7608289999998</v>
      </c>
    </row>
    <row r="4373" spans="12:14" x14ac:dyDescent="0.55000000000000004">
      <c r="L4373">
        <v>4368</v>
      </c>
      <c r="M4373">
        <v>2.9932E-2</v>
      </c>
      <c r="N4373">
        <v>6032.7608289999998</v>
      </c>
    </row>
    <row r="4374" spans="12:14" x14ac:dyDescent="0.55000000000000004">
      <c r="L4374">
        <v>4369</v>
      </c>
      <c r="M4374">
        <v>2.9932E-2</v>
      </c>
      <c r="N4374">
        <v>6032.7608289999998</v>
      </c>
    </row>
    <row r="4375" spans="12:14" x14ac:dyDescent="0.55000000000000004">
      <c r="L4375">
        <v>4370</v>
      </c>
      <c r="M4375">
        <v>2.9932E-2</v>
      </c>
      <c r="N4375">
        <v>6032.7608289999998</v>
      </c>
    </row>
    <row r="4376" spans="12:14" x14ac:dyDescent="0.55000000000000004">
      <c r="L4376">
        <v>4371</v>
      </c>
      <c r="M4376">
        <v>2.9932E-2</v>
      </c>
      <c r="N4376">
        <v>6032.7608289999998</v>
      </c>
    </row>
    <row r="4377" spans="12:14" x14ac:dyDescent="0.55000000000000004">
      <c r="L4377">
        <v>4372</v>
      </c>
      <c r="M4377">
        <v>2.9932E-2</v>
      </c>
      <c r="N4377">
        <v>6032.7608289999998</v>
      </c>
    </row>
    <row r="4378" spans="12:14" x14ac:dyDescent="0.55000000000000004">
      <c r="L4378">
        <v>4373</v>
      </c>
      <c r="M4378">
        <v>2.9932E-2</v>
      </c>
      <c r="N4378">
        <v>6032.7608289999998</v>
      </c>
    </row>
    <row r="4379" spans="12:14" x14ac:dyDescent="0.55000000000000004">
      <c r="L4379">
        <v>4374</v>
      </c>
      <c r="M4379">
        <v>2.9932E-2</v>
      </c>
      <c r="N4379">
        <v>6032.7608289999998</v>
      </c>
    </row>
    <row r="4380" spans="12:14" x14ac:dyDescent="0.55000000000000004">
      <c r="L4380">
        <v>4375</v>
      </c>
      <c r="M4380">
        <v>2.9932E-2</v>
      </c>
      <c r="N4380">
        <v>6032.7608289999998</v>
      </c>
    </row>
    <row r="4381" spans="12:14" x14ac:dyDescent="0.55000000000000004">
      <c r="L4381">
        <v>4376</v>
      </c>
      <c r="M4381">
        <v>2.9932E-2</v>
      </c>
      <c r="N4381">
        <v>6032.7608289999998</v>
      </c>
    </row>
    <row r="4382" spans="12:14" x14ac:dyDescent="0.55000000000000004">
      <c r="L4382">
        <v>4377</v>
      </c>
      <c r="M4382">
        <v>2.9932E-2</v>
      </c>
      <c r="N4382">
        <v>6032.7608289999998</v>
      </c>
    </row>
    <row r="4383" spans="12:14" x14ac:dyDescent="0.55000000000000004">
      <c r="L4383">
        <v>4378</v>
      </c>
      <c r="M4383">
        <v>2.9932E-2</v>
      </c>
      <c r="N4383">
        <v>6032.7608289999998</v>
      </c>
    </row>
    <row r="4384" spans="12:14" x14ac:dyDescent="0.55000000000000004">
      <c r="L4384">
        <v>4379</v>
      </c>
      <c r="M4384">
        <v>2.9932E-2</v>
      </c>
      <c r="N4384">
        <v>6032.7608289999998</v>
      </c>
    </row>
    <row r="4385" spans="12:14" x14ac:dyDescent="0.55000000000000004">
      <c r="L4385">
        <v>4380</v>
      </c>
      <c r="M4385">
        <v>2.9932E-2</v>
      </c>
      <c r="N4385">
        <v>6032.7608289999998</v>
      </c>
    </row>
    <row r="4386" spans="12:14" x14ac:dyDescent="0.55000000000000004">
      <c r="L4386">
        <v>4381</v>
      </c>
      <c r="M4386">
        <v>2.9932E-2</v>
      </c>
      <c r="N4386">
        <v>6032.7608289999998</v>
      </c>
    </row>
    <row r="4387" spans="12:14" x14ac:dyDescent="0.55000000000000004">
      <c r="L4387">
        <v>4382</v>
      </c>
      <c r="M4387">
        <v>2.9932E-2</v>
      </c>
      <c r="N4387">
        <v>6032.7608289999998</v>
      </c>
    </row>
    <row r="4388" spans="12:14" x14ac:dyDescent="0.55000000000000004">
      <c r="L4388">
        <v>4383</v>
      </c>
      <c r="M4388">
        <v>2.9932E-2</v>
      </c>
      <c r="N4388">
        <v>6032.7608289999998</v>
      </c>
    </row>
    <row r="4389" spans="12:14" x14ac:dyDescent="0.55000000000000004">
      <c r="L4389">
        <v>4384</v>
      </c>
      <c r="M4389">
        <v>2.9932E-2</v>
      </c>
      <c r="N4389">
        <v>6032.7608289999998</v>
      </c>
    </row>
    <row r="4390" spans="12:14" x14ac:dyDescent="0.55000000000000004">
      <c r="L4390">
        <v>4385</v>
      </c>
      <c r="M4390">
        <v>2.9932E-2</v>
      </c>
      <c r="N4390">
        <v>6032.7608289999998</v>
      </c>
    </row>
    <row r="4391" spans="12:14" x14ac:dyDescent="0.55000000000000004">
      <c r="L4391">
        <v>4386</v>
      </c>
      <c r="M4391">
        <v>2.9932E-2</v>
      </c>
      <c r="N4391">
        <v>6032.7608289999998</v>
      </c>
    </row>
    <row r="4392" spans="12:14" x14ac:dyDescent="0.55000000000000004">
      <c r="L4392">
        <v>4387</v>
      </c>
      <c r="M4392">
        <v>2.9932E-2</v>
      </c>
      <c r="N4392">
        <v>6032.7608289999998</v>
      </c>
    </row>
    <row r="4393" spans="12:14" x14ac:dyDescent="0.55000000000000004">
      <c r="L4393">
        <v>4388</v>
      </c>
      <c r="M4393">
        <v>2.9932E-2</v>
      </c>
      <c r="N4393">
        <v>6032.7608289999998</v>
      </c>
    </row>
    <row r="4394" spans="12:14" x14ac:dyDescent="0.55000000000000004">
      <c r="L4394">
        <v>4389</v>
      </c>
      <c r="M4394">
        <v>2.9932E-2</v>
      </c>
      <c r="N4394">
        <v>6032.7608289999998</v>
      </c>
    </row>
    <row r="4395" spans="12:14" x14ac:dyDescent="0.55000000000000004">
      <c r="L4395">
        <v>4390</v>
      </c>
      <c r="M4395">
        <v>2.9932E-2</v>
      </c>
      <c r="N4395">
        <v>6032.7608289999998</v>
      </c>
    </row>
    <row r="4396" spans="12:14" x14ac:dyDescent="0.55000000000000004">
      <c r="L4396">
        <v>4391</v>
      </c>
      <c r="M4396">
        <v>2.9932E-2</v>
      </c>
      <c r="N4396">
        <v>6032.7608289999998</v>
      </c>
    </row>
    <row r="4397" spans="12:14" x14ac:dyDescent="0.55000000000000004">
      <c r="L4397">
        <v>4392</v>
      </c>
      <c r="M4397">
        <v>2.9932E-2</v>
      </c>
      <c r="N4397">
        <v>6032.7608289999998</v>
      </c>
    </row>
    <row r="4398" spans="12:14" x14ac:dyDescent="0.55000000000000004">
      <c r="L4398">
        <v>4393</v>
      </c>
      <c r="M4398">
        <v>2.9932E-2</v>
      </c>
      <c r="N4398">
        <v>6032.7608289999998</v>
      </c>
    </row>
    <row r="4399" spans="12:14" x14ac:dyDescent="0.55000000000000004">
      <c r="L4399">
        <v>4394</v>
      </c>
      <c r="M4399">
        <v>2.9932E-2</v>
      </c>
      <c r="N4399">
        <v>6032.7608289999998</v>
      </c>
    </row>
    <row r="4400" spans="12:14" x14ac:dyDescent="0.55000000000000004">
      <c r="L4400">
        <v>4395</v>
      </c>
      <c r="M4400">
        <v>2.9932E-2</v>
      </c>
      <c r="N4400">
        <v>6032.7608289999998</v>
      </c>
    </row>
    <row r="4401" spans="12:14" x14ac:dyDescent="0.55000000000000004">
      <c r="L4401">
        <v>4396</v>
      </c>
      <c r="M4401">
        <v>2.9932E-2</v>
      </c>
      <c r="N4401">
        <v>6032.7608289999998</v>
      </c>
    </row>
    <row r="4402" spans="12:14" x14ac:dyDescent="0.55000000000000004">
      <c r="L4402">
        <v>4397</v>
      </c>
      <c r="M4402">
        <v>2.9932E-2</v>
      </c>
      <c r="N4402">
        <v>6032.7608289999998</v>
      </c>
    </row>
    <row r="4403" spans="12:14" x14ac:dyDescent="0.55000000000000004">
      <c r="L4403">
        <v>4398</v>
      </c>
      <c r="M4403">
        <v>2.9932E-2</v>
      </c>
      <c r="N4403">
        <v>6032.7608289999998</v>
      </c>
    </row>
    <row r="4404" spans="12:14" x14ac:dyDescent="0.55000000000000004">
      <c r="L4404">
        <v>4399</v>
      </c>
      <c r="M4404">
        <v>2.9932E-2</v>
      </c>
      <c r="N4404">
        <v>6032.7608289999998</v>
      </c>
    </row>
    <row r="4405" spans="12:14" x14ac:dyDescent="0.55000000000000004">
      <c r="L4405">
        <v>4400</v>
      </c>
      <c r="M4405">
        <v>2.9932E-2</v>
      </c>
      <c r="N4405">
        <v>6032.7608289999998</v>
      </c>
    </row>
    <row r="4406" spans="12:14" x14ac:dyDescent="0.55000000000000004">
      <c r="L4406">
        <v>4401</v>
      </c>
      <c r="M4406">
        <v>2.9932E-2</v>
      </c>
      <c r="N4406">
        <v>6032.7608289999998</v>
      </c>
    </row>
    <row r="4407" spans="12:14" x14ac:dyDescent="0.55000000000000004">
      <c r="L4407">
        <v>4402</v>
      </c>
      <c r="M4407">
        <v>2.9932E-2</v>
      </c>
      <c r="N4407">
        <v>6032.7608289999998</v>
      </c>
    </row>
    <row r="4408" spans="12:14" x14ac:dyDescent="0.55000000000000004">
      <c r="L4408">
        <v>4403</v>
      </c>
      <c r="M4408">
        <v>2.9932E-2</v>
      </c>
      <c r="N4408">
        <v>6032.7608289999998</v>
      </c>
    </row>
    <row r="4409" spans="12:14" x14ac:dyDescent="0.55000000000000004">
      <c r="L4409">
        <v>4404</v>
      </c>
      <c r="M4409">
        <v>2.9932E-2</v>
      </c>
      <c r="N4409">
        <v>6032.7608289999998</v>
      </c>
    </row>
    <row r="4410" spans="12:14" x14ac:dyDescent="0.55000000000000004">
      <c r="L4410">
        <v>4405</v>
      </c>
      <c r="M4410">
        <v>2.9932E-2</v>
      </c>
      <c r="N4410">
        <v>6032.7608289999998</v>
      </c>
    </row>
    <row r="4411" spans="12:14" x14ac:dyDescent="0.55000000000000004">
      <c r="L4411">
        <v>4406</v>
      </c>
      <c r="M4411">
        <v>2.9932E-2</v>
      </c>
      <c r="N4411">
        <v>6032.7608289999998</v>
      </c>
    </row>
    <row r="4412" spans="12:14" x14ac:dyDescent="0.55000000000000004">
      <c r="L4412">
        <v>4407</v>
      </c>
      <c r="M4412">
        <v>2.9932E-2</v>
      </c>
      <c r="N4412">
        <v>6032.7608289999998</v>
      </c>
    </row>
    <row r="4413" spans="12:14" x14ac:dyDescent="0.55000000000000004">
      <c r="L4413">
        <v>4408</v>
      </c>
      <c r="M4413">
        <v>2.9932E-2</v>
      </c>
      <c r="N4413">
        <v>6032.7608289999998</v>
      </c>
    </row>
    <row r="4414" spans="12:14" x14ac:dyDescent="0.55000000000000004">
      <c r="L4414">
        <v>4409</v>
      </c>
      <c r="M4414">
        <v>2.9932E-2</v>
      </c>
      <c r="N4414">
        <v>6032.7608289999998</v>
      </c>
    </row>
    <row r="4415" spans="12:14" x14ac:dyDescent="0.55000000000000004">
      <c r="L4415">
        <v>4410</v>
      </c>
      <c r="M4415">
        <v>2.9932E-2</v>
      </c>
      <c r="N4415">
        <v>6032.7608289999998</v>
      </c>
    </row>
    <row r="4416" spans="12:14" x14ac:dyDescent="0.55000000000000004">
      <c r="L4416">
        <v>4411</v>
      </c>
      <c r="M4416">
        <v>2.9932E-2</v>
      </c>
      <c r="N4416">
        <v>6032.7608289999998</v>
      </c>
    </row>
    <row r="4417" spans="12:14" x14ac:dyDescent="0.55000000000000004">
      <c r="L4417">
        <v>4412</v>
      </c>
      <c r="M4417">
        <v>2.9932E-2</v>
      </c>
      <c r="N4417">
        <v>6032.7608289999998</v>
      </c>
    </row>
    <row r="4418" spans="12:14" x14ac:dyDescent="0.55000000000000004">
      <c r="L4418">
        <v>4413</v>
      </c>
      <c r="M4418">
        <v>2.9932E-2</v>
      </c>
      <c r="N4418">
        <v>6032.7608289999998</v>
      </c>
    </row>
    <row r="4419" spans="12:14" x14ac:dyDescent="0.55000000000000004">
      <c r="L4419">
        <v>4414</v>
      </c>
      <c r="M4419">
        <v>2.9932E-2</v>
      </c>
      <c r="N4419">
        <v>6032.7608289999998</v>
      </c>
    </row>
    <row r="4420" spans="12:14" x14ac:dyDescent="0.55000000000000004">
      <c r="L4420">
        <v>4415</v>
      </c>
      <c r="M4420">
        <v>2.9932E-2</v>
      </c>
      <c r="N4420">
        <v>6032.7608289999998</v>
      </c>
    </row>
    <row r="4421" spans="12:14" x14ac:dyDescent="0.55000000000000004">
      <c r="L4421">
        <v>4416</v>
      </c>
      <c r="M4421">
        <v>2.9932E-2</v>
      </c>
      <c r="N4421">
        <v>6032.7608289999998</v>
      </c>
    </row>
    <row r="4422" spans="12:14" x14ac:dyDescent="0.55000000000000004">
      <c r="L4422">
        <v>4417</v>
      </c>
      <c r="M4422">
        <v>2.9932E-2</v>
      </c>
      <c r="N4422">
        <v>6032.7608289999998</v>
      </c>
    </row>
    <row r="4423" spans="12:14" x14ac:dyDescent="0.55000000000000004">
      <c r="L4423">
        <v>4418</v>
      </c>
      <c r="M4423">
        <v>2.9932E-2</v>
      </c>
      <c r="N4423">
        <v>6032.7608289999998</v>
      </c>
    </row>
    <row r="4424" spans="12:14" x14ac:dyDescent="0.55000000000000004">
      <c r="L4424">
        <v>4419</v>
      </c>
      <c r="M4424">
        <v>2.9932E-2</v>
      </c>
      <c r="N4424">
        <v>6032.7608289999998</v>
      </c>
    </row>
    <row r="4425" spans="12:14" x14ac:dyDescent="0.55000000000000004">
      <c r="L4425">
        <v>4420</v>
      </c>
      <c r="M4425">
        <v>2.9932E-2</v>
      </c>
      <c r="N4425">
        <v>6032.7608289999998</v>
      </c>
    </row>
    <row r="4426" spans="12:14" x14ac:dyDescent="0.55000000000000004">
      <c r="L4426">
        <v>4421</v>
      </c>
      <c r="M4426">
        <v>2.9932E-2</v>
      </c>
      <c r="N4426">
        <v>6032.7608289999998</v>
      </c>
    </row>
    <row r="4427" spans="12:14" x14ac:dyDescent="0.55000000000000004">
      <c r="L4427">
        <v>4422</v>
      </c>
      <c r="M4427">
        <v>2.9932E-2</v>
      </c>
      <c r="N4427">
        <v>6032.7608289999998</v>
      </c>
    </row>
    <row r="4428" spans="12:14" x14ac:dyDescent="0.55000000000000004">
      <c r="L4428">
        <v>4423</v>
      </c>
      <c r="M4428">
        <v>2.9932E-2</v>
      </c>
      <c r="N4428">
        <v>6032.7608289999998</v>
      </c>
    </row>
    <row r="4429" spans="12:14" x14ac:dyDescent="0.55000000000000004">
      <c r="L4429">
        <v>4424</v>
      </c>
      <c r="M4429">
        <v>2.9932E-2</v>
      </c>
      <c r="N4429">
        <v>6032.7608289999998</v>
      </c>
    </row>
    <row r="4430" spans="12:14" x14ac:dyDescent="0.55000000000000004">
      <c r="L4430">
        <v>4425</v>
      </c>
      <c r="M4430">
        <v>2.9932E-2</v>
      </c>
      <c r="N4430">
        <v>6032.7608289999998</v>
      </c>
    </row>
    <row r="4431" spans="12:14" x14ac:dyDescent="0.55000000000000004">
      <c r="L4431">
        <v>4426</v>
      </c>
      <c r="M4431">
        <v>2.9932E-2</v>
      </c>
      <c r="N4431">
        <v>6032.7608289999998</v>
      </c>
    </row>
    <row r="4432" spans="12:14" x14ac:dyDescent="0.55000000000000004">
      <c r="L4432">
        <v>4427</v>
      </c>
      <c r="M4432">
        <v>2.9932E-2</v>
      </c>
      <c r="N4432">
        <v>6032.7608289999998</v>
      </c>
    </row>
    <row r="4433" spans="12:14" x14ac:dyDescent="0.55000000000000004">
      <c r="L4433">
        <v>4428</v>
      </c>
      <c r="M4433">
        <v>2.9932E-2</v>
      </c>
      <c r="N4433">
        <v>6032.7608289999998</v>
      </c>
    </row>
    <row r="4434" spans="12:14" x14ac:dyDescent="0.55000000000000004">
      <c r="L4434">
        <v>4429</v>
      </c>
      <c r="M4434">
        <v>2.9932E-2</v>
      </c>
      <c r="N4434">
        <v>6032.7608289999998</v>
      </c>
    </row>
    <row r="4435" spans="12:14" x14ac:dyDescent="0.55000000000000004">
      <c r="L4435">
        <v>4430</v>
      </c>
      <c r="M4435">
        <v>2.9932E-2</v>
      </c>
      <c r="N4435">
        <v>6032.7608289999998</v>
      </c>
    </row>
    <row r="4436" spans="12:14" x14ac:dyDescent="0.55000000000000004">
      <c r="L4436">
        <v>4431</v>
      </c>
      <c r="M4436">
        <v>2.9932E-2</v>
      </c>
      <c r="N4436">
        <v>6032.7608289999998</v>
      </c>
    </row>
    <row r="4437" spans="12:14" x14ac:dyDescent="0.55000000000000004">
      <c r="L4437">
        <v>4432</v>
      </c>
      <c r="M4437">
        <v>2.9932E-2</v>
      </c>
      <c r="N4437">
        <v>6032.7608289999998</v>
      </c>
    </row>
    <row r="4438" spans="12:14" x14ac:dyDescent="0.55000000000000004">
      <c r="L4438">
        <v>4433</v>
      </c>
      <c r="M4438">
        <v>2.9932E-2</v>
      </c>
      <c r="N4438">
        <v>6032.7608289999998</v>
      </c>
    </row>
    <row r="4439" spans="12:14" x14ac:dyDescent="0.55000000000000004">
      <c r="L4439">
        <v>4434</v>
      </c>
      <c r="M4439">
        <v>2.9932E-2</v>
      </c>
      <c r="N4439">
        <v>6032.7608289999998</v>
      </c>
    </row>
    <row r="4440" spans="12:14" x14ac:dyDescent="0.55000000000000004">
      <c r="L4440">
        <v>4435</v>
      </c>
      <c r="M4440">
        <v>2.9932E-2</v>
      </c>
      <c r="N4440">
        <v>6032.7608289999998</v>
      </c>
    </row>
    <row r="4441" spans="12:14" x14ac:dyDescent="0.55000000000000004">
      <c r="L4441">
        <v>4436</v>
      </c>
      <c r="M4441">
        <v>2.9932E-2</v>
      </c>
      <c r="N4441">
        <v>6032.7608289999998</v>
      </c>
    </row>
    <row r="4442" spans="12:14" x14ac:dyDescent="0.55000000000000004">
      <c r="L4442">
        <v>4437</v>
      </c>
      <c r="M4442">
        <v>2.9932E-2</v>
      </c>
      <c r="N4442">
        <v>6032.7608289999998</v>
      </c>
    </row>
    <row r="4443" spans="12:14" x14ac:dyDescent="0.55000000000000004">
      <c r="L4443">
        <v>4438</v>
      </c>
      <c r="M4443">
        <v>2.9932E-2</v>
      </c>
      <c r="N4443">
        <v>6032.7608289999998</v>
      </c>
    </row>
    <row r="4444" spans="12:14" x14ac:dyDescent="0.55000000000000004">
      <c r="L4444">
        <v>4439</v>
      </c>
      <c r="M4444">
        <v>2.9932E-2</v>
      </c>
      <c r="N4444">
        <v>6032.7608289999998</v>
      </c>
    </row>
    <row r="4445" spans="12:14" x14ac:dyDescent="0.55000000000000004">
      <c r="L4445">
        <v>4440</v>
      </c>
      <c r="M4445">
        <v>2.9932E-2</v>
      </c>
      <c r="N4445">
        <v>6032.7608289999998</v>
      </c>
    </row>
    <row r="4446" spans="12:14" x14ac:dyDescent="0.55000000000000004">
      <c r="L4446">
        <v>4441</v>
      </c>
      <c r="M4446">
        <v>2.9932E-2</v>
      </c>
      <c r="N4446">
        <v>6032.7608289999998</v>
      </c>
    </row>
    <row r="4447" spans="12:14" x14ac:dyDescent="0.55000000000000004">
      <c r="L4447">
        <v>4442</v>
      </c>
      <c r="M4447">
        <v>2.9932E-2</v>
      </c>
      <c r="N4447">
        <v>6032.7608289999998</v>
      </c>
    </row>
    <row r="4448" spans="12:14" x14ac:dyDescent="0.55000000000000004">
      <c r="L4448">
        <v>4443</v>
      </c>
      <c r="M4448">
        <v>2.9932E-2</v>
      </c>
      <c r="N4448">
        <v>6032.7608289999998</v>
      </c>
    </row>
    <row r="4449" spans="12:14" x14ac:dyDescent="0.55000000000000004">
      <c r="L4449">
        <v>4444</v>
      </c>
      <c r="M4449">
        <v>2.9932E-2</v>
      </c>
      <c r="N4449">
        <v>6032.7608289999998</v>
      </c>
    </row>
    <row r="4450" spans="12:14" x14ac:dyDescent="0.55000000000000004">
      <c r="L4450">
        <v>4445</v>
      </c>
      <c r="M4450">
        <v>2.9932E-2</v>
      </c>
      <c r="N4450">
        <v>6032.7608289999998</v>
      </c>
    </row>
    <row r="4451" spans="12:14" x14ac:dyDescent="0.55000000000000004">
      <c r="L4451">
        <v>4446</v>
      </c>
      <c r="M4451">
        <v>2.9932E-2</v>
      </c>
      <c r="N4451">
        <v>6032.7608289999998</v>
      </c>
    </row>
    <row r="4452" spans="12:14" x14ac:dyDescent="0.55000000000000004">
      <c r="L4452">
        <v>4447</v>
      </c>
      <c r="M4452">
        <v>2.9932E-2</v>
      </c>
      <c r="N4452">
        <v>6032.7608289999998</v>
      </c>
    </row>
    <row r="4453" spans="12:14" x14ac:dyDescent="0.55000000000000004">
      <c r="L4453">
        <v>4448</v>
      </c>
      <c r="M4453">
        <v>2.9932E-2</v>
      </c>
      <c r="N4453">
        <v>6032.7608289999998</v>
      </c>
    </row>
    <row r="4454" spans="12:14" x14ac:dyDescent="0.55000000000000004">
      <c r="L4454">
        <v>4449</v>
      </c>
      <c r="M4454">
        <v>2.9932E-2</v>
      </c>
      <c r="N4454">
        <v>6032.7608289999998</v>
      </c>
    </row>
    <row r="4455" spans="12:14" x14ac:dyDescent="0.55000000000000004">
      <c r="L4455">
        <v>4450</v>
      </c>
      <c r="M4455">
        <v>2.9932E-2</v>
      </c>
      <c r="N4455">
        <v>6032.7608289999998</v>
      </c>
    </row>
    <row r="4456" spans="12:14" x14ac:dyDescent="0.55000000000000004">
      <c r="L4456">
        <v>4451</v>
      </c>
      <c r="M4456">
        <v>2.9932E-2</v>
      </c>
      <c r="N4456">
        <v>6032.7608289999998</v>
      </c>
    </row>
    <row r="4457" spans="12:14" x14ac:dyDescent="0.55000000000000004">
      <c r="L4457">
        <v>4452</v>
      </c>
      <c r="M4457">
        <v>2.9932E-2</v>
      </c>
      <c r="N4457">
        <v>6032.7608289999998</v>
      </c>
    </row>
    <row r="4458" spans="12:14" x14ac:dyDescent="0.55000000000000004">
      <c r="L4458">
        <v>4453</v>
      </c>
      <c r="M4458">
        <v>2.9932E-2</v>
      </c>
      <c r="N4458">
        <v>6032.7608289999998</v>
      </c>
    </row>
    <row r="4459" spans="12:14" x14ac:dyDescent="0.55000000000000004">
      <c r="L4459">
        <v>4454</v>
      </c>
      <c r="M4459">
        <v>2.9932E-2</v>
      </c>
      <c r="N4459">
        <v>6032.7608289999998</v>
      </c>
    </row>
    <row r="4460" spans="12:14" x14ac:dyDescent="0.55000000000000004">
      <c r="L4460">
        <v>4455</v>
      </c>
      <c r="M4460">
        <v>2.9932E-2</v>
      </c>
      <c r="N4460">
        <v>6032.7608289999998</v>
      </c>
    </row>
    <row r="4461" spans="12:14" x14ac:dyDescent="0.55000000000000004">
      <c r="L4461">
        <v>4456</v>
      </c>
      <c r="M4461">
        <v>2.9932E-2</v>
      </c>
      <c r="N4461">
        <v>6032.7608289999998</v>
      </c>
    </row>
    <row r="4462" spans="12:14" x14ac:dyDescent="0.55000000000000004">
      <c r="L4462">
        <v>4457</v>
      </c>
      <c r="M4462">
        <v>2.9932E-2</v>
      </c>
      <c r="N4462">
        <v>6032.7608289999998</v>
      </c>
    </row>
    <row r="4463" spans="12:14" x14ac:dyDescent="0.55000000000000004">
      <c r="L4463">
        <v>4458</v>
      </c>
      <c r="M4463">
        <v>2.9932E-2</v>
      </c>
      <c r="N4463">
        <v>6032.7608289999998</v>
      </c>
    </row>
    <row r="4464" spans="12:14" x14ac:dyDescent="0.55000000000000004">
      <c r="L4464">
        <v>4459</v>
      </c>
      <c r="M4464">
        <v>2.9932E-2</v>
      </c>
      <c r="N4464">
        <v>6032.7608289999998</v>
      </c>
    </row>
    <row r="4465" spans="12:14" x14ac:dyDescent="0.55000000000000004">
      <c r="L4465">
        <v>4460</v>
      </c>
      <c r="M4465">
        <v>2.9932E-2</v>
      </c>
      <c r="N4465">
        <v>6032.7608289999998</v>
      </c>
    </row>
    <row r="4466" spans="12:14" x14ac:dyDescent="0.55000000000000004">
      <c r="L4466">
        <v>4461</v>
      </c>
      <c r="M4466">
        <v>2.9932E-2</v>
      </c>
      <c r="N4466">
        <v>6032.7608289999998</v>
      </c>
    </row>
    <row r="4467" spans="12:14" x14ac:dyDescent="0.55000000000000004">
      <c r="L4467">
        <v>4462</v>
      </c>
      <c r="M4467">
        <v>2.9932E-2</v>
      </c>
      <c r="N4467">
        <v>6032.7608289999998</v>
      </c>
    </row>
    <row r="4468" spans="12:14" x14ac:dyDescent="0.55000000000000004">
      <c r="L4468">
        <v>4463</v>
      </c>
      <c r="M4468">
        <v>2.9932E-2</v>
      </c>
      <c r="N4468">
        <v>6032.7608289999998</v>
      </c>
    </row>
    <row r="4469" spans="12:14" x14ac:dyDescent="0.55000000000000004">
      <c r="L4469">
        <v>4464</v>
      </c>
      <c r="M4469">
        <v>2.9932E-2</v>
      </c>
      <c r="N4469">
        <v>6032.7608289999998</v>
      </c>
    </row>
    <row r="4470" spans="12:14" x14ac:dyDescent="0.55000000000000004">
      <c r="L4470">
        <v>4465</v>
      </c>
      <c r="M4470">
        <v>2.9932E-2</v>
      </c>
      <c r="N4470">
        <v>6032.7608289999998</v>
      </c>
    </row>
    <row r="4471" spans="12:14" x14ac:dyDescent="0.55000000000000004">
      <c r="L4471">
        <v>4466</v>
      </c>
      <c r="M4471">
        <v>2.9932E-2</v>
      </c>
      <c r="N4471">
        <v>6032.7608289999998</v>
      </c>
    </row>
    <row r="4472" spans="12:14" x14ac:dyDescent="0.55000000000000004">
      <c r="L4472">
        <v>4467</v>
      </c>
      <c r="M4472">
        <v>2.9932E-2</v>
      </c>
      <c r="N4472">
        <v>6032.7608289999998</v>
      </c>
    </row>
    <row r="4473" spans="12:14" x14ac:dyDescent="0.55000000000000004">
      <c r="L4473">
        <v>4468</v>
      </c>
      <c r="M4473">
        <v>2.9932E-2</v>
      </c>
      <c r="N4473">
        <v>6032.7608289999998</v>
      </c>
    </row>
    <row r="4474" spans="12:14" x14ac:dyDescent="0.55000000000000004">
      <c r="L4474">
        <v>4469</v>
      </c>
      <c r="M4474">
        <v>2.9932E-2</v>
      </c>
      <c r="N4474">
        <v>6032.7608289999998</v>
      </c>
    </row>
    <row r="4475" spans="12:14" x14ac:dyDescent="0.55000000000000004">
      <c r="L4475">
        <v>4470</v>
      </c>
      <c r="M4475">
        <v>2.9932E-2</v>
      </c>
      <c r="N4475">
        <v>6032.7608289999998</v>
      </c>
    </row>
    <row r="4476" spans="12:14" x14ac:dyDescent="0.55000000000000004">
      <c r="L4476">
        <v>4471</v>
      </c>
      <c r="M4476">
        <v>2.9932E-2</v>
      </c>
      <c r="N4476">
        <v>6032.7608289999998</v>
      </c>
    </row>
    <row r="4477" spans="12:14" x14ac:dyDescent="0.55000000000000004">
      <c r="L4477">
        <v>4472</v>
      </c>
      <c r="M4477">
        <v>2.9932E-2</v>
      </c>
      <c r="N4477">
        <v>6032.7608289999998</v>
      </c>
    </row>
    <row r="4478" spans="12:14" x14ac:dyDescent="0.55000000000000004">
      <c r="L4478">
        <v>4473</v>
      </c>
      <c r="M4478">
        <v>2.9932E-2</v>
      </c>
      <c r="N4478">
        <v>6032.7608289999998</v>
      </c>
    </row>
    <row r="4479" spans="12:14" x14ac:dyDescent="0.55000000000000004">
      <c r="L4479">
        <v>4474</v>
      </c>
      <c r="M4479">
        <v>2.9932E-2</v>
      </c>
      <c r="N4479">
        <v>6032.7608289999998</v>
      </c>
    </row>
    <row r="4480" spans="12:14" x14ac:dyDescent="0.55000000000000004">
      <c r="L4480">
        <v>4475</v>
      </c>
      <c r="M4480">
        <v>2.9932E-2</v>
      </c>
      <c r="N4480">
        <v>6032.7608289999998</v>
      </c>
    </row>
    <row r="4481" spans="12:14" x14ac:dyDescent="0.55000000000000004">
      <c r="L4481">
        <v>4476</v>
      </c>
      <c r="M4481">
        <v>2.9932E-2</v>
      </c>
      <c r="N4481">
        <v>6032.7608289999998</v>
      </c>
    </row>
    <row r="4482" spans="12:14" x14ac:dyDescent="0.55000000000000004">
      <c r="L4482">
        <v>4477</v>
      </c>
      <c r="M4482">
        <v>2.9932E-2</v>
      </c>
      <c r="N4482">
        <v>6032.7608289999998</v>
      </c>
    </row>
    <row r="4483" spans="12:14" x14ac:dyDescent="0.55000000000000004">
      <c r="L4483">
        <v>4478</v>
      </c>
      <c r="M4483">
        <v>2.9932E-2</v>
      </c>
      <c r="N4483">
        <v>6032.7608289999998</v>
      </c>
    </row>
    <row r="4484" spans="12:14" x14ac:dyDescent="0.55000000000000004">
      <c r="L4484">
        <v>4479</v>
      </c>
      <c r="M4484">
        <v>2.9932E-2</v>
      </c>
      <c r="N4484">
        <v>6032.7608289999998</v>
      </c>
    </row>
    <row r="4485" spans="12:14" x14ac:dyDescent="0.55000000000000004">
      <c r="L4485">
        <v>4480</v>
      </c>
      <c r="M4485">
        <v>2.9932E-2</v>
      </c>
      <c r="N4485">
        <v>6032.7608289999998</v>
      </c>
    </row>
    <row r="4486" spans="12:14" x14ac:dyDescent="0.55000000000000004">
      <c r="L4486">
        <v>4481</v>
      </c>
      <c r="M4486">
        <v>2.9932E-2</v>
      </c>
      <c r="N4486">
        <v>6032.7608289999998</v>
      </c>
    </row>
    <row r="4487" spans="12:14" x14ac:dyDescent="0.55000000000000004">
      <c r="L4487">
        <v>4482</v>
      </c>
      <c r="M4487">
        <v>2.9932E-2</v>
      </c>
      <c r="N4487">
        <v>6032.7608289999998</v>
      </c>
    </row>
    <row r="4488" spans="12:14" x14ac:dyDescent="0.55000000000000004">
      <c r="L4488">
        <v>4483</v>
      </c>
      <c r="M4488">
        <v>2.9932E-2</v>
      </c>
      <c r="N4488">
        <v>6032.7608289999998</v>
      </c>
    </row>
    <row r="4489" spans="12:14" x14ac:dyDescent="0.55000000000000004">
      <c r="L4489">
        <v>4484</v>
      </c>
      <c r="M4489">
        <v>2.9932E-2</v>
      </c>
      <c r="N4489">
        <v>6032.7608289999998</v>
      </c>
    </row>
    <row r="4490" spans="12:14" x14ac:dyDescent="0.55000000000000004">
      <c r="L4490">
        <v>4485</v>
      </c>
      <c r="M4490">
        <v>2.9932E-2</v>
      </c>
      <c r="N4490">
        <v>6032.7608289999998</v>
      </c>
    </row>
    <row r="4491" spans="12:14" x14ac:dyDescent="0.55000000000000004">
      <c r="L4491">
        <v>4486</v>
      </c>
      <c r="M4491">
        <v>2.9932E-2</v>
      </c>
      <c r="N4491">
        <v>6032.7608289999998</v>
      </c>
    </row>
    <row r="4492" spans="12:14" x14ac:dyDescent="0.55000000000000004">
      <c r="L4492">
        <v>4487</v>
      </c>
      <c r="M4492">
        <v>2.9932E-2</v>
      </c>
      <c r="N4492">
        <v>6032.7608289999998</v>
      </c>
    </row>
    <row r="4493" spans="12:14" x14ac:dyDescent="0.55000000000000004">
      <c r="L4493">
        <v>4488</v>
      </c>
      <c r="M4493">
        <v>2.9932E-2</v>
      </c>
      <c r="N4493">
        <v>6032.7608289999998</v>
      </c>
    </row>
    <row r="4494" spans="12:14" x14ac:dyDescent="0.55000000000000004">
      <c r="L4494">
        <v>4489</v>
      </c>
      <c r="M4494">
        <v>2.9932E-2</v>
      </c>
      <c r="N4494">
        <v>6032.7608289999998</v>
      </c>
    </row>
    <row r="4495" spans="12:14" x14ac:dyDescent="0.55000000000000004">
      <c r="L4495">
        <v>4490</v>
      </c>
      <c r="M4495">
        <v>2.9932E-2</v>
      </c>
      <c r="N4495">
        <v>6032.7608289999998</v>
      </c>
    </row>
    <row r="4496" spans="12:14" x14ac:dyDescent="0.55000000000000004">
      <c r="L4496">
        <v>4491</v>
      </c>
      <c r="M4496">
        <v>2.9932E-2</v>
      </c>
      <c r="N4496">
        <v>6032.7608289999998</v>
      </c>
    </row>
    <row r="4497" spans="12:14" x14ac:dyDescent="0.55000000000000004">
      <c r="L4497">
        <v>4492</v>
      </c>
      <c r="M4497">
        <v>2.9932E-2</v>
      </c>
      <c r="N4497">
        <v>6032.7608289999998</v>
      </c>
    </row>
    <row r="4498" spans="12:14" x14ac:dyDescent="0.55000000000000004">
      <c r="L4498">
        <v>4493</v>
      </c>
      <c r="M4498">
        <v>2.9932E-2</v>
      </c>
      <c r="N4498">
        <v>6032.7608289999998</v>
      </c>
    </row>
    <row r="4499" spans="12:14" x14ac:dyDescent="0.55000000000000004">
      <c r="L4499">
        <v>4494</v>
      </c>
      <c r="M4499">
        <v>2.9932E-2</v>
      </c>
      <c r="N4499">
        <v>6032.7608289999998</v>
      </c>
    </row>
    <row r="4500" spans="12:14" x14ac:dyDescent="0.55000000000000004">
      <c r="L4500">
        <v>4495</v>
      </c>
      <c r="M4500">
        <v>2.9932E-2</v>
      </c>
      <c r="N4500">
        <v>6032.7608289999998</v>
      </c>
    </row>
    <row r="4501" spans="12:14" x14ac:dyDescent="0.55000000000000004">
      <c r="L4501">
        <v>4496</v>
      </c>
      <c r="M4501">
        <v>2.9932E-2</v>
      </c>
      <c r="N4501">
        <v>6032.7608289999998</v>
      </c>
    </row>
    <row r="4502" spans="12:14" x14ac:dyDescent="0.55000000000000004">
      <c r="L4502">
        <v>4497</v>
      </c>
      <c r="M4502">
        <v>2.9932E-2</v>
      </c>
      <c r="N4502">
        <v>6032.7608289999998</v>
      </c>
    </row>
    <row r="4503" spans="12:14" x14ac:dyDescent="0.55000000000000004">
      <c r="L4503">
        <v>4498</v>
      </c>
      <c r="M4503">
        <v>2.9932E-2</v>
      </c>
      <c r="N4503">
        <v>6032.7608289999998</v>
      </c>
    </row>
    <row r="4504" spans="12:14" x14ac:dyDescent="0.55000000000000004">
      <c r="L4504">
        <v>4499</v>
      </c>
      <c r="M4504">
        <v>2.9932E-2</v>
      </c>
      <c r="N4504">
        <v>6032.7608289999998</v>
      </c>
    </row>
    <row r="4505" spans="12:14" x14ac:dyDescent="0.55000000000000004">
      <c r="L4505">
        <v>4500</v>
      </c>
      <c r="M4505">
        <v>2.9932E-2</v>
      </c>
      <c r="N4505">
        <v>6032.7608289999998</v>
      </c>
    </row>
    <row r="4506" spans="12:14" x14ac:dyDescent="0.55000000000000004">
      <c r="L4506">
        <v>4501</v>
      </c>
      <c r="M4506">
        <v>2.9932E-2</v>
      </c>
      <c r="N4506">
        <v>6032.7608289999998</v>
      </c>
    </row>
    <row r="4507" spans="12:14" x14ac:dyDescent="0.55000000000000004">
      <c r="L4507">
        <v>4502</v>
      </c>
      <c r="M4507">
        <v>2.9932E-2</v>
      </c>
      <c r="N4507">
        <v>6032.7608289999998</v>
      </c>
    </row>
    <row r="4508" spans="12:14" x14ac:dyDescent="0.55000000000000004">
      <c r="L4508">
        <v>4503</v>
      </c>
      <c r="M4508">
        <v>2.9932E-2</v>
      </c>
      <c r="N4508">
        <v>6032.7608289999998</v>
      </c>
    </row>
    <row r="4509" spans="12:14" x14ac:dyDescent="0.55000000000000004">
      <c r="L4509">
        <v>4504</v>
      </c>
      <c r="M4509">
        <v>2.9932E-2</v>
      </c>
      <c r="N4509">
        <v>6032.7608289999998</v>
      </c>
    </row>
    <row r="4510" spans="12:14" x14ac:dyDescent="0.55000000000000004">
      <c r="L4510">
        <v>4505</v>
      </c>
      <c r="M4510">
        <v>2.9932E-2</v>
      </c>
      <c r="N4510">
        <v>6032.7608289999998</v>
      </c>
    </row>
    <row r="4511" spans="12:14" x14ac:dyDescent="0.55000000000000004">
      <c r="L4511">
        <v>4506</v>
      </c>
      <c r="M4511">
        <v>2.9932E-2</v>
      </c>
      <c r="N4511">
        <v>6032.7608289999998</v>
      </c>
    </row>
    <row r="4512" spans="12:14" x14ac:dyDescent="0.55000000000000004">
      <c r="L4512">
        <v>4507</v>
      </c>
      <c r="M4512">
        <v>2.9932E-2</v>
      </c>
      <c r="N4512">
        <v>6032.7608289999998</v>
      </c>
    </row>
    <row r="4513" spans="12:14" x14ac:dyDescent="0.55000000000000004">
      <c r="L4513">
        <v>4508</v>
      </c>
      <c r="M4513">
        <v>2.9932E-2</v>
      </c>
      <c r="N4513">
        <v>6032.7608289999998</v>
      </c>
    </row>
    <row r="4514" spans="12:14" x14ac:dyDescent="0.55000000000000004">
      <c r="L4514">
        <v>4509</v>
      </c>
      <c r="M4514">
        <v>2.9932E-2</v>
      </c>
      <c r="N4514">
        <v>6032.7608289999998</v>
      </c>
    </row>
    <row r="4515" spans="12:14" x14ac:dyDescent="0.55000000000000004">
      <c r="L4515">
        <v>4510</v>
      </c>
      <c r="M4515">
        <v>2.9932E-2</v>
      </c>
      <c r="N4515">
        <v>6032.7608289999998</v>
      </c>
    </row>
    <row r="4516" spans="12:14" x14ac:dyDescent="0.55000000000000004">
      <c r="L4516">
        <v>4511</v>
      </c>
      <c r="M4516">
        <v>2.9932E-2</v>
      </c>
      <c r="N4516">
        <v>6032.7608289999998</v>
      </c>
    </row>
    <row r="4517" spans="12:14" x14ac:dyDescent="0.55000000000000004">
      <c r="L4517">
        <v>4512</v>
      </c>
      <c r="M4517">
        <v>2.9932E-2</v>
      </c>
      <c r="N4517">
        <v>6032.7608289999998</v>
      </c>
    </row>
    <row r="4518" spans="12:14" x14ac:dyDescent="0.55000000000000004">
      <c r="L4518">
        <v>4513</v>
      </c>
      <c r="M4518">
        <v>2.9932E-2</v>
      </c>
      <c r="N4518">
        <v>6032.7608289999998</v>
      </c>
    </row>
    <row r="4519" spans="12:14" x14ac:dyDescent="0.55000000000000004">
      <c r="L4519">
        <v>4514</v>
      </c>
      <c r="M4519">
        <v>2.9932E-2</v>
      </c>
      <c r="N4519">
        <v>6032.7608289999998</v>
      </c>
    </row>
    <row r="4520" spans="12:14" x14ac:dyDescent="0.55000000000000004">
      <c r="L4520">
        <v>4515</v>
      </c>
      <c r="M4520">
        <v>2.9932E-2</v>
      </c>
      <c r="N4520">
        <v>6032.7608289999998</v>
      </c>
    </row>
    <row r="4521" spans="12:14" x14ac:dyDescent="0.55000000000000004">
      <c r="L4521">
        <v>4516</v>
      </c>
      <c r="M4521">
        <v>2.9932E-2</v>
      </c>
      <c r="N4521">
        <v>6032.7608289999998</v>
      </c>
    </row>
    <row r="4522" spans="12:14" x14ac:dyDescent="0.55000000000000004">
      <c r="L4522">
        <v>4517</v>
      </c>
      <c r="M4522">
        <v>2.9932E-2</v>
      </c>
      <c r="N4522">
        <v>6032.7608289999998</v>
      </c>
    </row>
    <row r="4523" spans="12:14" x14ac:dyDescent="0.55000000000000004">
      <c r="L4523">
        <v>4518</v>
      </c>
      <c r="M4523">
        <v>2.9932E-2</v>
      </c>
      <c r="N4523">
        <v>6032.7608289999998</v>
      </c>
    </row>
    <row r="4524" spans="12:14" x14ac:dyDescent="0.55000000000000004">
      <c r="L4524">
        <v>4519</v>
      </c>
      <c r="M4524">
        <v>2.9932E-2</v>
      </c>
      <c r="N4524">
        <v>6032.7608289999998</v>
      </c>
    </row>
    <row r="4525" spans="12:14" x14ac:dyDescent="0.55000000000000004">
      <c r="L4525">
        <v>4520</v>
      </c>
      <c r="M4525">
        <v>2.9932E-2</v>
      </c>
      <c r="N4525">
        <v>6032.7608289999998</v>
      </c>
    </row>
    <row r="4526" spans="12:14" x14ac:dyDescent="0.55000000000000004">
      <c r="L4526">
        <v>4521</v>
      </c>
      <c r="M4526">
        <v>2.9932E-2</v>
      </c>
      <c r="N4526">
        <v>6032.7608289999998</v>
      </c>
    </row>
    <row r="4527" spans="12:14" x14ac:dyDescent="0.55000000000000004">
      <c r="L4527">
        <v>4522</v>
      </c>
      <c r="M4527">
        <v>2.9932E-2</v>
      </c>
      <c r="N4527">
        <v>6032.7608289999998</v>
      </c>
    </row>
    <row r="4528" spans="12:14" x14ac:dyDescent="0.55000000000000004">
      <c r="L4528">
        <v>4523</v>
      </c>
      <c r="M4528">
        <v>2.9932E-2</v>
      </c>
      <c r="N4528">
        <v>6032.7608289999998</v>
      </c>
    </row>
    <row r="4529" spans="12:14" x14ac:dyDescent="0.55000000000000004">
      <c r="L4529">
        <v>4524</v>
      </c>
      <c r="M4529">
        <v>2.9932E-2</v>
      </c>
      <c r="N4529">
        <v>6032.7608289999998</v>
      </c>
    </row>
    <row r="4530" spans="12:14" x14ac:dyDescent="0.55000000000000004">
      <c r="L4530">
        <v>4525</v>
      </c>
      <c r="M4530">
        <v>2.9932E-2</v>
      </c>
      <c r="N4530">
        <v>6032.7608289999998</v>
      </c>
    </row>
    <row r="4531" spans="12:14" x14ac:dyDescent="0.55000000000000004">
      <c r="L4531">
        <v>4526</v>
      </c>
      <c r="M4531">
        <v>2.9932E-2</v>
      </c>
      <c r="N4531">
        <v>6032.7608289999998</v>
      </c>
    </row>
    <row r="4532" spans="12:14" x14ac:dyDescent="0.55000000000000004">
      <c r="L4532">
        <v>4527</v>
      </c>
      <c r="M4532">
        <v>2.9932E-2</v>
      </c>
      <c r="N4532">
        <v>6032.7608289999998</v>
      </c>
    </row>
    <row r="4533" spans="12:14" x14ac:dyDescent="0.55000000000000004">
      <c r="L4533">
        <v>4528</v>
      </c>
      <c r="M4533">
        <v>2.9932E-2</v>
      </c>
      <c r="N4533">
        <v>6032.7608289999998</v>
      </c>
    </row>
    <row r="4534" spans="12:14" x14ac:dyDescent="0.55000000000000004">
      <c r="L4534">
        <v>4529</v>
      </c>
      <c r="M4534">
        <v>2.9932E-2</v>
      </c>
      <c r="N4534">
        <v>6032.7608289999998</v>
      </c>
    </row>
    <row r="4535" spans="12:14" x14ac:dyDescent="0.55000000000000004">
      <c r="L4535">
        <v>4530</v>
      </c>
      <c r="M4535">
        <v>2.9932E-2</v>
      </c>
      <c r="N4535">
        <v>6032.7608289999998</v>
      </c>
    </row>
    <row r="4536" spans="12:14" x14ac:dyDescent="0.55000000000000004">
      <c r="L4536">
        <v>4531</v>
      </c>
      <c r="M4536">
        <v>2.9932E-2</v>
      </c>
      <c r="N4536">
        <v>6032.7608289999998</v>
      </c>
    </row>
    <row r="4537" spans="12:14" x14ac:dyDescent="0.55000000000000004">
      <c r="L4537">
        <v>4532</v>
      </c>
      <c r="M4537">
        <v>2.9932E-2</v>
      </c>
      <c r="N4537">
        <v>6032.7608289999998</v>
      </c>
    </row>
    <row r="4538" spans="12:14" x14ac:dyDescent="0.55000000000000004">
      <c r="L4538">
        <v>4533</v>
      </c>
      <c r="M4538">
        <v>2.9932E-2</v>
      </c>
      <c r="N4538">
        <v>6032.7608289999998</v>
      </c>
    </row>
    <row r="4539" spans="12:14" x14ac:dyDescent="0.55000000000000004">
      <c r="L4539">
        <v>4534</v>
      </c>
      <c r="M4539">
        <v>2.9932E-2</v>
      </c>
      <c r="N4539">
        <v>6032.7608289999998</v>
      </c>
    </row>
    <row r="4540" spans="12:14" x14ac:dyDescent="0.55000000000000004">
      <c r="L4540">
        <v>4535</v>
      </c>
      <c r="M4540">
        <v>2.9932E-2</v>
      </c>
      <c r="N4540">
        <v>6032.7608289999998</v>
      </c>
    </row>
    <row r="4541" spans="12:14" x14ac:dyDescent="0.55000000000000004">
      <c r="L4541">
        <v>4536</v>
      </c>
      <c r="M4541">
        <v>2.9932E-2</v>
      </c>
      <c r="N4541">
        <v>6032.7608289999998</v>
      </c>
    </row>
    <row r="4542" spans="12:14" x14ac:dyDescent="0.55000000000000004">
      <c r="L4542">
        <v>4537</v>
      </c>
      <c r="M4542">
        <v>2.9932E-2</v>
      </c>
      <c r="N4542">
        <v>6032.7608289999998</v>
      </c>
    </row>
    <row r="4543" spans="12:14" x14ac:dyDescent="0.55000000000000004">
      <c r="L4543">
        <v>4538</v>
      </c>
      <c r="M4543">
        <v>2.9932E-2</v>
      </c>
      <c r="N4543">
        <v>6032.7608289999998</v>
      </c>
    </row>
    <row r="4544" spans="12:14" x14ac:dyDescent="0.55000000000000004">
      <c r="L4544">
        <v>4539</v>
      </c>
      <c r="M4544">
        <v>2.9932E-2</v>
      </c>
      <c r="N4544">
        <v>6032.7608289999998</v>
      </c>
    </row>
    <row r="4545" spans="12:14" x14ac:dyDescent="0.55000000000000004">
      <c r="L4545">
        <v>4540</v>
      </c>
      <c r="M4545">
        <v>2.9932E-2</v>
      </c>
      <c r="N4545">
        <v>6032.7608289999998</v>
      </c>
    </row>
    <row r="4546" spans="12:14" x14ac:dyDescent="0.55000000000000004">
      <c r="L4546">
        <v>4541</v>
      </c>
      <c r="M4546">
        <v>2.9932E-2</v>
      </c>
      <c r="N4546">
        <v>6032.7608289999998</v>
      </c>
    </row>
    <row r="4547" spans="12:14" x14ac:dyDescent="0.55000000000000004">
      <c r="L4547">
        <v>4542</v>
      </c>
      <c r="M4547">
        <v>2.9932E-2</v>
      </c>
      <c r="N4547">
        <v>6032.7608289999998</v>
      </c>
    </row>
    <row r="4548" spans="12:14" x14ac:dyDescent="0.55000000000000004">
      <c r="L4548">
        <v>4543</v>
      </c>
      <c r="M4548">
        <v>2.9932E-2</v>
      </c>
      <c r="N4548">
        <v>6032.7608289999998</v>
      </c>
    </row>
    <row r="4549" spans="12:14" x14ac:dyDescent="0.55000000000000004">
      <c r="L4549">
        <v>4544</v>
      </c>
      <c r="M4549">
        <v>2.9932E-2</v>
      </c>
      <c r="N4549">
        <v>6032.7608289999998</v>
      </c>
    </row>
    <row r="4550" spans="12:14" x14ac:dyDescent="0.55000000000000004">
      <c r="L4550">
        <v>4545</v>
      </c>
      <c r="M4550">
        <v>2.9932E-2</v>
      </c>
      <c r="N4550">
        <v>6032.7608289999998</v>
      </c>
    </row>
    <row r="4551" spans="12:14" x14ac:dyDescent="0.55000000000000004">
      <c r="L4551">
        <v>4546</v>
      </c>
      <c r="M4551">
        <v>2.9932E-2</v>
      </c>
      <c r="N4551">
        <v>6032.7608289999998</v>
      </c>
    </row>
    <row r="4552" spans="12:14" x14ac:dyDescent="0.55000000000000004">
      <c r="L4552">
        <v>4547</v>
      </c>
      <c r="M4552">
        <v>2.9932E-2</v>
      </c>
      <c r="N4552">
        <v>6032.7608289999998</v>
      </c>
    </row>
    <row r="4553" spans="12:14" x14ac:dyDescent="0.55000000000000004">
      <c r="L4553">
        <v>4548</v>
      </c>
      <c r="M4553">
        <v>2.9932E-2</v>
      </c>
      <c r="N4553">
        <v>6032.7608289999998</v>
      </c>
    </row>
    <row r="4554" spans="12:14" x14ac:dyDescent="0.55000000000000004">
      <c r="L4554">
        <v>4549</v>
      </c>
      <c r="M4554">
        <v>2.9932E-2</v>
      </c>
      <c r="N4554">
        <v>6032.7608289999998</v>
      </c>
    </row>
    <row r="4555" spans="12:14" x14ac:dyDescent="0.55000000000000004">
      <c r="L4555">
        <v>4550</v>
      </c>
      <c r="M4555">
        <v>2.9932E-2</v>
      </c>
      <c r="N4555">
        <v>6032.7608289999998</v>
      </c>
    </row>
    <row r="4556" spans="12:14" x14ac:dyDescent="0.55000000000000004">
      <c r="L4556">
        <v>4551</v>
      </c>
      <c r="M4556">
        <v>2.9932E-2</v>
      </c>
      <c r="N4556">
        <v>6032.7608289999998</v>
      </c>
    </row>
    <row r="4557" spans="12:14" x14ac:dyDescent="0.55000000000000004">
      <c r="L4557">
        <v>4552</v>
      </c>
      <c r="M4557">
        <v>2.9932E-2</v>
      </c>
      <c r="N4557">
        <v>6032.7608289999998</v>
      </c>
    </row>
    <row r="4558" spans="12:14" x14ac:dyDescent="0.55000000000000004">
      <c r="L4558">
        <v>4553</v>
      </c>
      <c r="M4558">
        <v>2.9932E-2</v>
      </c>
      <c r="N4558">
        <v>6032.7608289999998</v>
      </c>
    </row>
    <row r="4559" spans="12:14" x14ac:dyDescent="0.55000000000000004">
      <c r="L4559">
        <v>4554</v>
      </c>
      <c r="M4559">
        <v>2.9932E-2</v>
      </c>
      <c r="N4559">
        <v>6032.7608289999998</v>
      </c>
    </row>
    <row r="4560" spans="12:14" x14ac:dyDescent="0.55000000000000004">
      <c r="L4560">
        <v>4555</v>
      </c>
      <c r="M4560">
        <v>2.9932E-2</v>
      </c>
      <c r="N4560">
        <v>6032.7608289999998</v>
      </c>
    </row>
    <row r="4561" spans="12:14" x14ac:dyDescent="0.55000000000000004">
      <c r="L4561">
        <v>4556</v>
      </c>
      <c r="M4561">
        <v>2.9932E-2</v>
      </c>
      <c r="N4561">
        <v>6032.7608289999998</v>
      </c>
    </row>
    <row r="4562" spans="12:14" x14ac:dyDescent="0.55000000000000004">
      <c r="L4562">
        <v>4557</v>
      </c>
      <c r="M4562">
        <v>2.9932E-2</v>
      </c>
      <c r="N4562">
        <v>6032.7608289999998</v>
      </c>
    </row>
    <row r="4563" spans="12:14" x14ac:dyDescent="0.55000000000000004">
      <c r="L4563">
        <v>4558</v>
      </c>
      <c r="M4563">
        <v>2.9932E-2</v>
      </c>
      <c r="N4563">
        <v>6032.7608289999998</v>
      </c>
    </row>
    <row r="4564" spans="12:14" x14ac:dyDescent="0.55000000000000004">
      <c r="L4564">
        <v>4559</v>
      </c>
      <c r="M4564">
        <v>2.9932E-2</v>
      </c>
      <c r="N4564">
        <v>6032.7608289999998</v>
      </c>
    </row>
    <row r="4565" spans="12:14" x14ac:dyDescent="0.55000000000000004">
      <c r="L4565">
        <v>4560</v>
      </c>
      <c r="M4565">
        <v>2.9932E-2</v>
      </c>
      <c r="N4565">
        <v>6032.7608289999998</v>
      </c>
    </row>
    <row r="4566" spans="12:14" x14ac:dyDescent="0.55000000000000004">
      <c r="L4566">
        <v>4561</v>
      </c>
      <c r="M4566">
        <v>2.9932E-2</v>
      </c>
      <c r="N4566">
        <v>6032.7608289999998</v>
      </c>
    </row>
    <row r="4567" spans="12:14" x14ac:dyDescent="0.55000000000000004">
      <c r="L4567">
        <v>4562</v>
      </c>
      <c r="M4567">
        <v>2.9932E-2</v>
      </c>
      <c r="N4567">
        <v>6032.7608289999998</v>
      </c>
    </row>
    <row r="4568" spans="12:14" x14ac:dyDescent="0.55000000000000004">
      <c r="L4568">
        <v>4563</v>
      </c>
      <c r="M4568">
        <v>2.9932E-2</v>
      </c>
      <c r="N4568">
        <v>6032.7608289999998</v>
      </c>
    </row>
    <row r="4569" spans="12:14" x14ac:dyDescent="0.55000000000000004">
      <c r="L4569">
        <v>4564</v>
      </c>
      <c r="M4569">
        <v>2.9932E-2</v>
      </c>
      <c r="N4569">
        <v>6032.7608289999998</v>
      </c>
    </row>
    <row r="4570" spans="12:14" x14ac:dyDescent="0.55000000000000004">
      <c r="L4570">
        <v>4565</v>
      </c>
      <c r="M4570">
        <v>2.9932E-2</v>
      </c>
      <c r="N4570">
        <v>6032.7608289999998</v>
      </c>
    </row>
    <row r="4571" spans="12:14" x14ac:dyDescent="0.55000000000000004">
      <c r="L4571">
        <v>4566</v>
      </c>
      <c r="M4571">
        <v>2.9932E-2</v>
      </c>
      <c r="N4571">
        <v>6032.7608289999998</v>
      </c>
    </row>
    <row r="4572" spans="12:14" x14ac:dyDescent="0.55000000000000004">
      <c r="L4572">
        <v>4567</v>
      </c>
      <c r="M4572">
        <v>2.9932E-2</v>
      </c>
      <c r="N4572">
        <v>6032.7608289999998</v>
      </c>
    </row>
    <row r="4573" spans="12:14" x14ac:dyDescent="0.55000000000000004">
      <c r="L4573">
        <v>4568</v>
      </c>
      <c r="M4573">
        <v>2.9932E-2</v>
      </c>
      <c r="N4573">
        <v>6032.7608289999998</v>
      </c>
    </row>
    <row r="4574" spans="12:14" x14ac:dyDescent="0.55000000000000004">
      <c r="L4574">
        <v>4569</v>
      </c>
      <c r="M4574">
        <v>2.9932E-2</v>
      </c>
      <c r="N4574">
        <v>6032.7608289999998</v>
      </c>
    </row>
    <row r="4575" spans="12:14" x14ac:dyDescent="0.55000000000000004">
      <c r="L4575">
        <v>4570</v>
      </c>
      <c r="M4575">
        <v>2.9932E-2</v>
      </c>
      <c r="N4575">
        <v>6032.7608289999998</v>
      </c>
    </row>
    <row r="4576" spans="12:14" x14ac:dyDescent="0.55000000000000004">
      <c r="L4576">
        <v>4571</v>
      </c>
      <c r="M4576">
        <v>2.9932E-2</v>
      </c>
      <c r="N4576">
        <v>6032.7608289999998</v>
      </c>
    </row>
    <row r="4577" spans="12:14" x14ac:dyDescent="0.55000000000000004">
      <c r="L4577">
        <v>4572</v>
      </c>
      <c r="M4577">
        <v>2.9932E-2</v>
      </c>
      <c r="N4577">
        <v>6032.7608289999998</v>
      </c>
    </row>
    <row r="4578" spans="12:14" x14ac:dyDescent="0.55000000000000004">
      <c r="L4578">
        <v>4573</v>
      </c>
      <c r="M4578">
        <v>2.9932E-2</v>
      </c>
      <c r="N4578">
        <v>6032.7608289999998</v>
      </c>
    </row>
    <row r="4579" spans="12:14" x14ac:dyDescent="0.55000000000000004">
      <c r="L4579">
        <v>4574</v>
      </c>
      <c r="M4579">
        <v>2.9932E-2</v>
      </c>
      <c r="N4579">
        <v>6032.7608289999998</v>
      </c>
    </row>
    <row r="4580" spans="12:14" x14ac:dyDescent="0.55000000000000004">
      <c r="L4580">
        <v>4575</v>
      </c>
      <c r="M4580">
        <v>2.9932E-2</v>
      </c>
      <c r="N4580">
        <v>6032.7608289999998</v>
      </c>
    </row>
    <row r="4581" spans="12:14" x14ac:dyDescent="0.55000000000000004">
      <c r="L4581">
        <v>4576</v>
      </c>
      <c r="M4581">
        <v>2.9932E-2</v>
      </c>
      <c r="N4581">
        <v>6032.7608289999998</v>
      </c>
    </row>
    <row r="4582" spans="12:14" x14ac:dyDescent="0.55000000000000004">
      <c r="L4582">
        <v>4577</v>
      </c>
      <c r="M4582">
        <v>2.9932E-2</v>
      </c>
      <c r="N4582">
        <v>6032.7608289999998</v>
      </c>
    </row>
    <row r="4583" spans="12:14" x14ac:dyDescent="0.55000000000000004">
      <c r="L4583">
        <v>4578</v>
      </c>
      <c r="M4583">
        <v>2.9932E-2</v>
      </c>
      <c r="N4583">
        <v>6032.7608289999998</v>
      </c>
    </row>
    <row r="4584" spans="12:14" x14ac:dyDescent="0.55000000000000004">
      <c r="L4584">
        <v>4579</v>
      </c>
      <c r="M4584">
        <v>2.9932E-2</v>
      </c>
      <c r="N4584">
        <v>6032.7608289999998</v>
      </c>
    </row>
    <row r="4585" spans="12:14" x14ac:dyDescent="0.55000000000000004">
      <c r="L4585">
        <v>4580</v>
      </c>
      <c r="M4585">
        <v>2.9932E-2</v>
      </c>
      <c r="N4585">
        <v>6032.7608289999998</v>
      </c>
    </row>
    <row r="4586" spans="12:14" x14ac:dyDescent="0.55000000000000004">
      <c r="L4586">
        <v>4581</v>
      </c>
      <c r="M4586">
        <v>2.9932E-2</v>
      </c>
      <c r="N4586">
        <v>6032.7608289999998</v>
      </c>
    </row>
    <row r="4587" spans="12:14" x14ac:dyDescent="0.55000000000000004">
      <c r="L4587">
        <v>4582</v>
      </c>
      <c r="M4587">
        <v>2.9932E-2</v>
      </c>
      <c r="N4587">
        <v>6032.7608289999998</v>
      </c>
    </row>
    <row r="4588" spans="12:14" x14ac:dyDescent="0.55000000000000004">
      <c r="L4588">
        <v>4583</v>
      </c>
      <c r="M4588">
        <v>2.9932E-2</v>
      </c>
      <c r="N4588">
        <v>6032.7608289999998</v>
      </c>
    </row>
    <row r="4589" spans="12:14" x14ac:dyDescent="0.55000000000000004">
      <c r="L4589">
        <v>4584</v>
      </c>
      <c r="M4589">
        <v>2.9932E-2</v>
      </c>
      <c r="N4589">
        <v>6032.7608289999998</v>
      </c>
    </row>
    <row r="4590" spans="12:14" x14ac:dyDescent="0.55000000000000004">
      <c r="L4590">
        <v>4585</v>
      </c>
      <c r="M4590">
        <v>2.9932E-2</v>
      </c>
      <c r="N4590">
        <v>6032.7608289999998</v>
      </c>
    </row>
    <row r="4591" spans="12:14" x14ac:dyDescent="0.55000000000000004">
      <c r="L4591">
        <v>4586</v>
      </c>
      <c r="M4591">
        <v>2.9932E-2</v>
      </c>
      <c r="N4591">
        <v>6032.7608289999998</v>
      </c>
    </row>
    <row r="4592" spans="12:14" x14ac:dyDescent="0.55000000000000004">
      <c r="L4592">
        <v>4587</v>
      </c>
      <c r="M4592">
        <v>2.9932E-2</v>
      </c>
      <c r="N4592">
        <v>6032.7608289999998</v>
      </c>
    </row>
    <row r="4593" spans="12:14" x14ac:dyDescent="0.55000000000000004">
      <c r="L4593">
        <v>4588</v>
      </c>
      <c r="M4593">
        <v>2.9932E-2</v>
      </c>
      <c r="N4593">
        <v>6032.7608289999998</v>
      </c>
    </row>
    <row r="4594" spans="12:14" x14ac:dyDescent="0.55000000000000004">
      <c r="L4594">
        <v>4589</v>
      </c>
      <c r="M4594">
        <v>2.9932E-2</v>
      </c>
      <c r="N4594">
        <v>6032.7608289999998</v>
      </c>
    </row>
    <row r="4595" spans="12:14" x14ac:dyDescent="0.55000000000000004">
      <c r="L4595">
        <v>4590</v>
      </c>
      <c r="M4595">
        <v>2.9932E-2</v>
      </c>
      <c r="N4595">
        <v>6032.7608289999998</v>
      </c>
    </row>
    <row r="4596" spans="12:14" x14ac:dyDescent="0.55000000000000004">
      <c r="L4596">
        <v>4591</v>
      </c>
      <c r="M4596">
        <v>2.9932E-2</v>
      </c>
      <c r="N4596">
        <v>6032.7608289999998</v>
      </c>
    </row>
    <row r="4597" spans="12:14" x14ac:dyDescent="0.55000000000000004">
      <c r="L4597">
        <v>4592</v>
      </c>
      <c r="M4597">
        <v>2.9932E-2</v>
      </c>
      <c r="N4597">
        <v>6032.7608289999998</v>
      </c>
    </row>
    <row r="4598" spans="12:14" x14ac:dyDescent="0.55000000000000004">
      <c r="L4598">
        <v>4593</v>
      </c>
      <c r="M4598">
        <v>2.9932E-2</v>
      </c>
      <c r="N4598">
        <v>6032.7608289999998</v>
      </c>
    </row>
    <row r="4599" spans="12:14" x14ac:dyDescent="0.55000000000000004">
      <c r="L4599">
        <v>4594</v>
      </c>
      <c r="M4599">
        <v>2.9932E-2</v>
      </c>
      <c r="N4599">
        <v>6032.7608289999998</v>
      </c>
    </row>
    <row r="4600" spans="12:14" x14ac:dyDescent="0.55000000000000004">
      <c r="L4600">
        <v>4595</v>
      </c>
      <c r="M4600">
        <v>2.9932E-2</v>
      </c>
      <c r="N4600">
        <v>6032.7608289999998</v>
      </c>
    </row>
    <row r="4601" spans="12:14" x14ac:dyDescent="0.55000000000000004">
      <c r="L4601">
        <v>4596</v>
      </c>
      <c r="M4601">
        <v>2.9932E-2</v>
      </c>
      <c r="N4601">
        <v>6032.7608289999998</v>
      </c>
    </row>
    <row r="4602" spans="12:14" x14ac:dyDescent="0.55000000000000004">
      <c r="L4602">
        <v>4597</v>
      </c>
      <c r="M4602">
        <v>2.9932E-2</v>
      </c>
      <c r="N4602">
        <v>6032.7608289999998</v>
      </c>
    </row>
    <row r="4603" spans="12:14" x14ac:dyDescent="0.55000000000000004">
      <c r="L4603">
        <v>4598</v>
      </c>
      <c r="M4603">
        <v>2.9932E-2</v>
      </c>
      <c r="N4603">
        <v>6032.7608289999998</v>
      </c>
    </row>
    <row r="4604" spans="12:14" x14ac:dyDescent="0.55000000000000004">
      <c r="L4604">
        <v>4599</v>
      </c>
      <c r="M4604">
        <v>2.9932E-2</v>
      </c>
      <c r="N4604">
        <v>6032.7608289999998</v>
      </c>
    </row>
    <row r="4605" spans="12:14" x14ac:dyDescent="0.55000000000000004">
      <c r="L4605">
        <v>4600</v>
      </c>
      <c r="M4605">
        <v>2.9932E-2</v>
      </c>
      <c r="N4605">
        <v>6032.7608289999998</v>
      </c>
    </row>
    <row r="4606" spans="12:14" x14ac:dyDescent="0.55000000000000004">
      <c r="L4606">
        <v>4601</v>
      </c>
      <c r="M4606">
        <v>2.9932E-2</v>
      </c>
      <c r="N4606">
        <v>6032.7608289999998</v>
      </c>
    </row>
    <row r="4607" spans="12:14" x14ac:dyDescent="0.55000000000000004">
      <c r="L4607">
        <v>4602</v>
      </c>
      <c r="M4607">
        <v>2.9932E-2</v>
      </c>
      <c r="N4607">
        <v>6032.7608289999998</v>
      </c>
    </row>
    <row r="4608" spans="12:14" x14ac:dyDescent="0.55000000000000004">
      <c r="L4608">
        <v>4603</v>
      </c>
      <c r="M4608">
        <v>2.9932E-2</v>
      </c>
      <c r="N4608">
        <v>6032.7608289999998</v>
      </c>
    </row>
    <row r="4609" spans="12:14" x14ac:dyDescent="0.55000000000000004">
      <c r="L4609">
        <v>4604</v>
      </c>
      <c r="M4609">
        <v>2.9932E-2</v>
      </c>
      <c r="N4609">
        <v>6032.7608289999998</v>
      </c>
    </row>
    <row r="4610" spans="12:14" x14ac:dyDescent="0.55000000000000004">
      <c r="L4610">
        <v>4605</v>
      </c>
      <c r="M4610">
        <v>2.9932E-2</v>
      </c>
      <c r="N4610">
        <v>6032.7608289999998</v>
      </c>
    </row>
    <row r="4611" spans="12:14" x14ac:dyDescent="0.55000000000000004">
      <c r="L4611">
        <v>4606</v>
      </c>
      <c r="M4611">
        <v>2.9932E-2</v>
      </c>
      <c r="N4611">
        <v>6032.7608289999998</v>
      </c>
    </row>
    <row r="4612" spans="12:14" x14ac:dyDescent="0.55000000000000004">
      <c r="L4612">
        <v>4607</v>
      </c>
      <c r="M4612">
        <v>2.9932E-2</v>
      </c>
      <c r="N4612">
        <v>6032.7608289999998</v>
      </c>
    </row>
    <row r="4613" spans="12:14" x14ac:dyDescent="0.55000000000000004">
      <c r="L4613">
        <v>4608</v>
      </c>
      <c r="M4613">
        <v>2.9932E-2</v>
      </c>
      <c r="N4613">
        <v>6032.7608289999998</v>
      </c>
    </row>
    <row r="4614" spans="12:14" x14ac:dyDescent="0.55000000000000004">
      <c r="L4614">
        <v>4609</v>
      </c>
      <c r="M4614">
        <v>2.9932E-2</v>
      </c>
      <c r="N4614">
        <v>6032.7608289999998</v>
      </c>
    </row>
    <row r="4615" spans="12:14" x14ac:dyDescent="0.55000000000000004">
      <c r="L4615">
        <v>4610</v>
      </c>
      <c r="M4615">
        <v>2.9932E-2</v>
      </c>
      <c r="N4615">
        <v>6032.7608289999998</v>
      </c>
    </row>
    <row r="4616" spans="12:14" x14ac:dyDescent="0.55000000000000004">
      <c r="L4616">
        <v>4611</v>
      </c>
      <c r="M4616">
        <v>2.9932E-2</v>
      </c>
      <c r="N4616">
        <v>6032.7608289999998</v>
      </c>
    </row>
    <row r="4617" spans="12:14" x14ac:dyDescent="0.55000000000000004">
      <c r="L4617">
        <v>4612</v>
      </c>
      <c r="M4617">
        <v>2.9932E-2</v>
      </c>
      <c r="N4617">
        <v>6032.7608289999998</v>
      </c>
    </row>
    <row r="4618" spans="12:14" x14ac:dyDescent="0.55000000000000004">
      <c r="L4618">
        <v>4613</v>
      </c>
      <c r="M4618">
        <v>2.9932E-2</v>
      </c>
      <c r="N4618">
        <v>6032.7608289999998</v>
      </c>
    </row>
    <row r="4619" spans="12:14" x14ac:dyDescent="0.55000000000000004">
      <c r="L4619">
        <v>4614</v>
      </c>
      <c r="M4619">
        <v>2.9932E-2</v>
      </c>
      <c r="N4619">
        <v>6032.7608289999998</v>
      </c>
    </row>
    <row r="4620" spans="12:14" x14ac:dyDescent="0.55000000000000004">
      <c r="L4620">
        <v>4615</v>
      </c>
      <c r="M4620">
        <v>2.9932E-2</v>
      </c>
      <c r="N4620">
        <v>6032.7608289999998</v>
      </c>
    </row>
    <row r="4621" spans="12:14" x14ac:dyDescent="0.55000000000000004">
      <c r="L4621">
        <v>4616</v>
      </c>
      <c r="M4621">
        <v>2.9932E-2</v>
      </c>
      <c r="N4621">
        <v>6032.7608289999998</v>
      </c>
    </row>
    <row r="4622" spans="12:14" x14ac:dyDescent="0.55000000000000004">
      <c r="L4622">
        <v>4617</v>
      </c>
      <c r="M4622">
        <v>2.9932E-2</v>
      </c>
      <c r="N4622">
        <v>6032.7608289999998</v>
      </c>
    </row>
    <row r="4623" spans="12:14" x14ac:dyDescent="0.55000000000000004">
      <c r="L4623">
        <v>4618</v>
      </c>
      <c r="M4623">
        <v>2.9932E-2</v>
      </c>
      <c r="N4623">
        <v>6032.7608289999998</v>
      </c>
    </row>
    <row r="4624" spans="12:14" x14ac:dyDescent="0.55000000000000004">
      <c r="L4624">
        <v>4619</v>
      </c>
      <c r="M4624">
        <v>2.9932E-2</v>
      </c>
      <c r="N4624">
        <v>6032.7608289999998</v>
      </c>
    </row>
    <row r="4625" spans="12:14" x14ac:dyDescent="0.55000000000000004">
      <c r="L4625">
        <v>4620</v>
      </c>
      <c r="M4625">
        <v>2.9932E-2</v>
      </c>
      <c r="N4625">
        <v>6032.7608289999998</v>
      </c>
    </row>
    <row r="4626" spans="12:14" x14ac:dyDescent="0.55000000000000004">
      <c r="L4626">
        <v>4621</v>
      </c>
      <c r="M4626">
        <v>2.9932E-2</v>
      </c>
      <c r="N4626">
        <v>6032.7608289999998</v>
      </c>
    </row>
    <row r="4627" spans="12:14" x14ac:dyDescent="0.55000000000000004">
      <c r="L4627">
        <v>4622</v>
      </c>
      <c r="M4627">
        <v>2.9932E-2</v>
      </c>
      <c r="N4627">
        <v>6032.7608289999998</v>
      </c>
    </row>
    <row r="4628" spans="12:14" x14ac:dyDescent="0.55000000000000004">
      <c r="L4628">
        <v>4623</v>
      </c>
      <c r="M4628">
        <v>2.9932E-2</v>
      </c>
      <c r="N4628">
        <v>6032.7608289999998</v>
      </c>
    </row>
    <row r="4629" spans="12:14" x14ac:dyDescent="0.55000000000000004">
      <c r="L4629">
        <v>4624</v>
      </c>
      <c r="M4629">
        <v>2.9932E-2</v>
      </c>
      <c r="N4629">
        <v>6032.7608289999998</v>
      </c>
    </row>
    <row r="4630" spans="12:14" x14ac:dyDescent="0.55000000000000004">
      <c r="L4630">
        <v>4625</v>
      </c>
      <c r="M4630">
        <v>2.9932E-2</v>
      </c>
      <c r="N4630">
        <v>6032.7608289999998</v>
      </c>
    </row>
    <row r="4631" spans="12:14" x14ac:dyDescent="0.55000000000000004">
      <c r="L4631">
        <v>4626</v>
      </c>
      <c r="M4631">
        <v>2.9932E-2</v>
      </c>
      <c r="N4631">
        <v>6032.7608289999998</v>
      </c>
    </row>
    <row r="4632" spans="12:14" x14ac:dyDescent="0.55000000000000004">
      <c r="L4632">
        <v>4627</v>
      </c>
      <c r="M4632">
        <v>2.9932E-2</v>
      </c>
      <c r="N4632">
        <v>6032.7608289999998</v>
      </c>
    </row>
    <row r="4633" spans="12:14" x14ac:dyDescent="0.55000000000000004">
      <c r="L4633">
        <v>4628</v>
      </c>
      <c r="M4633">
        <v>2.9932E-2</v>
      </c>
      <c r="N4633">
        <v>6032.7608289999998</v>
      </c>
    </row>
    <row r="4634" spans="12:14" x14ac:dyDescent="0.55000000000000004">
      <c r="L4634">
        <v>4629</v>
      </c>
      <c r="M4634">
        <v>2.9932E-2</v>
      </c>
      <c r="N4634">
        <v>6032.7608289999998</v>
      </c>
    </row>
    <row r="4635" spans="12:14" x14ac:dyDescent="0.55000000000000004">
      <c r="L4635">
        <v>4630</v>
      </c>
      <c r="M4635">
        <v>2.9932E-2</v>
      </c>
      <c r="N4635">
        <v>6032.7608289999998</v>
      </c>
    </row>
    <row r="4636" spans="12:14" x14ac:dyDescent="0.55000000000000004">
      <c r="L4636">
        <v>4631</v>
      </c>
      <c r="M4636">
        <v>2.9932E-2</v>
      </c>
      <c r="N4636">
        <v>6032.7608289999998</v>
      </c>
    </row>
    <row r="4637" spans="12:14" x14ac:dyDescent="0.55000000000000004">
      <c r="L4637">
        <v>4632</v>
      </c>
      <c r="M4637">
        <v>2.9932E-2</v>
      </c>
      <c r="N4637">
        <v>6032.7608289999998</v>
      </c>
    </row>
    <row r="4638" spans="12:14" x14ac:dyDescent="0.55000000000000004">
      <c r="L4638">
        <v>4633</v>
      </c>
      <c r="M4638">
        <v>2.9932E-2</v>
      </c>
      <c r="N4638">
        <v>6032.7608289999998</v>
      </c>
    </row>
    <row r="4639" spans="12:14" x14ac:dyDescent="0.55000000000000004">
      <c r="L4639">
        <v>4634</v>
      </c>
      <c r="M4639">
        <v>2.9932E-2</v>
      </c>
      <c r="N4639">
        <v>6032.7608289999998</v>
      </c>
    </row>
    <row r="4640" spans="12:14" x14ac:dyDescent="0.55000000000000004">
      <c r="L4640">
        <v>4635</v>
      </c>
      <c r="M4640">
        <v>2.9932E-2</v>
      </c>
      <c r="N4640">
        <v>6032.7608289999998</v>
      </c>
    </row>
    <row r="4641" spans="12:14" x14ac:dyDescent="0.55000000000000004">
      <c r="L4641">
        <v>4636</v>
      </c>
      <c r="M4641">
        <v>2.9932E-2</v>
      </c>
      <c r="N4641">
        <v>6032.7608289999998</v>
      </c>
    </row>
    <row r="4642" spans="12:14" x14ac:dyDescent="0.55000000000000004">
      <c r="L4642">
        <v>4637</v>
      </c>
      <c r="M4642">
        <v>2.9932E-2</v>
      </c>
      <c r="N4642">
        <v>6032.7608289999998</v>
      </c>
    </row>
    <row r="4643" spans="12:14" x14ac:dyDescent="0.55000000000000004">
      <c r="L4643">
        <v>4638</v>
      </c>
      <c r="M4643">
        <v>2.9932E-2</v>
      </c>
      <c r="N4643">
        <v>6032.7608289999998</v>
      </c>
    </row>
    <row r="4644" spans="12:14" x14ac:dyDescent="0.55000000000000004">
      <c r="L4644">
        <v>4639</v>
      </c>
      <c r="M4644">
        <v>2.9932E-2</v>
      </c>
      <c r="N4644">
        <v>6032.7608289999998</v>
      </c>
    </row>
    <row r="4645" spans="12:14" x14ac:dyDescent="0.55000000000000004">
      <c r="L4645">
        <v>4640</v>
      </c>
      <c r="M4645">
        <v>2.9932E-2</v>
      </c>
      <c r="N4645">
        <v>6032.7608289999998</v>
      </c>
    </row>
    <row r="4646" spans="12:14" x14ac:dyDescent="0.55000000000000004">
      <c r="L4646">
        <v>4641</v>
      </c>
      <c r="M4646">
        <v>2.9932E-2</v>
      </c>
      <c r="N4646">
        <v>6032.7608289999998</v>
      </c>
    </row>
    <row r="4647" spans="12:14" x14ac:dyDescent="0.55000000000000004">
      <c r="L4647">
        <v>4642</v>
      </c>
      <c r="M4647">
        <v>2.9932E-2</v>
      </c>
      <c r="N4647">
        <v>6032.7608289999998</v>
      </c>
    </row>
    <row r="4648" spans="12:14" x14ac:dyDescent="0.55000000000000004">
      <c r="L4648">
        <v>4643</v>
      </c>
      <c r="M4648">
        <v>2.9932E-2</v>
      </c>
      <c r="N4648">
        <v>6032.7608289999998</v>
      </c>
    </row>
    <row r="4649" spans="12:14" x14ac:dyDescent="0.55000000000000004">
      <c r="L4649">
        <v>4644</v>
      </c>
      <c r="M4649">
        <v>2.9932E-2</v>
      </c>
      <c r="N4649">
        <v>6032.7608289999998</v>
      </c>
    </row>
    <row r="4650" spans="12:14" x14ac:dyDescent="0.55000000000000004">
      <c r="L4650">
        <v>4645</v>
      </c>
      <c r="M4650">
        <v>2.9932E-2</v>
      </c>
      <c r="N4650">
        <v>6032.7608289999998</v>
      </c>
    </row>
    <row r="4651" spans="12:14" x14ac:dyDescent="0.55000000000000004">
      <c r="L4651">
        <v>4646</v>
      </c>
      <c r="M4651">
        <v>2.9932E-2</v>
      </c>
      <c r="N4651">
        <v>6032.7608289999998</v>
      </c>
    </row>
    <row r="4652" spans="12:14" x14ac:dyDescent="0.55000000000000004">
      <c r="L4652">
        <v>4647</v>
      </c>
      <c r="M4652">
        <v>2.9932E-2</v>
      </c>
      <c r="N4652">
        <v>6032.7608289999998</v>
      </c>
    </row>
    <row r="4653" spans="12:14" x14ac:dyDescent="0.55000000000000004">
      <c r="L4653">
        <v>4648</v>
      </c>
      <c r="M4653">
        <v>2.9932E-2</v>
      </c>
      <c r="N4653">
        <v>6032.7608289999998</v>
      </c>
    </row>
    <row r="4654" spans="12:14" x14ac:dyDescent="0.55000000000000004">
      <c r="L4654">
        <v>4649</v>
      </c>
      <c r="M4654">
        <v>2.9932E-2</v>
      </c>
      <c r="N4654">
        <v>6032.7608289999998</v>
      </c>
    </row>
    <row r="4655" spans="12:14" x14ac:dyDescent="0.55000000000000004">
      <c r="L4655">
        <v>4650</v>
      </c>
      <c r="M4655">
        <v>2.9932E-2</v>
      </c>
      <c r="N4655">
        <v>6032.7608289999998</v>
      </c>
    </row>
    <row r="4656" spans="12:14" x14ac:dyDescent="0.55000000000000004">
      <c r="L4656">
        <v>4651</v>
      </c>
      <c r="M4656">
        <v>2.9932E-2</v>
      </c>
      <c r="N4656">
        <v>6032.7608289999998</v>
      </c>
    </row>
    <row r="4657" spans="12:14" x14ac:dyDescent="0.55000000000000004">
      <c r="L4657">
        <v>4652</v>
      </c>
      <c r="M4657">
        <v>2.9932E-2</v>
      </c>
      <c r="N4657">
        <v>6032.7608289999998</v>
      </c>
    </row>
    <row r="4658" spans="12:14" x14ac:dyDescent="0.55000000000000004">
      <c r="L4658">
        <v>4653</v>
      </c>
      <c r="M4658">
        <v>2.9932E-2</v>
      </c>
      <c r="N4658">
        <v>6032.7608289999998</v>
      </c>
    </row>
    <row r="4659" spans="12:14" x14ac:dyDescent="0.55000000000000004">
      <c r="L4659">
        <v>4654</v>
      </c>
      <c r="M4659">
        <v>2.9932E-2</v>
      </c>
      <c r="N4659">
        <v>6032.7608289999998</v>
      </c>
    </row>
    <row r="4660" spans="12:14" x14ac:dyDescent="0.55000000000000004">
      <c r="L4660">
        <v>4655</v>
      </c>
      <c r="M4660">
        <v>2.9932E-2</v>
      </c>
      <c r="N4660">
        <v>6032.7608289999998</v>
      </c>
    </row>
    <row r="4661" spans="12:14" x14ac:dyDescent="0.55000000000000004">
      <c r="L4661">
        <v>4656</v>
      </c>
      <c r="M4661">
        <v>2.9932E-2</v>
      </c>
      <c r="N4661">
        <v>6032.7608289999998</v>
      </c>
    </row>
    <row r="4662" spans="12:14" x14ac:dyDescent="0.55000000000000004">
      <c r="L4662">
        <v>4657</v>
      </c>
      <c r="M4662">
        <v>2.9932E-2</v>
      </c>
      <c r="N4662">
        <v>6032.7608289999998</v>
      </c>
    </row>
    <row r="4663" spans="12:14" x14ac:dyDescent="0.55000000000000004">
      <c r="L4663">
        <v>4658</v>
      </c>
      <c r="M4663">
        <v>2.9932E-2</v>
      </c>
      <c r="N4663">
        <v>6032.7608289999998</v>
      </c>
    </row>
    <row r="4664" spans="12:14" x14ac:dyDescent="0.55000000000000004">
      <c r="L4664">
        <v>4659</v>
      </c>
      <c r="M4664">
        <v>2.9932E-2</v>
      </c>
      <c r="N4664">
        <v>6032.7608289999998</v>
      </c>
    </row>
    <row r="4665" spans="12:14" x14ac:dyDescent="0.55000000000000004">
      <c r="L4665">
        <v>4660</v>
      </c>
      <c r="M4665">
        <v>2.9932E-2</v>
      </c>
      <c r="N4665">
        <v>6032.7608289999998</v>
      </c>
    </row>
    <row r="4666" spans="12:14" x14ac:dyDescent="0.55000000000000004">
      <c r="L4666">
        <v>4661</v>
      </c>
      <c r="M4666">
        <v>2.9932E-2</v>
      </c>
      <c r="N4666">
        <v>6032.7608289999998</v>
      </c>
    </row>
    <row r="4667" spans="12:14" x14ac:dyDescent="0.55000000000000004">
      <c r="L4667">
        <v>4662</v>
      </c>
      <c r="M4667">
        <v>2.9932E-2</v>
      </c>
      <c r="N4667">
        <v>6032.7608289999998</v>
      </c>
    </row>
    <row r="4668" spans="12:14" x14ac:dyDescent="0.55000000000000004">
      <c r="L4668">
        <v>4663</v>
      </c>
      <c r="M4668">
        <v>2.9932E-2</v>
      </c>
      <c r="N4668">
        <v>6032.7608289999998</v>
      </c>
    </row>
    <row r="4669" spans="12:14" x14ac:dyDescent="0.55000000000000004">
      <c r="L4669">
        <v>4664</v>
      </c>
      <c r="M4669">
        <v>2.9932E-2</v>
      </c>
      <c r="N4669">
        <v>6032.7608289999998</v>
      </c>
    </row>
    <row r="4670" spans="12:14" x14ac:dyDescent="0.55000000000000004">
      <c r="L4670">
        <v>4665</v>
      </c>
      <c r="M4670">
        <v>2.9932E-2</v>
      </c>
      <c r="N4670">
        <v>6032.7608289999998</v>
      </c>
    </row>
    <row r="4671" spans="12:14" x14ac:dyDescent="0.55000000000000004">
      <c r="L4671">
        <v>4666</v>
      </c>
      <c r="M4671">
        <v>2.9932E-2</v>
      </c>
      <c r="N4671">
        <v>6032.7608289999998</v>
      </c>
    </row>
    <row r="4672" spans="12:14" x14ac:dyDescent="0.55000000000000004">
      <c r="L4672">
        <v>4667</v>
      </c>
      <c r="M4672">
        <v>2.9932E-2</v>
      </c>
      <c r="N4672">
        <v>6032.7608289999998</v>
      </c>
    </row>
    <row r="4673" spans="12:14" x14ac:dyDescent="0.55000000000000004">
      <c r="L4673">
        <v>4668</v>
      </c>
      <c r="M4673">
        <v>2.9932E-2</v>
      </c>
      <c r="N4673">
        <v>6032.7608289999998</v>
      </c>
    </row>
    <row r="4674" spans="12:14" x14ac:dyDescent="0.55000000000000004">
      <c r="L4674">
        <v>4669</v>
      </c>
      <c r="M4674">
        <v>2.9932E-2</v>
      </c>
      <c r="N4674">
        <v>6032.7608289999998</v>
      </c>
    </row>
    <row r="4675" spans="12:14" x14ac:dyDescent="0.55000000000000004">
      <c r="L4675">
        <v>4670</v>
      </c>
      <c r="M4675">
        <v>2.9932E-2</v>
      </c>
      <c r="N4675">
        <v>6032.7608289999998</v>
      </c>
    </row>
    <row r="4676" spans="12:14" x14ac:dyDescent="0.55000000000000004">
      <c r="L4676">
        <v>4671</v>
      </c>
      <c r="M4676">
        <v>2.9932E-2</v>
      </c>
      <c r="N4676">
        <v>6032.7608289999998</v>
      </c>
    </row>
    <row r="4677" spans="12:14" x14ac:dyDescent="0.55000000000000004">
      <c r="L4677">
        <v>4672</v>
      </c>
      <c r="M4677">
        <v>2.9932E-2</v>
      </c>
      <c r="N4677">
        <v>6032.7608289999998</v>
      </c>
    </row>
    <row r="4678" spans="12:14" x14ac:dyDescent="0.55000000000000004">
      <c r="L4678">
        <v>4673</v>
      </c>
      <c r="M4678">
        <v>2.9932E-2</v>
      </c>
      <c r="N4678">
        <v>6032.7608289999998</v>
      </c>
    </row>
    <row r="4679" spans="12:14" x14ac:dyDescent="0.55000000000000004">
      <c r="L4679">
        <v>4674</v>
      </c>
      <c r="M4679">
        <v>2.9932E-2</v>
      </c>
      <c r="N4679">
        <v>6032.7608289999998</v>
      </c>
    </row>
    <row r="4680" spans="12:14" x14ac:dyDescent="0.55000000000000004">
      <c r="L4680">
        <v>4675</v>
      </c>
      <c r="M4680">
        <v>2.9932E-2</v>
      </c>
      <c r="N4680">
        <v>6032.7608289999998</v>
      </c>
    </row>
    <row r="4681" spans="12:14" x14ac:dyDescent="0.55000000000000004">
      <c r="L4681">
        <v>4676</v>
      </c>
      <c r="M4681">
        <v>2.9932E-2</v>
      </c>
      <c r="N4681">
        <v>6032.7608289999998</v>
      </c>
    </row>
    <row r="4682" spans="12:14" x14ac:dyDescent="0.55000000000000004">
      <c r="L4682">
        <v>4677</v>
      </c>
      <c r="M4682">
        <v>2.9932E-2</v>
      </c>
      <c r="N4682">
        <v>6032.7608289999998</v>
      </c>
    </row>
    <row r="4683" spans="12:14" x14ac:dyDescent="0.55000000000000004">
      <c r="L4683">
        <v>4678</v>
      </c>
      <c r="M4683">
        <v>2.9932E-2</v>
      </c>
      <c r="N4683">
        <v>6032.7608289999998</v>
      </c>
    </row>
    <row r="4684" spans="12:14" x14ac:dyDescent="0.55000000000000004">
      <c r="L4684">
        <v>4679</v>
      </c>
      <c r="M4684">
        <v>2.9932E-2</v>
      </c>
      <c r="N4684">
        <v>6032.7608289999998</v>
      </c>
    </row>
    <row r="4685" spans="12:14" x14ac:dyDescent="0.55000000000000004">
      <c r="L4685">
        <v>4680</v>
      </c>
      <c r="M4685">
        <v>2.9932E-2</v>
      </c>
      <c r="N4685">
        <v>6032.7608289999998</v>
      </c>
    </row>
    <row r="4686" spans="12:14" x14ac:dyDescent="0.55000000000000004">
      <c r="L4686">
        <v>4681</v>
      </c>
      <c r="M4686">
        <v>2.9932E-2</v>
      </c>
      <c r="N4686">
        <v>6032.7608289999998</v>
      </c>
    </row>
    <row r="4687" spans="12:14" x14ac:dyDescent="0.55000000000000004">
      <c r="L4687">
        <v>4682</v>
      </c>
      <c r="M4687">
        <v>2.9932E-2</v>
      </c>
      <c r="N4687">
        <v>6032.7608289999998</v>
      </c>
    </row>
    <row r="4688" spans="12:14" x14ac:dyDescent="0.55000000000000004">
      <c r="L4688">
        <v>4683</v>
      </c>
      <c r="M4688">
        <v>2.9932E-2</v>
      </c>
      <c r="N4688">
        <v>6032.7608289999998</v>
      </c>
    </row>
    <row r="4689" spans="12:14" x14ac:dyDescent="0.55000000000000004">
      <c r="L4689">
        <v>4684</v>
      </c>
      <c r="M4689">
        <v>2.9932E-2</v>
      </c>
      <c r="N4689">
        <v>6032.7608289999998</v>
      </c>
    </row>
    <row r="4690" spans="12:14" x14ac:dyDescent="0.55000000000000004">
      <c r="L4690">
        <v>4685</v>
      </c>
      <c r="M4690">
        <v>2.9932E-2</v>
      </c>
      <c r="N4690">
        <v>6032.7608289999998</v>
      </c>
    </row>
    <row r="4691" spans="12:14" x14ac:dyDescent="0.55000000000000004">
      <c r="L4691">
        <v>4686</v>
      </c>
      <c r="M4691">
        <v>2.9932E-2</v>
      </c>
      <c r="N4691">
        <v>6032.7608289999998</v>
      </c>
    </row>
    <row r="4692" spans="12:14" x14ac:dyDescent="0.55000000000000004">
      <c r="L4692">
        <v>4687</v>
      </c>
      <c r="M4692">
        <v>2.9932E-2</v>
      </c>
      <c r="N4692">
        <v>6032.7608289999998</v>
      </c>
    </row>
    <row r="4693" spans="12:14" x14ac:dyDescent="0.55000000000000004">
      <c r="L4693">
        <v>4688</v>
      </c>
      <c r="M4693">
        <v>2.9932E-2</v>
      </c>
      <c r="N4693">
        <v>6032.7608289999998</v>
      </c>
    </row>
    <row r="4694" spans="12:14" x14ac:dyDescent="0.55000000000000004">
      <c r="L4694">
        <v>4689</v>
      </c>
      <c r="M4694">
        <v>2.9932E-2</v>
      </c>
      <c r="N4694">
        <v>6032.7608289999998</v>
      </c>
    </row>
    <row r="4695" spans="12:14" x14ac:dyDescent="0.55000000000000004">
      <c r="L4695">
        <v>4690</v>
      </c>
      <c r="M4695">
        <v>2.9932E-2</v>
      </c>
      <c r="N4695">
        <v>6032.7608289999998</v>
      </c>
    </row>
    <row r="4696" spans="12:14" x14ac:dyDescent="0.55000000000000004">
      <c r="L4696">
        <v>4691</v>
      </c>
      <c r="M4696">
        <v>2.9932E-2</v>
      </c>
      <c r="N4696">
        <v>6032.7608289999998</v>
      </c>
    </row>
    <row r="4697" spans="12:14" x14ac:dyDescent="0.55000000000000004">
      <c r="L4697">
        <v>4692</v>
      </c>
      <c r="M4697">
        <v>2.9932E-2</v>
      </c>
      <c r="N4697">
        <v>6032.7608289999998</v>
      </c>
    </row>
    <row r="4698" spans="12:14" x14ac:dyDescent="0.55000000000000004">
      <c r="L4698">
        <v>4693</v>
      </c>
      <c r="M4698">
        <v>2.9932E-2</v>
      </c>
      <c r="N4698">
        <v>6032.7608289999998</v>
      </c>
    </row>
    <row r="4699" spans="12:14" x14ac:dyDescent="0.55000000000000004">
      <c r="L4699">
        <v>4694</v>
      </c>
      <c r="M4699">
        <v>2.9932E-2</v>
      </c>
      <c r="N4699">
        <v>6032.7608289999998</v>
      </c>
    </row>
    <row r="4700" spans="12:14" x14ac:dyDescent="0.55000000000000004">
      <c r="L4700">
        <v>4695</v>
      </c>
      <c r="M4700">
        <v>2.9932E-2</v>
      </c>
      <c r="N4700">
        <v>6032.7608289999998</v>
      </c>
    </row>
    <row r="4701" spans="12:14" x14ac:dyDescent="0.55000000000000004">
      <c r="L4701">
        <v>4696</v>
      </c>
      <c r="M4701">
        <v>2.9932E-2</v>
      </c>
      <c r="N4701">
        <v>6032.7608289999998</v>
      </c>
    </row>
    <row r="4702" spans="12:14" x14ac:dyDescent="0.55000000000000004">
      <c r="L4702">
        <v>4697</v>
      </c>
      <c r="M4702">
        <v>2.9932E-2</v>
      </c>
      <c r="N4702">
        <v>6032.7608289999998</v>
      </c>
    </row>
    <row r="4703" spans="12:14" x14ac:dyDescent="0.55000000000000004">
      <c r="L4703">
        <v>4698</v>
      </c>
      <c r="M4703">
        <v>2.9932E-2</v>
      </c>
      <c r="N4703">
        <v>6032.7608289999998</v>
      </c>
    </row>
    <row r="4704" spans="12:14" x14ac:dyDescent="0.55000000000000004">
      <c r="L4704">
        <v>4699</v>
      </c>
      <c r="M4704">
        <v>2.9932E-2</v>
      </c>
      <c r="N4704">
        <v>6032.7608289999998</v>
      </c>
    </row>
    <row r="4705" spans="12:14" x14ac:dyDescent="0.55000000000000004">
      <c r="L4705">
        <v>4700</v>
      </c>
      <c r="M4705">
        <v>2.9932E-2</v>
      </c>
      <c r="N4705">
        <v>6032.7608289999998</v>
      </c>
    </row>
    <row r="4706" spans="12:14" x14ac:dyDescent="0.55000000000000004">
      <c r="L4706">
        <v>4701</v>
      </c>
      <c r="M4706">
        <v>2.9932E-2</v>
      </c>
      <c r="N4706">
        <v>6032.7608289999998</v>
      </c>
    </row>
    <row r="4707" spans="12:14" x14ac:dyDescent="0.55000000000000004">
      <c r="L4707">
        <v>4702</v>
      </c>
      <c r="M4707">
        <v>2.9932E-2</v>
      </c>
      <c r="N4707">
        <v>6032.7608289999998</v>
      </c>
    </row>
    <row r="4708" spans="12:14" x14ac:dyDescent="0.55000000000000004">
      <c r="L4708">
        <v>4703</v>
      </c>
      <c r="M4708">
        <v>2.9932E-2</v>
      </c>
      <c r="N4708">
        <v>6032.7608289999998</v>
      </c>
    </row>
    <row r="4709" spans="12:14" x14ac:dyDescent="0.55000000000000004">
      <c r="L4709">
        <v>4704</v>
      </c>
      <c r="M4709">
        <v>2.9932E-2</v>
      </c>
      <c r="N4709">
        <v>6032.7608289999998</v>
      </c>
    </row>
    <row r="4710" spans="12:14" x14ac:dyDescent="0.55000000000000004">
      <c r="L4710">
        <v>4705</v>
      </c>
      <c r="M4710">
        <v>2.9932E-2</v>
      </c>
      <c r="N4710">
        <v>6032.7608289999998</v>
      </c>
    </row>
    <row r="4711" spans="12:14" x14ac:dyDescent="0.55000000000000004">
      <c r="L4711">
        <v>4706</v>
      </c>
      <c r="M4711">
        <v>2.9932E-2</v>
      </c>
      <c r="N4711">
        <v>6032.7608289999998</v>
      </c>
    </row>
    <row r="4712" spans="12:14" x14ac:dyDescent="0.55000000000000004">
      <c r="L4712">
        <v>4707</v>
      </c>
      <c r="M4712">
        <v>2.9932E-2</v>
      </c>
      <c r="N4712">
        <v>6032.7608289999998</v>
      </c>
    </row>
    <row r="4713" spans="12:14" x14ac:dyDescent="0.55000000000000004">
      <c r="L4713">
        <v>4708</v>
      </c>
      <c r="M4713">
        <v>2.9932E-2</v>
      </c>
      <c r="N4713">
        <v>6032.7608289999998</v>
      </c>
    </row>
    <row r="4714" spans="12:14" x14ac:dyDescent="0.55000000000000004">
      <c r="L4714">
        <v>4709</v>
      </c>
      <c r="M4714">
        <v>2.9932E-2</v>
      </c>
      <c r="N4714">
        <v>6032.7608289999998</v>
      </c>
    </row>
    <row r="4715" spans="12:14" x14ac:dyDescent="0.55000000000000004">
      <c r="L4715">
        <v>4710</v>
      </c>
      <c r="M4715">
        <v>2.9932E-2</v>
      </c>
      <c r="N4715">
        <v>6032.7608289999998</v>
      </c>
    </row>
    <row r="4716" spans="12:14" x14ac:dyDescent="0.55000000000000004">
      <c r="L4716">
        <v>4711</v>
      </c>
      <c r="M4716">
        <v>2.9932E-2</v>
      </c>
      <c r="N4716">
        <v>6032.7608289999998</v>
      </c>
    </row>
    <row r="4717" spans="12:14" x14ac:dyDescent="0.55000000000000004">
      <c r="L4717">
        <v>4712</v>
      </c>
      <c r="M4717">
        <v>2.9932E-2</v>
      </c>
      <c r="N4717">
        <v>6032.7608289999998</v>
      </c>
    </row>
    <row r="4718" spans="12:14" x14ac:dyDescent="0.55000000000000004">
      <c r="L4718">
        <v>4713</v>
      </c>
      <c r="M4718">
        <v>2.9932E-2</v>
      </c>
      <c r="N4718">
        <v>6032.7608289999998</v>
      </c>
    </row>
    <row r="4719" spans="12:14" x14ac:dyDescent="0.55000000000000004">
      <c r="L4719">
        <v>4714</v>
      </c>
      <c r="M4719">
        <v>2.9932E-2</v>
      </c>
      <c r="N4719">
        <v>6032.7608289999998</v>
      </c>
    </row>
    <row r="4720" spans="12:14" x14ac:dyDescent="0.55000000000000004">
      <c r="L4720">
        <v>4715</v>
      </c>
      <c r="M4720">
        <v>2.9932E-2</v>
      </c>
      <c r="N4720">
        <v>6032.7608289999998</v>
      </c>
    </row>
    <row r="4721" spans="12:14" x14ac:dyDescent="0.55000000000000004">
      <c r="L4721">
        <v>4716</v>
      </c>
      <c r="M4721">
        <v>2.9932E-2</v>
      </c>
      <c r="N4721">
        <v>6032.7608289999998</v>
      </c>
    </row>
    <row r="4722" spans="12:14" x14ac:dyDescent="0.55000000000000004">
      <c r="L4722">
        <v>4717</v>
      </c>
      <c r="M4722">
        <v>2.9932E-2</v>
      </c>
      <c r="N4722">
        <v>6032.7608289999998</v>
      </c>
    </row>
    <row r="4723" spans="12:14" x14ac:dyDescent="0.55000000000000004">
      <c r="L4723">
        <v>4718</v>
      </c>
      <c r="M4723">
        <v>2.9932E-2</v>
      </c>
      <c r="N4723">
        <v>6032.7608289999998</v>
      </c>
    </row>
    <row r="4724" spans="12:14" x14ac:dyDescent="0.55000000000000004">
      <c r="L4724">
        <v>4719</v>
      </c>
      <c r="M4724">
        <v>2.9932E-2</v>
      </c>
      <c r="N4724">
        <v>6032.7608289999998</v>
      </c>
    </row>
    <row r="4725" spans="12:14" x14ac:dyDescent="0.55000000000000004">
      <c r="L4725">
        <v>4720</v>
      </c>
      <c r="M4725">
        <v>2.9932E-2</v>
      </c>
      <c r="N4725">
        <v>6032.7608289999998</v>
      </c>
    </row>
    <row r="4726" spans="12:14" x14ac:dyDescent="0.55000000000000004">
      <c r="L4726">
        <v>4721</v>
      </c>
      <c r="M4726">
        <v>2.9932E-2</v>
      </c>
      <c r="N4726">
        <v>6032.7608289999998</v>
      </c>
    </row>
    <row r="4727" spans="12:14" x14ac:dyDescent="0.55000000000000004">
      <c r="L4727">
        <v>4722</v>
      </c>
      <c r="M4727">
        <v>2.9932E-2</v>
      </c>
      <c r="N4727">
        <v>6032.7608289999998</v>
      </c>
    </row>
    <row r="4728" spans="12:14" x14ac:dyDescent="0.55000000000000004">
      <c r="L4728">
        <v>4723</v>
      </c>
      <c r="M4728">
        <v>2.9932E-2</v>
      </c>
      <c r="N4728">
        <v>6032.7608289999998</v>
      </c>
    </row>
    <row r="4729" spans="12:14" x14ac:dyDescent="0.55000000000000004">
      <c r="L4729">
        <v>4724</v>
      </c>
      <c r="M4729">
        <v>2.9932E-2</v>
      </c>
      <c r="N4729">
        <v>6032.7608289999998</v>
      </c>
    </row>
    <row r="4730" spans="12:14" x14ac:dyDescent="0.55000000000000004">
      <c r="L4730">
        <v>4725</v>
      </c>
      <c r="M4730">
        <v>2.9932E-2</v>
      </c>
      <c r="N4730">
        <v>6032.7608289999998</v>
      </c>
    </row>
    <row r="4731" spans="12:14" x14ac:dyDescent="0.55000000000000004">
      <c r="L4731">
        <v>4726</v>
      </c>
      <c r="M4731">
        <v>2.9932E-2</v>
      </c>
      <c r="N4731">
        <v>6032.7608289999998</v>
      </c>
    </row>
    <row r="4732" spans="12:14" x14ac:dyDescent="0.55000000000000004">
      <c r="L4732">
        <v>4727</v>
      </c>
      <c r="M4732">
        <v>2.9932E-2</v>
      </c>
      <c r="N4732">
        <v>6032.7608289999998</v>
      </c>
    </row>
    <row r="4733" spans="12:14" x14ac:dyDescent="0.55000000000000004">
      <c r="L4733">
        <v>4728</v>
      </c>
      <c r="M4733">
        <v>2.9932E-2</v>
      </c>
      <c r="N4733">
        <v>6032.7608289999998</v>
      </c>
    </row>
    <row r="4734" spans="12:14" x14ac:dyDescent="0.55000000000000004">
      <c r="L4734">
        <v>4729</v>
      </c>
      <c r="M4734">
        <v>2.9932E-2</v>
      </c>
      <c r="N4734">
        <v>6032.7608289999998</v>
      </c>
    </row>
    <row r="4735" spans="12:14" x14ac:dyDescent="0.55000000000000004">
      <c r="L4735">
        <v>4730</v>
      </c>
      <c r="M4735">
        <v>2.9932E-2</v>
      </c>
      <c r="N4735">
        <v>6032.7608289999998</v>
      </c>
    </row>
    <row r="4736" spans="12:14" x14ac:dyDescent="0.55000000000000004">
      <c r="L4736">
        <v>4731</v>
      </c>
      <c r="M4736">
        <v>2.9932E-2</v>
      </c>
      <c r="N4736">
        <v>6032.7608289999998</v>
      </c>
    </row>
    <row r="4737" spans="12:14" x14ac:dyDescent="0.55000000000000004">
      <c r="L4737">
        <v>4732</v>
      </c>
      <c r="M4737">
        <v>2.9932E-2</v>
      </c>
      <c r="N4737">
        <v>6032.7608289999998</v>
      </c>
    </row>
    <row r="4738" spans="12:14" x14ac:dyDescent="0.55000000000000004">
      <c r="L4738">
        <v>4733</v>
      </c>
      <c r="M4738">
        <v>2.9932E-2</v>
      </c>
      <c r="N4738">
        <v>6032.7608289999998</v>
      </c>
    </row>
    <row r="4739" spans="12:14" x14ac:dyDescent="0.55000000000000004">
      <c r="L4739">
        <v>4734</v>
      </c>
      <c r="M4739">
        <v>2.9932E-2</v>
      </c>
      <c r="N4739">
        <v>6032.7608289999998</v>
      </c>
    </row>
    <row r="4740" spans="12:14" x14ac:dyDescent="0.55000000000000004">
      <c r="L4740">
        <v>4735</v>
      </c>
      <c r="M4740">
        <v>2.9932E-2</v>
      </c>
      <c r="N4740">
        <v>6032.7608289999998</v>
      </c>
    </row>
    <row r="4741" spans="12:14" x14ac:dyDescent="0.55000000000000004">
      <c r="L4741">
        <v>4736</v>
      </c>
      <c r="M4741">
        <v>2.9932E-2</v>
      </c>
      <c r="N4741">
        <v>6032.7608289999998</v>
      </c>
    </row>
    <row r="4742" spans="12:14" x14ac:dyDescent="0.55000000000000004">
      <c r="L4742">
        <v>4737</v>
      </c>
      <c r="M4742">
        <v>2.9932E-2</v>
      </c>
      <c r="N4742">
        <v>6032.7608289999998</v>
      </c>
    </row>
    <row r="4743" spans="12:14" x14ac:dyDescent="0.55000000000000004">
      <c r="L4743">
        <v>4738</v>
      </c>
      <c r="M4743">
        <v>2.9932E-2</v>
      </c>
      <c r="N4743">
        <v>6032.7608289999998</v>
      </c>
    </row>
    <row r="4744" spans="12:14" x14ac:dyDescent="0.55000000000000004">
      <c r="L4744">
        <v>4739</v>
      </c>
      <c r="M4744">
        <v>2.9932E-2</v>
      </c>
      <c r="N4744">
        <v>6032.7608289999998</v>
      </c>
    </row>
    <row r="4745" spans="12:14" x14ac:dyDescent="0.55000000000000004">
      <c r="L4745">
        <v>4740</v>
      </c>
      <c r="M4745">
        <v>2.9932E-2</v>
      </c>
      <c r="N4745">
        <v>6032.7608289999998</v>
      </c>
    </row>
    <row r="4746" spans="12:14" x14ac:dyDescent="0.55000000000000004">
      <c r="L4746">
        <v>4741</v>
      </c>
      <c r="M4746">
        <v>2.9932E-2</v>
      </c>
      <c r="N4746">
        <v>6032.7608289999998</v>
      </c>
    </row>
    <row r="4747" spans="12:14" x14ac:dyDescent="0.55000000000000004">
      <c r="L4747">
        <v>4742</v>
      </c>
      <c r="M4747">
        <v>2.9932E-2</v>
      </c>
      <c r="N4747">
        <v>6032.7608289999998</v>
      </c>
    </row>
    <row r="4748" spans="12:14" x14ac:dyDescent="0.55000000000000004">
      <c r="L4748">
        <v>4743</v>
      </c>
      <c r="M4748">
        <v>2.9932E-2</v>
      </c>
      <c r="N4748">
        <v>6032.7608289999998</v>
      </c>
    </row>
    <row r="4749" spans="12:14" x14ac:dyDescent="0.55000000000000004">
      <c r="L4749">
        <v>4744</v>
      </c>
      <c r="M4749">
        <v>2.9932E-2</v>
      </c>
      <c r="N4749">
        <v>6032.7608289999998</v>
      </c>
    </row>
    <row r="4750" spans="12:14" x14ac:dyDescent="0.55000000000000004">
      <c r="L4750">
        <v>4745</v>
      </c>
      <c r="M4750">
        <v>2.9932E-2</v>
      </c>
      <c r="N4750">
        <v>6032.7608289999998</v>
      </c>
    </row>
    <row r="4751" spans="12:14" x14ac:dyDescent="0.55000000000000004">
      <c r="L4751">
        <v>4746</v>
      </c>
      <c r="M4751">
        <v>2.9932E-2</v>
      </c>
      <c r="N4751">
        <v>6032.7608289999998</v>
      </c>
    </row>
    <row r="4752" spans="12:14" x14ac:dyDescent="0.55000000000000004">
      <c r="L4752">
        <v>4747</v>
      </c>
      <c r="M4752">
        <v>2.9932E-2</v>
      </c>
      <c r="N4752">
        <v>6032.7608289999998</v>
      </c>
    </row>
    <row r="4753" spans="12:14" x14ac:dyDescent="0.55000000000000004">
      <c r="L4753">
        <v>4748</v>
      </c>
      <c r="M4753">
        <v>2.9932E-2</v>
      </c>
      <c r="N4753">
        <v>6032.7608289999998</v>
      </c>
    </row>
    <row r="4754" spans="12:14" x14ac:dyDescent="0.55000000000000004">
      <c r="L4754">
        <v>4749</v>
      </c>
      <c r="M4754">
        <v>2.9932E-2</v>
      </c>
      <c r="N4754">
        <v>6032.7608289999998</v>
      </c>
    </row>
    <row r="4755" spans="12:14" x14ac:dyDescent="0.55000000000000004">
      <c r="L4755">
        <v>4750</v>
      </c>
      <c r="M4755">
        <v>2.9932E-2</v>
      </c>
      <c r="N4755">
        <v>6032.7608289999998</v>
      </c>
    </row>
    <row r="4756" spans="12:14" x14ac:dyDescent="0.55000000000000004">
      <c r="L4756">
        <v>4751</v>
      </c>
      <c r="M4756">
        <v>2.9932E-2</v>
      </c>
      <c r="N4756">
        <v>6032.7608289999998</v>
      </c>
    </row>
    <row r="4757" spans="12:14" x14ac:dyDescent="0.55000000000000004">
      <c r="L4757">
        <v>4752</v>
      </c>
      <c r="M4757">
        <v>2.9932E-2</v>
      </c>
      <c r="N4757">
        <v>6032.7608289999998</v>
      </c>
    </row>
    <row r="4758" spans="12:14" x14ac:dyDescent="0.55000000000000004">
      <c r="L4758">
        <v>4753</v>
      </c>
      <c r="M4758">
        <v>2.9932E-2</v>
      </c>
      <c r="N4758">
        <v>6032.7608289999998</v>
      </c>
    </row>
    <row r="4759" spans="12:14" x14ac:dyDescent="0.55000000000000004">
      <c r="L4759">
        <v>4754</v>
      </c>
      <c r="M4759">
        <v>2.9932E-2</v>
      </c>
      <c r="N4759">
        <v>6032.7608289999998</v>
      </c>
    </row>
    <row r="4760" spans="12:14" x14ac:dyDescent="0.55000000000000004">
      <c r="L4760">
        <v>4755</v>
      </c>
      <c r="M4760">
        <v>2.9932E-2</v>
      </c>
      <c r="N4760">
        <v>6032.7608289999998</v>
      </c>
    </row>
    <row r="4761" spans="12:14" x14ac:dyDescent="0.55000000000000004">
      <c r="L4761">
        <v>4756</v>
      </c>
      <c r="M4761">
        <v>2.9932E-2</v>
      </c>
      <c r="N4761">
        <v>6032.7608289999998</v>
      </c>
    </row>
    <row r="4762" spans="12:14" x14ac:dyDescent="0.55000000000000004">
      <c r="L4762">
        <v>4757</v>
      </c>
      <c r="M4762">
        <v>2.9932E-2</v>
      </c>
      <c r="N4762">
        <v>6032.7608289999998</v>
      </c>
    </row>
    <row r="4763" spans="12:14" x14ac:dyDescent="0.55000000000000004">
      <c r="L4763">
        <v>4758</v>
      </c>
      <c r="M4763">
        <v>2.9932E-2</v>
      </c>
      <c r="N4763">
        <v>6032.7608289999998</v>
      </c>
    </row>
    <row r="4764" spans="12:14" x14ac:dyDescent="0.55000000000000004">
      <c r="L4764">
        <v>4759</v>
      </c>
      <c r="M4764">
        <v>2.9932E-2</v>
      </c>
      <c r="N4764">
        <v>6032.7608289999998</v>
      </c>
    </row>
    <row r="4765" spans="12:14" x14ac:dyDescent="0.55000000000000004">
      <c r="L4765">
        <v>4760</v>
      </c>
      <c r="M4765">
        <v>2.9932E-2</v>
      </c>
      <c r="N4765">
        <v>6032.7608289999998</v>
      </c>
    </row>
    <row r="4766" spans="12:14" x14ac:dyDescent="0.55000000000000004">
      <c r="L4766">
        <v>4761</v>
      </c>
      <c r="M4766">
        <v>2.9932E-2</v>
      </c>
      <c r="N4766">
        <v>6032.7608289999998</v>
      </c>
    </row>
    <row r="4767" spans="12:14" x14ac:dyDescent="0.55000000000000004">
      <c r="L4767">
        <v>4762</v>
      </c>
      <c r="M4767">
        <v>2.9932E-2</v>
      </c>
      <c r="N4767">
        <v>6032.7608289999998</v>
      </c>
    </row>
    <row r="4768" spans="12:14" x14ac:dyDescent="0.55000000000000004">
      <c r="L4768">
        <v>4763</v>
      </c>
      <c r="M4768">
        <v>2.9932E-2</v>
      </c>
      <c r="N4768">
        <v>6032.7608289999998</v>
      </c>
    </row>
    <row r="4769" spans="12:14" x14ac:dyDescent="0.55000000000000004">
      <c r="L4769">
        <v>4764</v>
      </c>
      <c r="M4769">
        <v>2.9932E-2</v>
      </c>
      <c r="N4769">
        <v>6032.7608289999998</v>
      </c>
    </row>
    <row r="4770" spans="12:14" x14ac:dyDescent="0.55000000000000004">
      <c r="L4770">
        <v>4765</v>
      </c>
      <c r="M4770">
        <v>2.9932E-2</v>
      </c>
      <c r="N4770">
        <v>6032.7608289999998</v>
      </c>
    </row>
    <row r="4771" spans="12:14" x14ac:dyDescent="0.55000000000000004">
      <c r="L4771">
        <v>4766</v>
      </c>
      <c r="M4771">
        <v>2.9932E-2</v>
      </c>
      <c r="N4771">
        <v>6032.7608289999998</v>
      </c>
    </row>
    <row r="4772" spans="12:14" x14ac:dyDescent="0.55000000000000004">
      <c r="L4772">
        <v>4767</v>
      </c>
      <c r="M4772">
        <v>2.9932E-2</v>
      </c>
      <c r="N4772">
        <v>6032.7608289999998</v>
      </c>
    </row>
    <row r="4773" spans="12:14" x14ac:dyDescent="0.55000000000000004">
      <c r="L4773">
        <v>4768</v>
      </c>
      <c r="M4773">
        <v>2.9932E-2</v>
      </c>
      <c r="N4773">
        <v>6032.7608289999998</v>
      </c>
    </row>
    <row r="4774" spans="12:14" x14ac:dyDescent="0.55000000000000004">
      <c r="L4774">
        <v>4769</v>
      </c>
      <c r="M4774">
        <v>2.9932E-2</v>
      </c>
      <c r="N4774">
        <v>6032.7608289999998</v>
      </c>
    </row>
    <row r="4775" spans="12:14" x14ac:dyDescent="0.55000000000000004">
      <c r="L4775">
        <v>4770</v>
      </c>
      <c r="M4775">
        <v>2.9932E-2</v>
      </c>
      <c r="N4775">
        <v>6032.7608289999998</v>
      </c>
    </row>
    <row r="4776" spans="12:14" x14ac:dyDescent="0.55000000000000004">
      <c r="L4776">
        <v>4771</v>
      </c>
      <c r="M4776">
        <v>2.9932E-2</v>
      </c>
      <c r="N4776">
        <v>6032.7608289999998</v>
      </c>
    </row>
    <row r="4777" spans="12:14" x14ac:dyDescent="0.55000000000000004">
      <c r="L4777">
        <v>4772</v>
      </c>
      <c r="M4777">
        <v>2.9932E-2</v>
      </c>
      <c r="N4777">
        <v>6032.7608289999998</v>
      </c>
    </row>
    <row r="4778" spans="12:14" x14ac:dyDescent="0.55000000000000004">
      <c r="L4778">
        <v>4773</v>
      </c>
      <c r="M4778">
        <v>2.9932E-2</v>
      </c>
      <c r="N4778">
        <v>6032.7608289999998</v>
      </c>
    </row>
    <row r="4779" spans="12:14" x14ac:dyDescent="0.55000000000000004">
      <c r="L4779">
        <v>4774</v>
      </c>
      <c r="M4779">
        <v>2.9932E-2</v>
      </c>
      <c r="N4779">
        <v>6032.7608289999998</v>
      </c>
    </row>
    <row r="4780" spans="12:14" x14ac:dyDescent="0.55000000000000004">
      <c r="L4780">
        <v>4775</v>
      </c>
      <c r="M4780">
        <v>2.9932E-2</v>
      </c>
      <c r="N4780">
        <v>6032.7608289999998</v>
      </c>
    </row>
    <row r="4781" spans="12:14" x14ac:dyDescent="0.55000000000000004">
      <c r="L4781">
        <v>4776</v>
      </c>
      <c r="M4781">
        <v>2.9932E-2</v>
      </c>
      <c r="N4781">
        <v>6032.7608289999998</v>
      </c>
    </row>
    <row r="4782" spans="12:14" x14ac:dyDescent="0.55000000000000004">
      <c r="L4782">
        <v>4777</v>
      </c>
      <c r="M4782">
        <v>2.9932E-2</v>
      </c>
      <c r="N4782">
        <v>6032.7608289999998</v>
      </c>
    </row>
    <row r="4783" spans="12:14" x14ac:dyDescent="0.55000000000000004">
      <c r="L4783">
        <v>4778</v>
      </c>
      <c r="M4783">
        <v>2.9932E-2</v>
      </c>
      <c r="N4783">
        <v>6032.7608289999998</v>
      </c>
    </row>
    <row r="4784" spans="12:14" x14ac:dyDescent="0.55000000000000004">
      <c r="L4784">
        <v>4779</v>
      </c>
      <c r="M4784">
        <v>2.9932E-2</v>
      </c>
      <c r="N4784">
        <v>6032.7608289999998</v>
      </c>
    </row>
    <row r="4785" spans="12:14" x14ac:dyDescent="0.55000000000000004">
      <c r="L4785">
        <v>4780</v>
      </c>
      <c r="M4785">
        <v>2.9932E-2</v>
      </c>
      <c r="N4785">
        <v>6032.7608289999998</v>
      </c>
    </row>
    <row r="4786" spans="12:14" x14ac:dyDescent="0.55000000000000004">
      <c r="L4786">
        <v>4781</v>
      </c>
      <c r="M4786">
        <v>2.9932E-2</v>
      </c>
      <c r="N4786">
        <v>6032.7608289999998</v>
      </c>
    </row>
    <row r="4787" spans="12:14" x14ac:dyDescent="0.55000000000000004">
      <c r="L4787">
        <v>4782</v>
      </c>
      <c r="M4787">
        <v>2.9932E-2</v>
      </c>
      <c r="N4787">
        <v>6032.7608289999998</v>
      </c>
    </row>
    <row r="4788" spans="12:14" x14ac:dyDescent="0.55000000000000004">
      <c r="L4788">
        <v>4783</v>
      </c>
      <c r="M4788">
        <v>2.9932E-2</v>
      </c>
      <c r="N4788">
        <v>6032.7608289999998</v>
      </c>
    </row>
    <row r="4789" spans="12:14" x14ac:dyDescent="0.55000000000000004">
      <c r="L4789">
        <v>4784</v>
      </c>
      <c r="M4789">
        <v>2.9932E-2</v>
      </c>
      <c r="N4789">
        <v>6032.7608289999998</v>
      </c>
    </row>
    <row r="4790" spans="12:14" x14ac:dyDescent="0.55000000000000004">
      <c r="L4790">
        <v>4785</v>
      </c>
      <c r="M4790">
        <v>2.9932E-2</v>
      </c>
      <c r="N4790">
        <v>6032.7608289999998</v>
      </c>
    </row>
    <row r="4791" spans="12:14" x14ac:dyDescent="0.55000000000000004">
      <c r="L4791">
        <v>4786</v>
      </c>
      <c r="M4791">
        <v>2.9932E-2</v>
      </c>
      <c r="N4791">
        <v>6032.7608289999998</v>
      </c>
    </row>
    <row r="4792" spans="12:14" x14ac:dyDescent="0.55000000000000004">
      <c r="L4792">
        <v>4787</v>
      </c>
      <c r="M4792">
        <v>2.9932E-2</v>
      </c>
      <c r="N4792">
        <v>6032.7608289999998</v>
      </c>
    </row>
    <row r="4793" spans="12:14" x14ac:dyDescent="0.55000000000000004">
      <c r="L4793">
        <v>4788</v>
      </c>
      <c r="M4793">
        <v>2.9932E-2</v>
      </c>
      <c r="N4793">
        <v>6032.7608289999998</v>
      </c>
    </row>
    <row r="4794" spans="12:14" x14ac:dyDescent="0.55000000000000004">
      <c r="L4794">
        <v>4789</v>
      </c>
      <c r="M4794">
        <v>2.9932E-2</v>
      </c>
      <c r="N4794">
        <v>6032.7608289999998</v>
      </c>
    </row>
    <row r="4795" spans="12:14" x14ac:dyDescent="0.55000000000000004">
      <c r="L4795">
        <v>4790</v>
      </c>
      <c r="M4795">
        <v>2.9932E-2</v>
      </c>
      <c r="N4795">
        <v>6032.7608289999998</v>
      </c>
    </row>
    <row r="4796" spans="12:14" x14ac:dyDescent="0.55000000000000004">
      <c r="L4796">
        <v>4791</v>
      </c>
      <c r="M4796">
        <v>2.9932E-2</v>
      </c>
      <c r="N4796">
        <v>6032.7608289999998</v>
      </c>
    </row>
    <row r="4797" spans="12:14" x14ac:dyDescent="0.55000000000000004">
      <c r="L4797">
        <v>4792</v>
      </c>
      <c r="M4797">
        <v>2.9932E-2</v>
      </c>
      <c r="N4797">
        <v>6032.7608289999998</v>
      </c>
    </row>
    <row r="4798" spans="12:14" x14ac:dyDescent="0.55000000000000004">
      <c r="L4798">
        <v>4793</v>
      </c>
      <c r="M4798">
        <v>2.9932E-2</v>
      </c>
      <c r="N4798">
        <v>6032.7608289999998</v>
      </c>
    </row>
    <row r="4799" spans="12:14" x14ac:dyDescent="0.55000000000000004">
      <c r="L4799">
        <v>4794</v>
      </c>
      <c r="M4799">
        <v>2.9932E-2</v>
      </c>
      <c r="N4799">
        <v>6032.7608289999998</v>
      </c>
    </row>
    <row r="4800" spans="12:14" x14ac:dyDescent="0.55000000000000004">
      <c r="L4800">
        <v>4795</v>
      </c>
      <c r="M4800">
        <v>2.9932E-2</v>
      </c>
      <c r="N4800">
        <v>6032.7608289999998</v>
      </c>
    </row>
    <row r="4801" spans="12:14" x14ac:dyDescent="0.55000000000000004">
      <c r="L4801">
        <v>4796</v>
      </c>
      <c r="M4801">
        <v>2.9932E-2</v>
      </c>
      <c r="N4801">
        <v>6032.7608289999998</v>
      </c>
    </row>
    <row r="4802" spans="12:14" x14ac:dyDescent="0.55000000000000004">
      <c r="L4802">
        <v>4797</v>
      </c>
      <c r="M4802">
        <v>2.9932E-2</v>
      </c>
      <c r="N4802">
        <v>6032.7608289999998</v>
      </c>
    </row>
    <row r="4803" spans="12:14" x14ac:dyDescent="0.55000000000000004">
      <c r="L4803">
        <v>4798</v>
      </c>
      <c r="M4803">
        <v>2.9932E-2</v>
      </c>
      <c r="N4803">
        <v>6032.7608289999998</v>
      </c>
    </row>
    <row r="4804" spans="12:14" x14ac:dyDescent="0.55000000000000004">
      <c r="L4804">
        <v>4799</v>
      </c>
      <c r="M4804">
        <v>2.9932E-2</v>
      </c>
      <c r="N4804">
        <v>6032.7608289999998</v>
      </c>
    </row>
    <row r="4805" spans="12:14" x14ac:dyDescent="0.55000000000000004">
      <c r="L4805">
        <v>4800</v>
      </c>
      <c r="M4805">
        <v>2.9932E-2</v>
      </c>
      <c r="N4805">
        <v>6032.7608289999998</v>
      </c>
    </row>
    <row r="4806" spans="12:14" x14ac:dyDescent="0.55000000000000004">
      <c r="L4806">
        <v>4801</v>
      </c>
      <c r="M4806">
        <v>2.9932E-2</v>
      </c>
      <c r="N4806">
        <v>6032.7608289999998</v>
      </c>
    </row>
    <row r="4807" spans="12:14" x14ac:dyDescent="0.55000000000000004">
      <c r="L4807">
        <v>4802</v>
      </c>
      <c r="M4807">
        <v>2.9932E-2</v>
      </c>
      <c r="N4807">
        <v>6032.7608289999998</v>
      </c>
    </row>
    <row r="4808" spans="12:14" x14ac:dyDescent="0.55000000000000004">
      <c r="L4808">
        <v>4803</v>
      </c>
      <c r="M4808">
        <v>2.9932E-2</v>
      </c>
      <c r="N4808">
        <v>6032.7608289999998</v>
      </c>
    </row>
    <row r="4809" spans="12:14" x14ac:dyDescent="0.55000000000000004">
      <c r="L4809">
        <v>4804</v>
      </c>
      <c r="M4809">
        <v>2.9932E-2</v>
      </c>
      <c r="N4809">
        <v>6032.7608289999998</v>
      </c>
    </row>
    <row r="4810" spans="12:14" x14ac:dyDescent="0.55000000000000004">
      <c r="L4810">
        <v>4805</v>
      </c>
      <c r="M4810">
        <v>2.9932E-2</v>
      </c>
      <c r="N4810">
        <v>6032.7608289999998</v>
      </c>
    </row>
    <row r="4811" spans="12:14" x14ac:dyDescent="0.55000000000000004">
      <c r="L4811">
        <v>4806</v>
      </c>
      <c r="M4811">
        <v>2.9932E-2</v>
      </c>
      <c r="N4811">
        <v>6032.7608289999998</v>
      </c>
    </row>
    <row r="4812" spans="12:14" x14ac:dyDescent="0.55000000000000004">
      <c r="L4812">
        <v>4807</v>
      </c>
      <c r="M4812">
        <v>2.9932E-2</v>
      </c>
      <c r="N4812">
        <v>6032.7608289999998</v>
      </c>
    </row>
    <row r="4813" spans="12:14" x14ac:dyDescent="0.55000000000000004">
      <c r="L4813">
        <v>4808</v>
      </c>
      <c r="M4813">
        <v>2.9932E-2</v>
      </c>
      <c r="N4813">
        <v>6032.7608289999998</v>
      </c>
    </row>
    <row r="4814" spans="12:14" x14ac:dyDescent="0.55000000000000004">
      <c r="L4814">
        <v>4809</v>
      </c>
      <c r="M4814">
        <v>2.9932E-2</v>
      </c>
      <c r="N4814">
        <v>6032.7608289999998</v>
      </c>
    </row>
    <row r="4815" spans="12:14" x14ac:dyDescent="0.55000000000000004">
      <c r="L4815">
        <v>4810</v>
      </c>
      <c r="M4815">
        <v>2.9932E-2</v>
      </c>
      <c r="N4815">
        <v>6032.7608289999998</v>
      </c>
    </row>
    <row r="4816" spans="12:14" x14ac:dyDescent="0.55000000000000004">
      <c r="L4816">
        <v>4811</v>
      </c>
      <c r="M4816">
        <v>2.9932E-2</v>
      </c>
      <c r="N4816">
        <v>6032.7608289999998</v>
      </c>
    </row>
    <row r="4817" spans="12:14" x14ac:dyDescent="0.55000000000000004">
      <c r="L4817">
        <v>4812</v>
      </c>
      <c r="M4817">
        <v>2.9932E-2</v>
      </c>
      <c r="N4817">
        <v>6032.7608289999998</v>
      </c>
    </row>
    <row r="4818" spans="12:14" x14ac:dyDescent="0.55000000000000004">
      <c r="L4818">
        <v>4813</v>
      </c>
      <c r="M4818">
        <v>2.9932E-2</v>
      </c>
      <c r="N4818">
        <v>6032.7608289999998</v>
      </c>
    </row>
    <row r="4819" spans="12:14" x14ac:dyDescent="0.55000000000000004">
      <c r="L4819">
        <v>4814</v>
      </c>
      <c r="M4819">
        <v>2.9932E-2</v>
      </c>
      <c r="N4819">
        <v>6032.7608289999998</v>
      </c>
    </row>
    <row r="4820" spans="12:14" x14ac:dyDescent="0.55000000000000004">
      <c r="L4820">
        <v>4815</v>
      </c>
      <c r="M4820">
        <v>2.9932E-2</v>
      </c>
      <c r="N4820">
        <v>6032.7608289999998</v>
      </c>
    </row>
    <row r="4821" spans="12:14" x14ac:dyDescent="0.55000000000000004">
      <c r="L4821">
        <v>4816</v>
      </c>
      <c r="M4821">
        <v>2.9932E-2</v>
      </c>
      <c r="N4821">
        <v>6032.7608289999998</v>
      </c>
    </row>
    <row r="4822" spans="12:14" x14ac:dyDescent="0.55000000000000004">
      <c r="L4822">
        <v>4817</v>
      </c>
      <c r="M4822">
        <v>2.9932E-2</v>
      </c>
      <c r="N4822">
        <v>6032.7608289999998</v>
      </c>
    </row>
    <row r="4823" spans="12:14" x14ac:dyDescent="0.55000000000000004">
      <c r="L4823">
        <v>4818</v>
      </c>
      <c r="M4823">
        <v>2.9932E-2</v>
      </c>
      <c r="N4823">
        <v>6032.7608289999998</v>
      </c>
    </row>
    <row r="4824" spans="12:14" x14ac:dyDescent="0.55000000000000004">
      <c r="L4824">
        <v>4819</v>
      </c>
      <c r="M4824">
        <v>2.9932E-2</v>
      </c>
      <c r="N4824">
        <v>6032.7608289999998</v>
      </c>
    </row>
    <row r="4825" spans="12:14" x14ac:dyDescent="0.55000000000000004">
      <c r="L4825">
        <v>4820</v>
      </c>
      <c r="M4825">
        <v>2.9932E-2</v>
      </c>
      <c r="N4825">
        <v>6032.7608289999998</v>
      </c>
    </row>
    <row r="4826" spans="12:14" x14ac:dyDescent="0.55000000000000004">
      <c r="L4826">
        <v>4821</v>
      </c>
      <c r="M4826">
        <v>2.9932E-2</v>
      </c>
      <c r="N4826">
        <v>6032.7608289999998</v>
      </c>
    </row>
    <row r="4827" spans="12:14" x14ac:dyDescent="0.55000000000000004">
      <c r="L4827">
        <v>4822</v>
      </c>
      <c r="M4827">
        <v>2.9932E-2</v>
      </c>
      <c r="N4827">
        <v>6032.7608289999998</v>
      </c>
    </row>
    <row r="4828" spans="12:14" x14ac:dyDescent="0.55000000000000004">
      <c r="L4828">
        <v>4823</v>
      </c>
      <c r="M4828">
        <v>2.9932E-2</v>
      </c>
      <c r="N4828">
        <v>6032.7608289999998</v>
      </c>
    </row>
    <row r="4829" spans="12:14" x14ac:dyDescent="0.55000000000000004">
      <c r="L4829">
        <v>4824</v>
      </c>
      <c r="M4829">
        <v>2.9932E-2</v>
      </c>
      <c r="N4829">
        <v>6032.7608289999998</v>
      </c>
    </row>
    <row r="4830" spans="12:14" x14ac:dyDescent="0.55000000000000004">
      <c r="L4830">
        <v>4825</v>
      </c>
      <c r="M4830">
        <v>2.9932E-2</v>
      </c>
      <c r="N4830">
        <v>6032.7608289999998</v>
      </c>
    </row>
    <row r="4831" spans="12:14" x14ac:dyDescent="0.55000000000000004">
      <c r="L4831">
        <v>4826</v>
      </c>
      <c r="M4831">
        <v>2.9932E-2</v>
      </c>
      <c r="N4831">
        <v>6032.7608289999998</v>
      </c>
    </row>
    <row r="4832" spans="12:14" x14ac:dyDescent="0.55000000000000004">
      <c r="L4832">
        <v>4827</v>
      </c>
      <c r="M4832">
        <v>2.9932E-2</v>
      </c>
      <c r="N4832">
        <v>6032.7608289999998</v>
      </c>
    </row>
    <row r="4833" spans="12:14" x14ac:dyDescent="0.55000000000000004">
      <c r="L4833">
        <v>4828</v>
      </c>
      <c r="M4833">
        <v>2.9932E-2</v>
      </c>
      <c r="N4833">
        <v>6032.7608289999998</v>
      </c>
    </row>
    <row r="4834" spans="12:14" x14ac:dyDescent="0.55000000000000004">
      <c r="L4834">
        <v>4829</v>
      </c>
      <c r="M4834">
        <v>2.9932E-2</v>
      </c>
      <c r="N4834">
        <v>6032.7608289999998</v>
      </c>
    </row>
    <row r="4835" spans="12:14" x14ac:dyDescent="0.55000000000000004">
      <c r="L4835">
        <v>4830</v>
      </c>
      <c r="M4835">
        <v>2.9932E-2</v>
      </c>
      <c r="N4835">
        <v>6032.7608289999998</v>
      </c>
    </row>
    <row r="4836" spans="12:14" x14ac:dyDescent="0.55000000000000004">
      <c r="L4836">
        <v>4831</v>
      </c>
      <c r="M4836">
        <v>2.9932E-2</v>
      </c>
      <c r="N4836">
        <v>6032.7608289999998</v>
      </c>
    </row>
    <row r="4837" spans="12:14" x14ac:dyDescent="0.55000000000000004">
      <c r="L4837">
        <v>4832</v>
      </c>
      <c r="M4837">
        <v>2.9932E-2</v>
      </c>
      <c r="N4837">
        <v>6032.7608289999998</v>
      </c>
    </row>
    <row r="4838" spans="12:14" x14ac:dyDescent="0.55000000000000004">
      <c r="L4838">
        <v>4833</v>
      </c>
      <c r="M4838">
        <v>2.9932E-2</v>
      </c>
      <c r="N4838">
        <v>6032.7608289999998</v>
      </c>
    </row>
    <row r="4839" spans="12:14" x14ac:dyDescent="0.55000000000000004">
      <c r="L4839">
        <v>4834</v>
      </c>
      <c r="M4839">
        <v>2.9932E-2</v>
      </c>
      <c r="N4839">
        <v>6032.7608289999998</v>
      </c>
    </row>
    <row r="4840" spans="12:14" x14ac:dyDescent="0.55000000000000004">
      <c r="L4840">
        <v>4835</v>
      </c>
      <c r="M4840">
        <v>2.9932E-2</v>
      </c>
      <c r="N4840">
        <v>6032.7608289999998</v>
      </c>
    </row>
    <row r="4841" spans="12:14" x14ac:dyDescent="0.55000000000000004">
      <c r="L4841">
        <v>4836</v>
      </c>
      <c r="M4841">
        <v>2.9932E-2</v>
      </c>
      <c r="N4841">
        <v>6032.7608289999998</v>
      </c>
    </row>
    <row r="4842" spans="12:14" x14ac:dyDescent="0.55000000000000004">
      <c r="L4842">
        <v>4837</v>
      </c>
      <c r="M4842">
        <v>2.9932E-2</v>
      </c>
      <c r="N4842">
        <v>6032.7608289999998</v>
      </c>
    </row>
    <row r="4843" spans="12:14" x14ac:dyDescent="0.55000000000000004">
      <c r="L4843">
        <v>4838</v>
      </c>
      <c r="M4843">
        <v>2.9932E-2</v>
      </c>
      <c r="N4843">
        <v>6032.7608289999998</v>
      </c>
    </row>
    <row r="4844" spans="12:14" x14ac:dyDescent="0.55000000000000004">
      <c r="L4844">
        <v>4839</v>
      </c>
      <c r="M4844">
        <v>2.9932E-2</v>
      </c>
      <c r="N4844">
        <v>6032.7608289999998</v>
      </c>
    </row>
    <row r="4845" spans="12:14" x14ac:dyDescent="0.55000000000000004">
      <c r="L4845">
        <v>4840</v>
      </c>
      <c r="M4845">
        <v>2.9932E-2</v>
      </c>
      <c r="N4845">
        <v>6032.7608289999998</v>
      </c>
    </row>
    <row r="4846" spans="12:14" x14ac:dyDescent="0.55000000000000004">
      <c r="L4846">
        <v>4841</v>
      </c>
      <c r="M4846">
        <v>2.9932E-2</v>
      </c>
      <c r="N4846">
        <v>6032.7608289999998</v>
      </c>
    </row>
    <row r="4847" spans="12:14" x14ac:dyDescent="0.55000000000000004">
      <c r="L4847">
        <v>4842</v>
      </c>
      <c r="M4847">
        <v>2.9932E-2</v>
      </c>
      <c r="N4847">
        <v>6032.7608289999998</v>
      </c>
    </row>
    <row r="4848" spans="12:14" x14ac:dyDescent="0.55000000000000004">
      <c r="L4848">
        <v>4843</v>
      </c>
      <c r="M4848">
        <v>2.9932E-2</v>
      </c>
      <c r="N4848">
        <v>6032.7608289999998</v>
      </c>
    </row>
    <row r="4849" spans="12:14" x14ac:dyDescent="0.55000000000000004">
      <c r="L4849">
        <v>4844</v>
      </c>
      <c r="M4849">
        <v>2.9932E-2</v>
      </c>
      <c r="N4849">
        <v>6032.7608289999998</v>
      </c>
    </row>
    <row r="4850" spans="12:14" x14ac:dyDescent="0.55000000000000004">
      <c r="L4850">
        <v>4845</v>
      </c>
      <c r="M4850">
        <v>2.9932E-2</v>
      </c>
      <c r="N4850">
        <v>6032.7608289999998</v>
      </c>
    </row>
    <row r="4851" spans="12:14" x14ac:dyDescent="0.55000000000000004">
      <c r="L4851">
        <v>4846</v>
      </c>
      <c r="M4851">
        <v>2.9932E-2</v>
      </c>
      <c r="N4851">
        <v>6032.7608289999998</v>
      </c>
    </row>
    <row r="4852" spans="12:14" x14ac:dyDescent="0.55000000000000004">
      <c r="L4852">
        <v>4847</v>
      </c>
      <c r="M4852">
        <v>2.9932E-2</v>
      </c>
      <c r="N4852">
        <v>6032.7608289999998</v>
      </c>
    </row>
    <row r="4853" spans="12:14" x14ac:dyDescent="0.55000000000000004">
      <c r="L4853">
        <v>4848</v>
      </c>
      <c r="M4853">
        <v>2.9932E-2</v>
      </c>
      <c r="N4853">
        <v>6032.7608289999998</v>
      </c>
    </row>
    <row r="4854" spans="12:14" x14ac:dyDescent="0.55000000000000004">
      <c r="L4854">
        <v>4849</v>
      </c>
      <c r="M4854">
        <v>2.9932E-2</v>
      </c>
      <c r="N4854">
        <v>6032.7608289999998</v>
      </c>
    </row>
    <row r="4855" spans="12:14" x14ac:dyDescent="0.55000000000000004">
      <c r="L4855">
        <v>4850</v>
      </c>
      <c r="M4855">
        <v>2.9932E-2</v>
      </c>
      <c r="N4855">
        <v>6032.7608289999998</v>
      </c>
    </row>
    <row r="4856" spans="12:14" x14ac:dyDescent="0.55000000000000004">
      <c r="L4856">
        <v>4851</v>
      </c>
      <c r="M4856">
        <v>2.9932E-2</v>
      </c>
      <c r="N4856">
        <v>6032.7608289999998</v>
      </c>
    </row>
    <row r="4857" spans="12:14" x14ac:dyDescent="0.55000000000000004">
      <c r="L4857">
        <v>4852</v>
      </c>
      <c r="M4857">
        <v>2.9932E-2</v>
      </c>
      <c r="N4857">
        <v>6032.7608289999998</v>
      </c>
    </row>
    <row r="4858" spans="12:14" x14ac:dyDescent="0.55000000000000004">
      <c r="L4858">
        <v>4853</v>
      </c>
      <c r="M4858">
        <v>2.9932E-2</v>
      </c>
      <c r="N4858">
        <v>6032.7608289999998</v>
      </c>
    </row>
    <row r="4859" spans="12:14" x14ac:dyDescent="0.55000000000000004">
      <c r="L4859">
        <v>4854</v>
      </c>
      <c r="M4859">
        <v>2.9932E-2</v>
      </c>
      <c r="N4859">
        <v>6032.7608289999998</v>
      </c>
    </row>
    <row r="4860" spans="12:14" x14ac:dyDescent="0.55000000000000004">
      <c r="L4860">
        <v>4855</v>
      </c>
      <c r="M4860">
        <v>2.9932E-2</v>
      </c>
      <c r="N4860">
        <v>6032.7608289999998</v>
      </c>
    </row>
    <row r="4861" spans="12:14" x14ac:dyDescent="0.55000000000000004">
      <c r="L4861">
        <v>4856</v>
      </c>
      <c r="M4861">
        <v>2.9932E-2</v>
      </c>
      <c r="N4861">
        <v>6032.7608289999998</v>
      </c>
    </row>
    <row r="4862" spans="12:14" x14ac:dyDescent="0.55000000000000004">
      <c r="L4862">
        <v>4857</v>
      </c>
      <c r="M4862">
        <v>2.9932E-2</v>
      </c>
      <c r="N4862">
        <v>6032.7608289999998</v>
      </c>
    </row>
    <row r="4863" spans="12:14" x14ac:dyDescent="0.55000000000000004">
      <c r="L4863">
        <v>4858</v>
      </c>
      <c r="M4863">
        <v>2.9932E-2</v>
      </c>
      <c r="N4863">
        <v>6032.7608289999998</v>
      </c>
    </row>
    <row r="4864" spans="12:14" x14ac:dyDescent="0.55000000000000004">
      <c r="L4864">
        <v>4859</v>
      </c>
      <c r="M4864">
        <v>2.9932E-2</v>
      </c>
      <c r="N4864">
        <v>6032.7608289999998</v>
      </c>
    </row>
    <row r="4865" spans="12:14" x14ac:dyDescent="0.55000000000000004">
      <c r="L4865">
        <v>4860</v>
      </c>
      <c r="M4865">
        <v>2.9932E-2</v>
      </c>
      <c r="N4865">
        <v>6032.7608289999998</v>
      </c>
    </row>
    <row r="4866" spans="12:14" x14ac:dyDescent="0.55000000000000004">
      <c r="L4866">
        <v>4861</v>
      </c>
      <c r="M4866">
        <v>2.9932E-2</v>
      </c>
      <c r="N4866">
        <v>6032.7608289999998</v>
      </c>
    </row>
    <row r="4867" spans="12:14" x14ac:dyDescent="0.55000000000000004">
      <c r="L4867">
        <v>4862</v>
      </c>
      <c r="M4867">
        <v>2.9932E-2</v>
      </c>
      <c r="N4867">
        <v>6032.7608289999998</v>
      </c>
    </row>
    <row r="4868" spans="12:14" x14ac:dyDescent="0.55000000000000004">
      <c r="L4868">
        <v>4863</v>
      </c>
      <c r="M4868">
        <v>2.9932E-2</v>
      </c>
      <c r="N4868">
        <v>6032.7608289999998</v>
      </c>
    </row>
    <row r="4869" spans="12:14" x14ac:dyDescent="0.55000000000000004">
      <c r="L4869">
        <v>4864</v>
      </c>
      <c r="M4869">
        <v>2.9932E-2</v>
      </c>
      <c r="N4869">
        <v>6032.7608289999998</v>
      </c>
    </row>
    <row r="4870" spans="12:14" x14ac:dyDescent="0.55000000000000004">
      <c r="L4870">
        <v>4865</v>
      </c>
      <c r="M4870">
        <v>2.9932E-2</v>
      </c>
      <c r="N4870">
        <v>6032.7608289999998</v>
      </c>
    </row>
    <row r="4871" spans="12:14" x14ac:dyDescent="0.55000000000000004">
      <c r="L4871">
        <v>4866</v>
      </c>
      <c r="M4871">
        <v>2.9932E-2</v>
      </c>
      <c r="N4871">
        <v>6032.7608289999998</v>
      </c>
    </row>
    <row r="4872" spans="12:14" x14ac:dyDescent="0.55000000000000004">
      <c r="L4872">
        <v>4867</v>
      </c>
      <c r="M4872">
        <v>2.9932E-2</v>
      </c>
      <c r="N4872">
        <v>6032.7608289999998</v>
      </c>
    </row>
    <row r="4873" spans="12:14" x14ac:dyDescent="0.55000000000000004">
      <c r="L4873">
        <v>4868</v>
      </c>
      <c r="M4873">
        <v>2.9932E-2</v>
      </c>
      <c r="N4873">
        <v>6032.7608289999998</v>
      </c>
    </row>
    <row r="4874" spans="12:14" x14ac:dyDescent="0.55000000000000004">
      <c r="L4874">
        <v>4869</v>
      </c>
      <c r="M4874">
        <v>2.9932E-2</v>
      </c>
      <c r="N4874">
        <v>6032.7608289999998</v>
      </c>
    </row>
    <row r="4875" spans="12:14" x14ac:dyDescent="0.55000000000000004">
      <c r="L4875">
        <v>4870</v>
      </c>
      <c r="M4875">
        <v>2.9932E-2</v>
      </c>
      <c r="N4875">
        <v>6032.7608289999998</v>
      </c>
    </row>
    <row r="4876" spans="12:14" x14ac:dyDescent="0.55000000000000004">
      <c r="L4876">
        <v>4871</v>
      </c>
      <c r="M4876">
        <v>2.9932E-2</v>
      </c>
      <c r="N4876">
        <v>6032.7608289999998</v>
      </c>
    </row>
    <row r="4877" spans="12:14" x14ac:dyDescent="0.55000000000000004">
      <c r="L4877">
        <v>4872</v>
      </c>
      <c r="M4877">
        <v>2.9932E-2</v>
      </c>
      <c r="N4877">
        <v>6032.7608289999998</v>
      </c>
    </row>
    <row r="4878" spans="12:14" x14ac:dyDescent="0.55000000000000004">
      <c r="L4878">
        <v>4873</v>
      </c>
      <c r="M4878">
        <v>2.9932E-2</v>
      </c>
      <c r="N4878">
        <v>6032.7608289999998</v>
      </c>
    </row>
    <row r="4879" spans="12:14" x14ac:dyDescent="0.55000000000000004">
      <c r="L4879">
        <v>4874</v>
      </c>
      <c r="M4879">
        <v>2.9932E-2</v>
      </c>
      <c r="N4879">
        <v>6032.7608289999998</v>
      </c>
    </row>
    <row r="4880" spans="12:14" x14ac:dyDescent="0.55000000000000004">
      <c r="L4880">
        <v>4875</v>
      </c>
      <c r="M4880">
        <v>2.9932E-2</v>
      </c>
      <c r="N4880">
        <v>6032.7608289999998</v>
      </c>
    </row>
    <row r="4881" spans="12:14" x14ac:dyDescent="0.55000000000000004">
      <c r="L4881">
        <v>4876</v>
      </c>
      <c r="M4881">
        <v>2.9932E-2</v>
      </c>
      <c r="N4881">
        <v>6032.7608289999998</v>
      </c>
    </row>
    <row r="4882" spans="12:14" x14ac:dyDescent="0.55000000000000004">
      <c r="L4882">
        <v>4877</v>
      </c>
      <c r="M4882">
        <v>2.9932E-2</v>
      </c>
      <c r="N4882">
        <v>6032.7608289999998</v>
      </c>
    </row>
    <row r="4883" spans="12:14" x14ac:dyDescent="0.55000000000000004">
      <c r="L4883">
        <v>4878</v>
      </c>
      <c r="M4883">
        <v>2.9932E-2</v>
      </c>
      <c r="N4883">
        <v>6032.7608289999998</v>
      </c>
    </row>
    <row r="4884" spans="12:14" x14ac:dyDescent="0.55000000000000004">
      <c r="L4884">
        <v>4879</v>
      </c>
      <c r="M4884">
        <v>2.9932E-2</v>
      </c>
      <c r="N4884">
        <v>6032.7608289999998</v>
      </c>
    </row>
    <row r="4885" spans="12:14" x14ac:dyDescent="0.55000000000000004">
      <c r="L4885">
        <v>4880</v>
      </c>
      <c r="M4885">
        <v>2.9932E-2</v>
      </c>
      <c r="N4885">
        <v>6032.7608289999998</v>
      </c>
    </row>
    <row r="4886" spans="12:14" x14ac:dyDescent="0.55000000000000004">
      <c r="L4886">
        <v>4881</v>
      </c>
      <c r="M4886">
        <v>2.9932E-2</v>
      </c>
      <c r="N4886">
        <v>6032.7608289999998</v>
      </c>
    </row>
    <row r="4887" spans="12:14" x14ac:dyDescent="0.55000000000000004">
      <c r="L4887">
        <v>4882</v>
      </c>
      <c r="M4887">
        <v>2.9932E-2</v>
      </c>
      <c r="N4887">
        <v>6032.7608289999998</v>
      </c>
    </row>
    <row r="4888" spans="12:14" x14ac:dyDescent="0.55000000000000004">
      <c r="L4888">
        <v>4883</v>
      </c>
      <c r="M4888">
        <v>2.9932E-2</v>
      </c>
      <c r="N4888">
        <v>6032.7608289999998</v>
      </c>
    </row>
    <row r="4889" spans="12:14" x14ac:dyDescent="0.55000000000000004">
      <c r="L4889">
        <v>4884</v>
      </c>
      <c r="M4889">
        <v>2.9932E-2</v>
      </c>
      <c r="N4889">
        <v>6032.7608289999998</v>
      </c>
    </row>
    <row r="4890" spans="12:14" x14ac:dyDescent="0.55000000000000004">
      <c r="L4890">
        <v>4885</v>
      </c>
      <c r="M4890">
        <v>2.9932E-2</v>
      </c>
      <c r="N4890">
        <v>6032.7608289999998</v>
      </c>
    </row>
    <row r="4891" spans="12:14" x14ac:dyDescent="0.55000000000000004">
      <c r="L4891">
        <v>4886</v>
      </c>
      <c r="M4891">
        <v>2.9932E-2</v>
      </c>
      <c r="N4891">
        <v>6032.7608289999998</v>
      </c>
    </row>
    <row r="4892" spans="12:14" x14ac:dyDescent="0.55000000000000004">
      <c r="L4892">
        <v>4887</v>
      </c>
      <c r="M4892">
        <v>2.9932E-2</v>
      </c>
      <c r="N4892">
        <v>6032.7608289999998</v>
      </c>
    </row>
    <row r="4893" spans="12:14" x14ac:dyDescent="0.55000000000000004">
      <c r="L4893">
        <v>4888</v>
      </c>
      <c r="M4893">
        <v>2.9932E-2</v>
      </c>
      <c r="N4893">
        <v>6032.7608289999998</v>
      </c>
    </row>
    <row r="4894" spans="12:14" x14ac:dyDescent="0.55000000000000004">
      <c r="L4894">
        <v>4889</v>
      </c>
      <c r="M4894">
        <v>2.9932E-2</v>
      </c>
      <c r="N4894">
        <v>6032.7608289999998</v>
      </c>
    </row>
    <row r="4895" spans="12:14" x14ac:dyDescent="0.55000000000000004">
      <c r="L4895">
        <v>4890</v>
      </c>
      <c r="M4895">
        <v>2.9932E-2</v>
      </c>
      <c r="N4895">
        <v>6032.7608289999998</v>
      </c>
    </row>
    <row r="4896" spans="12:14" x14ac:dyDescent="0.55000000000000004">
      <c r="L4896">
        <v>4891</v>
      </c>
      <c r="M4896">
        <v>2.9932E-2</v>
      </c>
      <c r="N4896">
        <v>6032.7608289999998</v>
      </c>
    </row>
    <row r="4897" spans="12:14" x14ac:dyDescent="0.55000000000000004">
      <c r="L4897">
        <v>4892</v>
      </c>
      <c r="M4897">
        <v>2.9932E-2</v>
      </c>
      <c r="N4897">
        <v>6032.7608289999998</v>
      </c>
    </row>
    <row r="4898" spans="12:14" x14ac:dyDescent="0.55000000000000004">
      <c r="L4898">
        <v>4893</v>
      </c>
      <c r="M4898">
        <v>2.9932E-2</v>
      </c>
      <c r="N4898">
        <v>6032.7608289999998</v>
      </c>
    </row>
    <row r="4899" spans="12:14" x14ac:dyDescent="0.55000000000000004">
      <c r="L4899">
        <v>4894</v>
      </c>
      <c r="M4899">
        <v>2.9932E-2</v>
      </c>
      <c r="N4899">
        <v>6032.7608289999998</v>
      </c>
    </row>
    <row r="4900" spans="12:14" x14ac:dyDescent="0.55000000000000004">
      <c r="L4900">
        <v>4895</v>
      </c>
      <c r="M4900">
        <v>2.9932E-2</v>
      </c>
      <c r="N4900">
        <v>6032.7608289999998</v>
      </c>
    </row>
    <row r="4901" spans="12:14" x14ac:dyDescent="0.55000000000000004">
      <c r="L4901">
        <v>4896</v>
      </c>
      <c r="M4901">
        <v>2.9932E-2</v>
      </c>
      <c r="N4901">
        <v>6032.7608289999998</v>
      </c>
    </row>
    <row r="4902" spans="12:14" x14ac:dyDescent="0.55000000000000004">
      <c r="L4902">
        <v>4897</v>
      </c>
      <c r="M4902">
        <v>2.9932E-2</v>
      </c>
      <c r="N4902">
        <v>6032.7608289999998</v>
      </c>
    </row>
    <row r="4903" spans="12:14" x14ac:dyDescent="0.55000000000000004">
      <c r="L4903">
        <v>4898</v>
      </c>
      <c r="M4903">
        <v>2.9932E-2</v>
      </c>
      <c r="N4903">
        <v>6032.7608289999998</v>
      </c>
    </row>
    <row r="4904" spans="12:14" x14ac:dyDescent="0.55000000000000004">
      <c r="L4904">
        <v>4899</v>
      </c>
      <c r="M4904">
        <v>2.9932E-2</v>
      </c>
      <c r="N4904">
        <v>6032.7608289999998</v>
      </c>
    </row>
    <row r="4905" spans="12:14" x14ac:dyDescent="0.55000000000000004">
      <c r="L4905">
        <v>4900</v>
      </c>
      <c r="M4905">
        <v>2.9932E-2</v>
      </c>
      <c r="N4905">
        <v>6032.7608289999998</v>
      </c>
    </row>
    <row r="4906" spans="12:14" x14ac:dyDescent="0.55000000000000004">
      <c r="L4906">
        <v>4901</v>
      </c>
      <c r="M4906">
        <v>2.9932E-2</v>
      </c>
      <c r="N4906">
        <v>6032.7608289999998</v>
      </c>
    </row>
    <row r="4907" spans="12:14" x14ac:dyDescent="0.55000000000000004">
      <c r="L4907">
        <v>4902</v>
      </c>
      <c r="M4907">
        <v>2.9932E-2</v>
      </c>
      <c r="N4907">
        <v>6032.7608289999998</v>
      </c>
    </row>
    <row r="4908" spans="12:14" x14ac:dyDescent="0.55000000000000004">
      <c r="L4908">
        <v>4903</v>
      </c>
      <c r="M4908">
        <v>2.9932E-2</v>
      </c>
      <c r="N4908">
        <v>6032.7608289999998</v>
      </c>
    </row>
    <row r="4909" spans="12:14" x14ac:dyDescent="0.55000000000000004">
      <c r="L4909">
        <v>4904</v>
      </c>
      <c r="M4909">
        <v>2.9932E-2</v>
      </c>
      <c r="N4909">
        <v>6032.7608289999998</v>
      </c>
    </row>
    <row r="4910" spans="12:14" x14ac:dyDescent="0.55000000000000004">
      <c r="L4910">
        <v>4905</v>
      </c>
      <c r="M4910">
        <v>2.9932E-2</v>
      </c>
      <c r="N4910">
        <v>6032.7608289999998</v>
      </c>
    </row>
    <row r="4911" spans="12:14" x14ac:dyDescent="0.55000000000000004">
      <c r="L4911">
        <v>4906</v>
      </c>
      <c r="M4911">
        <v>2.9932E-2</v>
      </c>
      <c r="N4911">
        <v>6032.7608289999998</v>
      </c>
    </row>
    <row r="4912" spans="12:14" x14ac:dyDescent="0.55000000000000004">
      <c r="L4912">
        <v>4907</v>
      </c>
      <c r="M4912">
        <v>2.9932E-2</v>
      </c>
      <c r="N4912">
        <v>6032.7608289999998</v>
      </c>
    </row>
    <row r="4913" spans="12:14" x14ac:dyDescent="0.55000000000000004">
      <c r="L4913">
        <v>4908</v>
      </c>
      <c r="M4913">
        <v>2.9932E-2</v>
      </c>
      <c r="N4913">
        <v>6032.7608289999998</v>
      </c>
    </row>
    <row r="4914" spans="12:14" x14ac:dyDescent="0.55000000000000004">
      <c r="L4914">
        <v>4909</v>
      </c>
      <c r="M4914">
        <v>2.9932E-2</v>
      </c>
      <c r="N4914">
        <v>6032.7608289999998</v>
      </c>
    </row>
    <row r="4915" spans="12:14" x14ac:dyDescent="0.55000000000000004">
      <c r="L4915">
        <v>4910</v>
      </c>
      <c r="M4915">
        <v>2.9932E-2</v>
      </c>
      <c r="N4915">
        <v>6032.7608289999998</v>
      </c>
    </row>
    <row r="4916" spans="12:14" x14ac:dyDescent="0.55000000000000004">
      <c r="L4916">
        <v>4911</v>
      </c>
      <c r="M4916">
        <v>2.9932E-2</v>
      </c>
      <c r="N4916">
        <v>6032.7608289999998</v>
      </c>
    </row>
    <row r="4917" spans="12:14" x14ac:dyDescent="0.55000000000000004">
      <c r="L4917">
        <v>4912</v>
      </c>
      <c r="M4917">
        <v>2.9932E-2</v>
      </c>
      <c r="N4917">
        <v>6032.7608289999998</v>
      </c>
    </row>
    <row r="4918" spans="12:14" x14ac:dyDescent="0.55000000000000004">
      <c r="L4918">
        <v>4913</v>
      </c>
      <c r="M4918">
        <v>2.9932E-2</v>
      </c>
      <c r="N4918">
        <v>6032.7608289999998</v>
      </c>
    </row>
    <row r="4919" spans="12:14" x14ac:dyDescent="0.55000000000000004">
      <c r="L4919">
        <v>4914</v>
      </c>
      <c r="M4919">
        <v>2.9932E-2</v>
      </c>
      <c r="N4919">
        <v>6032.7608289999998</v>
      </c>
    </row>
    <row r="4920" spans="12:14" x14ac:dyDescent="0.55000000000000004">
      <c r="L4920">
        <v>4915</v>
      </c>
      <c r="M4920">
        <v>2.9932E-2</v>
      </c>
      <c r="N4920">
        <v>6032.7608289999998</v>
      </c>
    </row>
    <row r="4921" spans="12:14" x14ac:dyDescent="0.55000000000000004">
      <c r="L4921">
        <v>4916</v>
      </c>
      <c r="M4921">
        <v>2.9932E-2</v>
      </c>
      <c r="N4921">
        <v>6032.7608289999998</v>
      </c>
    </row>
    <row r="4922" spans="12:14" x14ac:dyDescent="0.55000000000000004">
      <c r="L4922">
        <v>4917</v>
      </c>
      <c r="M4922">
        <v>2.9932E-2</v>
      </c>
      <c r="N4922">
        <v>6032.7608289999998</v>
      </c>
    </row>
    <row r="4923" spans="12:14" x14ac:dyDescent="0.55000000000000004">
      <c r="L4923">
        <v>4918</v>
      </c>
      <c r="M4923">
        <v>2.9932E-2</v>
      </c>
      <c r="N4923">
        <v>6032.7608289999998</v>
      </c>
    </row>
    <row r="4924" spans="12:14" x14ac:dyDescent="0.55000000000000004">
      <c r="L4924">
        <v>4919</v>
      </c>
      <c r="M4924">
        <v>2.9932E-2</v>
      </c>
      <c r="N4924">
        <v>6032.7608289999998</v>
      </c>
    </row>
    <row r="4925" spans="12:14" x14ac:dyDescent="0.55000000000000004">
      <c r="L4925">
        <v>4920</v>
      </c>
      <c r="M4925">
        <v>2.9932E-2</v>
      </c>
      <c r="N4925">
        <v>6032.7608289999998</v>
      </c>
    </row>
    <row r="4926" spans="12:14" x14ac:dyDescent="0.55000000000000004">
      <c r="L4926">
        <v>4921</v>
      </c>
      <c r="M4926">
        <v>2.9932E-2</v>
      </c>
      <c r="N4926">
        <v>6032.7608289999998</v>
      </c>
    </row>
    <row r="4927" spans="12:14" x14ac:dyDescent="0.55000000000000004">
      <c r="L4927">
        <v>4922</v>
      </c>
      <c r="M4927">
        <v>2.9932E-2</v>
      </c>
      <c r="N4927">
        <v>6032.7608289999998</v>
      </c>
    </row>
    <row r="4928" spans="12:14" x14ac:dyDescent="0.55000000000000004">
      <c r="L4928">
        <v>4923</v>
      </c>
      <c r="M4928">
        <v>2.9932E-2</v>
      </c>
      <c r="N4928">
        <v>6032.7608289999998</v>
      </c>
    </row>
    <row r="4929" spans="12:14" x14ac:dyDescent="0.55000000000000004">
      <c r="L4929">
        <v>4924</v>
      </c>
      <c r="M4929">
        <v>2.9932E-2</v>
      </c>
      <c r="N4929">
        <v>6032.7608289999998</v>
      </c>
    </row>
    <row r="4930" spans="12:14" x14ac:dyDescent="0.55000000000000004">
      <c r="L4930">
        <v>4925</v>
      </c>
      <c r="M4930">
        <v>2.9932E-2</v>
      </c>
      <c r="N4930">
        <v>6032.7608289999998</v>
      </c>
    </row>
    <row r="4931" spans="12:14" x14ac:dyDescent="0.55000000000000004">
      <c r="L4931">
        <v>4926</v>
      </c>
      <c r="M4931">
        <v>2.9932E-2</v>
      </c>
      <c r="N4931">
        <v>6032.7608289999998</v>
      </c>
    </row>
    <row r="4932" spans="12:14" x14ac:dyDescent="0.55000000000000004">
      <c r="L4932">
        <v>4927</v>
      </c>
      <c r="M4932">
        <v>2.9932E-2</v>
      </c>
      <c r="N4932">
        <v>6032.7608289999998</v>
      </c>
    </row>
    <row r="4933" spans="12:14" x14ac:dyDescent="0.55000000000000004">
      <c r="L4933">
        <v>4928</v>
      </c>
      <c r="M4933">
        <v>2.9932E-2</v>
      </c>
      <c r="N4933">
        <v>6032.7608289999998</v>
      </c>
    </row>
    <row r="4934" spans="12:14" x14ac:dyDescent="0.55000000000000004">
      <c r="L4934">
        <v>4929</v>
      </c>
      <c r="M4934">
        <v>2.9932E-2</v>
      </c>
      <c r="N4934">
        <v>6032.7608289999998</v>
      </c>
    </row>
    <row r="4935" spans="12:14" x14ac:dyDescent="0.55000000000000004">
      <c r="L4935">
        <v>4930</v>
      </c>
      <c r="M4935">
        <v>2.9932E-2</v>
      </c>
      <c r="N4935">
        <v>6032.7608289999998</v>
      </c>
    </row>
    <row r="4936" spans="12:14" x14ac:dyDescent="0.55000000000000004">
      <c r="L4936">
        <v>4931</v>
      </c>
      <c r="M4936">
        <v>2.9932E-2</v>
      </c>
      <c r="N4936">
        <v>6032.7608289999998</v>
      </c>
    </row>
    <row r="4937" spans="12:14" x14ac:dyDescent="0.55000000000000004">
      <c r="L4937">
        <v>4932</v>
      </c>
      <c r="M4937">
        <v>2.9932E-2</v>
      </c>
      <c r="N4937">
        <v>6032.7608289999998</v>
      </c>
    </row>
    <row r="4938" spans="12:14" x14ac:dyDescent="0.55000000000000004">
      <c r="L4938">
        <v>4933</v>
      </c>
      <c r="M4938">
        <v>2.9932E-2</v>
      </c>
      <c r="N4938">
        <v>6032.7608289999998</v>
      </c>
    </row>
    <row r="4939" spans="12:14" x14ac:dyDescent="0.55000000000000004">
      <c r="L4939">
        <v>4934</v>
      </c>
      <c r="M4939">
        <v>2.9932E-2</v>
      </c>
      <c r="N4939">
        <v>6032.7608289999998</v>
      </c>
    </row>
    <row r="4940" spans="12:14" x14ac:dyDescent="0.55000000000000004">
      <c r="L4940">
        <v>4935</v>
      </c>
      <c r="M4940">
        <v>2.9932E-2</v>
      </c>
      <c r="N4940">
        <v>6032.7608289999998</v>
      </c>
    </row>
    <row r="4941" spans="12:14" x14ac:dyDescent="0.55000000000000004">
      <c r="L4941">
        <v>4936</v>
      </c>
      <c r="M4941">
        <v>2.9932E-2</v>
      </c>
      <c r="N4941">
        <v>6032.7608289999998</v>
      </c>
    </row>
    <row r="4942" spans="12:14" x14ac:dyDescent="0.55000000000000004">
      <c r="L4942">
        <v>4937</v>
      </c>
      <c r="M4942">
        <v>2.9932E-2</v>
      </c>
      <c r="N4942">
        <v>6032.7608289999998</v>
      </c>
    </row>
    <row r="4943" spans="12:14" x14ac:dyDescent="0.55000000000000004">
      <c r="L4943">
        <v>4938</v>
      </c>
      <c r="M4943">
        <v>2.9932E-2</v>
      </c>
      <c r="N4943">
        <v>6032.7608289999998</v>
      </c>
    </row>
    <row r="4944" spans="12:14" x14ac:dyDescent="0.55000000000000004">
      <c r="L4944">
        <v>4939</v>
      </c>
      <c r="M4944">
        <v>2.9932E-2</v>
      </c>
      <c r="N4944">
        <v>6032.7608289999998</v>
      </c>
    </row>
    <row r="4945" spans="12:14" x14ac:dyDescent="0.55000000000000004">
      <c r="L4945">
        <v>4940</v>
      </c>
      <c r="M4945">
        <v>2.9932E-2</v>
      </c>
      <c r="N4945">
        <v>6032.7608289999998</v>
      </c>
    </row>
    <row r="4946" spans="12:14" x14ac:dyDescent="0.55000000000000004">
      <c r="L4946">
        <v>4941</v>
      </c>
      <c r="M4946">
        <v>2.9932E-2</v>
      </c>
      <c r="N4946">
        <v>6032.7608289999998</v>
      </c>
    </row>
    <row r="4947" spans="12:14" x14ac:dyDescent="0.55000000000000004">
      <c r="L4947">
        <v>4942</v>
      </c>
      <c r="M4947">
        <v>2.9932E-2</v>
      </c>
      <c r="N4947">
        <v>6032.7608289999998</v>
      </c>
    </row>
    <row r="4948" spans="12:14" x14ac:dyDescent="0.55000000000000004">
      <c r="L4948">
        <v>4943</v>
      </c>
      <c r="M4948">
        <v>2.9932E-2</v>
      </c>
      <c r="N4948">
        <v>6032.7608289999998</v>
      </c>
    </row>
    <row r="4949" spans="12:14" x14ac:dyDescent="0.55000000000000004">
      <c r="L4949">
        <v>4944</v>
      </c>
      <c r="M4949">
        <v>2.9932E-2</v>
      </c>
      <c r="N4949">
        <v>6032.7608289999998</v>
      </c>
    </row>
    <row r="4950" spans="12:14" x14ac:dyDescent="0.55000000000000004">
      <c r="L4950">
        <v>4945</v>
      </c>
      <c r="M4950">
        <v>2.9932E-2</v>
      </c>
      <c r="N4950">
        <v>6032.7608289999998</v>
      </c>
    </row>
    <row r="4951" spans="12:14" x14ac:dyDescent="0.55000000000000004">
      <c r="L4951">
        <v>4946</v>
      </c>
      <c r="M4951">
        <v>2.9932E-2</v>
      </c>
      <c r="N4951">
        <v>6032.7608289999998</v>
      </c>
    </row>
    <row r="4952" spans="12:14" x14ac:dyDescent="0.55000000000000004">
      <c r="L4952">
        <v>4947</v>
      </c>
      <c r="M4952">
        <v>2.9932E-2</v>
      </c>
      <c r="N4952">
        <v>6032.7608289999998</v>
      </c>
    </row>
    <row r="4953" spans="12:14" x14ac:dyDescent="0.55000000000000004">
      <c r="L4953">
        <v>4948</v>
      </c>
      <c r="M4953">
        <v>2.9932E-2</v>
      </c>
      <c r="N4953">
        <v>6032.7608289999998</v>
      </c>
    </row>
    <row r="4954" spans="12:14" x14ac:dyDescent="0.55000000000000004">
      <c r="L4954">
        <v>4949</v>
      </c>
      <c r="M4954">
        <v>2.9932E-2</v>
      </c>
      <c r="N4954">
        <v>6032.7608289999998</v>
      </c>
    </row>
    <row r="4955" spans="12:14" x14ac:dyDescent="0.55000000000000004">
      <c r="L4955">
        <v>4950</v>
      </c>
      <c r="M4955">
        <v>2.9932E-2</v>
      </c>
      <c r="N4955">
        <v>6032.7608289999998</v>
      </c>
    </row>
    <row r="4956" spans="12:14" x14ac:dyDescent="0.55000000000000004">
      <c r="L4956">
        <v>4951</v>
      </c>
      <c r="M4956">
        <v>2.9932E-2</v>
      </c>
      <c r="N4956">
        <v>6032.7608289999998</v>
      </c>
    </row>
    <row r="4957" spans="12:14" x14ac:dyDescent="0.55000000000000004">
      <c r="L4957">
        <v>4952</v>
      </c>
      <c r="M4957">
        <v>2.9932E-2</v>
      </c>
      <c r="N4957">
        <v>6032.7608289999998</v>
      </c>
    </row>
    <row r="4958" spans="12:14" x14ac:dyDescent="0.55000000000000004">
      <c r="L4958">
        <v>4953</v>
      </c>
      <c r="M4958">
        <v>2.9932E-2</v>
      </c>
      <c r="N4958">
        <v>6032.7608289999998</v>
      </c>
    </row>
    <row r="4959" spans="12:14" x14ac:dyDescent="0.55000000000000004">
      <c r="L4959">
        <v>4954</v>
      </c>
      <c r="M4959">
        <v>2.9932E-2</v>
      </c>
      <c r="N4959">
        <v>6032.7608289999998</v>
      </c>
    </row>
    <row r="4960" spans="12:14" x14ac:dyDescent="0.55000000000000004">
      <c r="L4960">
        <v>4955</v>
      </c>
      <c r="M4960">
        <v>2.9932E-2</v>
      </c>
      <c r="N4960">
        <v>6032.7608289999998</v>
      </c>
    </row>
    <row r="4961" spans="12:14" x14ac:dyDescent="0.55000000000000004">
      <c r="L4961">
        <v>4956</v>
      </c>
      <c r="M4961">
        <v>2.9932E-2</v>
      </c>
      <c r="N4961">
        <v>6032.7608289999998</v>
      </c>
    </row>
    <row r="4962" spans="12:14" x14ac:dyDescent="0.55000000000000004">
      <c r="L4962">
        <v>4957</v>
      </c>
      <c r="M4962">
        <v>2.9932E-2</v>
      </c>
      <c r="N4962">
        <v>6032.7608289999998</v>
      </c>
    </row>
    <row r="4963" spans="12:14" x14ac:dyDescent="0.55000000000000004">
      <c r="L4963">
        <v>4958</v>
      </c>
      <c r="M4963">
        <v>2.9932E-2</v>
      </c>
      <c r="N4963">
        <v>6032.7608289999998</v>
      </c>
    </row>
    <row r="4964" spans="12:14" x14ac:dyDescent="0.55000000000000004">
      <c r="L4964">
        <v>4959</v>
      </c>
      <c r="M4964">
        <v>2.9932E-2</v>
      </c>
      <c r="N4964">
        <v>6032.7608289999998</v>
      </c>
    </row>
    <row r="4965" spans="12:14" x14ac:dyDescent="0.55000000000000004">
      <c r="L4965">
        <v>4960</v>
      </c>
      <c r="M4965">
        <v>2.9932E-2</v>
      </c>
      <c r="N4965">
        <v>6032.7608289999998</v>
      </c>
    </row>
    <row r="4966" spans="12:14" x14ac:dyDescent="0.55000000000000004">
      <c r="L4966">
        <v>4961</v>
      </c>
      <c r="M4966">
        <v>2.9932E-2</v>
      </c>
      <c r="N4966">
        <v>6032.7608289999998</v>
      </c>
    </row>
    <row r="4967" spans="12:14" x14ac:dyDescent="0.55000000000000004">
      <c r="L4967">
        <v>4962</v>
      </c>
      <c r="M4967">
        <v>2.9932E-2</v>
      </c>
      <c r="N4967">
        <v>6032.7608289999998</v>
      </c>
    </row>
    <row r="4968" spans="12:14" x14ac:dyDescent="0.55000000000000004">
      <c r="L4968">
        <v>4963</v>
      </c>
      <c r="M4968">
        <v>2.9932E-2</v>
      </c>
      <c r="N4968">
        <v>6032.7608289999998</v>
      </c>
    </row>
    <row r="4969" spans="12:14" x14ac:dyDescent="0.55000000000000004">
      <c r="L4969">
        <v>4964</v>
      </c>
      <c r="M4969">
        <v>2.9932E-2</v>
      </c>
      <c r="N4969">
        <v>6032.7608289999998</v>
      </c>
    </row>
    <row r="4970" spans="12:14" x14ac:dyDescent="0.55000000000000004">
      <c r="L4970">
        <v>4965</v>
      </c>
      <c r="M4970">
        <v>2.9932E-2</v>
      </c>
      <c r="N4970">
        <v>6032.7608289999998</v>
      </c>
    </row>
    <row r="4971" spans="12:14" x14ac:dyDescent="0.55000000000000004">
      <c r="L4971">
        <v>4966</v>
      </c>
      <c r="M4971">
        <v>2.9932E-2</v>
      </c>
      <c r="N4971">
        <v>6032.7608289999998</v>
      </c>
    </row>
    <row r="4972" spans="12:14" x14ac:dyDescent="0.55000000000000004">
      <c r="L4972">
        <v>4967</v>
      </c>
      <c r="M4972">
        <v>2.9932E-2</v>
      </c>
      <c r="N4972">
        <v>6032.7608289999998</v>
      </c>
    </row>
    <row r="4973" spans="12:14" x14ac:dyDescent="0.55000000000000004">
      <c r="L4973">
        <v>4968</v>
      </c>
      <c r="M4973">
        <v>2.9932E-2</v>
      </c>
      <c r="N4973">
        <v>6032.7608289999998</v>
      </c>
    </row>
    <row r="4974" spans="12:14" x14ac:dyDescent="0.55000000000000004">
      <c r="L4974">
        <v>4969</v>
      </c>
      <c r="M4974">
        <v>2.9932E-2</v>
      </c>
      <c r="N4974">
        <v>6032.7608289999998</v>
      </c>
    </row>
    <row r="4975" spans="12:14" x14ac:dyDescent="0.55000000000000004">
      <c r="L4975">
        <v>4970</v>
      </c>
      <c r="M4975">
        <v>2.9932E-2</v>
      </c>
      <c r="N4975">
        <v>6032.7608289999998</v>
      </c>
    </row>
    <row r="4976" spans="12:14" x14ac:dyDescent="0.55000000000000004">
      <c r="L4976">
        <v>4971</v>
      </c>
      <c r="M4976">
        <v>2.9932E-2</v>
      </c>
      <c r="N4976">
        <v>6032.7608289999998</v>
      </c>
    </row>
    <row r="4977" spans="12:14" x14ac:dyDescent="0.55000000000000004">
      <c r="L4977">
        <v>4972</v>
      </c>
      <c r="M4977">
        <v>2.9932E-2</v>
      </c>
      <c r="N4977">
        <v>6032.7608289999998</v>
      </c>
    </row>
    <row r="4978" spans="12:14" x14ac:dyDescent="0.55000000000000004">
      <c r="L4978">
        <v>4973</v>
      </c>
      <c r="M4978">
        <v>2.9932E-2</v>
      </c>
      <c r="N4978">
        <v>6032.7608289999998</v>
      </c>
    </row>
    <row r="4979" spans="12:14" x14ac:dyDescent="0.55000000000000004">
      <c r="L4979">
        <v>4974</v>
      </c>
      <c r="M4979">
        <v>2.9932E-2</v>
      </c>
      <c r="N4979">
        <v>6032.7608289999998</v>
      </c>
    </row>
    <row r="4980" spans="12:14" x14ac:dyDescent="0.55000000000000004">
      <c r="L4980">
        <v>4975</v>
      </c>
      <c r="M4980">
        <v>2.9932E-2</v>
      </c>
      <c r="N4980">
        <v>6032.7608289999998</v>
      </c>
    </row>
    <row r="4981" spans="12:14" x14ac:dyDescent="0.55000000000000004">
      <c r="L4981">
        <v>4976</v>
      </c>
      <c r="M4981">
        <v>2.9932E-2</v>
      </c>
      <c r="N4981">
        <v>6032.7608289999998</v>
      </c>
    </row>
    <row r="4982" spans="12:14" x14ac:dyDescent="0.55000000000000004">
      <c r="L4982">
        <v>4977</v>
      </c>
      <c r="M4982">
        <v>2.9932E-2</v>
      </c>
      <c r="N4982">
        <v>6032.7608289999998</v>
      </c>
    </row>
    <row r="4983" spans="12:14" x14ac:dyDescent="0.55000000000000004">
      <c r="L4983">
        <v>4978</v>
      </c>
      <c r="M4983">
        <v>2.9932E-2</v>
      </c>
      <c r="N4983">
        <v>6032.7608289999998</v>
      </c>
    </row>
    <row r="4984" spans="12:14" x14ac:dyDescent="0.55000000000000004">
      <c r="L4984">
        <v>4979</v>
      </c>
      <c r="M4984">
        <v>2.9932E-2</v>
      </c>
      <c r="N4984">
        <v>6032.7608289999998</v>
      </c>
    </row>
    <row r="4985" spans="12:14" x14ac:dyDescent="0.55000000000000004">
      <c r="L4985">
        <v>4980</v>
      </c>
      <c r="M4985">
        <v>2.9932E-2</v>
      </c>
      <c r="N4985">
        <v>6032.7608289999998</v>
      </c>
    </row>
    <row r="4986" spans="12:14" x14ac:dyDescent="0.55000000000000004">
      <c r="L4986">
        <v>4981</v>
      </c>
      <c r="M4986">
        <v>2.9932E-2</v>
      </c>
      <c r="N4986">
        <v>6032.7608289999998</v>
      </c>
    </row>
    <row r="4987" spans="12:14" x14ac:dyDescent="0.55000000000000004">
      <c r="L4987">
        <v>4982</v>
      </c>
      <c r="M4987">
        <v>2.9932E-2</v>
      </c>
      <c r="N4987">
        <v>6032.7608289999998</v>
      </c>
    </row>
    <row r="4988" spans="12:14" x14ac:dyDescent="0.55000000000000004">
      <c r="L4988">
        <v>4983</v>
      </c>
      <c r="M4988">
        <v>2.9932E-2</v>
      </c>
      <c r="N4988">
        <v>6032.7608289999998</v>
      </c>
    </row>
    <row r="4989" spans="12:14" x14ac:dyDescent="0.55000000000000004">
      <c r="L4989">
        <v>4984</v>
      </c>
      <c r="M4989">
        <v>2.9932E-2</v>
      </c>
      <c r="N4989">
        <v>6032.7608289999998</v>
      </c>
    </row>
    <row r="4990" spans="12:14" x14ac:dyDescent="0.55000000000000004">
      <c r="L4990">
        <v>4985</v>
      </c>
      <c r="M4990">
        <v>2.9932E-2</v>
      </c>
      <c r="N4990">
        <v>6032.7608289999998</v>
      </c>
    </row>
    <row r="4991" spans="12:14" x14ac:dyDescent="0.55000000000000004">
      <c r="L4991">
        <v>4986</v>
      </c>
      <c r="M4991">
        <v>2.9932E-2</v>
      </c>
      <c r="N4991">
        <v>6032.7608289999998</v>
      </c>
    </row>
    <row r="4992" spans="12:14" x14ac:dyDescent="0.55000000000000004">
      <c r="L4992">
        <v>4987</v>
      </c>
      <c r="M4992">
        <v>2.9932E-2</v>
      </c>
      <c r="N4992">
        <v>6032.7608289999998</v>
      </c>
    </row>
    <row r="4993" spans="12:14" x14ac:dyDescent="0.55000000000000004">
      <c r="L4993">
        <v>4988</v>
      </c>
      <c r="M4993">
        <v>2.9932E-2</v>
      </c>
      <c r="N4993">
        <v>6032.7608289999998</v>
      </c>
    </row>
    <row r="4994" spans="12:14" x14ac:dyDescent="0.55000000000000004">
      <c r="L4994">
        <v>4989</v>
      </c>
      <c r="M4994">
        <v>2.9932E-2</v>
      </c>
      <c r="N4994">
        <v>6032.7608289999998</v>
      </c>
    </row>
    <row r="4995" spans="12:14" x14ac:dyDescent="0.55000000000000004">
      <c r="L4995">
        <v>4990</v>
      </c>
      <c r="M4995">
        <v>2.9932E-2</v>
      </c>
      <c r="N4995">
        <v>6032.7608289999998</v>
      </c>
    </row>
    <row r="4996" spans="12:14" x14ac:dyDescent="0.55000000000000004">
      <c r="L4996">
        <v>4991</v>
      </c>
      <c r="M4996">
        <v>2.9932E-2</v>
      </c>
      <c r="N4996">
        <v>6032.7608289999998</v>
      </c>
    </row>
    <row r="4997" spans="12:14" x14ac:dyDescent="0.55000000000000004">
      <c r="L4997">
        <v>4992</v>
      </c>
      <c r="M4997">
        <v>2.9932E-2</v>
      </c>
      <c r="N4997">
        <v>6032.7608289999998</v>
      </c>
    </row>
    <row r="4998" spans="12:14" x14ac:dyDescent="0.55000000000000004">
      <c r="L4998">
        <v>4993</v>
      </c>
      <c r="M4998">
        <v>2.9932E-2</v>
      </c>
      <c r="N4998">
        <v>6032.7608289999998</v>
      </c>
    </row>
    <row r="4999" spans="12:14" x14ac:dyDescent="0.55000000000000004">
      <c r="L4999">
        <v>4994</v>
      </c>
      <c r="M4999">
        <v>2.9932E-2</v>
      </c>
      <c r="N4999">
        <v>6032.7608289999998</v>
      </c>
    </row>
    <row r="5000" spans="12:14" x14ac:dyDescent="0.55000000000000004">
      <c r="L5000">
        <v>4995</v>
      </c>
      <c r="M5000">
        <v>2.9932E-2</v>
      </c>
      <c r="N5000">
        <v>6032.7608289999998</v>
      </c>
    </row>
    <row r="5001" spans="12:14" x14ac:dyDescent="0.55000000000000004">
      <c r="L5001">
        <v>4996</v>
      </c>
      <c r="M5001">
        <v>2.9932E-2</v>
      </c>
      <c r="N5001">
        <v>6032.7608289999998</v>
      </c>
    </row>
    <row r="5002" spans="12:14" x14ac:dyDescent="0.55000000000000004">
      <c r="L5002">
        <v>4997</v>
      </c>
      <c r="M5002">
        <v>2.9932E-2</v>
      </c>
      <c r="N5002">
        <v>6032.7608289999998</v>
      </c>
    </row>
    <row r="5003" spans="12:14" x14ac:dyDescent="0.55000000000000004">
      <c r="L5003">
        <v>4998</v>
      </c>
      <c r="M5003">
        <v>2.9932E-2</v>
      </c>
      <c r="N5003">
        <v>6032.7608289999998</v>
      </c>
    </row>
    <row r="5004" spans="12:14" x14ac:dyDescent="0.55000000000000004">
      <c r="L5004">
        <v>4999</v>
      </c>
      <c r="M5004">
        <v>2.9932E-2</v>
      </c>
      <c r="N5004">
        <v>6032.7608289999998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0cf7ac0a-4681-4823-ab0b-04ef02c5f873}" enabled="1" method="Standar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Notes</vt:lpstr>
      <vt:lpstr>RU-1926</vt:lpstr>
      <vt:lpstr>USSR-1926</vt:lpstr>
      <vt:lpstr>USSR-1959</vt:lpstr>
      <vt:lpstr>USSR-1970</vt:lpstr>
      <vt:lpstr>USSR-1979</vt:lpstr>
      <vt:lpstr>RSFSR-1926</vt:lpstr>
      <vt:lpstr>RSFSR-1959</vt:lpstr>
      <vt:lpstr>RSFSR-1970</vt:lpstr>
      <vt:lpstr>RSFSR-1979</vt:lpstr>
      <vt:lpstr>MX-1930</vt:lpstr>
      <vt:lpstr>MX-1960</vt:lpstr>
      <vt:lpstr>MX-1970</vt:lpstr>
      <vt:lpstr>Unpack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sergey</dc:creator>
  <cp:lastModifiedBy>Oboguev, Sergey</cp:lastModifiedBy>
  <dcterms:created xsi:type="dcterms:W3CDTF">2026-04-27T09:02:17Z</dcterms:created>
  <dcterms:modified xsi:type="dcterms:W3CDTF">2026-05-01T00:43:39Z</dcterms:modified>
</cp:coreProperties>
</file>