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workbooks\"/>
    </mc:Choice>
  </mc:AlternateContent>
  <xr:revisionPtr revIDLastSave="0" documentId="13_ncr:1_{1BD37049-08E8-48BE-86C0-EC1C372C7746}" xr6:coauthVersionLast="45" xr6:coauthVersionMax="45" xr10:uidLastSave="{00000000-0000-0000-0000-000000000000}"/>
  <bookViews>
    <workbookView xWindow="15810" yWindow="285" windowWidth="21885" windowHeight="23040" activeTab="1" xr2:uid="{A6B449C1-5D5B-4456-9F0B-BCB65D12B3B6}"/>
  </bookViews>
  <sheets>
    <sheet name="note" sheetId="2" r:id="rId1"/>
    <sheet name="Data" sheetId="1" r:id="rId2"/>
    <sheet name="рождаемость" sheetId="3" r:id="rId3"/>
    <sheet name="смертность" sheetId="4" r:id="rId4"/>
  </sheets>
  <definedNames>
    <definedName name="UR_1913">Data!$B$4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3" i="1" l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Q44" i="1"/>
  <c r="Q43" i="1"/>
  <c r="Q42" i="1"/>
  <c r="Q32" i="1"/>
  <c r="Q31" i="1"/>
  <c r="Q20" i="1"/>
  <c r="Q8" i="1"/>
  <c r="I14" i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Q25" i="1" s="1"/>
  <c r="O24" i="1"/>
  <c r="Q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G47" i="1"/>
  <c r="I47" i="1" s="1"/>
  <c r="G46" i="1"/>
  <c r="I46" i="1" s="1"/>
  <c r="G45" i="1"/>
  <c r="I45" i="1" s="1"/>
  <c r="G44" i="1"/>
  <c r="I44" i="1" s="1"/>
  <c r="G43" i="1"/>
  <c r="I43" i="1" s="1"/>
  <c r="G42" i="1"/>
  <c r="I42" i="1" s="1"/>
  <c r="G41" i="1"/>
  <c r="I41" i="1" s="1"/>
  <c r="G40" i="1"/>
  <c r="I40" i="1" s="1"/>
  <c r="G39" i="1"/>
  <c r="I39" i="1" s="1"/>
  <c r="G38" i="1"/>
  <c r="I38" i="1" s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O4" i="1"/>
  <c r="P4" i="1" s="1"/>
  <c r="G4" i="1"/>
  <c r="I4" i="1" s="1"/>
  <c r="Q18" i="1" l="1"/>
  <c r="Q19" i="1"/>
  <c r="Q30" i="1"/>
  <c r="Q6" i="1"/>
  <c r="Q7" i="1"/>
  <c r="Q21" i="1"/>
  <c r="Q45" i="1"/>
  <c r="Q10" i="1"/>
  <c r="P24" i="1"/>
  <c r="Q11" i="1"/>
  <c r="Q23" i="1"/>
  <c r="Q35" i="1"/>
  <c r="Q47" i="1"/>
  <c r="P25" i="1"/>
  <c r="Q12" i="1"/>
  <c r="Q36" i="1"/>
  <c r="Q48" i="1"/>
  <c r="Q9" i="1"/>
  <c r="Q22" i="1"/>
  <c r="Q13" i="1"/>
  <c r="Q14" i="1"/>
  <c r="Q26" i="1"/>
  <c r="Q38" i="1"/>
  <c r="Q50" i="1"/>
  <c r="Q15" i="1"/>
  <c r="Q27" i="1"/>
  <c r="Q39" i="1"/>
  <c r="Q51" i="1"/>
  <c r="Q34" i="1"/>
  <c r="Q37" i="1"/>
  <c r="Q16" i="1"/>
  <c r="Q28" i="1"/>
  <c r="Q40" i="1"/>
  <c r="Q52" i="1"/>
  <c r="Q33" i="1"/>
  <c r="Q46" i="1"/>
  <c r="Q49" i="1"/>
  <c r="Q5" i="1"/>
  <c r="Q17" i="1"/>
  <c r="Q29" i="1"/>
  <c r="Q41" i="1"/>
  <c r="Q53" i="1"/>
</calcChain>
</file>

<file path=xl/sharedStrings.xml><?xml version="1.0" encoding="utf-8"?>
<sst xmlns="http://schemas.openxmlformats.org/spreadsheetml/2006/main" count="43" uniqueCount="34">
  <si>
    <t>год</t>
  </si>
  <si>
    <t>%гор</t>
  </si>
  <si>
    <t>р-все</t>
  </si>
  <si>
    <t>р-гор</t>
  </si>
  <si>
    <t>р-сел</t>
  </si>
  <si>
    <t>с-все</t>
  </si>
  <si>
    <t>с-гор</t>
  </si>
  <si>
    <t>с-сел</t>
  </si>
  <si>
    <t>Рождаемость и смертность</t>
  </si>
  <si>
    <t>р-без</t>
  </si>
  <si>
    <t>с-без</t>
  </si>
  <si>
    <t>%разницы</t>
  </si>
  <si>
    <t>стр. 32-34</t>
  </si>
  <si>
    <t>стр. 89-94</t>
  </si>
  <si>
    <t>Доля городского населения</t>
  </si>
  <si>
    <t xml:space="preserve">р-гор, с-гор </t>
  </si>
  <si>
    <t>рождаемость и смертность городского населения</t>
  </si>
  <si>
    <t>р-сел, с-сел</t>
  </si>
  <si>
    <t>р-все, с-все</t>
  </si>
  <si>
    <t>рождаемость и смертность сельского населения</t>
  </si>
  <si>
    <t>рождаемость и смертность совокупного (городского + сельского) населения</t>
  </si>
  <si>
    <t>р-без, с-без</t>
  </si>
  <si>
    <t>рождаемость и смертность совокупного (городского + сельского) населения при доле городского как в 1913 году</t>
  </si>
  <si>
    <t>доля городского населения, процентов</t>
  </si>
  <si>
    <t>Госкомстат России, "Население России за 100 лет (1897-1997). Статистический сборник", М. 1998</t>
  </si>
  <si>
    <t>% роли урбанизации</t>
  </si>
  <si>
    <t>%роли урбанизации</t>
  </si>
  <si>
    <t>Источник:</t>
  </si>
  <si>
    <t>Колонки:</t>
  </si>
  <si>
    <t>% разницы</t>
  </si>
  <si>
    <t>между рс-без и рс-все</t>
  </si>
  <si>
    <t>% изменения в рождаемости или смертности относимый на урбанизацию</t>
  </si>
  <si>
    <t>Роль урбанизации в изменении рождаемости и смертности в РСФСР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</si>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</sst>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Рождаемость городского и сельского населения РСФСР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рождаемость!$B$3</c:f>
              <c:strCache>
                <c:ptCount val="1"/>
                <c:pt idx="0">
                  <c:v>р-гор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рождаемость!$A$4:$A$53</c:f>
              <c:numCache>
                <c:formatCode>0</c:formatCode>
                <c:ptCount val="50"/>
                <c:pt idx="0">
                  <c:v>1913</c:v>
                </c:pt>
                <c:pt idx="1">
                  <c:v>1926</c:v>
                </c:pt>
                <c:pt idx="2">
                  <c:v>1940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</c:numCache>
            </c:numRef>
          </c:xVal>
          <c:yVal>
            <c:numRef>
              <c:f>рождаемость!$B$4:$B$53</c:f>
              <c:numCache>
                <c:formatCode>0.0</c:formatCode>
                <c:ptCount val="50"/>
                <c:pt idx="0">
                  <c:v>32.9</c:v>
                </c:pt>
                <c:pt idx="1">
                  <c:v>33.700000000000003</c:v>
                </c:pt>
                <c:pt idx="2">
                  <c:v>31.5</c:v>
                </c:pt>
                <c:pt idx="3">
                  <c:v>26.1</c:v>
                </c:pt>
                <c:pt idx="4">
                  <c:v>26.4</c:v>
                </c:pt>
                <c:pt idx="5">
                  <c:v>25.4</c:v>
                </c:pt>
                <c:pt idx="6">
                  <c:v>23.8</c:v>
                </c:pt>
                <c:pt idx="7">
                  <c:v>25.1</c:v>
                </c:pt>
                <c:pt idx="8">
                  <c:v>23.2</c:v>
                </c:pt>
                <c:pt idx="9">
                  <c:v>21.4</c:v>
                </c:pt>
                <c:pt idx="10">
                  <c:v>21.4</c:v>
                </c:pt>
                <c:pt idx="11">
                  <c:v>21.3</c:v>
                </c:pt>
                <c:pt idx="12">
                  <c:v>20.7</c:v>
                </c:pt>
                <c:pt idx="13">
                  <c:v>20.399999999999999</c:v>
                </c:pt>
                <c:pt idx="14">
                  <c:v>19.7</c:v>
                </c:pt>
                <c:pt idx="15">
                  <c:v>18.3</c:v>
                </c:pt>
                <c:pt idx="16">
                  <c:v>16.8</c:v>
                </c:pt>
                <c:pt idx="17">
                  <c:v>15.4</c:v>
                </c:pt>
                <c:pt idx="18">
                  <c:v>14.4</c:v>
                </c:pt>
                <c:pt idx="19">
                  <c:v>14.3</c:v>
                </c:pt>
                <c:pt idx="20">
                  <c:v>13.7</c:v>
                </c:pt>
                <c:pt idx="21">
                  <c:v>13.5</c:v>
                </c:pt>
                <c:pt idx="22">
                  <c:v>14.1</c:v>
                </c:pt>
                <c:pt idx="23">
                  <c:v>14.8</c:v>
                </c:pt>
                <c:pt idx="24">
                  <c:v>15.3</c:v>
                </c:pt>
                <c:pt idx="25">
                  <c:v>15.7</c:v>
                </c:pt>
                <c:pt idx="26">
                  <c:v>15.4</c:v>
                </c:pt>
                <c:pt idx="27">
                  <c:v>15.8</c:v>
                </c:pt>
                <c:pt idx="28">
                  <c:v>15.9</c:v>
                </c:pt>
                <c:pt idx="29">
                  <c:v>16</c:v>
                </c:pt>
                <c:pt idx="30">
                  <c:v>15.9</c:v>
                </c:pt>
                <c:pt idx="31">
                  <c:v>15.9</c:v>
                </c:pt>
                <c:pt idx="32">
                  <c:v>15.7</c:v>
                </c:pt>
                <c:pt idx="33">
                  <c:v>15.8</c:v>
                </c:pt>
                <c:pt idx="34">
                  <c:v>15.8</c:v>
                </c:pt>
                <c:pt idx="35">
                  <c:v>16.3</c:v>
                </c:pt>
                <c:pt idx="36">
                  <c:v>17.2</c:v>
                </c:pt>
                <c:pt idx="37">
                  <c:v>16.5</c:v>
                </c:pt>
                <c:pt idx="38">
                  <c:v>16.100000000000001</c:v>
                </c:pt>
                <c:pt idx="39">
                  <c:v>16.7</c:v>
                </c:pt>
                <c:pt idx="40">
                  <c:v>16.600000000000001</c:v>
                </c:pt>
                <c:pt idx="41">
                  <c:v>15.4</c:v>
                </c:pt>
                <c:pt idx="42">
                  <c:v>14</c:v>
                </c:pt>
                <c:pt idx="43">
                  <c:v>12.7</c:v>
                </c:pt>
                <c:pt idx="44">
                  <c:v>11.2</c:v>
                </c:pt>
                <c:pt idx="45">
                  <c:v>9.8000000000000007</c:v>
                </c:pt>
                <c:pt idx="46">
                  <c:v>8.6</c:v>
                </c:pt>
                <c:pt idx="47">
                  <c:v>8.9</c:v>
                </c:pt>
                <c:pt idx="48">
                  <c:v>8.6</c:v>
                </c:pt>
                <c:pt idx="49">
                  <c:v>8.3000000000000007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00-400E-9A78-EBBBFF4299D1}"/>
            </c:ext>
          </c:extLst>
        </c:ser>
        <c:ser>
          <c:idx val="1"/>
          <c:order val="1"/>
          <c:tx>
            <c:strRef>
              <c:f>рождаемость!$C$3</c:f>
              <c:strCache>
                <c:ptCount val="1"/>
                <c:pt idx="0">
                  <c:v>р-сел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рождаемость!$A$4:$A$53</c:f>
              <c:numCache>
                <c:formatCode>0</c:formatCode>
                <c:ptCount val="50"/>
                <c:pt idx="0">
                  <c:v>1913</c:v>
                </c:pt>
                <c:pt idx="1">
                  <c:v>1926</c:v>
                </c:pt>
                <c:pt idx="2">
                  <c:v>1940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</c:numCache>
            </c:numRef>
          </c:xVal>
          <c:yVal>
            <c:numRef>
              <c:f>рождаемость!$C$4:$C$53</c:f>
              <c:numCache>
                <c:formatCode>0.0</c:formatCode>
                <c:ptCount val="50"/>
                <c:pt idx="0">
                  <c:v>50.9</c:v>
                </c:pt>
                <c:pt idx="1">
                  <c:v>45.4</c:v>
                </c:pt>
                <c:pt idx="2">
                  <c:v>33.700000000000003</c:v>
                </c:pt>
                <c:pt idx="3">
                  <c:v>27.5</c:v>
                </c:pt>
                <c:pt idx="4">
                  <c:v>27.9</c:v>
                </c:pt>
                <c:pt idx="5">
                  <c:v>27.8</c:v>
                </c:pt>
                <c:pt idx="6">
                  <c:v>26.6</c:v>
                </c:pt>
                <c:pt idx="7">
                  <c:v>28.7</c:v>
                </c:pt>
                <c:pt idx="8">
                  <c:v>28.1</c:v>
                </c:pt>
                <c:pt idx="9">
                  <c:v>27.5</c:v>
                </c:pt>
                <c:pt idx="10">
                  <c:v>28</c:v>
                </c:pt>
                <c:pt idx="11">
                  <c:v>27.3</c:v>
                </c:pt>
                <c:pt idx="12">
                  <c:v>27</c:v>
                </c:pt>
                <c:pt idx="13">
                  <c:v>26.5</c:v>
                </c:pt>
                <c:pt idx="14">
                  <c:v>24.7</c:v>
                </c:pt>
                <c:pt idx="15">
                  <c:v>22.7</c:v>
                </c:pt>
                <c:pt idx="16">
                  <c:v>21.4</c:v>
                </c:pt>
                <c:pt idx="17">
                  <c:v>18.899999999999999</c:v>
                </c:pt>
                <c:pt idx="18">
                  <c:v>17.600000000000001</c:v>
                </c:pt>
                <c:pt idx="19">
                  <c:v>16.899999999999999</c:v>
                </c:pt>
                <c:pt idx="20">
                  <c:v>15.6</c:v>
                </c:pt>
                <c:pt idx="21">
                  <c:v>14.9</c:v>
                </c:pt>
                <c:pt idx="22">
                  <c:v>14.5</c:v>
                </c:pt>
                <c:pt idx="23">
                  <c:v>14.3</c:v>
                </c:pt>
                <c:pt idx="24">
                  <c:v>14.6</c:v>
                </c:pt>
                <c:pt idx="25">
                  <c:v>14.6</c:v>
                </c:pt>
                <c:pt idx="26">
                  <c:v>14.5</c:v>
                </c:pt>
                <c:pt idx="27">
                  <c:v>15.1</c:v>
                </c:pt>
                <c:pt idx="28">
                  <c:v>15.3</c:v>
                </c:pt>
                <c:pt idx="29">
                  <c:v>15.6</c:v>
                </c:pt>
                <c:pt idx="30">
                  <c:v>15.7</c:v>
                </c:pt>
                <c:pt idx="31">
                  <c:v>15.9</c:v>
                </c:pt>
                <c:pt idx="32">
                  <c:v>16.100000000000001</c:v>
                </c:pt>
                <c:pt idx="33">
                  <c:v>16.100000000000001</c:v>
                </c:pt>
                <c:pt idx="34">
                  <c:v>16.600000000000001</c:v>
                </c:pt>
                <c:pt idx="35">
                  <c:v>17.399999999999999</c:v>
                </c:pt>
                <c:pt idx="36">
                  <c:v>18.399999999999999</c:v>
                </c:pt>
                <c:pt idx="37">
                  <c:v>18</c:v>
                </c:pt>
                <c:pt idx="38">
                  <c:v>17.8</c:v>
                </c:pt>
                <c:pt idx="39">
                  <c:v>18.600000000000001</c:v>
                </c:pt>
                <c:pt idx="40">
                  <c:v>18.600000000000001</c:v>
                </c:pt>
                <c:pt idx="41">
                  <c:v>17.600000000000001</c:v>
                </c:pt>
                <c:pt idx="42">
                  <c:v>16.399999999999999</c:v>
                </c:pt>
                <c:pt idx="43">
                  <c:v>15.5</c:v>
                </c:pt>
                <c:pt idx="44">
                  <c:v>14.5</c:v>
                </c:pt>
                <c:pt idx="45">
                  <c:v>13.2</c:v>
                </c:pt>
                <c:pt idx="46">
                  <c:v>11.5</c:v>
                </c:pt>
                <c:pt idx="47">
                  <c:v>11.4</c:v>
                </c:pt>
                <c:pt idx="48">
                  <c:v>10.9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00-400E-9A78-EBBBFF429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456256"/>
        <c:axId val="734456584"/>
      </c:scatterChart>
      <c:valAx>
        <c:axId val="734456256"/>
        <c:scaling>
          <c:orientation val="minMax"/>
          <c:max val="2000"/>
          <c:min val="19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456584"/>
        <c:crosses val="autoZero"/>
        <c:crossBetween val="midCat"/>
      </c:valAx>
      <c:valAx>
        <c:axId val="73445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45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Смертность городского и сельского населения РСФСР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смертность!$B$3</c:f>
              <c:strCache>
                <c:ptCount val="1"/>
                <c:pt idx="0">
                  <c:v>с-гор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смертность!$A$4:$A$53</c:f>
              <c:numCache>
                <c:formatCode>0</c:formatCode>
                <c:ptCount val="50"/>
                <c:pt idx="0">
                  <c:v>1913</c:v>
                </c:pt>
                <c:pt idx="1">
                  <c:v>1926</c:v>
                </c:pt>
                <c:pt idx="2">
                  <c:v>1940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</c:numCache>
            </c:numRef>
          </c:xVal>
          <c:yVal>
            <c:numRef>
              <c:f>смертность!$B$4:$B$53</c:f>
              <c:numCache>
                <c:formatCode>0.0</c:formatCode>
                <c:ptCount val="50"/>
                <c:pt idx="0">
                  <c:v>24.9</c:v>
                </c:pt>
                <c:pt idx="1">
                  <c:v>17.600000000000001</c:v>
                </c:pt>
                <c:pt idx="2">
                  <c:v>20.5</c:v>
                </c:pt>
                <c:pt idx="3">
                  <c:v>9.6999999999999993</c:v>
                </c:pt>
                <c:pt idx="4">
                  <c:v>9.3000000000000007</c:v>
                </c:pt>
                <c:pt idx="5">
                  <c:v>8.5</c:v>
                </c:pt>
                <c:pt idx="6">
                  <c:v>8.1</c:v>
                </c:pt>
                <c:pt idx="7">
                  <c:v>7.9</c:v>
                </c:pt>
                <c:pt idx="8">
                  <c:v>7.4</c:v>
                </c:pt>
                <c:pt idx="9">
                  <c:v>6.8</c:v>
                </c:pt>
                <c:pt idx="10">
                  <c:v>7</c:v>
                </c:pt>
                <c:pt idx="11">
                  <c:v>6.7</c:v>
                </c:pt>
                <c:pt idx="12">
                  <c:v>7</c:v>
                </c:pt>
                <c:pt idx="13">
                  <c:v>6.7</c:v>
                </c:pt>
                <c:pt idx="14">
                  <c:v>6.8</c:v>
                </c:pt>
                <c:pt idx="15">
                  <c:v>6.9</c:v>
                </c:pt>
                <c:pt idx="16">
                  <c:v>6.8</c:v>
                </c:pt>
                <c:pt idx="17">
                  <c:v>6.6</c:v>
                </c:pt>
                <c:pt idx="18">
                  <c:v>6.9</c:v>
                </c:pt>
                <c:pt idx="19">
                  <c:v>7</c:v>
                </c:pt>
                <c:pt idx="20">
                  <c:v>7.2</c:v>
                </c:pt>
                <c:pt idx="21">
                  <c:v>7.4</c:v>
                </c:pt>
                <c:pt idx="22">
                  <c:v>7.8</c:v>
                </c:pt>
                <c:pt idx="23">
                  <c:v>7.9</c:v>
                </c:pt>
                <c:pt idx="24">
                  <c:v>8</c:v>
                </c:pt>
                <c:pt idx="25">
                  <c:v>8.1</c:v>
                </c:pt>
                <c:pt idx="26">
                  <c:v>8.3000000000000007</c:v>
                </c:pt>
                <c:pt idx="27">
                  <c:v>8.3000000000000007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9.1999999999999993</c:v>
                </c:pt>
                <c:pt idx="31">
                  <c:v>9.4</c:v>
                </c:pt>
                <c:pt idx="32">
                  <c:v>9.8000000000000007</c:v>
                </c:pt>
                <c:pt idx="33">
                  <c:v>10</c:v>
                </c:pt>
                <c:pt idx="34">
                  <c:v>9.9</c:v>
                </c:pt>
                <c:pt idx="35">
                  <c:v>9.8000000000000007</c:v>
                </c:pt>
                <c:pt idx="36">
                  <c:v>10.1</c:v>
                </c:pt>
                <c:pt idx="37">
                  <c:v>10.6</c:v>
                </c:pt>
                <c:pt idx="38">
                  <c:v>10.3</c:v>
                </c:pt>
                <c:pt idx="39">
                  <c:v>9.6</c:v>
                </c:pt>
                <c:pt idx="40">
                  <c:v>9.6999999999999993</c:v>
                </c:pt>
                <c:pt idx="41">
                  <c:v>9.9</c:v>
                </c:pt>
                <c:pt idx="42">
                  <c:v>10</c:v>
                </c:pt>
                <c:pt idx="43">
                  <c:v>10.4</c:v>
                </c:pt>
                <c:pt idx="44">
                  <c:v>10.6</c:v>
                </c:pt>
                <c:pt idx="45">
                  <c:v>11.5</c:v>
                </c:pt>
                <c:pt idx="46">
                  <c:v>13.8</c:v>
                </c:pt>
                <c:pt idx="47">
                  <c:v>15</c:v>
                </c:pt>
                <c:pt idx="48">
                  <c:v>14.4</c:v>
                </c:pt>
                <c:pt idx="49">
                  <c:v>13.4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D6-439C-BE16-0C1FDDB2CD6B}"/>
            </c:ext>
          </c:extLst>
        </c:ser>
        <c:ser>
          <c:idx val="1"/>
          <c:order val="1"/>
          <c:tx>
            <c:strRef>
              <c:f>смертность!$C$3</c:f>
              <c:strCache>
                <c:ptCount val="1"/>
                <c:pt idx="0">
                  <c:v>с-сел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смертность!$A$4:$A$53</c:f>
              <c:numCache>
                <c:formatCode>0</c:formatCode>
                <c:ptCount val="50"/>
                <c:pt idx="0">
                  <c:v>1913</c:v>
                </c:pt>
                <c:pt idx="1">
                  <c:v>1926</c:v>
                </c:pt>
                <c:pt idx="2">
                  <c:v>1940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</c:numCache>
            </c:numRef>
          </c:xVal>
          <c:yVal>
            <c:numRef>
              <c:f>смертность!$C$4:$C$53</c:f>
              <c:numCache>
                <c:formatCode>0.0</c:formatCode>
                <c:ptCount val="50"/>
                <c:pt idx="0">
                  <c:v>33.9</c:v>
                </c:pt>
                <c:pt idx="1">
                  <c:v>21.4</c:v>
                </c:pt>
                <c:pt idx="2">
                  <c:v>20.7</c:v>
                </c:pt>
                <c:pt idx="3">
                  <c:v>10.4</c:v>
                </c:pt>
                <c:pt idx="4">
                  <c:v>10.9</c:v>
                </c:pt>
                <c:pt idx="5">
                  <c:v>10.4</c:v>
                </c:pt>
                <c:pt idx="6">
                  <c:v>10.4</c:v>
                </c:pt>
                <c:pt idx="7">
                  <c:v>10.5</c:v>
                </c:pt>
                <c:pt idx="8">
                  <c:v>9.4</c:v>
                </c:pt>
                <c:pt idx="9">
                  <c:v>8.6999999999999993</c:v>
                </c:pt>
                <c:pt idx="10">
                  <c:v>9.3000000000000007</c:v>
                </c:pt>
                <c:pt idx="11">
                  <c:v>8.1999999999999993</c:v>
                </c:pt>
                <c:pt idx="12">
                  <c:v>8.6999999999999993</c:v>
                </c:pt>
                <c:pt idx="13">
                  <c:v>8.1999999999999993</c:v>
                </c:pt>
                <c:pt idx="14">
                  <c:v>8.3000000000000007</c:v>
                </c:pt>
                <c:pt idx="15">
                  <c:v>8.8000000000000007</c:v>
                </c:pt>
                <c:pt idx="16">
                  <c:v>8.4</c:v>
                </c:pt>
                <c:pt idx="17">
                  <c:v>8</c:v>
                </c:pt>
                <c:pt idx="18">
                  <c:v>8.6</c:v>
                </c:pt>
                <c:pt idx="19">
                  <c:v>8.6</c:v>
                </c:pt>
                <c:pt idx="20">
                  <c:v>9.1</c:v>
                </c:pt>
                <c:pt idx="21">
                  <c:v>9.1999999999999993</c:v>
                </c:pt>
                <c:pt idx="22">
                  <c:v>9.8000000000000007</c:v>
                </c:pt>
                <c:pt idx="23">
                  <c:v>10</c:v>
                </c:pt>
                <c:pt idx="24">
                  <c:v>10</c:v>
                </c:pt>
                <c:pt idx="25">
                  <c:v>10.5</c:v>
                </c:pt>
                <c:pt idx="26">
                  <c:v>10.9</c:v>
                </c:pt>
                <c:pt idx="27">
                  <c:v>10.9</c:v>
                </c:pt>
                <c:pt idx="28">
                  <c:v>11.8</c:v>
                </c:pt>
                <c:pt idx="29">
                  <c:v>12.1</c:v>
                </c:pt>
                <c:pt idx="30">
                  <c:v>12.4</c:v>
                </c:pt>
                <c:pt idx="31">
                  <c:v>12.4</c:v>
                </c:pt>
                <c:pt idx="32">
                  <c:v>13.1</c:v>
                </c:pt>
                <c:pt idx="33">
                  <c:v>13.4</c:v>
                </c:pt>
                <c:pt idx="34">
                  <c:v>13.3</c:v>
                </c:pt>
                <c:pt idx="35">
                  <c:v>13</c:v>
                </c:pt>
                <c:pt idx="36">
                  <c:v>13.5</c:v>
                </c:pt>
                <c:pt idx="37">
                  <c:v>14.3</c:v>
                </c:pt>
                <c:pt idx="38">
                  <c:v>14</c:v>
                </c:pt>
                <c:pt idx="39">
                  <c:v>12.5</c:v>
                </c:pt>
                <c:pt idx="40">
                  <c:v>12.7</c:v>
                </c:pt>
                <c:pt idx="41">
                  <c:v>13</c:v>
                </c:pt>
                <c:pt idx="42">
                  <c:v>12.7</c:v>
                </c:pt>
                <c:pt idx="43">
                  <c:v>13.3</c:v>
                </c:pt>
                <c:pt idx="44">
                  <c:v>13.4</c:v>
                </c:pt>
                <c:pt idx="45">
                  <c:v>14.1</c:v>
                </c:pt>
                <c:pt idx="46">
                  <c:v>16.399999999999999</c:v>
                </c:pt>
                <c:pt idx="47">
                  <c:v>17.5</c:v>
                </c:pt>
                <c:pt idx="48">
                  <c:v>16.5</c:v>
                </c:pt>
                <c:pt idx="49">
                  <c:v>16.2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D6-439C-BE16-0C1FDDB2C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587304"/>
        <c:axId val="878586720"/>
      </c:scatterChart>
      <c:valAx>
        <c:axId val="869587304"/>
        <c:scaling>
          <c:orientation val="minMax"/>
          <c:max val="2000"/>
          <c:min val="19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586720"/>
        <c:crosses val="autoZero"/>
        <c:crossBetween val="midCat"/>
      </c:valAx>
      <c:valAx>
        <c:axId val="87858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9587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176211</xdr:rowOff>
    </xdr:from>
    <xdr:to>
      <xdr:col>18</xdr:col>
      <xdr:colOff>600075</xdr:colOff>
      <xdr:row>47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0DFF0-7968-4527-BE22-9FFA14B57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3</xdr:row>
      <xdr:rowOff>23811</xdr:rowOff>
    </xdr:from>
    <xdr:to>
      <xdr:col>17</xdr:col>
      <xdr:colOff>609599</xdr:colOff>
      <xdr:row>45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7C18A-20E5-415A-897C-C01185658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BA39-0764-4475-9805-8671AFC4E93A}">
  <dimension ref="A1:C18"/>
  <sheetViews>
    <sheetView workbookViewId="0">
      <selection activeCell="A2" sqref="A2:B8"/>
    </sheetView>
  </sheetViews>
  <sheetFormatPr defaultRowHeight="15" x14ac:dyDescent="0.25"/>
  <cols>
    <col min="2" max="2" width="14.28515625" customWidth="1"/>
  </cols>
  <sheetData>
    <row r="1" spans="1:3" x14ac:dyDescent="0.25">
      <c r="A1" t="s">
        <v>27</v>
      </c>
    </row>
    <row r="2" spans="1:3" x14ac:dyDescent="0.25">
      <c r="A2" s="3" t="s">
        <v>24</v>
      </c>
    </row>
    <row r="4" spans="1:3" x14ac:dyDescent="0.25">
      <c r="B4" t="s">
        <v>8</v>
      </c>
    </row>
    <row r="5" spans="1:3" x14ac:dyDescent="0.25">
      <c r="B5" t="s">
        <v>13</v>
      </c>
    </row>
    <row r="7" spans="1:3" x14ac:dyDescent="0.25">
      <c r="B7" t="s">
        <v>14</v>
      </c>
    </row>
    <row r="8" spans="1:3" x14ac:dyDescent="0.25">
      <c r="B8" t="s">
        <v>12</v>
      </c>
    </row>
    <row r="10" spans="1:3" x14ac:dyDescent="0.25">
      <c r="A10" t="s">
        <v>28</v>
      </c>
    </row>
    <row r="12" spans="1:3" x14ac:dyDescent="0.25">
      <c r="A12" t="s">
        <v>1</v>
      </c>
      <c r="C12" t="s">
        <v>23</v>
      </c>
    </row>
    <row r="13" spans="1:3" x14ac:dyDescent="0.25">
      <c r="A13" t="s">
        <v>15</v>
      </c>
      <c r="C13" t="s">
        <v>16</v>
      </c>
    </row>
    <row r="14" spans="1:3" x14ac:dyDescent="0.25">
      <c r="A14" t="s">
        <v>17</v>
      </c>
      <c r="C14" t="s">
        <v>19</v>
      </c>
    </row>
    <row r="15" spans="1:3" x14ac:dyDescent="0.25">
      <c r="A15" t="s">
        <v>18</v>
      </c>
      <c r="C15" t="s">
        <v>20</v>
      </c>
    </row>
    <row r="16" spans="1:3" x14ac:dyDescent="0.25">
      <c r="A16" t="s">
        <v>21</v>
      </c>
      <c r="C16" t="s">
        <v>22</v>
      </c>
    </row>
    <row r="17" spans="1:3" x14ac:dyDescent="0.25">
      <c r="A17" t="s">
        <v>29</v>
      </c>
      <c r="C17" t="s">
        <v>30</v>
      </c>
    </row>
    <row r="18" spans="1:3" x14ac:dyDescent="0.25">
      <c r="A18" t="s">
        <v>25</v>
      </c>
      <c r="C1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5C77-20A6-4381-9417-956319343CF0}">
  <dimension ref="A1:R53"/>
  <sheetViews>
    <sheetView tabSelected="1" workbookViewId="0">
      <selection activeCell="J7" sqref="J7"/>
    </sheetView>
  </sheetViews>
  <sheetFormatPr defaultRowHeight="15" x14ac:dyDescent="0.25"/>
  <cols>
    <col min="1" max="1" width="5" bestFit="1" customWidth="1"/>
    <col min="2" max="2" width="5.5703125" bestFit="1" customWidth="1"/>
    <col min="4" max="4" width="5.85546875" bestFit="1" customWidth="1"/>
    <col min="5" max="5" width="6" bestFit="1" customWidth="1"/>
    <col min="6" max="6" width="5.85546875" bestFit="1" customWidth="1"/>
    <col min="7" max="7" width="6" bestFit="1" customWidth="1"/>
    <col min="8" max="8" width="8.42578125" bestFit="1" customWidth="1"/>
    <col min="9" max="9" width="10.5703125" bestFit="1" customWidth="1"/>
    <col min="10" max="10" width="19.7109375" bestFit="1" customWidth="1"/>
    <col min="12" max="12" width="5.5703125" bestFit="1" customWidth="1"/>
    <col min="13" max="13" width="5.7109375" bestFit="1" customWidth="1"/>
    <col min="14" max="14" width="5.5703125" bestFit="1" customWidth="1"/>
    <col min="15" max="15" width="5.7109375" bestFit="1" customWidth="1"/>
    <col min="16" max="16" width="10.5703125" bestFit="1" customWidth="1"/>
    <col min="17" max="17" width="19.7109375" bestFit="1" customWidth="1"/>
  </cols>
  <sheetData>
    <row r="1" spans="1:18" ht="21" x14ac:dyDescent="0.35">
      <c r="A1" s="5" t="s">
        <v>32</v>
      </c>
    </row>
    <row r="3" spans="1:18" x14ac:dyDescent="0.25">
      <c r="A3" s="4" t="s">
        <v>0</v>
      </c>
      <c r="B3" s="4" t="s">
        <v>1</v>
      </c>
      <c r="C3" s="4"/>
      <c r="D3" s="4" t="s">
        <v>3</v>
      </c>
      <c r="E3" s="4" t="s">
        <v>4</v>
      </c>
      <c r="F3" s="4" t="s">
        <v>2</v>
      </c>
      <c r="G3" s="4" t="s">
        <v>9</v>
      </c>
      <c r="H3" s="4" t="s">
        <v>33</v>
      </c>
      <c r="I3" s="4" t="s">
        <v>11</v>
      </c>
      <c r="J3" s="4" t="s">
        <v>26</v>
      </c>
      <c r="L3" s="4" t="s">
        <v>6</v>
      </c>
      <c r="M3" s="4" t="s">
        <v>7</v>
      </c>
      <c r="N3" s="4" t="s">
        <v>5</v>
      </c>
      <c r="O3" s="4" t="s">
        <v>10</v>
      </c>
      <c r="P3" s="4" t="s">
        <v>11</v>
      </c>
      <c r="Q3" s="4" t="s">
        <v>26</v>
      </c>
      <c r="R3" s="4"/>
    </row>
    <row r="4" spans="1:18" x14ac:dyDescent="0.25">
      <c r="A4" s="2">
        <v>1913</v>
      </c>
      <c r="B4" s="2">
        <v>17</v>
      </c>
      <c r="C4" s="2"/>
      <c r="D4" s="1">
        <v>32.9</v>
      </c>
      <c r="E4" s="1">
        <v>50.9</v>
      </c>
      <c r="F4" s="1">
        <v>47.8</v>
      </c>
      <c r="G4" s="8">
        <f>(D4*UR_1913+ (100-UR_1913)*E4)/100</f>
        <v>47.84</v>
      </c>
      <c r="H4" s="8">
        <f>G4-F4</f>
        <v>4.0000000000006253E-2</v>
      </c>
      <c r="I4" s="6">
        <f>100*(G4-F4)/F4</f>
        <v>8.368200836821392E-2</v>
      </c>
      <c r="J4" s="6"/>
      <c r="L4" s="1">
        <v>24.9</v>
      </c>
      <c r="M4" s="1">
        <v>33.9</v>
      </c>
      <c r="N4" s="1">
        <v>32.4</v>
      </c>
      <c r="O4" s="1">
        <f>(L4*UR_1913 + (100-UR_1913)*M4)/100</f>
        <v>32.369999999999997</v>
      </c>
      <c r="P4" s="6">
        <f>100*(O4-N4)/N4</f>
        <v>-9.2592592592596112E-2</v>
      </c>
      <c r="Q4" s="7"/>
      <c r="R4" s="1"/>
    </row>
    <row r="5" spans="1:18" x14ac:dyDescent="0.25">
      <c r="A5" s="2">
        <v>1926</v>
      </c>
      <c r="B5" s="2">
        <v>18</v>
      </c>
      <c r="C5" s="2"/>
      <c r="D5" s="1">
        <v>33.700000000000003</v>
      </c>
      <c r="E5" s="1">
        <v>45.4</v>
      </c>
      <c r="F5" s="1">
        <v>43.4</v>
      </c>
      <c r="G5" s="8">
        <f>(D5*UR_1913+ (100-UR_1913)*E5)/100</f>
        <v>43.411000000000001</v>
      </c>
      <c r="H5" s="8">
        <f t="shared" ref="H5:H53" si="0">G5-F5</f>
        <v>1.1000000000002785E-2</v>
      </c>
      <c r="I5" s="6">
        <f t="shared" ref="I5:I53" si="1">100*(G5-F5)/F5</f>
        <v>2.5345622119822088E-2</v>
      </c>
      <c r="J5" s="6">
        <f>100*(G5-F5)/($F$4-F5)</f>
        <v>0.25000000000006339</v>
      </c>
      <c r="L5" s="1">
        <v>17.600000000000001</v>
      </c>
      <c r="M5" s="1">
        <v>21.4</v>
      </c>
      <c r="N5" s="1">
        <v>20.7</v>
      </c>
      <c r="O5" s="1">
        <f>(L5*UR_1913 + (100-UR_1913)*M5)/100</f>
        <v>20.753999999999998</v>
      </c>
      <c r="P5" s="6">
        <f t="shared" ref="P5:P53" si="2">100*(O5-N5)/N5</f>
        <v>0.26086956521738403</v>
      </c>
      <c r="Q5" s="6">
        <f t="shared" ref="Q5:Q53" si="3">100*(O5-N5)/($N$4-N5)</f>
        <v>0.46153846153844869</v>
      </c>
      <c r="R5" s="1"/>
    </row>
    <row r="6" spans="1:18" x14ac:dyDescent="0.25">
      <c r="A6" s="2">
        <v>1940</v>
      </c>
      <c r="B6" s="2">
        <v>34</v>
      </c>
      <c r="C6" s="2"/>
      <c r="D6" s="1">
        <v>31.5</v>
      </c>
      <c r="E6" s="1">
        <v>33.700000000000003</v>
      </c>
      <c r="F6" s="1">
        <v>33</v>
      </c>
      <c r="G6" s="8">
        <f>(D6*UR_1913+ (100-UR_1913)*E6)/100</f>
        <v>33.326000000000001</v>
      </c>
      <c r="H6" s="8">
        <f t="shared" si="0"/>
        <v>0.32600000000000051</v>
      </c>
      <c r="I6" s="6">
        <f t="shared" si="1"/>
        <v>0.98787878787878947</v>
      </c>
      <c r="J6" s="6">
        <f t="shared" ref="J6:J53" si="4">100*(G6-F6)/($F$4-F6)</f>
        <v>2.2027027027027066</v>
      </c>
      <c r="L6" s="1">
        <v>20.5</v>
      </c>
      <c r="M6" s="1">
        <v>20.7</v>
      </c>
      <c r="N6" s="1">
        <v>20.6</v>
      </c>
      <c r="O6" s="1">
        <f>(L6*UR_1913 + (100-UR_1913)*M6)/100</f>
        <v>20.666</v>
      </c>
      <c r="P6" s="6">
        <f t="shared" si="2"/>
        <v>0.32038834951455797</v>
      </c>
      <c r="Q6" s="6">
        <f t="shared" si="3"/>
        <v>0.55932203389829627</v>
      </c>
      <c r="R6" s="1"/>
    </row>
    <row r="7" spans="1:18" x14ac:dyDescent="0.25">
      <c r="A7" s="2">
        <v>1950</v>
      </c>
      <c r="B7" s="2">
        <v>43</v>
      </c>
      <c r="C7" s="2"/>
      <c r="D7" s="1">
        <v>26.1</v>
      </c>
      <c r="E7" s="1">
        <v>27.5</v>
      </c>
      <c r="F7" s="1">
        <v>26.9</v>
      </c>
      <c r="G7" s="8">
        <f>(D7*UR_1913+ (100-UR_1913)*E7)/100</f>
        <v>27.261999999999997</v>
      </c>
      <c r="H7" s="8">
        <f t="shared" si="0"/>
        <v>0.36199999999999832</v>
      </c>
      <c r="I7" s="6">
        <f t="shared" si="1"/>
        <v>1.3457249070631909</v>
      </c>
      <c r="J7" s="6">
        <f t="shared" si="4"/>
        <v>1.7320574162679347</v>
      </c>
      <c r="L7" s="1">
        <v>9.6999999999999993</v>
      </c>
      <c r="M7" s="1">
        <v>10.4</v>
      </c>
      <c r="N7" s="1">
        <v>10.1</v>
      </c>
      <c r="O7" s="1">
        <f>(L7*UR_1913 + (100-UR_1913)*M7)/100</f>
        <v>10.280999999999999</v>
      </c>
      <c r="P7" s="6">
        <f t="shared" si="2"/>
        <v>1.7920792079207839</v>
      </c>
      <c r="Q7" s="6">
        <f t="shared" si="3"/>
        <v>0.81165919282510846</v>
      </c>
      <c r="R7" s="1"/>
    </row>
    <row r="8" spans="1:18" x14ac:dyDescent="0.25">
      <c r="A8" s="2">
        <v>1951</v>
      </c>
      <c r="B8" s="2">
        <v>45</v>
      </c>
      <c r="C8" s="2"/>
      <c r="D8" s="1">
        <v>26.4</v>
      </c>
      <c r="E8" s="1">
        <v>27.9</v>
      </c>
      <c r="F8" s="1">
        <v>27.2</v>
      </c>
      <c r="G8" s="8">
        <f>(D8*UR_1913+ (100-UR_1913)*E8)/100</f>
        <v>27.645</v>
      </c>
      <c r="H8" s="8">
        <f t="shared" si="0"/>
        <v>0.44500000000000028</v>
      </c>
      <c r="I8" s="6">
        <f t="shared" si="1"/>
        <v>1.636029411764707</v>
      </c>
      <c r="J8" s="6">
        <f t="shared" si="4"/>
        <v>2.160194174757283</v>
      </c>
      <c r="L8" s="1">
        <v>9.3000000000000007</v>
      </c>
      <c r="M8" s="1">
        <v>10.9</v>
      </c>
      <c r="N8" s="1">
        <v>10.199999999999999</v>
      </c>
      <c r="O8" s="1">
        <f>(L8*UR_1913 + (100-UR_1913)*M8)/100</f>
        <v>10.628000000000002</v>
      </c>
      <c r="P8" s="6">
        <f t="shared" si="2"/>
        <v>4.196078431372575</v>
      </c>
      <c r="Q8" s="6">
        <f t="shared" si="3"/>
        <v>1.9279279279279398</v>
      </c>
      <c r="R8" s="1"/>
    </row>
    <row r="9" spans="1:18" x14ac:dyDescent="0.25">
      <c r="A9" s="2">
        <v>1952</v>
      </c>
      <c r="B9" s="2">
        <v>46</v>
      </c>
      <c r="C9" s="2"/>
      <c r="D9" s="1">
        <v>25.4</v>
      </c>
      <c r="E9" s="1">
        <v>27.8</v>
      </c>
      <c r="F9" s="1">
        <v>26.7</v>
      </c>
      <c r="G9" s="8">
        <f>(D9*UR_1913+ (100-UR_1913)*E9)/100</f>
        <v>27.391999999999999</v>
      </c>
      <c r="H9" s="8">
        <f t="shared" si="0"/>
        <v>0.69200000000000017</v>
      </c>
      <c r="I9" s="6">
        <f t="shared" si="1"/>
        <v>2.5917602996254687</v>
      </c>
      <c r="J9" s="6">
        <f t="shared" si="4"/>
        <v>3.2796208530805697</v>
      </c>
      <c r="L9" s="1">
        <v>8.5</v>
      </c>
      <c r="M9" s="1">
        <v>10.4</v>
      </c>
      <c r="N9" s="1">
        <v>9.6</v>
      </c>
      <c r="O9" s="1">
        <f>(L9*UR_1913 + (100-UR_1913)*M9)/100</f>
        <v>10.077</v>
      </c>
      <c r="P9" s="6">
        <f t="shared" si="2"/>
        <v>4.9687500000000036</v>
      </c>
      <c r="Q9" s="6">
        <f t="shared" si="3"/>
        <v>2.0921052631578965</v>
      </c>
      <c r="R9" s="1"/>
    </row>
    <row r="10" spans="1:18" x14ac:dyDescent="0.25">
      <c r="A10" s="2">
        <v>1953</v>
      </c>
      <c r="B10" s="2">
        <v>47</v>
      </c>
      <c r="C10" s="2"/>
      <c r="D10" s="1">
        <v>23.8</v>
      </c>
      <c r="E10" s="1">
        <v>26.6</v>
      </c>
      <c r="F10" s="1">
        <v>25.3</v>
      </c>
      <c r="G10" s="8">
        <f>(D10*UR_1913+ (100-UR_1913)*E10)/100</f>
        <v>26.124000000000002</v>
      </c>
      <c r="H10" s="8">
        <f t="shared" si="0"/>
        <v>0.82400000000000162</v>
      </c>
      <c r="I10" s="6">
        <f t="shared" si="1"/>
        <v>3.2569169960474373</v>
      </c>
      <c r="J10" s="6">
        <f t="shared" si="4"/>
        <v>3.6622222222222298</v>
      </c>
      <c r="L10" s="1">
        <v>8.1</v>
      </c>
      <c r="M10" s="1">
        <v>10.4</v>
      </c>
      <c r="N10" s="1">
        <v>9.3000000000000007</v>
      </c>
      <c r="O10" s="1">
        <f>(L10*UR_1913 + (100-UR_1913)*M10)/100</f>
        <v>10.009</v>
      </c>
      <c r="P10" s="6">
        <f t="shared" si="2"/>
        <v>7.6236559139784896</v>
      </c>
      <c r="Q10" s="6">
        <f t="shared" si="3"/>
        <v>3.0692640692640678</v>
      </c>
      <c r="R10" s="1"/>
    </row>
    <row r="11" spans="1:18" x14ac:dyDescent="0.25">
      <c r="A11" s="2">
        <v>1954</v>
      </c>
      <c r="B11" s="2">
        <v>49</v>
      </c>
      <c r="C11" s="2"/>
      <c r="D11" s="1">
        <v>25.1</v>
      </c>
      <c r="E11" s="1">
        <v>28.7</v>
      </c>
      <c r="F11" s="1">
        <v>26.9</v>
      </c>
      <c r="G11" s="8">
        <f>(D11*UR_1913+ (100-UR_1913)*E11)/100</f>
        <v>28.088000000000001</v>
      </c>
      <c r="H11" s="8">
        <f t="shared" si="0"/>
        <v>1.1880000000000024</v>
      </c>
      <c r="I11" s="6">
        <f t="shared" si="1"/>
        <v>4.4163568773234294</v>
      </c>
      <c r="J11" s="6">
        <f t="shared" si="4"/>
        <v>5.6842105263158009</v>
      </c>
      <c r="L11" s="1">
        <v>7.9</v>
      </c>
      <c r="M11" s="1">
        <v>10.5</v>
      </c>
      <c r="N11" s="1">
        <v>9.1999999999999993</v>
      </c>
      <c r="O11" s="1">
        <f>(L11*UR_1913 + (100-UR_1913)*M11)/100</f>
        <v>10.058</v>
      </c>
      <c r="P11" s="6">
        <f t="shared" si="2"/>
        <v>9.3260869565217455</v>
      </c>
      <c r="Q11" s="6">
        <f t="shared" si="3"/>
        <v>3.698275862068968</v>
      </c>
      <c r="R11" s="1"/>
    </row>
    <row r="12" spans="1:18" x14ac:dyDescent="0.25">
      <c r="A12" s="2">
        <v>1955</v>
      </c>
      <c r="B12" s="2">
        <v>49</v>
      </c>
      <c r="C12" s="2"/>
      <c r="D12" s="1">
        <v>23.2</v>
      </c>
      <c r="E12" s="1">
        <v>28.1</v>
      </c>
      <c r="F12" s="1">
        <v>25.7</v>
      </c>
      <c r="G12" s="8">
        <f>(D12*UR_1913+ (100-UR_1913)*E12)/100</f>
        <v>27.267000000000003</v>
      </c>
      <c r="H12" s="8">
        <f t="shared" si="0"/>
        <v>1.5670000000000037</v>
      </c>
      <c r="I12" s="6">
        <f t="shared" si="1"/>
        <v>6.0972762645914553</v>
      </c>
      <c r="J12" s="6">
        <f t="shared" si="4"/>
        <v>7.0904977375565794</v>
      </c>
      <c r="L12" s="1">
        <v>7.4</v>
      </c>
      <c r="M12" s="1">
        <v>9.4</v>
      </c>
      <c r="N12" s="1">
        <v>8.4</v>
      </c>
      <c r="O12" s="1">
        <f>(L12*UR_1913 + (100-UR_1913)*M12)/100</f>
        <v>9.06</v>
      </c>
      <c r="P12" s="6">
        <f t="shared" si="2"/>
        <v>7.8571428571428585</v>
      </c>
      <c r="Q12" s="6">
        <f t="shared" si="3"/>
        <v>2.7500000000000004</v>
      </c>
      <c r="R12" s="1"/>
    </row>
    <row r="13" spans="1:18" x14ac:dyDescent="0.25">
      <c r="A13" s="2">
        <v>1956</v>
      </c>
      <c r="B13" s="2">
        <v>49</v>
      </c>
      <c r="C13" s="2"/>
      <c r="D13" s="1">
        <v>21.4</v>
      </c>
      <c r="E13" s="1">
        <v>27.5</v>
      </c>
      <c r="F13" s="1">
        <v>24.5</v>
      </c>
      <c r="G13" s="8">
        <f>(D13*UR_1913+ (100-UR_1913)*E13)/100</f>
        <v>26.463000000000001</v>
      </c>
      <c r="H13" s="8">
        <f t="shared" si="0"/>
        <v>1.963000000000001</v>
      </c>
      <c r="I13" s="6">
        <f t="shared" si="1"/>
        <v>8.0122448979591869</v>
      </c>
      <c r="J13" s="6">
        <f t="shared" si="4"/>
        <v>8.4248927038626658</v>
      </c>
      <c r="L13" s="1">
        <v>6.8</v>
      </c>
      <c r="M13" s="1">
        <v>8.6999999999999993</v>
      </c>
      <c r="N13" s="1">
        <v>7.8</v>
      </c>
      <c r="O13" s="1">
        <f>(L13*UR_1913 + (100-UR_1913)*M13)/100</f>
        <v>8.3769999999999989</v>
      </c>
      <c r="P13" s="6">
        <f t="shared" si="2"/>
        <v>7.3974358974358854</v>
      </c>
      <c r="Q13" s="6">
        <f t="shared" si="3"/>
        <v>2.345528455284549</v>
      </c>
      <c r="R13" s="1"/>
    </row>
    <row r="14" spans="1:18" x14ac:dyDescent="0.25">
      <c r="A14" s="2">
        <v>1957</v>
      </c>
      <c r="B14" s="2">
        <v>50</v>
      </c>
      <c r="C14" s="2"/>
      <c r="D14" s="1">
        <v>21.4</v>
      </c>
      <c r="E14" s="1">
        <v>28</v>
      </c>
      <c r="F14" s="1">
        <v>24.7</v>
      </c>
      <c r="G14" s="8">
        <f>(D14*UR_1913+ (100-UR_1913)*E14)/100</f>
        <v>26.878</v>
      </c>
      <c r="H14" s="8">
        <f t="shared" si="0"/>
        <v>2.1780000000000008</v>
      </c>
      <c r="I14" s="6">
        <f t="shared" si="1"/>
        <v>8.8178137651821888</v>
      </c>
      <c r="J14" s="6">
        <f t="shared" si="4"/>
        <v>9.4285714285714324</v>
      </c>
      <c r="L14" s="1">
        <v>7</v>
      </c>
      <c r="M14" s="1">
        <v>9.3000000000000007</v>
      </c>
      <c r="N14" s="1">
        <v>8.1999999999999993</v>
      </c>
      <c r="O14" s="1">
        <f>(L14*UR_1913 + (100-UR_1913)*M14)/100</f>
        <v>8.9090000000000007</v>
      </c>
      <c r="P14" s="6">
        <f t="shared" si="2"/>
        <v>8.646341463414652</v>
      </c>
      <c r="Q14" s="6">
        <f t="shared" si="3"/>
        <v>2.9297520661157086</v>
      </c>
      <c r="R14" s="1"/>
    </row>
    <row r="15" spans="1:18" x14ac:dyDescent="0.25">
      <c r="A15" s="2">
        <v>1958</v>
      </c>
      <c r="B15" s="2">
        <v>51</v>
      </c>
      <c r="C15" s="2"/>
      <c r="D15" s="1">
        <v>21.3</v>
      </c>
      <c r="E15" s="1">
        <v>27.3</v>
      </c>
      <c r="F15" s="1">
        <v>24.2</v>
      </c>
      <c r="G15" s="8">
        <f>(D15*UR_1913+ (100-UR_1913)*E15)/100</f>
        <v>26.28</v>
      </c>
      <c r="H15" s="8">
        <f t="shared" si="0"/>
        <v>2.0800000000000018</v>
      </c>
      <c r="I15" s="6">
        <f t="shared" si="1"/>
        <v>8.5950413223140565</v>
      </c>
      <c r="J15" s="6">
        <f t="shared" si="4"/>
        <v>8.8135593220339068</v>
      </c>
      <c r="L15" s="1">
        <v>6.7</v>
      </c>
      <c r="M15" s="1">
        <v>8.1999999999999993</v>
      </c>
      <c r="N15" s="1">
        <v>7.4</v>
      </c>
      <c r="O15" s="1">
        <f>(L15*UR_1913 + (100-UR_1913)*M15)/100</f>
        <v>7.9449999999999985</v>
      </c>
      <c r="P15" s="6">
        <f t="shared" si="2"/>
        <v>7.3648648648648392</v>
      </c>
      <c r="Q15" s="6">
        <f t="shared" si="3"/>
        <v>2.1799999999999926</v>
      </c>
      <c r="R15" s="1"/>
    </row>
    <row r="16" spans="1:18" x14ac:dyDescent="0.25">
      <c r="A16" s="2">
        <v>1959</v>
      </c>
      <c r="B16" s="2">
        <v>52</v>
      </c>
      <c r="C16" s="2"/>
      <c r="D16" s="1">
        <v>20.7</v>
      </c>
      <c r="E16" s="1">
        <v>27</v>
      </c>
      <c r="F16" s="1">
        <v>23.7</v>
      </c>
      <c r="G16" s="8">
        <f>(D16*UR_1913+ (100-UR_1913)*E16)/100</f>
        <v>25.929000000000002</v>
      </c>
      <c r="H16" s="8">
        <f t="shared" si="0"/>
        <v>2.2290000000000028</v>
      </c>
      <c r="I16" s="6">
        <f t="shared" si="1"/>
        <v>9.4050632911392515</v>
      </c>
      <c r="J16" s="6">
        <f t="shared" si="4"/>
        <v>9.2489626556016713</v>
      </c>
      <c r="L16" s="1">
        <v>7</v>
      </c>
      <c r="M16" s="1">
        <v>8.6999999999999993</v>
      </c>
      <c r="N16" s="1">
        <v>7.8</v>
      </c>
      <c r="O16" s="1">
        <f>(L16*UR_1913 + (100-UR_1913)*M16)/100</f>
        <v>8.4109999999999996</v>
      </c>
      <c r="P16" s="6">
        <f t="shared" si="2"/>
        <v>7.8333333333333313</v>
      </c>
      <c r="Q16" s="6">
        <f t="shared" si="3"/>
        <v>2.4837398373983732</v>
      </c>
      <c r="R16" s="1"/>
    </row>
    <row r="17" spans="1:18" x14ac:dyDescent="0.25">
      <c r="A17" s="2">
        <v>1960</v>
      </c>
      <c r="B17" s="2">
        <v>54</v>
      </c>
      <c r="C17" s="2"/>
      <c r="D17" s="1">
        <v>20.399999999999999</v>
      </c>
      <c r="E17" s="1">
        <v>26.5</v>
      </c>
      <c r="F17" s="1">
        <v>23.2</v>
      </c>
      <c r="G17" s="8">
        <f>(D17*UR_1913+ (100-UR_1913)*E17)/100</f>
        <v>25.463000000000001</v>
      </c>
      <c r="H17" s="8">
        <f t="shared" si="0"/>
        <v>2.2630000000000017</v>
      </c>
      <c r="I17" s="6">
        <f t="shared" si="1"/>
        <v>9.7543103448275943</v>
      </c>
      <c r="J17" s="6">
        <f t="shared" si="4"/>
        <v>9.1991869918699276</v>
      </c>
      <c r="L17" s="1">
        <v>6.7</v>
      </c>
      <c r="M17" s="1">
        <v>8.1999999999999993</v>
      </c>
      <c r="N17" s="1">
        <v>7.4</v>
      </c>
      <c r="O17" s="1">
        <f>(L17*UR_1913 + (100-UR_1913)*M17)/100</f>
        <v>7.9449999999999985</v>
      </c>
      <c r="P17" s="6">
        <f t="shared" si="2"/>
        <v>7.3648648648648392</v>
      </c>
      <c r="Q17" s="6">
        <f t="shared" si="3"/>
        <v>2.1799999999999926</v>
      </c>
      <c r="R17" s="1"/>
    </row>
    <row r="18" spans="1:18" x14ac:dyDescent="0.25">
      <c r="A18" s="2">
        <v>1961</v>
      </c>
      <c r="B18" s="2">
        <v>55</v>
      </c>
      <c r="C18" s="2"/>
      <c r="D18" s="1">
        <v>19.7</v>
      </c>
      <c r="E18" s="1">
        <v>24.7</v>
      </c>
      <c r="F18" s="1">
        <v>21.9</v>
      </c>
      <c r="G18" s="8">
        <f>(D18*UR_1913+ (100-UR_1913)*E18)/100</f>
        <v>23.85</v>
      </c>
      <c r="H18" s="8">
        <f t="shared" si="0"/>
        <v>1.9500000000000028</v>
      </c>
      <c r="I18" s="6">
        <f t="shared" si="1"/>
        <v>8.9041095890411093</v>
      </c>
      <c r="J18" s="6">
        <f t="shared" si="4"/>
        <v>7.5289575289575401</v>
      </c>
      <c r="L18" s="1">
        <v>6.8</v>
      </c>
      <c r="M18" s="1">
        <v>8.3000000000000007</v>
      </c>
      <c r="N18" s="1">
        <v>7.4</v>
      </c>
      <c r="O18" s="1">
        <f>(L18*UR_1913 + (100-UR_1913)*M18)/100</f>
        <v>8.0450000000000017</v>
      </c>
      <c r="P18" s="6">
        <f t="shared" si="2"/>
        <v>8.7162162162162353</v>
      </c>
      <c r="Q18" s="6">
        <f t="shared" si="3"/>
        <v>2.5800000000000058</v>
      </c>
      <c r="R18" s="1"/>
    </row>
    <row r="19" spans="1:18" x14ac:dyDescent="0.25">
      <c r="A19" s="2">
        <v>1962</v>
      </c>
      <c r="B19" s="2">
        <v>56</v>
      </c>
      <c r="C19" s="2"/>
      <c r="D19" s="1">
        <v>18.3</v>
      </c>
      <c r="E19" s="1">
        <v>22.7</v>
      </c>
      <c r="F19" s="1">
        <v>20.2</v>
      </c>
      <c r="G19" s="8">
        <f>(D19*UR_1913+ (100-UR_1913)*E19)/100</f>
        <v>21.951999999999998</v>
      </c>
      <c r="H19" s="8">
        <f t="shared" si="0"/>
        <v>1.7519999999999989</v>
      </c>
      <c r="I19" s="6">
        <f t="shared" si="1"/>
        <v>8.6732673267326668</v>
      </c>
      <c r="J19" s="6">
        <f t="shared" si="4"/>
        <v>6.347826086956518</v>
      </c>
      <c r="L19" s="1">
        <v>6.9</v>
      </c>
      <c r="M19" s="1">
        <v>8.8000000000000007</v>
      </c>
      <c r="N19" s="1">
        <v>7.7</v>
      </c>
      <c r="O19" s="1">
        <f>(L19*UR_1913 + (100-UR_1913)*M19)/100</f>
        <v>8.4770000000000003</v>
      </c>
      <c r="P19" s="6">
        <f t="shared" si="2"/>
        <v>10.090909090909093</v>
      </c>
      <c r="Q19" s="6">
        <f t="shared" si="3"/>
        <v>3.1457489878542519</v>
      </c>
      <c r="R19" s="1"/>
    </row>
    <row r="20" spans="1:18" x14ac:dyDescent="0.25">
      <c r="A20" s="2">
        <v>1963</v>
      </c>
      <c r="B20" s="2">
        <v>56</v>
      </c>
      <c r="C20" s="2"/>
      <c r="D20" s="1">
        <v>16.8</v>
      </c>
      <c r="E20" s="1">
        <v>21.4</v>
      </c>
      <c r="F20" s="1">
        <v>18.7</v>
      </c>
      <c r="G20" s="8">
        <f>(D20*UR_1913+ (100-UR_1913)*E20)/100</f>
        <v>20.617999999999999</v>
      </c>
      <c r="H20" s="8">
        <f t="shared" si="0"/>
        <v>1.9179999999999993</v>
      </c>
      <c r="I20" s="6">
        <f t="shared" si="1"/>
        <v>10.256684491978605</v>
      </c>
      <c r="J20" s="6">
        <f t="shared" si="4"/>
        <v>6.5910652920962178</v>
      </c>
      <c r="L20" s="1">
        <v>6.8</v>
      </c>
      <c r="M20" s="1">
        <v>8.4</v>
      </c>
      <c r="N20" s="1">
        <v>7.5</v>
      </c>
      <c r="O20" s="1">
        <f>(L20*UR_1913 + (100-UR_1913)*M20)/100</f>
        <v>8.1280000000000001</v>
      </c>
      <c r="P20" s="6">
        <f t="shared" si="2"/>
        <v>8.3733333333333348</v>
      </c>
      <c r="Q20" s="6">
        <f t="shared" si="3"/>
        <v>2.5220883534136553</v>
      </c>
      <c r="R20" s="1"/>
    </row>
    <row r="21" spans="1:18" x14ac:dyDescent="0.25">
      <c r="A21" s="2">
        <v>1964</v>
      </c>
      <c r="B21" s="2">
        <v>57</v>
      </c>
      <c r="C21" s="2"/>
      <c r="D21" s="1">
        <v>15.4</v>
      </c>
      <c r="E21" s="1">
        <v>18.899999999999999</v>
      </c>
      <c r="F21" s="1">
        <v>16.899999999999999</v>
      </c>
      <c r="G21" s="8">
        <f>(D21*UR_1913+ (100-UR_1913)*E21)/100</f>
        <v>18.304999999999996</v>
      </c>
      <c r="H21" s="8">
        <f t="shared" si="0"/>
        <v>1.4049999999999976</v>
      </c>
      <c r="I21" s="6">
        <f t="shared" si="1"/>
        <v>8.313609467455608</v>
      </c>
      <c r="J21" s="6">
        <f t="shared" si="4"/>
        <v>4.5469255663430346</v>
      </c>
      <c r="L21" s="1">
        <v>6.6</v>
      </c>
      <c r="M21" s="1">
        <v>8</v>
      </c>
      <c r="N21" s="1">
        <v>7.2</v>
      </c>
      <c r="O21" s="1">
        <f>(L21*UR_1913 + (100-UR_1913)*M21)/100</f>
        <v>7.7620000000000005</v>
      </c>
      <c r="P21" s="6">
        <f t="shared" si="2"/>
        <v>7.8055555555555598</v>
      </c>
      <c r="Q21" s="6">
        <f t="shared" si="3"/>
        <v>2.2301587301587316</v>
      </c>
      <c r="R21" s="1"/>
    </row>
    <row r="22" spans="1:18" x14ac:dyDescent="0.25">
      <c r="A22" s="2">
        <v>1965</v>
      </c>
      <c r="B22" s="2">
        <v>58</v>
      </c>
      <c r="C22" s="2"/>
      <c r="D22" s="1">
        <v>14.4</v>
      </c>
      <c r="E22" s="1">
        <v>17.600000000000001</v>
      </c>
      <c r="F22" s="1">
        <v>15.7</v>
      </c>
      <c r="G22" s="8">
        <f>(D22*UR_1913+ (100-UR_1913)*E22)/100</f>
        <v>17.056000000000001</v>
      </c>
      <c r="H22" s="8">
        <f t="shared" si="0"/>
        <v>1.3560000000000016</v>
      </c>
      <c r="I22" s="6">
        <f t="shared" si="1"/>
        <v>8.6369426751592471</v>
      </c>
      <c r="J22" s="6">
        <f t="shared" si="4"/>
        <v>4.224299065420567</v>
      </c>
      <c r="L22" s="1">
        <v>6.9</v>
      </c>
      <c r="M22" s="1">
        <v>8.6</v>
      </c>
      <c r="N22" s="1">
        <v>7.6</v>
      </c>
      <c r="O22" s="1">
        <f>(L22*UR_1913 + (100-UR_1913)*M22)/100</f>
        <v>8.3109999999999999</v>
      </c>
      <c r="P22" s="6">
        <f t="shared" si="2"/>
        <v>9.3552631578947398</v>
      </c>
      <c r="Q22" s="6">
        <f t="shared" si="3"/>
        <v>2.8669354838709689</v>
      </c>
      <c r="R22" s="1"/>
    </row>
    <row r="23" spans="1:18" x14ac:dyDescent="0.25">
      <c r="A23" s="2">
        <v>1966</v>
      </c>
      <c r="B23" s="2">
        <v>59</v>
      </c>
      <c r="C23" s="2"/>
      <c r="D23" s="1">
        <v>14.3</v>
      </c>
      <c r="E23" s="1">
        <v>16.899999999999999</v>
      </c>
      <c r="F23" s="1">
        <v>15.3</v>
      </c>
      <c r="G23" s="8">
        <f>(D23*UR_1913+ (100-UR_1913)*E23)/100</f>
        <v>16.457999999999998</v>
      </c>
      <c r="H23" s="8">
        <f t="shared" si="0"/>
        <v>1.1579999999999977</v>
      </c>
      <c r="I23" s="6">
        <f t="shared" si="1"/>
        <v>7.5686274509803768</v>
      </c>
      <c r="J23" s="6">
        <f t="shared" si="4"/>
        <v>3.5630769230769159</v>
      </c>
      <c r="L23" s="1">
        <v>7</v>
      </c>
      <c r="M23" s="1">
        <v>8.6</v>
      </c>
      <c r="N23" s="1">
        <v>7.6</v>
      </c>
      <c r="O23" s="1">
        <f>(L23*UR_1913 + (100-UR_1913)*M23)/100</f>
        <v>8.3279999999999994</v>
      </c>
      <c r="P23" s="6">
        <f t="shared" si="2"/>
        <v>9.5789473684210513</v>
      </c>
      <c r="Q23" s="6">
        <f t="shared" si="3"/>
        <v>2.9354838709677415</v>
      </c>
      <c r="R23" s="1"/>
    </row>
    <row r="24" spans="1:18" x14ac:dyDescent="0.25">
      <c r="A24" s="2">
        <v>1967</v>
      </c>
      <c r="B24" s="2">
        <v>60</v>
      </c>
      <c r="C24" s="2"/>
      <c r="D24" s="1">
        <v>13.7</v>
      </c>
      <c r="E24" s="1">
        <v>15.6</v>
      </c>
      <c r="F24" s="1">
        <v>14.4</v>
      </c>
      <c r="G24" s="8">
        <f>(D24*UR_1913+ (100-UR_1913)*E24)/100</f>
        <v>15.276999999999997</v>
      </c>
      <c r="H24" s="8">
        <f t="shared" si="0"/>
        <v>0.87699999999999712</v>
      </c>
      <c r="I24" s="6">
        <f t="shared" si="1"/>
        <v>6.0902777777777573</v>
      </c>
      <c r="J24" s="6">
        <f t="shared" si="4"/>
        <v>2.6257485029940031</v>
      </c>
      <c r="L24" s="1">
        <v>7.2</v>
      </c>
      <c r="M24" s="1">
        <v>9.1</v>
      </c>
      <c r="N24" s="1">
        <v>7.9</v>
      </c>
      <c r="O24" s="1">
        <f>(L24*UR_1913 + (100-UR_1913)*M24)/100</f>
        <v>8.7769999999999992</v>
      </c>
      <c r="P24" s="6">
        <f t="shared" si="2"/>
        <v>11.101265822784796</v>
      </c>
      <c r="Q24" s="6">
        <f t="shared" si="3"/>
        <v>3.5795918367346893</v>
      </c>
      <c r="R24" s="1"/>
    </row>
    <row r="25" spans="1:18" x14ac:dyDescent="0.25">
      <c r="A25" s="2">
        <v>1968</v>
      </c>
      <c r="B25" s="2">
        <v>60</v>
      </c>
      <c r="C25" s="2"/>
      <c r="D25" s="1">
        <v>13.5</v>
      </c>
      <c r="E25" s="1">
        <v>14.9</v>
      </c>
      <c r="F25" s="1">
        <v>14.1</v>
      </c>
      <c r="G25" s="8">
        <f>(D25*UR_1913+ (100-UR_1913)*E25)/100</f>
        <v>14.662000000000001</v>
      </c>
      <c r="H25" s="8">
        <f t="shared" si="0"/>
        <v>0.56200000000000117</v>
      </c>
      <c r="I25" s="6">
        <f t="shared" si="1"/>
        <v>3.9858156028368876</v>
      </c>
      <c r="J25" s="6">
        <f t="shared" si="4"/>
        <v>1.667655786350152</v>
      </c>
      <c r="L25" s="1">
        <v>7.4</v>
      </c>
      <c r="M25" s="1">
        <v>9.1999999999999993</v>
      </c>
      <c r="N25" s="1">
        <v>8.1</v>
      </c>
      <c r="O25" s="1">
        <f>(L25*UR_1913 + (100-UR_1913)*M25)/100</f>
        <v>8.8939999999999984</v>
      </c>
      <c r="P25" s="6">
        <f t="shared" si="2"/>
        <v>9.8024691358024523</v>
      </c>
      <c r="Q25" s="6">
        <f t="shared" si="3"/>
        <v>3.2674897119341511</v>
      </c>
      <c r="R25" s="1"/>
    </row>
    <row r="26" spans="1:18" x14ac:dyDescent="0.25">
      <c r="A26" s="2">
        <v>1969</v>
      </c>
      <c r="B26" s="2">
        <v>61</v>
      </c>
      <c r="C26" s="2"/>
      <c r="D26" s="1">
        <v>14.1</v>
      </c>
      <c r="E26" s="1">
        <v>14.5</v>
      </c>
      <c r="F26" s="1">
        <v>14.2</v>
      </c>
      <c r="G26" s="8">
        <f>(D26*UR_1913+ (100-UR_1913)*E26)/100</f>
        <v>14.432</v>
      </c>
      <c r="H26" s="8">
        <f t="shared" si="0"/>
        <v>0.23200000000000109</v>
      </c>
      <c r="I26" s="6">
        <f t="shared" si="1"/>
        <v>1.6338028169014163</v>
      </c>
      <c r="J26" s="6">
        <f t="shared" si="4"/>
        <v>0.6904761904761938</v>
      </c>
      <c r="L26" s="1">
        <v>7.8</v>
      </c>
      <c r="M26" s="1">
        <v>9.8000000000000007</v>
      </c>
      <c r="N26" s="1">
        <v>8.5</v>
      </c>
      <c r="O26" s="1">
        <f>(L26*UR_1913 + (100-UR_1913)*M26)/100</f>
        <v>9.4600000000000009</v>
      </c>
      <c r="P26" s="6">
        <f t="shared" si="2"/>
        <v>11.294117647058833</v>
      </c>
      <c r="Q26" s="6">
        <f t="shared" si="3"/>
        <v>4.0167364016736435</v>
      </c>
      <c r="R26" s="1"/>
    </row>
    <row r="27" spans="1:18" x14ac:dyDescent="0.25">
      <c r="A27" s="2">
        <v>1970</v>
      </c>
      <c r="B27" s="2">
        <v>62</v>
      </c>
      <c r="C27" s="2"/>
      <c r="D27" s="1">
        <v>14.8</v>
      </c>
      <c r="E27" s="1">
        <v>14.3</v>
      </c>
      <c r="F27" s="1">
        <v>14.6</v>
      </c>
      <c r="G27" s="8">
        <f>(D27*UR_1913+ (100-UR_1913)*E27)/100</f>
        <v>14.385</v>
      </c>
      <c r="H27" s="8">
        <f t="shared" si="0"/>
        <v>-0.21499999999999986</v>
      </c>
      <c r="I27" s="6">
        <f t="shared" si="1"/>
        <v>-1.4726027397260264</v>
      </c>
      <c r="J27" s="6">
        <f t="shared" si="4"/>
        <v>-0.64759036144578275</v>
      </c>
      <c r="L27" s="1">
        <v>7.9</v>
      </c>
      <c r="M27" s="1">
        <v>10</v>
      </c>
      <c r="N27" s="1">
        <v>8.6999999999999993</v>
      </c>
      <c r="O27" s="1">
        <f>(L27*UR_1913 + (100-UR_1913)*M27)/100</f>
        <v>9.6429999999999989</v>
      </c>
      <c r="P27" s="6">
        <f t="shared" si="2"/>
        <v>10.839080459770111</v>
      </c>
      <c r="Q27" s="6">
        <f t="shared" si="3"/>
        <v>3.9789029535864961</v>
      </c>
      <c r="R27" s="1"/>
    </row>
    <row r="28" spans="1:18" x14ac:dyDescent="0.25">
      <c r="A28" s="2">
        <v>1971</v>
      </c>
      <c r="B28" s="2">
        <v>63</v>
      </c>
      <c r="C28" s="2"/>
      <c r="D28" s="1">
        <v>15.3</v>
      </c>
      <c r="E28" s="1">
        <v>14.6</v>
      </c>
      <c r="F28" s="1">
        <v>15.1</v>
      </c>
      <c r="G28" s="8">
        <f>(D28*UR_1913+ (100-UR_1913)*E28)/100</f>
        <v>14.719000000000001</v>
      </c>
      <c r="H28" s="8">
        <f t="shared" si="0"/>
        <v>-0.38099999999999845</v>
      </c>
      <c r="I28" s="6">
        <f t="shared" si="1"/>
        <v>-2.5231788079470099</v>
      </c>
      <c r="J28" s="6">
        <f t="shared" si="4"/>
        <v>-1.1651376146788945</v>
      </c>
      <c r="L28" s="1">
        <v>8</v>
      </c>
      <c r="M28" s="1">
        <v>10</v>
      </c>
      <c r="N28" s="1">
        <v>8.6999999999999993</v>
      </c>
      <c r="O28" s="1">
        <f>(L28*UR_1913 + (100-UR_1913)*M28)/100</f>
        <v>9.66</v>
      </c>
      <c r="P28" s="6">
        <f t="shared" si="2"/>
        <v>11.034482758620701</v>
      </c>
      <c r="Q28" s="6">
        <f t="shared" si="3"/>
        <v>4.0506329113924089</v>
      </c>
      <c r="R28" s="1"/>
    </row>
    <row r="29" spans="1:18" x14ac:dyDescent="0.25">
      <c r="A29" s="2">
        <v>1972</v>
      </c>
      <c r="B29" s="2">
        <v>64</v>
      </c>
      <c r="C29" s="2"/>
      <c r="D29" s="1">
        <v>15.7</v>
      </c>
      <c r="E29" s="1">
        <v>14.6</v>
      </c>
      <c r="F29" s="1">
        <v>15.3</v>
      </c>
      <c r="G29" s="8">
        <f>(D29*UR_1913+ (100-UR_1913)*E29)/100</f>
        <v>14.786999999999999</v>
      </c>
      <c r="H29" s="8">
        <f t="shared" si="0"/>
        <v>-0.51300000000000168</v>
      </c>
      <c r="I29" s="6">
        <f t="shared" si="1"/>
        <v>-3.352941176470599</v>
      </c>
      <c r="J29" s="6">
        <f t="shared" si="4"/>
        <v>-1.5784615384615437</v>
      </c>
      <c r="L29" s="1">
        <v>8.1</v>
      </c>
      <c r="M29" s="1">
        <v>10.5</v>
      </c>
      <c r="N29" s="1">
        <v>9</v>
      </c>
      <c r="O29" s="1">
        <f>(L29*UR_1913 + (100-UR_1913)*M29)/100</f>
        <v>10.092000000000001</v>
      </c>
      <c r="P29" s="6">
        <f t="shared" si="2"/>
        <v>12.133333333333338</v>
      </c>
      <c r="Q29" s="6">
        <f t="shared" si="3"/>
        <v>4.6666666666666687</v>
      </c>
      <c r="R29" s="1"/>
    </row>
    <row r="30" spans="1:18" x14ac:dyDescent="0.25">
      <c r="A30" s="2">
        <v>1973</v>
      </c>
      <c r="B30" s="2">
        <v>65</v>
      </c>
      <c r="C30" s="2"/>
      <c r="D30" s="1">
        <v>15.4</v>
      </c>
      <c r="E30" s="1">
        <v>14.5</v>
      </c>
      <c r="F30" s="1">
        <v>15.1</v>
      </c>
      <c r="G30" s="8">
        <f>(D30*UR_1913+ (100-UR_1913)*E30)/100</f>
        <v>14.652999999999999</v>
      </c>
      <c r="H30" s="8">
        <f t="shared" si="0"/>
        <v>-0.44700000000000095</v>
      </c>
      <c r="I30" s="6">
        <f t="shared" si="1"/>
        <v>-2.9602649006622581</v>
      </c>
      <c r="J30" s="6">
        <f t="shared" si="4"/>
        <v>-1.3669724770642233</v>
      </c>
      <c r="L30" s="1">
        <v>8.3000000000000007</v>
      </c>
      <c r="M30" s="1">
        <v>10.9</v>
      </c>
      <c r="N30" s="1">
        <v>9.1999999999999993</v>
      </c>
      <c r="O30" s="1">
        <f>(L30*UR_1913 + (100-UR_1913)*M30)/100</f>
        <v>10.458000000000002</v>
      </c>
      <c r="P30" s="6">
        <f t="shared" si="2"/>
        <v>13.673913043478292</v>
      </c>
      <c r="Q30" s="6">
        <f t="shared" si="3"/>
        <v>5.4224137931034599</v>
      </c>
      <c r="R30" s="1"/>
    </row>
    <row r="31" spans="1:18" x14ac:dyDescent="0.25">
      <c r="A31" s="2">
        <v>1974</v>
      </c>
      <c r="B31" s="2">
        <v>66</v>
      </c>
      <c r="C31" s="2"/>
      <c r="D31" s="1">
        <v>15.8</v>
      </c>
      <c r="E31" s="1">
        <v>15.1</v>
      </c>
      <c r="F31" s="1">
        <v>15.6</v>
      </c>
      <c r="G31" s="8">
        <f>(D31*UR_1913+ (100-UR_1913)*E31)/100</f>
        <v>15.219000000000001</v>
      </c>
      <c r="H31" s="8">
        <f t="shared" si="0"/>
        <v>-0.38099999999999845</v>
      </c>
      <c r="I31" s="6">
        <f t="shared" si="1"/>
        <v>-2.4423076923076823</v>
      </c>
      <c r="J31" s="6">
        <f t="shared" si="4"/>
        <v>-1.1832298136645916</v>
      </c>
      <c r="L31" s="1">
        <v>8.3000000000000007</v>
      </c>
      <c r="M31" s="1">
        <v>10.9</v>
      </c>
      <c r="N31" s="1">
        <v>9.1999999999999993</v>
      </c>
      <c r="O31" s="1">
        <f>(L31*UR_1913 + (100-UR_1913)*M31)/100</f>
        <v>10.458000000000002</v>
      </c>
      <c r="P31" s="6">
        <f t="shared" si="2"/>
        <v>13.673913043478292</v>
      </c>
      <c r="Q31" s="6">
        <f t="shared" si="3"/>
        <v>5.4224137931034599</v>
      </c>
      <c r="R31" s="1"/>
    </row>
    <row r="32" spans="1:18" x14ac:dyDescent="0.25">
      <c r="A32" s="2">
        <v>1975</v>
      </c>
      <c r="B32" s="2">
        <v>67</v>
      </c>
      <c r="C32" s="2"/>
      <c r="D32" s="1">
        <v>15.9</v>
      </c>
      <c r="E32" s="1">
        <v>15.3</v>
      </c>
      <c r="F32" s="1">
        <v>15.7</v>
      </c>
      <c r="G32" s="8">
        <f>(D32*UR_1913+ (100-UR_1913)*E32)/100</f>
        <v>15.402000000000001</v>
      </c>
      <c r="H32" s="8">
        <f t="shared" si="0"/>
        <v>-0.29799999999999827</v>
      </c>
      <c r="I32" s="6">
        <f t="shared" si="1"/>
        <v>-1.8980891719745114</v>
      </c>
      <c r="J32" s="6">
        <f t="shared" si="4"/>
        <v>-0.92834890965731565</v>
      </c>
      <c r="L32" s="1">
        <v>8.8000000000000007</v>
      </c>
      <c r="M32" s="1">
        <v>11.8</v>
      </c>
      <c r="N32" s="1">
        <v>9.8000000000000007</v>
      </c>
      <c r="O32" s="1">
        <f>(L32*UR_1913 + (100-UR_1913)*M32)/100</f>
        <v>11.29</v>
      </c>
      <c r="P32" s="6">
        <f t="shared" si="2"/>
        <v>15.204081632653043</v>
      </c>
      <c r="Q32" s="6">
        <f t="shared" si="3"/>
        <v>6.5929203539822936</v>
      </c>
      <c r="R32" s="1"/>
    </row>
    <row r="33" spans="1:18" x14ac:dyDescent="0.25">
      <c r="A33" s="2">
        <v>1976</v>
      </c>
      <c r="B33" s="2">
        <v>68</v>
      </c>
      <c r="C33" s="2"/>
      <c r="D33" s="1">
        <v>16</v>
      </c>
      <c r="E33" s="1">
        <v>15.6</v>
      </c>
      <c r="F33" s="1">
        <v>15.9</v>
      </c>
      <c r="G33" s="8">
        <f>(D33*UR_1913+ (100-UR_1913)*E33)/100</f>
        <v>15.667999999999999</v>
      </c>
      <c r="H33" s="8">
        <f t="shared" si="0"/>
        <v>-0.23200000000000109</v>
      </c>
      <c r="I33" s="6">
        <f t="shared" si="1"/>
        <v>-1.4591194968553527</v>
      </c>
      <c r="J33" s="6">
        <f t="shared" si="4"/>
        <v>-0.72727272727273073</v>
      </c>
      <c r="L33" s="1">
        <v>9</v>
      </c>
      <c r="M33" s="1">
        <v>12.1</v>
      </c>
      <c r="N33" s="1">
        <v>10</v>
      </c>
      <c r="O33" s="1">
        <f>(L33*UR_1913 + (100-UR_1913)*M33)/100</f>
        <v>11.573</v>
      </c>
      <c r="P33" s="6">
        <f t="shared" si="2"/>
        <v>15.730000000000004</v>
      </c>
      <c r="Q33" s="6">
        <f t="shared" si="3"/>
        <v>7.0223214285714306</v>
      </c>
      <c r="R33" s="1"/>
    </row>
    <row r="34" spans="1:18" x14ac:dyDescent="0.25">
      <c r="A34" s="2">
        <v>1977</v>
      </c>
      <c r="B34" s="2">
        <v>68</v>
      </c>
      <c r="C34" s="2"/>
      <c r="D34" s="1">
        <v>15.9</v>
      </c>
      <c r="E34" s="1">
        <v>15.7</v>
      </c>
      <c r="F34" s="1">
        <v>15.8</v>
      </c>
      <c r="G34" s="8">
        <f>(D34*UR_1913+ (100-UR_1913)*E34)/100</f>
        <v>15.733999999999998</v>
      </c>
      <c r="H34" s="8">
        <f t="shared" si="0"/>
        <v>-6.6000000000002501E-2</v>
      </c>
      <c r="I34" s="6">
        <f t="shared" si="1"/>
        <v>-0.4177215189873576</v>
      </c>
      <c r="J34" s="6">
        <f t="shared" si="4"/>
        <v>-0.20625000000000784</v>
      </c>
      <c r="L34" s="1">
        <v>9.1999999999999993</v>
      </c>
      <c r="M34" s="1">
        <v>12.4</v>
      </c>
      <c r="N34" s="1">
        <v>10.199999999999999</v>
      </c>
      <c r="O34" s="1">
        <f>(L34*UR_1913 + (100-UR_1913)*M34)/100</f>
        <v>11.856</v>
      </c>
      <c r="P34" s="6">
        <f t="shared" si="2"/>
        <v>16.235294117647065</v>
      </c>
      <c r="Q34" s="6">
        <f t="shared" si="3"/>
        <v>7.4594594594594623</v>
      </c>
      <c r="R34" s="1"/>
    </row>
    <row r="35" spans="1:18" x14ac:dyDescent="0.25">
      <c r="A35" s="2">
        <v>1978</v>
      </c>
      <c r="B35" s="2">
        <v>69</v>
      </c>
      <c r="C35" s="2"/>
      <c r="D35" s="1">
        <v>15.9</v>
      </c>
      <c r="E35" s="1">
        <v>15.9</v>
      </c>
      <c r="F35" s="1">
        <v>15.9</v>
      </c>
      <c r="G35" s="8">
        <f>(D35*UR_1913+ (100-UR_1913)*E35)/100</f>
        <v>15.9</v>
      </c>
      <c r="H35" s="8">
        <f t="shared" si="0"/>
        <v>0</v>
      </c>
      <c r="I35" s="6">
        <f t="shared" si="1"/>
        <v>0</v>
      </c>
      <c r="J35" s="6">
        <f t="shared" si="4"/>
        <v>0</v>
      </c>
      <c r="L35" s="1">
        <v>9.4</v>
      </c>
      <c r="M35" s="1">
        <v>12.4</v>
      </c>
      <c r="N35" s="1">
        <v>10.3</v>
      </c>
      <c r="O35" s="1">
        <f>(L35*UR_1913 + (100-UR_1913)*M35)/100</f>
        <v>11.89</v>
      </c>
      <c r="P35" s="6">
        <f t="shared" si="2"/>
        <v>15.436893203883495</v>
      </c>
      <c r="Q35" s="6">
        <f t="shared" si="3"/>
        <v>7.1945701357466074</v>
      </c>
      <c r="R35" s="1"/>
    </row>
    <row r="36" spans="1:18" x14ac:dyDescent="0.25">
      <c r="A36" s="2">
        <v>1979</v>
      </c>
      <c r="B36" s="2">
        <v>69</v>
      </c>
      <c r="C36" s="2"/>
      <c r="D36" s="1">
        <v>15.7</v>
      </c>
      <c r="E36" s="1">
        <v>16.100000000000001</v>
      </c>
      <c r="F36" s="1">
        <v>15.8</v>
      </c>
      <c r="G36" s="8">
        <f>(D36*UR_1913+ (100-UR_1913)*E36)/100</f>
        <v>16.032000000000004</v>
      </c>
      <c r="H36" s="8">
        <f t="shared" si="0"/>
        <v>0.23200000000000287</v>
      </c>
      <c r="I36" s="6">
        <f t="shared" si="1"/>
        <v>1.4683544303797649</v>
      </c>
      <c r="J36" s="6">
        <f t="shared" si="4"/>
        <v>0.72500000000000908</v>
      </c>
      <c r="L36" s="1">
        <v>9.8000000000000007</v>
      </c>
      <c r="M36" s="1">
        <v>13.1</v>
      </c>
      <c r="N36" s="1">
        <v>10.8</v>
      </c>
      <c r="O36" s="1">
        <f>(L36*UR_1913 + (100-UR_1913)*M36)/100</f>
        <v>12.539000000000001</v>
      </c>
      <c r="P36" s="6">
        <f t="shared" si="2"/>
        <v>16.101851851851858</v>
      </c>
      <c r="Q36" s="6">
        <f t="shared" si="3"/>
        <v>8.0509259259259309</v>
      </c>
      <c r="R36" s="1"/>
    </row>
    <row r="37" spans="1:18" x14ac:dyDescent="0.25">
      <c r="A37" s="2">
        <v>1980</v>
      </c>
      <c r="B37" s="2">
        <v>70</v>
      </c>
      <c r="C37" s="2"/>
      <c r="D37" s="1">
        <v>15.8</v>
      </c>
      <c r="E37" s="1">
        <v>16.100000000000001</v>
      </c>
      <c r="F37" s="1">
        <v>15.9</v>
      </c>
      <c r="G37" s="8">
        <f>(D37*UR_1913+ (100-UR_1913)*E37)/100</f>
        <v>16.048999999999999</v>
      </c>
      <c r="H37" s="8">
        <f t="shared" si="0"/>
        <v>0.14899999999999913</v>
      </c>
      <c r="I37" s="6">
        <f t="shared" si="1"/>
        <v>0.93710691823898828</v>
      </c>
      <c r="J37" s="6">
        <f t="shared" si="4"/>
        <v>0.46708463949842993</v>
      </c>
      <c r="L37" s="1">
        <v>10</v>
      </c>
      <c r="M37" s="1">
        <v>13.4</v>
      </c>
      <c r="N37" s="1">
        <v>11</v>
      </c>
      <c r="O37" s="1">
        <f>(L37*UR_1913 + (100-UR_1913)*M37)/100</f>
        <v>12.822000000000001</v>
      </c>
      <c r="P37" s="6">
        <f t="shared" si="2"/>
        <v>16.563636363636373</v>
      </c>
      <c r="Q37" s="6">
        <f t="shared" si="3"/>
        <v>8.5140186915887899</v>
      </c>
      <c r="R37" s="1"/>
    </row>
    <row r="38" spans="1:18" x14ac:dyDescent="0.25">
      <c r="A38" s="2">
        <v>1981</v>
      </c>
      <c r="B38" s="2">
        <v>70</v>
      </c>
      <c r="C38" s="2"/>
      <c r="D38" s="1">
        <v>15.8</v>
      </c>
      <c r="E38" s="1">
        <v>16.600000000000001</v>
      </c>
      <c r="F38" s="1">
        <v>16</v>
      </c>
      <c r="G38" s="8">
        <f>(D38*UR_1913+ (100-UR_1913)*E38)/100</f>
        <v>16.464000000000002</v>
      </c>
      <c r="H38" s="8">
        <f t="shared" si="0"/>
        <v>0.46400000000000219</v>
      </c>
      <c r="I38" s="6">
        <f t="shared" si="1"/>
        <v>2.9000000000000137</v>
      </c>
      <c r="J38" s="6">
        <f t="shared" si="4"/>
        <v>1.4591194968553529</v>
      </c>
      <c r="L38" s="1">
        <v>9.9</v>
      </c>
      <c r="M38" s="1">
        <v>13.3</v>
      </c>
      <c r="N38" s="1">
        <v>10.9</v>
      </c>
      <c r="O38" s="1">
        <f>(L38*UR_1913 + (100-UR_1913)*M38)/100</f>
        <v>12.722000000000001</v>
      </c>
      <c r="P38" s="6">
        <f t="shared" si="2"/>
        <v>16.71559633027524</v>
      </c>
      <c r="Q38" s="6">
        <f t="shared" si="3"/>
        <v>8.4744186046511683</v>
      </c>
      <c r="R38" s="1"/>
    </row>
    <row r="39" spans="1:18" x14ac:dyDescent="0.25">
      <c r="A39" s="2">
        <v>1982</v>
      </c>
      <c r="B39" s="2">
        <v>71</v>
      </c>
      <c r="C39" s="2"/>
      <c r="D39" s="1">
        <v>16.3</v>
      </c>
      <c r="E39" s="1">
        <v>17.399999999999999</v>
      </c>
      <c r="F39" s="1">
        <v>16.600000000000001</v>
      </c>
      <c r="G39" s="8">
        <f>(D39*UR_1913+ (100-UR_1913)*E39)/100</f>
        <v>17.212999999999997</v>
      </c>
      <c r="H39" s="8">
        <f t="shared" si="0"/>
        <v>0.61299999999999599</v>
      </c>
      <c r="I39" s="6">
        <f t="shared" si="1"/>
        <v>3.6927710843373251</v>
      </c>
      <c r="J39" s="6">
        <f t="shared" si="4"/>
        <v>1.9647435897435772</v>
      </c>
      <c r="L39" s="1">
        <v>9.8000000000000007</v>
      </c>
      <c r="M39" s="1">
        <v>13</v>
      </c>
      <c r="N39" s="1">
        <v>10.7</v>
      </c>
      <c r="O39" s="1">
        <f>(L39*UR_1913 + (100-UR_1913)*M39)/100</f>
        <v>12.456</v>
      </c>
      <c r="P39" s="6">
        <f t="shared" si="2"/>
        <v>16.411214953271031</v>
      </c>
      <c r="Q39" s="6">
        <f t="shared" si="3"/>
        <v>8.0921658986175125</v>
      </c>
      <c r="R39" s="1"/>
    </row>
    <row r="40" spans="1:18" x14ac:dyDescent="0.25">
      <c r="A40" s="2">
        <v>1983</v>
      </c>
      <c r="B40" s="2">
        <v>71</v>
      </c>
      <c r="C40" s="2"/>
      <c r="D40" s="1">
        <v>17.2</v>
      </c>
      <c r="E40" s="1">
        <v>18.399999999999999</v>
      </c>
      <c r="F40" s="1">
        <v>17.5</v>
      </c>
      <c r="G40" s="8">
        <f>(D40*UR_1913+ (100-UR_1913)*E40)/100</f>
        <v>18.195999999999998</v>
      </c>
      <c r="H40" s="8">
        <f t="shared" si="0"/>
        <v>0.69599999999999795</v>
      </c>
      <c r="I40" s="6">
        <f t="shared" si="1"/>
        <v>3.9771428571428453</v>
      </c>
      <c r="J40" s="6">
        <f t="shared" si="4"/>
        <v>2.2970297029702906</v>
      </c>
      <c r="L40" s="1">
        <v>10.1</v>
      </c>
      <c r="M40" s="1">
        <v>13.5</v>
      </c>
      <c r="N40" s="1">
        <v>11.1</v>
      </c>
      <c r="O40" s="1">
        <f>(L40*UR_1913 + (100-UR_1913)*M40)/100</f>
        <v>12.922000000000001</v>
      </c>
      <c r="P40" s="6">
        <f t="shared" si="2"/>
        <v>16.414414414414424</v>
      </c>
      <c r="Q40" s="6">
        <f t="shared" si="3"/>
        <v>8.5539906103286452</v>
      </c>
      <c r="R40" s="1"/>
    </row>
    <row r="41" spans="1:18" x14ac:dyDescent="0.25">
      <c r="A41" s="2">
        <v>1984</v>
      </c>
      <c r="B41" s="2">
        <v>72</v>
      </c>
      <c r="C41" s="2"/>
      <c r="D41" s="1">
        <v>16.5</v>
      </c>
      <c r="E41" s="1">
        <v>18</v>
      </c>
      <c r="F41" s="1">
        <v>16.899999999999999</v>
      </c>
      <c r="G41" s="8">
        <f>(D41*UR_1913+ (100-UR_1913)*E41)/100</f>
        <v>17.745000000000001</v>
      </c>
      <c r="H41" s="8">
        <f t="shared" si="0"/>
        <v>0.84500000000000242</v>
      </c>
      <c r="I41" s="6">
        <f t="shared" si="1"/>
        <v>5.0000000000000151</v>
      </c>
      <c r="J41" s="6">
        <f t="shared" si="4"/>
        <v>2.7346278317152182</v>
      </c>
      <c r="L41" s="1">
        <v>10.6</v>
      </c>
      <c r="M41" s="1">
        <v>14.3</v>
      </c>
      <c r="N41" s="1">
        <v>11.6</v>
      </c>
      <c r="O41" s="1">
        <f>(L41*UR_1913 + (100-UR_1913)*M41)/100</f>
        <v>13.671000000000001</v>
      </c>
      <c r="P41" s="6">
        <f t="shared" si="2"/>
        <v>17.853448275862082</v>
      </c>
      <c r="Q41" s="6">
        <f t="shared" si="3"/>
        <v>9.9567307692307772</v>
      </c>
      <c r="R41" s="1"/>
    </row>
    <row r="42" spans="1:18" x14ac:dyDescent="0.25">
      <c r="A42" s="2">
        <v>1985</v>
      </c>
      <c r="B42" s="2">
        <v>72</v>
      </c>
      <c r="C42" s="2"/>
      <c r="D42" s="1">
        <v>16.100000000000001</v>
      </c>
      <c r="E42" s="1">
        <v>17.8</v>
      </c>
      <c r="F42" s="1">
        <v>16.600000000000001</v>
      </c>
      <c r="G42" s="8">
        <f>(D42*UR_1913+ (100-UR_1913)*E42)/100</f>
        <v>17.511000000000003</v>
      </c>
      <c r="H42" s="8">
        <f t="shared" si="0"/>
        <v>0.91100000000000136</v>
      </c>
      <c r="I42" s="6">
        <f t="shared" si="1"/>
        <v>5.4879518072289235</v>
      </c>
      <c r="J42" s="6">
        <f t="shared" si="4"/>
        <v>2.9198717948717996</v>
      </c>
      <c r="L42" s="1">
        <v>10.3</v>
      </c>
      <c r="M42" s="1">
        <v>14</v>
      </c>
      <c r="N42" s="1">
        <v>11.3</v>
      </c>
      <c r="O42" s="1">
        <f>(L42*UR_1913 + (100-UR_1913)*M42)/100</f>
        <v>13.370999999999999</v>
      </c>
      <c r="P42" s="6">
        <f t="shared" si="2"/>
        <v>18.327433628318566</v>
      </c>
      <c r="Q42" s="6">
        <f t="shared" si="3"/>
        <v>9.8151658767772432</v>
      </c>
      <c r="R42" s="1"/>
    </row>
    <row r="43" spans="1:18" x14ac:dyDescent="0.25">
      <c r="A43" s="2">
        <v>1986</v>
      </c>
      <c r="B43" s="2">
        <v>72</v>
      </c>
      <c r="C43" s="2"/>
      <c r="D43" s="1">
        <v>16.7</v>
      </c>
      <c r="E43" s="1">
        <v>18.600000000000001</v>
      </c>
      <c r="F43" s="1">
        <v>17.2</v>
      </c>
      <c r="G43" s="8">
        <f>(D43*UR_1913+ (100-UR_1913)*E43)/100</f>
        <v>18.277000000000001</v>
      </c>
      <c r="H43" s="8">
        <f t="shared" si="0"/>
        <v>1.0770000000000017</v>
      </c>
      <c r="I43" s="6">
        <f t="shared" si="1"/>
        <v>6.2616279069767549</v>
      </c>
      <c r="J43" s="6">
        <f t="shared" si="4"/>
        <v>3.5196078431372606</v>
      </c>
      <c r="L43" s="1">
        <v>9.6</v>
      </c>
      <c r="M43" s="1">
        <v>12.5</v>
      </c>
      <c r="N43" s="1">
        <v>10.4</v>
      </c>
      <c r="O43" s="1">
        <f>(L43*UR_1913 + (100-UR_1913)*M43)/100</f>
        <v>12.007</v>
      </c>
      <c r="P43" s="6">
        <f t="shared" si="2"/>
        <v>15.45192307692307</v>
      </c>
      <c r="Q43" s="6">
        <f t="shared" si="3"/>
        <v>7.3045454545454511</v>
      </c>
      <c r="R43" s="1"/>
    </row>
    <row r="44" spans="1:18" x14ac:dyDescent="0.25">
      <c r="A44" s="2">
        <v>1987</v>
      </c>
      <c r="B44" s="2">
        <v>73</v>
      </c>
      <c r="C44" s="2"/>
      <c r="D44" s="1">
        <v>16.600000000000001</v>
      </c>
      <c r="E44" s="1">
        <v>18.600000000000001</v>
      </c>
      <c r="F44" s="1">
        <v>17.2</v>
      </c>
      <c r="G44" s="8">
        <f>(D44*UR_1913+ (100-UR_1913)*E44)/100</f>
        <v>18.260000000000002</v>
      </c>
      <c r="H44" s="8">
        <f t="shared" si="0"/>
        <v>1.0600000000000023</v>
      </c>
      <c r="I44" s="6">
        <f t="shared" si="1"/>
        <v>6.1627906976744322</v>
      </c>
      <c r="J44" s="6">
        <f t="shared" si="4"/>
        <v>3.464052287581707</v>
      </c>
      <c r="L44" s="1">
        <v>9.6999999999999993</v>
      </c>
      <c r="M44" s="1">
        <v>12.7</v>
      </c>
      <c r="N44" s="1">
        <v>10.5</v>
      </c>
      <c r="O44" s="1">
        <f>(L44*UR_1913 + (100-UR_1913)*M44)/100</f>
        <v>12.19</v>
      </c>
      <c r="P44" s="6">
        <f t="shared" si="2"/>
        <v>16.095238095238091</v>
      </c>
      <c r="Q44" s="6">
        <f t="shared" si="3"/>
        <v>7.7168949771689475</v>
      </c>
      <c r="R44" s="1"/>
    </row>
    <row r="45" spans="1:18" x14ac:dyDescent="0.25">
      <c r="A45" s="2">
        <v>1988</v>
      </c>
      <c r="B45" s="2">
        <v>73</v>
      </c>
      <c r="C45" s="2"/>
      <c r="D45" s="1">
        <v>15.4</v>
      </c>
      <c r="E45" s="1">
        <v>17.600000000000001</v>
      </c>
      <c r="F45" s="1">
        <v>16</v>
      </c>
      <c r="G45" s="8">
        <f>(D45*UR_1913+ (100-UR_1913)*E45)/100</f>
        <v>17.226000000000003</v>
      </c>
      <c r="H45" s="8">
        <f t="shared" si="0"/>
        <v>1.2260000000000026</v>
      </c>
      <c r="I45" s="6">
        <f t="shared" si="1"/>
        <v>7.6625000000000165</v>
      </c>
      <c r="J45" s="6">
        <f t="shared" si="4"/>
        <v>3.8553459119496942</v>
      </c>
      <c r="L45" s="1">
        <v>9.9</v>
      </c>
      <c r="M45" s="1">
        <v>13</v>
      </c>
      <c r="N45" s="1">
        <v>10.7</v>
      </c>
      <c r="O45" s="1">
        <f>(L45*UR_1913 + (100-UR_1913)*M45)/100</f>
        <v>12.472999999999999</v>
      </c>
      <c r="P45" s="6">
        <f t="shared" si="2"/>
        <v>16.570093457943923</v>
      </c>
      <c r="Q45" s="6">
        <f t="shared" si="3"/>
        <v>8.170506912442395</v>
      </c>
      <c r="R45" s="1"/>
    </row>
    <row r="46" spans="1:18" x14ac:dyDescent="0.25">
      <c r="A46" s="2">
        <v>1989</v>
      </c>
      <c r="B46" s="2">
        <v>74</v>
      </c>
      <c r="C46" s="2"/>
      <c r="D46" s="1">
        <v>14</v>
      </c>
      <c r="E46" s="1">
        <v>16.399999999999999</v>
      </c>
      <c r="F46" s="1">
        <v>14.6</v>
      </c>
      <c r="G46" s="8">
        <f>(D46*UR_1913+ (100-UR_1913)*E46)/100</f>
        <v>15.991999999999997</v>
      </c>
      <c r="H46" s="8">
        <f t="shared" si="0"/>
        <v>1.3919999999999977</v>
      </c>
      <c r="I46" s="6">
        <f t="shared" si="1"/>
        <v>9.5342465753424488</v>
      </c>
      <c r="J46" s="6">
        <f t="shared" si="4"/>
        <v>4.1927710843373429</v>
      </c>
      <c r="L46" s="1">
        <v>10</v>
      </c>
      <c r="M46" s="1">
        <v>12.7</v>
      </c>
      <c r="N46" s="1">
        <v>10.7</v>
      </c>
      <c r="O46" s="1">
        <f>(L46*UR_1913 + (100-UR_1913)*M46)/100</f>
        <v>12.241</v>
      </c>
      <c r="P46" s="6">
        <f t="shared" si="2"/>
        <v>14.401869158878508</v>
      </c>
      <c r="Q46" s="6">
        <f t="shared" si="3"/>
        <v>7.1013824884792642</v>
      </c>
      <c r="R46" s="1"/>
    </row>
    <row r="47" spans="1:18" x14ac:dyDescent="0.25">
      <c r="A47" s="2">
        <v>1990</v>
      </c>
      <c r="B47" s="2">
        <v>74</v>
      </c>
      <c r="C47" s="2"/>
      <c r="D47" s="1">
        <v>12.7</v>
      </c>
      <c r="E47" s="1">
        <v>15.5</v>
      </c>
      <c r="F47" s="1">
        <v>13.4</v>
      </c>
      <c r="G47" s="8">
        <f>(D47*UR_1913+ (100-UR_1913)*E47)/100</f>
        <v>15.024000000000001</v>
      </c>
      <c r="H47" s="8">
        <f t="shared" si="0"/>
        <v>1.6240000000000006</v>
      </c>
      <c r="I47" s="6">
        <f t="shared" si="1"/>
        <v>12.119402985074631</v>
      </c>
      <c r="J47" s="6">
        <f t="shared" si="4"/>
        <v>4.7209302325581417</v>
      </c>
      <c r="L47" s="1">
        <v>10.4</v>
      </c>
      <c r="M47" s="1">
        <v>13.3</v>
      </c>
      <c r="N47" s="1">
        <v>11.2</v>
      </c>
      <c r="O47" s="1">
        <f>(L47*UR_1913 + (100-UR_1913)*M47)/100</f>
        <v>12.807</v>
      </c>
      <c r="P47" s="6">
        <f t="shared" si="2"/>
        <v>14.348214285714295</v>
      </c>
      <c r="Q47" s="6">
        <f t="shared" si="3"/>
        <v>7.5801886792452882</v>
      </c>
      <c r="R47" s="1"/>
    </row>
    <row r="48" spans="1:18" x14ac:dyDescent="0.25">
      <c r="A48" s="2">
        <v>1991</v>
      </c>
      <c r="B48" s="2">
        <v>74</v>
      </c>
      <c r="C48" s="2"/>
      <c r="D48" s="1">
        <v>11.2</v>
      </c>
      <c r="E48" s="1">
        <v>14.5</v>
      </c>
      <c r="F48" s="1">
        <v>12.1</v>
      </c>
      <c r="G48" s="8">
        <f>(D48*UR_1913+ (100-UR_1913)*E48)/100</f>
        <v>13.939</v>
      </c>
      <c r="H48" s="8">
        <f t="shared" si="0"/>
        <v>1.8390000000000004</v>
      </c>
      <c r="I48" s="6">
        <f t="shared" si="1"/>
        <v>15.198347107438019</v>
      </c>
      <c r="J48" s="6">
        <f t="shared" si="4"/>
        <v>5.1512605042016819</v>
      </c>
      <c r="L48" s="1">
        <v>10.6</v>
      </c>
      <c r="M48" s="1">
        <v>13.4</v>
      </c>
      <c r="N48" s="1">
        <v>11.4</v>
      </c>
      <c r="O48" s="1">
        <f>(L48*UR_1913 + (100-UR_1913)*M48)/100</f>
        <v>12.924000000000001</v>
      </c>
      <c r="P48" s="6">
        <f t="shared" si="2"/>
        <v>13.368421052631586</v>
      </c>
      <c r="Q48" s="6">
        <f t="shared" si="3"/>
        <v>7.2571428571428616</v>
      </c>
      <c r="R48" s="1"/>
    </row>
    <row r="49" spans="1:18" x14ac:dyDescent="0.25">
      <c r="A49" s="2">
        <v>1992</v>
      </c>
      <c r="B49" s="2">
        <v>74</v>
      </c>
      <c r="C49" s="2"/>
      <c r="D49" s="1">
        <v>9.8000000000000007</v>
      </c>
      <c r="E49" s="1">
        <v>13.2</v>
      </c>
      <c r="F49" s="1">
        <v>10.7</v>
      </c>
      <c r="G49" s="8">
        <f>(D49*UR_1913+ (100-UR_1913)*E49)/100</f>
        <v>12.621999999999998</v>
      </c>
      <c r="H49" s="8">
        <f t="shared" si="0"/>
        <v>1.9219999999999988</v>
      </c>
      <c r="I49" s="6">
        <f t="shared" si="1"/>
        <v>17.962616822429897</v>
      </c>
      <c r="J49" s="6">
        <f t="shared" si="4"/>
        <v>5.1805929919137439</v>
      </c>
      <c r="L49" s="1">
        <v>11.5</v>
      </c>
      <c r="M49" s="1">
        <v>14.1</v>
      </c>
      <c r="N49" s="1">
        <v>12.2</v>
      </c>
      <c r="O49" s="1">
        <f>(L49*UR_1913 + (100-UR_1913)*M49)/100</f>
        <v>13.657999999999999</v>
      </c>
      <c r="P49" s="6">
        <f t="shared" si="2"/>
        <v>11.95081967213115</v>
      </c>
      <c r="Q49" s="6">
        <f t="shared" si="3"/>
        <v>7.2178217821782189</v>
      </c>
      <c r="R49" s="1"/>
    </row>
    <row r="50" spans="1:18" x14ac:dyDescent="0.25">
      <c r="A50" s="2">
        <v>1993</v>
      </c>
      <c r="B50" s="2">
        <v>73</v>
      </c>
      <c r="C50" s="2"/>
      <c r="D50" s="1">
        <v>8.6</v>
      </c>
      <c r="E50" s="1">
        <v>11.5</v>
      </c>
      <c r="F50" s="1">
        <v>9.4</v>
      </c>
      <c r="G50" s="8">
        <f>(D50*UR_1913+ (100-UR_1913)*E50)/100</f>
        <v>11.007</v>
      </c>
      <c r="H50" s="8">
        <f t="shared" si="0"/>
        <v>1.6069999999999993</v>
      </c>
      <c r="I50" s="6">
        <f t="shared" si="1"/>
        <v>17.095744680851055</v>
      </c>
      <c r="J50" s="6">
        <f t="shared" si="4"/>
        <v>4.1848958333333321</v>
      </c>
      <c r="L50" s="1">
        <v>13.8</v>
      </c>
      <c r="M50" s="1">
        <v>16.399999999999999</v>
      </c>
      <c r="N50" s="1">
        <v>14.5</v>
      </c>
      <c r="O50" s="1">
        <f>(L50*UR_1913 + (100-UR_1913)*M50)/100</f>
        <v>15.957999999999997</v>
      </c>
      <c r="P50" s="6">
        <f t="shared" si="2"/>
        <v>10.05517241379308</v>
      </c>
      <c r="Q50" s="6">
        <f t="shared" si="3"/>
        <v>8.1452513966480264</v>
      </c>
      <c r="R50" s="1"/>
    </row>
    <row r="51" spans="1:18" x14ac:dyDescent="0.25">
      <c r="A51" s="2">
        <v>1994</v>
      </c>
      <c r="B51" s="2">
        <v>73</v>
      </c>
      <c r="C51" s="2"/>
      <c r="D51" s="1">
        <v>8.9</v>
      </c>
      <c r="E51" s="1">
        <v>11.4</v>
      </c>
      <c r="F51" s="1">
        <v>9.6</v>
      </c>
      <c r="G51" s="8">
        <f>(D51*UR_1913+ (100-UR_1913)*E51)/100</f>
        <v>10.975</v>
      </c>
      <c r="H51" s="8">
        <f t="shared" si="0"/>
        <v>1.375</v>
      </c>
      <c r="I51" s="6">
        <f t="shared" si="1"/>
        <v>14.322916666666668</v>
      </c>
      <c r="J51" s="6">
        <f t="shared" si="4"/>
        <v>3.5994764397905765</v>
      </c>
      <c r="L51" s="1">
        <v>15</v>
      </c>
      <c r="M51" s="1">
        <v>17.5</v>
      </c>
      <c r="N51" s="1">
        <v>15.7</v>
      </c>
      <c r="O51" s="1">
        <f>(L51*UR_1913 + (100-UR_1913)*M51)/100</f>
        <v>17.074999999999999</v>
      </c>
      <c r="P51" s="6">
        <f t="shared" si="2"/>
        <v>8.7579617834394909</v>
      </c>
      <c r="Q51" s="6">
        <f t="shared" si="3"/>
        <v>8.2335329341317376</v>
      </c>
      <c r="R51" s="1"/>
    </row>
    <row r="52" spans="1:18" x14ac:dyDescent="0.25">
      <c r="A52" s="2">
        <v>1995</v>
      </c>
      <c r="B52" s="2">
        <v>73</v>
      </c>
      <c r="C52" s="2"/>
      <c r="D52" s="1">
        <v>8.6</v>
      </c>
      <c r="E52" s="1">
        <v>10.9</v>
      </c>
      <c r="F52" s="1">
        <v>9.3000000000000007</v>
      </c>
      <c r="G52" s="8">
        <f>(D52*UR_1913+ (100-UR_1913)*E52)/100</f>
        <v>10.509</v>
      </c>
      <c r="H52" s="8">
        <f t="shared" si="0"/>
        <v>1.2089999999999996</v>
      </c>
      <c r="I52" s="6">
        <f t="shared" si="1"/>
        <v>12.999999999999995</v>
      </c>
      <c r="J52" s="6">
        <f t="shared" si="4"/>
        <v>3.1402597402597392</v>
      </c>
      <c r="L52" s="1">
        <v>14.4</v>
      </c>
      <c r="M52" s="1">
        <v>16.5</v>
      </c>
      <c r="N52" s="1">
        <v>15</v>
      </c>
      <c r="O52" s="1">
        <f>(L52*UR_1913 + (100-UR_1913)*M52)/100</f>
        <v>16.143000000000001</v>
      </c>
      <c r="P52" s="6">
        <f t="shared" si="2"/>
        <v>7.6200000000000045</v>
      </c>
      <c r="Q52" s="6">
        <f t="shared" si="3"/>
        <v>6.5689655172413834</v>
      </c>
      <c r="R52" s="1"/>
    </row>
    <row r="53" spans="1:18" x14ac:dyDescent="0.25">
      <c r="A53" s="2">
        <v>1996</v>
      </c>
      <c r="B53" s="2">
        <v>73</v>
      </c>
      <c r="C53" s="2"/>
      <c r="D53" s="1">
        <v>8.3000000000000007</v>
      </c>
      <c r="E53" s="1">
        <v>10.4</v>
      </c>
      <c r="F53" s="1">
        <v>8.9</v>
      </c>
      <c r="G53" s="8">
        <f>(D53*UR_1913+ (100-UR_1913)*E53)/100</f>
        <v>10.043000000000001</v>
      </c>
      <c r="H53" s="8">
        <f t="shared" si="0"/>
        <v>1.1430000000000007</v>
      </c>
      <c r="I53" s="6">
        <f t="shared" si="1"/>
        <v>12.84269662921349</v>
      </c>
      <c r="J53" s="6">
        <f t="shared" si="4"/>
        <v>2.9383033419023157</v>
      </c>
      <c r="L53" s="1">
        <v>13.4</v>
      </c>
      <c r="M53" s="1">
        <v>16.2</v>
      </c>
      <c r="N53" s="1">
        <v>14.2</v>
      </c>
      <c r="O53" s="1">
        <f>(L53*UR_1913 + (100-UR_1913)*M53)/100</f>
        <v>15.723999999999998</v>
      </c>
      <c r="P53" s="6">
        <f t="shared" si="2"/>
        <v>10.732394366197179</v>
      </c>
      <c r="Q53" s="6">
        <f t="shared" si="3"/>
        <v>8.3736263736263687</v>
      </c>
      <c r="R5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211B-D004-442C-B8CF-28ECCF09923A}">
  <dimension ref="A3:C53"/>
  <sheetViews>
    <sheetView workbookViewId="0">
      <selection activeCell="G51" sqref="G51"/>
    </sheetView>
  </sheetViews>
  <sheetFormatPr defaultRowHeight="15" x14ac:dyDescent="0.25"/>
  <sheetData>
    <row r="3" spans="1:3" x14ac:dyDescent="0.25">
      <c r="A3" s="4" t="s">
        <v>0</v>
      </c>
      <c r="B3" s="4" t="s">
        <v>3</v>
      </c>
      <c r="C3" s="4" t="s">
        <v>4</v>
      </c>
    </row>
    <row r="4" spans="1:3" x14ac:dyDescent="0.25">
      <c r="A4" s="2">
        <v>1913</v>
      </c>
      <c r="B4" s="1">
        <v>32.9</v>
      </c>
      <c r="C4" s="1">
        <v>50.9</v>
      </c>
    </row>
    <row r="5" spans="1:3" x14ac:dyDescent="0.25">
      <c r="A5" s="2">
        <v>1926</v>
      </c>
      <c r="B5" s="1">
        <v>33.700000000000003</v>
      </c>
      <c r="C5" s="1">
        <v>45.4</v>
      </c>
    </row>
    <row r="6" spans="1:3" x14ac:dyDescent="0.25">
      <c r="A6" s="2">
        <v>1940</v>
      </c>
      <c r="B6" s="1">
        <v>31.5</v>
      </c>
      <c r="C6" s="1">
        <v>33.700000000000003</v>
      </c>
    </row>
    <row r="7" spans="1:3" x14ac:dyDescent="0.25">
      <c r="A7" s="2">
        <v>1950</v>
      </c>
      <c r="B7" s="1">
        <v>26.1</v>
      </c>
      <c r="C7" s="1">
        <v>27.5</v>
      </c>
    </row>
    <row r="8" spans="1:3" x14ac:dyDescent="0.25">
      <c r="A8" s="2">
        <v>1951</v>
      </c>
      <c r="B8" s="1">
        <v>26.4</v>
      </c>
      <c r="C8" s="1">
        <v>27.9</v>
      </c>
    </row>
    <row r="9" spans="1:3" x14ac:dyDescent="0.25">
      <c r="A9" s="2">
        <v>1952</v>
      </c>
      <c r="B9" s="1">
        <v>25.4</v>
      </c>
      <c r="C9" s="1">
        <v>27.8</v>
      </c>
    </row>
    <row r="10" spans="1:3" x14ac:dyDescent="0.25">
      <c r="A10" s="2">
        <v>1953</v>
      </c>
      <c r="B10" s="1">
        <v>23.8</v>
      </c>
      <c r="C10" s="1">
        <v>26.6</v>
      </c>
    </row>
    <row r="11" spans="1:3" x14ac:dyDescent="0.25">
      <c r="A11" s="2">
        <v>1954</v>
      </c>
      <c r="B11" s="1">
        <v>25.1</v>
      </c>
      <c r="C11" s="1">
        <v>28.7</v>
      </c>
    </row>
    <row r="12" spans="1:3" x14ac:dyDescent="0.25">
      <c r="A12" s="2">
        <v>1955</v>
      </c>
      <c r="B12" s="1">
        <v>23.2</v>
      </c>
      <c r="C12" s="1">
        <v>28.1</v>
      </c>
    </row>
    <row r="13" spans="1:3" x14ac:dyDescent="0.25">
      <c r="A13" s="2">
        <v>1956</v>
      </c>
      <c r="B13" s="1">
        <v>21.4</v>
      </c>
      <c r="C13" s="1">
        <v>27.5</v>
      </c>
    </row>
    <row r="14" spans="1:3" x14ac:dyDescent="0.25">
      <c r="A14" s="2">
        <v>1957</v>
      </c>
      <c r="B14" s="1">
        <v>21.4</v>
      </c>
      <c r="C14" s="1">
        <v>28</v>
      </c>
    </row>
    <row r="15" spans="1:3" x14ac:dyDescent="0.25">
      <c r="A15" s="2">
        <v>1958</v>
      </c>
      <c r="B15" s="1">
        <v>21.3</v>
      </c>
      <c r="C15" s="1">
        <v>27.3</v>
      </c>
    </row>
    <row r="16" spans="1:3" x14ac:dyDescent="0.25">
      <c r="A16" s="2">
        <v>1959</v>
      </c>
      <c r="B16" s="1">
        <v>20.7</v>
      </c>
      <c r="C16" s="1">
        <v>27</v>
      </c>
    </row>
    <row r="17" spans="1:3" x14ac:dyDescent="0.25">
      <c r="A17" s="2">
        <v>1960</v>
      </c>
      <c r="B17" s="1">
        <v>20.399999999999999</v>
      </c>
      <c r="C17" s="1">
        <v>26.5</v>
      </c>
    </row>
    <row r="18" spans="1:3" x14ac:dyDescent="0.25">
      <c r="A18" s="2">
        <v>1961</v>
      </c>
      <c r="B18" s="1">
        <v>19.7</v>
      </c>
      <c r="C18" s="1">
        <v>24.7</v>
      </c>
    </row>
    <row r="19" spans="1:3" x14ac:dyDescent="0.25">
      <c r="A19" s="2">
        <v>1962</v>
      </c>
      <c r="B19" s="1">
        <v>18.3</v>
      </c>
      <c r="C19" s="1">
        <v>22.7</v>
      </c>
    </row>
    <row r="20" spans="1:3" x14ac:dyDescent="0.25">
      <c r="A20" s="2">
        <v>1963</v>
      </c>
      <c r="B20" s="1">
        <v>16.8</v>
      </c>
      <c r="C20" s="1">
        <v>21.4</v>
      </c>
    </row>
    <row r="21" spans="1:3" x14ac:dyDescent="0.25">
      <c r="A21" s="2">
        <v>1964</v>
      </c>
      <c r="B21" s="1">
        <v>15.4</v>
      </c>
      <c r="C21" s="1">
        <v>18.899999999999999</v>
      </c>
    </row>
    <row r="22" spans="1:3" x14ac:dyDescent="0.25">
      <c r="A22" s="2">
        <v>1965</v>
      </c>
      <c r="B22" s="1">
        <v>14.4</v>
      </c>
      <c r="C22" s="1">
        <v>17.600000000000001</v>
      </c>
    </row>
    <row r="23" spans="1:3" x14ac:dyDescent="0.25">
      <c r="A23" s="2">
        <v>1966</v>
      </c>
      <c r="B23" s="1">
        <v>14.3</v>
      </c>
      <c r="C23" s="1">
        <v>16.899999999999999</v>
      </c>
    </row>
    <row r="24" spans="1:3" x14ac:dyDescent="0.25">
      <c r="A24" s="2">
        <v>1967</v>
      </c>
      <c r="B24" s="1">
        <v>13.7</v>
      </c>
      <c r="C24" s="1">
        <v>15.6</v>
      </c>
    </row>
    <row r="25" spans="1:3" x14ac:dyDescent="0.25">
      <c r="A25" s="2">
        <v>1968</v>
      </c>
      <c r="B25" s="1">
        <v>13.5</v>
      </c>
      <c r="C25" s="1">
        <v>14.9</v>
      </c>
    </row>
    <row r="26" spans="1:3" x14ac:dyDescent="0.25">
      <c r="A26" s="2">
        <v>1969</v>
      </c>
      <c r="B26" s="1">
        <v>14.1</v>
      </c>
      <c r="C26" s="1">
        <v>14.5</v>
      </c>
    </row>
    <row r="27" spans="1:3" x14ac:dyDescent="0.25">
      <c r="A27" s="2">
        <v>1970</v>
      </c>
      <c r="B27" s="1">
        <v>14.8</v>
      </c>
      <c r="C27" s="1">
        <v>14.3</v>
      </c>
    </row>
    <row r="28" spans="1:3" x14ac:dyDescent="0.25">
      <c r="A28" s="2">
        <v>1971</v>
      </c>
      <c r="B28" s="1">
        <v>15.3</v>
      </c>
      <c r="C28" s="1">
        <v>14.6</v>
      </c>
    </row>
    <row r="29" spans="1:3" x14ac:dyDescent="0.25">
      <c r="A29" s="2">
        <v>1972</v>
      </c>
      <c r="B29" s="1">
        <v>15.7</v>
      </c>
      <c r="C29" s="1">
        <v>14.6</v>
      </c>
    </row>
    <row r="30" spans="1:3" x14ac:dyDescent="0.25">
      <c r="A30" s="2">
        <v>1973</v>
      </c>
      <c r="B30" s="1">
        <v>15.4</v>
      </c>
      <c r="C30" s="1">
        <v>14.5</v>
      </c>
    </row>
    <row r="31" spans="1:3" x14ac:dyDescent="0.25">
      <c r="A31" s="2">
        <v>1974</v>
      </c>
      <c r="B31" s="1">
        <v>15.8</v>
      </c>
      <c r="C31" s="1">
        <v>15.1</v>
      </c>
    </row>
    <row r="32" spans="1:3" x14ac:dyDescent="0.25">
      <c r="A32" s="2">
        <v>1975</v>
      </c>
      <c r="B32" s="1">
        <v>15.9</v>
      </c>
      <c r="C32" s="1">
        <v>15.3</v>
      </c>
    </row>
    <row r="33" spans="1:3" x14ac:dyDescent="0.25">
      <c r="A33" s="2">
        <v>1976</v>
      </c>
      <c r="B33" s="1">
        <v>16</v>
      </c>
      <c r="C33" s="1">
        <v>15.6</v>
      </c>
    </row>
    <row r="34" spans="1:3" x14ac:dyDescent="0.25">
      <c r="A34" s="2">
        <v>1977</v>
      </c>
      <c r="B34" s="1">
        <v>15.9</v>
      </c>
      <c r="C34" s="1">
        <v>15.7</v>
      </c>
    </row>
    <row r="35" spans="1:3" x14ac:dyDescent="0.25">
      <c r="A35" s="2">
        <v>1978</v>
      </c>
      <c r="B35" s="1">
        <v>15.9</v>
      </c>
      <c r="C35" s="1">
        <v>15.9</v>
      </c>
    </row>
    <row r="36" spans="1:3" x14ac:dyDescent="0.25">
      <c r="A36" s="2">
        <v>1979</v>
      </c>
      <c r="B36" s="1">
        <v>15.7</v>
      </c>
      <c r="C36" s="1">
        <v>16.100000000000001</v>
      </c>
    </row>
    <row r="37" spans="1:3" x14ac:dyDescent="0.25">
      <c r="A37" s="2">
        <v>1980</v>
      </c>
      <c r="B37" s="1">
        <v>15.8</v>
      </c>
      <c r="C37" s="1">
        <v>16.100000000000001</v>
      </c>
    </row>
    <row r="38" spans="1:3" x14ac:dyDescent="0.25">
      <c r="A38" s="2">
        <v>1981</v>
      </c>
      <c r="B38" s="1">
        <v>15.8</v>
      </c>
      <c r="C38" s="1">
        <v>16.600000000000001</v>
      </c>
    </row>
    <row r="39" spans="1:3" x14ac:dyDescent="0.25">
      <c r="A39" s="2">
        <v>1982</v>
      </c>
      <c r="B39" s="1">
        <v>16.3</v>
      </c>
      <c r="C39" s="1">
        <v>17.399999999999999</v>
      </c>
    </row>
    <row r="40" spans="1:3" x14ac:dyDescent="0.25">
      <c r="A40" s="2">
        <v>1983</v>
      </c>
      <c r="B40" s="1">
        <v>17.2</v>
      </c>
      <c r="C40" s="1">
        <v>18.399999999999999</v>
      </c>
    </row>
    <row r="41" spans="1:3" x14ac:dyDescent="0.25">
      <c r="A41" s="2">
        <v>1984</v>
      </c>
      <c r="B41" s="1">
        <v>16.5</v>
      </c>
      <c r="C41" s="1">
        <v>18</v>
      </c>
    </row>
    <row r="42" spans="1:3" x14ac:dyDescent="0.25">
      <c r="A42" s="2">
        <v>1985</v>
      </c>
      <c r="B42" s="1">
        <v>16.100000000000001</v>
      </c>
      <c r="C42" s="1">
        <v>17.8</v>
      </c>
    </row>
    <row r="43" spans="1:3" x14ac:dyDescent="0.25">
      <c r="A43" s="2">
        <v>1986</v>
      </c>
      <c r="B43" s="1">
        <v>16.7</v>
      </c>
      <c r="C43" s="1">
        <v>18.600000000000001</v>
      </c>
    </row>
    <row r="44" spans="1:3" x14ac:dyDescent="0.25">
      <c r="A44" s="2">
        <v>1987</v>
      </c>
      <c r="B44" s="1">
        <v>16.600000000000001</v>
      </c>
      <c r="C44" s="1">
        <v>18.600000000000001</v>
      </c>
    </row>
    <row r="45" spans="1:3" x14ac:dyDescent="0.25">
      <c r="A45" s="2">
        <v>1988</v>
      </c>
      <c r="B45" s="1">
        <v>15.4</v>
      </c>
      <c r="C45" s="1">
        <v>17.600000000000001</v>
      </c>
    </row>
    <row r="46" spans="1:3" x14ac:dyDescent="0.25">
      <c r="A46" s="2">
        <v>1989</v>
      </c>
      <c r="B46" s="1">
        <v>14</v>
      </c>
      <c r="C46" s="1">
        <v>16.399999999999999</v>
      </c>
    </row>
    <row r="47" spans="1:3" x14ac:dyDescent="0.25">
      <c r="A47" s="2">
        <v>1990</v>
      </c>
      <c r="B47" s="1">
        <v>12.7</v>
      </c>
      <c r="C47" s="1">
        <v>15.5</v>
      </c>
    </row>
    <row r="48" spans="1:3" x14ac:dyDescent="0.25">
      <c r="A48" s="2">
        <v>1991</v>
      </c>
      <c r="B48" s="1">
        <v>11.2</v>
      </c>
      <c r="C48" s="1">
        <v>14.5</v>
      </c>
    </row>
    <row r="49" spans="1:3" x14ac:dyDescent="0.25">
      <c r="A49" s="2">
        <v>1992</v>
      </c>
      <c r="B49" s="1">
        <v>9.8000000000000007</v>
      </c>
      <c r="C49" s="1">
        <v>13.2</v>
      </c>
    </row>
    <row r="50" spans="1:3" x14ac:dyDescent="0.25">
      <c r="A50" s="2">
        <v>1993</v>
      </c>
      <c r="B50" s="1">
        <v>8.6</v>
      </c>
      <c r="C50" s="1">
        <v>11.5</v>
      </c>
    </row>
    <row r="51" spans="1:3" x14ac:dyDescent="0.25">
      <c r="A51" s="2">
        <v>1994</v>
      </c>
      <c r="B51" s="1">
        <v>8.9</v>
      </c>
      <c r="C51" s="1">
        <v>11.4</v>
      </c>
    </row>
    <row r="52" spans="1:3" x14ac:dyDescent="0.25">
      <c r="A52" s="2">
        <v>1995</v>
      </c>
      <c r="B52" s="1">
        <v>8.6</v>
      </c>
      <c r="C52" s="1">
        <v>10.9</v>
      </c>
    </row>
    <row r="53" spans="1:3" x14ac:dyDescent="0.25">
      <c r="A53" s="2">
        <v>1996</v>
      </c>
      <c r="B53" s="1">
        <v>8.3000000000000007</v>
      </c>
      <c r="C53" s="1">
        <v>10.4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E293-A337-4BA1-A887-0B9FB7F638C1}">
  <dimension ref="A3:C53"/>
  <sheetViews>
    <sheetView workbookViewId="0">
      <selection activeCell="R49" sqref="R49"/>
    </sheetView>
  </sheetViews>
  <sheetFormatPr defaultRowHeight="15" x14ac:dyDescent="0.25"/>
  <sheetData>
    <row r="3" spans="1:3" x14ac:dyDescent="0.25">
      <c r="A3" s="4" t="s">
        <v>0</v>
      </c>
      <c r="B3" s="4" t="s">
        <v>6</v>
      </c>
      <c r="C3" s="4" t="s">
        <v>7</v>
      </c>
    </row>
    <row r="4" spans="1:3" x14ac:dyDescent="0.25">
      <c r="A4" s="2">
        <v>1913</v>
      </c>
      <c r="B4" s="1">
        <v>24.9</v>
      </c>
      <c r="C4" s="1">
        <v>33.9</v>
      </c>
    </row>
    <row r="5" spans="1:3" x14ac:dyDescent="0.25">
      <c r="A5" s="2">
        <v>1926</v>
      </c>
      <c r="B5" s="1">
        <v>17.600000000000001</v>
      </c>
      <c r="C5" s="1">
        <v>21.4</v>
      </c>
    </row>
    <row r="6" spans="1:3" x14ac:dyDescent="0.25">
      <c r="A6" s="2">
        <v>1940</v>
      </c>
      <c r="B6" s="1">
        <v>20.5</v>
      </c>
      <c r="C6" s="1">
        <v>20.7</v>
      </c>
    </row>
    <row r="7" spans="1:3" x14ac:dyDescent="0.25">
      <c r="A7" s="2">
        <v>1950</v>
      </c>
      <c r="B7" s="1">
        <v>9.6999999999999993</v>
      </c>
      <c r="C7" s="1">
        <v>10.4</v>
      </c>
    </row>
    <row r="8" spans="1:3" x14ac:dyDescent="0.25">
      <c r="A8" s="2">
        <v>1951</v>
      </c>
      <c r="B8" s="1">
        <v>9.3000000000000007</v>
      </c>
      <c r="C8" s="1">
        <v>10.9</v>
      </c>
    </row>
    <row r="9" spans="1:3" x14ac:dyDescent="0.25">
      <c r="A9" s="2">
        <v>1952</v>
      </c>
      <c r="B9" s="1">
        <v>8.5</v>
      </c>
      <c r="C9" s="1">
        <v>10.4</v>
      </c>
    </row>
    <row r="10" spans="1:3" x14ac:dyDescent="0.25">
      <c r="A10" s="2">
        <v>1953</v>
      </c>
      <c r="B10" s="1">
        <v>8.1</v>
      </c>
      <c r="C10" s="1">
        <v>10.4</v>
      </c>
    </row>
    <row r="11" spans="1:3" x14ac:dyDescent="0.25">
      <c r="A11" s="2">
        <v>1954</v>
      </c>
      <c r="B11" s="1">
        <v>7.9</v>
      </c>
      <c r="C11" s="1">
        <v>10.5</v>
      </c>
    </row>
    <row r="12" spans="1:3" x14ac:dyDescent="0.25">
      <c r="A12" s="2">
        <v>1955</v>
      </c>
      <c r="B12" s="1">
        <v>7.4</v>
      </c>
      <c r="C12" s="1">
        <v>9.4</v>
      </c>
    </row>
    <row r="13" spans="1:3" x14ac:dyDescent="0.25">
      <c r="A13" s="2">
        <v>1956</v>
      </c>
      <c r="B13" s="1">
        <v>6.8</v>
      </c>
      <c r="C13" s="1">
        <v>8.6999999999999993</v>
      </c>
    </row>
    <row r="14" spans="1:3" x14ac:dyDescent="0.25">
      <c r="A14" s="2">
        <v>1957</v>
      </c>
      <c r="B14" s="1">
        <v>7</v>
      </c>
      <c r="C14" s="1">
        <v>9.3000000000000007</v>
      </c>
    </row>
    <row r="15" spans="1:3" x14ac:dyDescent="0.25">
      <c r="A15" s="2">
        <v>1958</v>
      </c>
      <c r="B15" s="1">
        <v>6.7</v>
      </c>
      <c r="C15" s="1">
        <v>8.1999999999999993</v>
      </c>
    </row>
    <row r="16" spans="1:3" x14ac:dyDescent="0.25">
      <c r="A16" s="2">
        <v>1959</v>
      </c>
      <c r="B16" s="1">
        <v>7</v>
      </c>
      <c r="C16" s="1">
        <v>8.6999999999999993</v>
      </c>
    </row>
    <row r="17" spans="1:3" x14ac:dyDescent="0.25">
      <c r="A17" s="2">
        <v>1960</v>
      </c>
      <c r="B17" s="1">
        <v>6.7</v>
      </c>
      <c r="C17" s="1">
        <v>8.1999999999999993</v>
      </c>
    </row>
    <row r="18" spans="1:3" x14ac:dyDescent="0.25">
      <c r="A18" s="2">
        <v>1961</v>
      </c>
      <c r="B18" s="1">
        <v>6.8</v>
      </c>
      <c r="C18" s="1">
        <v>8.3000000000000007</v>
      </c>
    </row>
    <row r="19" spans="1:3" x14ac:dyDescent="0.25">
      <c r="A19" s="2">
        <v>1962</v>
      </c>
      <c r="B19" s="1">
        <v>6.9</v>
      </c>
      <c r="C19" s="1">
        <v>8.8000000000000007</v>
      </c>
    </row>
    <row r="20" spans="1:3" x14ac:dyDescent="0.25">
      <c r="A20" s="2">
        <v>1963</v>
      </c>
      <c r="B20" s="1">
        <v>6.8</v>
      </c>
      <c r="C20" s="1">
        <v>8.4</v>
      </c>
    </row>
    <row r="21" spans="1:3" x14ac:dyDescent="0.25">
      <c r="A21" s="2">
        <v>1964</v>
      </c>
      <c r="B21" s="1">
        <v>6.6</v>
      </c>
      <c r="C21" s="1">
        <v>8</v>
      </c>
    </row>
    <row r="22" spans="1:3" x14ac:dyDescent="0.25">
      <c r="A22" s="2">
        <v>1965</v>
      </c>
      <c r="B22" s="1">
        <v>6.9</v>
      </c>
      <c r="C22" s="1">
        <v>8.6</v>
      </c>
    </row>
    <row r="23" spans="1:3" x14ac:dyDescent="0.25">
      <c r="A23" s="2">
        <v>1966</v>
      </c>
      <c r="B23" s="1">
        <v>7</v>
      </c>
      <c r="C23" s="1">
        <v>8.6</v>
      </c>
    </row>
    <row r="24" spans="1:3" x14ac:dyDescent="0.25">
      <c r="A24" s="2">
        <v>1967</v>
      </c>
      <c r="B24" s="1">
        <v>7.2</v>
      </c>
      <c r="C24" s="1">
        <v>9.1</v>
      </c>
    </row>
    <row r="25" spans="1:3" x14ac:dyDescent="0.25">
      <c r="A25" s="2">
        <v>1968</v>
      </c>
      <c r="B25" s="1">
        <v>7.4</v>
      </c>
      <c r="C25" s="1">
        <v>9.1999999999999993</v>
      </c>
    </row>
    <row r="26" spans="1:3" x14ac:dyDescent="0.25">
      <c r="A26" s="2">
        <v>1969</v>
      </c>
      <c r="B26" s="1">
        <v>7.8</v>
      </c>
      <c r="C26" s="1">
        <v>9.8000000000000007</v>
      </c>
    </row>
    <row r="27" spans="1:3" x14ac:dyDescent="0.25">
      <c r="A27" s="2">
        <v>1970</v>
      </c>
      <c r="B27" s="1">
        <v>7.9</v>
      </c>
      <c r="C27" s="1">
        <v>10</v>
      </c>
    </row>
    <row r="28" spans="1:3" x14ac:dyDescent="0.25">
      <c r="A28" s="2">
        <v>1971</v>
      </c>
      <c r="B28" s="1">
        <v>8</v>
      </c>
      <c r="C28" s="1">
        <v>10</v>
      </c>
    </row>
    <row r="29" spans="1:3" x14ac:dyDescent="0.25">
      <c r="A29" s="2">
        <v>1972</v>
      </c>
      <c r="B29" s="1">
        <v>8.1</v>
      </c>
      <c r="C29" s="1">
        <v>10.5</v>
      </c>
    </row>
    <row r="30" spans="1:3" x14ac:dyDescent="0.25">
      <c r="A30" s="2">
        <v>1973</v>
      </c>
      <c r="B30" s="1">
        <v>8.3000000000000007</v>
      </c>
      <c r="C30" s="1">
        <v>10.9</v>
      </c>
    </row>
    <row r="31" spans="1:3" x14ac:dyDescent="0.25">
      <c r="A31" s="2">
        <v>1974</v>
      </c>
      <c r="B31" s="1">
        <v>8.3000000000000007</v>
      </c>
      <c r="C31" s="1">
        <v>10.9</v>
      </c>
    </row>
    <row r="32" spans="1:3" x14ac:dyDescent="0.25">
      <c r="A32" s="2">
        <v>1975</v>
      </c>
      <c r="B32" s="1">
        <v>8.8000000000000007</v>
      </c>
      <c r="C32" s="1">
        <v>11.8</v>
      </c>
    </row>
    <row r="33" spans="1:3" x14ac:dyDescent="0.25">
      <c r="A33" s="2">
        <v>1976</v>
      </c>
      <c r="B33" s="1">
        <v>9</v>
      </c>
      <c r="C33" s="1">
        <v>12.1</v>
      </c>
    </row>
    <row r="34" spans="1:3" x14ac:dyDescent="0.25">
      <c r="A34" s="2">
        <v>1977</v>
      </c>
      <c r="B34" s="1">
        <v>9.1999999999999993</v>
      </c>
      <c r="C34" s="1">
        <v>12.4</v>
      </c>
    </row>
    <row r="35" spans="1:3" x14ac:dyDescent="0.25">
      <c r="A35" s="2">
        <v>1978</v>
      </c>
      <c r="B35" s="1">
        <v>9.4</v>
      </c>
      <c r="C35" s="1">
        <v>12.4</v>
      </c>
    </row>
    <row r="36" spans="1:3" x14ac:dyDescent="0.25">
      <c r="A36" s="2">
        <v>1979</v>
      </c>
      <c r="B36" s="1">
        <v>9.8000000000000007</v>
      </c>
      <c r="C36" s="1">
        <v>13.1</v>
      </c>
    </row>
    <row r="37" spans="1:3" x14ac:dyDescent="0.25">
      <c r="A37" s="2">
        <v>1980</v>
      </c>
      <c r="B37" s="1">
        <v>10</v>
      </c>
      <c r="C37" s="1">
        <v>13.4</v>
      </c>
    </row>
    <row r="38" spans="1:3" x14ac:dyDescent="0.25">
      <c r="A38" s="2">
        <v>1981</v>
      </c>
      <c r="B38" s="1">
        <v>9.9</v>
      </c>
      <c r="C38" s="1">
        <v>13.3</v>
      </c>
    </row>
    <row r="39" spans="1:3" x14ac:dyDescent="0.25">
      <c r="A39" s="2">
        <v>1982</v>
      </c>
      <c r="B39" s="1">
        <v>9.8000000000000007</v>
      </c>
      <c r="C39" s="1">
        <v>13</v>
      </c>
    </row>
    <row r="40" spans="1:3" x14ac:dyDescent="0.25">
      <c r="A40" s="2">
        <v>1983</v>
      </c>
      <c r="B40" s="1">
        <v>10.1</v>
      </c>
      <c r="C40" s="1">
        <v>13.5</v>
      </c>
    </row>
    <row r="41" spans="1:3" x14ac:dyDescent="0.25">
      <c r="A41" s="2">
        <v>1984</v>
      </c>
      <c r="B41" s="1">
        <v>10.6</v>
      </c>
      <c r="C41" s="1">
        <v>14.3</v>
      </c>
    </row>
    <row r="42" spans="1:3" x14ac:dyDescent="0.25">
      <c r="A42" s="2">
        <v>1985</v>
      </c>
      <c r="B42" s="1">
        <v>10.3</v>
      </c>
      <c r="C42" s="1">
        <v>14</v>
      </c>
    </row>
    <row r="43" spans="1:3" x14ac:dyDescent="0.25">
      <c r="A43" s="2">
        <v>1986</v>
      </c>
      <c r="B43" s="1">
        <v>9.6</v>
      </c>
      <c r="C43" s="1">
        <v>12.5</v>
      </c>
    </row>
    <row r="44" spans="1:3" x14ac:dyDescent="0.25">
      <c r="A44" s="2">
        <v>1987</v>
      </c>
      <c r="B44" s="1">
        <v>9.6999999999999993</v>
      </c>
      <c r="C44" s="1">
        <v>12.7</v>
      </c>
    </row>
    <row r="45" spans="1:3" x14ac:dyDescent="0.25">
      <c r="A45" s="2">
        <v>1988</v>
      </c>
      <c r="B45" s="1">
        <v>9.9</v>
      </c>
      <c r="C45" s="1">
        <v>13</v>
      </c>
    </row>
    <row r="46" spans="1:3" x14ac:dyDescent="0.25">
      <c r="A46" s="2">
        <v>1989</v>
      </c>
      <c r="B46" s="1">
        <v>10</v>
      </c>
      <c r="C46" s="1">
        <v>12.7</v>
      </c>
    </row>
    <row r="47" spans="1:3" x14ac:dyDescent="0.25">
      <c r="A47" s="2">
        <v>1990</v>
      </c>
      <c r="B47" s="1">
        <v>10.4</v>
      </c>
      <c r="C47" s="1">
        <v>13.3</v>
      </c>
    </row>
    <row r="48" spans="1:3" x14ac:dyDescent="0.25">
      <c r="A48" s="2">
        <v>1991</v>
      </c>
      <c r="B48" s="1">
        <v>10.6</v>
      </c>
      <c r="C48" s="1">
        <v>13.4</v>
      </c>
    </row>
    <row r="49" spans="1:3" x14ac:dyDescent="0.25">
      <c r="A49" s="2">
        <v>1992</v>
      </c>
      <c r="B49" s="1">
        <v>11.5</v>
      </c>
      <c r="C49" s="1">
        <v>14.1</v>
      </c>
    </row>
    <row r="50" spans="1:3" x14ac:dyDescent="0.25">
      <c r="A50" s="2">
        <v>1993</v>
      </c>
      <c r="B50" s="1">
        <v>13.8</v>
      </c>
      <c r="C50" s="1">
        <v>16.399999999999999</v>
      </c>
    </row>
    <row r="51" spans="1:3" x14ac:dyDescent="0.25">
      <c r="A51" s="2">
        <v>1994</v>
      </c>
      <c r="B51" s="1">
        <v>15</v>
      </c>
      <c r="C51" s="1">
        <v>17.5</v>
      </c>
    </row>
    <row r="52" spans="1:3" x14ac:dyDescent="0.25">
      <c r="A52" s="2">
        <v>1995</v>
      </c>
      <c r="B52" s="1">
        <v>14.4</v>
      </c>
      <c r="C52" s="1">
        <v>16.5</v>
      </c>
    </row>
    <row r="53" spans="1:3" x14ac:dyDescent="0.25">
      <c r="A53" s="2">
        <v>1996</v>
      </c>
      <c r="B53" s="1">
        <v>13.4</v>
      </c>
      <c r="C53" s="1">
        <v>16.2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note</vt:lpstr>
      <vt:lpstr>Data</vt:lpstr>
      <vt:lpstr>рождаемость</vt:lpstr>
      <vt:lpstr>смертность</vt:lpstr>
      <vt:lpstr>UR_1913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2026-05-30T22:47:58Z</dcterms:created>
  <dcterms:modified xsi:type="dcterms:W3CDTF">2026-05-31T02:55:58Z</dcterms:modified>
</cp:coreProperties>
</file>