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WINAPPS\SLOVO\UKR\github\RTSS\workbooks\"/>
    </mc:Choice>
  </mc:AlternateContent>
  <xr:revisionPtr revIDLastSave="0" documentId="13_ncr:1_{0245FE02-8229-4C8C-82CD-9C878370536F}" xr6:coauthVersionLast="45" xr6:coauthVersionMax="45" xr10:uidLastSave="{00000000-0000-0000-0000-000000000000}"/>
  <bookViews>
    <workbookView xWindow="-60" yWindow="-60" windowWidth="38520" windowHeight="23700" activeTab="2" xr2:uid="{00000000-000D-0000-FFFF-FFFF00000000}"/>
  </bookViews>
  <sheets>
    <sheet name="Notes" sheetId="2" r:id="rId1"/>
    <sheet name="Данные переписи 1897" sheetId="1" r:id="rId2"/>
    <sheet name="СССР-1991" sheetId="3" r:id="rId3"/>
    <sheet name="РСФСР-1991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" i="1" l="1"/>
  <c r="AE5" i="1"/>
  <c r="AC5" i="1"/>
  <c r="AB5" i="1"/>
  <c r="AF53" i="4"/>
  <c r="AE53" i="4"/>
  <c r="AC53" i="4"/>
  <c r="AB53" i="4"/>
  <c r="Z53" i="4"/>
  <c r="AC51" i="4"/>
  <c r="AF51" i="4" s="1"/>
  <c r="AB51" i="4"/>
  <c r="AE51" i="4" s="1"/>
  <c r="AC50" i="4"/>
  <c r="AF50" i="4" s="1"/>
  <c r="AB50" i="4"/>
  <c r="AE50" i="4" s="1"/>
  <c r="AC49" i="4"/>
  <c r="AF49" i="4" s="1"/>
  <c r="AB49" i="4"/>
  <c r="AE49" i="4" s="1"/>
  <c r="AC48" i="4"/>
  <c r="AF48" i="4" s="1"/>
  <c r="AB48" i="4"/>
  <c r="AE48" i="4" s="1"/>
  <c r="AC47" i="4"/>
  <c r="AF47" i="4" s="1"/>
  <c r="AB47" i="4"/>
  <c r="AE47" i="4" s="1"/>
  <c r="AC46" i="4"/>
  <c r="AF46" i="4" s="1"/>
  <c r="AB46" i="4"/>
  <c r="AE46" i="4" s="1"/>
  <c r="AC45" i="4"/>
  <c r="AF45" i="4" s="1"/>
  <c r="AB45" i="4"/>
  <c r="AE45" i="4" s="1"/>
  <c r="AC44" i="4"/>
  <c r="AF44" i="4" s="1"/>
  <c r="AB44" i="4"/>
  <c r="AE44" i="4" s="1"/>
  <c r="AC43" i="4"/>
  <c r="AF43" i="4" s="1"/>
  <c r="AB43" i="4"/>
  <c r="AE43" i="4" s="1"/>
  <c r="AC41" i="4"/>
  <c r="AF41" i="4" s="1"/>
  <c r="AB41" i="4"/>
  <c r="AE41" i="4" s="1"/>
  <c r="AC40" i="4"/>
  <c r="AF40" i="4" s="1"/>
  <c r="AB40" i="4"/>
  <c r="AE40" i="4" s="1"/>
  <c r="AC39" i="4"/>
  <c r="AF39" i="4" s="1"/>
  <c r="AB39" i="4"/>
  <c r="AE39" i="4" s="1"/>
  <c r="AC38" i="4"/>
  <c r="AF38" i="4" s="1"/>
  <c r="AB38" i="4"/>
  <c r="AE38" i="4" s="1"/>
  <c r="AC37" i="4"/>
  <c r="AF37" i="4" s="1"/>
  <c r="AB37" i="4"/>
  <c r="AE37" i="4" s="1"/>
  <c r="AC35" i="4"/>
  <c r="AF35" i="4" s="1"/>
  <c r="AB35" i="4"/>
  <c r="AE35" i="4" s="1"/>
  <c r="AC34" i="4"/>
  <c r="AF34" i="4" s="1"/>
  <c r="AB34" i="4"/>
  <c r="AE34" i="4" s="1"/>
  <c r="AC33" i="4"/>
  <c r="AF33" i="4" s="1"/>
  <c r="AB33" i="4"/>
  <c r="AE33" i="4" s="1"/>
  <c r="AC32" i="4"/>
  <c r="AF32" i="4" s="1"/>
  <c r="AB32" i="4"/>
  <c r="AE32" i="4" s="1"/>
  <c r="AC31" i="4"/>
  <c r="AF31" i="4" s="1"/>
  <c r="AB31" i="4"/>
  <c r="AE31" i="4" s="1"/>
  <c r="AC30" i="4"/>
  <c r="AF30" i="4" s="1"/>
  <c r="AB30" i="4"/>
  <c r="AE30" i="4" s="1"/>
  <c r="AC29" i="4"/>
  <c r="AF29" i="4" s="1"/>
  <c r="AB29" i="4"/>
  <c r="AE29" i="4" s="1"/>
  <c r="AC28" i="4"/>
  <c r="AF28" i="4" s="1"/>
  <c r="AB28" i="4"/>
  <c r="AE28" i="4" s="1"/>
  <c r="AC27" i="4"/>
  <c r="AF27" i="4" s="1"/>
  <c r="AB27" i="4"/>
  <c r="AE27" i="4" s="1"/>
  <c r="AC26" i="4"/>
  <c r="AF26" i="4" s="1"/>
  <c r="AB26" i="4"/>
  <c r="AE26" i="4" s="1"/>
  <c r="AC25" i="4"/>
  <c r="AF25" i="4" s="1"/>
  <c r="AB25" i="4"/>
  <c r="AE25" i="4" s="1"/>
  <c r="AC24" i="4"/>
  <c r="AF24" i="4" s="1"/>
  <c r="AB24" i="4"/>
  <c r="AE24" i="4" s="1"/>
  <c r="AC23" i="4"/>
  <c r="AF23" i="4" s="1"/>
  <c r="AB23" i="4"/>
  <c r="AE23" i="4" s="1"/>
  <c r="AC22" i="4"/>
  <c r="AF22" i="4" s="1"/>
  <c r="AB22" i="4"/>
  <c r="AE22" i="4" s="1"/>
  <c r="AC21" i="4"/>
  <c r="AF21" i="4" s="1"/>
  <c r="AB21" i="4"/>
  <c r="AE21" i="4" s="1"/>
  <c r="AC20" i="4"/>
  <c r="AF20" i="4" s="1"/>
  <c r="AB20" i="4"/>
  <c r="AE20" i="4" s="1"/>
  <c r="AC19" i="4"/>
  <c r="AF19" i="4" s="1"/>
  <c r="AB19" i="4"/>
  <c r="AE19" i="4" s="1"/>
  <c r="AC18" i="4"/>
  <c r="AF18" i="4" s="1"/>
  <c r="AB18" i="4"/>
  <c r="AE18" i="4" s="1"/>
  <c r="AC17" i="4"/>
  <c r="AF17" i="4" s="1"/>
  <c r="AB17" i="4"/>
  <c r="AE17" i="4" s="1"/>
  <c r="AC16" i="4"/>
  <c r="AF16" i="4" s="1"/>
  <c r="AB16" i="4"/>
  <c r="AE16" i="4" s="1"/>
  <c r="AC15" i="4"/>
  <c r="AF15" i="4" s="1"/>
  <c r="AB15" i="4"/>
  <c r="AE15" i="4" s="1"/>
  <c r="AC14" i="4"/>
  <c r="AF14" i="4" s="1"/>
  <c r="AB14" i="4"/>
  <c r="AE14" i="4" s="1"/>
  <c r="AC13" i="4"/>
  <c r="AF13" i="4" s="1"/>
  <c r="AB13" i="4"/>
  <c r="AE13" i="4" s="1"/>
  <c r="AC12" i="4"/>
  <c r="AF12" i="4" s="1"/>
  <c r="AB12" i="4"/>
  <c r="AE12" i="4" s="1"/>
  <c r="AC11" i="4"/>
  <c r="AF11" i="4" s="1"/>
  <c r="AB11" i="4"/>
  <c r="AE11" i="4" s="1"/>
  <c r="AC10" i="4"/>
  <c r="AF10" i="4" s="1"/>
  <c r="AB10" i="4"/>
  <c r="AE10" i="4" s="1"/>
  <c r="AC9" i="4"/>
  <c r="AF9" i="4" s="1"/>
  <c r="AB9" i="4"/>
  <c r="AE9" i="4" s="1"/>
  <c r="AC8" i="4"/>
  <c r="AF8" i="4" s="1"/>
  <c r="AB8" i="4"/>
  <c r="AE8" i="4" s="1"/>
  <c r="AC7" i="4"/>
  <c r="AF7" i="4" s="1"/>
  <c r="AB7" i="4"/>
  <c r="AE7" i="4" s="1"/>
  <c r="AC6" i="4"/>
  <c r="AF6" i="4" s="1"/>
  <c r="AB6" i="4"/>
  <c r="AE6" i="4" s="1"/>
  <c r="AC5" i="4"/>
  <c r="AF5" i="4" s="1"/>
  <c r="AB5" i="4"/>
  <c r="AE5" i="4" s="1"/>
  <c r="AF87" i="3"/>
  <c r="AE87" i="3"/>
  <c r="AC87" i="3"/>
  <c r="AB87" i="3"/>
  <c r="Z87" i="3"/>
  <c r="AC85" i="3"/>
  <c r="AF85" i="3" s="1"/>
  <c r="AB85" i="3"/>
  <c r="AE85" i="3" s="1"/>
  <c r="AC84" i="3"/>
  <c r="AF84" i="3" s="1"/>
  <c r="AB84" i="3"/>
  <c r="AE84" i="3" s="1"/>
  <c r="AC83" i="3"/>
  <c r="AF83" i="3" s="1"/>
  <c r="AB83" i="3"/>
  <c r="AE83" i="3" s="1"/>
  <c r="AC82" i="3"/>
  <c r="AF82" i="3" s="1"/>
  <c r="AB82" i="3"/>
  <c r="AE82" i="3" s="1"/>
  <c r="AC81" i="3"/>
  <c r="AF81" i="3" s="1"/>
  <c r="AB81" i="3"/>
  <c r="AE81" i="3" s="1"/>
  <c r="AC80" i="3"/>
  <c r="AF80" i="3" s="1"/>
  <c r="AB80" i="3"/>
  <c r="AE80" i="3" s="1"/>
  <c r="AC79" i="3"/>
  <c r="AF79" i="3" s="1"/>
  <c r="AB79" i="3"/>
  <c r="AE79" i="3" s="1"/>
  <c r="AC78" i="3"/>
  <c r="AF78" i="3" s="1"/>
  <c r="AB78" i="3"/>
  <c r="AE78" i="3" s="1"/>
  <c r="AC77" i="3"/>
  <c r="AF77" i="3" s="1"/>
  <c r="AB77" i="3"/>
  <c r="AE77" i="3" s="1"/>
  <c r="AC75" i="3"/>
  <c r="AF75" i="3" s="1"/>
  <c r="AB75" i="3"/>
  <c r="AE75" i="3" s="1"/>
  <c r="AC74" i="3"/>
  <c r="AF74" i="3" s="1"/>
  <c r="AB74" i="3"/>
  <c r="AE74" i="3" s="1"/>
  <c r="AC73" i="3"/>
  <c r="AF73" i="3" s="1"/>
  <c r="AB73" i="3"/>
  <c r="AE73" i="3" s="1"/>
  <c r="AC72" i="3"/>
  <c r="AF72" i="3" s="1"/>
  <c r="AB72" i="3"/>
  <c r="AE72" i="3" s="1"/>
  <c r="AC71" i="3"/>
  <c r="AF71" i="3" s="1"/>
  <c r="AB71" i="3"/>
  <c r="AE71" i="3" s="1"/>
  <c r="AC70" i="3"/>
  <c r="AF70" i="3" s="1"/>
  <c r="AB70" i="3"/>
  <c r="AE70" i="3" s="1"/>
  <c r="AC69" i="3"/>
  <c r="AF69" i="3" s="1"/>
  <c r="AB69" i="3"/>
  <c r="AE69" i="3" s="1"/>
  <c r="AC68" i="3"/>
  <c r="AF68" i="3" s="1"/>
  <c r="AB68" i="3"/>
  <c r="AE68" i="3" s="1"/>
  <c r="AC67" i="3"/>
  <c r="AF67" i="3" s="1"/>
  <c r="AB67" i="3"/>
  <c r="AE67" i="3" s="1"/>
  <c r="AC65" i="3"/>
  <c r="AF65" i="3" s="1"/>
  <c r="AB65" i="3"/>
  <c r="AE65" i="3" s="1"/>
  <c r="AC64" i="3"/>
  <c r="AF64" i="3" s="1"/>
  <c r="AB64" i="3"/>
  <c r="AE64" i="3" s="1"/>
  <c r="AC63" i="3"/>
  <c r="AF63" i="3" s="1"/>
  <c r="AB63" i="3"/>
  <c r="AE63" i="3" s="1"/>
  <c r="AC62" i="3"/>
  <c r="AF62" i="3" s="1"/>
  <c r="AB62" i="3"/>
  <c r="AE62" i="3" s="1"/>
  <c r="AC61" i="3"/>
  <c r="AF61" i="3" s="1"/>
  <c r="AB61" i="3"/>
  <c r="AE61" i="3" s="1"/>
  <c r="AC60" i="3"/>
  <c r="AF60" i="3" s="1"/>
  <c r="AB60" i="3"/>
  <c r="AE60" i="3" s="1"/>
  <c r="AC59" i="3"/>
  <c r="AF59" i="3" s="1"/>
  <c r="AB59" i="3"/>
  <c r="AE59" i="3" s="1"/>
  <c r="AC58" i="3"/>
  <c r="AF58" i="3" s="1"/>
  <c r="AB58" i="3"/>
  <c r="AE58" i="3" s="1"/>
  <c r="AC57" i="3"/>
  <c r="AF57" i="3" s="1"/>
  <c r="AB57" i="3"/>
  <c r="AE57" i="3" s="1"/>
  <c r="AC56" i="3"/>
  <c r="AF56" i="3" s="1"/>
  <c r="AB56" i="3"/>
  <c r="AE56" i="3" s="1"/>
  <c r="AC54" i="3"/>
  <c r="AF54" i="3" s="1"/>
  <c r="AB54" i="3"/>
  <c r="AE54" i="3" s="1"/>
  <c r="AC53" i="3"/>
  <c r="AF53" i="3" s="1"/>
  <c r="AB53" i="3"/>
  <c r="AE53" i="3" s="1"/>
  <c r="AC52" i="3"/>
  <c r="AF52" i="3" s="1"/>
  <c r="AB52" i="3"/>
  <c r="AE52" i="3" s="1"/>
  <c r="AC51" i="3"/>
  <c r="AF51" i="3" s="1"/>
  <c r="AB51" i="3"/>
  <c r="AE51" i="3" s="1"/>
  <c r="AC50" i="3"/>
  <c r="AF50" i="3" s="1"/>
  <c r="AB50" i="3"/>
  <c r="AE50" i="3" s="1"/>
  <c r="AC49" i="3"/>
  <c r="AF49" i="3" s="1"/>
  <c r="AB49" i="3"/>
  <c r="AE49" i="3" s="1"/>
  <c r="AC48" i="3"/>
  <c r="AF48" i="3" s="1"/>
  <c r="AB48" i="3"/>
  <c r="AE48" i="3" s="1"/>
  <c r="AC47" i="3"/>
  <c r="AF47" i="3" s="1"/>
  <c r="AB47" i="3"/>
  <c r="AE47" i="3" s="1"/>
  <c r="AC46" i="3"/>
  <c r="AF46" i="3" s="1"/>
  <c r="AB46" i="3"/>
  <c r="AE46" i="3" s="1"/>
  <c r="AC45" i="3"/>
  <c r="AF45" i="3" s="1"/>
  <c r="AB45" i="3"/>
  <c r="AE45" i="3" s="1"/>
  <c r="AC44" i="3"/>
  <c r="AF44" i="3" s="1"/>
  <c r="AB44" i="3"/>
  <c r="AE44" i="3" s="1"/>
  <c r="AC43" i="3"/>
  <c r="AF43" i="3" s="1"/>
  <c r="AB43" i="3"/>
  <c r="AE43" i="3" s="1"/>
  <c r="AC42" i="3"/>
  <c r="AF42" i="3" s="1"/>
  <c r="AB42" i="3"/>
  <c r="AE42" i="3" s="1"/>
  <c r="AC41" i="3"/>
  <c r="AF41" i="3" s="1"/>
  <c r="AB41" i="3"/>
  <c r="AE41" i="3" s="1"/>
  <c r="AC40" i="3"/>
  <c r="AF40" i="3" s="1"/>
  <c r="AB40" i="3"/>
  <c r="AE40" i="3" s="1"/>
  <c r="AC39" i="3"/>
  <c r="AF39" i="3" s="1"/>
  <c r="AB39" i="3"/>
  <c r="AE39" i="3" s="1"/>
  <c r="AC38" i="3"/>
  <c r="AF38" i="3" s="1"/>
  <c r="AB38" i="3"/>
  <c r="AE38" i="3" s="1"/>
  <c r="AC37" i="3"/>
  <c r="AF37" i="3" s="1"/>
  <c r="AB37" i="3"/>
  <c r="AE37" i="3" s="1"/>
  <c r="AC36" i="3"/>
  <c r="AF36" i="3" s="1"/>
  <c r="AB36" i="3"/>
  <c r="AE36" i="3" s="1"/>
  <c r="AC35" i="3"/>
  <c r="AF35" i="3" s="1"/>
  <c r="AB35" i="3"/>
  <c r="AE35" i="3" s="1"/>
  <c r="AC34" i="3"/>
  <c r="AF34" i="3" s="1"/>
  <c r="AB34" i="3"/>
  <c r="AE34" i="3" s="1"/>
  <c r="AC33" i="3"/>
  <c r="AF33" i="3" s="1"/>
  <c r="AB33" i="3"/>
  <c r="AE33" i="3" s="1"/>
  <c r="AC32" i="3"/>
  <c r="AF32" i="3" s="1"/>
  <c r="AB32" i="3"/>
  <c r="AE32" i="3" s="1"/>
  <c r="AC31" i="3"/>
  <c r="AF31" i="3" s="1"/>
  <c r="AB31" i="3"/>
  <c r="AE31" i="3" s="1"/>
  <c r="AC30" i="3"/>
  <c r="AF30" i="3" s="1"/>
  <c r="AB30" i="3"/>
  <c r="AE30" i="3" s="1"/>
  <c r="AC29" i="3"/>
  <c r="AF29" i="3" s="1"/>
  <c r="AB29" i="3"/>
  <c r="AE29" i="3" s="1"/>
  <c r="AC28" i="3"/>
  <c r="AF28" i="3" s="1"/>
  <c r="AB28" i="3"/>
  <c r="AE28" i="3" s="1"/>
  <c r="AC27" i="3"/>
  <c r="AF27" i="3" s="1"/>
  <c r="AB27" i="3"/>
  <c r="AE27" i="3" s="1"/>
  <c r="AC26" i="3"/>
  <c r="AF26" i="3" s="1"/>
  <c r="AB26" i="3"/>
  <c r="AE26" i="3" s="1"/>
  <c r="AC25" i="3"/>
  <c r="AF25" i="3" s="1"/>
  <c r="AB25" i="3"/>
  <c r="AE25" i="3" s="1"/>
  <c r="AC24" i="3"/>
  <c r="AF24" i="3" s="1"/>
  <c r="AB24" i="3"/>
  <c r="AE24" i="3" s="1"/>
  <c r="AC23" i="3"/>
  <c r="AF23" i="3" s="1"/>
  <c r="AB23" i="3"/>
  <c r="AE23" i="3" s="1"/>
  <c r="AC22" i="3"/>
  <c r="AF22" i="3" s="1"/>
  <c r="AB22" i="3"/>
  <c r="AE22" i="3" s="1"/>
  <c r="AC21" i="3"/>
  <c r="AF21" i="3" s="1"/>
  <c r="AB21" i="3"/>
  <c r="AE21" i="3" s="1"/>
  <c r="AC20" i="3"/>
  <c r="AF20" i="3" s="1"/>
  <c r="AB20" i="3"/>
  <c r="AE20" i="3" s="1"/>
  <c r="AC19" i="3"/>
  <c r="AF19" i="3" s="1"/>
  <c r="AB19" i="3"/>
  <c r="AE19" i="3" s="1"/>
  <c r="AC18" i="3"/>
  <c r="AF18" i="3" s="1"/>
  <c r="AB18" i="3"/>
  <c r="AE18" i="3" s="1"/>
  <c r="AC17" i="3"/>
  <c r="AF17" i="3" s="1"/>
  <c r="AB17" i="3"/>
  <c r="AE17" i="3" s="1"/>
  <c r="AC16" i="3"/>
  <c r="AF16" i="3" s="1"/>
  <c r="AB16" i="3"/>
  <c r="AE16" i="3" s="1"/>
  <c r="AC15" i="3"/>
  <c r="AF15" i="3" s="1"/>
  <c r="AB15" i="3"/>
  <c r="AE15" i="3" s="1"/>
  <c r="AC14" i="3"/>
  <c r="AF14" i="3" s="1"/>
  <c r="AB14" i="3"/>
  <c r="AE14" i="3" s="1"/>
  <c r="AC13" i="3"/>
  <c r="AF13" i="3" s="1"/>
  <c r="AB13" i="3"/>
  <c r="AE13" i="3" s="1"/>
  <c r="AC12" i="3"/>
  <c r="AF12" i="3" s="1"/>
  <c r="AB12" i="3"/>
  <c r="AE12" i="3" s="1"/>
  <c r="AC11" i="3"/>
  <c r="AF11" i="3" s="1"/>
  <c r="AB11" i="3"/>
  <c r="AE11" i="3" s="1"/>
  <c r="AC10" i="3"/>
  <c r="AF10" i="3" s="1"/>
  <c r="AB10" i="3"/>
  <c r="AE10" i="3" s="1"/>
  <c r="AC9" i="3"/>
  <c r="AF9" i="3" s="1"/>
  <c r="AB9" i="3"/>
  <c r="AE9" i="3" s="1"/>
  <c r="AC8" i="3"/>
  <c r="AF8" i="3" s="1"/>
  <c r="AB8" i="3"/>
  <c r="AE8" i="3" s="1"/>
  <c r="AC7" i="3"/>
  <c r="AF7" i="3" s="1"/>
  <c r="AB7" i="3"/>
  <c r="AE7" i="3" s="1"/>
  <c r="AC6" i="3"/>
  <c r="AF6" i="3" s="1"/>
  <c r="AB6" i="3"/>
  <c r="AE6" i="3" s="1"/>
  <c r="AC5" i="3"/>
  <c r="AF5" i="3" s="1"/>
  <c r="AB5" i="3"/>
  <c r="AE5" i="3" s="1"/>
  <c r="Z61" i="1"/>
  <c r="AC114" i="1"/>
  <c r="AF114" i="1" s="1"/>
  <c r="AB114" i="1"/>
  <c r="AE114" i="1" s="1"/>
  <c r="AC113" i="1"/>
  <c r="AF113" i="1" s="1"/>
  <c r="AB113" i="1"/>
  <c r="AE113" i="1" s="1"/>
  <c r="AC112" i="1"/>
  <c r="AF112" i="1" s="1"/>
  <c r="AB112" i="1"/>
  <c r="AE112" i="1" s="1"/>
  <c r="AC111" i="1"/>
  <c r="AF111" i="1" s="1"/>
  <c r="AB111" i="1"/>
  <c r="AE111" i="1" s="1"/>
  <c r="AC110" i="1"/>
  <c r="AF110" i="1" s="1"/>
  <c r="AB110" i="1"/>
  <c r="AE110" i="1" s="1"/>
  <c r="AC109" i="1"/>
  <c r="AF109" i="1" s="1"/>
  <c r="AB109" i="1"/>
  <c r="AE109" i="1" s="1"/>
  <c r="AC108" i="1"/>
  <c r="AF108" i="1" s="1"/>
  <c r="AB108" i="1"/>
  <c r="AE108" i="1" s="1"/>
  <c r="AC107" i="1"/>
  <c r="AF107" i="1" s="1"/>
  <c r="AB107" i="1"/>
  <c r="AE107" i="1" s="1"/>
  <c r="AC106" i="1"/>
  <c r="AF106" i="1" s="1"/>
  <c r="AB106" i="1"/>
  <c r="AE106" i="1" s="1"/>
  <c r="AC105" i="1"/>
  <c r="AF105" i="1" s="1"/>
  <c r="AB105" i="1"/>
  <c r="AE105" i="1" s="1"/>
  <c r="AC104" i="1"/>
  <c r="AF104" i="1" s="1"/>
  <c r="AB104" i="1"/>
  <c r="AE104" i="1" s="1"/>
  <c r="AC101" i="1"/>
  <c r="AF101" i="1" s="1"/>
  <c r="AB101" i="1"/>
  <c r="AE101" i="1" s="1"/>
  <c r="AC100" i="1"/>
  <c r="AF100" i="1" s="1"/>
  <c r="AB100" i="1"/>
  <c r="AE100" i="1" s="1"/>
  <c r="AC99" i="1"/>
  <c r="AF99" i="1" s="1"/>
  <c r="AB99" i="1"/>
  <c r="AE99" i="1" s="1"/>
  <c r="AC98" i="1"/>
  <c r="AF98" i="1" s="1"/>
  <c r="AB98" i="1"/>
  <c r="AE98" i="1" s="1"/>
  <c r="AC97" i="1"/>
  <c r="AF97" i="1" s="1"/>
  <c r="AB97" i="1"/>
  <c r="AE97" i="1" s="1"/>
  <c r="AC96" i="1"/>
  <c r="AF96" i="1" s="1"/>
  <c r="AB96" i="1"/>
  <c r="AE96" i="1" s="1"/>
  <c r="AC95" i="1"/>
  <c r="AF95" i="1" s="1"/>
  <c r="AB95" i="1"/>
  <c r="AE95" i="1" s="1"/>
  <c r="AC94" i="1"/>
  <c r="AF94" i="1" s="1"/>
  <c r="AB94" i="1"/>
  <c r="AE94" i="1" s="1"/>
  <c r="AC93" i="1"/>
  <c r="AF93" i="1" s="1"/>
  <c r="AB93" i="1"/>
  <c r="AE93" i="1" s="1"/>
  <c r="AC92" i="1"/>
  <c r="AF92" i="1" s="1"/>
  <c r="AB92" i="1"/>
  <c r="AE92" i="1" s="1"/>
  <c r="AC91" i="1"/>
  <c r="AF91" i="1" s="1"/>
  <c r="AB91" i="1"/>
  <c r="AE91" i="1" s="1"/>
  <c r="AC88" i="1"/>
  <c r="AF88" i="1" s="1"/>
  <c r="AB88" i="1"/>
  <c r="AE88" i="1" s="1"/>
  <c r="AC87" i="1"/>
  <c r="AF87" i="1" s="1"/>
  <c r="AB87" i="1"/>
  <c r="AE87" i="1" s="1"/>
  <c r="AC86" i="1"/>
  <c r="AF86" i="1" s="1"/>
  <c r="AB86" i="1"/>
  <c r="AE86" i="1" s="1"/>
  <c r="AC85" i="1"/>
  <c r="AF85" i="1" s="1"/>
  <c r="AB85" i="1"/>
  <c r="AE85" i="1" s="1"/>
  <c r="AC84" i="1"/>
  <c r="AF84" i="1" s="1"/>
  <c r="AB84" i="1"/>
  <c r="AE84" i="1" s="1"/>
  <c r="AC83" i="1"/>
  <c r="AF83" i="1" s="1"/>
  <c r="AB83" i="1"/>
  <c r="AE83" i="1" s="1"/>
  <c r="AC82" i="1"/>
  <c r="AF82" i="1" s="1"/>
  <c r="AB82" i="1"/>
  <c r="AE82" i="1" s="1"/>
  <c r="AC81" i="1"/>
  <c r="AF81" i="1" s="1"/>
  <c r="AB81" i="1"/>
  <c r="AE81" i="1" s="1"/>
  <c r="AC80" i="1"/>
  <c r="AF80" i="1" s="1"/>
  <c r="AB80" i="1"/>
  <c r="AE80" i="1" s="1"/>
  <c r="AC79" i="1"/>
  <c r="AF79" i="1" s="1"/>
  <c r="AB79" i="1"/>
  <c r="AE79" i="1" s="1"/>
  <c r="AC78" i="1"/>
  <c r="AF78" i="1" s="1"/>
  <c r="AB78" i="1"/>
  <c r="AE78" i="1" s="1"/>
  <c r="AC77" i="1"/>
  <c r="AF77" i="1" s="1"/>
  <c r="AB77" i="1"/>
  <c r="AE77" i="1" s="1"/>
  <c r="AC76" i="1"/>
  <c r="AF76" i="1" s="1"/>
  <c r="AB76" i="1"/>
  <c r="AE76" i="1" s="1"/>
  <c r="AC73" i="1"/>
  <c r="AF73" i="1" s="1"/>
  <c r="AB73" i="1"/>
  <c r="AE73" i="1" s="1"/>
  <c r="AC72" i="1"/>
  <c r="AF72" i="1" s="1"/>
  <c r="AB72" i="1"/>
  <c r="AE72" i="1" s="1"/>
  <c r="AC71" i="1"/>
  <c r="AF71" i="1" s="1"/>
  <c r="AB71" i="1"/>
  <c r="AE71" i="1" s="1"/>
  <c r="AC70" i="1"/>
  <c r="AF70" i="1" s="1"/>
  <c r="AB70" i="1"/>
  <c r="AE70" i="1" s="1"/>
  <c r="AC69" i="1"/>
  <c r="AF69" i="1" s="1"/>
  <c r="AB69" i="1"/>
  <c r="AE69" i="1" s="1"/>
  <c r="AC68" i="1"/>
  <c r="AF68" i="1" s="1"/>
  <c r="AB68" i="1"/>
  <c r="AE68" i="1" s="1"/>
  <c r="AC67" i="1"/>
  <c r="AF67" i="1" s="1"/>
  <c r="AB67" i="1"/>
  <c r="AE67" i="1" s="1"/>
  <c r="AC66" i="1"/>
  <c r="AF66" i="1" s="1"/>
  <c r="AB66" i="1"/>
  <c r="AE66" i="1" s="1"/>
  <c r="AC65" i="1"/>
  <c r="AF65" i="1" s="1"/>
  <c r="AB65" i="1"/>
  <c r="AE65" i="1" s="1"/>
  <c r="AC64" i="1"/>
  <c r="AF64" i="1" s="1"/>
  <c r="AB64" i="1"/>
  <c r="AE64" i="1" s="1"/>
  <c r="AC63" i="1"/>
  <c r="AF63" i="1" s="1"/>
  <c r="AB63" i="1"/>
  <c r="AE63" i="1" s="1"/>
  <c r="AC62" i="1"/>
  <c r="AF62" i="1" s="1"/>
  <c r="AB62" i="1"/>
  <c r="AE62" i="1" s="1"/>
  <c r="AC59" i="1"/>
  <c r="AF59" i="1" s="1"/>
  <c r="AB59" i="1"/>
  <c r="AE59" i="1" s="1"/>
  <c r="AC58" i="1"/>
  <c r="AF58" i="1" s="1"/>
  <c r="AB58" i="1"/>
  <c r="AE58" i="1" s="1"/>
  <c r="AC57" i="1"/>
  <c r="AF57" i="1" s="1"/>
  <c r="AB57" i="1"/>
  <c r="AE57" i="1" s="1"/>
  <c r="AC56" i="1"/>
  <c r="AF56" i="1" s="1"/>
  <c r="AB56" i="1"/>
  <c r="AE56" i="1" s="1"/>
  <c r="AC55" i="1"/>
  <c r="AF55" i="1" s="1"/>
  <c r="AB55" i="1"/>
  <c r="AE55" i="1" s="1"/>
  <c r="AC54" i="1"/>
  <c r="AF54" i="1" s="1"/>
  <c r="AB54" i="1"/>
  <c r="AE54" i="1" s="1"/>
  <c r="AC53" i="1"/>
  <c r="AF53" i="1" s="1"/>
  <c r="AB53" i="1"/>
  <c r="AE53" i="1" s="1"/>
  <c r="AC52" i="1"/>
  <c r="AF52" i="1" s="1"/>
  <c r="AB52" i="1"/>
  <c r="AE52" i="1" s="1"/>
  <c r="AC51" i="1"/>
  <c r="AF51" i="1" s="1"/>
  <c r="AB51" i="1"/>
  <c r="AE51" i="1" s="1"/>
  <c r="AC50" i="1"/>
  <c r="AF50" i="1" s="1"/>
  <c r="AB50" i="1"/>
  <c r="AE50" i="1" s="1"/>
  <c r="AC49" i="1"/>
  <c r="AF49" i="1" s="1"/>
  <c r="AB49" i="1"/>
  <c r="AE49" i="1" s="1"/>
  <c r="AC48" i="1"/>
  <c r="AF48" i="1" s="1"/>
  <c r="AB48" i="1"/>
  <c r="AE48" i="1" s="1"/>
  <c r="AC47" i="1"/>
  <c r="AF47" i="1" s="1"/>
  <c r="AB47" i="1"/>
  <c r="AE47" i="1" s="1"/>
  <c r="AC46" i="1"/>
  <c r="AF46" i="1" s="1"/>
  <c r="AB46" i="1"/>
  <c r="AE46" i="1" s="1"/>
  <c r="AC45" i="1"/>
  <c r="AF45" i="1" s="1"/>
  <c r="AB45" i="1"/>
  <c r="AE45" i="1" s="1"/>
  <c r="AC44" i="1"/>
  <c r="AF44" i="1" s="1"/>
  <c r="AB44" i="1"/>
  <c r="AE44" i="1" s="1"/>
  <c r="AC43" i="1"/>
  <c r="AF43" i="1" s="1"/>
  <c r="AB43" i="1"/>
  <c r="AE43" i="1" s="1"/>
  <c r="AC42" i="1"/>
  <c r="AF42" i="1" s="1"/>
  <c r="AB42" i="1"/>
  <c r="AE42" i="1" s="1"/>
  <c r="AC41" i="1"/>
  <c r="AF41" i="1" s="1"/>
  <c r="AB41" i="1"/>
  <c r="AE41" i="1" s="1"/>
  <c r="AC40" i="1"/>
  <c r="AF40" i="1" s="1"/>
  <c r="AB40" i="1"/>
  <c r="AE40" i="1" s="1"/>
  <c r="AC39" i="1"/>
  <c r="AF39" i="1" s="1"/>
  <c r="AB39" i="1"/>
  <c r="AE39" i="1" s="1"/>
  <c r="AC38" i="1"/>
  <c r="AF38" i="1" s="1"/>
  <c r="AB38" i="1"/>
  <c r="AE38" i="1" s="1"/>
  <c r="AC37" i="1"/>
  <c r="AF37" i="1" s="1"/>
  <c r="AB37" i="1"/>
  <c r="AE37" i="1" s="1"/>
  <c r="AC36" i="1"/>
  <c r="AF36" i="1" s="1"/>
  <c r="AB36" i="1"/>
  <c r="AE36" i="1" s="1"/>
  <c r="AC35" i="1"/>
  <c r="AF35" i="1" s="1"/>
  <c r="AB35" i="1"/>
  <c r="AE35" i="1" s="1"/>
  <c r="AC34" i="1"/>
  <c r="AF34" i="1" s="1"/>
  <c r="AB34" i="1"/>
  <c r="AE34" i="1" s="1"/>
  <c r="AC33" i="1"/>
  <c r="AF33" i="1" s="1"/>
  <c r="AB33" i="1"/>
  <c r="AE33" i="1" s="1"/>
  <c r="AC32" i="1"/>
  <c r="AF32" i="1" s="1"/>
  <c r="AB32" i="1"/>
  <c r="AE32" i="1" s="1"/>
  <c r="AC31" i="1"/>
  <c r="AF31" i="1" s="1"/>
  <c r="AB31" i="1"/>
  <c r="AE31" i="1" s="1"/>
  <c r="AC30" i="1"/>
  <c r="AF30" i="1" s="1"/>
  <c r="AB30" i="1"/>
  <c r="AE30" i="1" s="1"/>
  <c r="AC29" i="1"/>
  <c r="AF29" i="1" s="1"/>
  <c r="AB29" i="1"/>
  <c r="AE29" i="1" s="1"/>
  <c r="AC28" i="1"/>
  <c r="AF28" i="1" s="1"/>
  <c r="AB28" i="1"/>
  <c r="AE28" i="1" s="1"/>
  <c r="AC27" i="1"/>
  <c r="AF27" i="1" s="1"/>
  <c r="AB27" i="1"/>
  <c r="AE27" i="1" s="1"/>
  <c r="AC26" i="1"/>
  <c r="AF26" i="1" s="1"/>
  <c r="AB26" i="1"/>
  <c r="AE26" i="1" s="1"/>
  <c r="AC25" i="1"/>
  <c r="AF25" i="1" s="1"/>
  <c r="AB25" i="1"/>
  <c r="AE25" i="1" s="1"/>
  <c r="AC24" i="1"/>
  <c r="AF24" i="1" s="1"/>
  <c r="AB24" i="1"/>
  <c r="AE24" i="1" s="1"/>
  <c r="AC23" i="1"/>
  <c r="AF23" i="1" s="1"/>
  <c r="AB23" i="1"/>
  <c r="AE23" i="1" s="1"/>
  <c r="AC22" i="1"/>
  <c r="AF22" i="1" s="1"/>
  <c r="AB22" i="1"/>
  <c r="AE22" i="1" s="1"/>
  <c r="AC21" i="1"/>
  <c r="AF21" i="1" s="1"/>
  <c r="AB21" i="1"/>
  <c r="AE21" i="1" s="1"/>
  <c r="AC20" i="1"/>
  <c r="AF20" i="1" s="1"/>
  <c r="AB20" i="1"/>
  <c r="AE20" i="1" s="1"/>
  <c r="AC19" i="1"/>
  <c r="AF19" i="1" s="1"/>
  <c r="AB19" i="1"/>
  <c r="AE19" i="1" s="1"/>
  <c r="AC18" i="1"/>
  <c r="AF18" i="1" s="1"/>
  <c r="AB18" i="1"/>
  <c r="AE18" i="1" s="1"/>
  <c r="AC17" i="1"/>
  <c r="AF17" i="1" s="1"/>
  <c r="AB17" i="1"/>
  <c r="AE17" i="1" s="1"/>
  <c r="AC16" i="1"/>
  <c r="AF16" i="1" s="1"/>
  <c r="AB16" i="1"/>
  <c r="AE16" i="1" s="1"/>
  <c r="AC15" i="1"/>
  <c r="AF15" i="1" s="1"/>
  <c r="AB15" i="1"/>
  <c r="AE15" i="1" s="1"/>
  <c r="AC14" i="1"/>
  <c r="AF14" i="1" s="1"/>
  <c r="AB14" i="1"/>
  <c r="AE14" i="1" s="1"/>
  <c r="AC13" i="1"/>
  <c r="AF13" i="1" s="1"/>
  <c r="AB13" i="1"/>
  <c r="AE13" i="1" s="1"/>
  <c r="AC12" i="1"/>
  <c r="AF12" i="1" s="1"/>
  <c r="AB12" i="1"/>
  <c r="AE12" i="1" s="1"/>
  <c r="AC11" i="1"/>
  <c r="AF11" i="1" s="1"/>
  <c r="AB11" i="1"/>
  <c r="AE11" i="1" s="1"/>
  <c r="AC10" i="1"/>
  <c r="AF10" i="1" s="1"/>
  <c r="AB10" i="1"/>
  <c r="AE10" i="1" s="1"/>
  <c r="AC9" i="1"/>
  <c r="AF9" i="1" s="1"/>
  <c r="AB9" i="1"/>
  <c r="AE9" i="1" s="1"/>
  <c r="AB8" i="1"/>
  <c r="AE8" i="1" s="1"/>
  <c r="AC8" i="1"/>
  <c r="AF8" i="1"/>
  <c r="Z104" i="1"/>
  <c r="Z103" i="1" s="1"/>
  <c r="Z91" i="1"/>
  <c r="Z90" i="1" s="1"/>
  <c r="Z76" i="1"/>
  <c r="Z75" i="1" s="1"/>
  <c r="Z62" i="1"/>
  <c r="Z7" i="1"/>
  <c r="Z8" i="1"/>
  <c r="V103" i="1"/>
  <c r="U103" i="1"/>
  <c r="T103" i="1"/>
  <c r="S103" i="1"/>
  <c r="R103" i="1"/>
  <c r="Q103" i="1"/>
  <c r="P103" i="1"/>
  <c r="O103" i="1"/>
  <c r="N103" i="1"/>
  <c r="K103" i="1"/>
  <c r="J103" i="1"/>
  <c r="I103" i="1"/>
  <c r="H103" i="1"/>
  <c r="G103" i="1"/>
  <c r="F103" i="1"/>
  <c r="E103" i="1"/>
  <c r="D103" i="1"/>
  <c r="C103" i="1"/>
  <c r="B103" i="1"/>
  <c r="T90" i="1"/>
  <c r="S90" i="1"/>
  <c r="Q90" i="1"/>
  <c r="K90" i="1"/>
  <c r="J90" i="1"/>
  <c r="I90" i="1"/>
  <c r="H90" i="1"/>
  <c r="G90" i="1"/>
  <c r="F90" i="1"/>
  <c r="D90" i="1"/>
  <c r="C90" i="1"/>
  <c r="B90" i="1"/>
  <c r="T75" i="1"/>
  <c r="S75" i="1"/>
  <c r="R75" i="1"/>
  <c r="Q75" i="1"/>
  <c r="P75" i="1"/>
  <c r="O75" i="1"/>
  <c r="M75" i="1"/>
  <c r="K75" i="1"/>
  <c r="J75" i="1"/>
  <c r="I75" i="1"/>
  <c r="H75" i="1"/>
  <c r="G75" i="1"/>
  <c r="F75" i="1"/>
  <c r="E75" i="1"/>
  <c r="D75" i="1"/>
  <c r="C75" i="1"/>
  <c r="B75" i="1"/>
  <c r="V104" i="1"/>
  <c r="U104" i="1"/>
  <c r="T104" i="1"/>
  <c r="S104" i="1"/>
  <c r="R104" i="1"/>
  <c r="Q104" i="1"/>
  <c r="P104" i="1"/>
  <c r="O104" i="1"/>
  <c r="N104" i="1"/>
  <c r="M104" i="1"/>
  <c r="M103" i="1" s="1"/>
  <c r="K104" i="1"/>
  <c r="J104" i="1"/>
  <c r="I104" i="1"/>
  <c r="H104" i="1"/>
  <c r="G104" i="1"/>
  <c r="F104" i="1"/>
  <c r="E104" i="1"/>
  <c r="D104" i="1"/>
  <c r="C104" i="1"/>
  <c r="B104" i="1"/>
  <c r="T91" i="1"/>
  <c r="S91" i="1"/>
  <c r="R91" i="1"/>
  <c r="R90" i="1" s="1"/>
  <c r="Q91" i="1"/>
  <c r="P91" i="1"/>
  <c r="P90" i="1" s="1"/>
  <c r="O91" i="1"/>
  <c r="O90" i="1" s="1"/>
  <c r="N91" i="1"/>
  <c r="N90" i="1" s="1"/>
  <c r="M91" i="1"/>
  <c r="M90" i="1" s="1"/>
  <c r="K91" i="1"/>
  <c r="J91" i="1"/>
  <c r="I91" i="1"/>
  <c r="H91" i="1"/>
  <c r="G91" i="1"/>
  <c r="F91" i="1"/>
  <c r="E91" i="1"/>
  <c r="E90" i="1" s="1"/>
  <c r="D91" i="1"/>
  <c r="C91" i="1"/>
  <c r="B91" i="1"/>
  <c r="V76" i="1"/>
  <c r="V75" i="1" s="1"/>
  <c r="U76" i="1"/>
  <c r="U75" i="1" s="1"/>
  <c r="T76" i="1"/>
  <c r="S76" i="1"/>
  <c r="R76" i="1"/>
  <c r="Q76" i="1"/>
  <c r="P76" i="1"/>
  <c r="O76" i="1"/>
  <c r="N76" i="1"/>
  <c r="N75" i="1" s="1"/>
  <c r="M76" i="1"/>
  <c r="K76" i="1"/>
  <c r="J76" i="1"/>
  <c r="I76" i="1"/>
  <c r="H76" i="1"/>
  <c r="G76" i="1"/>
  <c r="F76" i="1"/>
  <c r="E76" i="1"/>
  <c r="D76" i="1"/>
  <c r="C76" i="1"/>
  <c r="B76" i="1"/>
  <c r="K61" i="1"/>
  <c r="J61" i="1"/>
  <c r="I61" i="1"/>
  <c r="H61" i="1"/>
  <c r="F61" i="1"/>
  <c r="E61" i="1"/>
  <c r="D61" i="1"/>
  <c r="C61" i="1"/>
  <c r="B61" i="1"/>
  <c r="V62" i="1"/>
  <c r="V61" i="1" s="1"/>
  <c r="U62" i="1"/>
  <c r="U61" i="1" s="1"/>
  <c r="T62" i="1"/>
  <c r="T61" i="1" s="1"/>
  <c r="S62" i="1"/>
  <c r="S61" i="1" s="1"/>
  <c r="R62" i="1"/>
  <c r="R61" i="1" s="1"/>
  <c r="Q62" i="1"/>
  <c r="Q61" i="1" s="1"/>
  <c r="P62" i="1"/>
  <c r="P61" i="1" s="1"/>
  <c r="O62" i="1"/>
  <c r="O61" i="1" s="1"/>
  <c r="N62" i="1"/>
  <c r="N61" i="1" s="1"/>
  <c r="M62" i="1"/>
  <c r="M61" i="1" s="1"/>
  <c r="K62" i="1"/>
  <c r="J62" i="1"/>
  <c r="I62" i="1"/>
  <c r="H62" i="1"/>
  <c r="G62" i="1"/>
  <c r="G61" i="1" s="1"/>
  <c r="F62" i="1"/>
  <c r="E62" i="1"/>
  <c r="D62" i="1"/>
  <c r="C62" i="1"/>
  <c r="B62" i="1"/>
  <c r="X7" i="1"/>
  <c r="W7" i="1"/>
  <c r="V7" i="1"/>
  <c r="U7" i="1"/>
  <c r="P7" i="1"/>
  <c r="O7" i="1"/>
  <c r="J7" i="1"/>
  <c r="I7" i="1"/>
  <c r="H7" i="1"/>
  <c r="G7" i="1"/>
  <c r="F7" i="1"/>
  <c r="D7" i="1"/>
  <c r="C7" i="1"/>
  <c r="X8" i="1"/>
  <c r="W8" i="1"/>
  <c r="V8" i="1"/>
  <c r="U8" i="1"/>
  <c r="T8" i="1"/>
  <c r="T7" i="1" s="1"/>
  <c r="S8" i="1"/>
  <c r="S7" i="1" s="1"/>
  <c r="R8" i="1"/>
  <c r="R7" i="1" s="1"/>
  <c r="Q8" i="1"/>
  <c r="Q7" i="1" s="1"/>
  <c r="P8" i="1"/>
  <c r="O8" i="1"/>
  <c r="N8" i="1"/>
  <c r="N7" i="1" s="1"/>
  <c r="M8" i="1"/>
  <c r="M7" i="1" s="1"/>
  <c r="K8" i="1"/>
  <c r="K7" i="1" s="1"/>
  <c r="J8" i="1"/>
  <c r="I8" i="1"/>
  <c r="H8" i="1"/>
  <c r="G8" i="1"/>
  <c r="F8" i="1"/>
  <c r="E8" i="1"/>
  <c r="E7" i="1" s="1"/>
  <c r="D8" i="1"/>
  <c r="C8" i="1"/>
  <c r="B8" i="1"/>
  <c r="B7" i="1" s="1"/>
</calcChain>
</file>

<file path=xl/sharedStrings.xml><?xml version="1.0" encoding="utf-8"?>
<sst xmlns="http://schemas.openxmlformats.org/spreadsheetml/2006/main" count="2039" uniqueCount="143">
  <si>
    <t>Первая всеобщая перепись населенія Россійской Имперіи 1897 г. (Города и поселенія)</t>
  </si>
  <si>
    <t>Губернія / Регион</t>
  </si>
  <si>
    <t>ГОРОДА (Группы городовъ по числу жителей)</t>
  </si>
  <si>
    <t>ПОСЕЛЕНІЯ ВЪ УѢЗДАХЪ (Группы поселеній по числу жителей)</t>
  </si>
  <si>
    <t>2,001—5,000</t>
  </si>
  <si>
    <t>5,001—10,000</t>
  </si>
  <si>
    <t>10,001—20,000</t>
  </si>
  <si>
    <t>20,001—50,000</t>
  </si>
  <si>
    <t>Свыше 50,000</t>
  </si>
  <si>
    <t>2,001—3,000</t>
  </si>
  <si>
    <t>3,001—4,000</t>
  </si>
  <si>
    <t>4,001—5,000</t>
  </si>
  <si>
    <t>Свыше 20,000</t>
  </si>
  <si>
    <t>Число</t>
  </si>
  <si>
    <t>Населеніе</t>
  </si>
  <si>
    <t>По Имперіи</t>
  </si>
  <si>
    <t>Европейская Россія</t>
  </si>
  <si>
    <t>Архангельская</t>
  </si>
  <si>
    <t>—</t>
  </si>
  <si>
    <t>Астраханская</t>
  </si>
  <si>
    <t>Бессарабская</t>
  </si>
  <si>
    <t>Виленская</t>
  </si>
  <si>
    <t>Витебская</t>
  </si>
  <si>
    <t>Владимірская</t>
  </si>
  <si>
    <t>Вологодская</t>
  </si>
  <si>
    <t>Волынская</t>
  </si>
  <si>
    <t>Воронежская</t>
  </si>
  <si>
    <t>Вятская</t>
  </si>
  <si>
    <t>Гродненская</t>
  </si>
  <si>
    <t>Донского Войска</t>
  </si>
  <si>
    <t>Екатеринославская</t>
  </si>
  <si>
    <t>Казанская</t>
  </si>
  <si>
    <t>Калужская</t>
  </si>
  <si>
    <t>Кіевская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</si>
  <si>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</si>
  <si>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</si>
  <si>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</si>
  <si>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</si>
  <si>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</si>
  <si>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</si>
  <si>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</si>
  <si>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</si>
  <si>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</si>
  <si>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</si>
  <si>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</si>
  <si>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</si>
  <si>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</si>
  <si>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</si>
  <si>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</si>
  <si>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</si>
  <si>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</si>
  <si>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</si>
  <si>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</si>
  <si>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</si>
  <si>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С.-Петербургская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</si>
  <si>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</si>
  <si>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</si>
  <si>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</si>
  <si>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</si>
  <si>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</si>
  <si>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</si>
  <si>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</si>
  <si>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</si>
  <si>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</si>
  <si>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</si>
  <si>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</si>
  <si>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</si>
  <si>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</si>
  <si>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Привислянскія губ.</t>
  </si>
  <si>
    <t>Варшавская</t>
  </si>
  <si>
    <t>Калишская</t>
  </si>
  <si>
    <t>Кѣлецкая</t>
  </si>
  <si>
    <t>Ломжинская</t>
  </si>
  <si>
    <t>Люблинская</t>
  </si>
  <si>
    <t>Петроковская</t>
  </si>
  <si>
    <t>Плоцкая</t>
  </si>
  <si>
    <t>Радомская</t>
  </si>
  <si>
    <t>Сувалкская</t>
  </si>
  <si>
    <t>Сѣдлецкая</t>
  </si>
  <si>
    <t>Кавказъ</t>
  </si>
  <si>
    <t>Бакинская</t>
  </si>
  <si>
    <t>Дагестанская</t>
  </si>
  <si>
    <t>Елисаветпольская</t>
  </si>
  <si>
    <t>Карсская</t>
  </si>
  <si>
    <t>Кубанская</t>
  </si>
  <si>
    <t>Кутаисская</t>
  </si>
  <si>
    <t>Ставропольская</t>
  </si>
  <si>
    <t>Терская</t>
  </si>
  <si>
    <t>Тифлисская</t>
  </si>
  <si>
    <t>Черноморская</t>
  </si>
  <si>
    <t>Эриванская</t>
  </si>
  <si>
    <t>Сибирь</t>
  </si>
  <si>
    <t>Амурская</t>
  </si>
  <si>
    <t>Енисейская</t>
  </si>
  <si>
    <t>Забайкальская</t>
  </si>
  <si>
    <t>Иркутская</t>
  </si>
  <si>
    <t>Приморская</t>
  </si>
  <si>
    <t>О. Сахалинъ</t>
  </si>
  <si>
    <t>Тобольская</t>
  </si>
  <si>
    <t>Томская</t>
  </si>
  <si>
    <t>Якутская</t>
  </si>
  <si>
    <t>Средняя Азія</t>
  </si>
  <si>
    <t>Акмолинская</t>
  </si>
  <si>
    <t>Закаспійская</t>
  </si>
  <si>
    <t>Самаркандская</t>
  </si>
  <si>
    <t>Семипалатинская</t>
  </si>
  <si>
    <t>Семирѣченская</t>
  </si>
  <si>
    <t>Сыръ-Дарьинская</t>
  </si>
  <si>
    <t>Тургайская</t>
  </si>
  <si>
    <t>Уральская</t>
  </si>
  <si>
    <t>Ферганская</t>
  </si>
  <si>
    <t>v-diff</t>
  </si>
  <si>
    <t>v-sum</t>
  </si>
  <si>
    <t>Группировка населения по пунктам по численности</t>
  </si>
  <si>
    <t>стр. 4-7</t>
  </si>
  <si>
    <t>всё</t>
  </si>
  <si>
    <t>2+ тыс</t>
  </si>
  <si>
    <t>20+ тыс</t>
  </si>
  <si>
    <t>%2+ тыс</t>
  </si>
  <si>
    <t>%20+ тыс</t>
  </si>
  <si>
    <t>Общая численность населения губерний</t>
  </si>
  <si>
    <t>стр. 2-3</t>
  </si>
  <si>
    <t>"Первая всеобщая перепись наседения Российской Империи 1897 г. : Города и поселения в уездах имеющие 2.000 и более жителей", С.-Пб., 1905</t>
  </si>
  <si>
    <t>"Общий свод по Империи результатов разработки, данных первой всеобщей переписи населения, произведенной 28 января 1897 год", С.-Пб., 1905, том 1,</t>
  </si>
  <si>
    <t>Данные переписи 1897</t>
  </si>
  <si>
    <t>СССР-1991</t>
  </si>
  <si>
    <t>Выборка территорий вошедших в границы СССР-1991</t>
  </si>
  <si>
    <t>РСФСР-1991</t>
  </si>
  <si>
    <t>Выборка территорий вошедших в границы РСФСР-1991</t>
  </si>
  <si>
    <t>население</t>
  </si>
  <si>
    <t>в нас. пунктах</t>
  </si>
  <si>
    <t>доля населения</t>
  </si>
  <si>
    <t>Територия Тургайской области в 1991 году практически целиком находилась в границах Казахстана.</t>
  </si>
  <si>
    <t>Уральская область:</t>
  </si>
  <si>
    <t>В состав РСФСР-1991 (современная Оренбургская область) были переданы небольшие территории на самом севере — в частности, земли Илекской защиты.</t>
  </si>
  <si>
    <t>Население самого Илекского городка в 1897 году составляло 7154 человека, плюс население нескольких прилегающих казачьих станиц.</t>
  </si>
  <si>
    <t xml:space="preserve">Из Акмолинской области, в состав РСФСР-1991 вошёл Омский уезд вместе с городом Омском </t>
  </si>
  <si>
    <t xml:space="preserve">(который до революции был административным центром Акмолинской области). </t>
  </si>
  <si>
    <t xml:space="preserve">В 1897 году население уезда составляло 100,539 человек. </t>
  </si>
  <si>
    <t xml:space="preserve">Кроме того, к РСФСР (современная Омская область) отошли некоторые северные волости Петропавловского уезда </t>
  </si>
  <si>
    <t>(например, территории вокруг современного Иссык-куля).</t>
  </si>
  <si>
    <t xml:space="preserve">Разбивка состава Акмолинской области на две части по разные стороны границы РСФСР требует самостоятельного учёта, </t>
  </si>
  <si>
    <t>поэтому мы исключаем Акмолинскую область из общего подсчёта по РСФСР.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</si>
</sst>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b/>
      <sz val="10"/>
      <color rgb="FF1F497D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0"/>
      <color rgb="FF1F497D"/>
      <name val="Calibri"/>
      <family val="2"/>
    </font>
    <font>
      <b/>
      <sz val="14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6EDF5"/>
        <bgColor rgb="FFE6EDF5"/>
      </patternFill>
    </fill>
    <fill>
      <patternFill patternType="solid">
        <fgColor rgb="FFDCE6F1"/>
        <bgColor rgb="FFDCE6F1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3" fontId="5" fillId="5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right"/>
    </xf>
    <xf numFmtId="3" fontId="5" fillId="0" borderId="1" xfId="0" applyNumberFormat="1" applyFont="1" applyBorder="1" applyAlignment="1"/>
    <xf numFmtId="0" fontId="5" fillId="0" borderId="1" xfId="0" applyFont="1" applyBorder="1" applyAlignment="1"/>
    <xf numFmtId="3" fontId="5" fillId="5" borderId="1" xfId="0" applyNumberFormat="1" applyFont="1" applyFill="1" applyBorder="1" applyAlignment="1"/>
    <xf numFmtId="3" fontId="0" fillId="0" borderId="0" xfId="0" applyNumberFormat="1"/>
    <xf numFmtId="0" fontId="6" fillId="3" borderId="0" xfId="0" applyFont="1" applyFill="1" applyAlignment="1">
      <alignment horizontal="center" vertical="center"/>
    </xf>
    <xf numFmtId="164" fontId="0" fillId="0" borderId="0" xfId="0" applyNumberFormat="1"/>
    <xf numFmtId="0" fontId="7" fillId="0" borderId="0" xfId="0" applyFont="1"/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BCC6-4A9B-450F-9161-B08B4A7241C9}">
  <dimension ref="A1:B35"/>
  <sheetViews>
    <sheetView workbookViewId="0">
      <selection activeCell="B35" sqref="B35"/>
    </sheetView>
  </sheetViews>
  <sheetFormatPr defaultRowHeight="15"/>
  <sheetData>
    <row r="1" spans="1:2" ht="18.75">
      <c r="A1" s="24" t="s">
        <v>124</v>
      </c>
    </row>
    <row r="3" spans="1:2">
      <c r="A3" t="s">
        <v>113</v>
      </c>
    </row>
    <row r="5" spans="1:2">
      <c r="B5" t="s">
        <v>122</v>
      </c>
    </row>
    <row r="6" spans="1:2">
      <c r="B6" t="s">
        <v>114</v>
      </c>
    </row>
    <row r="8" spans="1:2">
      <c r="A8" t="s">
        <v>120</v>
      </c>
    </row>
    <row r="10" spans="1:2">
      <c r="B10" t="s">
        <v>123</v>
      </c>
    </row>
    <row r="11" spans="1:2">
      <c r="B11" t="s">
        <v>121</v>
      </c>
    </row>
    <row r="14" spans="1:2" ht="18.75">
      <c r="A14" s="24" t="s">
        <v>125</v>
      </c>
    </row>
    <row r="16" spans="1:2">
      <c r="A16" t="s">
        <v>126</v>
      </c>
    </row>
    <row r="18" spans="1:2" ht="18.75">
      <c r="A18" s="24" t="s">
        <v>127</v>
      </c>
    </row>
    <row r="20" spans="1:2">
      <c r="A20" t="s">
        <v>128</v>
      </c>
    </row>
    <row r="23" spans="1:2">
      <c r="B23" t="s">
        <v>132</v>
      </c>
    </row>
    <row r="25" spans="1:2">
      <c r="B25" t="s">
        <v>133</v>
      </c>
    </row>
    <row r="26" spans="1:2">
      <c r="B26" t="s">
        <v>134</v>
      </c>
    </row>
    <row r="27" spans="1:2">
      <c r="B27" t="s">
        <v>135</v>
      </c>
    </row>
    <row r="29" spans="1:2">
      <c r="B29" t="s">
        <v>136</v>
      </c>
    </row>
    <row r="30" spans="1:2">
      <c r="B30" t="s">
        <v>137</v>
      </c>
    </row>
    <row r="31" spans="1:2">
      <c r="B31" t="s">
        <v>138</v>
      </c>
    </row>
    <row r="32" spans="1:2">
      <c r="B32" t="s">
        <v>139</v>
      </c>
    </row>
    <row r="33" spans="2:2">
      <c r="B33" t="s">
        <v>140</v>
      </c>
    </row>
    <row r="34" spans="2:2">
      <c r="B34" t="s">
        <v>141</v>
      </c>
    </row>
    <row r="35" spans="2:2">
      <c r="B35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E5" sqref="AE5:AF5"/>
    </sheetView>
  </sheetViews>
  <sheetFormatPr defaultRowHeight="15"/>
  <cols>
    <col min="1" max="1" width="25" customWidth="1"/>
    <col min="2" max="2" width="5.7109375" bestFit="1" customWidth="1"/>
    <col min="3" max="3" width="9.140625" bestFit="1" customWidth="1"/>
    <col min="4" max="4" width="5.7109375" bestFit="1" customWidth="1"/>
    <col min="5" max="5" width="9.140625" bestFit="1" customWidth="1"/>
    <col min="6" max="6" width="5.7109375" bestFit="1" customWidth="1"/>
    <col min="7" max="7" width="9.140625" bestFit="1" customWidth="1"/>
    <col min="8" max="8" width="5.7109375" bestFit="1" customWidth="1"/>
    <col min="9" max="9" width="9.140625" bestFit="1" customWidth="1"/>
    <col min="10" max="10" width="5.7109375" bestFit="1" customWidth="1"/>
    <col min="11" max="11" width="9.140625" bestFit="1" customWidth="1"/>
    <col min="12" max="12" width="9.140625" customWidth="1"/>
    <col min="13" max="13" width="5.7109375" bestFit="1" customWidth="1"/>
    <col min="14" max="14" width="9.140625" bestFit="1" customWidth="1"/>
    <col min="15" max="15" width="5.7109375" bestFit="1" customWidth="1"/>
    <col min="16" max="16" width="9.140625" bestFit="1" customWidth="1"/>
    <col min="17" max="17" width="5.7109375" bestFit="1" customWidth="1"/>
    <col min="18" max="18" width="9.140625" bestFit="1" customWidth="1"/>
    <col min="19" max="19" width="5.7109375" bestFit="1" customWidth="1"/>
    <col min="20" max="20" width="9.140625" bestFit="1" customWidth="1"/>
    <col min="21" max="21" width="5.7109375" bestFit="1" customWidth="1"/>
    <col min="22" max="22" width="9.140625" bestFit="1" customWidth="1"/>
    <col min="23" max="23" width="11.28515625" customWidth="1"/>
    <col min="24" max="24" width="9.140625" bestFit="1" customWidth="1"/>
    <col min="26" max="26" width="11.140625" bestFit="1" customWidth="1"/>
    <col min="28" max="28" width="10.140625" bestFit="1" customWidth="1"/>
    <col min="29" max="29" width="10.140625" customWidth="1"/>
  </cols>
  <sheetData>
    <row r="1" spans="1:32" ht="39.950000000000003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32" ht="24.95" customHeight="1">
      <c r="A2" s="14" t="s">
        <v>1</v>
      </c>
      <c r="B2" s="14" t="s">
        <v>2</v>
      </c>
      <c r="C2" s="14"/>
      <c r="D2" s="14"/>
      <c r="E2" s="14"/>
      <c r="F2" s="14"/>
      <c r="G2" s="14"/>
      <c r="H2" s="14"/>
      <c r="I2" s="14"/>
      <c r="J2" s="14"/>
      <c r="K2" s="14"/>
      <c r="L2" s="15"/>
      <c r="M2" s="14" t="s">
        <v>3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2" ht="20.100000000000001" customHeight="1">
      <c r="A3" s="14"/>
      <c r="B3" s="14" t="s">
        <v>4</v>
      </c>
      <c r="C3" s="14"/>
      <c r="D3" s="14" t="s">
        <v>5</v>
      </c>
      <c r="E3" s="14"/>
      <c r="F3" s="14" t="s">
        <v>6</v>
      </c>
      <c r="G3" s="14"/>
      <c r="H3" s="14" t="s">
        <v>7</v>
      </c>
      <c r="I3" s="14"/>
      <c r="J3" s="14" t="s">
        <v>8</v>
      </c>
      <c r="K3" s="14"/>
      <c r="L3" s="15"/>
      <c r="M3" s="14" t="s">
        <v>9</v>
      </c>
      <c r="N3" s="14"/>
      <c r="O3" s="14" t="s">
        <v>10</v>
      </c>
      <c r="P3" s="14"/>
      <c r="Q3" s="14" t="s">
        <v>11</v>
      </c>
      <c r="R3" s="14"/>
      <c r="S3" s="14" t="s">
        <v>5</v>
      </c>
      <c r="T3" s="14"/>
      <c r="U3" s="14" t="s">
        <v>6</v>
      </c>
      <c r="V3" s="14"/>
      <c r="W3" s="14" t="s">
        <v>12</v>
      </c>
      <c r="X3" s="14"/>
      <c r="Z3" s="22" t="s">
        <v>129</v>
      </c>
      <c r="AB3" s="25" t="s">
        <v>130</v>
      </c>
      <c r="AC3" s="25"/>
      <c r="AE3" s="25" t="s">
        <v>131</v>
      </c>
      <c r="AF3" s="25"/>
    </row>
    <row r="4" spans="1:32" ht="20.100000000000001" customHeight="1">
      <c r="A4" s="1"/>
      <c r="B4" s="2" t="s">
        <v>13</v>
      </c>
      <c r="C4" s="2" t="s">
        <v>14</v>
      </c>
      <c r="D4" s="2" t="s">
        <v>13</v>
      </c>
      <c r="E4" s="2" t="s">
        <v>14</v>
      </c>
      <c r="F4" s="2" t="s">
        <v>13</v>
      </c>
      <c r="G4" s="2" t="s">
        <v>14</v>
      </c>
      <c r="H4" s="2" t="s">
        <v>13</v>
      </c>
      <c r="I4" s="2" t="s">
        <v>14</v>
      </c>
      <c r="J4" s="2" t="s">
        <v>13</v>
      </c>
      <c r="K4" s="2" t="s">
        <v>14</v>
      </c>
      <c r="L4" s="16"/>
      <c r="M4" s="2" t="s">
        <v>13</v>
      </c>
      <c r="N4" s="2" t="s">
        <v>14</v>
      </c>
      <c r="O4" s="2" t="s">
        <v>13</v>
      </c>
      <c r="P4" s="2" t="s">
        <v>14</v>
      </c>
      <c r="Q4" s="2" t="s">
        <v>13</v>
      </c>
      <c r="R4" s="2" t="s">
        <v>14</v>
      </c>
      <c r="S4" s="2" t="s">
        <v>13</v>
      </c>
      <c r="T4" s="2" t="s">
        <v>14</v>
      </c>
      <c r="U4" s="2" t="s">
        <v>13</v>
      </c>
      <c r="V4" s="2" t="s">
        <v>14</v>
      </c>
      <c r="W4" s="2" t="s">
        <v>13</v>
      </c>
      <c r="X4" s="2" t="s">
        <v>14</v>
      </c>
      <c r="Z4" s="22" t="s">
        <v>115</v>
      </c>
      <c r="AB4" s="22" t="s">
        <v>116</v>
      </c>
      <c r="AC4" s="22" t="s">
        <v>117</v>
      </c>
      <c r="AE4" s="22" t="s">
        <v>118</v>
      </c>
      <c r="AF4" s="22" t="s">
        <v>119</v>
      </c>
    </row>
    <row r="5" spans="1:32">
      <c r="A5" s="3" t="s">
        <v>15</v>
      </c>
      <c r="B5" s="4">
        <v>198</v>
      </c>
      <c r="C5" s="4">
        <v>706490</v>
      </c>
      <c r="D5" s="4">
        <v>264</v>
      </c>
      <c r="E5" s="4">
        <v>1919624</v>
      </c>
      <c r="F5" s="4">
        <v>169</v>
      </c>
      <c r="G5" s="4">
        <v>2323113</v>
      </c>
      <c r="H5" s="4">
        <v>112</v>
      </c>
      <c r="I5" s="4">
        <v>3361740</v>
      </c>
      <c r="J5" s="4">
        <v>55</v>
      </c>
      <c r="K5" s="4">
        <v>8174959</v>
      </c>
      <c r="L5" s="4"/>
      <c r="M5" s="4">
        <v>3447</v>
      </c>
      <c r="N5" s="4">
        <v>8293580</v>
      </c>
      <c r="O5" s="4">
        <v>1286</v>
      </c>
      <c r="P5" s="4">
        <v>4401509</v>
      </c>
      <c r="Q5" s="4">
        <v>654</v>
      </c>
      <c r="R5" s="4">
        <v>2912447</v>
      </c>
      <c r="S5" s="4">
        <v>834</v>
      </c>
      <c r="T5" s="4">
        <v>5540144</v>
      </c>
      <c r="U5" s="4">
        <v>138</v>
      </c>
      <c r="V5" s="4">
        <v>1740858</v>
      </c>
      <c r="W5" s="4">
        <v>10</v>
      </c>
      <c r="X5" s="4">
        <v>269669</v>
      </c>
      <c r="Z5" s="21">
        <v>125640021</v>
      </c>
      <c r="AB5" s="21">
        <f>N(C5)+N(E5)+N(G5)+N(I5)+N(K5)+N(N5)+N(P5)+N(R5)+N(T5)+N(V5)+N(X5)</f>
        <v>39644133</v>
      </c>
      <c r="AC5" s="21">
        <f>N(I5)+N(K5)+N(X5)</f>
        <v>11806368</v>
      </c>
      <c r="AE5" s="23">
        <f>AB5/Z5*100</f>
        <v>31.553745919860997</v>
      </c>
      <c r="AF5" s="23">
        <f>AC5/Z5*100</f>
        <v>9.3969802822621311</v>
      </c>
    </row>
    <row r="6" spans="1:32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32">
      <c r="A7" s="3" t="s">
        <v>111</v>
      </c>
      <c r="B7" s="4">
        <f>B8-B9</f>
        <v>0</v>
      </c>
      <c r="C7" s="4">
        <f>C8-C9</f>
        <v>0</v>
      </c>
      <c r="D7" s="4">
        <f>D8-D9</f>
        <v>0</v>
      </c>
      <c r="E7" s="4">
        <f>E8-E9</f>
        <v>0</v>
      </c>
      <c r="F7" s="4">
        <f>F8-F9</f>
        <v>0</v>
      </c>
      <c r="G7" s="4">
        <f>G8-G9</f>
        <v>0</v>
      </c>
      <c r="H7" s="4">
        <f>H8-H9</f>
        <v>0</v>
      </c>
      <c r="I7" s="4">
        <f>I8-I9</f>
        <v>0</v>
      </c>
      <c r="J7" s="4">
        <f>J8-J9</f>
        <v>0</v>
      </c>
      <c r="K7" s="4">
        <f>K8-K9</f>
        <v>0</v>
      </c>
      <c r="L7" s="4"/>
      <c r="M7" s="4">
        <f>M8-M9</f>
        <v>0</v>
      </c>
      <c r="N7" s="4">
        <f>N8-N9</f>
        <v>0</v>
      </c>
      <c r="O7" s="4">
        <f>O8-O9</f>
        <v>0</v>
      </c>
      <c r="P7" s="4">
        <f>P8-P9</f>
        <v>0</v>
      </c>
      <c r="Q7" s="4">
        <f>Q8-Q9</f>
        <v>0</v>
      </c>
      <c r="R7" s="4">
        <f>R8-R9</f>
        <v>0</v>
      </c>
      <c r="S7" s="4">
        <f>S8-S9</f>
        <v>0</v>
      </c>
      <c r="T7" s="4">
        <f>T8-T9</f>
        <v>0</v>
      </c>
      <c r="U7" s="4">
        <f>U8-U9</f>
        <v>0</v>
      </c>
      <c r="V7" s="4">
        <f>V8-V9</f>
        <v>0</v>
      </c>
      <c r="W7" s="4">
        <f>W8-W9</f>
        <v>0</v>
      </c>
      <c r="X7" s="4">
        <f>X8-X9</f>
        <v>0</v>
      </c>
      <c r="Z7" s="4">
        <f>Z8-Z9</f>
        <v>0</v>
      </c>
    </row>
    <row r="8" spans="1:32">
      <c r="A8" s="3" t="s">
        <v>112</v>
      </c>
      <c r="B8" s="4">
        <f>SUM(B10:B59)</f>
        <v>149</v>
      </c>
      <c r="C8" s="4">
        <f>SUM(C10:C59)</f>
        <v>528615</v>
      </c>
      <c r="D8" s="4">
        <f>SUM(D10:D59)</f>
        <v>172</v>
      </c>
      <c r="E8" s="4">
        <f>SUM(E10:E59)</f>
        <v>1237379</v>
      </c>
      <c r="F8" s="4">
        <f>SUM(F10:F59)</f>
        <v>121</v>
      </c>
      <c r="G8" s="4">
        <f>SUM(G10:G59)</f>
        <v>1671766</v>
      </c>
      <c r="H8" s="4">
        <f>SUM(H10:H59)</f>
        <v>71</v>
      </c>
      <c r="I8" s="4">
        <f>SUM(I10:I59)</f>
        <v>2159573</v>
      </c>
      <c r="J8" s="4">
        <f>SUM(J10:J59)</f>
        <v>43</v>
      </c>
      <c r="K8" s="4">
        <f>SUM(K10:K59)</f>
        <v>6331907</v>
      </c>
      <c r="L8" s="4"/>
      <c r="M8" s="4">
        <f>SUM(M10:M59)</f>
        <v>2755</v>
      </c>
      <c r="N8" s="4">
        <f>SUM(N10:N59)</f>
        <v>6636631</v>
      </c>
      <c r="O8" s="4">
        <f>SUM(O10:O59)</f>
        <v>1040</v>
      </c>
      <c r="P8" s="4">
        <f>SUM(P10:P59)</f>
        <v>3560755</v>
      </c>
      <c r="Q8" s="4">
        <f>SUM(Q10:Q59)</f>
        <v>520</v>
      </c>
      <c r="R8" s="4">
        <f>SUM(R10:R59)</f>
        <v>2313824</v>
      </c>
      <c r="S8" s="4">
        <f>SUM(S10:S59)</f>
        <v>648</v>
      </c>
      <c r="T8" s="4">
        <f>SUM(T10:T59)</f>
        <v>4272192</v>
      </c>
      <c r="U8" s="4">
        <f>SUM(U10:U59)</f>
        <v>88</v>
      </c>
      <c r="V8" s="4">
        <f>SUM(V10:V59)</f>
        <v>1152281</v>
      </c>
      <c r="W8" s="4">
        <f>SUM(W10:W59)</f>
        <v>10</v>
      </c>
      <c r="X8" s="4">
        <f>SUM(X10:X59)</f>
        <v>269669</v>
      </c>
      <c r="Z8" s="4">
        <f>SUM(Z10:Z59)</f>
        <v>93442864</v>
      </c>
      <c r="AB8" s="21">
        <f>N(C8)+N(E8)+N(G8)+N(I8)+N(K8)+N(N8)+N(P8)+N(R8)+N(T8)+N(V8)+N(X8)</f>
        <v>30134592</v>
      </c>
      <c r="AC8" s="21">
        <f>N(I8)+N(K8)+N(X8)</f>
        <v>8761149</v>
      </c>
      <c r="AE8" s="23">
        <f>AB8/Z8*100</f>
        <v>32.24921701886192</v>
      </c>
      <c r="AF8" s="23">
        <f>AC8/Z8*100</f>
        <v>9.3759422870429141</v>
      </c>
    </row>
    <row r="9" spans="1:32">
      <c r="A9" s="3" t="s">
        <v>16</v>
      </c>
      <c r="B9" s="4">
        <v>149</v>
      </c>
      <c r="C9" s="4">
        <v>528615</v>
      </c>
      <c r="D9" s="4">
        <v>172</v>
      </c>
      <c r="E9" s="4">
        <v>1237379</v>
      </c>
      <c r="F9" s="4">
        <v>121</v>
      </c>
      <c r="G9" s="4">
        <v>1671766</v>
      </c>
      <c r="H9" s="4">
        <v>71</v>
      </c>
      <c r="I9" s="4">
        <v>2159573</v>
      </c>
      <c r="J9" s="4">
        <v>43</v>
      </c>
      <c r="K9" s="4">
        <v>6331907</v>
      </c>
      <c r="L9" s="4"/>
      <c r="M9" s="4">
        <v>2755</v>
      </c>
      <c r="N9" s="4">
        <v>6636631</v>
      </c>
      <c r="O9" s="4">
        <v>1040</v>
      </c>
      <c r="P9" s="4">
        <v>3560755</v>
      </c>
      <c r="Q9" s="4">
        <v>520</v>
      </c>
      <c r="R9" s="4">
        <v>2313824</v>
      </c>
      <c r="S9" s="4">
        <v>648</v>
      </c>
      <c r="T9" s="4">
        <v>4272192</v>
      </c>
      <c r="U9" s="4">
        <v>88</v>
      </c>
      <c r="V9" s="4">
        <v>1152281</v>
      </c>
      <c r="W9" s="4">
        <v>10</v>
      </c>
      <c r="X9" s="4">
        <v>269669</v>
      </c>
      <c r="Z9" s="21">
        <v>93442864</v>
      </c>
      <c r="AB9" s="21">
        <f t="shared" ref="AB9:AB72" si="0">N(C9)+N(E9)+N(G9)+N(I9)+N(K9)+N(N9)+N(P9)+N(R9)+N(T9)+N(V9)+N(X9)</f>
        <v>30134592</v>
      </c>
      <c r="AC9" s="21">
        <f t="shared" ref="AC9:AC72" si="1">N(I9)+N(K9)+N(X9)</f>
        <v>8761149</v>
      </c>
      <c r="AE9" s="23">
        <f t="shared" ref="AE9:AE72" si="2">AB9/Z9*100</f>
        <v>32.24921701886192</v>
      </c>
      <c r="AF9" s="23">
        <f t="shared" ref="AF9:AF72" si="3">AC9/Z9*100</f>
        <v>9.3759422870429141</v>
      </c>
    </row>
    <row r="10" spans="1:32">
      <c r="A10" s="5" t="s">
        <v>17</v>
      </c>
      <c r="B10" s="6">
        <v>2</v>
      </c>
      <c r="C10" s="6">
        <v>4988</v>
      </c>
      <c r="D10" s="7" t="s">
        <v>18</v>
      </c>
      <c r="E10" s="7" t="s">
        <v>18</v>
      </c>
      <c r="F10" s="7" t="s">
        <v>18</v>
      </c>
      <c r="G10" s="7" t="s">
        <v>18</v>
      </c>
      <c r="H10" s="6">
        <v>1</v>
      </c>
      <c r="I10" s="6">
        <v>20882</v>
      </c>
      <c r="J10" s="7" t="s">
        <v>18</v>
      </c>
      <c r="K10" s="7" t="s">
        <v>18</v>
      </c>
      <c r="L10" s="7"/>
      <c r="M10" s="6">
        <v>4</v>
      </c>
      <c r="N10" s="6">
        <v>8641</v>
      </c>
      <c r="O10" s="7" t="s">
        <v>18</v>
      </c>
      <c r="P10" s="7" t="s">
        <v>18</v>
      </c>
      <c r="Q10" s="7" t="s">
        <v>18</v>
      </c>
      <c r="R10" s="7" t="s">
        <v>18</v>
      </c>
      <c r="S10" s="7" t="s">
        <v>18</v>
      </c>
      <c r="T10" s="7" t="s">
        <v>18</v>
      </c>
      <c r="U10" s="7" t="s">
        <v>18</v>
      </c>
      <c r="V10" s="7" t="s">
        <v>18</v>
      </c>
      <c r="W10" s="7" t="s">
        <v>18</v>
      </c>
      <c r="X10" s="7" t="s">
        <v>18</v>
      </c>
      <c r="Z10" s="21">
        <v>346536</v>
      </c>
      <c r="AB10" s="21">
        <f t="shared" si="0"/>
        <v>34511</v>
      </c>
      <c r="AC10" s="21">
        <f t="shared" si="1"/>
        <v>20882</v>
      </c>
      <c r="AE10" s="23">
        <f t="shared" si="2"/>
        <v>9.9588498741833469</v>
      </c>
      <c r="AF10" s="23">
        <f t="shared" si="3"/>
        <v>6.0259251564051066</v>
      </c>
    </row>
    <row r="11" spans="1:32">
      <c r="A11" s="8" t="s">
        <v>19</v>
      </c>
      <c r="B11" s="9">
        <v>2</v>
      </c>
      <c r="C11" s="9">
        <v>7052</v>
      </c>
      <c r="D11" s="9">
        <v>2</v>
      </c>
      <c r="E11" s="9">
        <v>12570</v>
      </c>
      <c r="F11" s="10" t="s">
        <v>18</v>
      </c>
      <c r="G11" s="10" t="s">
        <v>18</v>
      </c>
      <c r="H11" s="10" t="s">
        <v>18</v>
      </c>
      <c r="I11" s="10" t="s">
        <v>18</v>
      </c>
      <c r="J11" s="9">
        <v>1</v>
      </c>
      <c r="K11" s="9">
        <v>112880</v>
      </c>
      <c r="L11" s="9"/>
      <c r="M11" s="9">
        <v>29</v>
      </c>
      <c r="N11" s="9">
        <v>70859</v>
      </c>
      <c r="O11" s="9">
        <v>18</v>
      </c>
      <c r="P11" s="9">
        <v>62034</v>
      </c>
      <c r="Q11" s="9">
        <v>3</v>
      </c>
      <c r="R11" s="9">
        <v>13604</v>
      </c>
      <c r="S11" s="9">
        <v>8</v>
      </c>
      <c r="T11" s="9">
        <v>55225</v>
      </c>
      <c r="U11" s="9">
        <v>2</v>
      </c>
      <c r="V11" s="9">
        <v>24324</v>
      </c>
      <c r="W11" s="9">
        <v>1</v>
      </c>
      <c r="X11" s="9">
        <v>20725</v>
      </c>
      <c r="Z11" s="21">
        <v>1003542</v>
      </c>
      <c r="AB11" s="21">
        <f t="shared" si="0"/>
        <v>379273</v>
      </c>
      <c r="AC11" s="21">
        <f t="shared" si="1"/>
        <v>133605</v>
      </c>
      <c r="AE11" s="23">
        <f t="shared" si="2"/>
        <v>37.793435650924422</v>
      </c>
      <c r="AF11" s="23">
        <f t="shared" si="3"/>
        <v>13.313344135073567</v>
      </c>
    </row>
    <row r="12" spans="1:32">
      <c r="A12" s="5" t="s">
        <v>20</v>
      </c>
      <c r="B12" s="7" t="s">
        <v>18</v>
      </c>
      <c r="C12" s="7" t="s">
        <v>18</v>
      </c>
      <c r="D12" s="6">
        <v>2</v>
      </c>
      <c r="E12" s="6">
        <v>14018</v>
      </c>
      <c r="F12" s="6">
        <v>6</v>
      </c>
      <c r="G12" s="6">
        <v>88481</v>
      </c>
      <c r="H12" s="6">
        <v>3</v>
      </c>
      <c r="I12" s="6">
        <v>82350</v>
      </c>
      <c r="J12" s="6">
        <v>1</v>
      </c>
      <c r="K12" s="6">
        <v>108483</v>
      </c>
      <c r="L12" s="6"/>
      <c r="M12" s="6">
        <v>125</v>
      </c>
      <c r="N12" s="6">
        <v>300656</v>
      </c>
      <c r="O12" s="6">
        <v>27</v>
      </c>
      <c r="P12" s="6">
        <v>89948</v>
      </c>
      <c r="Q12" s="6">
        <v>16</v>
      </c>
      <c r="R12" s="6">
        <v>70102</v>
      </c>
      <c r="S12" s="6">
        <v>14</v>
      </c>
      <c r="T12" s="6">
        <v>90415</v>
      </c>
      <c r="U12" s="6">
        <v>1</v>
      </c>
      <c r="V12" s="6">
        <v>10211</v>
      </c>
      <c r="W12" s="7" t="s">
        <v>18</v>
      </c>
      <c r="X12" s="7" t="s">
        <v>18</v>
      </c>
      <c r="Z12" s="21">
        <v>1935412</v>
      </c>
      <c r="AB12" s="21">
        <f t="shared" si="0"/>
        <v>854664</v>
      </c>
      <c r="AC12" s="21">
        <f t="shared" si="1"/>
        <v>190833</v>
      </c>
      <c r="AE12" s="23">
        <f t="shared" si="2"/>
        <v>44.159279781255876</v>
      </c>
      <c r="AF12" s="23">
        <f t="shared" si="3"/>
        <v>9.8600711373082319</v>
      </c>
    </row>
    <row r="13" spans="1:32">
      <c r="A13" s="8" t="s">
        <v>21</v>
      </c>
      <c r="B13" s="9">
        <v>4</v>
      </c>
      <c r="C13" s="9">
        <v>14157</v>
      </c>
      <c r="D13" s="9">
        <v>4</v>
      </c>
      <c r="E13" s="9">
        <v>29318</v>
      </c>
      <c r="F13" s="10" t="s">
        <v>18</v>
      </c>
      <c r="G13" s="10" t="s">
        <v>18</v>
      </c>
      <c r="H13" s="10" t="s">
        <v>18</v>
      </c>
      <c r="I13" s="10" t="s">
        <v>18</v>
      </c>
      <c r="J13" s="9">
        <v>1</v>
      </c>
      <c r="K13" s="9">
        <v>154532</v>
      </c>
      <c r="L13" s="9"/>
      <c r="M13" s="9">
        <v>17</v>
      </c>
      <c r="N13" s="9">
        <v>41156</v>
      </c>
      <c r="O13" s="9">
        <v>4</v>
      </c>
      <c r="P13" s="9">
        <v>13750</v>
      </c>
      <c r="Q13" s="9">
        <v>1</v>
      </c>
      <c r="R13" s="9">
        <v>4534</v>
      </c>
      <c r="S13" s="9">
        <v>2</v>
      </c>
      <c r="T13" s="9">
        <v>14472</v>
      </c>
      <c r="U13" s="10" t="s">
        <v>18</v>
      </c>
      <c r="V13" s="10" t="s">
        <v>18</v>
      </c>
      <c r="W13" s="10" t="s">
        <v>18</v>
      </c>
      <c r="X13" s="10" t="s">
        <v>18</v>
      </c>
      <c r="Z13" s="21">
        <v>1591207</v>
      </c>
      <c r="AB13" s="21">
        <f t="shared" si="0"/>
        <v>271919</v>
      </c>
      <c r="AC13" s="21">
        <f t="shared" si="1"/>
        <v>154532</v>
      </c>
      <c r="AE13" s="23">
        <f t="shared" si="2"/>
        <v>17.08885141907998</v>
      </c>
      <c r="AF13" s="23">
        <f t="shared" si="3"/>
        <v>9.7116214295185976</v>
      </c>
    </row>
    <row r="14" spans="1:32">
      <c r="A14" s="5" t="s">
        <v>22</v>
      </c>
      <c r="B14" s="6">
        <v>3</v>
      </c>
      <c r="C14" s="6">
        <v>11295</v>
      </c>
      <c r="D14" s="6">
        <v>4</v>
      </c>
      <c r="E14" s="6">
        <v>25796</v>
      </c>
      <c r="F14" s="6">
        <v>2</v>
      </c>
      <c r="G14" s="6">
        <v>22988</v>
      </c>
      <c r="H14" s="6">
        <v>1</v>
      </c>
      <c r="I14" s="6">
        <v>20294</v>
      </c>
      <c r="J14" s="6">
        <v>2</v>
      </c>
      <c r="K14" s="6">
        <v>135546</v>
      </c>
      <c r="L14" s="6"/>
      <c r="M14" s="6">
        <v>7</v>
      </c>
      <c r="N14" s="6">
        <v>17443</v>
      </c>
      <c r="O14" s="7" t="s">
        <v>18</v>
      </c>
      <c r="P14" s="7" t="s">
        <v>18</v>
      </c>
      <c r="Q14" s="6">
        <v>3</v>
      </c>
      <c r="R14" s="6">
        <v>13163</v>
      </c>
      <c r="S14" s="6">
        <v>1</v>
      </c>
      <c r="T14" s="6">
        <v>7834</v>
      </c>
      <c r="U14" s="7" t="s">
        <v>18</v>
      </c>
      <c r="V14" s="7" t="s">
        <v>18</v>
      </c>
      <c r="W14" s="7" t="s">
        <v>18</v>
      </c>
      <c r="X14" s="7" t="s">
        <v>18</v>
      </c>
      <c r="Z14" s="21">
        <v>1489246</v>
      </c>
      <c r="AB14" s="21">
        <f t="shared" si="0"/>
        <v>254359</v>
      </c>
      <c r="AC14" s="21">
        <f t="shared" si="1"/>
        <v>155840</v>
      </c>
      <c r="AE14" s="23">
        <f t="shared" si="2"/>
        <v>17.07971685000329</v>
      </c>
      <c r="AF14" s="23">
        <f t="shared" si="3"/>
        <v>10.464355788096794</v>
      </c>
    </row>
    <row r="15" spans="1:32">
      <c r="A15" s="8" t="s">
        <v>23</v>
      </c>
      <c r="B15" s="9">
        <v>4</v>
      </c>
      <c r="C15" s="9">
        <v>13115</v>
      </c>
      <c r="D15" s="9">
        <v>5</v>
      </c>
      <c r="E15" s="9">
        <v>36752</v>
      </c>
      <c r="F15" s="9">
        <v>4</v>
      </c>
      <c r="G15" s="9">
        <v>58064</v>
      </c>
      <c r="H15" s="9">
        <v>1</v>
      </c>
      <c r="I15" s="9">
        <v>28479</v>
      </c>
      <c r="J15" s="9">
        <v>1</v>
      </c>
      <c r="K15" s="9">
        <v>54208</v>
      </c>
      <c r="L15" s="9"/>
      <c r="M15" s="9">
        <v>6</v>
      </c>
      <c r="N15" s="9">
        <v>13444</v>
      </c>
      <c r="O15" s="9">
        <v>4</v>
      </c>
      <c r="P15" s="9">
        <v>13622</v>
      </c>
      <c r="Q15" s="9">
        <v>1</v>
      </c>
      <c r="R15" s="9">
        <v>4147</v>
      </c>
      <c r="S15" s="9">
        <v>5</v>
      </c>
      <c r="T15" s="9">
        <v>32371</v>
      </c>
      <c r="U15" s="9">
        <v>1</v>
      </c>
      <c r="V15" s="9">
        <v>12007</v>
      </c>
      <c r="W15" s="9">
        <v>1</v>
      </c>
      <c r="X15" s="9">
        <v>25233</v>
      </c>
      <c r="Z15" s="21">
        <v>1515691</v>
      </c>
      <c r="AB15" s="21">
        <f t="shared" si="0"/>
        <v>291442</v>
      </c>
      <c r="AC15" s="21">
        <f t="shared" si="1"/>
        <v>107920</v>
      </c>
      <c r="AE15" s="23">
        <f t="shared" si="2"/>
        <v>19.228325562400254</v>
      </c>
      <c r="AF15" s="23">
        <f t="shared" si="3"/>
        <v>7.1201847870047397</v>
      </c>
    </row>
    <row r="16" spans="1:32">
      <c r="A16" s="5" t="s">
        <v>24</v>
      </c>
      <c r="B16" s="6">
        <v>5</v>
      </c>
      <c r="C16" s="6">
        <v>17575</v>
      </c>
      <c r="D16" s="7" t="s">
        <v>18</v>
      </c>
      <c r="E16" s="7" t="s">
        <v>18</v>
      </c>
      <c r="F16" s="6">
        <v>1</v>
      </c>
      <c r="G16" s="6">
        <v>11137</v>
      </c>
      <c r="H16" s="6">
        <v>1</v>
      </c>
      <c r="I16" s="6">
        <v>27705</v>
      </c>
      <c r="J16" s="7" t="s">
        <v>18</v>
      </c>
      <c r="K16" s="7" t="s">
        <v>18</v>
      </c>
      <c r="L16" s="7"/>
      <c r="M16" s="6">
        <v>2</v>
      </c>
      <c r="N16" s="6">
        <v>4403</v>
      </c>
      <c r="O16" s="7" t="s">
        <v>18</v>
      </c>
      <c r="P16" s="7" t="s">
        <v>18</v>
      </c>
      <c r="Q16" s="7" t="s">
        <v>18</v>
      </c>
      <c r="R16" s="7" t="s">
        <v>18</v>
      </c>
      <c r="S16" s="7" t="s">
        <v>18</v>
      </c>
      <c r="T16" s="7" t="s">
        <v>18</v>
      </c>
      <c r="U16" s="7" t="s">
        <v>18</v>
      </c>
      <c r="V16" s="7" t="s">
        <v>18</v>
      </c>
      <c r="W16" s="7" t="s">
        <v>18</v>
      </c>
      <c r="X16" s="7" t="s">
        <v>18</v>
      </c>
      <c r="Z16" s="21">
        <v>1341785</v>
      </c>
      <c r="AB16" s="21">
        <f t="shared" si="0"/>
        <v>60820</v>
      </c>
      <c r="AC16" s="21">
        <f t="shared" si="1"/>
        <v>27705</v>
      </c>
      <c r="AE16" s="23">
        <f t="shared" si="2"/>
        <v>4.5327679173638096</v>
      </c>
      <c r="AF16" s="23">
        <f t="shared" si="3"/>
        <v>2.0647868324657077</v>
      </c>
    </row>
    <row r="17" spans="1:32">
      <c r="A17" s="8" t="s">
        <v>25</v>
      </c>
      <c r="B17" s="10" t="s">
        <v>18</v>
      </c>
      <c r="C17" s="10" t="s">
        <v>18</v>
      </c>
      <c r="D17" s="9">
        <v>2</v>
      </c>
      <c r="E17" s="9">
        <v>17276</v>
      </c>
      <c r="F17" s="9">
        <v>8</v>
      </c>
      <c r="G17" s="9">
        <v>126103</v>
      </c>
      <c r="H17" s="9">
        <v>1</v>
      </c>
      <c r="I17" s="9">
        <v>24573</v>
      </c>
      <c r="J17" s="9">
        <v>1</v>
      </c>
      <c r="K17" s="9">
        <v>65895</v>
      </c>
      <c r="L17" s="9"/>
      <c r="M17" s="9">
        <v>63</v>
      </c>
      <c r="N17" s="9">
        <v>151468</v>
      </c>
      <c r="O17" s="9">
        <v>18</v>
      </c>
      <c r="P17" s="9">
        <v>61492</v>
      </c>
      <c r="Q17" s="9">
        <v>14</v>
      </c>
      <c r="R17" s="9">
        <v>62822</v>
      </c>
      <c r="S17" s="9">
        <v>16</v>
      </c>
      <c r="T17" s="9">
        <v>102143</v>
      </c>
      <c r="U17" s="9">
        <v>2</v>
      </c>
      <c r="V17" s="9">
        <v>28795</v>
      </c>
      <c r="W17" s="10" t="s">
        <v>18</v>
      </c>
      <c r="X17" s="10" t="s">
        <v>18</v>
      </c>
      <c r="Z17" s="21">
        <v>2989482</v>
      </c>
      <c r="AB17" s="21">
        <f t="shared" si="0"/>
        <v>640567</v>
      </c>
      <c r="AC17" s="21">
        <f t="shared" si="1"/>
        <v>90468</v>
      </c>
      <c r="AE17" s="23">
        <f t="shared" si="2"/>
        <v>21.427357649251611</v>
      </c>
      <c r="AF17" s="23">
        <f t="shared" si="3"/>
        <v>3.0262098918809346</v>
      </c>
    </row>
    <row r="18" spans="1:32">
      <c r="A18" s="5" t="s">
        <v>26</v>
      </c>
      <c r="B18" s="6">
        <v>2</v>
      </c>
      <c r="C18" s="6">
        <v>6293</v>
      </c>
      <c r="D18" s="6">
        <v>7</v>
      </c>
      <c r="E18" s="6">
        <v>48676</v>
      </c>
      <c r="F18" s="6">
        <v>1</v>
      </c>
      <c r="G18" s="6">
        <v>13081</v>
      </c>
      <c r="H18" s="6">
        <v>1</v>
      </c>
      <c r="I18" s="6">
        <v>20983</v>
      </c>
      <c r="J18" s="6">
        <v>1</v>
      </c>
      <c r="K18" s="6">
        <v>80599</v>
      </c>
      <c r="L18" s="6"/>
      <c r="M18" s="6">
        <v>144</v>
      </c>
      <c r="N18" s="6">
        <v>351948</v>
      </c>
      <c r="O18" s="6">
        <v>55</v>
      </c>
      <c r="P18" s="6">
        <v>188165</v>
      </c>
      <c r="Q18" s="6">
        <v>36</v>
      </c>
      <c r="R18" s="6">
        <v>159023</v>
      </c>
      <c r="S18" s="6">
        <v>63</v>
      </c>
      <c r="T18" s="6">
        <v>424436</v>
      </c>
      <c r="U18" s="6">
        <v>7</v>
      </c>
      <c r="V18" s="6">
        <v>86962</v>
      </c>
      <c r="W18" s="6">
        <v>1</v>
      </c>
      <c r="X18" s="6">
        <v>23443</v>
      </c>
      <c r="Z18" s="21">
        <v>2531253</v>
      </c>
      <c r="AB18" s="21">
        <f t="shared" si="0"/>
        <v>1403609</v>
      </c>
      <c r="AC18" s="21">
        <f t="shared" si="1"/>
        <v>125025</v>
      </c>
      <c r="AE18" s="23">
        <f t="shared" si="2"/>
        <v>55.451154033200154</v>
      </c>
      <c r="AF18" s="23">
        <f t="shared" si="3"/>
        <v>4.939253405329298</v>
      </c>
    </row>
    <row r="19" spans="1:32">
      <c r="A19" s="8" t="s">
        <v>27</v>
      </c>
      <c r="B19" s="9">
        <v>7</v>
      </c>
      <c r="C19" s="9">
        <v>28155</v>
      </c>
      <c r="D19" s="9">
        <v>1</v>
      </c>
      <c r="E19" s="9">
        <v>9764</v>
      </c>
      <c r="F19" s="9">
        <v>1</v>
      </c>
      <c r="G19" s="9">
        <v>10051</v>
      </c>
      <c r="H19" s="9">
        <v>2</v>
      </c>
      <c r="I19" s="9">
        <v>46406</v>
      </c>
      <c r="J19" s="10" t="s">
        <v>18</v>
      </c>
      <c r="K19" s="10" t="s">
        <v>18</v>
      </c>
      <c r="L19" s="10"/>
      <c r="M19" s="9">
        <v>12</v>
      </c>
      <c r="N19" s="9">
        <v>30624</v>
      </c>
      <c r="O19" s="9">
        <v>1</v>
      </c>
      <c r="P19" s="9">
        <v>3232</v>
      </c>
      <c r="Q19" s="9">
        <v>2</v>
      </c>
      <c r="R19" s="9">
        <v>8785</v>
      </c>
      <c r="S19" s="9">
        <v>1</v>
      </c>
      <c r="T19" s="9">
        <v>5245</v>
      </c>
      <c r="U19" s="10" t="s">
        <v>18</v>
      </c>
      <c r="V19" s="10" t="s">
        <v>18</v>
      </c>
      <c r="W19" s="9">
        <v>2</v>
      </c>
      <c r="X19" s="9">
        <v>62695</v>
      </c>
      <c r="Z19" s="21">
        <v>3030831</v>
      </c>
      <c r="AB19" s="21">
        <f t="shared" si="0"/>
        <v>204957</v>
      </c>
      <c r="AC19" s="21">
        <f t="shared" si="1"/>
        <v>109101</v>
      </c>
      <c r="AE19" s="23">
        <f t="shared" si="2"/>
        <v>6.7624027865624976</v>
      </c>
      <c r="AF19" s="23">
        <f t="shared" si="3"/>
        <v>3.5997058232544141</v>
      </c>
    </row>
    <row r="20" spans="1:32">
      <c r="A20" s="5" t="s">
        <v>28</v>
      </c>
      <c r="B20" s="6">
        <v>7</v>
      </c>
      <c r="C20" s="6">
        <v>22779</v>
      </c>
      <c r="D20" s="6">
        <v>3</v>
      </c>
      <c r="E20" s="6">
        <v>22695</v>
      </c>
      <c r="F20" s="6">
        <v>3</v>
      </c>
      <c r="G20" s="6">
        <v>36594</v>
      </c>
      <c r="H20" s="6">
        <v>2</v>
      </c>
      <c r="I20" s="6">
        <v>93487</v>
      </c>
      <c r="J20" s="6">
        <v>1</v>
      </c>
      <c r="K20" s="6">
        <v>66032</v>
      </c>
      <c r="L20" s="6"/>
      <c r="M20" s="6">
        <v>16</v>
      </c>
      <c r="N20" s="6">
        <v>39843</v>
      </c>
      <c r="O20" s="6">
        <v>13</v>
      </c>
      <c r="P20" s="6">
        <v>44232</v>
      </c>
      <c r="Q20" s="6">
        <v>2</v>
      </c>
      <c r="R20" s="6">
        <v>9254</v>
      </c>
      <c r="S20" s="6">
        <v>5</v>
      </c>
      <c r="T20" s="6">
        <v>28041</v>
      </c>
      <c r="U20" s="7" t="s">
        <v>18</v>
      </c>
      <c r="V20" s="7" t="s">
        <v>18</v>
      </c>
      <c r="W20" s="7" t="s">
        <v>18</v>
      </c>
      <c r="X20" s="7" t="s">
        <v>18</v>
      </c>
      <c r="Z20" s="21">
        <v>1603409</v>
      </c>
      <c r="AB20" s="21">
        <f t="shared" si="0"/>
        <v>362957</v>
      </c>
      <c r="AC20" s="21">
        <f t="shared" si="1"/>
        <v>159519</v>
      </c>
      <c r="AE20" s="23">
        <f t="shared" si="2"/>
        <v>22.636582431556764</v>
      </c>
      <c r="AF20" s="23">
        <f t="shared" si="3"/>
        <v>9.9487404648470843</v>
      </c>
    </row>
    <row r="21" spans="1:32">
      <c r="A21" s="8" t="s">
        <v>29</v>
      </c>
      <c r="B21" s="10" t="s">
        <v>18</v>
      </c>
      <c r="C21" s="10" t="s">
        <v>18</v>
      </c>
      <c r="D21" s="10" t="s">
        <v>18</v>
      </c>
      <c r="E21" s="10" t="s">
        <v>18</v>
      </c>
      <c r="F21" s="9">
        <v>1</v>
      </c>
      <c r="G21" s="9">
        <v>16479</v>
      </c>
      <c r="H21" s="9">
        <v>1</v>
      </c>
      <c r="I21" s="9">
        <v>28427</v>
      </c>
      <c r="J21" s="9">
        <v>3</v>
      </c>
      <c r="K21" s="9">
        <v>222876</v>
      </c>
      <c r="L21" s="9"/>
      <c r="M21" s="9">
        <v>71</v>
      </c>
      <c r="N21" s="9">
        <v>170000</v>
      </c>
      <c r="O21" s="9">
        <v>29</v>
      </c>
      <c r="P21" s="9">
        <v>99031</v>
      </c>
      <c r="Q21" s="9">
        <v>18</v>
      </c>
      <c r="R21" s="9">
        <v>80268</v>
      </c>
      <c r="S21" s="9">
        <v>28</v>
      </c>
      <c r="T21" s="9">
        <v>176437</v>
      </c>
      <c r="U21" s="9">
        <v>6</v>
      </c>
      <c r="V21" s="9">
        <v>75508</v>
      </c>
      <c r="W21" s="10" t="s">
        <v>18</v>
      </c>
      <c r="X21" s="10" t="s">
        <v>18</v>
      </c>
      <c r="Z21" s="21">
        <v>2564238</v>
      </c>
      <c r="AB21" s="21">
        <f t="shared" si="0"/>
        <v>869026</v>
      </c>
      <c r="AC21" s="21">
        <f t="shared" si="1"/>
        <v>251303</v>
      </c>
      <c r="AE21" s="23">
        <f t="shared" si="2"/>
        <v>33.890223918372634</v>
      </c>
      <c r="AF21" s="23">
        <f t="shared" si="3"/>
        <v>9.80029934818843</v>
      </c>
    </row>
    <row r="22" spans="1:32">
      <c r="A22" s="5" t="s">
        <v>30</v>
      </c>
      <c r="B22" s="6">
        <v>1</v>
      </c>
      <c r="C22" s="6">
        <v>3122</v>
      </c>
      <c r="D22" s="6">
        <v>1</v>
      </c>
      <c r="E22" s="6">
        <v>6701</v>
      </c>
      <c r="F22" s="6">
        <v>4</v>
      </c>
      <c r="G22" s="6">
        <v>66823</v>
      </c>
      <c r="H22" s="6">
        <v>2</v>
      </c>
      <c r="I22" s="6">
        <v>51520</v>
      </c>
      <c r="J22" s="6">
        <v>1</v>
      </c>
      <c r="K22" s="6">
        <v>112839</v>
      </c>
      <c r="L22" s="6"/>
      <c r="M22" s="6">
        <v>61</v>
      </c>
      <c r="N22" s="6">
        <v>147263</v>
      </c>
      <c r="O22" s="6">
        <v>52</v>
      </c>
      <c r="P22" s="6">
        <v>181759</v>
      </c>
      <c r="Q22" s="6">
        <v>29</v>
      </c>
      <c r="R22" s="6">
        <v>131249</v>
      </c>
      <c r="S22" s="6">
        <v>64</v>
      </c>
      <c r="T22" s="6">
        <v>419393</v>
      </c>
      <c r="U22" s="6">
        <v>4</v>
      </c>
      <c r="V22" s="6">
        <v>54711</v>
      </c>
      <c r="W22" s="6">
        <v>2</v>
      </c>
      <c r="X22" s="6">
        <v>49147</v>
      </c>
      <c r="Z22" s="21">
        <v>2113674</v>
      </c>
      <c r="AB22" s="21">
        <f t="shared" si="0"/>
        <v>1224527</v>
      </c>
      <c r="AC22" s="21">
        <f t="shared" si="1"/>
        <v>213506</v>
      </c>
      <c r="AE22" s="23">
        <f t="shared" si="2"/>
        <v>57.933579161214077</v>
      </c>
      <c r="AF22" s="23">
        <f t="shared" si="3"/>
        <v>10.101179273624977</v>
      </c>
    </row>
    <row r="23" spans="1:32">
      <c r="A23" s="8" t="s">
        <v>31</v>
      </c>
      <c r="B23" s="9">
        <v>8</v>
      </c>
      <c r="C23" s="9">
        <v>27355</v>
      </c>
      <c r="D23" s="9">
        <v>1</v>
      </c>
      <c r="E23" s="9">
        <v>5284</v>
      </c>
      <c r="F23" s="10" t="s">
        <v>18</v>
      </c>
      <c r="G23" s="10" t="s">
        <v>18</v>
      </c>
      <c r="H23" s="9">
        <v>1</v>
      </c>
      <c r="I23" s="9">
        <v>20104</v>
      </c>
      <c r="J23" s="9">
        <v>1</v>
      </c>
      <c r="K23" s="9">
        <v>129959</v>
      </c>
      <c r="L23" s="9"/>
      <c r="M23" s="9">
        <v>50</v>
      </c>
      <c r="N23" s="9">
        <v>120154</v>
      </c>
      <c r="O23" s="9">
        <v>8</v>
      </c>
      <c r="P23" s="9">
        <v>27081</v>
      </c>
      <c r="Q23" s="9">
        <v>3</v>
      </c>
      <c r="R23" s="9">
        <v>12685</v>
      </c>
      <c r="S23" s="9">
        <v>1</v>
      </c>
      <c r="T23" s="9">
        <v>6058</v>
      </c>
      <c r="U23" s="10" t="s">
        <v>18</v>
      </c>
      <c r="V23" s="10" t="s">
        <v>18</v>
      </c>
      <c r="W23" s="10" t="s">
        <v>18</v>
      </c>
      <c r="X23" s="10" t="s">
        <v>18</v>
      </c>
      <c r="Z23" s="21">
        <v>2170665</v>
      </c>
      <c r="AB23" s="21">
        <f t="shared" si="0"/>
        <v>348680</v>
      </c>
      <c r="AC23" s="21">
        <f t="shared" si="1"/>
        <v>150063</v>
      </c>
      <c r="AE23" s="23">
        <f t="shared" si="2"/>
        <v>16.063280146867434</v>
      </c>
      <c r="AF23" s="23">
        <f t="shared" si="3"/>
        <v>6.9132270525391988</v>
      </c>
    </row>
    <row r="24" spans="1:32">
      <c r="A24" s="5" t="s">
        <v>32</v>
      </c>
      <c r="B24" s="6">
        <v>4</v>
      </c>
      <c r="C24" s="6">
        <v>13174</v>
      </c>
      <c r="D24" s="6">
        <v>4</v>
      </c>
      <c r="E24" s="6">
        <v>25484</v>
      </c>
      <c r="F24" s="7" t="s">
        <v>18</v>
      </c>
      <c r="G24" s="7" t="s">
        <v>18</v>
      </c>
      <c r="H24" s="6">
        <v>1</v>
      </c>
      <c r="I24" s="6">
        <v>49513</v>
      </c>
      <c r="J24" s="7" t="s">
        <v>18</v>
      </c>
      <c r="K24" s="7" t="s">
        <v>18</v>
      </c>
      <c r="L24" s="7"/>
      <c r="M24" s="6">
        <v>11</v>
      </c>
      <c r="N24" s="6">
        <v>24373</v>
      </c>
      <c r="O24" s="6">
        <v>4</v>
      </c>
      <c r="P24" s="6">
        <v>14111</v>
      </c>
      <c r="Q24" s="6">
        <v>1</v>
      </c>
      <c r="R24" s="6">
        <v>4983</v>
      </c>
      <c r="S24" s="6">
        <v>1</v>
      </c>
      <c r="T24" s="6">
        <v>7784</v>
      </c>
      <c r="U24" s="7" t="s">
        <v>18</v>
      </c>
      <c r="V24" s="7" t="s">
        <v>18</v>
      </c>
      <c r="W24" s="7" t="s">
        <v>18</v>
      </c>
      <c r="X24" s="7" t="s">
        <v>18</v>
      </c>
      <c r="Z24" s="21">
        <v>1132843</v>
      </c>
      <c r="AB24" s="21">
        <f t="shared" si="0"/>
        <v>139422</v>
      </c>
      <c r="AC24" s="21">
        <f t="shared" si="1"/>
        <v>49513</v>
      </c>
      <c r="AE24" s="23">
        <f t="shared" si="2"/>
        <v>12.307265878855233</v>
      </c>
      <c r="AF24" s="23">
        <f t="shared" si="3"/>
        <v>4.370685081692697</v>
      </c>
    </row>
    <row r="25" spans="1:32">
      <c r="A25" s="8" t="s">
        <v>33</v>
      </c>
      <c r="B25" s="10" t="s">
        <v>18</v>
      </c>
      <c r="C25" s="10" t="s">
        <v>18</v>
      </c>
      <c r="D25" s="9">
        <v>3</v>
      </c>
      <c r="E25" s="9">
        <v>27385</v>
      </c>
      <c r="F25" s="9">
        <v>5</v>
      </c>
      <c r="G25" s="9">
        <v>70178</v>
      </c>
      <c r="H25" s="9">
        <v>2</v>
      </c>
      <c r="I25" s="9">
        <v>60616</v>
      </c>
      <c r="J25" s="9">
        <v>2</v>
      </c>
      <c r="K25" s="9">
        <v>301074</v>
      </c>
      <c r="L25" s="9"/>
      <c r="M25" s="9">
        <v>210</v>
      </c>
      <c r="N25" s="9">
        <v>503342</v>
      </c>
      <c r="O25" s="9">
        <v>99</v>
      </c>
      <c r="P25" s="9">
        <v>339004</v>
      </c>
      <c r="Q25" s="9">
        <v>29</v>
      </c>
      <c r="R25" s="9">
        <v>129167</v>
      </c>
      <c r="S25" s="9">
        <v>46</v>
      </c>
      <c r="T25" s="9">
        <v>318553</v>
      </c>
      <c r="U25" s="9">
        <v>8</v>
      </c>
      <c r="V25" s="9">
        <v>96080</v>
      </c>
      <c r="W25" s="9">
        <v>1</v>
      </c>
      <c r="X25" s="9">
        <v>35378</v>
      </c>
      <c r="Z25" s="21">
        <v>3559229</v>
      </c>
      <c r="AB25" s="21">
        <f t="shared" si="0"/>
        <v>1880777</v>
      </c>
      <c r="AC25" s="21">
        <f t="shared" si="1"/>
        <v>397068</v>
      </c>
      <c r="AE25" s="23">
        <f t="shared" si="2"/>
        <v>52.84225881504112</v>
      </c>
      <c r="AF25" s="23">
        <f t="shared" si="3"/>
        <v>11.156011596893597</v>
      </c>
    </row>
    <row r="26" spans="1:32">
      <c r="A26" s="5" t="s">
        <v>34</v>
      </c>
      <c r="B26" s="6">
        <v>1</v>
      </c>
      <c r="C26" s="6">
        <v>4474</v>
      </c>
      <c r="D26" s="6">
        <v>4</v>
      </c>
      <c r="E26" s="6">
        <v>25122</v>
      </c>
      <c r="F26" s="6">
        <v>3</v>
      </c>
      <c r="G26" s="6">
        <v>42628</v>
      </c>
      <c r="H26" s="7" t="s">
        <v>18</v>
      </c>
      <c r="I26" s="7" t="s">
        <v>18</v>
      </c>
      <c r="J26" s="6">
        <v>1</v>
      </c>
      <c r="K26" s="6">
        <v>70920</v>
      </c>
      <c r="L26" s="6"/>
      <c r="M26" s="6">
        <v>13</v>
      </c>
      <c r="N26" s="6">
        <v>30946</v>
      </c>
      <c r="O26" s="6">
        <v>10</v>
      </c>
      <c r="P26" s="6">
        <v>35401</v>
      </c>
      <c r="Q26" s="6">
        <v>4</v>
      </c>
      <c r="R26" s="6">
        <v>18678</v>
      </c>
      <c r="S26" s="6">
        <v>4</v>
      </c>
      <c r="T26" s="6">
        <v>25761</v>
      </c>
      <c r="U26" s="7" t="s">
        <v>18</v>
      </c>
      <c r="V26" s="7" t="s">
        <v>18</v>
      </c>
      <c r="W26" s="7" t="s">
        <v>18</v>
      </c>
      <c r="X26" s="7" t="s">
        <v>18</v>
      </c>
      <c r="Z26" s="21">
        <v>1544564</v>
      </c>
      <c r="AB26" s="21">
        <f t="shared" si="0"/>
        <v>253930</v>
      </c>
      <c r="AC26" s="21">
        <f t="shared" si="1"/>
        <v>70920</v>
      </c>
      <c r="AE26" s="23">
        <f t="shared" si="2"/>
        <v>16.440238151348861</v>
      </c>
      <c r="AF26" s="23">
        <f t="shared" si="3"/>
        <v>4.5915870109623169</v>
      </c>
    </row>
    <row r="27" spans="1:32">
      <c r="A27" s="8" t="s">
        <v>35</v>
      </c>
      <c r="B27" s="9">
        <v>7</v>
      </c>
      <c r="C27" s="9">
        <v>20842</v>
      </c>
      <c r="D27" s="9">
        <v>4</v>
      </c>
      <c r="E27" s="9">
        <v>25037</v>
      </c>
      <c r="F27" s="10" t="s">
        <v>18</v>
      </c>
      <c r="G27" s="10" t="s">
        <v>18</v>
      </c>
      <c r="H27" s="9">
        <v>1</v>
      </c>
      <c r="I27" s="9">
        <v>41336</v>
      </c>
      <c r="J27" s="10" t="s">
        <v>18</v>
      </c>
      <c r="K27" s="10" t="s">
        <v>18</v>
      </c>
      <c r="L27" s="10"/>
      <c r="M27" s="9">
        <v>3</v>
      </c>
      <c r="N27" s="9">
        <v>7777</v>
      </c>
      <c r="O27" s="9">
        <v>2</v>
      </c>
      <c r="P27" s="9">
        <v>6383</v>
      </c>
      <c r="Q27" s="9">
        <v>1</v>
      </c>
      <c r="R27" s="9">
        <v>4173</v>
      </c>
      <c r="S27" s="10" t="s">
        <v>18</v>
      </c>
      <c r="T27" s="10" t="s">
        <v>18</v>
      </c>
      <c r="U27" s="10" t="s">
        <v>18</v>
      </c>
      <c r="V27" s="10" t="s">
        <v>18</v>
      </c>
      <c r="W27" s="10" t="s">
        <v>18</v>
      </c>
      <c r="X27" s="10" t="s">
        <v>18</v>
      </c>
      <c r="Z27" s="21">
        <v>1387015</v>
      </c>
      <c r="AB27" s="21">
        <f t="shared" si="0"/>
        <v>105548</v>
      </c>
      <c r="AC27" s="21">
        <f t="shared" si="1"/>
        <v>41336</v>
      </c>
      <c r="AE27" s="23">
        <f t="shared" si="2"/>
        <v>7.6097230383233061</v>
      </c>
      <c r="AF27" s="23">
        <f t="shared" si="3"/>
        <v>2.9802129032490634</v>
      </c>
    </row>
    <row r="28" spans="1:32">
      <c r="A28" s="5" t="s">
        <v>36</v>
      </c>
      <c r="B28" s="6">
        <v>3</v>
      </c>
      <c r="C28" s="6">
        <v>11192</v>
      </c>
      <c r="D28" s="6">
        <v>6</v>
      </c>
      <c r="E28" s="6">
        <v>41950</v>
      </c>
      <c r="F28" s="7" t="s">
        <v>18</v>
      </c>
      <c r="G28" s="7" t="s">
        <v>18</v>
      </c>
      <c r="H28" s="6">
        <v>1</v>
      </c>
      <c r="I28" s="6">
        <v>35131</v>
      </c>
      <c r="J28" s="6">
        <v>1</v>
      </c>
      <c r="K28" s="6">
        <v>64489</v>
      </c>
      <c r="L28" s="6"/>
      <c r="M28" s="6">
        <v>2</v>
      </c>
      <c r="N28" s="6">
        <v>4196</v>
      </c>
      <c r="O28" s="6">
        <v>1</v>
      </c>
      <c r="P28" s="6">
        <v>3570</v>
      </c>
      <c r="Q28" s="7" t="s">
        <v>18</v>
      </c>
      <c r="R28" s="7" t="s">
        <v>18</v>
      </c>
      <c r="S28" s="6">
        <v>1</v>
      </c>
      <c r="T28" s="6">
        <v>8009</v>
      </c>
      <c r="U28" s="7" t="s">
        <v>18</v>
      </c>
      <c r="V28" s="7" t="s">
        <v>18</v>
      </c>
      <c r="W28" s="7" t="s">
        <v>18</v>
      </c>
      <c r="X28" s="7" t="s">
        <v>18</v>
      </c>
      <c r="Z28" s="21">
        <v>674034</v>
      </c>
      <c r="AB28" s="21">
        <f t="shared" si="0"/>
        <v>168537</v>
      </c>
      <c r="AC28" s="21">
        <f t="shared" si="1"/>
        <v>99620</v>
      </c>
      <c r="AE28" s="23">
        <f t="shared" si="2"/>
        <v>25.004228273351199</v>
      </c>
      <c r="AF28" s="23">
        <f t="shared" si="3"/>
        <v>14.779669868285575</v>
      </c>
    </row>
    <row r="29" spans="1:32">
      <c r="A29" s="8" t="s">
        <v>37</v>
      </c>
      <c r="B29" s="9">
        <v>3</v>
      </c>
      <c r="C29" s="9">
        <v>10180</v>
      </c>
      <c r="D29" s="9">
        <v>7</v>
      </c>
      <c r="E29" s="9">
        <v>49273</v>
      </c>
      <c r="F29" s="9">
        <v>5</v>
      </c>
      <c r="G29" s="9">
        <v>59334</v>
      </c>
      <c r="H29" s="9">
        <v>1</v>
      </c>
      <c r="I29" s="9">
        <v>26564</v>
      </c>
      <c r="J29" s="9">
        <v>1</v>
      </c>
      <c r="K29" s="9">
        <v>75721</v>
      </c>
      <c r="L29" s="9"/>
      <c r="M29" s="9">
        <v>123</v>
      </c>
      <c r="N29" s="9">
        <v>293034</v>
      </c>
      <c r="O29" s="9">
        <v>25</v>
      </c>
      <c r="P29" s="9">
        <v>88813</v>
      </c>
      <c r="Q29" s="9">
        <v>14</v>
      </c>
      <c r="R29" s="9">
        <v>60673</v>
      </c>
      <c r="S29" s="9">
        <v>13</v>
      </c>
      <c r="T29" s="9">
        <v>82377</v>
      </c>
      <c r="U29" s="9">
        <v>3</v>
      </c>
      <c r="V29" s="9">
        <v>40524</v>
      </c>
      <c r="W29" s="10" t="s">
        <v>18</v>
      </c>
      <c r="X29" s="10" t="s">
        <v>18</v>
      </c>
      <c r="Z29" s="21">
        <v>2371012</v>
      </c>
      <c r="AB29" s="21">
        <f t="shared" si="0"/>
        <v>786493</v>
      </c>
      <c r="AC29" s="21">
        <f t="shared" si="1"/>
        <v>102285</v>
      </c>
      <c r="AE29" s="23">
        <f t="shared" si="2"/>
        <v>33.171194409813189</v>
      </c>
      <c r="AF29" s="23">
        <f t="shared" si="3"/>
        <v>4.3139806968501215</v>
      </c>
    </row>
    <row r="30" spans="1:32">
      <c r="A30" s="5" t="s">
        <v>38</v>
      </c>
      <c r="B30" s="6">
        <v>4</v>
      </c>
      <c r="C30" s="6">
        <v>13281</v>
      </c>
      <c r="D30" s="6">
        <v>3</v>
      </c>
      <c r="E30" s="6">
        <v>19142</v>
      </c>
      <c r="F30" s="6">
        <v>2</v>
      </c>
      <c r="G30" s="6">
        <v>23820</v>
      </c>
      <c r="H30" s="6">
        <v>1</v>
      </c>
      <c r="I30" s="6">
        <v>42308</v>
      </c>
      <c r="J30" s="6">
        <v>1</v>
      </c>
      <c r="K30" s="6">
        <v>282230</v>
      </c>
      <c r="L30" s="6"/>
      <c r="M30" s="6">
        <v>6</v>
      </c>
      <c r="N30" s="6">
        <v>14078</v>
      </c>
      <c r="O30" s="7" t="s">
        <v>18</v>
      </c>
      <c r="P30" s="7" t="s">
        <v>18</v>
      </c>
      <c r="Q30" s="7" t="s">
        <v>18</v>
      </c>
      <c r="R30" s="7" t="s">
        <v>18</v>
      </c>
      <c r="S30" s="7" t="s">
        <v>18</v>
      </c>
      <c r="T30" s="7" t="s">
        <v>18</v>
      </c>
      <c r="U30" s="7" t="s">
        <v>18</v>
      </c>
      <c r="V30" s="7" t="s">
        <v>18</v>
      </c>
      <c r="W30" s="7" t="s">
        <v>18</v>
      </c>
      <c r="X30" s="7" t="s">
        <v>18</v>
      </c>
      <c r="Z30" s="21">
        <v>1299365</v>
      </c>
      <c r="AB30" s="21">
        <f t="shared" si="0"/>
        <v>394859</v>
      </c>
      <c r="AC30" s="21">
        <f t="shared" si="1"/>
        <v>324538</v>
      </c>
      <c r="AE30" s="23">
        <f t="shared" si="2"/>
        <v>30.388612899377769</v>
      </c>
      <c r="AF30" s="23">
        <f t="shared" si="3"/>
        <v>24.976661677049943</v>
      </c>
    </row>
    <row r="31" spans="1:32">
      <c r="A31" s="8" t="s">
        <v>39</v>
      </c>
      <c r="B31" s="9">
        <v>2</v>
      </c>
      <c r="C31" s="9">
        <v>8215</v>
      </c>
      <c r="D31" s="9">
        <v>4</v>
      </c>
      <c r="E31" s="9">
        <v>33702</v>
      </c>
      <c r="F31" s="9">
        <v>2</v>
      </c>
      <c r="G31" s="9">
        <v>29412</v>
      </c>
      <c r="H31" s="9">
        <v>2</v>
      </c>
      <c r="I31" s="9">
        <v>62704</v>
      </c>
      <c r="J31" s="9">
        <v>1</v>
      </c>
      <c r="K31" s="9">
        <v>90912</v>
      </c>
      <c r="L31" s="9"/>
      <c r="M31" s="9">
        <v>20</v>
      </c>
      <c r="N31" s="9">
        <v>49745</v>
      </c>
      <c r="O31" s="9">
        <v>10</v>
      </c>
      <c r="P31" s="9">
        <v>33962</v>
      </c>
      <c r="Q31" s="9">
        <v>9</v>
      </c>
      <c r="R31" s="9">
        <v>40956</v>
      </c>
      <c r="S31" s="9">
        <v>5</v>
      </c>
      <c r="T31" s="9">
        <v>29098</v>
      </c>
      <c r="U31" s="10" t="s">
        <v>18</v>
      </c>
      <c r="V31" s="10" t="s">
        <v>18</v>
      </c>
      <c r="W31" s="10" t="s">
        <v>18</v>
      </c>
      <c r="X31" s="10" t="s">
        <v>18</v>
      </c>
      <c r="Z31" s="21">
        <v>2147621</v>
      </c>
      <c r="AB31" s="21">
        <f t="shared" si="0"/>
        <v>378706</v>
      </c>
      <c r="AC31" s="21">
        <f t="shared" si="1"/>
        <v>153616</v>
      </c>
      <c r="AE31" s="23">
        <f t="shared" si="2"/>
        <v>17.633744501473956</v>
      </c>
      <c r="AF31" s="23">
        <f t="shared" si="3"/>
        <v>7.1528449386553765</v>
      </c>
    </row>
    <row r="32" spans="1:32">
      <c r="A32" s="5" t="s">
        <v>40</v>
      </c>
      <c r="B32" s="6">
        <v>4</v>
      </c>
      <c r="C32" s="6">
        <v>17158</v>
      </c>
      <c r="D32" s="6">
        <v>5</v>
      </c>
      <c r="E32" s="6">
        <v>35917</v>
      </c>
      <c r="F32" s="6">
        <v>1</v>
      </c>
      <c r="G32" s="6">
        <v>13061</v>
      </c>
      <c r="H32" s="6">
        <v>2</v>
      </c>
      <c r="I32" s="6">
        <v>79894</v>
      </c>
      <c r="J32" s="7" t="s">
        <v>18</v>
      </c>
      <c r="K32" s="7" t="s">
        <v>18</v>
      </c>
      <c r="L32" s="7"/>
      <c r="M32" s="6">
        <v>26</v>
      </c>
      <c r="N32" s="6">
        <v>62732</v>
      </c>
      <c r="O32" s="6">
        <v>6</v>
      </c>
      <c r="P32" s="6">
        <v>20142</v>
      </c>
      <c r="Q32" s="6">
        <v>2</v>
      </c>
      <c r="R32" s="6">
        <v>8834</v>
      </c>
      <c r="S32" s="6">
        <v>5</v>
      </c>
      <c r="T32" s="6">
        <v>33812</v>
      </c>
      <c r="U32" s="7" t="s">
        <v>18</v>
      </c>
      <c r="V32" s="7" t="s">
        <v>18</v>
      </c>
      <c r="W32" s="7" t="s">
        <v>18</v>
      </c>
      <c r="X32" s="7" t="s">
        <v>18</v>
      </c>
      <c r="Z32" s="21">
        <v>1686764</v>
      </c>
      <c r="AB32" s="21">
        <f t="shared" si="0"/>
        <v>271550</v>
      </c>
      <c r="AC32" s="21">
        <f t="shared" si="1"/>
        <v>79894</v>
      </c>
      <c r="AE32" s="23">
        <f t="shared" si="2"/>
        <v>16.09887334564883</v>
      </c>
      <c r="AF32" s="23">
        <f t="shared" si="3"/>
        <v>4.7365250859041339</v>
      </c>
    </row>
    <row r="33" spans="1:32">
      <c r="A33" s="8" t="s">
        <v>41</v>
      </c>
      <c r="B33" s="9">
        <v>10</v>
      </c>
      <c r="C33" s="9">
        <v>33841</v>
      </c>
      <c r="D33" s="10" t="s">
        <v>18</v>
      </c>
      <c r="E33" s="10" t="s">
        <v>18</v>
      </c>
      <c r="F33" s="9">
        <v>1</v>
      </c>
      <c r="G33" s="9">
        <v>11102</v>
      </c>
      <c r="H33" s="9">
        <v>2</v>
      </c>
      <c r="I33" s="9">
        <v>50848</v>
      </c>
      <c r="J33" s="9">
        <v>1</v>
      </c>
      <c r="K33" s="9">
        <v>1038591</v>
      </c>
      <c r="L33" s="9"/>
      <c r="M33" s="9">
        <v>7</v>
      </c>
      <c r="N33" s="9">
        <v>16133</v>
      </c>
      <c r="O33" s="9">
        <v>7</v>
      </c>
      <c r="P33" s="9">
        <v>24170</v>
      </c>
      <c r="Q33" s="9">
        <v>2</v>
      </c>
      <c r="R33" s="9">
        <v>8490</v>
      </c>
      <c r="S33" s="9">
        <v>5</v>
      </c>
      <c r="T33" s="9">
        <v>41189</v>
      </c>
      <c r="U33" s="9">
        <v>2</v>
      </c>
      <c r="V33" s="9">
        <v>26321</v>
      </c>
      <c r="W33" s="10" t="s">
        <v>18</v>
      </c>
      <c r="X33" s="10" t="s">
        <v>18</v>
      </c>
      <c r="Z33" s="21">
        <v>2430581</v>
      </c>
      <c r="AB33" s="21">
        <f t="shared" si="0"/>
        <v>1250685</v>
      </c>
      <c r="AC33" s="21">
        <f t="shared" si="1"/>
        <v>1089439</v>
      </c>
      <c r="AE33" s="23">
        <f t="shared" si="2"/>
        <v>51.456215612645707</v>
      </c>
      <c r="AF33" s="23">
        <f t="shared" si="3"/>
        <v>44.822163918832572</v>
      </c>
    </row>
    <row r="34" spans="1:32">
      <c r="A34" s="5" t="s">
        <v>42</v>
      </c>
      <c r="B34" s="6">
        <v>7</v>
      </c>
      <c r="C34" s="6">
        <v>25085</v>
      </c>
      <c r="D34" s="6">
        <v>2</v>
      </c>
      <c r="E34" s="6">
        <v>14971</v>
      </c>
      <c r="F34" s="6">
        <v>1</v>
      </c>
      <c r="G34" s="6">
        <v>10592</v>
      </c>
      <c r="H34" s="7" t="s">
        <v>18</v>
      </c>
      <c r="I34" s="7" t="s">
        <v>18</v>
      </c>
      <c r="J34" s="6">
        <v>1</v>
      </c>
      <c r="K34" s="6">
        <v>90053</v>
      </c>
      <c r="L34" s="6"/>
      <c r="M34" s="6">
        <v>44</v>
      </c>
      <c r="N34" s="6">
        <v>105760</v>
      </c>
      <c r="O34" s="6">
        <v>11</v>
      </c>
      <c r="P34" s="6">
        <v>38519</v>
      </c>
      <c r="Q34" s="6">
        <v>7</v>
      </c>
      <c r="R34" s="6">
        <v>31789</v>
      </c>
      <c r="S34" s="6">
        <v>5</v>
      </c>
      <c r="T34" s="6">
        <v>32087</v>
      </c>
      <c r="U34" s="6">
        <v>2</v>
      </c>
      <c r="V34" s="6">
        <v>24773</v>
      </c>
      <c r="W34" s="7" t="s">
        <v>18</v>
      </c>
      <c r="X34" s="7" t="s">
        <v>18</v>
      </c>
      <c r="Z34" s="21">
        <v>1584774</v>
      </c>
      <c r="AB34" s="21">
        <f t="shared" si="0"/>
        <v>373629</v>
      </c>
      <c r="AC34" s="21">
        <f t="shared" si="1"/>
        <v>90053</v>
      </c>
      <c r="AE34" s="23">
        <f t="shared" si="2"/>
        <v>23.57616922034309</v>
      </c>
      <c r="AF34" s="23">
        <f t="shared" si="3"/>
        <v>5.6823875202394794</v>
      </c>
    </row>
    <row r="35" spans="1:32">
      <c r="A35" s="8" t="s">
        <v>43</v>
      </c>
      <c r="B35" s="9">
        <v>3</v>
      </c>
      <c r="C35" s="9">
        <v>9809</v>
      </c>
      <c r="D35" s="9">
        <v>5</v>
      </c>
      <c r="E35" s="9">
        <v>33094</v>
      </c>
      <c r="F35" s="9">
        <v>1</v>
      </c>
      <c r="G35" s="9">
        <v>15183</v>
      </c>
      <c r="H35" s="9">
        <v>1</v>
      </c>
      <c r="I35" s="9">
        <v>25736</v>
      </c>
      <c r="J35" s="10" t="s">
        <v>18</v>
      </c>
      <c r="K35" s="10" t="s">
        <v>18</v>
      </c>
      <c r="L35" s="10"/>
      <c r="M35" s="9">
        <v>1</v>
      </c>
      <c r="N35" s="9">
        <v>2285</v>
      </c>
      <c r="O35" s="10" t="s">
        <v>18</v>
      </c>
      <c r="P35" s="10" t="s">
        <v>18</v>
      </c>
      <c r="Q35" s="9">
        <v>1</v>
      </c>
      <c r="R35" s="9">
        <v>4851</v>
      </c>
      <c r="S35" s="9">
        <v>1</v>
      </c>
      <c r="T35" s="9">
        <v>5826</v>
      </c>
      <c r="U35" s="10" t="s">
        <v>18</v>
      </c>
      <c r="V35" s="10" t="s">
        <v>18</v>
      </c>
      <c r="W35" s="10" t="s">
        <v>18</v>
      </c>
      <c r="X35" s="10" t="s">
        <v>18</v>
      </c>
      <c r="Z35" s="21">
        <v>1367022</v>
      </c>
      <c r="AB35" s="21">
        <f t="shared" si="0"/>
        <v>96784</v>
      </c>
      <c r="AC35" s="21">
        <f t="shared" si="1"/>
        <v>25736</v>
      </c>
      <c r="AE35" s="23">
        <f t="shared" si="2"/>
        <v>7.0799153195778857</v>
      </c>
      <c r="AF35" s="23">
        <f t="shared" si="3"/>
        <v>1.8826324667781498</v>
      </c>
    </row>
    <row r="36" spans="1:32">
      <c r="A36" s="5" t="s">
        <v>44</v>
      </c>
      <c r="B36" s="6">
        <v>2</v>
      </c>
      <c r="C36" s="6">
        <v>7559</v>
      </c>
      <c r="D36" s="7" t="s">
        <v>18</v>
      </c>
      <c r="E36" s="7" t="s">
        <v>18</v>
      </c>
      <c r="F36" s="6">
        <v>1</v>
      </c>
      <c r="G36" s="6">
        <v>12522</v>
      </c>
      <c r="H36" s="7" t="s">
        <v>18</v>
      </c>
      <c r="I36" s="7" t="s">
        <v>18</v>
      </c>
      <c r="J36" s="7" t="s">
        <v>18</v>
      </c>
      <c r="K36" s="7" t="s">
        <v>18</v>
      </c>
      <c r="L36" s="7"/>
      <c r="M36" s="7" t="s">
        <v>18</v>
      </c>
      <c r="N36" s="7" t="s">
        <v>18</v>
      </c>
      <c r="O36" s="7" t="s">
        <v>18</v>
      </c>
      <c r="P36" s="7" t="s">
        <v>18</v>
      </c>
      <c r="Q36" s="7" t="s">
        <v>18</v>
      </c>
      <c r="R36" s="7" t="s">
        <v>18</v>
      </c>
      <c r="S36" s="7" t="s">
        <v>18</v>
      </c>
      <c r="T36" s="7" t="s">
        <v>18</v>
      </c>
      <c r="U36" s="7" t="s">
        <v>18</v>
      </c>
      <c r="V36" s="7" t="s">
        <v>18</v>
      </c>
      <c r="W36" s="7" t="s">
        <v>18</v>
      </c>
      <c r="X36" s="7" t="s">
        <v>18</v>
      </c>
      <c r="Z36" s="21">
        <v>364156</v>
      </c>
      <c r="AB36" s="21">
        <f t="shared" si="0"/>
        <v>20081</v>
      </c>
      <c r="AC36" s="21">
        <f t="shared" si="1"/>
        <v>0</v>
      </c>
      <c r="AE36" s="23">
        <f t="shared" si="2"/>
        <v>5.5143949296455368</v>
      </c>
      <c r="AF36" s="23">
        <f t="shared" si="3"/>
        <v>0</v>
      </c>
    </row>
    <row r="37" spans="1:32">
      <c r="A37" s="8" t="s">
        <v>45</v>
      </c>
      <c r="B37" s="10" t="s">
        <v>18</v>
      </c>
      <c r="C37" s="10" t="s">
        <v>18</v>
      </c>
      <c r="D37" s="10" t="s">
        <v>18</v>
      </c>
      <c r="E37" s="10" t="s">
        <v>18</v>
      </c>
      <c r="F37" s="9">
        <v>4</v>
      </c>
      <c r="G37" s="9">
        <v>56877</v>
      </c>
      <c r="H37" s="9">
        <v>1</v>
      </c>
      <c r="I37" s="9">
        <v>23299</v>
      </c>
      <c r="J37" s="9">
        <v>1</v>
      </c>
      <c r="K37" s="9">
        <v>72425</v>
      </c>
      <c r="L37" s="10"/>
      <c r="M37" s="9">
        <v>73</v>
      </c>
      <c r="N37" s="9">
        <v>172965</v>
      </c>
      <c r="O37" s="9">
        <v>15</v>
      </c>
      <c r="P37" s="9">
        <v>50280</v>
      </c>
      <c r="Q37" s="9">
        <v>10</v>
      </c>
      <c r="R37" s="9">
        <v>43988</v>
      </c>
      <c r="S37" s="9">
        <v>9</v>
      </c>
      <c r="T37" s="9">
        <v>56061</v>
      </c>
      <c r="U37" s="9">
        <v>2</v>
      </c>
      <c r="V37" s="9">
        <v>29868</v>
      </c>
      <c r="W37" s="10" t="s">
        <v>18</v>
      </c>
      <c r="X37" s="10" t="s">
        <v>18</v>
      </c>
      <c r="Z37" s="21">
        <v>1600145</v>
      </c>
      <c r="AB37" s="21">
        <f t="shared" si="0"/>
        <v>505763</v>
      </c>
      <c r="AC37" s="21">
        <f t="shared" si="1"/>
        <v>95724</v>
      </c>
      <c r="AE37" s="23">
        <f t="shared" si="2"/>
        <v>31.6073230863453</v>
      </c>
      <c r="AF37" s="23">
        <f t="shared" si="3"/>
        <v>5.9822078624124693</v>
      </c>
    </row>
    <row r="38" spans="1:32">
      <c r="A38" s="5" t="s">
        <v>46</v>
      </c>
      <c r="B38" s="7" t="s">
        <v>18</v>
      </c>
      <c r="C38" s="7" t="s">
        <v>18</v>
      </c>
      <c r="D38" s="6">
        <v>6</v>
      </c>
      <c r="E38" s="6">
        <v>45149</v>
      </c>
      <c r="F38" s="6">
        <v>1</v>
      </c>
      <c r="G38" s="6">
        <v>15493</v>
      </c>
      <c r="H38" s="6">
        <v>4</v>
      </c>
      <c r="I38" s="6">
        <v>113631</v>
      </c>
      <c r="J38" s="6">
        <v>1</v>
      </c>
      <c r="K38" s="6">
        <v>69735</v>
      </c>
      <c r="L38" s="6"/>
      <c r="M38" s="6">
        <v>46</v>
      </c>
      <c r="N38" s="6">
        <v>113693</v>
      </c>
      <c r="O38" s="6">
        <v>8</v>
      </c>
      <c r="P38" s="6">
        <v>26386</v>
      </c>
      <c r="Q38" s="7" t="s">
        <v>18</v>
      </c>
      <c r="R38" s="7" t="s">
        <v>18</v>
      </c>
      <c r="S38" s="6">
        <v>1</v>
      </c>
      <c r="T38" s="6">
        <v>5883</v>
      </c>
      <c r="U38" s="6">
        <v>1</v>
      </c>
      <c r="V38" s="6">
        <v>19054</v>
      </c>
      <c r="W38" s="7" t="s">
        <v>18</v>
      </c>
      <c r="X38" s="7" t="s">
        <v>18</v>
      </c>
      <c r="Z38" s="21">
        <v>2033798</v>
      </c>
      <c r="AB38" s="21">
        <f t="shared" si="0"/>
        <v>409024</v>
      </c>
      <c r="AC38" s="21">
        <f t="shared" si="1"/>
        <v>183366</v>
      </c>
      <c r="AE38" s="23">
        <f t="shared" si="2"/>
        <v>20.111338490843238</v>
      </c>
      <c r="AF38" s="23">
        <f t="shared" si="3"/>
        <v>9.0159396360897208</v>
      </c>
    </row>
    <row r="39" spans="1:32">
      <c r="A39" s="8" t="s">
        <v>47</v>
      </c>
      <c r="B39" s="9">
        <v>5</v>
      </c>
      <c r="C39" s="9">
        <v>20733</v>
      </c>
      <c r="D39" s="9">
        <v>5</v>
      </c>
      <c r="E39" s="9">
        <v>34496</v>
      </c>
      <c r="F39" s="9">
        <v>2</v>
      </c>
      <c r="G39" s="9">
        <v>24628</v>
      </c>
      <c r="H39" s="10" t="s">
        <v>18</v>
      </c>
      <c r="I39" s="10" t="s">
        <v>18</v>
      </c>
      <c r="J39" s="9">
        <v>1</v>
      </c>
      <c r="K39" s="9">
        <v>59981</v>
      </c>
      <c r="L39" s="9"/>
      <c r="M39" s="9">
        <v>64</v>
      </c>
      <c r="N39" s="9">
        <v>157162</v>
      </c>
      <c r="O39" s="9">
        <v>22</v>
      </c>
      <c r="P39" s="9">
        <v>76277</v>
      </c>
      <c r="Q39" s="9">
        <v>4</v>
      </c>
      <c r="R39" s="9">
        <v>17605</v>
      </c>
      <c r="S39" s="9">
        <v>5</v>
      </c>
      <c r="T39" s="9">
        <v>33225</v>
      </c>
      <c r="U39" s="10" t="s">
        <v>18</v>
      </c>
      <c r="V39" s="10" t="s">
        <v>18</v>
      </c>
      <c r="W39" s="10" t="s">
        <v>18</v>
      </c>
      <c r="X39" s="10" t="s">
        <v>18</v>
      </c>
      <c r="Z39" s="21">
        <v>1470474</v>
      </c>
      <c r="AB39" s="21">
        <f t="shared" si="0"/>
        <v>424107</v>
      </c>
      <c r="AC39" s="21">
        <f t="shared" si="1"/>
        <v>59981</v>
      </c>
      <c r="AE39" s="23">
        <f t="shared" si="2"/>
        <v>28.84151640899465</v>
      </c>
      <c r="AF39" s="23">
        <f t="shared" si="3"/>
        <v>4.07902485865102</v>
      </c>
    </row>
    <row r="40" spans="1:32">
      <c r="A40" s="5" t="s">
        <v>48</v>
      </c>
      <c r="B40" s="6">
        <v>4</v>
      </c>
      <c r="C40" s="6">
        <v>14228</v>
      </c>
      <c r="D40" s="6">
        <v>4</v>
      </c>
      <c r="E40" s="6">
        <v>28174</v>
      </c>
      <c r="F40" s="6">
        <v>2</v>
      </c>
      <c r="G40" s="6">
        <v>25973</v>
      </c>
      <c r="H40" s="6">
        <v>3</v>
      </c>
      <c r="I40" s="6">
        <v>108506</v>
      </c>
      <c r="J40" s="7" t="s">
        <v>18</v>
      </c>
      <c r="K40" s="7" t="s">
        <v>18</v>
      </c>
      <c r="L40" s="7"/>
      <c r="M40" s="6">
        <v>57</v>
      </c>
      <c r="N40" s="6">
        <v>133778</v>
      </c>
      <c r="O40" s="6">
        <v>22</v>
      </c>
      <c r="P40" s="6">
        <v>73297</v>
      </c>
      <c r="Q40" s="6">
        <v>20</v>
      </c>
      <c r="R40" s="6">
        <v>90254</v>
      </c>
      <c r="S40" s="6">
        <v>26</v>
      </c>
      <c r="T40" s="6">
        <v>172426</v>
      </c>
      <c r="U40" s="6">
        <v>10</v>
      </c>
      <c r="V40" s="6">
        <v>127402</v>
      </c>
      <c r="W40" s="6">
        <v>1</v>
      </c>
      <c r="X40" s="6">
        <v>31449</v>
      </c>
      <c r="Z40" s="21">
        <v>2994302</v>
      </c>
      <c r="AB40" s="21">
        <f t="shared" si="0"/>
        <v>805487</v>
      </c>
      <c r="AC40" s="21">
        <f t="shared" si="1"/>
        <v>139955</v>
      </c>
      <c r="AE40" s="23">
        <f t="shared" si="2"/>
        <v>26.900659986868391</v>
      </c>
      <c r="AF40" s="23">
        <f t="shared" si="3"/>
        <v>4.6740442346830742</v>
      </c>
    </row>
    <row r="41" spans="1:32">
      <c r="A41" s="8" t="s">
        <v>49</v>
      </c>
      <c r="B41" s="9">
        <v>3</v>
      </c>
      <c r="C41" s="9">
        <v>10186</v>
      </c>
      <c r="D41" s="9">
        <v>8</v>
      </c>
      <c r="E41" s="9">
        <v>64997</v>
      </c>
      <c r="F41" s="9">
        <v>1</v>
      </c>
      <c r="G41" s="9">
        <v>11657</v>
      </c>
      <c r="H41" s="9">
        <v>5</v>
      </c>
      <c r="I41" s="9">
        <v>135030</v>
      </c>
      <c r="J41" s="10" t="s">
        <v>18</v>
      </c>
      <c r="K41" s="10" t="s">
        <v>18</v>
      </c>
      <c r="L41" s="10"/>
      <c r="M41" s="9">
        <v>183</v>
      </c>
      <c r="N41" s="9">
        <v>433291</v>
      </c>
      <c r="O41" s="9">
        <v>56</v>
      </c>
      <c r="P41" s="9">
        <v>188762</v>
      </c>
      <c r="Q41" s="9">
        <v>26</v>
      </c>
      <c r="R41" s="9">
        <v>116112</v>
      </c>
      <c r="S41" s="9">
        <v>37</v>
      </c>
      <c r="T41" s="9">
        <v>252393</v>
      </c>
      <c r="U41" s="9">
        <v>2</v>
      </c>
      <c r="V41" s="9">
        <v>30189</v>
      </c>
      <c r="W41" s="10" t="s">
        <v>18</v>
      </c>
      <c r="X41" s="10" t="s">
        <v>18</v>
      </c>
      <c r="Z41" s="21">
        <v>3018299</v>
      </c>
      <c r="AB41" s="21">
        <f t="shared" si="0"/>
        <v>1242617</v>
      </c>
      <c r="AC41" s="21">
        <f t="shared" si="1"/>
        <v>135030</v>
      </c>
      <c r="AE41" s="23">
        <f t="shared" si="2"/>
        <v>41.169446764551822</v>
      </c>
      <c r="AF41" s="23">
        <f t="shared" si="3"/>
        <v>4.4737118489586347</v>
      </c>
    </row>
    <row r="42" spans="1:32">
      <c r="A42" s="5" t="s">
        <v>50</v>
      </c>
      <c r="B42" s="6">
        <v>1</v>
      </c>
      <c r="C42" s="6">
        <v>3533</v>
      </c>
      <c r="D42" s="6">
        <v>7</v>
      </c>
      <c r="E42" s="6">
        <v>57331</v>
      </c>
      <c r="F42" s="6">
        <v>6</v>
      </c>
      <c r="G42" s="6">
        <v>74210</v>
      </c>
      <c r="H42" s="6">
        <v>1</v>
      </c>
      <c r="I42" s="6">
        <v>22510</v>
      </c>
      <c r="J42" s="6">
        <v>2</v>
      </c>
      <c r="K42" s="6">
        <v>116710</v>
      </c>
      <c r="L42" s="6"/>
      <c r="M42" s="6">
        <v>143</v>
      </c>
      <c r="N42" s="6">
        <v>344181</v>
      </c>
      <c r="O42" s="6">
        <v>56</v>
      </c>
      <c r="P42" s="6">
        <v>188750</v>
      </c>
      <c r="Q42" s="6">
        <v>33</v>
      </c>
      <c r="R42" s="6">
        <v>142338</v>
      </c>
      <c r="S42" s="6">
        <v>30</v>
      </c>
      <c r="T42" s="6">
        <v>191445</v>
      </c>
      <c r="U42" s="7" t="s">
        <v>18</v>
      </c>
      <c r="V42" s="7" t="s">
        <v>18</v>
      </c>
      <c r="W42" s="7" t="s">
        <v>18</v>
      </c>
      <c r="X42" s="7" t="s">
        <v>18</v>
      </c>
      <c r="Z42" s="21">
        <v>2778151</v>
      </c>
      <c r="AB42" s="21">
        <f t="shared" si="0"/>
        <v>1141008</v>
      </c>
      <c r="AC42" s="21">
        <f t="shared" si="1"/>
        <v>139220</v>
      </c>
      <c r="AE42" s="23">
        <f t="shared" si="2"/>
        <v>41.070769731378896</v>
      </c>
      <c r="AF42" s="23">
        <f t="shared" si="3"/>
        <v>5.0112466888948797</v>
      </c>
    </row>
    <row r="43" spans="1:32">
      <c r="A43" s="8" t="s">
        <v>51</v>
      </c>
      <c r="B43" s="9">
        <v>1</v>
      </c>
      <c r="C43" s="9">
        <v>2838</v>
      </c>
      <c r="D43" s="9">
        <v>6</v>
      </c>
      <c r="E43" s="9">
        <v>39282</v>
      </c>
      <c r="F43" s="10" t="s">
        <v>18</v>
      </c>
      <c r="G43" s="10" t="s">
        <v>18</v>
      </c>
      <c r="H43" s="9">
        <v>1</v>
      </c>
      <c r="I43" s="9">
        <v>30478</v>
      </c>
      <c r="J43" s="10" t="s">
        <v>18</v>
      </c>
      <c r="K43" s="10" t="s">
        <v>18</v>
      </c>
      <c r="L43" s="10"/>
      <c r="M43" s="10" t="s">
        <v>18</v>
      </c>
      <c r="N43" s="10" t="s">
        <v>18</v>
      </c>
      <c r="O43" s="9">
        <v>2</v>
      </c>
      <c r="P43" s="9">
        <v>7063</v>
      </c>
      <c r="Q43" s="10" t="s">
        <v>18</v>
      </c>
      <c r="R43" s="10" t="s">
        <v>18</v>
      </c>
      <c r="S43" s="10" t="s">
        <v>18</v>
      </c>
      <c r="T43" s="10" t="s">
        <v>18</v>
      </c>
      <c r="U43" s="10" t="s">
        <v>18</v>
      </c>
      <c r="V43" s="10" t="s">
        <v>18</v>
      </c>
      <c r="W43" s="10" t="s">
        <v>18</v>
      </c>
      <c r="X43" s="10" t="s">
        <v>18</v>
      </c>
      <c r="Z43" s="21">
        <v>1122317</v>
      </c>
      <c r="AB43" s="21">
        <f t="shared" si="0"/>
        <v>79661</v>
      </c>
      <c r="AC43" s="21">
        <f t="shared" si="1"/>
        <v>30478</v>
      </c>
      <c r="AE43" s="23">
        <f t="shared" si="2"/>
        <v>7.0979054937241433</v>
      </c>
      <c r="AF43" s="23">
        <f t="shared" si="3"/>
        <v>2.7156320362250597</v>
      </c>
    </row>
    <row r="44" spans="1:32">
      <c r="A44" s="5" t="s">
        <v>52</v>
      </c>
      <c r="B44" s="6">
        <v>1</v>
      </c>
      <c r="C44" s="6">
        <v>4759</v>
      </c>
      <c r="D44" s="6">
        <v>5</v>
      </c>
      <c r="E44" s="6">
        <v>42794</v>
      </c>
      <c r="F44" s="6">
        <v>5</v>
      </c>
      <c r="G44" s="6">
        <v>76199</v>
      </c>
      <c r="H44" s="6">
        <v>1</v>
      </c>
      <c r="I44" s="6">
        <v>46122</v>
      </c>
      <c r="J44" s="7" t="s">
        <v>18</v>
      </c>
      <c r="K44" s="7" t="s">
        <v>18</v>
      </c>
      <c r="L44" s="7"/>
      <c r="M44" s="6">
        <v>74</v>
      </c>
      <c r="N44" s="6">
        <v>182273</v>
      </c>
      <c r="O44" s="6">
        <v>39</v>
      </c>
      <c r="P44" s="6">
        <v>133053</v>
      </c>
      <c r="Q44" s="6">
        <v>9</v>
      </c>
      <c r="R44" s="6">
        <v>39234</v>
      </c>
      <c r="S44" s="7" t="s">
        <v>18</v>
      </c>
      <c r="T44" s="7" t="s">
        <v>18</v>
      </c>
      <c r="U44" s="7" t="s">
        <v>18</v>
      </c>
      <c r="V44" s="7" t="s">
        <v>18</v>
      </c>
      <c r="W44" s="7" t="s">
        <v>18</v>
      </c>
      <c r="X44" s="7" t="s">
        <v>18</v>
      </c>
      <c r="Z44" s="21">
        <v>1802196</v>
      </c>
      <c r="AB44" s="21">
        <f t="shared" si="0"/>
        <v>524434</v>
      </c>
      <c r="AC44" s="21">
        <f t="shared" si="1"/>
        <v>46122</v>
      </c>
      <c r="AE44" s="23">
        <f t="shared" si="2"/>
        <v>29.099720563135197</v>
      </c>
      <c r="AF44" s="23">
        <f t="shared" si="3"/>
        <v>2.5592110957964613</v>
      </c>
    </row>
    <row r="45" spans="1:32">
      <c r="A45" s="8" t="s">
        <v>53</v>
      </c>
      <c r="B45" s="9">
        <v>1</v>
      </c>
      <c r="C45" s="9">
        <v>3057</v>
      </c>
      <c r="D45" s="9">
        <v>2</v>
      </c>
      <c r="E45" s="9">
        <v>13550</v>
      </c>
      <c r="F45" s="9">
        <v>4</v>
      </c>
      <c r="G45" s="9">
        <v>52236</v>
      </c>
      <c r="H45" s="10" t="s">
        <v>18</v>
      </c>
      <c r="I45" s="10" t="s">
        <v>18</v>
      </c>
      <c r="J45" s="9">
        <v>1</v>
      </c>
      <c r="K45" s="9">
        <v>89999</v>
      </c>
      <c r="L45" s="9"/>
      <c r="M45" s="9">
        <v>213</v>
      </c>
      <c r="N45" s="9">
        <v>508916</v>
      </c>
      <c r="O45" s="9">
        <v>77</v>
      </c>
      <c r="P45" s="9">
        <v>265616</v>
      </c>
      <c r="Q45" s="9">
        <v>30</v>
      </c>
      <c r="R45" s="9">
        <v>133965</v>
      </c>
      <c r="S45" s="9">
        <v>27</v>
      </c>
      <c r="T45" s="9">
        <v>170652</v>
      </c>
      <c r="U45" s="9">
        <v>3</v>
      </c>
      <c r="V45" s="9">
        <v>41634</v>
      </c>
      <c r="W45" s="9">
        <v>1</v>
      </c>
      <c r="X45" s="9">
        <v>21599</v>
      </c>
      <c r="Z45" s="21">
        <v>2751336</v>
      </c>
      <c r="AB45" s="21">
        <f t="shared" si="0"/>
        <v>1301224</v>
      </c>
      <c r="AC45" s="21">
        <f t="shared" si="1"/>
        <v>111598</v>
      </c>
      <c r="AE45" s="23">
        <f t="shared" si="2"/>
        <v>47.294259952255921</v>
      </c>
      <c r="AF45" s="23">
        <f t="shared" si="3"/>
        <v>4.0561385450559291</v>
      </c>
    </row>
    <row r="46" spans="1:32">
      <c r="A46" s="5" t="s">
        <v>54</v>
      </c>
      <c r="B46" s="6">
        <v>3</v>
      </c>
      <c r="C46" s="6">
        <v>10617</v>
      </c>
      <c r="D46" s="6">
        <v>4</v>
      </c>
      <c r="E46" s="6">
        <v>21472</v>
      </c>
      <c r="F46" s="6">
        <v>3</v>
      </c>
      <c r="G46" s="6">
        <v>42739</v>
      </c>
      <c r="H46" s="6">
        <v>1</v>
      </c>
      <c r="I46" s="6">
        <v>22480</v>
      </c>
      <c r="J46" s="6">
        <v>2</v>
      </c>
      <c r="K46" s="6">
        <v>1324445</v>
      </c>
      <c r="L46" s="6"/>
      <c r="M46" s="6">
        <v>4</v>
      </c>
      <c r="N46" s="6">
        <v>10612</v>
      </c>
      <c r="O46" s="6">
        <v>2</v>
      </c>
      <c r="P46" s="6">
        <v>6679</v>
      </c>
      <c r="Q46" s="7" t="s">
        <v>18</v>
      </c>
      <c r="R46" s="7" t="s">
        <v>18</v>
      </c>
      <c r="S46" s="6">
        <v>1</v>
      </c>
      <c r="T46" s="6">
        <v>8674</v>
      </c>
      <c r="U46" s="6">
        <v>1</v>
      </c>
      <c r="V46" s="6">
        <v>12241</v>
      </c>
      <c r="W46" s="7" t="s">
        <v>18</v>
      </c>
      <c r="X46" s="7" t="s">
        <v>18</v>
      </c>
      <c r="Z46" s="21">
        <v>2112033</v>
      </c>
      <c r="AB46" s="21">
        <f t="shared" si="0"/>
        <v>1459959</v>
      </c>
      <c r="AC46" s="21">
        <f t="shared" si="1"/>
        <v>1346925</v>
      </c>
      <c r="AE46" s="23">
        <f t="shared" si="2"/>
        <v>69.125766500807515</v>
      </c>
      <c r="AF46" s="23">
        <f t="shared" si="3"/>
        <v>63.773861487959707</v>
      </c>
    </row>
    <row r="47" spans="1:32">
      <c r="A47" s="8" t="s">
        <v>55</v>
      </c>
      <c r="B47" s="10" t="s">
        <v>18</v>
      </c>
      <c r="C47" s="10" t="s">
        <v>18</v>
      </c>
      <c r="D47" s="9">
        <v>2</v>
      </c>
      <c r="E47" s="9">
        <v>14681</v>
      </c>
      <c r="F47" s="9">
        <v>4</v>
      </c>
      <c r="G47" s="9">
        <v>55004</v>
      </c>
      <c r="H47" s="9">
        <v>2</v>
      </c>
      <c r="I47" s="9">
        <v>47531</v>
      </c>
      <c r="J47" s="9">
        <v>2</v>
      </c>
      <c r="K47" s="9">
        <v>192333</v>
      </c>
      <c r="L47" s="9"/>
      <c r="M47" s="9">
        <v>135</v>
      </c>
      <c r="N47" s="9">
        <v>324544</v>
      </c>
      <c r="O47" s="9">
        <v>58</v>
      </c>
      <c r="P47" s="9">
        <v>196731</v>
      </c>
      <c r="Q47" s="9">
        <v>27</v>
      </c>
      <c r="R47" s="9">
        <v>119896</v>
      </c>
      <c r="S47" s="9">
        <v>29</v>
      </c>
      <c r="T47" s="9">
        <v>182190</v>
      </c>
      <c r="U47" s="9">
        <v>3</v>
      </c>
      <c r="V47" s="9">
        <v>40299</v>
      </c>
      <c r="W47" s="10" t="s">
        <v>18</v>
      </c>
      <c r="X47" s="10" t="s">
        <v>18</v>
      </c>
      <c r="Z47" s="21">
        <v>2405829</v>
      </c>
      <c r="AB47" s="21">
        <f t="shared" si="0"/>
        <v>1173209</v>
      </c>
      <c r="AC47" s="21">
        <f t="shared" si="1"/>
        <v>239864</v>
      </c>
      <c r="AE47" s="23">
        <f t="shared" si="2"/>
        <v>48.76526968458689</v>
      </c>
      <c r="AF47" s="23">
        <f t="shared" si="3"/>
        <v>9.9701184082492986</v>
      </c>
    </row>
    <row r="48" spans="1:32">
      <c r="A48" s="5" t="s">
        <v>56</v>
      </c>
      <c r="B48" s="6">
        <v>4</v>
      </c>
      <c r="C48" s="6">
        <v>16039</v>
      </c>
      <c r="D48" s="6">
        <v>1</v>
      </c>
      <c r="E48" s="6">
        <v>5734</v>
      </c>
      <c r="F48" s="6">
        <v>1</v>
      </c>
      <c r="G48" s="6">
        <v>12209</v>
      </c>
      <c r="H48" s="6">
        <v>2</v>
      </c>
      <c r="I48" s="6">
        <v>74067</v>
      </c>
      <c r="J48" s="7" t="s">
        <v>18</v>
      </c>
      <c r="K48" s="7" t="s">
        <v>18</v>
      </c>
      <c r="L48" s="7"/>
      <c r="M48" s="6">
        <v>85</v>
      </c>
      <c r="N48" s="6">
        <v>205752</v>
      </c>
      <c r="O48" s="6">
        <v>33</v>
      </c>
      <c r="P48" s="6">
        <v>112384</v>
      </c>
      <c r="Q48" s="6">
        <v>12</v>
      </c>
      <c r="R48" s="6">
        <v>53066</v>
      </c>
      <c r="S48" s="6">
        <v>2</v>
      </c>
      <c r="T48" s="6">
        <v>10953</v>
      </c>
      <c r="U48" s="7" t="s">
        <v>18</v>
      </c>
      <c r="V48" s="7" t="s">
        <v>18</v>
      </c>
      <c r="W48" s="7" t="s">
        <v>18</v>
      </c>
      <c r="X48" s="7" t="s">
        <v>18</v>
      </c>
      <c r="Z48" s="21">
        <v>1527848</v>
      </c>
      <c r="AB48" s="21">
        <f t="shared" si="0"/>
        <v>490204</v>
      </c>
      <c r="AC48" s="21">
        <f t="shared" si="1"/>
        <v>74067</v>
      </c>
      <c r="AE48" s="23">
        <f t="shared" si="2"/>
        <v>32.084605274870277</v>
      </c>
      <c r="AF48" s="23">
        <f t="shared" si="3"/>
        <v>4.8477989957116154</v>
      </c>
    </row>
    <row r="49" spans="1:32">
      <c r="A49" s="8" t="s">
        <v>57</v>
      </c>
      <c r="B49" s="9">
        <v>5</v>
      </c>
      <c r="C49" s="9">
        <v>15325</v>
      </c>
      <c r="D49" s="9">
        <v>4</v>
      </c>
      <c r="E49" s="9">
        <v>25450</v>
      </c>
      <c r="F49" s="9">
        <v>2</v>
      </c>
      <c r="G49" s="9">
        <v>33421</v>
      </c>
      <c r="H49" s="9">
        <v>1</v>
      </c>
      <c r="I49" s="9">
        <v>46699</v>
      </c>
      <c r="J49" s="10" t="s">
        <v>18</v>
      </c>
      <c r="K49" s="10" t="s">
        <v>18</v>
      </c>
      <c r="L49" s="10"/>
      <c r="M49" s="10" t="s">
        <v>18</v>
      </c>
      <c r="N49" s="10" t="s">
        <v>18</v>
      </c>
      <c r="O49" s="10" t="s">
        <v>18</v>
      </c>
      <c r="P49" s="10" t="s">
        <v>18</v>
      </c>
      <c r="Q49" s="10" t="s">
        <v>18</v>
      </c>
      <c r="R49" s="10" t="s">
        <v>18</v>
      </c>
      <c r="S49" s="9">
        <v>1</v>
      </c>
      <c r="T49" s="9">
        <v>5761</v>
      </c>
      <c r="U49" s="10" t="s">
        <v>18</v>
      </c>
      <c r="V49" s="10" t="s">
        <v>18</v>
      </c>
      <c r="W49" s="10" t="s">
        <v>18</v>
      </c>
      <c r="X49" s="10" t="s">
        <v>18</v>
      </c>
      <c r="Z49" s="21">
        <v>1525279</v>
      </c>
      <c r="AB49" s="21">
        <f t="shared" si="0"/>
        <v>126656</v>
      </c>
      <c r="AC49" s="21">
        <f t="shared" si="1"/>
        <v>46699</v>
      </c>
      <c r="AE49" s="23">
        <f t="shared" si="2"/>
        <v>8.3037922898040293</v>
      </c>
      <c r="AF49" s="23">
        <f t="shared" si="3"/>
        <v>3.0616693732753153</v>
      </c>
    </row>
    <row r="50" spans="1:32">
      <c r="A50" s="5" t="s">
        <v>58</v>
      </c>
      <c r="B50" s="6">
        <v>2</v>
      </c>
      <c r="C50" s="6">
        <v>7293</v>
      </c>
      <c r="D50" s="6">
        <v>3</v>
      </c>
      <c r="E50" s="6">
        <v>20274</v>
      </c>
      <c r="F50" s="6">
        <v>5</v>
      </c>
      <c r="G50" s="6">
        <v>72484</v>
      </c>
      <c r="H50" s="6">
        <v>4</v>
      </c>
      <c r="I50" s="6">
        <v>133017</v>
      </c>
      <c r="J50" s="6">
        <v>1</v>
      </c>
      <c r="K50" s="6">
        <v>53595</v>
      </c>
      <c r="L50" s="6"/>
      <c r="M50" s="6">
        <v>37</v>
      </c>
      <c r="N50" s="6">
        <v>88002</v>
      </c>
      <c r="O50" s="6">
        <v>17</v>
      </c>
      <c r="P50" s="6">
        <v>58236</v>
      </c>
      <c r="Q50" s="6">
        <v>15</v>
      </c>
      <c r="R50" s="6">
        <v>67734</v>
      </c>
      <c r="S50" s="6">
        <v>24</v>
      </c>
      <c r="T50" s="6">
        <v>168596</v>
      </c>
      <c r="U50" s="6">
        <v>12</v>
      </c>
      <c r="V50" s="6">
        <v>164045</v>
      </c>
      <c r="W50" s="7" t="s">
        <v>18</v>
      </c>
      <c r="X50" s="7" t="s">
        <v>18</v>
      </c>
      <c r="Z50" s="21">
        <v>1447790</v>
      </c>
      <c r="AB50" s="21">
        <f t="shared" si="0"/>
        <v>833276</v>
      </c>
      <c r="AC50" s="21">
        <f t="shared" si="1"/>
        <v>186612</v>
      </c>
      <c r="AE50" s="23">
        <f t="shared" si="2"/>
        <v>57.555032152453045</v>
      </c>
      <c r="AF50" s="23">
        <f t="shared" si="3"/>
        <v>12.889438385401197</v>
      </c>
    </row>
    <row r="51" spans="1:32">
      <c r="A51" s="8" t="s">
        <v>59</v>
      </c>
      <c r="B51" s="9">
        <v>1</v>
      </c>
      <c r="C51" s="9">
        <v>4578</v>
      </c>
      <c r="D51" s="9">
        <v>5</v>
      </c>
      <c r="E51" s="9">
        <v>37469</v>
      </c>
      <c r="F51" s="9">
        <v>2</v>
      </c>
      <c r="G51" s="9">
        <v>26614</v>
      </c>
      <c r="H51" s="9">
        <v>5</v>
      </c>
      <c r="I51" s="9">
        <v>157603</v>
      </c>
      <c r="J51" s="10" t="s">
        <v>18</v>
      </c>
      <c r="K51" s="10" t="s">
        <v>18</v>
      </c>
      <c r="L51" s="10"/>
      <c r="M51" s="9">
        <v>148</v>
      </c>
      <c r="N51" s="9">
        <v>358563</v>
      </c>
      <c r="O51" s="9">
        <v>53</v>
      </c>
      <c r="P51" s="9">
        <v>178078</v>
      </c>
      <c r="Q51" s="9">
        <v>28</v>
      </c>
      <c r="R51" s="9">
        <v>124132</v>
      </c>
      <c r="S51" s="9">
        <v>40</v>
      </c>
      <c r="T51" s="9">
        <v>264750</v>
      </c>
      <c r="U51" s="9">
        <v>1</v>
      </c>
      <c r="V51" s="9">
        <v>10267</v>
      </c>
      <c r="W51" s="10" t="s">
        <v>18</v>
      </c>
      <c r="X51" s="10" t="s">
        <v>18</v>
      </c>
      <c r="Z51" s="21">
        <v>2684030</v>
      </c>
      <c r="AB51" s="21">
        <f t="shared" si="0"/>
        <v>1162054</v>
      </c>
      <c r="AC51" s="21">
        <f t="shared" si="1"/>
        <v>157603</v>
      </c>
      <c r="AE51" s="23">
        <f t="shared" si="2"/>
        <v>43.295119652164843</v>
      </c>
      <c r="AF51" s="23">
        <f t="shared" si="3"/>
        <v>5.8718792263871871</v>
      </c>
    </row>
    <row r="52" spans="1:32">
      <c r="A52" s="5" t="s">
        <v>60</v>
      </c>
      <c r="B52" s="6">
        <v>4</v>
      </c>
      <c r="C52" s="6">
        <v>11347</v>
      </c>
      <c r="D52" s="6">
        <v>4</v>
      </c>
      <c r="E52" s="6">
        <v>28858</v>
      </c>
      <c r="F52" s="6">
        <v>3</v>
      </c>
      <c r="G52" s="6">
        <v>39755</v>
      </c>
      <c r="H52" s="6">
        <v>1</v>
      </c>
      <c r="I52" s="6">
        <v>21265</v>
      </c>
      <c r="J52" s="6">
        <v>1</v>
      </c>
      <c r="K52" s="6">
        <v>53544</v>
      </c>
      <c r="L52" s="6"/>
      <c r="M52" s="6">
        <v>1</v>
      </c>
      <c r="N52" s="6">
        <v>2503</v>
      </c>
      <c r="O52" s="7" t="s">
        <v>18</v>
      </c>
      <c r="P52" s="7" t="s">
        <v>18</v>
      </c>
      <c r="Q52" s="7" t="s">
        <v>18</v>
      </c>
      <c r="R52" s="7" t="s">
        <v>18</v>
      </c>
      <c r="S52" s="6">
        <v>1</v>
      </c>
      <c r="T52" s="6">
        <v>7017</v>
      </c>
      <c r="U52" s="7" t="s">
        <v>18</v>
      </c>
      <c r="V52" s="7" t="s">
        <v>18</v>
      </c>
      <c r="W52" s="7" t="s">
        <v>18</v>
      </c>
      <c r="X52" s="7" t="s">
        <v>18</v>
      </c>
      <c r="Z52" s="21">
        <v>1769135</v>
      </c>
      <c r="AB52" s="21">
        <f t="shared" si="0"/>
        <v>164289</v>
      </c>
      <c r="AC52" s="21">
        <f t="shared" si="1"/>
        <v>74809</v>
      </c>
      <c r="AE52" s="23">
        <f t="shared" si="2"/>
        <v>9.2864026770144736</v>
      </c>
      <c r="AF52" s="23">
        <f t="shared" si="3"/>
        <v>4.2285636765990162</v>
      </c>
    </row>
    <row r="53" spans="1:32">
      <c r="A53" s="8" t="s">
        <v>61</v>
      </c>
      <c r="B53" s="9">
        <v>7</v>
      </c>
      <c r="C53" s="9">
        <v>27334</v>
      </c>
      <c r="D53" s="9">
        <v>4</v>
      </c>
      <c r="E53" s="9">
        <v>29913</v>
      </c>
      <c r="F53" s="10" t="s">
        <v>18</v>
      </c>
      <c r="G53" s="10" t="s">
        <v>18</v>
      </c>
      <c r="H53" s="10" t="s">
        <v>18</v>
      </c>
      <c r="I53" s="10" t="s">
        <v>18</v>
      </c>
      <c r="J53" s="9">
        <v>1</v>
      </c>
      <c r="K53" s="9">
        <v>114733</v>
      </c>
      <c r="L53" s="9"/>
      <c r="M53" s="9">
        <v>12</v>
      </c>
      <c r="N53" s="9">
        <v>26523</v>
      </c>
      <c r="O53" s="9">
        <v>7</v>
      </c>
      <c r="P53" s="9">
        <v>24825</v>
      </c>
      <c r="Q53" s="9">
        <v>5</v>
      </c>
      <c r="R53" s="9">
        <v>22096</v>
      </c>
      <c r="S53" s="9">
        <v>3</v>
      </c>
      <c r="T53" s="9">
        <v>16774</v>
      </c>
      <c r="U53" s="10" t="s">
        <v>18</v>
      </c>
      <c r="V53" s="10" t="s">
        <v>18</v>
      </c>
      <c r="W53" s="10" t="s">
        <v>18</v>
      </c>
      <c r="X53" s="10" t="s">
        <v>18</v>
      </c>
      <c r="Z53" s="21">
        <v>1419456</v>
      </c>
      <c r="AB53" s="21">
        <f t="shared" si="0"/>
        <v>262198</v>
      </c>
      <c r="AC53" s="21">
        <f t="shared" si="1"/>
        <v>114733</v>
      </c>
      <c r="AE53" s="23">
        <f t="shared" si="2"/>
        <v>18.471724378916992</v>
      </c>
      <c r="AF53" s="23">
        <f t="shared" si="3"/>
        <v>8.0828852743586275</v>
      </c>
    </row>
    <row r="54" spans="1:32">
      <c r="A54" s="5" t="s">
        <v>62</v>
      </c>
      <c r="B54" s="7" t="s">
        <v>18</v>
      </c>
      <c r="C54" s="7" t="s">
        <v>18</v>
      </c>
      <c r="D54" s="6">
        <v>3</v>
      </c>
      <c r="E54" s="6">
        <v>21976</v>
      </c>
      <c r="F54" s="6">
        <v>1</v>
      </c>
      <c r="G54" s="6">
        <v>15550</v>
      </c>
      <c r="H54" s="6">
        <v>2</v>
      </c>
      <c r="I54" s="6">
        <v>69777</v>
      </c>
      <c r="J54" s="7" t="s">
        <v>18</v>
      </c>
      <c r="K54" s="7" t="s">
        <v>18</v>
      </c>
      <c r="L54" s="7"/>
      <c r="M54" s="6">
        <v>62</v>
      </c>
      <c r="N54" s="6">
        <v>145308</v>
      </c>
      <c r="O54" s="6">
        <v>6</v>
      </c>
      <c r="P54" s="6">
        <v>21565</v>
      </c>
      <c r="Q54" s="6">
        <v>7</v>
      </c>
      <c r="R54" s="6">
        <v>30810</v>
      </c>
      <c r="S54" s="6">
        <v>6</v>
      </c>
      <c r="T54" s="6">
        <v>45458</v>
      </c>
      <c r="U54" s="7" t="s">
        <v>18</v>
      </c>
      <c r="V54" s="7" t="s">
        <v>18</v>
      </c>
      <c r="W54" s="7" t="s">
        <v>18</v>
      </c>
      <c r="X54" s="7" t="s">
        <v>18</v>
      </c>
      <c r="Z54" s="21">
        <v>2196642</v>
      </c>
      <c r="AB54" s="21">
        <f t="shared" si="0"/>
        <v>350444</v>
      </c>
      <c r="AC54" s="21">
        <f t="shared" si="1"/>
        <v>69777</v>
      </c>
      <c r="AE54" s="23">
        <f t="shared" si="2"/>
        <v>15.953623758445845</v>
      </c>
      <c r="AF54" s="23">
        <f t="shared" si="3"/>
        <v>3.1765303586110072</v>
      </c>
    </row>
    <row r="55" spans="1:32">
      <c r="A55" s="8" t="s">
        <v>63</v>
      </c>
      <c r="B55" s="9">
        <v>1</v>
      </c>
      <c r="C55" s="9">
        <v>4673</v>
      </c>
      <c r="D55" s="9">
        <v>6</v>
      </c>
      <c r="E55" s="9">
        <v>43938</v>
      </c>
      <c r="F55" s="9">
        <v>7</v>
      </c>
      <c r="G55" s="9">
        <v>93780</v>
      </c>
      <c r="H55" s="9">
        <v>2</v>
      </c>
      <c r="I55" s="9">
        <v>50963</v>
      </c>
      <c r="J55" s="9">
        <v>1</v>
      </c>
      <c r="K55" s="9">
        <v>173989</v>
      </c>
      <c r="L55" s="9"/>
      <c r="M55" s="9">
        <v>109</v>
      </c>
      <c r="N55" s="9">
        <v>269155</v>
      </c>
      <c r="O55" s="9">
        <v>68</v>
      </c>
      <c r="P55" s="9">
        <v>237354</v>
      </c>
      <c r="Q55" s="9">
        <v>34</v>
      </c>
      <c r="R55" s="9">
        <v>153045</v>
      </c>
      <c r="S55" s="9">
        <v>40</v>
      </c>
      <c r="T55" s="9">
        <v>265282</v>
      </c>
      <c r="U55" s="9">
        <v>3</v>
      </c>
      <c r="V55" s="9">
        <v>41780</v>
      </c>
      <c r="W55" s="10" t="s">
        <v>18</v>
      </c>
      <c r="X55" s="10" t="s">
        <v>18</v>
      </c>
      <c r="Z55" s="21">
        <v>2492316</v>
      </c>
      <c r="AB55" s="21">
        <f t="shared" si="0"/>
        <v>1333959</v>
      </c>
      <c r="AC55" s="21">
        <f t="shared" si="1"/>
        <v>224952</v>
      </c>
      <c r="AE55" s="23">
        <f t="shared" si="2"/>
        <v>53.52286788673667</v>
      </c>
      <c r="AF55" s="23">
        <f t="shared" si="3"/>
        <v>9.0258217657792983</v>
      </c>
    </row>
    <row r="56" spans="1:32">
      <c r="A56" s="5" t="s">
        <v>64</v>
      </c>
      <c r="B56" s="6">
        <v>1</v>
      </c>
      <c r="C56" s="6">
        <v>4575</v>
      </c>
      <c r="D56" s="6">
        <v>4</v>
      </c>
      <c r="E56" s="6">
        <v>29040</v>
      </c>
      <c r="F56" s="6">
        <v>8</v>
      </c>
      <c r="G56" s="6">
        <v>107338</v>
      </c>
      <c r="H56" s="6">
        <v>1</v>
      </c>
      <c r="I56" s="6">
        <v>31616</v>
      </c>
      <c r="J56" s="6">
        <v>4</v>
      </c>
      <c r="K56" s="6">
        <v>616391</v>
      </c>
      <c r="L56" s="6"/>
      <c r="M56" s="6">
        <v>75</v>
      </c>
      <c r="N56" s="6">
        <v>182781</v>
      </c>
      <c r="O56" s="6">
        <v>42</v>
      </c>
      <c r="P56" s="6">
        <v>144790</v>
      </c>
      <c r="Q56" s="6">
        <v>34</v>
      </c>
      <c r="R56" s="6">
        <v>152549</v>
      </c>
      <c r="S56" s="6">
        <v>52</v>
      </c>
      <c r="T56" s="6">
        <v>333984</v>
      </c>
      <c r="U56" s="6">
        <v>8</v>
      </c>
      <c r="V56" s="6">
        <v>102548</v>
      </c>
      <c r="W56" s="7" t="s">
        <v>18</v>
      </c>
      <c r="X56" s="7" t="s">
        <v>18</v>
      </c>
      <c r="Z56" s="21">
        <v>2733612</v>
      </c>
      <c r="AB56" s="21">
        <f t="shared" si="0"/>
        <v>1705612</v>
      </c>
      <c r="AC56" s="21">
        <f t="shared" si="1"/>
        <v>648007</v>
      </c>
      <c r="AE56" s="23">
        <f t="shared" si="2"/>
        <v>62.394077872060848</v>
      </c>
      <c r="AF56" s="23">
        <f t="shared" si="3"/>
        <v>23.705156401127887</v>
      </c>
    </row>
    <row r="57" spans="1:32">
      <c r="A57" s="8" t="s">
        <v>65</v>
      </c>
      <c r="B57" s="9">
        <v>3</v>
      </c>
      <c r="C57" s="9">
        <v>13281</v>
      </c>
      <c r="D57" s="9">
        <v>7</v>
      </c>
      <c r="E57" s="9">
        <v>50604</v>
      </c>
      <c r="F57" s="9">
        <v>6</v>
      </c>
      <c r="G57" s="9">
        <v>84251</v>
      </c>
      <c r="H57" s="9">
        <v>2</v>
      </c>
      <c r="I57" s="9">
        <v>59829</v>
      </c>
      <c r="J57" s="7" t="s">
        <v>18</v>
      </c>
      <c r="K57" s="7" t="s">
        <v>18</v>
      </c>
      <c r="L57" s="9"/>
      <c r="M57" s="9">
        <v>155</v>
      </c>
      <c r="N57" s="9">
        <v>381539</v>
      </c>
      <c r="O57" s="9">
        <v>53</v>
      </c>
      <c r="P57" s="9">
        <v>182208</v>
      </c>
      <c r="Q57" s="9">
        <v>26</v>
      </c>
      <c r="R57" s="9">
        <v>115470</v>
      </c>
      <c r="S57" s="9">
        <v>19</v>
      </c>
      <c r="T57" s="9">
        <v>125578</v>
      </c>
      <c r="U57" s="9">
        <v>4</v>
      </c>
      <c r="V57" s="9">
        <v>52738</v>
      </c>
      <c r="W57" s="10" t="s">
        <v>18</v>
      </c>
      <c r="X57" s="10" t="s">
        <v>18</v>
      </c>
      <c r="Z57" s="21">
        <v>2297854</v>
      </c>
      <c r="AB57" s="21">
        <f t="shared" si="0"/>
        <v>1065498</v>
      </c>
      <c r="AC57" s="21">
        <f t="shared" si="1"/>
        <v>59829</v>
      </c>
      <c r="AE57" s="23">
        <f t="shared" si="2"/>
        <v>46.369264539870677</v>
      </c>
      <c r="AF57" s="23">
        <f t="shared" si="3"/>
        <v>2.6036902257497649</v>
      </c>
    </row>
    <row r="58" spans="1:32">
      <c r="A58" s="5" t="s">
        <v>66</v>
      </c>
      <c r="B58" s="6">
        <v>2</v>
      </c>
      <c r="C58" s="6">
        <v>5719</v>
      </c>
      <c r="D58" s="6">
        <v>1</v>
      </c>
      <c r="E58" s="6">
        <v>5890</v>
      </c>
      <c r="F58" s="7" t="s">
        <v>18</v>
      </c>
      <c r="G58" s="7" t="s">
        <v>18</v>
      </c>
      <c r="H58" s="7" t="s">
        <v>18</v>
      </c>
      <c r="I58" s="7" t="s">
        <v>18</v>
      </c>
      <c r="J58" s="6">
        <v>1</v>
      </c>
      <c r="K58" s="6">
        <v>64572</v>
      </c>
      <c r="L58" s="6"/>
      <c r="M58" s="6">
        <v>1</v>
      </c>
      <c r="N58" s="6">
        <v>2174</v>
      </c>
      <c r="O58" s="7" t="s">
        <v>18</v>
      </c>
      <c r="P58" s="7" t="s">
        <v>18</v>
      </c>
      <c r="Q58" s="6">
        <v>1</v>
      </c>
      <c r="R58" s="6">
        <v>4766</v>
      </c>
      <c r="S58" s="6">
        <v>1</v>
      </c>
      <c r="T58" s="6">
        <v>8524</v>
      </c>
      <c r="U58" s="7" t="s">
        <v>18</v>
      </c>
      <c r="V58" s="7" t="s">
        <v>18</v>
      </c>
      <c r="W58" s="7" t="s">
        <v>18</v>
      </c>
      <c r="X58" s="7" t="s">
        <v>18</v>
      </c>
      <c r="Z58" s="21">
        <v>412716</v>
      </c>
      <c r="AB58" s="21">
        <f t="shared" si="0"/>
        <v>91645</v>
      </c>
      <c r="AC58" s="21">
        <f t="shared" si="1"/>
        <v>64572</v>
      </c>
      <c r="AE58" s="23">
        <f t="shared" si="2"/>
        <v>22.205342172341272</v>
      </c>
      <c r="AF58" s="23">
        <f t="shared" si="3"/>
        <v>15.645625563341378</v>
      </c>
    </row>
    <row r="59" spans="1:32">
      <c r="A59" s="8" t="s">
        <v>67</v>
      </c>
      <c r="B59" s="9">
        <v>5</v>
      </c>
      <c r="C59" s="9">
        <v>17804</v>
      </c>
      <c r="D59" s="9">
        <v>2</v>
      </c>
      <c r="E59" s="9">
        <v>16380</v>
      </c>
      <c r="F59" s="9">
        <v>1</v>
      </c>
      <c r="G59" s="9">
        <v>13715</v>
      </c>
      <c r="H59" s="9">
        <v>1</v>
      </c>
      <c r="I59" s="9">
        <v>25290</v>
      </c>
      <c r="J59" s="9">
        <v>1</v>
      </c>
      <c r="K59" s="9">
        <v>71616</v>
      </c>
      <c r="L59" s="9"/>
      <c r="M59" s="9">
        <v>5</v>
      </c>
      <c r="N59" s="9">
        <v>10613</v>
      </c>
      <c r="O59" s="10" t="s">
        <v>18</v>
      </c>
      <c r="P59" s="10" t="s">
        <v>18</v>
      </c>
      <c r="Q59" s="9">
        <v>1</v>
      </c>
      <c r="R59" s="9">
        <v>4534</v>
      </c>
      <c r="S59" s="10" t="s">
        <v>18</v>
      </c>
      <c r="T59" s="10" t="s">
        <v>18</v>
      </c>
      <c r="U59" s="10" t="s">
        <v>18</v>
      </c>
      <c r="V59" s="10" t="s">
        <v>18</v>
      </c>
      <c r="W59" s="10" t="s">
        <v>18</v>
      </c>
      <c r="X59" s="10" t="s">
        <v>18</v>
      </c>
      <c r="Z59" s="21">
        <v>1071355</v>
      </c>
      <c r="AB59" s="21">
        <f t="shared" si="0"/>
        <v>159952</v>
      </c>
      <c r="AC59" s="21">
        <f t="shared" si="1"/>
        <v>96906</v>
      </c>
      <c r="AE59" s="23">
        <f t="shared" si="2"/>
        <v>14.929878518324923</v>
      </c>
      <c r="AF59" s="23">
        <f t="shared" si="3"/>
        <v>9.0451811024357003</v>
      </c>
    </row>
    <row r="60" spans="1:32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0"/>
      <c r="N60" s="10"/>
      <c r="O60" s="10"/>
      <c r="P60" s="10"/>
      <c r="Q60" s="10"/>
      <c r="R60" s="10"/>
      <c r="S60" s="9"/>
      <c r="T60" s="9"/>
      <c r="U60" s="10"/>
      <c r="V60" s="10"/>
      <c r="W60" s="10"/>
      <c r="X60" s="10"/>
      <c r="AB60" s="21"/>
      <c r="AC60" s="21"/>
      <c r="AE60" s="23"/>
      <c r="AF60" s="23"/>
    </row>
    <row r="61" spans="1:32">
      <c r="A61" s="8" t="s">
        <v>111</v>
      </c>
      <c r="B61" s="20">
        <f>B62-B63</f>
        <v>0</v>
      </c>
      <c r="C61" s="20">
        <f t="shared" ref="C61:K61" si="4">C62-C63</f>
        <v>0</v>
      </c>
      <c r="D61" s="20">
        <f t="shared" si="4"/>
        <v>0</v>
      </c>
      <c r="E61" s="20">
        <f t="shared" si="4"/>
        <v>0</v>
      </c>
      <c r="F61" s="20">
        <f t="shared" si="4"/>
        <v>0</v>
      </c>
      <c r="G61" s="20">
        <f t="shared" si="4"/>
        <v>0</v>
      </c>
      <c r="H61" s="20">
        <f t="shared" si="4"/>
        <v>0</v>
      </c>
      <c r="I61" s="20">
        <f t="shared" si="4"/>
        <v>0</v>
      </c>
      <c r="J61" s="20">
        <f t="shared" si="4"/>
        <v>0</v>
      </c>
      <c r="K61" s="20">
        <f t="shared" si="4"/>
        <v>0</v>
      </c>
      <c r="L61" s="20"/>
      <c r="M61" s="20">
        <f t="shared" ref="M61:V61" si="5">M62-M63</f>
        <v>0</v>
      </c>
      <c r="N61" s="20">
        <f t="shared" si="5"/>
        <v>0</v>
      </c>
      <c r="O61" s="20">
        <f t="shared" si="5"/>
        <v>0</v>
      </c>
      <c r="P61" s="20">
        <f t="shared" si="5"/>
        <v>0</v>
      </c>
      <c r="Q61" s="20">
        <f t="shared" si="5"/>
        <v>0</v>
      </c>
      <c r="R61" s="20">
        <f t="shared" si="5"/>
        <v>0</v>
      </c>
      <c r="S61" s="20">
        <f t="shared" si="5"/>
        <v>0</v>
      </c>
      <c r="T61" s="20">
        <f t="shared" si="5"/>
        <v>0</v>
      </c>
      <c r="U61" s="20">
        <f t="shared" si="5"/>
        <v>0</v>
      </c>
      <c r="V61" s="20">
        <f t="shared" si="5"/>
        <v>0</v>
      </c>
      <c r="W61" s="9"/>
      <c r="X61" s="9"/>
      <c r="Z61" s="20">
        <f t="shared" ref="Z61" si="6">Z62-Z63</f>
        <v>0</v>
      </c>
      <c r="AB61" s="21"/>
      <c r="AC61" s="21"/>
      <c r="AE61" s="23"/>
      <c r="AF61" s="23"/>
    </row>
    <row r="62" spans="1:32">
      <c r="A62" s="8" t="s">
        <v>112</v>
      </c>
      <c r="B62" s="20">
        <f>SUM(B64:B73)</f>
        <v>27</v>
      </c>
      <c r="C62" s="20">
        <f t="shared" ref="C62:K62" si="7">SUM(C64:C73)</f>
        <v>101654</v>
      </c>
      <c r="D62" s="20">
        <f t="shared" si="7"/>
        <v>53</v>
      </c>
      <c r="E62" s="20">
        <f t="shared" si="7"/>
        <v>385823</v>
      </c>
      <c r="F62" s="20">
        <f t="shared" si="7"/>
        <v>18</v>
      </c>
      <c r="G62" s="20">
        <f t="shared" si="7"/>
        <v>240179</v>
      </c>
      <c r="H62" s="20">
        <f t="shared" si="7"/>
        <v>13</v>
      </c>
      <c r="I62" s="20">
        <f t="shared" si="7"/>
        <v>350094</v>
      </c>
      <c r="J62" s="20">
        <f t="shared" si="7"/>
        <v>3</v>
      </c>
      <c r="K62" s="20">
        <f t="shared" si="7"/>
        <v>1048097</v>
      </c>
      <c r="L62" s="20"/>
      <c r="M62" s="20">
        <f t="shared" ref="M62:V62" si="8">SUM(M64:M73)</f>
        <v>120</v>
      </c>
      <c r="N62" s="20">
        <f t="shared" si="8"/>
        <v>291342</v>
      </c>
      <c r="O62" s="20">
        <f t="shared" si="8"/>
        <v>43</v>
      </c>
      <c r="P62" s="20">
        <f t="shared" si="8"/>
        <v>147971</v>
      </c>
      <c r="Q62" s="20">
        <f t="shared" si="8"/>
        <v>18</v>
      </c>
      <c r="R62" s="20">
        <f t="shared" si="8"/>
        <v>80095</v>
      </c>
      <c r="S62" s="20">
        <f t="shared" si="8"/>
        <v>22</v>
      </c>
      <c r="T62" s="20">
        <f t="shared" si="8"/>
        <v>140615</v>
      </c>
      <c r="U62" s="20">
        <f t="shared" si="8"/>
        <v>3</v>
      </c>
      <c r="V62" s="20">
        <f t="shared" si="8"/>
        <v>38272</v>
      </c>
      <c r="W62" s="9"/>
      <c r="X62" s="9"/>
      <c r="Z62" s="20">
        <f t="shared" ref="Z62" si="9">SUM(Z64:Z73)</f>
        <v>9402253</v>
      </c>
      <c r="AB62" s="21">
        <f t="shared" si="0"/>
        <v>2824142</v>
      </c>
      <c r="AC62" s="21">
        <f t="shared" si="1"/>
        <v>1398191</v>
      </c>
      <c r="AE62" s="23">
        <f t="shared" si="2"/>
        <v>30.036864568524162</v>
      </c>
      <c r="AF62" s="23">
        <f t="shared" si="3"/>
        <v>14.870808092485918</v>
      </c>
    </row>
    <row r="63" spans="1:32">
      <c r="A63" s="3" t="s">
        <v>68</v>
      </c>
      <c r="B63" s="4">
        <v>27</v>
      </c>
      <c r="C63" s="4">
        <v>101654</v>
      </c>
      <c r="D63" s="4">
        <v>53</v>
      </c>
      <c r="E63" s="4">
        <v>385823</v>
      </c>
      <c r="F63" s="4">
        <v>18</v>
      </c>
      <c r="G63" s="4">
        <v>240179</v>
      </c>
      <c r="H63" s="4">
        <v>13</v>
      </c>
      <c r="I63" s="4">
        <v>350094</v>
      </c>
      <c r="J63" s="4">
        <v>3</v>
      </c>
      <c r="K63" s="4">
        <v>1048097</v>
      </c>
      <c r="L63" s="4"/>
      <c r="M63" s="4">
        <v>120</v>
      </c>
      <c r="N63" s="4">
        <v>291342</v>
      </c>
      <c r="O63" s="4">
        <v>43</v>
      </c>
      <c r="P63" s="4">
        <v>147971</v>
      </c>
      <c r="Q63" s="4">
        <v>18</v>
      </c>
      <c r="R63" s="4">
        <v>80095</v>
      </c>
      <c r="S63" s="4">
        <v>22</v>
      </c>
      <c r="T63" s="4">
        <v>140615</v>
      </c>
      <c r="U63" s="4">
        <v>3</v>
      </c>
      <c r="V63" s="4">
        <v>38272</v>
      </c>
      <c r="W63" s="11" t="s">
        <v>18</v>
      </c>
      <c r="X63" s="11" t="s">
        <v>18</v>
      </c>
      <c r="Z63" s="21">
        <v>9402253</v>
      </c>
      <c r="AB63" s="21">
        <f t="shared" si="0"/>
        <v>2824142</v>
      </c>
      <c r="AC63" s="21">
        <f t="shared" si="1"/>
        <v>1398191</v>
      </c>
      <c r="AE63" s="23">
        <f t="shared" si="2"/>
        <v>30.036864568524162</v>
      </c>
      <c r="AF63" s="23">
        <f t="shared" si="3"/>
        <v>14.870808092485918</v>
      </c>
    </row>
    <row r="64" spans="1:32">
      <c r="A64" s="8" t="s">
        <v>69</v>
      </c>
      <c r="B64" s="9">
        <v>7</v>
      </c>
      <c r="C64" s="9">
        <v>26014</v>
      </c>
      <c r="D64" s="9">
        <v>9</v>
      </c>
      <c r="E64" s="9">
        <v>62299</v>
      </c>
      <c r="F64" s="9">
        <v>4</v>
      </c>
      <c r="G64" s="9">
        <v>50331</v>
      </c>
      <c r="H64" s="9">
        <v>1</v>
      </c>
      <c r="I64" s="9">
        <v>22907</v>
      </c>
      <c r="J64" s="9">
        <v>1</v>
      </c>
      <c r="K64" s="9">
        <v>683692</v>
      </c>
      <c r="L64" s="9"/>
      <c r="M64" s="9">
        <v>14</v>
      </c>
      <c r="N64" s="9">
        <v>33235</v>
      </c>
      <c r="O64" s="9">
        <v>3</v>
      </c>
      <c r="P64" s="9">
        <v>10969</v>
      </c>
      <c r="Q64" s="9">
        <v>3</v>
      </c>
      <c r="R64" s="9">
        <v>13864</v>
      </c>
      <c r="S64" s="9">
        <v>6</v>
      </c>
      <c r="T64" s="9">
        <v>37903</v>
      </c>
      <c r="U64" s="9">
        <v>1</v>
      </c>
      <c r="V64" s="9">
        <v>10463</v>
      </c>
      <c r="W64" s="10" t="s">
        <v>18</v>
      </c>
      <c r="X64" s="10" t="s">
        <v>18</v>
      </c>
      <c r="Z64" s="21">
        <v>1931867</v>
      </c>
      <c r="AB64" s="21">
        <f t="shared" si="0"/>
        <v>951677</v>
      </c>
      <c r="AC64" s="21">
        <f t="shared" si="1"/>
        <v>706599</v>
      </c>
      <c r="AE64" s="23">
        <f t="shared" si="2"/>
        <v>49.262035119394866</v>
      </c>
      <c r="AF64" s="23">
        <f t="shared" si="3"/>
        <v>36.575965115610956</v>
      </c>
    </row>
    <row r="65" spans="1:32">
      <c r="A65" s="5" t="s">
        <v>70</v>
      </c>
      <c r="B65" s="6">
        <v>4</v>
      </c>
      <c r="C65" s="6">
        <v>14414</v>
      </c>
      <c r="D65" s="6">
        <v>6</v>
      </c>
      <c r="E65" s="6">
        <v>49717</v>
      </c>
      <c r="F65" s="6">
        <v>2</v>
      </c>
      <c r="G65" s="6">
        <v>27443</v>
      </c>
      <c r="H65" s="6">
        <v>1</v>
      </c>
      <c r="I65" s="6">
        <v>24418</v>
      </c>
      <c r="J65" s="7" t="s">
        <v>18</v>
      </c>
      <c r="K65" s="7" t="s">
        <v>18</v>
      </c>
      <c r="L65" s="7"/>
      <c r="M65" s="6">
        <v>13</v>
      </c>
      <c r="N65" s="6">
        <v>33462</v>
      </c>
      <c r="O65" s="6">
        <v>2</v>
      </c>
      <c r="P65" s="6">
        <v>6695</v>
      </c>
      <c r="Q65" s="6">
        <v>2</v>
      </c>
      <c r="R65" s="6">
        <v>8456</v>
      </c>
      <c r="S65" s="7" t="s">
        <v>18</v>
      </c>
      <c r="T65" s="7" t="s">
        <v>18</v>
      </c>
      <c r="U65" s="7" t="s">
        <v>18</v>
      </c>
      <c r="V65" s="7" t="s">
        <v>18</v>
      </c>
      <c r="W65" s="7" t="s">
        <v>18</v>
      </c>
      <c r="X65" s="7" t="s">
        <v>18</v>
      </c>
      <c r="Z65" s="21">
        <v>840597</v>
      </c>
      <c r="AB65" s="21">
        <f t="shared" si="0"/>
        <v>164605</v>
      </c>
      <c r="AC65" s="21">
        <f t="shared" si="1"/>
        <v>24418</v>
      </c>
      <c r="AE65" s="23">
        <f t="shared" si="2"/>
        <v>19.581916185758455</v>
      </c>
      <c r="AF65" s="23">
        <f t="shared" si="3"/>
        <v>2.9048402504410555</v>
      </c>
    </row>
    <row r="66" spans="1:32">
      <c r="A66" s="8" t="s">
        <v>71</v>
      </c>
      <c r="B66" s="9">
        <v>3</v>
      </c>
      <c r="C66" s="9">
        <v>12222</v>
      </c>
      <c r="D66" s="9">
        <v>3</v>
      </c>
      <c r="E66" s="9">
        <v>22141</v>
      </c>
      <c r="F66" s="10" t="s">
        <v>18</v>
      </c>
      <c r="G66" s="10" t="s">
        <v>18</v>
      </c>
      <c r="H66" s="9">
        <v>1</v>
      </c>
      <c r="I66" s="9">
        <v>23178</v>
      </c>
      <c r="J66" s="10" t="s">
        <v>18</v>
      </c>
      <c r="K66" s="10" t="s">
        <v>18</v>
      </c>
      <c r="L66" s="10"/>
      <c r="M66" s="9">
        <v>8</v>
      </c>
      <c r="N66" s="9">
        <v>19313</v>
      </c>
      <c r="O66" s="9">
        <v>7</v>
      </c>
      <c r="P66" s="9">
        <v>25541</v>
      </c>
      <c r="Q66" s="9">
        <v>5</v>
      </c>
      <c r="R66" s="9">
        <v>22290</v>
      </c>
      <c r="S66" s="10" t="s">
        <v>18</v>
      </c>
      <c r="T66" s="10" t="s">
        <v>18</v>
      </c>
      <c r="U66" s="10" t="s">
        <v>18</v>
      </c>
      <c r="V66" s="10" t="s">
        <v>18</v>
      </c>
      <c r="W66" s="10" t="s">
        <v>18</v>
      </c>
      <c r="X66" s="10" t="s">
        <v>18</v>
      </c>
      <c r="Z66" s="21">
        <v>761995</v>
      </c>
      <c r="AB66" s="21">
        <f t="shared" si="0"/>
        <v>124685</v>
      </c>
      <c r="AC66" s="21">
        <f t="shared" si="1"/>
        <v>23178</v>
      </c>
      <c r="AE66" s="23">
        <f t="shared" si="2"/>
        <v>16.362968260946595</v>
      </c>
      <c r="AF66" s="23">
        <f t="shared" si="3"/>
        <v>3.0417522424687826</v>
      </c>
    </row>
    <row r="67" spans="1:32">
      <c r="A67" s="5" t="s">
        <v>72</v>
      </c>
      <c r="B67" s="6">
        <v>2</v>
      </c>
      <c r="C67" s="6">
        <v>9103</v>
      </c>
      <c r="D67" s="6">
        <v>2</v>
      </c>
      <c r="E67" s="6">
        <v>12962</v>
      </c>
      <c r="F67" s="6">
        <v>2</v>
      </c>
      <c r="G67" s="6">
        <v>23420</v>
      </c>
      <c r="H67" s="6">
        <v>1</v>
      </c>
      <c r="I67" s="6">
        <v>26093</v>
      </c>
      <c r="J67" s="7" t="s">
        <v>18</v>
      </c>
      <c r="K67" s="7" t="s">
        <v>18</v>
      </c>
      <c r="L67" s="7"/>
      <c r="M67" s="6">
        <v>11</v>
      </c>
      <c r="N67" s="6">
        <v>26180</v>
      </c>
      <c r="O67" s="6">
        <v>5</v>
      </c>
      <c r="P67" s="6">
        <v>16340</v>
      </c>
      <c r="Q67" s="7" t="s">
        <v>18</v>
      </c>
      <c r="R67" s="7" t="s">
        <v>18</v>
      </c>
      <c r="S67" s="6">
        <v>2</v>
      </c>
      <c r="T67" s="6">
        <v>14072</v>
      </c>
      <c r="U67" s="6">
        <v>1</v>
      </c>
      <c r="V67" s="6">
        <v>10902</v>
      </c>
      <c r="W67" s="7" t="s">
        <v>18</v>
      </c>
      <c r="X67" s="7" t="s">
        <v>18</v>
      </c>
      <c r="Z67" s="21">
        <v>579592</v>
      </c>
      <c r="AB67" s="21">
        <f t="shared" si="0"/>
        <v>139072</v>
      </c>
      <c r="AC67" s="21">
        <f t="shared" si="1"/>
        <v>26093</v>
      </c>
      <c r="AE67" s="23">
        <f t="shared" si="2"/>
        <v>23.994810142307003</v>
      </c>
      <c r="AF67" s="23">
        <f t="shared" si="3"/>
        <v>4.5019599994478874</v>
      </c>
    </row>
    <row r="68" spans="1:32">
      <c r="A68" s="8" t="s">
        <v>73</v>
      </c>
      <c r="B68" s="9">
        <v>2</v>
      </c>
      <c r="C68" s="9">
        <v>8566</v>
      </c>
      <c r="D68" s="9">
        <v>7</v>
      </c>
      <c r="E68" s="9">
        <v>49460</v>
      </c>
      <c r="F68" s="9">
        <v>3</v>
      </c>
      <c r="G68" s="9">
        <v>43796</v>
      </c>
      <c r="H68" s="10" t="s">
        <v>18</v>
      </c>
      <c r="I68" s="10" t="s">
        <v>18</v>
      </c>
      <c r="J68" s="9">
        <v>1</v>
      </c>
      <c r="K68" s="9">
        <v>50385</v>
      </c>
      <c r="L68" s="9"/>
      <c r="M68" s="9">
        <v>27</v>
      </c>
      <c r="N68" s="9">
        <v>64597</v>
      </c>
      <c r="O68" s="9">
        <v>8</v>
      </c>
      <c r="P68" s="9">
        <v>26911</v>
      </c>
      <c r="Q68" s="10" t="s">
        <v>18</v>
      </c>
      <c r="R68" s="10" t="s">
        <v>18</v>
      </c>
      <c r="S68" s="9">
        <v>4</v>
      </c>
      <c r="T68" s="9">
        <v>26095</v>
      </c>
      <c r="U68" s="10" t="s">
        <v>18</v>
      </c>
      <c r="V68" s="10" t="s">
        <v>18</v>
      </c>
      <c r="W68" s="10" t="s">
        <v>18</v>
      </c>
      <c r="X68" s="10" t="s">
        <v>18</v>
      </c>
      <c r="Z68" s="21">
        <v>1160662</v>
      </c>
      <c r="AB68" s="21">
        <f t="shared" si="0"/>
        <v>269810</v>
      </c>
      <c r="AC68" s="21">
        <f t="shared" si="1"/>
        <v>50385</v>
      </c>
      <c r="AE68" s="23">
        <f t="shared" si="2"/>
        <v>23.246216383408779</v>
      </c>
      <c r="AF68" s="23">
        <f t="shared" si="3"/>
        <v>4.3410570863869067</v>
      </c>
    </row>
    <row r="69" spans="1:32">
      <c r="A69" s="5" t="s">
        <v>74</v>
      </c>
      <c r="B69" s="6">
        <v>1</v>
      </c>
      <c r="C69" s="6">
        <v>4229</v>
      </c>
      <c r="D69" s="6">
        <v>2</v>
      </c>
      <c r="E69" s="6">
        <v>14060</v>
      </c>
      <c r="F69" s="6">
        <v>2</v>
      </c>
      <c r="G69" s="6">
        <v>31500</v>
      </c>
      <c r="H69" s="6">
        <v>5</v>
      </c>
      <c r="I69" s="6">
        <v>147754</v>
      </c>
      <c r="J69" s="6">
        <v>1</v>
      </c>
      <c r="K69" s="6">
        <v>314020</v>
      </c>
      <c r="L69" s="6"/>
      <c r="M69" s="6">
        <v>15</v>
      </c>
      <c r="N69" s="6">
        <v>35740</v>
      </c>
      <c r="O69" s="6">
        <v>8</v>
      </c>
      <c r="P69" s="6">
        <v>27680</v>
      </c>
      <c r="Q69" s="6">
        <v>5</v>
      </c>
      <c r="R69" s="6">
        <v>21875</v>
      </c>
      <c r="S69" s="6">
        <v>8</v>
      </c>
      <c r="T69" s="6">
        <v>50455</v>
      </c>
      <c r="U69" s="6">
        <v>1</v>
      </c>
      <c r="V69" s="6">
        <v>16907</v>
      </c>
      <c r="W69" s="7" t="s">
        <v>18</v>
      </c>
      <c r="X69" s="7" t="s">
        <v>18</v>
      </c>
      <c r="Z69" s="21">
        <v>1403901</v>
      </c>
      <c r="AB69" s="21">
        <f t="shared" si="0"/>
        <v>664220</v>
      </c>
      <c r="AC69" s="21">
        <f t="shared" si="1"/>
        <v>461774</v>
      </c>
      <c r="AE69" s="23">
        <f t="shared" si="2"/>
        <v>47.312452943619242</v>
      </c>
      <c r="AF69" s="23">
        <f t="shared" si="3"/>
        <v>32.892205362059009</v>
      </c>
    </row>
    <row r="70" spans="1:32">
      <c r="A70" s="8" t="s">
        <v>75</v>
      </c>
      <c r="B70" s="9">
        <v>2</v>
      </c>
      <c r="C70" s="9">
        <v>6645</v>
      </c>
      <c r="D70" s="9">
        <v>4</v>
      </c>
      <c r="E70" s="9">
        <v>30530</v>
      </c>
      <c r="F70" s="9">
        <v>2</v>
      </c>
      <c r="G70" s="9">
        <v>24096</v>
      </c>
      <c r="H70" s="9">
        <v>1</v>
      </c>
      <c r="I70" s="9">
        <v>26966</v>
      </c>
      <c r="J70" s="10" t="s">
        <v>18</v>
      </c>
      <c r="K70" s="10" t="s">
        <v>18</v>
      </c>
      <c r="L70" s="10"/>
      <c r="M70" s="9">
        <v>3</v>
      </c>
      <c r="N70" s="9">
        <v>8267</v>
      </c>
      <c r="O70" s="9">
        <v>3</v>
      </c>
      <c r="P70" s="9">
        <v>10018</v>
      </c>
      <c r="Q70" s="9">
        <v>1</v>
      </c>
      <c r="R70" s="9">
        <v>4656</v>
      </c>
      <c r="S70" s="10" t="s">
        <v>18</v>
      </c>
      <c r="T70" s="10" t="s">
        <v>18</v>
      </c>
      <c r="U70" s="10" t="s">
        <v>18</v>
      </c>
      <c r="V70" s="10" t="s">
        <v>18</v>
      </c>
      <c r="W70" s="10" t="s">
        <v>18</v>
      </c>
      <c r="X70" s="10" t="s">
        <v>18</v>
      </c>
      <c r="Z70" s="21">
        <v>553633</v>
      </c>
      <c r="AB70" s="21">
        <f t="shared" si="0"/>
        <v>111178</v>
      </c>
      <c r="AC70" s="21">
        <f t="shared" si="1"/>
        <v>26966</v>
      </c>
      <c r="AE70" s="23">
        <f t="shared" si="2"/>
        <v>20.081534157104073</v>
      </c>
      <c r="AF70" s="23">
        <f t="shared" si="3"/>
        <v>4.8707356678521689</v>
      </c>
    </row>
    <row r="71" spans="1:32">
      <c r="A71" s="5" t="s">
        <v>76</v>
      </c>
      <c r="B71" s="7" t="s">
        <v>18</v>
      </c>
      <c r="C71" s="7" t="s">
        <v>18</v>
      </c>
      <c r="D71" s="6">
        <v>9</v>
      </c>
      <c r="E71" s="6">
        <v>66104</v>
      </c>
      <c r="F71" s="7" t="s">
        <v>18</v>
      </c>
      <c r="G71" s="7" t="s">
        <v>18</v>
      </c>
      <c r="H71" s="6">
        <v>1</v>
      </c>
      <c r="I71" s="6">
        <v>29896</v>
      </c>
      <c r="J71" s="7" t="s">
        <v>18</v>
      </c>
      <c r="K71" s="7" t="s">
        <v>18</v>
      </c>
      <c r="L71" s="7"/>
      <c r="M71" s="6">
        <v>14</v>
      </c>
      <c r="N71" s="6">
        <v>33647</v>
      </c>
      <c r="O71" s="6">
        <v>3</v>
      </c>
      <c r="P71" s="6">
        <v>10295</v>
      </c>
      <c r="Q71" s="6">
        <v>1</v>
      </c>
      <c r="R71" s="6">
        <v>4230</v>
      </c>
      <c r="S71" s="6">
        <v>1</v>
      </c>
      <c r="T71" s="6">
        <v>6011</v>
      </c>
      <c r="U71" s="7" t="s">
        <v>18</v>
      </c>
      <c r="V71" s="7" t="s">
        <v>18</v>
      </c>
      <c r="W71" s="7" t="s">
        <v>18</v>
      </c>
      <c r="X71" s="7" t="s">
        <v>18</v>
      </c>
      <c r="Z71" s="21">
        <v>814947</v>
      </c>
      <c r="AB71" s="21">
        <f t="shared" si="0"/>
        <v>150183</v>
      </c>
      <c r="AC71" s="21">
        <f t="shared" si="1"/>
        <v>29896</v>
      </c>
      <c r="AE71" s="23">
        <f t="shared" si="2"/>
        <v>18.428560384908465</v>
      </c>
      <c r="AF71" s="23">
        <f t="shared" si="3"/>
        <v>3.668459421287519</v>
      </c>
    </row>
    <row r="72" spans="1:32">
      <c r="A72" s="8" t="s">
        <v>77</v>
      </c>
      <c r="B72" s="9">
        <v>5</v>
      </c>
      <c r="C72" s="9">
        <v>16354</v>
      </c>
      <c r="D72" s="9">
        <v>3</v>
      </c>
      <c r="E72" s="9">
        <v>21903</v>
      </c>
      <c r="F72" s="9">
        <v>1</v>
      </c>
      <c r="G72" s="9">
        <v>12743</v>
      </c>
      <c r="H72" s="9">
        <v>1</v>
      </c>
      <c r="I72" s="9">
        <v>22648</v>
      </c>
      <c r="J72" s="10" t="s">
        <v>18</v>
      </c>
      <c r="K72" s="10" t="s">
        <v>18</v>
      </c>
      <c r="L72" s="10"/>
      <c r="M72" s="9">
        <v>8</v>
      </c>
      <c r="N72" s="9">
        <v>19165</v>
      </c>
      <c r="O72" s="10" t="s">
        <v>18</v>
      </c>
      <c r="P72" s="10" t="s">
        <v>18</v>
      </c>
      <c r="Q72" s="10" t="s">
        <v>18</v>
      </c>
      <c r="R72" s="10" t="s">
        <v>18</v>
      </c>
      <c r="S72" s="10" t="s">
        <v>18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Z72" s="21">
        <v>582913</v>
      </c>
      <c r="AB72" s="21">
        <f t="shared" si="0"/>
        <v>92813</v>
      </c>
      <c r="AC72" s="21">
        <f t="shared" si="1"/>
        <v>22648</v>
      </c>
      <c r="AE72" s="23">
        <f t="shared" si="2"/>
        <v>15.922273135099063</v>
      </c>
      <c r="AF72" s="23">
        <f t="shared" si="3"/>
        <v>3.885313931924661</v>
      </c>
    </row>
    <row r="73" spans="1:32">
      <c r="A73" s="5" t="s">
        <v>78</v>
      </c>
      <c r="B73" s="6">
        <v>1</v>
      </c>
      <c r="C73" s="6">
        <v>4107</v>
      </c>
      <c r="D73" s="6">
        <v>8</v>
      </c>
      <c r="E73" s="6">
        <v>56647</v>
      </c>
      <c r="F73" s="6">
        <v>2</v>
      </c>
      <c r="G73" s="6">
        <v>26850</v>
      </c>
      <c r="H73" s="6">
        <v>1</v>
      </c>
      <c r="I73" s="6">
        <v>26234</v>
      </c>
      <c r="J73" s="7" t="s">
        <v>18</v>
      </c>
      <c r="K73" s="7" t="s">
        <v>18</v>
      </c>
      <c r="L73" s="7"/>
      <c r="M73" s="6">
        <v>7</v>
      </c>
      <c r="N73" s="6">
        <v>17736</v>
      </c>
      <c r="O73" s="6">
        <v>4</v>
      </c>
      <c r="P73" s="6">
        <v>13522</v>
      </c>
      <c r="Q73" s="6">
        <v>1</v>
      </c>
      <c r="R73" s="6">
        <v>4724</v>
      </c>
      <c r="S73" s="6">
        <v>1</v>
      </c>
      <c r="T73" s="6">
        <v>6079</v>
      </c>
      <c r="U73" s="7" t="s">
        <v>18</v>
      </c>
      <c r="V73" s="7" t="s">
        <v>18</v>
      </c>
      <c r="W73" s="7" t="s">
        <v>18</v>
      </c>
      <c r="X73" s="7" t="s">
        <v>18</v>
      </c>
      <c r="Z73" s="21">
        <v>772146</v>
      </c>
      <c r="AB73" s="21">
        <f t="shared" ref="AB73:AB114" si="10">N(C73)+N(E73)+N(G73)+N(I73)+N(K73)+N(N73)+N(P73)+N(R73)+N(T73)+N(V73)+N(X73)</f>
        <v>155899</v>
      </c>
      <c r="AC73" s="21">
        <f t="shared" ref="AC73:AC114" si="11">N(I73)+N(K73)+N(X73)</f>
        <v>26234</v>
      </c>
      <c r="AE73" s="23">
        <f t="shared" ref="AE73:AE114" si="12">AB73/Z73*100</f>
        <v>20.190352601710039</v>
      </c>
      <c r="AF73" s="23">
        <f t="shared" ref="AF73:AF114" si="13">AC73/Z73*100</f>
        <v>3.3975439877950544</v>
      </c>
    </row>
    <row r="74" spans="1:32">
      <c r="A74" s="5"/>
      <c r="B74" s="6"/>
      <c r="C74" s="6"/>
      <c r="D74" s="6"/>
      <c r="E74" s="6"/>
      <c r="F74" s="6"/>
      <c r="G74" s="6"/>
      <c r="H74" s="6"/>
      <c r="I74" s="6"/>
      <c r="J74" s="7"/>
      <c r="K74" s="7"/>
      <c r="L74" s="7"/>
      <c r="M74" s="6"/>
      <c r="N74" s="6"/>
      <c r="O74" s="6"/>
      <c r="P74" s="6"/>
      <c r="Q74" s="6"/>
      <c r="R74" s="6"/>
      <c r="S74" s="6"/>
      <c r="T74" s="6"/>
      <c r="U74" s="7"/>
      <c r="V74" s="7"/>
      <c r="W74" s="7"/>
      <c r="X74" s="7"/>
      <c r="AB74" s="21"/>
      <c r="AC74" s="21"/>
      <c r="AE74" s="23"/>
      <c r="AF74" s="23"/>
    </row>
    <row r="75" spans="1:32">
      <c r="A75" s="8" t="s">
        <v>111</v>
      </c>
      <c r="B75" s="18">
        <f>B76-B77</f>
        <v>0</v>
      </c>
      <c r="C75" s="18">
        <f t="shared" ref="C75:K75" si="14">C76-C77</f>
        <v>0</v>
      </c>
      <c r="D75" s="18">
        <f t="shared" si="14"/>
        <v>0</v>
      </c>
      <c r="E75" s="18">
        <f t="shared" si="14"/>
        <v>0</v>
      </c>
      <c r="F75" s="18">
        <f t="shared" si="14"/>
        <v>0</v>
      </c>
      <c r="G75" s="18">
        <f t="shared" si="14"/>
        <v>0</v>
      </c>
      <c r="H75" s="18">
        <f t="shared" si="14"/>
        <v>0</v>
      </c>
      <c r="I75" s="18">
        <f t="shared" si="14"/>
        <v>0</v>
      </c>
      <c r="J75" s="18">
        <f t="shared" si="14"/>
        <v>0</v>
      </c>
      <c r="K75" s="18">
        <f t="shared" si="14"/>
        <v>0</v>
      </c>
      <c r="L75" s="19"/>
      <c r="M75" s="18">
        <f t="shared" ref="M75:V75" si="15">M76-M77</f>
        <v>0</v>
      </c>
      <c r="N75" s="18">
        <f t="shared" si="15"/>
        <v>0</v>
      </c>
      <c r="O75" s="18">
        <f t="shared" si="15"/>
        <v>0</v>
      </c>
      <c r="P75" s="18">
        <f t="shared" si="15"/>
        <v>0</v>
      </c>
      <c r="Q75" s="18">
        <f t="shared" si="15"/>
        <v>0</v>
      </c>
      <c r="R75" s="18">
        <f t="shared" si="15"/>
        <v>0</v>
      </c>
      <c r="S75" s="18">
        <f t="shared" si="15"/>
        <v>0</v>
      </c>
      <c r="T75" s="18">
        <f t="shared" si="15"/>
        <v>0</v>
      </c>
      <c r="U75" s="18">
        <f t="shared" si="15"/>
        <v>0</v>
      </c>
      <c r="V75" s="18">
        <f t="shared" si="15"/>
        <v>0</v>
      </c>
      <c r="W75" s="7"/>
      <c r="X75" s="7"/>
      <c r="Z75" s="18">
        <f t="shared" ref="Z75" si="16">Z76-Z77</f>
        <v>0</v>
      </c>
      <c r="AB75" s="21"/>
      <c r="AC75" s="21"/>
      <c r="AE75" s="23"/>
      <c r="AF75" s="23"/>
    </row>
    <row r="76" spans="1:32">
      <c r="A76" s="8" t="s">
        <v>112</v>
      </c>
      <c r="B76" s="18">
        <f>SUM(B78:B88)</f>
        <v>7</v>
      </c>
      <c r="C76" s="18">
        <f t="shared" ref="C76:K76" si="17">SUM(C78:C88)</f>
        <v>23612</v>
      </c>
      <c r="D76" s="18">
        <f t="shared" si="17"/>
        <v>13</v>
      </c>
      <c r="E76" s="18">
        <f t="shared" si="17"/>
        <v>104893</v>
      </c>
      <c r="F76" s="18">
        <f t="shared" si="17"/>
        <v>12</v>
      </c>
      <c r="G76" s="18">
        <f t="shared" si="17"/>
        <v>169622</v>
      </c>
      <c r="H76" s="18">
        <f t="shared" si="17"/>
        <v>13</v>
      </c>
      <c r="I76" s="18">
        <f t="shared" si="17"/>
        <v>400729</v>
      </c>
      <c r="J76" s="18">
        <f t="shared" si="17"/>
        <v>3</v>
      </c>
      <c r="K76" s="18">
        <f t="shared" si="17"/>
        <v>337100</v>
      </c>
      <c r="L76" s="19"/>
      <c r="M76" s="18">
        <f t="shared" ref="M76:V76" si="18">SUM(M78:M88)</f>
        <v>265</v>
      </c>
      <c r="N76" s="18">
        <f t="shared" si="18"/>
        <v>635873</v>
      </c>
      <c r="O76" s="18">
        <f t="shared" si="18"/>
        <v>115</v>
      </c>
      <c r="P76" s="18">
        <f t="shared" si="18"/>
        <v>395941</v>
      </c>
      <c r="Q76" s="18">
        <f t="shared" si="18"/>
        <v>92</v>
      </c>
      <c r="R76" s="18">
        <f t="shared" si="18"/>
        <v>413925</v>
      </c>
      <c r="S76" s="18">
        <f t="shared" si="18"/>
        <v>150</v>
      </c>
      <c r="T76" s="18">
        <f t="shared" si="18"/>
        <v>1037053</v>
      </c>
      <c r="U76" s="18">
        <f t="shared" si="18"/>
        <v>46</v>
      </c>
      <c r="V76" s="18">
        <f t="shared" si="18"/>
        <v>539331</v>
      </c>
      <c r="W76" s="7"/>
      <c r="X76" s="7"/>
      <c r="Z76" s="18">
        <f t="shared" ref="Z76" si="19">SUM(Z78:Z88)</f>
        <v>9289364</v>
      </c>
      <c r="AB76" s="21">
        <f t="shared" si="10"/>
        <v>4058079</v>
      </c>
      <c r="AC76" s="21">
        <f t="shared" si="11"/>
        <v>737829</v>
      </c>
      <c r="AE76" s="23">
        <f t="shared" si="12"/>
        <v>43.685218923491426</v>
      </c>
      <c r="AF76" s="23">
        <f t="shared" si="13"/>
        <v>7.9427289101815806</v>
      </c>
    </row>
    <row r="77" spans="1:32">
      <c r="A77" s="3" t="s">
        <v>79</v>
      </c>
      <c r="B77" s="4">
        <v>7</v>
      </c>
      <c r="C77" s="4">
        <v>23612</v>
      </c>
      <c r="D77" s="4">
        <v>13</v>
      </c>
      <c r="E77" s="4">
        <v>104893</v>
      </c>
      <c r="F77" s="4">
        <v>12</v>
      </c>
      <c r="G77" s="4">
        <v>169622</v>
      </c>
      <c r="H77" s="4">
        <v>13</v>
      </c>
      <c r="I77" s="4">
        <v>400729</v>
      </c>
      <c r="J77" s="4">
        <v>3</v>
      </c>
      <c r="K77" s="4">
        <v>337100</v>
      </c>
      <c r="L77" s="4"/>
      <c r="M77" s="4">
        <v>265</v>
      </c>
      <c r="N77" s="4">
        <v>635873</v>
      </c>
      <c r="O77" s="4">
        <v>115</v>
      </c>
      <c r="P77" s="4">
        <v>395941</v>
      </c>
      <c r="Q77" s="4">
        <v>92</v>
      </c>
      <c r="R77" s="4">
        <v>413925</v>
      </c>
      <c r="S77" s="4">
        <v>150</v>
      </c>
      <c r="T77" s="4">
        <v>1037053</v>
      </c>
      <c r="U77" s="4">
        <v>46</v>
      </c>
      <c r="V77" s="4">
        <v>539331</v>
      </c>
      <c r="W77" s="11" t="s">
        <v>18</v>
      </c>
      <c r="X77" s="11" t="s">
        <v>18</v>
      </c>
      <c r="Z77" s="21">
        <v>9289364</v>
      </c>
      <c r="AB77" s="21">
        <f t="shared" si="10"/>
        <v>4058079</v>
      </c>
      <c r="AC77" s="21">
        <f t="shared" si="11"/>
        <v>737829</v>
      </c>
      <c r="AE77" s="23">
        <f t="shared" si="12"/>
        <v>43.685218923491426</v>
      </c>
      <c r="AF77" s="23">
        <f t="shared" si="13"/>
        <v>7.9427289101815806</v>
      </c>
    </row>
    <row r="78" spans="1:32">
      <c r="A78" s="5" t="s">
        <v>80</v>
      </c>
      <c r="B78" s="6">
        <v>1</v>
      </c>
      <c r="C78" s="6">
        <v>2201</v>
      </c>
      <c r="D78" s="6">
        <v>1</v>
      </c>
      <c r="E78" s="6">
        <v>8733</v>
      </c>
      <c r="F78" s="6">
        <v>2</v>
      </c>
      <c r="G78" s="6">
        <v>27150</v>
      </c>
      <c r="H78" s="6">
        <v>1</v>
      </c>
      <c r="I78" s="6">
        <v>20007</v>
      </c>
      <c r="J78" s="6">
        <v>1</v>
      </c>
      <c r="K78" s="6">
        <v>111904</v>
      </c>
      <c r="L78" s="6"/>
      <c r="M78" s="6">
        <v>13</v>
      </c>
      <c r="N78" s="6">
        <v>30756</v>
      </c>
      <c r="O78" s="6">
        <v>1</v>
      </c>
      <c r="P78" s="6">
        <v>3446</v>
      </c>
      <c r="Q78" s="6">
        <v>2</v>
      </c>
      <c r="R78" s="6">
        <v>9351</v>
      </c>
      <c r="S78" s="6">
        <v>3</v>
      </c>
      <c r="T78" s="6">
        <v>17140</v>
      </c>
      <c r="U78" s="7" t="s">
        <v>18</v>
      </c>
      <c r="V78" s="7" t="s">
        <v>18</v>
      </c>
      <c r="W78" s="7" t="s">
        <v>18</v>
      </c>
      <c r="X78" s="7" t="s">
        <v>18</v>
      </c>
      <c r="Z78" s="21">
        <v>826716</v>
      </c>
      <c r="AB78" s="21">
        <f t="shared" si="10"/>
        <v>230688</v>
      </c>
      <c r="AC78" s="21">
        <f t="shared" si="11"/>
        <v>131911</v>
      </c>
      <c r="AE78" s="23">
        <f t="shared" si="12"/>
        <v>27.904141204476506</v>
      </c>
      <c r="AF78" s="23">
        <f t="shared" si="13"/>
        <v>15.95602359214047</v>
      </c>
    </row>
    <row r="79" spans="1:32">
      <c r="A79" s="8" t="s">
        <v>81</v>
      </c>
      <c r="B79" s="10" t="s">
        <v>18</v>
      </c>
      <c r="C79" s="10" t="s">
        <v>18</v>
      </c>
      <c r="D79" s="9">
        <v>2</v>
      </c>
      <c r="E79" s="9">
        <v>18967</v>
      </c>
      <c r="F79" s="9">
        <v>1</v>
      </c>
      <c r="G79" s="9">
        <v>14649</v>
      </c>
      <c r="H79" s="10" t="s">
        <v>18</v>
      </c>
      <c r="I79" s="10" t="s">
        <v>18</v>
      </c>
      <c r="J79" s="10" t="s">
        <v>18</v>
      </c>
      <c r="K79" s="10" t="s">
        <v>18</v>
      </c>
      <c r="L79" s="10"/>
      <c r="M79" s="9">
        <v>19</v>
      </c>
      <c r="N79" s="9">
        <v>44645</v>
      </c>
      <c r="O79" s="9">
        <v>5</v>
      </c>
      <c r="P79" s="9">
        <v>16691</v>
      </c>
      <c r="Q79" s="9">
        <v>3</v>
      </c>
      <c r="R79" s="9">
        <v>13183</v>
      </c>
      <c r="S79" s="9">
        <v>1</v>
      </c>
      <c r="T79" s="9">
        <v>5062</v>
      </c>
      <c r="U79" s="10" t="s">
        <v>18</v>
      </c>
      <c r="V79" s="10" t="s">
        <v>18</v>
      </c>
      <c r="W79" s="10" t="s">
        <v>18</v>
      </c>
      <c r="X79" s="10" t="s">
        <v>18</v>
      </c>
      <c r="Z79" s="21">
        <v>571154</v>
      </c>
      <c r="AB79" s="21">
        <f t="shared" si="10"/>
        <v>113197</v>
      </c>
      <c r="AC79" s="21">
        <f t="shared" si="11"/>
        <v>0</v>
      </c>
      <c r="AE79" s="23">
        <f t="shared" si="12"/>
        <v>19.81899802855272</v>
      </c>
      <c r="AF79" s="23">
        <f t="shared" si="13"/>
        <v>0</v>
      </c>
    </row>
    <row r="80" spans="1:32">
      <c r="A80" s="5" t="s">
        <v>82</v>
      </c>
      <c r="B80" s="7" t="s">
        <v>18</v>
      </c>
      <c r="C80" s="7" t="s">
        <v>18</v>
      </c>
      <c r="D80" s="7" t="s">
        <v>18</v>
      </c>
      <c r="E80" s="7" t="s">
        <v>18</v>
      </c>
      <c r="F80" s="7" t="s">
        <v>18</v>
      </c>
      <c r="G80" s="7" t="s">
        <v>18</v>
      </c>
      <c r="H80" s="6">
        <v>3</v>
      </c>
      <c r="I80" s="6">
        <v>84240</v>
      </c>
      <c r="J80" s="7" t="s">
        <v>18</v>
      </c>
      <c r="K80" s="7" t="s">
        <v>18</v>
      </c>
      <c r="L80" s="7"/>
      <c r="M80" s="6">
        <v>26</v>
      </c>
      <c r="N80" s="6">
        <v>61109</v>
      </c>
      <c r="O80" s="6">
        <v>1</v>
      </c>
      <c r="P80" s="6">
        <v>3303</v>
      </c>
      <c r="Q80" s="6">
        <v>3</v>
      </c>
      <c r="R80" s="6">
        <v>14051</v>
      </c>
      <c r="S80" s="6">
        <v>1</v>
      </c>
      <c r="T80" s="6">
        <v>5581</v>
      </c>
      <c r="U80" s="7" t="s">
        <v>18</v>
      </c>
      <c r="V80" s="7" t="s">
        <v>18</v>
      </c>
      <c r="W80" s="7" t="s">
        <v>18</v>
      </c>
      <c r="X80" s="7" t="s">
        <v>18</v>
      </c>
      <c r="Z80" s="21">
        <v>878415</v>
      </c>
      <c r="AB80" s="21">
        <f t="shared" si="10"/>
        <v>168284</v>
      </c>
      <c r="AC80" s="21">
        <f t="shared" si="11"/>
        <v>84240</v>
      </c>
      <c r="AE80" s="23">
        <f t="shared" si="12"/>
        <v>19.157687425647328</v>
      </c>
      <c r="AF80" s="23">
        <f t="shared" si="13"/>
        <v>9.5900001707621119</v>
      </c>
    </row>
    <row r="81" spans="1:32">
      <c r="A81" s="8" t="s">
        <v>83</v>
      </c>
      <c r="B81" s="9">
        <v>2</v>
      </c>
      <c r="C81" s="9">
        <v>6515</v>
      </c>
      <c r="D81" s="10" t="s">
        <v>18</v>
      </c>
      <c r="E81" s="10" t="s">
        <v>18</v>
      </c>
      <c r="F81" s="9">
        <v>1</v>
      </c>
      <c r="G81" s="9">
        <v>10518</v>
      </c>
      <c r="H81" s="9">
        <v>1</v>
      </c>
      <c r="I81" s="9">
        <v>20805</v>
      </c>
      <c r="J81" s="10" t="s">
        <v>18</v>
      </c>
      <c r="K81" s="10" t="s">
        <v>18</v>
      </c>
      <c r="L81" s="10"/>
      <c r="M81" s="10" t="s">
        <v>18</v>
      </c>
      <c r="N81" s="10" t="s">
        <v>18</v>
      </c>
      <c r="O81" s="10" t="s">
        <v>18</v>
      </c>
      <c r="P81" s="10" t="s">
        <v>18</v>
      </c>
      <c r="Q81" s="9">
        <v>1</v>
      </c>
      <c r="R81" s="9">
        <v>4310</v>
      </c>
      <c r="S81" s="10" t="s">
        <v>18</v>
      </c>
      <c r="T81" s="10" t="s">
        <v>18</v>
      </c>
      <c r="U81" s="10" t="s">
        <v>18</v>
      </c>
      <c r="V81" s="10" t="s">
        <v>18</v>
      </c>
      <c r="W81" s="10" t="s">
        <v>18</v>
      </c>
      <c r="X81" s="10" t="s">
        <v>18</v>
      </c>
      <c r="Z81" s="21">
        <v>290654</v>
      </c>
      <c r="AB81" s="21">
        <f t="shared" si="10"/>
        <v>42148</v>
      </c>
      <c r="AC81" s="21">
        <f t="shared" si="11"/>
        <v>20805</v>
      </c>
      <c r="AE81" s="23">
        <f t="shared" si="12"/>
        <v>14.501090643858333</v>
      </c>
      <c r="AF81" s="23">
        <f t="shared" si="13"/>
        <v>7.1579954172314846</v>
      </c>
    </row>
    <row r="82" spans="1:32">
      <c r="A82" s="5" t="s">
        <v>84</v>
      </c>
      <c r="B82" s="7" t="s">
        <v>18</v>
      </c>
      <c r="C82" s="7" t="s">
        <v>18</v>
      </c>
      <c r="D82" s="6">
        <v>1</v>
      </c>
      <c r="E82" s="6">
        <v>6944</v>
      </c>
      <c r="F82" s="6">
        <v>1</v>
      </c>
      <c r="G82" s="6">
        <v>14734</v>
      </c>
      <c r="H82" s="6">
        <v>2</v>
      </c>
      <c r="I82" s="6">
        <v>69741</v>
      </c>
      <c r="J82" s="6">
        <v>1</v>
      </c>
      <c r="K82" s="6">
        <v>65606</v>
      </c>
      <c r="L82" s="6"/>
      <c r="M82" s="6">
        <v>45</v>
      </c>
      <c r="N82" s="6">
        <v>108229</v>
      </c>
      <c r="O82" s="6">
        <v>25</v>
      </c>
      <c r="P82" s="6">
        <v>84369</v>
      </c>
      <c r="Q82" s="6">
        <v>31</v>
      </c>
      <c r="R82" s="6">
        <v>139711</v>
      </c>
      <c r="S82" s="6">
        <v>90</v>
      </c>
      <c r="T82" s="6">
        <v>656610</v>
      </c>
      <c r="U82" s="6">
        <v>25</v>
      </c>
      <c r="V82" s="6">
        <v>298334</v>
      </c>
      <c r="W82" s="7" t="s">
        <v>18</v>
      </c>
      <c r="X82" s="7" t="s">
        <v>18</v>
      </c>
      <c r="Z82" s="21">
        <v>1918881</v>
      </c>
      <c r="AB82" s="21">
        <f t="shared" si="10"/>
        <v>1444278</v>
      </c>
      <c r="AC82" s="21">
        <f t="shared" si="11"/>
        <v>135347</v>
      </c>
      <c r="AE82" s="23">
        <f t="shared" si="12"/>
        <v>75.266678861273846</v>
      </c>
      <c r="AF82" s="23">
        <f t="shared" si="13"/>
        <v>7.0534337460217698</v>
      </c>
    </row>
    <row r="83" spans="1:32">
      <c r="A83" s="8" t="s">
        <v>85</v>
      </c>
      <c r="B83" s="9">
        <v>1</v>
      </c>
      <c r="C83" s="9">
        <v>4710</v>
      </c>
      <c r="D83" s="9">
        <v>2</v>
      </c>
      <c r="E83" s="9">
        <v>15344</v>
      </c>
      <c r="F83" s="10" t="s">
        <v>18</v>
      </c>
      <c r="G83" s="10" t="s">
        <v>18</v>
      </c>
      <c r="H83" s="9">
        <v>2</v>
      </c>
      <c r="I83" s="9">
        <v>60984</v>
      </c>
      <c r="J83" s="10" t="s">
        <v>18</v>
      </c>
      <c r="K83" s="10" t="s">
        <v>18</v>
      </c>
      <c r="L83" s="10"/>
      <c r="M83" s="9">
        <v>33</v>
      </c>
      <c r="N83" s="9">
        <v>78002</v>
      </c>
      <c r="O83" s="9">
        <v>4</v>
      </c>
      <c r="P83" s="9">
        <v>12660</v>
      </c>
      <c r="Q83" s="9">
        <v>9</v>
      </c>
      <c r="R83" s="9">
        <v>39456</v>
      </c>
      <c r="S83" s="9">
        <v>3</v>
      </c>
      <c r="T83" s="9">
        <v>18264</v>
      </c>
      <c r="U83" s="10" t="s">
        <v>18</v>
      </c>
      <c r="V83" s="10" t="s">
        <v>18</v>
      </c>
      <c r="W83" s="10" t="s">
        <v>18</v>
      </c>
      <c r="X83" s="10" t="s">
        <v>18</v>
      </c>
      <c r="Z83" s="21">
        <v>1058241</v>
      </c>
      <c r="AB83" s="21">
        <f t="shared" si="10"/>
        <v>229420</v>
      </c>
      <c r="AC83" s="21">
        <f t="shared" si="11"/>
        <v>60984</v>
      </c>
      <c r="AE83" s="23">
        <f t="shared" si="12"/>
        <v>21.679371712114726</v>
      </c>
      <c r="AF83" s="23">
        <f t="shared" si="13"/>
        <v>5.7627704842280725</v>
      </c>
    </row>
    <row r="84" spans="1:32">
      <c r="A84" s="5" t="s">
        <v>86</v>
      </c>
      <c r="B84" s="7" t="s">
        <v>18</v>
      </c>
      <c r="C84" s="7" t="s">
        <v>18</v>
      </c>
      <c r="D84" s="6">
        <v>1</v>
      </c>
      <c r="E84" s="6">
        <v>6583</v>
      </c>
      <c r="F84" s="7" t="s">
        <v>18</v>
      </c>
      <c r="G84" s="7" t="s">
        <v>18</v>
      </c>
      <c r="H84" s="6">
        <v>1</v>
      </c>
      <c r="I84" s="6">
        <v>41590</v>
      </c>
      <c r="J84" s="7" t="s">
        <v>18</v>
      </c>
      <c r="K84" s="7" t="s">
        <v>18</v>
      </c>
      <c r="L84" s="7"/>
      <c r="M84" s="6">
        <v>11</v>
      </c>
      <c r="N84" s="6">
        <v>27630</v>
      </c>
      <c r="O84" s="6">
        <v>27</v>
      </c>
      <c r="P84" s="6">
        <v>93295</v>
      </c>
      <c r="Q84" s="6">
        <v>21</v>
      </c>
      <c r="R84" s="6">
        <v>94771</v>
      </c>
      <c r="S84" s="6">
        <v>41</v>
      </c>
      <c r="T84" s="6">
        <v>266566</v>
      </c>
      <c r="U84" s="6">
        <v>19</v>
      </c>
      <c r="V84" s="6">
        <v>219421</v>
      </c>
      <c r="W84" s="7" t="s">
        <v>18</v>
      </c>
      <c r="X84" s="7" t="s">
        <v>18</v>
      </c>
      <c r="Z84" s="21">
        <v>873301</v>
      </c>
      <c r="AB84" s="21">
        <f t="shared" si="10"/>
        <v>749856</v>
      </c>
      <c r="AC84" s="21">
        <f t="shared" si="11"/>
        <v>41590</v>
      </c>
      <c r="AE84" s="23">
        <f t="shared" si="12"/>
        <v>85.864553000626358</v>
      </c>
      <c r="AF84" s="23">
        <f t="shared" si="13"/>
        <v>4.7623900579525271</v>
      </c>
    </row>
    <row r="85" spans="1:32">
      <c r="A85" s="8" t="s">
        <v>87</v>
      </c>
      <c r="B85" s="10" t="s">
        <v>18</v>
      </c>
      <c r="C85" s="10" t="s">
        <v>18</v>
      </c>
      <c r="D85" s="9">
        <v>2</v>
      </c>
      <c r="E85" s="9">
        <v>16612</v>
      </c>
      <c r="F85" s="9">
        <v>3</v>
      </c>
      <c r="G85" s="9">
        <v>46119</v>
      </c>
      <c r="H85" s="9">
        <v>1</v>
      </c>
      <c r="I85" s="9">
        <v>43740</v>
      </c>
      <c r="J85" s="10" t="s">
        <v>18</v>
      </c>
      <c r="K85" s="10" t="s">
        <v>18</v>
      </c>
      <c r="L85" s="10"/>
      <c r="M85" s="9">
        <v>60</v>
      </c>
      <c r="N85" s="9">
        <v>146159</v>
      </c>
      <c r="O85" s="9">
        <v>32</v>
      </c>
      <c r="P85" s="9">
        <v>112154</v>
      </c>
      <c r="Q85" s="9">
        <v>11</v>
      </c>
      <c r="R85" s="9">
        <v>50615</v>
      </c>
      <c r="S85" s="9">
        <v>8</v>
      </c>
      <c r="T85" s="9">
        <v>48842</v>
      </c>
      <c r="U85" s="9">
        <v>2</v>
      </c>
      <c r="V85" s="9">
        <v>21576</v>
      </c>
      <c r="W85" s="10" t="s">
        <v>18</v>
      </c>
      <c r="X85" s="10" t="s">
        <v>18</v>
      </c>
      <c r="Z85" s="21">
        <v>933936</v>
      </c>
      <c r="AB85" s="21">
        <f t="shared" si="10"/>
        <v>485817</v>
      </c>
      <c r="AC85" s="21">
        <f t="shared" si="11"/>
        <v>43740</v>
      </c>
      <c r="AE85" s="23">
        <f t="shared" si="12"/>
        <v>52.018232512720353</v>
      </c>
      <c r="AF85" s="23">
        <f t="shared" si="13"/>
        <v>4.6834044302821605</v>
      </c>
    </row>
    <row r="86" spans="1:32">
      <c r="A86" s="5" t="s">
        <v>88</v>
      </c>
      <c r="B86" s="6">
        <v>2</v>
      </c>
      <c r="C86" s="6">
        <v>5575</v>
      </c>
      <c r="D86" s="6">
        <v>2</v>
      </c>
      <c r="E86" s="6">
        <v>14434</v>
      </c>
      <c r="F86" s="6">
        <v>3</v>
      </c>
      <c r="G86" s="6">
        <v>39555</v>
      </c>
      <c r="H86" s="7" t="s">
        <v>18</v>
      </c>
      <c r="I86" s="7" t="s">
        <v>18</v>
      </c>
      <c r="J86" s="6">
        <v>1</v>
      </c>
      <c r="K86" s="6">
        <v>159590</v>
      </c>
      <c r="L86" s="6"/>
      <c r="M86" s="6">
        <v>34</v>
      </c>
      <c r="N86" s="6">
        <v>81915</v>
      </c>
      <c r="O86" s="6">
        <v>12</v>
      </c>
      <c r="P86" s="6">
        <v>42757</v>
      </c>
      <c r="Q86" s="6">
        <v>8</v>
      </c>
      <c r="R86" s="6">
        <v>34110</v>
      </c>
      <c r="S86" s="6">
        <v>2</v>
      </c>
      <c r="T86" s="6">
        <v>13721</v>
      </c>
      <c r="U86" s="7" t="s">
        <v>18</v>
      </c>
      <c r="V86" s="7" t="s">
        <v>18</v>
      </c>
      <c r="W86" s="7" t="s">
        <v>18</v>
      </c>
      <c r="X86" s="7" t="s">
        <v>18</v>
      </c>
      <c r="Z86" s="21">
        <v>1051032</v>
      </c>
      <c r="AB86" s="21">
        <f t="shared" si="10"/>
        <v>391657</v>
      </c>
      <c r="AC86" s="21">
        <f t="shared" si="11"/>
        <v>159590</v>
      </c>
      <c r="AE86" s="23">
        <f t="shared" si="12"/>
        <v>37.26404143736822</v>
      </c>
      <c r="AF86" s="23">
        <f t="shared" si="13"/>
        <v>15.18412379451815</v>
      </c>
    </row>
    <row r="87" spans="1:32">
      <c r="A87" s="8" t="s">
        <v>89</v>
      </c>
      <c r="B87" s="10" t="s">
        <v>18</v>
      </c>
      <c r="C87" s="10" t="s">
        <v>18</v>
      </c>
      <c r="D87" s="10" t="s">
        <v>18</v>
      </c>
      <c r="E87" s="10" t="s">
        <v>18</v>
      </c>
      <c r="F87" s="9">
        <v>1</v>
      </c>
      <c r="G87" s="9">
        <v>16897</v>
      </c>
      <c r="H87" s="10" t="s">
        <v>18</v>
      </c>
      <c r="I87" s="10" t="s">
        <v>18</v>
      </c>
      <c r="J87" s="10" t="s">
        <v>18</v>
      </c>
      <c r="K87" s="10" t="s">
        <v>18</v>
      </c>
      <c r="L87" s="10"/>
      <c r="M87" s="10" t="s">
        <v>18</v>
      </c>
      <c r="N87" s="10" t="s">
        <v>18</v>
      </c>
      <c r="O87" s="10" t="s">
        <v>18</v>
      </c>
      <c r="P87" s="10" t="s">
        <v>18</v>
      </c>
      <c r="Q87" s="9">
        <v>1</v>
      </c>
      <c r="R87" s="9">
        <v>4845</v>
      </c>
      <c r="S87" s="10" t="s">
        <v>18</v>
      </c>
      <c r="T87" s="10" t="s">
        <v>18</v>
      </c>
      <c r="U87" s="10" t="s">
        <v>18</v>
      </c>
      <c r="V87" s="10" t="s">
        <v>18</v>
      </c>
      <c r="W87" s="10" t="s">
        <v>18</v>
      </c>
      <c r="X87" s="10" t="s">
        <v>18</v>
      </c>
      <c r="Z87" s="21">
        <v>57478</v>
      </c>
      <c r="AB87" s="21">
        <f t="shared" si="10"/>
        <v>21742</v>
      </c>
      <c r="AC87" s="21">
        <f t="shared" si="11"/>
        <v>0</v>
      </c>
      <c r="AE87" s="23">
        <f t="shared" si="12"/>
        <v>37.82664671700477</v>
      </c>
      <c r="AF87" s="23">
        <f t="shared" si="13"/>
        <v>0</v>
      </c>
    </row>
    <row r="88" spans="1:32">
      <c r="A88" s="5" t="s">
        <v>90</v>
      </c>
      <c r="B88" s="6">
        <v>1</v>
      </c>
      <c r="C88" s="6">
        <v>4611</v>
      </c>
      <c r="D88" s="6">
        <v>2</v>
      </c>
      <c r="E88" s="6">
        <v>17276</v>
      </c>
      <c r="F88" s="7" t="s">
        <v>18</v>
      </c>
      <c r="G88" s="7" t="s">
        <v>18</v>
      </c>
      <c r="H88" s="6">
        <v>2</v>
      </c>
      <c r="I88" s="6">
        <v>59622</v>
      </c>
      <c r="J88" s="7" t="s">
        <v>18</v>
      </c>
      <c r="K88" s="7" t="s">
        <v>18</v>
      </c>
      <c r="L88" s="7"/>
      <c r="M88" s="6">
        <v>24</v>
      </c>
      <c r="N88" s="6">
        <v>57428</v>
      </c>
      <c r="O88" s="6">
        <v>8</v>
      </c>
      <c r="P88" s="6">
        <v>27266</v>
      </c>
      <c r="Q88" s="6">
        <v>2</v>
      </c>
      <c r="R88" s="6">
        <v>9522</v>
      </c>
      <c r="S88" s="6">
        <v>1</v>
      </c>
      <c r="T88" s="6">
        <v>5267</v>
      </c>
      <c r="U88" s="7" t="s">
        <v>18</v>
      </c>
      <c r="V88" s="7" t="s">
        <v>18</v>
      </c>
      <c r="W88" s="7" t="s">
        <v>18</v>
      </c>
      <c r="X88" s="7" t="s">
        <v>18</v>
      </c>
      <c r="Z88" s="21">
        <v>829556</v>
      </c>
      <c r="AB88" s="21">
        <f t="shared" si="10"/>
        <v>180992</v>
      </c>
      <c r="AC88" s="21">
        <f t="shared" si="11"/>
        <v>59622</v>
      </c>
      <c r="AE88" s="23">
        <f t="shared" si="12"/>
        <v>21.817936341850338</v>
      </c>
      <c r="AF88" s="23">
        <f t="shared" si="13"/>
        <v>7.1872182227601282</v>
      </c>
    </row>
    <row r="89" spans="1:32">
      <c r="A89" s="5"/>
      <c r="B89" s="6"/>
      <c r="C89" s="6"/>
      <c r="D89" s="6"/>
      <c r="E89" s="6"/>
      <c r="F89" s="7"/>
      <c r="G89" s="7"/>
      <c r="H89" s="6"/>
      <c r="I89" s="6"/>
      <c r="J89" s="7"/>
      <c r="K89" s="7"/>
      <c r="L89" s="7"/>
      <c r="M89" s="6"/>
      <c r="N89" s="6"/>
      <c r="O89" s="6"/>
      <c r="P89" s="6"/>
      <c r="Q89" s="6"/>
      <c r="R89" s="6"/>
      <c r="S89" s="6"/>
      <c r="T89" s="6"/>
      <c r="U89" s="7"/>
      <c r="V89" s="7"/>
      <c r="W89" s="7"/>
      <c r="X89" s="7"/>
      <c r="AB89" s="21"/>
      <c r="AC89" s="21"/>
      <c r="AE89" s="23"/>
      <c r="AF89" s="23"/>
    </row>
    <row r="90" spans="1:32">
      <c r="A90" s="8" t="s">
        <v>111</v>
      </c>
      <c r="B90" s="18">
        <f>B91-B92</f>
        <v>0</v>
      </c>
      <c r="C90" s="18">
        <f t="shared" ref="C90:K90" si="20">C91-C92</f>
        <v>0</v>
      </c>
      <c r="D90" s="18">
        <f t="shared" si="20"/>
        <v>0</v>
      </c>
      <c r="E90" s="18">
        <f t="shared" si="20"/>
        <v>0</v>
      </c>
      <c r="F90" s="18">
        <f t="shared" si="20"/>
        <v>0</v>
      </c>
      <c r="G90" s="18">
        <f t="shared" si="20"/>
        <v>0</v>
      </c>
      <c r="H90" s="18">
        <f t="shared" si="20"/>
        <v>0</v>
      </c>
      <c r="I90" s="18">
        <f t="shared" si="20"/>
        <v>0</v>
      </c>
      <c r="J90" s="18">
        <f t="shared" si="20"/>
        <v>0</v>
      </c>
      <c r="K90" s="18">
        <f t="shared" si="20"/>
        <v>0</v>
      </c>
      <c r="L90" s="19"/>
      <c r="M90" s="18">
        <f t="shared" ref="M90:V90" si="21">M91-M92</f>
        <v>0</v>
      </c>
      <c r="N90" s="18">
        <f t="shared" si="21"/>
        <v>0</v>
      </c>
      <c r="O90" s="18">
        <f t="shared" si="21"/>
        <v>0</v>
      </c>
      <c r="P90" s="18">
        <f t="shared" si="21"/>
        <v>0</v>
      </c>
      <c r="Q90" s="18">
        <f t="shared" si="21"/>
        <v>0</v>
      </c>
      <c r="R90" s="18">
        <f t="shared" si="21"/>
        <v>0</v>
      </c>
      <c r="S90" s="18">
        <f t="shared" si="21"/>
        <v>0</v>
      </c>
      <c r="T90" s="18">
        <f t="shared" si="21"/>
        <v>0</v>
      </c>
      <c r="U90" s="6"/>
      <c r="V90" s="6"/>
      <c r="W90" s="7"/>
      <c r="X90" s="7"/>
      <c r="Z90" s="18">
        <f t="shared" ref="Z90" si="22">Z91-Z92</f>
        <v>0</v>
      </c>
      <c r="AB90" s="21"/>
      <c r="AC90" s="21"/>
      <c r="AE90" s="23"/>
      <c r="AF90" s="23"/>
    </row>
    <row r="91" spans="1:32">
      <c r="A91" s="8" t="s">
        <v>112</v>
      </c>
      <c r="B91" s="18">
        <f>SUM(B93:B101)</f>
        <v>5</v>
      </c>
      <c r="C91" s="18">
        <f t="shared" ref="C91:K91" si="23">SUM(C93:C101)</f>
        <v>15912</v>
      </c>
      <c r="D91" s="18">
        <f t="shared" si="23"/>
        <v>13</v>
      </c>
      <c r="E91" s="18">
        <f t="shared" si="23"/>
        <v>91574</v>
      </c>
      <c r="F91" s="18">
        <f t="shared" si="23"/>
        <v>8</v>
      </c>
      <c r="G91" s="18">
        <f t="shared" si="23"/>
        <v>98312</v>
      </c>
      <c r="H91" s="18">
        <f t="shared" si="23"/>
        <v>6</v>
      </c>
      <c r="I91" s="18">
        <f t="shared" si="23"/>
        <v>159508</v>
      </c>
      <c r="J91" s="18">
        <f t="shared" si="23"/>
        <v>2</v>
      </c>
      <c r="K91" s="18">
        <f t="shared" si="23"/>
        <v>103683</v>
      </c>
      <c r="L91" s="19"/>
      <c r="M91" s="18">
        <f t="shared" ref="M91:V91" si="24">SUM(M93:M101)</f>
        <v>101</v>
      </c>
      <c r="N91" s="18">
        <f t="shared" si="24"/>
        <v>243191</v>
      </c>
      <c r="O91" s="18">
        <f>SUM(O93:O101)</f>
        <v>40</v>
      </c>
      <c r="P91" s="18">
        <f>SUM(P93:P101)</f>
        <v>135515</v>
      </c>
      <c r="Q91" s="18">
        <f t="shared" si="24"/>
        <v>12</v>
      </c>
      <c r="R91" s="18">
        <f t="shared" si="24"/>
        <v>51601</v>
      </c>
      <c r="S91" s="18">
        <f t="shared" si="24"/>
        <v>7</v>
      </c>
      <c r="T91" s="18">
        <f t="shared" si="24"/>
        <v>44607</v>
      </c>
      <c r="U91" s="6"/>
      <c r="V91" s="6"/>
      <c r="W91" s="7"/>
      <c r="X91" s="7"/>
      <c r="Z91" s="18">
        <f t="shared" ref="Z91" si="25">SUM(Z93:Z101)</f>
        <v>5758822</v>
      </c>
      <c r="AB91" s="21">
        <f t="shared" si="10"/>
        <v>943903</v>
      </c>
      <c r="AC91" s="21">
        <f t="shared" si="11"/>
        <v>263191</v>
      </c>
      <c r="AE91" s="23">
        <f t="shared" si="12"/>
        <v>16.390556957655576</v>
      </c>
      <c r="AF91" s="23">
        <f t="shared" si="13"/>
        <v>4.5702228684963693</v>
      </c>
    </row>
    <row r="92" spans="1:32">
      <c r="A92" s="3" t="s">
        <v>91</v>
      </c>
      <c r="B92" s="4">
        <v>5</v>
      </c>
      <c r="C92" s="4">
        <v>15912</v>
      </c>
      <c r="D92" s="4">
        <v>13</v>
      </c>
      <c r="E92" s="4">
        <v>91574</v>
      </c>
      <c r="F92" s="4">
        <v>8</v>
      </c>
      <c r="G92" s="4">
        <v>98312</v>
      </c>
      <c r="H92" s="4">
        <v>6</v>
      </c>
      <c r="I92" s="4">
        <v>159508</v>
      </c>
      <c r="J92" s="4">
        <v>2</v>
      </c>
      <c r="K92" s="4">
        <v>103683</v>
      </c>
      <c r="L92" s="4"/>
      <c r="M92" s="4">
        <v>101</v>
      </c>
      <c r="N92" s="4">
        <v>243191</v>
      </c>
      <c r="O92" s="4">
        <v>40</v>
      </c>
      <c r="P92" s="4">
        <v>135515</v>
      </c>
      <c r="Q92" s="4">
        <v>12</v>
      </c>
      <c r="R92" s="4">
        <v>51601</v>
      </c>
      <c r="S92" s="4">
        <v>7</v>
      </c>
      <c r="T92" s="4">
        <v>44607</v>
      </c>
      <c r="U92" s="11" t="s">
        <v>18</v>
      </c>
      <c r="V92" s="11" t="s">
        <v>18</v>
      </c>
      <c r="W92" s="11" t="s">
        <v>18</v>
      </c>
      <c r="X92" s="11" t="s">
        <v>18</v>
      </c>
      <c r="Z92" s="21">
        <v>5758822</v>
      </c>
      <c r="AB92" s="21">
        <f t="shared" si="10"/>
        <v>943903</v>
      </c>
      <c r="AC92" s="21">
        <f t="shared" si="11"/>
        <v>263191</v>
      </c>
      <c r="AE92" s="23">
        <f t="shared" si="12"/>
        <v>16.390556957655576</v>
      </c>
      <c r="AF92" s="23">
        <f t="shared" si="13"/>
        <v>4.5702228684963693</v>
      </c>
    </row>
    <row r="93" spans="1:32">
      <c r="A93" s="5" t="s">
        <v>92</v>
      </c>
      <c r="B93" s="7" t="s">
        <v>18</v>
      </c>
      <c r="C93" s="7" t="s">
        <v>18</v>
      </c>
      <c r="D93" s="7" t="s">
        <v>18</v>
      </c>
      <c r="E93" s="7" t="s">
        <v>18</v>
      </c>
      <c r="F93" s="7" t="s">
        <v>18</v>
      </c>
      <c r="G93" s="7" t="s">
        <v>18</v>
      </c>
      <c r="H93" s="6">
        <v>1</v>
      </c>
      <c r="I93" s="6">
        <v>32834</v>
      </c>
      <c r="J93" s="7" t="s">
        <v>18</v>
      </c>
      <c r="K93" s="7" t="s">
        <v>18</v>
      </c>
      <c r="L93" s="7"/>
      <c r="M93" s="7" t="s">
        <v>18</v>
      </c>
      <c r="N93" s="7" t="s">
        <v>18</v>
      </c>
      <c r="O93" s="6">
        <v>1</v>
      </c>
      <c r="P93" s="6">
        <v>3037</v>
      </c>
      <c r="Q93" s="7" t="s">
        <v>18</v>
      </c>
      <c r="R93" s="7" t="s">
        <v>18</v>
      </c>
      <c r="S93" s="7" t="s">
        <v>18</v>
      </c>
      <c r="T93" s="7" t="s">
        <v>18</v>
      </c>
      <c r="U93" s="7" t="s">
        <v>18</v>
      </c>
      <c r="V93" s="7" t="s">
        <v>18</v>
      </c>
      <c r="W93" s="7" t="s">
        <v>18</v>
      </c>
      <c r="X93" s="7" t="s">
        <v>18</v>
      </c>
      <c r="Z93" s="21">
        <v>120306</v>
      </c>
      <c r="AB93" s="21">
        <f t="shared" si="10"/>
        <v>35871</v>
      </c>
      <c r="AC93" s="21">
        <f t="shared" si="11"/>
        <v>32834</v>
      </c>
      <c r="AE93" s="23">
        <f t="shared" si="12"/>
        <v>29.816468006583214</v>
      </c>
      <c r="AF93" s="23">
        <f t="shared" si="13"/>
        <v>27.292071883364088</v>
      </c>
    </row>
    <row r="94" spans="1:32">
      <c r="A94" s="8" t="s">
        <v>93</v>
      </c>
      <c r="B94" s="10" t="s">
        <v>18</v>
      </c>
      <c r="C94" s="10" t="s">
        <v>18</v>
      </c>
      <c r="D94" s="9">
        <v>2</v>
      </c>
      <c r="E94" s="9">
        <v>14236</v>
      </c>
      <c r="F94" s="9">
        <v>2</v>
      </c>
      <c r="G94" s="9">
        <v>21737</v>
      </c>
      <c r="H94" s="9">
        <v>1</v>
      </c>
      <c r="I94" s="9">
        <v>26699</v>
      </c>
      <c r="J94" s="10" t="s">
        <v>18</v>
      </c>
      <c r="K94" s="10" t="s">
        <v>18</v>
      </c>
      <c r="L94" s="10"/>
      <c r="M94" s="9">
        <v>5</v>
      </c>
      <c r="N94" s="9">
        <v>12152</v>
      </c>
      <c r="O94" s="9">
        <v>1</v>
      </c>
      <c r="P94" s="9">
        <v>3711</v>
      </c>
      <c r="Q94" s="10" t="s">
        <v>18</v>
      </c>
      <c r="R94" s="10" t="s">
        <v>18</v>
      </c>
      <c r="S94" s="10" t="s">
        <v>18</v>
      </c>
      <c r="T94" s="10" t="s">
        <v>18</v>
      </c>
      <c r="U94" s="10" t="s">
        <v>18</v>
      </c>
      <c r="V94" s="10" t="s">
        <v>18</v>
      </c>
      <c r="W94" s="10" t="s">
        <v>18</v>
      </c>
      <c r="X94" s="10" t="s">
        <v>18</v>
      </c>
      <c r="Z94" s="21">
        <v>570161</v>
      </c>
      <c r="AB94" s="21">
        <f t="shared" si="10"/>
        <v>78535</v>
      </c>
      <c r="AC94" s="21">
        <f t="shared" si="11"/>
        <v>26699</v>
      </c>
      <c r="AE94" s="23">
        <f t="shared" si="12"/>
        <v>13.774179573839671</v>
      </c>
      <c r="AF94" s="23">
        <f t="shared" si="13"/>
        <v>4.6827124268408395</v>
      </c>
    </row>
    <row r="95" spans="1:32">
      <c r="A95" s="5" t="s">
        <v>94</v>
      </c>
      <c r="B95" s="7" t="s">
        <v>18</v>
      </c>
      <c r="C95" s="7" t="s">
        <v>18</v>
      </c>
      <c r="D95" s="6">
        <v>3</v>
      </c>
      <c r="E95" s="6">
        <v>23513</v>
      </c>
      <c r="F95" s="6">
        <v>1</v>
      </c>
      <c r="G95" s="6">
        <v>11511</v>
      </c>
      <c r="H95" s="7" t="s">
        <v>18</v>
      </c>
      <c r="I95" s="7" t="s">
        <v>18</v>
      </c>
      <c r="J95" s="7" t="s">
        <v>18</v>
      </c>
      <c r="K95" s="7" t="s">
        <v>18</v>
      </c>
      <c r="L95" s="7"/>
      <c r="M95" s="6">
        <v>6</v>
      </c>
      <c r="N95" s="6">
        <v>14193</v>
      </c>
      <c r="O95" s="6">
        <v>4</v>
      </c>
      <c r="P95" s="6">
        <v>14057</v>
      </c>
      <c r="Q95" s="6">
        <v>4</v>
      </c>
      <c r="R95" s="6">
        <v>17490</v>
      </c>
      <c r="S95" s="7" t="s">
        <v>18</v>
      </c>
      <c r="T95" s="7" t="s">
        <v>18</v>
      </c>
      <c r="U95" s="7" t="s">
        <v>18</v>
      </c>
      <c r="V95" s="7" t="s">
        <v>18</v>
      </c>
      <c r="W95" s="7" t="s">
        <v>18</v>
      </c>
      <c r="X95" s="7" t="s">
        <v>18</v>
      </c>
      <c r="Z95" s="21">
        <v>672037</v>
      </c>
      <c r="AB95" s="21">
        <f t="shared" si="10"/>
        <v>80764</v>
      </c>
      <c r="AC95" s="21">
        <f t="shared" si="11"/>
        <v>0</v>
      </c>
      <c r="AE95" s="23">
        <f t="shared" si="12"/>
        <v>12.017790687119906</v>
      </c>
      <c r="AF95" s="23">
        <f t="shared" si="13"/>
        <v>0</v>
      </c>
    </row>
    <row r="96" spans="1:32">
      <c r="A96" s="8" t="s">
        <v>95</v>
      </c>
      <c r="B96" s="9">
        <v>1</v>
      </c>
      <c r="C96" s="9">
        <v>2280</v>
      </c>
      <c r="D96" s="9">
        <v>1</v>
      </c>
      <c r="E96" s="9">
        <v>5752</v>
      </c>
      <c r="F96" s="10" t="s">
        <v>18</v>
      </c>
      <c r="G96" s="10" t="s">
        <v>18</v>
      </c>
      <c r="H96" s="10" t="s">
        <v>18</v>
      </c>
      <c r="I96" s="10" t="s">
        <v>18</v>
      </c>
      <c r="J96" s="9">
        <v>1</v>
      </c>
      <c r="K96" s="9">
        <v>51473</v>
      </c>
      <c r="L96" s="9"/>
      <c r="M96" s="9">
        <v>9</v>
      </c>
      <c r="N96" s="9">
        <v>21113</v>
      </c>
      <c r="O96" s="9">
        <v>4</v>
      </c>
      <c r="P96" s="9">
        <v>13395</v>
      </c>
      <c r="Q96" s="9">
        <v>3</v>
      </c>
      <c r="R96" s="9">
        <v>13091</v>
      </c>
      <c r="S96" s="10" t="s">
        <v>18</v>
      </c>
      <c r="T96" s="10" t="s">
        <v>18</v>
      </c>
      <c r="U96" s="10" t="s">
        <v>18</v>
      </c>
      <c r="V96" s="10" t="s">
        <v>18</v>
      </c>
      <c r="W96" s="10" t="s">
        <v>18</v>
      </c>
      <c r="X96" s="10" t="s">
        <v>18</v>
      </c>
      <c r="Z96" s="21">
        <v>514267</v>
      </c>
      <c r="AB96" s="21">
        <f t="shared" si="10"/>
        <v>107104</v>
      </c>
      <c r="AC96" s="21">
        <f t="shared" si="11"/>
        <v>51473</v>
      </c>
      <c r="AE96" s="23">
        <f t="shared" si="12"/>
        <v>20.826535632268843</v>
      </c>
      <c r="AF96" s="23">
        <f t="shared" si="13"/>
        <v>10.009003105390779</v>
      </c>
    </row>
    <row r="97" spans="1:32">
      <c r="A97" s="5" t="s">
        <v>96</v>
      </c>
      <c r="B97" s="7" t="s">
        <v>18</v>
      </c>
      <c r="C97" s="7" t="s">
        <v>18</v>
      </c>
      <c r="D97" s="6">
        <v>1</v>
      </c>
      <c r="E97" s="6">
        <v>5684</v>
      </c>
      <c r="F97" s="6">
        <v>2</v>
      </c>
      <c r="G97" s="6">
        <v>25839</v>
      </c>
      <c r="H97" s="6">
        <v>1</v>
      </c>
      <c r="I97" s="6">
        <v>28933</v>
      </c>
      <c r="J97" s="7" t="s">
        <v>18</v>
      </c>
      <c r="K97" s="7" t="s">
        <v>18</v>
      </c>
      <c r="L97" s="7"/>
      <c r="M97" s="7" t="s">
        <v>18</v>
      </c>
      <c r="N97" s="7" t="s">
        <v>18</v>
      </c>
      <c r="O97" s="7" t="s">
        <v>18</v>
      </c>
      <c r="P97" s="7" t="s">
        <v>18</v>
      </c>
      <c r="Q97" s="7" t="s">
        <v>18</v>
      </c>
      <c r="R97" s="7" t="s">
        <v>18</v>
      </c>
      <c r="S97" s="6">
        <v>1</v>
      </c>
      <c r="T97" s="6">
        <v>7191</v>
      </c>
      <c r="U97" s="7" t="s">
        <v>18</v>
      </c>
      <c r="V97" s="7" t="s">
        <v>18</v>
      </c>
      <c r="W97" s="7" t="s">
        <v>18</v>
      </c>
      <c r="X97" s="7" t="s">
        <v>18</v>
      </c>
      <c r="Z97" s="21">
        <v>223336</v>
      </c>
      <c r="AB97" s="21">
        <f t="shared" si="10"/>
        <v>67647</v>
      </c>
      <c r="AC97" s="21">
        <f t="shared" si="11"/>
        <v>28933</v>
      </c>
      <c r="AE97" s="23">
        <f t="shared" si="12"/>
        <v>30.289339828778161</v>
      </c>
      <c r="AF97" s="23">
        <f t="shared" si="13"/>
        <v>12.954919941254433</v>
      </c>
    </row>
    <row r="98" spans="1:32">
      <c r="A98" s="8" t="s">
        <v>97</v>
      </c>
      <c r="B98" s="10" t="s">
        <v>18</v>
      </c>
      <c r="C98" s="10" t="s">
        <v>18</v>
      </c>
      <c r="D98" s="10" t="s">
        <v>18</v>
      </c>
      <c r="E98" s="10" t="s">
        <v>18</v>
      </c>
      <c r="F98" s="10" t="s">
        <v>18</v>
      </c>
      <c r="G98" s="10" t="s">
        <v>18</v>
      </c>
      <c r="H98" s="10" t="s">
        <v>18</v>
      </c>
      <c r="I98" s="10" t="s">
        <v>18</v>
      </c>
      <c r="J98" s="10" t="s">
        <v>18</v>
      </c>
      <c r="K98" s="10" t="s">
        <v>18</v>
      </c>
      <c r="L98" s="10"/>
      <c r="M98" s="10" t="s">
        <v>18</v>
      </c>
      <c r="N98" s="10" t="s">
        <v>18</v>
      </c>
      <c r="O98" s="9">
        <v>2</v>
      </c>
      <c r="P98" s="9">
        <v>6893</v>
      </c>
      <c r="Q98" s="10" t="s">
        <v>18</v>
      </c>
      <c r="R98" s="10" t="s">
        <v>18</v>
      </c>
      <c r="S98" s="10" t="s">
        <v>18</v>
      </c>
      <c r="T98" s="10" t="s">
        <v>18</v>
      </c>
      <c r="U98" s="10" t="s">
        <v>18</v>
      </c>
      <c r="V98" s="10" t="s">
        <v>18</v>
      </c>
      <c r="W98" s="10" t="s">
        <v>18</v>
      </c>
      <c r="X98" s="10" t="s">
        <v>18</v>
      </c>
      <c r="Z98" s="21">
        <v>28113</v>
      </c>
      <c r="AB98" s="21">
        <f t="shared" si="10"/>
        <v>6893</v>
      </c>
      <c r="AC98" s="21">
        <f t="shared" si="11"/>
        <v>0</v>
      </c>
      <c r="AE98" s="23">
        <f t="shared" si="12"/>
        <v>24.518905844271334</v>
      </c>
      <c r="AF98" s="23">
        <f t="shared" si="13"/>
        <v>0</v>
      </c>
    </row>
    <row r="99" spans="1:32">
      <c r="A99" s="5" t="s">
        <v>98</v>
      </c>
      <c r="B99" s="6">
        <v>3</v>
      </c>
      <c r="C99" s="6">
        <v>10515</v>
      </c>
      <c r="D99" s="6">
        <v>2</v>
      </c>
      <c r="E99" s="6">
        <v>14376</v>
      </c>
      <c r="F99" s="6">
        <v>1</v>
      </c>
      <c r="G99" s="6">
        <v>10301</v>
      </c>
      <c r="H99" s="6">
        <v>2</v>
      </c>
      <c r="I99" s="6">
        <v>49969</v>
      </c>
      <c r="J99" s="7" t="s">
        <v>18</v>
      </c>
      <c r="K99" s="7" t="s">
        <v>18</v>
      </c>
      <c r="L99" s="7"/>
      <c r="M99" s="6">
        <v>6</v>
      </c>
      <c r="N99" s="6">
        <v>13394</v>
      </c>
      <c r="O99" s="6">
        <v>2</v>
      </c>
      <c r="P99" s="6">
        <v>6816</v>
      </c>
      <c r="Q99" s="7" t="s">
        <v>18</v>
      </c>
      <c r="R99" s="7" t="s">
        <v>18</v>
      </c>
      <c r="S99" s="7" t="s">
        <v>18</v>
      </c>
      <c r="T99" s="7" t="s">
        <v>18</v>
      </c>
      <c r="U99" s="7" t="s">
        <v>18</v>
      </c>
      <c r="V99" s="7" t="s">
        <v>18</v>
      </c>
      <c r="W99" s="7" t="s">
        <v>18</v>
      </c>
      <c r="X99" s="7" t="s">
        <v>18</v>
      </c>
      <c r="Z99" s="21">
        <v>1433043</v>
      </c>
      <c r="AB99" s="21">
        <f t="shared" si="10"/>
        <v>105371</v>
      </c>
      <c r="AC99" s="21">
        <f t="shared" si="11"/>
        <v>49969</v>
      </c>
      <c r="AE99" s="23">
        <f t="shared" si="12"/>
        <v>7.3529545170661308</v>
      </c>
      <c r="AF99" s="23">
        <f t="shared" si="13"/>
        <v>3.4869156054633392</v>
      </c>
    </row>
    <row r="100" spans="1:32">
      <c r="A100" s="8" t="s">
        <v>99</v>
      </c>
      <c r="B100" s="9">
        <v>1</v>
      </c>
      <c r="C100" s="9">
        <v>3117</v>
      </c>
      <c r="D100" s="9">
        <v>3</v>
      </c>
      <c r="E100" s="9">
        <v>21478</v>
      </c>
      <c r="F100" s="9">
        <v>2</v>
      </c>
      <c r="G100" s="9">
        <v>28924</v>
      </c>
      <c r="H100" s="9">
        <v>1</v>
      </c>
      <c r="I100" s="9">
        <v>21073</v>
      </c>
      <c r="J100" s="9">
        <v>1</v>
      </c>
      <c r="K100" s="9">
        <v>52210</v>
      </c>
      <c r="L100" s="9"/>
      <c r="M100" s="9">
        <v>75</v>
      </c>
      <c r="N100" s="9">
        <v>182339</v>
      </c>
      <c r="O100" s="9">
        <v>26</v>
      </c>
      <c r="P100" s="9">
        <v>87606</v>
      </c>
      <c r="Q100" s="9">
        <v>5</v>
      </c>
      <c r="R100" s="9">
        <v>21020</v>
      </c>
      <c r="S100" s="9">
        <v>6</v>
      </c>
      <c r="T100" s="9">
        <v>37416</v>
      </c>
      <c r="U100" s="10" t="s">
        <v>18</v>
      </c>
      <c r="V100" s="10" t="s">
        <v>18</v>
      </c>
      <c r="W100" s="10" t="s">
        <v>18</v>
      </c>
      <c r="X100" s="10" t="s">
        <v>18</v>
      </c>
      <c r="Z100" s="21">
        <v>1927679</v>
      </c>
      <c r="AB100" s="21">
        <f t="shared" si="10"/>
        <v>455183</v>
      </c>
      <c r="AC100" s="21">
        <f t="shared" si="11"/>
        <v>73283</v>
      </c>
      <c r="AE100" s="23">
        <f t="shared" si="12"/>
        <v>23.613008182378913</v>
      </c>
      <c r="AF100" s="23">
        <f t="shared" si="13"/>
        <v>3.8016184229843248</v>
      </c>
    </row>
    <row r="101" spans="1:32">
      <c r="A101" s="5" t="s">
        <v>100</v>
      </c>
      <c r="B101" s="7" t="s">
        <v>18</v>
      </c>
      <c r="C101" s="7" t="s">
        <v>18</v>
      </c>
      <c r="D101" s="6">
        <v>1</v>
      </c>
      <c r="E101" s="6">
        <v>6535</v>
      </c>
      <c r="F101" s="7" t="s">
        <v>18</v>
      </c>
      <c r="G101" s="7" t="s">
        <v>18</v>
      </c>
      <c r="H101" s="7" t="s">
        <v>18</v>
      </c>
      <c r="I101" s="7" t="s">
        <v>18</v>
      </c>
      <c r="J101" s="7" t="s">
        <v>18</v>
      </c>
      <c r="K101" s="7" t="s">
        <v>18</v>
      </c>
      <c r="L101" s="7"/>
      <c r="M101" s="7" t="s">
        <v>18</v>
      </c>
      <c r="N101" s="7" t="s">
        <v>18</v>
      </c>
      <c r="O101" s="7" t="s">
        <v>18</v>
      </c>
      <c r="P101" s="7" t="s">
        <v>18</v>
      </c>
      <c r="Q101" s="7" t="s">
        <v>18</v>
      </c>
      <c r="R101" s="7" t="s">
        <v>18</v>
      </c>
      <c r="S101" s="7" t="s">
        <v>18</v>
      </c>
      <c r="T101" s="7" t="s">
        <v>18</v>
      </c>
      <c r="U101" s="7" t="s">
        <v>18</v>
      </c>
      <c r="V101" s="7" t="s">
        <v>18</v>
      </c>
      <c r="W101" s="7" t="s">
        <v>18</v>
      </c>
      <c r="X101" s="7" t="s">
        <v>18</v>
      </c>
      <c r="Z101" s="21">
        <v>269880</v>
      </c>
      <c r="AB101" s="21">
        <f t="shared" si="10"/>
        <v>6535</v>
      </c>
      <c r="AC101" s="21">
        <f t="shared" si="11"/>
        <v>0</v>
      </c>
      <c r="AE101" s="23">
        <f t="shared" si="12"/>
        <v>2.421446568845413</v>
      </c>
      <c r="AF101" s="23">
        <f t="shared" si="13"/>
        <v>0</v>
      </c>
    </row>
    <row r="102" spans="1:32">
      <c r="A102" s="5"/>
      <c r="B102" s="7"/>
      <c r="C102" s="7"/>
      <c r="D102" s="6"/>
      <c r="E102" s="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Z102" s="21"/>
      <c r="AB102" s="21"/>
      <c r="AC102" s="21"/>
      <c r="AE102" s="23"/>
      <c r="AF102" s="23"/>
    </row>
    <row r="103" spans="1:32">
      <c r="A103" s="8" t="s">
        <v>111</v>
      </c>
      <c r="B103" s="6">
        <f>B104-B105</f>
        <v>0</v>
      </c>
      <c r="C103" s="6">
        <f t="shared" ref="C103:K103" si="26">C104-C105</f>
        <v>0</v>
      </c>
      <c r="D103" s="6">
        <f t="shared" si="26"/>
        <v>0</v>
      </c>
      <c r="E103" s="6">
        <f t="shared" si="26"/>
        <v>0</v>
      </c>
      <c r="F103" s="6">
        <f t="shared" si="26"/>
        <v>0</v>
      </c>
      <c r="G103" s="6">
        <f t="shared" si="26"/>
        <v>0</v>
      </c>
      <c r="H103" s="6">
        <f t="shared" si="26"/>
        <v>0</v>
      </c>
      <c r="I103" s="6">
        <f t="shared" si="26"/>
        <v>0</v>
      </c>
      <c r="J103" s="6">
        <f t="shared" si="26"/>
        <v>0</v>
      </c>
      <c r="K103" s="6">
        <f t="shared" si="26"/>
        <v>0</v>
      </c>
      <c r="L103" s="17"/>
      <c r="M103" s="6">
        <f t="shared" ref="M103:V103" si="27">M104-M105</f>
        <v>0</v>
      </c>
      <c r="N103" s="6">
        <f t="shared" si="27"/>
        <v>0</v>
      </c>
      <c r="O103" s="6">
        <f t="shared" si="27"/>
        <v>0</v>
      </c>
      <c r="P103" s="6">
        <f t="shared" si="27"/>
        <v>0</v>
      </c>
      <c r="Q103" s="6">
        <f t="shared" si="27"/>
        <v>0</v>
      </c>
      <c r="R103" s="6">
        <f t="shared" si="27"/>
        <v>0</v>
      </c>
      <c r="S103" s="6">
        <f t="shared" si="27"/>
        <v>0</v>
      </c>
      <c r="T103" s="6">
        <f t="shared" si="27"/>
        <v>0</v>
      </c>
      <c r="U103" s="6">
        <f t="shared" si="27"/>
        <v>0</v>
      </c>
      <c r="V103" s="6">
        <f t="shared" si="27"/>
        <v>0</v>
      </c>
      <c r="W103" s="7"/>
      <c r="X103" s="7"/>
      <c r="Z103" s="6">
        <f t="shared" ref="Z103" si="28">Z104-Z105</f>
        <v>0</v>
      </c>
      <c r="AB103" s="21"/>
      <c r="AC103" s="21"/>
      <c r="AE103" s="23"/>
      <c r="AF103" s="23"/>
    </row>
    <row r="104" spans="1:32">
      <c r="A104" s="8" t="s">
        <v>112</v>
      </c>
      <c r="B104" s="6">
        <f>SUM(B106:B114)</f>
        <v>10</v>
      </c>
      <c r="C104" s="6">
        <f t="shared" ref="C104:K104" si="29">SUM(C106:C114)</f>
        <v>36697</v>
      </c>
      <c r="D104" s="6">
        <f t="shared" si="29"/>
        <v>13</v>
      </c>
      <c r="E104" s="6">
        <f t="shared" si="29"/>
        <v>99955</v>
      </c>
      <c r="F104" s="6">
        <f t="shared" si="29"/>
        <v>10</v>
      </c>
      <c r="G104" s="6">
        <f t="shared" si="29"/>
        <v>143234</v>
      </c>
      <c r="H104" s="6">
        <f t="shared" si="29"/>
        <v>9</v>
      </c>
      <c r="I104" s="6">
        <f t="shared" si="29"/>
        <v>291836</v>
      </c>
      <c r="J104" s="6">
        <f t="shared" si="29"/>
        <v>4</v>
      </c>
      <c r="K104" s="6">
        <f t="shared" si="29"/>
        <v>354172</v>
      </c>
      <c r="L104" s="17"/>
      <c r="M104" s="6">
        <f t="shared" ref="M104:V104" si="30">SUM(M106:M114)</f>
        <v>206</v>
      </c>
      <c r="N104" s="6">
        <f t="shared" si="30"/>
        <v>486543</v>
      </c>
      <c r="O104" s="6">
        <f t="shared" si="30"/>
        <v>48</v>
      </c>
      <c r="P104" s="6">
        <f t="shared" si="30"/>
        <v>161327</v>
      </c>
      <c r="Q104" s="6">
        <f t="shared" si="30"/>
        <v>12</v>
      </c>
      <c r="R104" s="6">
        <f t="shared" si="30"/>
        <v>53002</v>
      </c>
      <c r="S104" s="6">
        <f t="shared" si="30"/>
        <v>7</v>
      </c>
      <c r="T104" s="6">
        <f t="shared" si="30"/>
        <v>45677</v>
      </c>
      <c r="U104" s="6">
        <f t="shared" si="30"/>
        <v>1</v>
      </c>
      <c r="V104" s="6">
        <f t="shared" si="30"/>
        <v>10974</v>
      </c>
      <c r="W104" s="7"/>
      <c r="X104" s="7"/>
      <c r="Z104" s="6">
        <f t="shared" ref="Z104" si="31">SUM(Z106:Z114)</f>
        <v>7746718</v>
      </c>
      <c r="AB104" s="21">
        <f t="shared" si="10"/>
        <v>1683417</v>
      </c>
      <c r="AC104" s="21">
        <f t="shared" si="11"/>
        <v>646008</v>
      </c>
      <c r="AE104" s="23">
        <f t="shared" si="12"/>
        <v>21.730712283576089</v>
      </c>
      <c r="AF104" s="23">
        <f t="shared" si="13"/>
        <v>8.3391185789904831</v>
      </c>
    </row>
    <row r="105" spans="1:32">
      <c r="A105" s="3" t="s">
        <v>101</v>
      </c>
      <c r="B105" s="4">
        <v>10</v>
      </c>
      <c r="C105" s="4">
        <v>36697</v>
      </c>
      <c r="D105" s="4">
        <v>13</v>
      </c>
      <c r="E105" s="4">
        <v>99955</v>
      </c>
      <c r="F105" s="4">
        <v>10</v>
      </c>
      <c r="G105" s="4">
        <v>143234</v>
      </c>
      <c r="H105" s="4">
        <v>9</v>
      </c>
      <c r="I105" s="4">
        <v>291836</v>
      </c>
      <c r="J105" s="4">
        <v>4</v>
      </c>
      <c r="K105" s="4">
        <v>354172</v>
      </c>
      <c r="L105" s="4"/>
      <c r="M105" s="4">
        <v>206</v>
      </c>
      <c r="N105" s="4">
        <v>486543</v>
      </c>
      <c r="O105" s="4">
        <v>48</v>
      </c>
      <c r="P105" s="4">
        <v>161327</v>
      </c>
      <c r="Q105" s="4">
        <v>12</v>
      </c>
      <c r="R105" s="4">
        <v>53002</v>
      </c>
      <c r="S105" s="4">
        <v>7</v>
      </c>
      <c r="T105" s="4">
        <v>45677</v>
      </c>
      <c r="U105" s="4">
        <v>1</v>
      </c>
      <c r="V105" s="4">
        <v>10974</v>
      </c>
      <c r="W105" s="11" t="s">
        <v>18</v>
      </c>
      <c r="X105" s="11" t="s">
        <v>18</v>
      </c>
      <c r="Z105" s="21">
        <v>7746718</v>
      </c>
      <c r="AB105" s="21">
        <f t="shared" si="10"/>
        <v>1683417</v>
      </c>
      <c r="AC105" s="21">
        <f t="shared" si="11"/>
        <v>646008</v>
      </c>
      <c r="AE105" s="23">
        <f t="shared" si="12"/>
        <v>21.730712283576089</v>
      </c>
      <c r="AF105" s="23">
        <f t="shared" si="13"/>
        <v>8.3391185789904831</v>
      </c>
    </row>
    <row r="106" spans="1:32">
      <c r="A106" s="5" t="s">
        <v>102</v>
      </c>
      <c r="B106" s="6">
        <v>2</v>
      </c>
      <c r="C106" s="6">
        <v>8000</v>
      </c>
      <c r="D106" s="6">
        <v>1</v>
      </c>
      <c r="E106" s="6">
        <v>9688</v>
      </c>
      <c r="F106" s="6">
        <v>1</v>
      </c>
      <c r="G106" s="6">
        <v>19688</v>
      </c>
      <c r="H106" s="6">
        <v>1</v>
      </c>
      <c r="I106" s="6">
        <v>37376</v>
      </c>
      <c r="J106" s="7" t="s">
        <v>18</v>
      </c>
      <c r="K106" s="7" t="s">
        <v>18</v>
      </c>
      <c r="L106" s="6"/>
      <c r="M106" s="6">
        <v>21</v>
      </c>
      <c r="N106" s="6">
        <v>48464</v>
      </c>
      <c r="O106" s="6">
        <v>2</v>
      </c>
      <c r="P106" s="6">
        <v>6696</v>
      </c>
      <c r="Q106" s="7" t="s">
        <v>18</v>
      </c>
      <c r="R106" s="7" t="s">
        <v>18</v>
      </c>
      <c r="S106" s="7" t="s">
        <v>18</v>
      </c>
      <c r="T106" s="7" t="s">
        <v>18</v>
      </c>
      <c r="U106" s="7" t="s">
        <v>18</v>
      </c>
      <c r="V106" s="7" t="s">
        <v>18</v>
      </c>
      <c r="W106" s="7" t="s">
        <v>18</v>
      </c>
      <c r="X106" s="7" t="s">
        <v>18</v>
      </c>
      <c r="Z106" s="21">
        <v>682608</v>
      </c>
      <c r="AB106" s="21">
        <f t="shared" si="10"/>
        <v>129912</v>
      </c>
      <c r="AC106" s="21">
        <f t="shared" si="11"/>
        <v>37376</v>
      </c>
      <c r="AE106" s="23">
        <f t="shared" si="12"/>
        <v>19.031713662892905</v>
      </c>
      <c r="AF106" s="23">
        <f t="shared" si="13"/>
        <v>5.4754705482502404</v>
      </c>
    </row>
    <row r="107" spans="1:32">
      <c r="A107" s="8" t="s">
        <v>103</v>
      </c>
      <c r="B107" s="9">
        <v>1</v>
      </c>
      <c r="C107" s="9">
        <v>4098</v>
      </c>
      <c r="D107" s="9">
        <v>2</v>
      </c>
      <c r="E107" s="9">
        <v>14855</v>
      </c>
      <c r="F107" s="9">
        <v>1</v>
      </c>
      <c r="G107" s="9">
        <v>19426</v>
      </c>
      <c r="H107" s="10" t="s">
        <v>18</v>
      </c>
      <c r="I107" s="10" t="s">
        <v>18</v>
      </c>
      <c r="J107" s="10" t="s">
        <v>18</v>
      </c>
      <c r="K107" s="10" t="s">
        <v>18</v>
      </c>
      <c r="L107" s="10"/>
      <c r="M107" s="9">
        <v>3</v>
      </c>
      <c r="N107" s="9">
        <v>6950</v>
      </c>
      <c r="O107" s="10" t="s">
        <v>18</v>
      </c>
      <c r="P107" s="10" t="s">
        <v>18</v>
      </c>
      <c r="Q107" s="10" t="s">
        <v>18</v>
      </c>
      <c r="R107" s="10" t="s">
        <v>18</v>
      </c>
      <c r="S107" s="10" t="s">
        <v>18</v>
      </c>
      <c r="T107" s="10" t="s">
        <v>18</v>
      </c>
      <c r="U107" s="10" t="s">
        <v>18</v>
      </c>
      <c r="V107" s="10" t="s">
        <v>18</v>
      </c>
      <c r="W107" s="10" t="s">
        <v>18</v>
      </c>
      <c r="X107" s="10" t="s">
        <v>18</v>
      </c>
      <c r="Z107" s="21">
        <v>382487</v>
      </c>
      <c r="AB107" s="21">
        <f t="shared" si="10"/>
        <v>45329</v>
      </c>
      <c r="AC107" s="21">
        <f t="shared" si="11"/>
        <v>0</v>
      </c>
      <c r="AE107" s="23">
        <f t="shared" si="12"/>
        <v>11.851121737470816</v>
      </c>
      <c r="AF107" s="23">
        <f t="shared" si="13"/>
        <v>0</v>
      </c>
    </row>
    <row r="108" spans="1:32">
      <c r="A108" s="5" t="s">
        <v>104</v>
      </c>
      <c r="B108" s="6">
        <v>1</v>
      </c>
      <c r="C108" s="6">
        <v>3658</v>
      </c>
      <c r="D108" s="7" t="s">
        <v>18</v>
      </c>
      <c r="E108" s="7" t="s">
        <v>18</v>
      </c>
      <c r="F108" s="6">
        <v>2</v>
      </c>
      <c r="G108" s="6">
        <v>25797</v>
      </c>
      <c r="H108" s="6">
        <v>2</v>
      </c>
      <c r="I108" s="6">
        <v>50730</v>
      </c>
      <c r="J108" s="6">
        <v>1</v>
      </c>
      <c r="K108" s="6">
        <v>55128</v>
      </c>
      <c r="L108" s="6"/>
      <c r="M108" s="6">
        <v>10</v>
      </c>
      <c r="N108" s="6">
        <v>22092</v>
      </c>
      <c r="O108" s="7" t="s">
        <v>18</v>
      </c>
      <c r="P108" s="7" t="s">
        <v>18</v>
      </c>
      <c r="Q108" s="6">
        <v>1</v>
      </c>
      <c r="R108" s="6">
        <v>4440</v>
      </c>
      <c r="S108" s="7" t="s">
        <v>18</v>
      </c>
      <c r="T108" s="7" t="s">
        <v>18</v>
      </c>
      <c r="U108" s="7" t="s">
        <v>18</v>
      </c>
      <c r="V108" s="7" t="s">
        <v>18</v>
      </c>
      <c r="W108" s="7" t="s">
        <v>18</v>
      </c>
      <c r="X108" s="7" t="s">
        <v>18</v>
      </c>
      <c r="Z108" s="21">
        <v>860021</v>
      </c>
      <c r="AB108" s="21">
        <f t="shared" si="10"/>
        <v>161845</v>
      </c>
      <c r="AC108" s="21">
        <f t="shared" si="11"/>
        <v>105858</v>
      </c>
      <c r="AE108" s="23">
        <f t="shared" si="12"/>
        <v>18.818726519468711</v>
      </c>
      <c r="AF108" s="23">
        <f t="shared" si="13"/>
        <v>12.308769204472913</v>
      </c>
    </row>
    <row r="109" spans="1:32">
      <c r="A109" s="8" t="s">
        <v>105</v>
      </c>
      <c r="B109" s="9">
        <v>3</v>
      </c>
      <c r="C109" s="9">
        <v>11783</v>
      </c>
      <c r="D109" s="9">
        <v>2</v>
      </c>
      <c r="E109" s="9">
        <v>16459</v>
      </c>
      <c r="F109" s="10" t="s">
        <v>18</v>
      </c>
      <c r="G109" s="10" t="s">
        <v>18</v>
      </c>
      <c r="H109" s="9">
        <v>1</v>
      </c>
      <c r="I109" s="9">
        <v>26246</v>
      </c>
      <c r="J109" s="10" t="s">
        <v>18</v>
      </c>
      <c r="K109" s="10" t="s">
        <v>18</v>
      </c>
      <c r="L109" s="9"/>
      <c r="M109" s="9">
        <v>13</v>
      </c>
      <c r="N109" s="9">
        <v>31471</v>
      </c>
      <c r="O109" s="9">
        <v>2</v>
      </c>
      <c r="P109" s="9">
        <v>6442</v>
      </c>
      <c r="Q109" s="10" t="s">
        <v>18</v>
      </c>
      <c r="R109" s="10" t="s">
        <v>18</v>
      </c>
      <c r="S109" s="10" t="s">
        <v>18</v>
      </c>
      <c r="T109" s="10" t="s">
        <v>18</v>
      </c>
      <c r="U109" s="10" t="s">
        <v>18</v>
      </c>
      <c r="V109" s="10" t="s">
        <v>18</v>
      </c>
      <c r="W109" s="10" t="s">
        <v>18</v>
      </c>
      <c r="X109" s="10" t="s">
        <v>18</v>
      </c>
      <c r="Z109" s="21">
        <v>684590</v>
      </c>
      <c r="AB109" s="21">
        <f t="shared" si="10"/>
        <v>92401</v>
      </c>
      <c r="AC109" s="21">
        <f t="shared" si="11"/>
        <v>26246</v>
      </c>
      <c r="AE109" s="23">
        <f t="shared" si="12"/>
        <v>13.497275741684803</v>
      </c>
      <c r="AF109" s="23">
        <f t="shared" si="13"/>
        <v>3.8338275464146419</v>
      </c>
    </row>
    <row r="110" spans="1:32">
      <c r="A110" s="5" t="s">
        <v>106</v>
      </c>
      <c r="B110" s="6">
        <v>1</v>
      </c>
      <c r="C110" s="6">
        <v>3230</v>
      </c>
      <c r="D110" s="6">
        <v>3</v>
      </c>
      <c r="E110" s="6">
        <v>20906</v>
      </c>
      <c r="F110" s="6">
        <v>1</v>
      </c>
      <c r="G110" s="6">
        <v>16094</v>
      </c>
      <c r="H110" s="6">
        <v>1</v>
      </c>
      <c r="I110" s="6">
        <v>22744</v>
      </c>
      <c r="J110" s="7" t="s">
        <v>18</v>
      </c>
      <c r="K110" s="7" t="s">
        <v>18</v>
      </c>
      <c r="L110" s="7"/>
      <c r="M110" s="6">
        <v>21</v>
      </c>
      <c r="N110" s="6">
        <v>49690</v>
      </c>
      <c r="O110" s="6">
        <v>5</v>
      </c>
      <c r="P110" s="6">
        <v>17936</v>
      </c>
      <c r="Q110" s="6">
        <v>1</v>
      </c>
      <c r="R110" s="6">
        <v>4625</v>
      </c>
      <c r="S110" s="6">
        <v>1</v>
      </c>
      <c r="T110" s="6">
        <v>6870</v>
      </c>
      <c r="U110" s="7" t="s">
        <v>18</v>
      </c>
      <c r="V110" s="7" t="s">
        <v>18</v>
      </c>
      <c r="W110" s="7" t="s">
        <v>18</v>
      </c>
      <c r="X110" s="7" t="s">
        <v>18</v>
      </c>
      <c r="Z110" s="21">
        <v>987863</v>
      </c>
      <c r="AB110" s="21">
        <f t="shared" si="10"/>
        <v>142095</v>
      </c>
      <c r="AC110" s="21">
        <f t="shared" si="11"/>
        <v>22744</v>
      </c>
      <c r="AE110" s="23">
        <f t="shared" si="12"/>
        <v>14.384079573787053</v>
      </c>
      <c r="AF110" s="23">
        <f t="shared" si="13"/>
        <v>2.3023435435885342</v>
      </c>
    </row>
    <row r="111" spans="1:32">
      <c r="A111" s="8" t="s">
        <v>107</v>
      </c>
      <c r="B111" s="9">
        <v>1</v>
      </c>
      <c r="C111" s="9">
        <v>3111</v>
      </c>
      <c r="D111" s="9">
        <v>2</v>
      </c>
      <c r="E111" s="9">
        <v>12643</v>
      </c>
      <c r="F111" s="9">
        <v>3</v>
      </c>
      <c r="G111" s="9">
        <v>34169</v>
      </c>
      <c r="H111" s="10" t="s">
        <v>18</v>
      </c>
      <c r="I111" s="10" t="s">
        <v>18</v>
      </c>
      <c r="J111" s="9">
        <v>1</v>
      </c>
      <c r="K111" s="9">
        <v>155673</v>
      </c>
      <c r="L111" s="9"/>
      <c r="M111" s="9">
        <v>49</v>
      </c>
      <c r="N111" s="9">
        <v>118687</v>
      </c>
      <c r="O111" s="9">
        <v>18</v>
      </c>
      <c r="P111" s="9">
        <v>59562</v>
      </c>
      <c r="Q111" s="9">
        <v>2</v>
      </c>
      <c r="R111" s="9">
        <v>9088</v>
      </c>
      <c r="S111" s="9">
        <v>4</v>
      </c>
      <c r="T111" s="9">
        <v>25054</v>
      </c>
      <c r="U111" s="10" t="s">
        <v>18</v>
      </c>
      <c r="V111" s="10" t="s">
        <v>18</v>
      </c>
      <c r="W111" s="10" t="s">
        <v>18</v>
      </c>
      <c r="X111" s="10" t="s">
        <v>18</v>
      </c>
      <c r="Z111" s="21">
        <v>1478398</v>
      </c>
      <c r="AB111" s="21">
        <f t="shared" si="10"/>
        <v>417987</v>
      </c>
      <c r="AC111" s="21">
        <f t="shared" si="11"/>
        <v>155673</v>
      </c>
      <c r="AE111" s="23">
        <f t="shared" si="12"/>
        <v>28.272968442868564</v>
      </c>
      <c r="AF111" s="23">
        <f t="shared" si="13"/>
        <v>10.529843790373093</v>
      </c>
    </row>
    <row r="112" spans="1:32">
      <c r="A112" s="5" t="s">
        <v>108</v>
      </c>
      <c r="B112" s="6">
        <v>1</v>
      </c>
      <c r="C112" s="6">
        <v>2817</v>
      </c>
      <c r="D112" s="7" t="s">
        <v>18</v>
      </c>
      <c r="E112" s="7" t="s">
        <v>18</v>
      </c>
      <c r="F112" s="6">
        <v>1</v>
      </c>
      <c r="G112" s="6">
        <v>14275</v>
      </c>
      <c r="H112" s="7" t="s">
        <v>18</v>
      </c>
      <c r="I112" s="7" t="s">
        <v>18</v>
      </c>
      <c r="J112" s="7" t="s">
        <v>18</v>
      </c>
      <c r="K112" s="7" t="s">
        <v>18</v>
      </c>
      <c r="L112" s="7"/>
      <c r="M112" s="6">
        <v>19</v>
      </c>
      <c r="N112" s="6">
        <v>42839</v>
      </c>
      <c r="O112" s="6">
        <v>3</v>
      </c>
      <c r="P112" s="6">
        <v>9340</v>
      </c>
      <c r="Q112" s="7" t="s">
        <v>18</v>
      </c>
      <c r="R112" s="7" t="s">
        <v>18</v>
      </c>
      <c r="S112" s="7" t="s">
        <v>18</v>
      </c>
      <c r="T112" s="7" t="s">
        <v>18</v>
      </c>
      <c r="U112" s="7" t="s">
        <v>18</v>
      </c>
      <c r="V112" s="7" t="s">
        <v>18</v>
      </c>
      <c r="W112" s="7" t="s">
        <v>18</v>
      </c>
      <c r="X112" s="7" t="s">
        <v>18</v>
      </c>
      <c r="Z112" s="21">
        <v>453416</v>
      </c>
      <c r="AB112" s="21">
        <f t="shared" si="10"/>
        <v>69271</v>
      </c>
      <c r="AC112" s="21">
        <f t="shared" si="11"/>
        <v>0</v>
      </c>
      <c r="AE112" s="23">
        <f t="shared" si="12"/>
        <v>15.277581735095366</v>
      </c>
      <c r="AF112" s="23">
        <f t="shared" si="13"/>
        <v>0</v>
      </c>
    </row>
    <row r="113" spans="1:32">
      <c r="A113" s="8" t="s">
        <v>109</v>
      </c>
      <c r="B113" s="10" t="s">
        <v>18</v>
      </c>
      <c r="C113" s="10" t="s">
        <v>18</v>
      </c>
      <c r="D113" s="9">
        <v>2</v>
      </c>
      <c r="E113" s="9">
        <v>16476</v>
      </c>
      <c r="F113" s="10" t="s">
        <v>18</v>
      </c>
      <c r="G113" s="10" t="s">
        <v>18</v>
      </c>
      <c r="H113" s="9">
        <v>1</v>
      </c>
      <c r="I113" s="9">
        <v>36466</v>
      </c>
      <c r="J113" s="10" t="s">
        <v>18</v>
      </c>
      <c r="K113" s="10" t="s">
        <v>18</v>
      </c>
      <c r="L113" s="10"/>
      <c r="M113" s="9">
        <v>10</v>
      </c>
      <c r="N113" s="9">
        <v>23542</v>
      </c>
      <c r="O113" s="9">
        <v>4</v>
      </c>
      <c r="P113" s="9">
        <v>12624</v>
      </c>
      <c r="Q113" s="9">
        <v>1</v>
      </c>
      <c r="R113" s="9">
        <v>4181</v>
      </c>
      <c r="S113" s="10" t="s">
        <v>18</v>
      </c>
      <c r="T113" s="10" t="s">
        <v>18</v>
      </c>
      <c r="U113" s="10" t="s">
        <v>18</v>
      </c>
      <c r="V113" s="10" t="s">
        <v>18</v>
      </c>
      <c r="W113" s="10" t="s">
        <v>18</v>
      </c>
      <c r="X113" s="10" t="s">
        <v>18</v>
      </c>
      <c r="Z113" s="21">
        <v>645121</v>
      </c>
      <c r="AB113" s="21">
        <f t="shared" si="10"/>
        <v>93289</v>
      </c>
      <c r="AC113" s="21">
        <f t="shared" si="11"/>
        <v>36466</v>
      </c>
      <c r="AE113" s="23">
        <f t="shared" si="12"/>
        <v>14.460698070594507</v>
      </c>
      <c r="AF113" s="23">
        <f t="shared" si="13"/>
        <v>5.652583003808588</v>
      </c>
    </row>
    <row r="114" spans="1:32">
      <c r="A114" s="5" t="s">
        <v>110</v>
      </c>
      <c r="B114" s="7" t="s">
        <v>18</v>
      </c>
      <c r="C114" s="7" t="s">
        <v>18</v>
      </c>
      <c r="D114" s="6">
        <v>1</v>
      </c>
      <c r="E114" s="6">
        <v>8928</v>
      </c>
      <c r="F114" s="6">
        <v>1</v>
      </c>
      <c r="G114" s="6">
        <v>13785</v>
      </c>
      <c r="H114" s="6">
        <v>3</v>
      </c>
      <c r="I114" s="6">
        <v>118274</v>
      </c>
      <c r="J114" s="6">
        <v>2</v>
      </c>
      <c r="K114" s="6">
        <v>143371</v>
      </c>
      <c r="L114" s="7"/>
      <c r="M114" s="6">
        <v>60</v>
      </c>
      <c r="N114" s="6">
        <v>142808</v>
      </c>
      <c r="O114" s="6">
        <v>14</v>
      </c>
      <c r="P114" s="6">
        <v>48727</v>
      </c>
      <c r="Q114" s="6">
        <v>7</v>
      </c>
      <c r="R114" s="6">
        <v>30668</v>
      </c>
      <c r="S114" s="6">
        <v>2</v>
      </c>
      <c r="T114" s="6">
        <v>13753</v>
      </c>
      <c r="U114" s="6">
        <v>1</v>
      </c>
      <c r="V114" s="6">
        <v>10974</v>
      </c>
      <c r="W114" s="7" t="s">
        <v>18</v>
      </c>
      <c r="X114" s="7" t="s">
        <v>18</v>
      </c>
      <c r="Z114" s="21">
        <v>1572214</v>
      </c>
      <c r="AB114" s="21">
        <f t="shared" si="10"/>
        <v>531288</v>
      </c>
      <c r="AC114" s="21">
        <f t="shared" si="11"/>
        <v>261645</v>
      </c>
      <c r="AE114" s="23">
        <f t="shared" si="12"/>
        <v>33.79234633453207</v>
      </c>
      <c r="AF114" s="23">
        <f t="shared" si="13"/>
        <v>16.641818480181449</v>
      </c>
    </row>
  </sheetData>
  <mergeCells count="17">
    <mergeCell ref="AB3:AC3"/>
    <mergeCell ref="AE3:AF3"/>
    <mergeCell ref="A1:X1"/>
    <mergeCell ref="A2:A3"/>
    <mergeCell ref="M2:X2"/>
    <mergeCell ref="B2:K2"/>
    <mergeCell ref="B3:C3"/>
    <mergeCell ref="D3:E3"/>
    <mergeCell ref="F3:G3"/>
    <mergeCell ref="H3:I3"/>
    <mergeCell ref="J3:K3"/>
    <mergeCell ref="M3:N3"/>
    <mergeCell ref="O3:P3"/>
    <mergeCell ref="Q3:R3"/>
    <mergeCell ref="S3:T3"/>
    <mergeCell ref="U3:V3"/>
    <mergeCell ref="W3:X3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EE6D-23DB-4A35-B0FB-65261AF8045E}">
  <dimension ref="A2:AF87"/>
  <sheetViews>
    <sheetView tabSelected="1" workbookViewId="0">
      <selection activeCell="AJ39" sqref="AJ39"/>
    </sheetView>
  </sheetViews>
  <sheetFormatPr defaultRowHeight="15"/>
  <cols>
    <col min="1" max="1" width="18.85546875" bestFit="1" customWidth="1"/>
    <col min="2" max="2" width="5.7109375" bestFit="1" customWidth="1"/>
    <col min="4" max="4" width="5.7109375" bestFit="1" customWidth="1"/>
    <col min="6" max="6" width="5.7109375" bestFit="1" customWidth="1"/>
    <col min="8" max="8" width="5.7109375" bestFit="1" customWidth="1"/>
    <col min="10" max="10" width="5.7109375" bestFit="1" customWidth="1"/>
    <col min="13" max="13" width="5.7109375" bestFit="1" customWidth="1"/>
    <col min="15" max="15" width="5.7109375" bestFit="1" customWidth="1"/>
    <col min="17" max="17" width="5.7109375" bestFit="1" customWidth="1"/>
    <col min="19" max="19" width="5.7109375" bestFit="1" customWidth="1"/>
    <col min="21" max="21" width="5.7109375" bestFit="1" customWidth="1"/>
    <col min="23" max="23" width="5.7109375" bestFit="1" customWidth="1"/>
    <col min="26" max="26" width="11.140625" bestFit="1" customWidth="1"/>
    <col min="28" max="28" width="10.140625" bestFit="1" customWidth="1"/>
    <col min="29" max="29" width="11.140625" customWidth="1"/>
    <col min="31" max="31" width="7.28515625" bestFit="1" customWidth="1"/>
    <col min="32" max="32" width="8.28515625" bestFit="1" customWidth="1"/>
  </cols>
  <sheetData>
    <row r="2" spans="1:32">
      <c r="A2" s="14" t="s">
        <v>1</v>
      </c>
      <c r="B2" s="14" t="s">
        <v>2</v>
      </c>
      <c r="C2" s="14"/>
      <c r="D2" s="14"/>
      <c r="E2" s="14"/>
      <c r="F2" s="14"/>
      <c r="G2" s="14"/>
      <c r="H2" s="14"/>
      <c r="I2" s="14"/>
      <c r="J2" s="14"/>
      <c r="K2" s="14"/>
      <c r="L2" s="15"/>
      <c r="M2" s="14" t="s">
        <v>3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2">
      <c r="A3" s="14"/>
      <c r="B3" s="14" t="s">
        <v>4</v>
      </c>
      <c r="C3" s="14"/>
      <c r="D3" s="14" t="s">
        <v>5</v>
      </c>
      <c r="E3" s="14"/>
      <c r="F3" s="14" t="s">
        <v>6</v>
      </c>
      <c r="G3" s="14"/>
      <c r="H3" s="14" t="s">
        <v>7</v>
      </c>
      <c r="I3" s="14"/>
      <c r="J3" s="14" t="s">
        <v>8</v>
      </c>
      <c r="K3" s="14"/>
      <c r="L3" s="15"/>
      <c r="M3" s="14" t="s">
        <v>9</v>
      </c>
      <c r="N3" s="14"/>
      <c r="O3" s="14" t="s">
        <v>10</v>
      </c>
      <c r="P3" s="14"/>
      <c r="Q3" s="14" t="s">
        <v>11</v>
      </c>
      <c r="R3" s="14"/>
      <c r="S3" s="14" t="s">
        <v>5</v>
      </c>
      <c r="T3" s="14"/>
      <c r="U3" s="14" t="s">
        <v>6</v>
      </c>
      <c r="V3" s="14"/>
      <c r="W3" s="14" t="s">
        <v>12</v>
      </c>
      <c r="X3" s="14"/>
      <c r="Z3" s="22" t="s">
        <v>129</v>
      </c>
      <c r="AB3" s="25" t="s">
        <v>130</v>
      </c>
      <c r="AC3" s="25"/>
      <c r="AE3" s="25" t="s">
        <v>131</v>
      </c>
      <c r="AF3" s="25"/>
    </row>
    <row r="4" spans="1:32">
      <c r="A4" s="1"/>
      <c r="B4" s="2" t="s">
        <v>13</v>
      </c>
      <c r="C4" s="2" t="s">
        <v>14</v>
      </c>
      <c r="D4" s="2" t="s">
        <v>13</v>
      </c>
      <c r="E4" s="2" t="s">
        <v>14</v>
      </c>
      <c r="F4" s="2" t="s">
        <v>13</v>
      </c>
      <c r="G4" s="2" t="s">
        <v>14</v>
      </c>
      <c r="H4" s="2" t="s">
        <v>13</v>
      </c>
      <c r="I4" s="2" t="s">
        <v>14</v>
      </c>
      <c r="J4" s="2" t="s">
        <v>13</v>
      </c>
      <c r="K4" s="2" t="s">
        <v>14</v>
      </c>
      <c r="L4" s="16"/>
      <c r="M4" s="2" t="s">
        <v>13</v>
      </c>
      <c r="N4" s="2" t="s">
        <v>14</v>
      </c>
      <c r="O4" s="2" t="s">
        <v>13</v>
      </c>
      <c r="P4" s="2" t="s">
        <v>14</v>
      </c>
      <c r="Q4" s="2" t="s">
        <v>13</v>
      </c>
      <c r="R4" s="2" t="s">
        <v>14</v>
      </c>
      <c r="S4" s="2" t="s">
        <v>13</v>
      </c>
      <c r="T4" s="2" t="s">
        <v>14</v>
      </c>
      <c r="U4" s="2" t="s">
        <v>13</v>
      </c>
      <c r="V4" s="2" t="s">
        <v>14</v>
      </c>
      <c r="W4" s="2" t="s">
        <v>13</v>
      </c>
      <c r="X4" s="2" t="s">
        <v>14</v>
      </c>
      <c r="Z4" s="22" t="s">
        <v>115</v>
      </c>
      <c r="AB4" s="22" t="s">
        <v>116</v>
      </c>
      <c r="AC4" s="22" t="s">
        <v>117</v>
      </c>
      <c r="AE4" s="22" t="s">
        <v>118</v>
      </c>
      <c r="AF4" s="22" t="s">
        <v>119</v>
      </c>
    </row>
    <row r="5" spans="1:32">
      <c r="A5" s="5" t="s">
        <v>17</v>
      </c>
      <c r="B5" s="6">
        <v>2</v>
      </c>
      <c r="C5" s="6">
        <v>4988</v>
      </c>
      <c r="D5" s="7" t="s">
        <v>18</v>
      </c>
      <c r="E5" s="7" t="s">
        <v>18</v>
      </c>
      <c r="F5" s="7" t="s">
        <v>18</v>
      </c>
      <c r="G5" s="7" t="s">
        <v>18</v>
      </c>
      <c r="H5" s="6">
        <v>1</v>
      </c>
      <c r="I5" s="6">
        <v>20882</v>
      </c>
      <c r="J5" s="7" t="s">
        <v>18</v>
      </c>
      <c r="K5" s="7" t="s">
        <v>18</v>
      </c>
      <c r="L5" s="7"/>
      <c r="M5" s="6">
        <v>4</v>
      </c>
      <c r="N5" s="6">
        <v>8641</v>
      </c>
      <c r="O5" s="7" t="s">
        <v>18</v>
      </c>
      <c r="P5" s="7" t="s">
        <v>18</v>
      </c>
      <c r="Q5" s="7" t="s">
        <v>18</v>
      </c>
      <c r="R5" s="7" t="s">
        <v>18</v>
      </c>
      <c r="S5" s="7" t="s">
        <v>18</v>
      </c>
      <c r="T5" s="7" t="s">
        <v>18</v>
      </c>
      <c r="U5" s="7" t="s">
        <v>18</v>
      </c>
      <c r="V5" s="7" t="s">
        <v>18</v>
      </c>
      <c r="W5" s="7" t="s">
        <v>18</v>
      </c>
      <c r="X5" s="7" t="s">
        <v>18</v>
      </c>
      <c r="Z5" s="21">
        <v>346536</v>
      </c>
      <c r="AB5" s="21">
        <f t="shared" ref="AB5:AB54" si="0">N(C5)+N(E5)+N(G5)+N(I5)+N(K5)+N(N5)+N(P5)+N(R5)+N(T5)+N(V5)+N(X5)</f>
        <v>34511</v>
      </c>
      <c r="AC5" s="21">
        <f t="shared" ref="AC5:AC54" si="1">N(I5)+N(K5)+N(X5)</f>
        <v>20882</v>
      </c>
      <c r="AE5" s="23">
        <f t="shared" ref="AE5:AE54" si="2">AB5/Z5*100</f>
        <v>9.9588498741833469</v>
      </c>
      <c r="AF5" s="23">
        <f t="shared" ref="AF5:AF54" si="3">AC5/Z5*100</f>
        <v>6.0259251564051066</v>
      </c>
    </row>
    <row r="6" spans="1:32">
      <c r="A6" s="8" t="s">
        <v>19</v>
      </c>
      <c r="B6" s="9">
        <v>2</v>
      </c>
      <c r="C6" s="9">
        <v>7052</v>
      </c>
      <c r="D6" s="9">
        <v>2</v>
      </c>
      <c r="E6" s="9">
        <v>12570</v>
      </c>
      <c r="F6" s="10" t="s">
        <v>18</v>
      </c>
      <c r="G6" s="10" t="s">
        <v>18</v>
      </c>
      <c r="H6" s="10" t="s">
        <v>18</v>
      </c>
      <c r="I6" s="10" t="s">
        <v>18</v>
      </c>
      <c r="J6" s="9">
        <v>1</v>
      </c>
      <c r="K6" s="9">
        <v>112880</v>
      </c>
      <c r="L6" s="9"/>
      <c r="M6" s="9">
        <v>29</v>
      </c>
      <c r="N6" s="9">
        <v>70859</v>
      </c>
      <c r="O6" s="9">
        <v>18</v>
      </c>
      <c r="P6" s="9">
        <v>62034</v>
      </c>
      <c r="Q6" s="9">
        <v>3</v>
      </c>
      <c r="R6" s="9">
        <v>13604</v>
      </c>
      <c r="S6" s="9">
        <v>8</v>
      </c>
      <c r="T6" s="9">
        <v>55225</v>
      </c>
      <c r="U6" s="9">
        <v>2</v>
      </c>
      <c r="V6" s="9">
        <v>24324</v>
      </c>
      <c r="W6" s="9">
        <v>1</v>
      </c>
      <c r="X6" s="9">
        <v>20725</v>
      </c>
      <c r="Z6" s="21">
        <v>1003542</v>
      </c>
      <c r="AB6" s="21">
        <f t="shared" si="0"/>
        <v>379273</v>
      </c>
      <c r="AC6" s="21">
        <f t="shared" si="1"/>
        <v>133605</v>
      </c>
      <c r="AE6" s="23">
        <f t="shared" si="2"/>
        <v>37.793435650924422</v>
      </c>
      <c r="AF6" s="23">
        <f t="shared" si="3"/>
        <v>13.313344135073567</v>
      </c>
    </row>
    <row r="7" spans="1:32">
      <c r="A7" s="5" t="s">
        <v>20</v>
      </c>
      <c r="B7" s="7" t="s">
        <v>18</v>
      </c>
      <c r="C7" s="7" t="s">
        <v>18</v>
      </c>
      <c r="D7" s="6">
        <v>2</v>
      </c>
      <c r="E7" s="6">
        <v>14018</v>
      </c>
      <c r="F7" s="6">
        <v>6</v>
      </c>
      <c r="G7" s="6">
        <v>88481</v>
      </c>
      <c r="H7" s="6">
        <v>3</v>
      </c>
      <c r="I7" s="6">
        <v>82350</v>
      </c>
      <c r="J7" s="6">
        <v>1</v>
      </c>
      <c r="K7" s="6">
        <v>108483</v>
      </c>
      <c r="L7" s="6"/>
      <c r="M7" s="6">
        <v>125</v>
      </c>
      <c r="N7" s="6">
        <v>300656</v>
      </c>
      <c r="O7" s="6">
        <v>27</v>
      </c>
      <c r="P7" s="6">
        <v>89948</v>
      </c>
      <c r="Q7" s="6">
        <v>16</v>
      </c>
      <c r="R7" s="6">
        <v>70102</v>
      </c>
      <c r="S7" s="6">
        <v>14</v>
      </c>
      <c r="T7" s="6">
        <v>90415</v>
      </c>
      <c r="U7" s="6">
        <v>1</v>
      </c>
      <c r="V7" s="6">
        <v>10211</v>
      </c>
      <c r="W7" s="7" t="s">
        <v>18</v>
      </c>
      <c r="X7" s="7" t="s">
        <v>18</v>
      </c>
      <c r="Z7" s="21">
        <v>1935412</v>
      </c>
      <c r="AB7" s="21">
        <f t="shared" si="0"/>
        <v>854664</v>
      </c>
      <c r="AC7" s="21">
        <f t="shared" si="1"/>
        <v>190833</v>
      </c>
      <c r="AE7" s="23">
        <f t="shared" si="2"/>
        <v>44.159279781255876</v>
      </c>
      <c r="AF7" s="23">
        <f t="shared" si="3"/>
        <v>9.8600711373082319</v>
      </c>
    </row>
    <row r="8" spans="1:32">
      <c r="A8" s="8" t="s">
        <v>21</v>
      </c>
      <c r="B8" s="9">
        <v>4</v>
      </c>
      <c r="C8" s="9">
        <v>14157</v>
      </c>
      <c r="D8" s="9">
        <v>4</v>
      </c>
      <c r="E8" s="9">
        <v>29318</v>
      </c>
      <c r="F8" s="10" t="s">
        <v>18</v>
      </c>
      <c r="G8" s="10" t="s">
        <v>18</v>
      </c>
      <c r="H8" s="10" t="s">
        <v>18</v>
      </c>
      <c r="I8" s="10" t="s">
        <v>18</v>
      </c>
      <c r="J8" s="9">
        <v>1</v>
      </c>
      <c r="K8" s="9">
        <v>154532</v>
      </c>
      <c r="L8" s="9"/>
      <c r="M8" s="9">
        <v>17</v>
      </c>
      <c r="N8" s="9">
        <v>41156</v>
      </c>
      <c r="O8" s="9">
        <v>4</v>
      </c>
      <c r="P8" s="9">
        <v>13750</v>
      </c>
      <c r="Q8" s="9">
        <v>1</v>
      </c>
      <c r="R8" s="9">
        <v>4534</v>
      </c>
      <c r="S8" s="9">
        <v>2</v>
      </c>
      <c r="T8" s="9">
        <v>14472</v>
      </c>
      <c r="U8" s="10" t="s">
        <v>18</v>
      </c>
      <c r="V8" s="10" t="s">
        <v>18</v>
      </c>
      <c r="W8" s="10" t="s">
        <v>18</v>
      </c>
      <c r="X8" s="10" t="s">
        <v>18</v>
      </c>
      <c r="Z8" s="21">
        <v>1591207</v>
      </c>
      <c r="AB8" s="21">
        <f t="shared" si="0"/>
        <v>271919</v>
      </c>
      <c r="AC8" s="21">
        <f t="shared" si="1"/>
        <v>154532</v>
      </c>
      <c r="AE8" s="23">
        <f t="shared" si="2"/>
        <v>17.08885141907998</v>
      </c>
      <c r="AF8" s="23">
        <f t="shared" si="3"/>
        <v>9.7116214295185976</v>
      </c>
    </row>
    <row r="9" spans="1:32">
      <c r="A9" s="5" t="s">
        <v>22</v>
      </c>
      <c r="B9" s="6">
        <v>3</v>
      </c>
      <c r="C9" s="6">
        <v>11295</v>
      </c>
      <c r="D9" s="6">
        <v>4</v>
      </c>
      <c r="E9" s="6">
        <v>25796</v>
      </c>
      <c r="F9" s="6">
        <v>2</v>
      </c>
      <c r="G9" s="6">
        <v>22988</v>
      </c>
      <c r="H9" s="6">
        <v>1</v>
      </c>
      <c r="I9" s="6">
        <v>20294</v>
      </c>
      <c r="J9" s="6">
        <v>2</v>
      </c>
      <c r="K9" s="6">
        <v>135546</v>
      </c>
      <c r="L9" s="6"/>
      <c r="M9" s="6">
        <v>7</v>
      </c>
      <c r="N9" s="6">
        <v>17443</v>
      </c>
      <c r="O9" s="7" t="s">
        <v>18</v>
      </c>
      <c r="P9" s="7" t="s">
        <v>18</v>
      </c>
      <c r="Q9" s="6">
        <v>3</v>
      </c>
      <c r="R9" s="6">
        <v>13163</v>
      </c>
      <c r="S9" s="6">
        <v>1</v>
      </c>
      <c r="T9" s="6">
        <v>7834</v>
      </c>
      <c r="U9" s="7" t="s">
        <v>18</v>
      </c>
      <c r="V9" s="7" t="s">
        <v>18</v>
      </c>
      <c r="W9" s="7" t="s">
        <v>18</v>
      </c>
      <c r="X9" s="7" t="s">
        <v>18</v>
      </c>
      <c r="Z9" s="21">
        <v>1489246</v>
      </c>
      <c r="AB9" s="21">
        <f t="shared" si="0"/>
        <v>254359</v>
      </c>
      <c r="AC9" s="21">
        <f t="shared" si="1"/>
        <v>155840</v>
      </c>
      <c r="AE9" s="23">
        <f t="shared" si="2"/>
        <v>17.07971685000329</v>
      </c>
      <c r="AF9" s="23">
        <f t="shared" si="3"/>
        <v>10.464355788096794</v>
      </c>
    </row>
    <row r="10" spans="1:32">
      <c r="A10" s="8" t="s">
        <v>23</v>
      </c>
      <c r="B10" s="9">
        <v>4</v>
      </c>
      <c r="C10" s="9">
        <v>13115</v>
      </c>
      <c r="D10" s="9">
        <v>5</v>
      </c>
      <c r="E10" s="9">
        <v>36752</v>
      </c>
      <c r="F10" s="9">
        <v>4</v>
      </c>
      <c r="G10" s="9">
        <v>58064</v>
      </c>
      <c r="H10" s="9">
        <v>1</v>
      </c>
      <c r="I10" s="9">
        <v>28479</v>
      </c>
      <c r="J10" s="9">
        <v>1</v>
      </c>
      <c r="K10" s="9">
        <v>54208</v>
      </c>
      <c r="L10" s="9"/>
      <c r="M10" s="9">
        <v>6</v>
      </c>
      <c r="N10" s="9">
        <v>13444</v>
      </c>
      <c r="O10" s="9">
        <v>4</v>
      </c>
      <c r="P10" s="9">
        <v>13622</v>
      </c>
      <c r="Q10" s="9">
        <v>1</v>
      </c>
      <c r="R10" s="9">
        <v>4147</v>
      </c>
      <c r="S10" s="9">
        <v>5</v>
      </c>
      <c r="T10" s="9">
        <v>32371</v>
      </c>
      <c r="U10" s="9">
        <v>1</v>
      </c>
      <c r="V10" s="9">
        <v>12007</v>
      </c>
      <c r="W10" s="9">
        <v>1</v>
      </c>
      <c r="X10" s="9">
        <v>25233</v>
      </c>
      <c r="Z10" s="21">
        <v>1515691</v>
      </c>
      <c r="AB10" s="21">
        <f t="shared" si="0"/>
        <v>291442</v>
      </c>
      <c r="AC10" s="21">
        <f t="shared" si="1"/>
        <v>107920</v>
      </c>
      <c r="AE10" s="23">
        <f t="shared" si="2"/>
        <v>19.228325562400254</v>
      </c>
      <c r="AF10" s="23">
        <f t="shared" si="3"/>
        <v>7.1201847870047397</v>
      </c>
    </row>
    <row r="11" spans="1:32">
      <c r="A11" s="5" t="s">
        <v>24</v>
      </c>
      <c r="B11" s="6">
        <v>5</v>
      </c>
      <c r="C11" s="6">
        <v>17575</v>
      </c>
      <c r="D11" s="7" t="s">
        <v>18</v>
      </c>
      <c r="E11" s="7" t="s">
        <v>18</v>
      </c>
      <c r="F11" s="6">
        <v>1</v>
      </c>
      <c r="G11" s="6">
        <v>11137</v>
      </c>
      <c r="H11" s="6">
        <v>1</v>
      </c>
      <c r="I11" s="6">
        <v>27705</v>
      </c>
      <c r="J11" s="7" t="s">
        <v>18</v>
      </c>
      <c r="K11" s="7" t="s">
        <v>18</v>
      </c>
      <c r="L11" s="7"/>
      <c r="M11" s="6">
        <v>2</v>
      </c>
      <c r="N11" s="6">
        <v>4403</v>
      </c>
      <c r="O11" s="7" t="s">
        <v>18</v>
      </c>
      <c r="P11" s="7" t="s">
        <v>18</v>
      </c>
      <c r="Q11" s="7" t="s">
        <v>18</v>
      </c>
      <c r="R11" s="7" t="s">
        <v>18</v>
      </c>
      <c r="S11" s="7" t="s">
        <v>18</v>
      </c>
      <c r="T11" s="7" t="s">
        <v>18</v>
      </c>
      <c r="U11" s="7" t="s">
        <v>18</v>
      </c>
      <c r="V11" s="7" t="s">
        <v>18</v>
      </c>
      <c r="W11" s="7" t="s">
        <v>18</v>
      </c>
      <c r="X11" s="7" t="s">
        <v>18</v>
      </c>
      <c r="Z11" s="21">
        <v>1341785</v>
      </c>
      <c r="AB11" s="21">
        <f t="shared" si="0"/>
        <v>60820</v>
      </c>
      <c r="AC11" s="21">
        <f t="shared" si="1"/>
        <v>27705</v>
      </c>
      <c r="AE11" s="23">
        <f t="shared" si="2"/>
        <v>4.5327679173638096</v>
      </c>
      <c r="AF11" s="23">
        <f t="shared" si="3"/>
        <v>2.0647868324657077</v>
      </c>
    </row>
    <row r="12" spans="1:32">
      <c r="A12" s="8" t="s">
        <v>25</v>
      </c>
      <c r="B12" s="10" t="s">
        <v>18</v>
      </c>
      <c r="C12" s="10" t="s">
        <v>18</v>
      </c>
      <c r="D12" s="9">
        <v>2</v>
      </c>
      <c r="E12" s="9">
        <v>17276</v>
      </c>
      <c r="F12" s="9">
        <v>8</v>
      </c>
      <c r="G12" s="9">
        <v>126103</v>
      </c>
      <c r="H12" s="9">
        <v>1</v>
      </c>
      <c r="I12" s="9">
        <v>24573</v>
      </c>
      <c r="J12" s="9">
        <v>1</v>
      </c>
      <c r="K12" s="9">
        <v>65895</v>
      </c>
      <c r="L12" s="9"/>
      <c r="M12" s="9">
        <v>63</v>
      </c>
      <c r="N12" s="9">
        <v>151468</v>
      </c>
      <c r="O12" s="9">
        <v>18</v>
      </c>
      <c r="P12" s="9">
        <v>61492</v>
      </c>
      <c r="Q12" s="9">
        <v>14</v>
      </c>
      <c r="R12" s="9">
        <v>62822</v>
      </c>
      <c r="S12" s="9">
        <v>16</v>
      </c>
      <c r="T12" s="9">
        <v>102143</v>
      </c>
      <c r="U12" s="9">
        <v>2</v>
      </c>
      <c r="V12" s="9">
        <v>28795</v>
      </c>
      <c r="W12" s="10" t="s">
        <v>18</v>
      </c>
      <c r="X12" s="10" t="s">
        <v>18</v>
      </c>
      <c r="Z12" s="21">
        <v>2989482</v>
      </c>
      <c r="AB12" s="21">
        <f t="shared" si="0"/>
        <v>640567</v>
      </c>
      <c r="AC12" s="21">
        <f t="shared" si="1"/>
        <v>90468</v>
      </c>
      <c r="AE12" s="23">
        <f t="shared" si="2"/>
        <v>21.427357649251611</v>
      </c>
      <c r="AF12" s="23">
        <f t="shared" si="3"/>
        <v>3.0262098918809346</v>
      </c>
    </row>
    <row r="13" spans="1:32">
      <c r="A13" s="5" t="s">
        <v>26</v>
      </c>
      <c r="B13" s="6">
        <v>2</v>
      </c>
      <c r="C13" s="6">
        <v>6293</v>
      </c>
      <c r="D13" s="6">
        <v>7</v>
      </c>
      <c r="E13" s="6">
        <v>48676</v>
      </c>
      <c r="F13" s="6">
        <v>1</v>
      </c>
      <c r="G13" s="6">
        <v>13081</v>
      </c>
      <c r="H13" s="6">
        <v>1</v>
      </c>
      <c r="I13" s="6">
        <v>20983</v>
      </c>
      <c r="J13" s="6">
        <v>1</v>
      </c>
      <c r="K13" s="6">
        <v>80599</v>
      </c>
      <c r="L13" s="6"/>
      <c r="M13" s="6">
        <v>144</v>
      </c>
      <c r="N13" s="6">
        <v>351948</v>
      </c>
      <c r="O13" s="6">
        <v>55</v>
      </c>
      <c r="P13" s="6">
        <v>188165</v>
      </c>
      <c r="Q13" s="6">
        <v>36</v>
      </c>
      <c r="R13" s="6">
        <v>159023</v>
      </c>
      <c r="S13" s="6">
        <v>63</v>
      </c>
      <c r="T13" s="6">
        <v>424436</v>
      </c>
      <c r="U13" s="6">
        <v>7</v>
      </c>
      <c r="V13" s="6">
        <v>86962</v>
      </c>
      <c r="W13" s="6">
        <v>1</v>
      </c>
      <c r="X13" s="6">
        <v>23443</v>
      </c>
      <c r="Z13" s="21">
        <v>2531253</v>
      </c>
      <c r="AB13" s="21">
        <f t="shared" si="0"/>
        <v>1403609</v>
      </c>
      <c r="AC13" s="21">
        <f t="shared" si="1"/>
        <v>125025</v>
      </c>
      <c r="AE13" s="23">
        <f t="shared" si="2"/>
        <v>55.451154033200154</v>
      </c>
      <c r="AF13" s="23">
        <f t="shared" si="3"/>
        <v>4.939253405329298</v>
      </c>
    </row>
    <row r="14" spans="1:32">
      <c r="A14" s="8" t="s">
        <v>27</v>
      </c>
      <c r="B14" s="9">
        <v>7</v>
      </c>
      <c r="C14" s="9">
        <v>28155</v>
      </c>
      <c r="D14" s="9">
        <v>1</v>
      </c>
      <c r="E14" s="9">
        <v>9764</v>
      </c>
      <c r="F14" s="9">
        <v>1</v>
      </c>
      <c r="G14" s="9">
        <v>10051</v>
      </c>
      <c r="H14" s="9">
        <v>2</v>
      </c>
      <c r="I14" s="9">
        <v>46406</v>
      </c>
      <c r="J14" s="10" t="s">
        <v>18</v>
      </c>
      <c r="K14" s="10" t="s">
        <v>18</v>
      </c>
      <c r="L14" s="10"/>
      <c r="M14" s="9">
        <v>12</v>
      </c>
      <c r="N14" s="9">
        <v>30624</v>
      </c>
      <c r="O14" s="9">
        <v>1</v>
      </c>
      <c r="P14" s="9">
        <v>3232</v>
      </c>
      <c r="Q14" s="9">
        <v>2</v>
      </c>
      <c r="R14" s="9">
        <v>8785</v>
      </c>
      <c r="S14" s="9">
        <v>1</v>
      </c>
      <c r="T14" s="9">
        <v>5245</v>
      </c>
      <c r="U14" s="10" t="s">
        <v>18</v>
      </c>
      <c r="V14" s="10" t="s">
        <v>18</v>
      </c>
      <c r="W14" s="9">
        <v>2</v>
      </c>
      <c r="X14" s="9">
        <v>62695</v>
      </c>
      <c r="Z14" s="21">
        <v>3030831</v>
      </c>
      <c r="AB14" s="21">
        <f t="shared" si="0"/>
        <v>204957</v>
      </c>
      <c r="AC14" s="21">
        <f t="shared" si="1"/>
        <v>109101</v>
      </c>
      <c r="AE14" s="23">
        <f t="shared" si="2"/>
        <v>6.7624027865624976</v>
      </c>
      <c r="AF14" s="23">
        <f t="shared" si="3"/>
        <v>3.5997058232544141</v>
      </c>
    </row>
    <row r="15" spans="1:32">
      <c r="A15" s="5" t="s">
        <v>28</v>
      </c>
      <c r="B15" s="6">
        <v>7</v>
      </c>
      <c r="C15" s="6">
        <v>22779</v>
      </c>
      <c r="D15" s="6">
        <v>3</v>
      </c>
      <c r="E15" s="6">
        <v>22695</v>
      </c>
      <c r="F15" s="6">
        <v>3</v>
      </c>
      <c r="G15" s="6">
        <v>36594</v>
      </c>
      <c r="H15" s="6">
        <v>2</v>
      </c>
      <c r="I15" s="6">
        <v>93487</v>
      </c>
      <c r="J15" s="6">
        <v>1</v>
      </c>
      <c r="K15" s="6">
        <v>66032</v>
      </c>
      <c r="L15" s="6"/>
      <c r="M15" s="6">
        <v>16</v>
      </c>
      <c r="N15" s="6">
        <v>39843</v>
      </c>
      <c r="O15" s="6">
        <v>13</v>
      </c>
      <c r="P15" s="6">
        <v>44232</v>
      </c>
      <c r="Q15" s="6">
        <v>2</v>
      </c>
      <c r="R15" s="6">
        <v>9254</v>
      </c>
      <c r="S15" s="6">
        <v>5</v>
      </c>
      <c r="T15" s="6">
        <v>28041</v>
      </c>
      <c r="U15" s="7" t="s">
        <v>18</v>
      </c>
      <c r="V15" s="7" t="s">
        <v>18</v>
      </c>
      <c r="W15" s="7" t="s">
        <v>18</v>
      </c>
      <c r="X15" s="7" t="s">
        <v>18</v>
      </c>
      <c r="Z15" s="21">
        <v>1603409</v>
      </c>
      <c r="AB15" s="21">
        <f t="shared" si="0"/>
        <v>362957</v>
      </c>
      <c r="AC15" s="21">
        <f t="shared" si="1"/>
        <v>159519</v>
      </c>
      <c r="AE15" s="23">
        <f t="shared" si="2"/>
        <v>22.636582431556764</v>
      </c>
      <c r="AF15" s="23">
        <f t="shared" si="3"/>
        <v>9.9487404648470843</v>
      </c>
    </row>
    <row r="16" spans="1:32">
      <c r="A16" s="8" t="s">
        <v>29</v>
      </c>
      <c r="B16" s="10" t="s">
        <v>18</v>
      </c>
      <c r="C16" s="10" t="s">
        <v>18</v>
      </c>
      <c r="D16" s="10" t="s">
        <v>18</v>
      </c>
      <c r="E16" s="10" t="s">
        <v>18</v>
      </c>
      <c r="F16" s="9">
        <v>1</v>
      </c>
      <c r="G16" s="9">
        <v>16479</v>
      </c>
      <c r="H16" s="9">
        <v>1</v>
      </c>
      <c r="I16" s="9">
        <v>28427</v>
      </c>
      <c r="J16" s="9">
        <v>3</v>
      </c>
      <c r="K16" s="9">
        <v>222876</v>
      </c>
      <c r="L16" s="9"/>
      <c r="M16" s="9">
        <v>71</v>
      </c>
      <c r="N16" s="9">
        <v>170000</v>
      </c>
      <c r="O16" s="9">
        <v>29</v>
      </c>
      <c r="P16" s="9">
        <v>99031</v>
      </c>
      <c r="Q16" s="9">
        <v>18</v>
      </c>
      <c r="R16" s="9">
        <v>80268</v>
      </c>
      <c r="S16" s="9">
        <v>28</v>
      </c>
      <c r="T16" s="9">
        <v>176437</v>
      </c>
      <c r="U16" s="9">
        <v>6</v>
      </c>
      <c r="V16" s="9">
        <v>75508</v>
      </c>
      <c r="W16" s="10" t="s">
        <v>18</v>
      </c>
      <c r="X16" s="10" t="s">
        <v>18</v>
      </c>
      <c r="Z16" s="21">
        <v>2564238</v>
      </c>
      <c r="AB16" s="21">
        <f t="shared" si="0"/>
        <v>869026</v>
      </c>
      <c r="AC16" s="21">
        <f t="shared" si="1"/>
        <v>251303</v>
      </c>
      <c r="AE16" s="23">
        <f t="shared" si="2"/>
        <v>33.890223918372634</v>
      </c>
      <c r="AF16" s="23">
        <f t="shared" si="3"/>
        <v>9.80029934818843</v>
      </c>
    </row>
    <row r="17" spans="1:32">
      <c r="A17" s="5" t="s">
        <v>30</v>
      </c>
      <c r="B17" s="6">
        <v>1</v>
      </c>
      <c r="C17" s="6">
        <v>3122</v>
      </c>
      <c r="D17" s="6">
        <v>1</v>
      </c>
      <c r="E17" s="6">
        <v>6701</v>
      </c>
      <c r="F17" s="6">
        <v>4</v>
      </c>
      <c r="G17" s="6">
        <v>66823</v>
      </c>
      <c r="H17" s="6">
        <v>2</v>
      </c>
      <c r="I17" s="6">
        <v>51520</v>
      </c>
      <c r="J17" s="6">
        <v>1</v>
      </c>
      <c r="K17" s="6">
        <v>112839</v>
      </c>
      <c r="L17" s="6"/>
      <c r="M17" s="6">
        <v>61</v>
      </c>
      <c r="N17" s="6">
        <v>147263</v>
      </c>
      <c r="O17" s="6">
        <v>52</v>
      </c>
      <c r="P17" s="6">
        <v>181759</v>
      </c>
      <c r="Q17" s="6">
        <v>29</v>
      </c>
      <c r="R17" s="6">
        <v>131249</v>
      </c>
      <c r="S17" s="6">
        <v>64</v>
      </c>
      <c r="T17" s="6">
        <v>419393</v>
      </c>
      <c r="U17" s="6">
        <v>4</v>
      </c>
      <c r="V17" s="6">
        <v>54711</v>
      </c>
      <c r="W17" s="6">
        <v>2</v>
      </c>
      <c r="X17" s="6">
        <v>49147</v>
      </c>
      <c r="Z17" s="21">
        <v>2113674</v>
      </c>
      <c r="AB17" s="21">
        <f t="shared" si="0"/>
        <v>1224527</v>
      </c>
      <c r="AC17" s="21">
        <f t="shared" si="1"/>
        <v>213506</v>
      </c>
      <c r="AE17" s="23">
        <f t="shared" si="2"/>
        <v>57.933579161214077</v>
      </c>
      <c r="AF17" s="23">
        <f t="shared" si="3"/>
        <v>10.101179273624977</v>
      </c>
    </row>
    <row r="18" spans="1:32">
      <c r="A18" s="8" t="s">
        <v>31</v>
      </c>
      <c r="B18" s="9">
        <v>8</v>
      </c>
      <c r="C18" s="9">
        <v>27355</v>
      </c>
      <c r="D18" s="9">
        <v>1</v>
      </c>
      <c r="E18" s="9">
        <v>5284</v>
      </c>
      <c r="F18" s="10" t="s">
        <v>18</v>
      </c>
      <c r="G18" s="10" t="s">
        <v>18</v>
      </c>
      <c r="H18" s="9">
        <v>1</v>
      </c>
      <c r="I18" s="9">
        <v>20104</v>
      </c>
      <c r="J18" s="9">
        <v>1</v>
      </c>
      <c r="K18" s="9">
        <v>129959</v>
      </c>
      <c r="L18" s="9"/>
      <c r="M18" s="9">
        <v>50</v>
      </c>
      <c r="N18" s="9">
        <v>120154</v>
      </c>
      <c r="O18" s="9">
        <v>8</v>
      </c>
      <c r="P18" s="9">
        <v>27081</v>
      </c>
      <c r="Q18" s="9">
        <v>3</v>
      </c>
      <c r="R18" s="9">
        <v>12685</v>
      </c>
      <c r="S18" s="9">
        <v>1</v>
      </c>
      <c r="T18" s="9">
        <v>6058</v>
      </c>
      <c r="U18" s="10" t="s">
        <v>18</v>
      </c>
      <c r="V18" s="10" t="s">
        <v>18</v>
      </c>
      <c r="W18" s="10" t="s">
        <v>18</v>
      </c>
      <c r="X18" s="10" t="s">
        <v>18</v>
      </c>
      <c r="Z18" s="21">
        <v>2170665</v>
      </c>
      <c r="AB18" s="21">
        <f t="shared" si="0"/>
        <v>348680</v>
      </c>
      <c r="AC18" s="21">
        <f t="shared" si="1"/>
        <v>150063</v>
      </c>
      <c r="AE18" s="23">
        <f t="shared" si="2"/>
        <v>16.063280146867434</v>
      </c>
      <c r="AF18" s="23">
        <f t="shared" si="3"/>
        <v>6.9132270525391988</v>
      </c>
    </row>
    <row r="19" spans="1:32">
      <c r="A19" s="5" t="s">
        <v>32</v>
      </c>
      <c r="B19" s="6">
        <v>4</v>
      </c>
      <c r="C19" s="6">
        <v>13174</v>
      </c>
      <c r="D19" s="6">
        <v>4</v>
      </c>
      <c r="E19" s="6">
        <v>25484</v>
      </c>
      <c r="F19" s="7" t="s">
        <v>18</v>
      </c>
      <c r="G19" s="7" t="s">
        <v>18</v>
      </c>
      <c r="H19" s="6">
        <v>1</v>
      </c>
      <c r="I19" s="6">
        <v>49513</v>
      </c>
      <c r="J19" s="7" t="s">
        <v>18</v>
      </c>
      <c r="K19" s="7" t="s">
        <v>18</v>
      </c>
      <c r="L19" s="7"/>
      <c r="M19" s="6">
        <v>11</v>
      </c>
      <c r="N19" s="6">
        <v>24373</v>
      </c>
      <c r="O19" s="6">
        <v>4</v>
      </c>
      <c r="P19" s="6">
        <v>14111</v>
      </c>
      <c r="Q19" s="6">
        <v>1</v>
      </c>
      <c r="R19" s="6">
        <v>4983</v>
      </c>
      <c r="S19" s="6">
        <v>1</v>
      </c>
      <c r="T19" s="6">
        <v>7784</v>
      </c>
      <c r="U19" s="7" t="s">
        <v>18</v>
      </c>
      <c r="V19" s="7" t="s">
        <v>18</v>
      </c>
      <c r="W19" s="7" t="s">
        <v>18</v>
      </c>
      <c r="X19" s="7" t="s">
        <v>18</v>
      </c>
      <c r="Z19" s="21">
        <v>1132843</v>
      </c>
      <c r="AB19" s="21">
        <f t="shared" si="0"/>
        <v>139422</v>
      </c>
      <c r="AC19" s="21">
        <f t="shared" si="1"/>
        <v>49513</v>
      </c>
      <c r="AE19" s="23">
        <f t="shared" si="2"/>
        <v>12.307265878855233</v>
      </c>
      <c r="AF19" s="23">
        <f t="shared" si="3"/>
        <v>4.370685081692697</v>
      </c>
    </row>
    <row r="20" spans="1:32">
      <c r="A20" s="8" t="s">
        <v>33</v>
      </c>
      <c r="B20" s="10" t="s">
        <v>18</v>
      </c>
      <c r="C20" s="10" t="s">
        <v>18</v>
      </c>
      <c r="D20" s="9">
        <v>3</v>
      </c>
      <c r="E20" s="9">
        <v>27385</v>
      </c>
      <c r="F20" s="9">
        <v>5</v>
      </c>
      <c r="G20" s="9">
        <v>70178</v>
      </c>
      <c r="H20" s="9">
        <v>2</v>
      </c>
      <c r="I20" s="9">
        <v>60616</v>
      </c>
      <c r="J20" s="9">
        <v>2</v>
      </c>
      <c r="K20" s="9">
        <v>301074</v>
      </c>
      <c r="L20" s="9"/>
      <c r="M20" s="9">
        <v>210</v>
      </c>
      <c r="N20" s="9">
        <v>503342</v>
      </c>
      <c r="O20" s="9">
        <v>99</v>
      </c>
      <c r="P20" s="9">
        <v>339004</v>
      </c>
      <c r="Q20" s="9">
        <v>29</v>
      </c>
      <c r="R20" s="9">
        <v>129167</v>
      </c>
      <c r="S20" s="9">
        <v>46</v>
      </c>
      <c r="T20" s="9">
        <v>318553</v>
      </c>
      <c r="U20" s="9">
        <v>8</v>
      </c>
      <c r="V20" s="9">
        <v>96080</v>
      </c>
      <c r="W20" s="9">
        <v>1</v>
      </c>
      <c r="X20" s="9">
        <v>35378</v>
      </c>
      <c r="Z20" s="21">
        <v>3559229</v>
      </c>
      <c r="AB20" s="21">
        <f t="shared" si="0"/>
        <v>1880777</v>
      </c>
      <c r="AC20" s="21">
        <f t="shared" si="1"/>
        <v>397068</v>
      </c>
      <c r="AE20" s="23">
        <f t="shared" si="2"/>
        <v>52.84225881504112</v>
      </c>
      <c r="AF20" s="23">
        <f t="shared" si="3"/>
        <v>11.156011596893597</v>
      </c>
    </row>
    <row r="21" spans="1:32">
      <c r="A21" s="5" t="s">
        <v>34</v>
      </c>
      <c r="B21" s="6">
        <v>1</v>
      </c>
      <c r="C21" s="6">
        <v>4474</v>
      </c>
      <c r="D21" s="6">
        <v>4</v>
      </c>
      <c r="E21" s="6">
        <v>25122</v>
      </c>
      <c r="F21" s="6">
        <v>3</v>
      </c>
      <c r="G21" s="6">
        <v>42628</v>
      </c>
      <c r="H21" s="7" t="s">
        <v>18</v>
      </c>
      <c r="I21" s="7" t="s">
        <v>18</v>
      </c>
      <c r="J21" s="6">
        <v>1</v>
      </c>
      <c r="K21" s="6">
        <v>70920</v>
      </c>
      <c r="L21" s="6"/>
      <c r="M21" s="6">
        <v>13</v>
      </c>
      <c r="N21" s="6">
        <v>30946</v>
      </c>
      <c r="O21" s="6">
        <v>10</v>
      </c>
      <c r="P21" s="6">
        <v>35401</v>
      </c>
      <c r="Q21" s="6">
        <v>4</v>
      </c>
      <c r="R21" s="6">
        <v>18678</v>
      </c>
      <c r="S21" s="6">
        <v>4</v>
      </c>
      <c r="T21" s="6">
        <v>25761</v>
      </c>
      <c r="U21" s="7" t="s">
        <v>18</v>
      </c>
      <c r="V21" s="7" t="s">
        <v>18</v>
      </c>
      <c r="W21" s="7" t="s">
        <v>18</v>
      </c>
      <c r="X21" s="7" t="s">
        <v>18</v>
      </c>
      <c r="Z21" s="21">
        <v>1544564</v>
      </c>
      <c r="AB21" s="21">
        <f t="shared" si="0"/>
        <v>253930</v>
      </c>
      <c r="AC21" s="21">
        <f t="shared" si="1"/>
        <v>70920</v>
      </c>
      <c r="AE21" s="23">
        <f t="shared" si="2"/>
        <v>16.440238151348861</v>
      </c>
      <c r="AF21" s="23">
        <f t="shared" si="3"/>
        <v>4.5915870109623169</v>
      </c>
    </row>
    <row r="22" spans="1:32">
      <c r="A22" s="8" t="s">
        <v>35</v>
      </c>
      <c r="B22" s="9">
        <v>7</v>
      </c>
      <c r="C22" s="9">
        <v>20842</v>
      </c>
      <c r="D22" s="9">
        <v>4</v>
      </c>
      <c r="E22" s="9">
        <v>25037</v>
      </c>
      <c r="F22" s="10" t="s">
        <v>18</v>
      </c>
      <c r="G22" s="10" t="s">
        <v>18</v>
      </c>
      <c r="H22" s="9">
        <v>1</v>
      </c>
      <c r="I22" s="9">
        <v>41336</v>
      </c>
      <c r="J22" s="10" t="s">
        <v>18</v>
      </c>
      <c r="K22" s="10" t="s">
        <v>18</v>
      </c>
      <c r="L22" s="10"/>
      <c r="M22" s="9">
        <v>3</v>
      </c>
      <c r="N22" s="9">
        <v>7777</v>
      </c>
      <c r="O22" s="9">
        <v>2</v>
      </c>
      <c r="P22" s="9">
        <v>6383</v>
      </c>
      <c r="Q22" s="9">
        <v>1</v>
      </c>
      <c r="R22" s="9">
        <v>4173</v>
      </c>
      <c r="S22" s="10" t="s">
        <v>18</v>
      </c>
      <c r="T22" s="10" t="s">
        <v>18</v>
      </c>
      <c r="U22" s="10" t="s">
        <v>18</v>
      </c>
      <c r="V22" s="10" t="s">
        <v>18</v>
      </c>
      <c r="W22" s="10" t="s">
        <v>18</v>
      </c>
      <c r="X22" s="10" t="s">
        <v>18</v>
      </c>
      <c r="Z22" s="21">
        <v>1387015</v>
      </c>
      <c r="AB22" s="21">
        <f t="shared" si="0"/>
        <v>105548</v>
      </c>
      <c r="AC22" s="21">
        <f t="shared" si="1"/>
        <v>41336</v>
      </c>
      <c r="AE22" s="23">
        <f t="shared" si="2"/>
        <v>7.6097230383233061</v>
      </c>
      <c r="AF22" s="23">
        <f t="shared" si="3"/>
        <v>2.9802129032490634</v>
      </c>
    </row>
    <row r="23" spans="1:32">
      <c r="A23" s="5" t="s">
        <v>36</v>
      </c>
      <c r="B23" s="6">
        <v>3</v>
      </c>
      <c r="C23" s="6">
        <v>11192</v>
      </c>
      <c r="D23" s="6">
        <v>6</v>
      </c>
      <c r="E23" s="6">
        <v>41950</v>
      </c>
      <c r="F23" s="7" t="s">
        <v>18</v>
      </c>
      <c r="G23" s="7" t="s">
        <v>18</v>
      </c>
      <c r="H23" s="6">
        <v>1</v>
      </c>
      <c r="I23" s="6">
        <v>35131</v>
      </c>
      <c r="J23" s="6">
        <v>1</v>
      </c>
      <c r="K23" s="6">
        <v>64489</v>
      </c>
      <c r="L23" s="6"/>
      <c r="M23" s="6">
        <v>2</v>
      </c>
      <c r="N23" s="6">
        <v>4196</v>
      </c>
      <c r="O23" s="6">
        <v>1</v>
      </c>
      <c r="P23" s="6">
        <v>3570</v>
      </c>
      <c r="Q23" s="7" t="s">
        <v>18</v>
      </c>
      <c r="R23" s="7" t="s">
        <v>18</v>
      </c>
      <c r="S23" s="6">
        <v>1</v>
      </c>
      <c r="T23" s="6">
        <v>8009</v>
      </c>
      <c r="U23" s="7" t="s">
        <v>18</v>
      </c>
      <c r="V23" s="7" t="s">
        <v>18</v>
      </c>
      <c r="W23" s="7" t="s">
        <v>18</v>
      </c>
      <c r="X23" s="7" t="s">
        <v>18</v>
      </c>
      <c r="Z23" s="21">
        <v>674034</v>
      </c>
      <c r="AB23" s="21">
        <f t="shared" si="0"/>
        <v>168537</v>
      </c>
      <c r="AC23" s="21">
        <f t="shared" si="1"/>
        <v>99620</v>
      </c>
      <c r="AE23" s="23">
        <f t="shared" si="2"/>
        <v>25.004228273351199</v>
      </c>
      <c r="AF23" s="23">
        <f t="shared" si="3"/>
        <v>14.779669868285575</v>
      </c>
    </row>
    <row r="24" spans="1:32">
      <c r="A24" s="8" t="s">
        <v>37</v>
      </c>
      <c r="B24" s="9">
        <v>3</v>
      </c>
      <c r="C24" s="9">
        <v>10180</v>
      </c>
      <c r="D24" s="9">
        <v>7</v>
      </c>
      <c r="E24" s="9">
        <v>49273</v>
      </c>
      <c r="F24" s="9">
        <v>5</v>
      </c>
      <c r="G24" s="9">
        <v>59334</v>
      </c>
      <c r="H24" s="9">
        <v>1</v>
      </c>
      <c r="I24" s="9">
        <v>26564</v>
      </c>
      <c r="J24" s="9">
        <v>1</v>
      </c>
      <c r="K24" s="9">
        <v>75721</v>
      </c>
      <c r="L24" s="9"/>
      <c r="M24" s="9">
        <v>123</v>
      </c>
      <c r="N24" s="9">
        <v>293034</v>
      </c>
      <c r="O24" s="9">
        <v>25</v>
      </c>
      <c r="P24" s="9">
        <v>88813</v>
      </c>
      <c r="Q24" s="9">
        <v>14</v>
      </c>
      <c r="R24" s="9">
        <v>60673</v>
      </c>
      <c r="S24" s="9">
        <v>13</v>
      </c>
      <c r="T24" s="9">
        <v>82377</v>
      </c>
      <c r="U24" s="9">
        <v>3</v>
      </c>
      <c r="V24" s="9">
        <v>40524</v>
      </c>
      <c r="W24" s="10" t="s">
        <v>18</v>
      </c>
      <c r="X24" s="10" t="s">
        <v>18</v>
      </c>
      <c r="Z24" s="21">
        <v>2371012</v>
      </c>
      <c r="AB24" s="21">
        <f t="shared" si="0"/>
        <v>786493</v>
      </c>
      <c r="AC24" s="21">
        <f t="shared" si="1"/>
        <v>102285</v>
      </c>
      <c r="AE24" s="23">
        <f t="shared" si="2"/>
        <v>33.171194409813189</v>
      </c>
      <c r="AF24" s="23">
        <f t="shared" si="3"/>
        <v>4.3139806968501215</v>
      </c>
    </row>
    <row r="25" spans="1:32">
      <c r="A25" s="5" t="s">
        <v>38</v>
      </c>
      <c r="B25" s="6">
        <v>4</v>
      </c>
      <c r="C25" s="6">
        <v>13281</v>
      </c>
      <c r="D25" s="6">
        <v>3</v>
      </c>
      <c r="E25" s="6">
        <v>19142</v>
      </c>
      <c r="F25" s="6">
        <v>2</v>
      </c>
      <c r="G25" s="6">
        <v>23820</v>
      </c>
      <c r="H25" s="6">
        <v>1</v>
      </c>
      <c r="I25" s="6">
        <v>42308</v>
      </c>
      <c r="J25" s="6">
        <v>1</v>
      </c>
      <c r="K25" s="6">
        <v>282230</v>
      </c>
      <c r="L25" s="6"/>
      <c r="M25" s="6">
        <v>6</v>
      </c>
      <c r="N25" s="6">
        <v>14078</v>
      </c>
      <c r="O25" s="7" t="s">
        <v>18</v>
      </c>
      <c r="P25" s="7" t="s">
        <v>18</v>
      </c>
      <c r="Q25" s="7" t="s">
        <v>18</v>
      </c>
      <c r="R25" s="7" t="s">
        <v>18</v>
      </c>
      <c r="S25" s="7" t="s">
        <v>18</v>
      </c>
      <c r="T25" s="7" t="s">
        <v>18</v>
      </c>
      <c r="U25" s="7" t="s">
        <v>18</v>
      </c>
      <c r="V25" s="7" t="s">
        <v>18</v>
      </c>
      <c r="W25" s="7" t="s">
        <v>18</v>
      </c>
      <c r="X25" s="7" t="s">
        <v>18</v>
      </c>
      <c r="Z25" s="21">
        <v>1299365</v>
      </c>
      <c r="AB25" s="21">
        <f t="shared" si="0"/>
        <v>394859</v>
      </c>
      <c r="AC25" s="21">
        <f t="shared" si="1"/>
        <v>324538</v>
      </c>
      <c r="AE25" s="23">
        <f t="shared" si="2"/>
        <v>30.388612899377769</v>
      </c>
      <c r="AF25" s="23">
        <f t="shared" si="3"/>
        <v>24.976661677049943</v>
      </c>
    </row>
    <row r="26" spans="1:32">
      <c r="A26" s="8" t="s">
        <v>39</v>
      </c>
      <c r="B26" s="9">
        <v>2</v>
      </c>
      <c r="C26" s="9">
        <v>8215</v>
      </c>
      <c r="D26" s="9">
        <v>4</v>
      </c>
      <c r="E26" s="9">
        <v>33702</v>
      </c>
      <c r="F26" s="9">
        <v>2</v>
      </c>
      <c r="G26" s="9">
        <v>29412</v>
      </c>
      <c r="H26" s="9">
        <v>2</v>
      </c>
      <c r="I26" s="9">
        <v>62704</v>
      </c>
      <c r="J26" s="9">
        <v>1</v>
      </c>
      <c r="K26" s="9">
        <v>90912</v>
      </c>
      <c r="L26" s="9"/>
      <c r="M26" s="9">
        <v>20</v>
      </c>
      <c r="N26" s="9">
        <v>49745</v>
      </c>
      <c r="O26" s="9">
        <v>10</v>
      </c>
      <c r="P26" s="9">
        <v>33962</v>
      </c>
      <c r="Q26" s="9">
        <v>9</v>
      </c>
      <c r="R26" s="9">
        <v>40956</v>
      </c>
      <c r="S26" s="9">
        <v>5</v>
      </c>
      <c r="T26" s="9">
        <v>29098</v>
      </c>
      <c r="U26" s="10" t="s">
        <v>18</v>
      </c>
      <c r="V26" s="10" t="s">
        <v>18</v>
      </c>
      <c r="W26" s="10" t="s">
        <v>18</v>
      </c>
      <c r="X26" s="10" t="s">
        <v>18</v>
      </c>
      <c r="Z26" s="21">
        <v>2147621</v>
      </c>
      <c r="AB26" s="21">
        <f t="shared" si="0"/>
        <v>378706</v>
      </c>
      <c r="AC26" s="21">
        <f t="shared" si="1"/>
        <v>153616</v>
      </c>
      <c r="AE26" s="23">
        <f t="shared" si="2"/>
        <v>17.633744501473956</v>
      </c>
      <c r="AF26" s="23">
        <f t="shared" si="3"/>
        <v>7.1528449386553765</v>
      </c>
    </row>
    <row r="27" spans="1:32">
      <c r="A27" s="5" t="s">
        <v>40</v>
      </c>
      <c r="B27" s="6">
        <v>4</v>
      </c>
      <c r="C27" s="6">
        <v>17158</v>
      </c>
      <c r="D27" s="6">
        <v>5</v>
      </c>
      <c r="E27" s="6">
        <v>35917</v>
      </c>
      <c r="F27" s="6">
        <v>1</v>
      </c>
      <c r="G27" s="6">
        <v>13061</v>
      </c>
      <c r="H27" s="6">
        <v>2</v>
      </c>
      <c r="I27" s="6">
        <v>79894</v>
      </c>
      <c r="J27" s="7" t="s">
        <v>18</v>
      </c>
      <c r="K27" s="7" t="s">
        <v>18</v>
      </c>
      <c r="L27" s="7"/>
      <c r="M27" s="6">
        <v>26</v>
      </c>
      <c r="N27" s="6">
        <v>62732</v>
      </c>
      <c r="O27" s="6">
        <v>6</v>
      </c>
      <c r="P27" s="6">
        <v>20142</v>
      </c>
      <c r="Q27" s="6">
        <v>2</v>
      </c>
      <c r="R27" s="6">
        <v>8834</v>
      </c>
      <c r="S27" s="6">
        <v>5</v>
      </c>
      <c r="T27" s="6">
        <v>33812</v>
      </c>
      <c r="U27" s="7" t="s">
        <v>18</v>
      </c>
      <c r="V27" s="7" t="s">
        <v>18</v>
      </c>
      <c r="W27" s="7" t="s">
        <v>18</v>
      </c>
      <c r="X27" s="7" t="s">
        <v>18</v>
      </c>
      <c r="Z27" s="21">
        <v>1686764</v>
      </c>
      <c r="AB27" s="21">
        <f t="shared" si="0"/>
        <v>271550</v>
      </c>
      <c r="AC27" s="21">
        <f t="shared" si="1"/>
        <v>79894</v>
      </c>
      <c r="AE27" s="23">
        <f t="shared" si="2"/>
        <v>16.09887334564883</v>
      </c>
      <c r="AF27" s="23">
        <f t="shared" si="3"/>
        <v>4.7365250859041339</v>
      </c>
    </row>
    <row r="28" spans="1:32">
      <c r="A28" s="8" t="s">
        <v>41</v>
      </c>
      <c r="B28" s="9">
        <v>10</v>
      </c>
      <c r="C28" s="9">
        <v>33841</v>
      </c>
      <c r="D28" s="10" t="s">
        <v>18</v>
      </c>
      <c r="E28" s="10" t="s">
        <v>18</v>
      </c>
      <c r="F28" s="9">
        <v>1</v>
      </c>
      <c r="G28" s="9">
        <v>11102</v>
      </c>
      <c r="H28" s="9">
        <v>2</v>
      </c>
      <c r="I28" s="9">
        <v>50848</v>
      </c>
      <c r="J28" s="9">
        <v>1</v>
      </c>
      <c r="K28" s="9">
        <v>1038591</v>
      </c>
      <c r="L28" s="9"/>
      <c r="M28" s="9">
        <v>7</v>
      </c>
      <c r="N28" s="9">
        <v>16133</v>
      </c>
      <c r="O28" s="9">
        <v>7</v>
      </c>
      <c r="P28" s="9">
        <v>24170</v>
      </c>
      <c r="Q28" s="9">
        <v>2</v>
      </c>
      <c r="R28" s="9">
        <v>8490</v>
      </c>
      <c r="S28" s="9">
        <v>5</v>
      </c>
      <c r="T28" s="9">
        <v>41189</v>
      </c>
      <c r="U28" s="9">
        <v>2</v>
      </c>
      <c r="V28" s="9">
        <v>26321</v>
      </c>
      <c r="W28" s="10" t="s">
        <v>18</v>
      </c>
      <c r="X28" s="10" t="s">
        <v>18</v>
      </c>
      <c r="Z28" s="21">
        <v>2430581</v>
      </c>
      <c r="AB28" s="21">
        <f t="shared" si="0"/>
        <v>1250685</v>
      </c>
      <c r="AC28" s="21">
        <f t="shared" si="1"/>
        <v>1089439</v>
      </c>
      <c r="AE28" s="23">
        <f t="shared" si="2"/>
        <v>51.456215612645707</v>
      </c>
      <c r="AF28" s="23">
        <f t="shared" si="3"/>
        <v>44.822163918832572</v>
      </c>
    </row>
    <row r="29" spans="1:32">
      <c r="A29" s="5" t="s">
        <v>42</v>
      </c>
      <c r="B29" s="6">
        <v>7</v>
      </c>
      <c r="C29" s="6">
        <v>25085</v>
      </c>
      <c r="D29" s="6">
        <v>2</v>
      </c>
      <c r="E29" s="6">
        <v>14971</v>
      </c>
      <c r="F29" s="6">
        <v>1</v>
      </c>
      <c r="G29" s="6">
        <v>10592</v>
      </c>
      <c r="H29" s="7" t="s">
        <v>18</v>
      </c>
      <c r="I29" s="7" t="s">
        <v>18</v>
      </c>
      <c r="J29" s="6">
        <v>1</v>
      </c>
      <c r="K29" s="6">
        <v>90053</v>
      </c>
      <c r="L29" s="6"/>
      <c r="M29" s="6">
        <v>44</v>
      </c>
      <c r="N29" s="6">
        <v>105760</v>
      </c>
      <c r="O29" s="6">
        <v>11</v>
      </c>
      <c r="P29" s="6">
        <v>38519</v>
      </c>
      <c r="Q29" s="6">
        <v>7</v>
      </c>
      <c r="R29" s="6">
        <v>31789</v>
      </c>
      <c r="S29" s="6">
        <v>5</v>
      </c>
      <c r="T29" s="6">
        <v>32087</v>
      </c>
      <c r="U29" s="6">
        <v>2</v>
      </c>
      <c r="V29" s="6">
        <v>24773</v>
      </c>
      <c r="W29" s="7" t="s">
        <v>18</v>
      </c>
      <c r="X29" s="7" t="s">
        <v>18</v>
      </c>
      <c r="Z29" s="21">
        <v>1584774</v>
      </c>
      <c r="AB29" s="21">
        <f t="shared" si="0"/>
        <v>373629</v>
      </c>
      <c r="AC29" s="21">
        <f t="shared" si="1"/>
        <v>90053</v>
      </c>
      <c r="AE29" s="23">
        <f t="shared" si="2"/>
        <v>23.57616922034309</v>
      </c>
      <c r="AF29" s="23">
        <f t="shared" si="3"/>
        <v>5.6823875202394794</v>
      </c>
    </row>
    <row r="30" spans="1:32">
      <c r="A30" s="8" t="s">
        <v>43</v>
      </c>
      <c r="B30" s="9">
        <v>3</v>
      </c>
      <c r="C30" s="9">
        <v>9809</v>
      </c>
      <c r="D30" s="9">
        <v>5</v>
      </c>
      <c r="E30" s="9">
        <v>33094</v>
      </c>
      <c r="F30" s="9">
        <v>1</v>
      </c>
      <c r="G30" s="9">
        <v>15183</v>
      </c>
      <c r="H30" s="9">
        <v>1</v>
      </c>
      <c r="I30" s="9">
        <v>25736</v>
      </c>
      <c r="J30" s="10" t="s">
        <v>18</v>
      </c>
      <c r="K30" s="10" t="s">
        <v>18</v>
      </c>
      <c r="L30" s="10"/>
      <c r="M30" s="9">
        <v>1</v>
      </c>
      <c r="N30" s="9">
        <v>2285</v>
      </c>
      <c r="O30" s="10" t="s">
        <v>18</v>
      </c>
      <c r="P30" s="10" t="s">
        <v>18</v>
      </c>
      <c r="Q30" s="9">
        <v>1</v>
      </c>
      <c r="R30" s="9">
        <v>4851</v>
      </c>
      <c r="S30" s="9">
        <v>1</v>
      </c>
      <c r="T30" s="9">
        <v>5826</v>
      </c>
      <c r="U30" s="10" t="s">
        <v>18</v>
      </c>
      <c r="V30" s="10" t="s">
        <v>18</v>
      </c>
      <c r="W30" s="10" t="s">
        <v>18</v>
      </c>
      <c r="X30" s="10" t="s">
        <v>18</v>
      </c>
      <c r="Z30" s="21">
        <v>1367022</v>
      </c>
      <c r="AB30" s="21">
        <f t="shared" si="0"/>
        <v>96784</v>
      </c>
      <c r="AC30" s="21">
        <f t="shared" si="1"/>
        <v>25736</v>
      </c>
      <c r="AE30" s="23">
        <f t="shared" si="2"/>
        <v>7.0799153195778857</v>
      </c>
      <c r="AF30" s="23">
        <f t="shared" si="3"/>
        <v>1.8826324667781498</v>
      </c>
    </row>
    <row r="31" spans="1:32">
      <c r="A31" s="5" t="s">
        <v>44</v>
      </c>
      <c r="B31" s="6">
        <v>2</v>
      </c>
      <c r="C31" s="6">
        <v>7559</v>
      </c>
      <c r="D31" s="7" t="s">
        <v>18</v>
      </c>
      <c r="E31" s="7" t="s">
        <v>18</v>
      </c>
      <c r="F31" s="6">
        <v>1</v>
      </c>
      <c r="G31" s="6">
        <v>12522</v>
      </c>
      <c r="H31" s="7" t="s">
        <v>18</v>
      </c>
      <c r="I31" s="7" t="s">
        <v>18</v>
      </c>
      <c r="J31" s="7" t="s">
        <v>18</v>
      </c>
      <c r="K31" s="7" t="s">
        <v>18</v>
      </c>
      <c r="L31" s="7"/>
      <c r="M31" s="7" t="s">
        <v>18</v>
      </c>
      <c r="N31" s="7" t="s">
        <v>18</v>
      </c>
      <c r="O31" s="7" t="s">
        <v>18</v>
      </c>
      <c r="P31" s="7" t="s">
        <v>18</v>
      </c>
      <c r="Q31" s="7" t="s">
        <v>18</v>
      </c>
      <c r="R31" s="7" t="s">
        <v>18</v>
      </c>
      <c r="S31" s="7" t="s">
        <v>18</v>
      </c>
      <c r="T31" s="7" t="s">
        <v>18</v>
      </c>
      <c r="U31" s="7" t="s">
        <v>18</v>
      </c>
      <c r="V31" s="7" t="s">
        <v>18</v>
      </c>
      <c r="W31" s="7" t="s">
        <v>18</v>
      </c>
      <c r="X31" s="7" t="s">
        <v>18</v>
      </c>
      <c r="Z31" s="21">
        <v>364156</v>
      </c>
      <c r="AB31" s="21">
        <f t="shared" si="0"/>
        <v>20081</v>
      </c>
      <c r="AC31" s="21">
        <f t="shared" si="1"/>
        <v>0</v>
      </c>
      <c r="AE31" s="23">
        <f t="shared" si="2"/>
        <v>5.5143949296455368</v>
      </c>
      <c r="AF31" s="23">
        <f t="shared" si="3"/>
        <v>0</v>
      </c>
    </row>
    <row r="32" spans="1:32">
      <c r="A32" s="8" t="s">
        <v>45</v>
      </c>
      <c r="B32" s="10" t="s">
        <v>18</v>
      </c>
      <c r="C32" s="10" t="s">
        <v>18</v>
      </c>
      <c r="D32" s="10" t="s">
        <v>18</v>
      </c>
      <c r="E32" s="10" t="s">
        <v>18</v>
      </c>
      <c r="F32" s="9">
        <v>4</v>
      </c>
      <c r="G32" s="9">
        <v>56877</v>
      </c>
      <c r="H32" s="9">
        <v>1</v>
      </c>
      <c r="I32" s="9">
        <v>23299</v>
      </c>
      <c r="J32" s="9">
        <v>1</v>
      </c>
      <c r="K32" s="9">
        <v>72425</v>
      </c>
      <c r="L32" s="10"/>
      <c r="M32" s="9">
        <v>73</v>
      </c>
      <c r="N32" s="9">
        <v>172965</v>
      </c>
      <c r="O32" s="9">
        <v>15</v>
      </c>
      <c r="P32" s="9">
        <v>50280</v>
      </c>
      <c r="Q32" s="9">
        <v>10</v>
      </c>
      <c r="R32" s="9">
        <v>43988</v>
      </c>
      <c r="S32" s="9">
        <v>9</v>
      </c>
      <c r="T32" s="9">
        <v>56061</v>
      </c>
      <c r="U32" s="9">
        <v>2</v>
      </c>
      <c r="V32" s="9">
        <v>29868</v>
      </c>
      <c r="W32" s="10" t="s">
        <v>18</v>
      </c>
      <c r="X32" s="10" t="s">
        <v>18</v>
      </c>
      <c r="Z32" s="21">
        <v>1600145</v>
      </c>
      <c r="AB32" s="21">
        <f t="shared" si="0"/>
        <v>505763</v>
      </c>
      <c r="AC32" s="21">
        <f t="shared" si="1"/>
        <v>95724</v>
      </c>
      <c r="AE32" s="23">
        <f t="shared" si="2"/>
        <v>31.6073230863453</v>
      </c>
      <c r="AF32" s="23">
        <f t="shared" si="3"/>
        <v>5.9822078624124693</v>
      </c>
    </row>
    <row r="33" spans="1:32">
      <c r="A33" s="5" t="s">
        <v>46</v>
      </c>
      <c r="B33" s="7" t="s">
        <v>18</v>
      </c>
      <c r="C33" s="7" t="s">
        <v>18</v>
      </c>
      <c r="D33" s="6">
        <v>6</v>
      </c>
      <c r="E33" s="6">
        <v>45149</v>
      </c>
      <c r="F33" s="6">
        <v>1</v>
      </c>
      <c r="G33" s="6">
        <v>15493</v>
      </c>
      <c r="H33" s="6">
        <v>4</v>
      </c>
      <c r="I33" s="6">
        <v>113631</v>
      </c>
      <c r="J33" s="6">
        <v>1</v>
      </c>
      <c r="K33" s="6">
        <v>69735</v>
      </c>
      <c r="L33" s="6"/>
      <c r="M33" s="6">
        <v>46</v>
      </c>
      <c r="N33" s="6">
        <v>113693</v>
      </c>
      <c r="O33" s="6">
        <v>8</v>
      </c>
      <c r="P33" s="6">
        <v>26386</v>
      </c>
      <c r="Q33" s="7" t="s">
        <v>18</v>
      </c>
      <c r="R33" s="7" t="s">
        <v>18</v>
      </c>
      <c r="S33" s="6">
        <v>1</v>
      </c>
      <c r="T33" s="6">
        <v>5883</v>
      </c>
      <c r="U33" s="6">
        <v>1</v>
      </c>
      <c r="V33" s="6">
        <v>19054</v>
      </c>
      <c r="W33" s="7" t="s">
        <v>18</v>
      </c>
      <c r="X33" s="7" t="s">
        <v>18</v>
      </c>
      <c r="Z33" s="21">
        <v>2033798</v>
      </c>
      <c r="AB33" s="21">
        <f t="shared" si="0"/>
        <v>409024</v>
      </c>
      <c r="AC33" s="21">
        <f t="shared" si="1"/>
        <v>183366</v>
      </c>
      <c r="AE33" s="23">
        <f t="shared" si="2"/>
        <v>20.111338490843238</v>
      </c>
      <c r="AF33" s="23">
        <f t="shared" si="3"/>
        <v>9.0159396360897208</v>
      </c>
    </row>
    <row r="34" spans="1:32">
      <c r="A34" s="8" t="s">
        <v>47</v>
      </c>
      <c r="B34" s="9">
        <v>5</v>
      </c>
      <c r="C34" s="9">
        <v>20733</v>
      </c>
      <c r="D34" s="9">
        <v>5</v>
      </c>
      <c r="E34" s="9">
        <v>34496</v>
      </c>
      <c r="F34" s="9">
        <v>2</v>
      </c>
      <c r="G34" s="9">
        <v>24628</v>
      </c>
      <c r="H34" s="10" t="s">
        <v>18</v>
      </c>
      <c r="I34" s="10" t="s">
        <v>18</v>
      </c>
      <c r="J34" s="9">
        <v>1</v>
      </c>
      <c r="K34" s="9">
        <v>59981</v>
      </c>
      <c r="L34" s="9"/>
      <c r="M34" s="9">
        <v>64</v>
      </c>
      <c r="N34" s="9">
        <v>157162</v>
      </c>
      <c r="O34" s="9">
        <v>22</v>
      </c>
      <c r="P34" s="9">
        <v>76277</v>
      </c>
      <c r="Q34" s="9">
        <v>4</v>
      </c>
      <c r="R34" s="9">
        <v>17605</v>
      </c>
      <c r="S34" s="9">
        <v>5</v>
      </c>
      <c r="T34" s="9">
        <v>33225</v>
      </c>
      <c r="U34" s="10" t="s">
        <v>18</v>
      </c>
      <c r="V34" s="10" t="s">
        <v>18</v>
      </c>
      <c r="W34" s="10" t="s">
        <v>18</v>
      </c>
      <c r="X34" s="10" t="s">
        <v>18</v>
      </c>
      <c r="Z34" s="21">
        <v>1470474</v>
      </c>
      <c r="AB34" s="21">
        <f t="shared" si="0"/>
        <v>424107</v>
      </c>
      <c r="AC34" s="21">
        <f t="shared" si="1"/>
        <v>59981</v>
      </c>
      <c r="AE34" s="23">
        <f t="shared" si="2"/>
        <v>28.84151640899465</v>
      </c>
      <c r="AF34" s="23">
        <f t="shared" si="3"/>
        <v>4.07902485865102</v>
      </c>
    </row>
    <row r="35" spans="1:32">
      <c r="A35" s="5" t="s">
        <v>48</v>
      </c>
      <c r="B35" s="6">
        <v>4</v>
      </c>
      <c r="C35" s="6">
        <v>14228</v>
      </c>
      <c r="D35" s="6">
        <v>4</v>
      </c>
      <c r="E35" s="6">
        <v>28174</v>
      </c>
      <c r="F35" s="6">
        <v>2</v>
      </c>
      <c r="G35" s="6">
        <v>25973</v>
      </c>
      <c r="H35" s="6">
        <v>3</v>
      </c>
      <c r="I35" s="6">
        <v>108506</v>
      </c>
      <c r="J35" s="7" t="s">
        <v>18</v>
      </c>
      <c r="K35" s="7" t="s">
        <v>18</v>
      </c>
      <c r="L35" s="7"/>
      <c r="M35" s="6">
        <v>57</v>
      </c>
      <c r="N35" s="6">
        <v>133778</v>
      </c>
      <c r="O35" s="6">
        <v>22</v>
      </c>
      <c r="P35" s="6">
        <v>73297</v>
      </c>
      <c r="Q35" s="6">
        <v>20</v>
      </c>
      <c r="R35" s="6">
        <v>90254</v>
      </c>
      <c r="S35" s="6">
        <v>26</v>
      </c>
      <c r="T35" s="6">
        <v>172426</v>
      </c>
      <c r="U35" s="6">
        <v>10</v>
      </c>
      <c r="V35" s="6">
        <v>127402</v>
      </c>
      <c r="W35" s="6">
        <v>1</v>
      </c>
      <c r="X35" s="6">
        <v>31449</v>
      </c>
      <c r="Z35" s="21">
        <v>2994302</v>
      </c>
      <c r="AB35" s="21">
        <f t="shared" si="0"/>
        <v>805487</v>
      </c>
      <c r="AC35" s="21">
        <f t="shared" si="1"/>
        <v>139955</v>
      </c>
      <c r="AE35" s="23">
        <f t="shared" si="2"/>
        <v>26.900659986868391</v>
      </c>
      <c r="AF35" s="23">
        <f t="shared" si="3"/>
        <v>4.6740442346830742</v>
      </c>
    </row>
    <row r="36" spans="1:32">
      <c r="A36" s="8" t="s">
        <v>49</v>
      </c>
      <c r="B36" s="9">
        <v>3</v>
      </c>
      <c r="C36" s="9">
        <v>10186</v>
      </c>
      <c r="D36" s="9">
        <v>8</v>
      </c>
      <c r="E36" s="9">
        <v>64997</v>
      </c>
      <c r="F36" s="9">
        <v>1</v>
      </c>
      <c r="G36" s="9">
        <v>11657</v>
      </c>
      <c r="H36" s="9">
        <v>5</v>
      </c>
      <c r="I36" s="9">
        <v>135030</v>
      </c>
      <c r="J36" s="10" t="s">
        <v>18</v>
      </c>
      <c r="K36" s="10" t="s">
        <v>18</v>
      </c>
      <c r="L36" s="10"/>
      <c r="M36" s="9">
        <v>183</v>
      </c>
      <c r="N36" s="9">
        <v>433291</v>
      </c>
      <c r="O36" s="9">
        <v>56</v>
      </c>
      <c r="P36" s="9">
        <v>188762</v>
      </c>
      <c r="Q36" s="9">
        <v>26</v>
      </c>
      <c r="R36" s="9">
        <v>116112</v>
      </c>
      <c r="S36" s="9">
        <v>37</v>
      </c>
      <c r="T36" s="9">
        <v>252393</v>
      </c>
      <c r="U36" s="9">
        <v>2</v>
      </c>
      <c r="V36" s="9">
        <v>30189</v>
      </c>
      <c r="W36" s="10" t="s">
        <v>18</v>
      </c>
      <c r="X36" s="10" t="s">
        <v>18</v>
      </c>
      <c r="Z36" s="21">
        <v>3018299</v>
      </c>
      <c r="AB36" s="21">
        <f t="shared" si="0"/>
        <v>1242617</v>
      </c>
      <c r="AC36" s="21">
        <f t="shared" si="1"/>
        <v>135030</v>
      </c>
      <c r="AE36" s="23">
        <f t="shared" si="2"/>
        <v>41.169446764551822</v>
      </c>
      <c r="AF36" s="23">
        <f t="shared" si="3"/>
        <v>4.4737118489586347</v>
      </c>
    </row>
    <row r="37" spans="1:32">
      <c r="A37" s="5" t="s">
        <v>50</v>
      </c>
      <c r="B37" s="6">
        <v>1</v>
      </c>
      <c r="C37" s="6">
        <v>3533</v>
      </c>
      <c r="D37" s="6">
        <v>7</v>
      </c>
      <c r="E37" s="6">
        <v>57331</v>
      </c>
      <c r="F37" s="6">
        <v>6</v>
      </c>
      <c r="G37" s="6">
        <v>74210</v>
      </c>
      <c r="H37" s="6">
        <v>1</v>
      </c>
      <c r="I37" s="6">
        <v>22510</v>
      </c>
      <c r="J37" s="6">
        <v>2</v>
      </c>
      <c r="K37" s="6">
        <v>116710</v>
      </c>
      <c r="L37" s="6"/>
      <c r="M37" s="6">
        <v>143</v>
      </c>
      <c r="N37" s="6">
        <v>344181</v>
      </c>
      <c r="O37" s="6">
        <v>56</v>
      </c>
      <c r="P37" s="6">
        <v>188750</v>
      </c>
      <c r="Q37" s="6">
        <v>33</v>
      </c>
      <c r="R37" s="6">
        <v>142338</v>
      </c>
      <c r="S37" s="6">
        <v>30</v>
      </c>
      <c r="T37" s="6">
        <v>191445</v>
      </c>
      <c r="U37" s="7" t="s">
        <v>18</v>
      </c>
      <c r="V37" s="7" t="s">
        <v>18</v>
      </c>
      <c r="W37" s="7" t="s">
        <v>18</v>
      </c>
      <c r="X37" s="7" t="s">
        <v>18</v>
      </c>
      <c r="Z37" s="21">
        <v>2778151</v>
      </c>
      <c r="AB37" s="21">
        <f t="shared" si="0"/>
        <v>1141008</v>
      </c>
      <c r="AC37" s="21">
        <f t="shared" si="1"/>
        <v>139220</v>
      </c>
      <c r="AE37" s="23">
        <f t="shared" si="2"/>
        <v>41.070769731378896</v>
      </c>
      <c r="AF37" s="23">
        <f t="shared" si="3"/>
        <v>5.0112466888948797</v>
      </c>
    </row>
    <row r="38" spans="1:32">
      <c r="A38" s="8" t="s">
        <v>51</v>
      </c>
      <c r="B38" s="9">
        <v>1</v>
      </c>
      <c r="C38" s="9">
        <v>2838</v>
      </c>
      <c r="D38" s="9">
        <v>6</v>
      </c>
      <c r="E38" s="9">
        <v>39282</v>
      </c>
      <c r="F38" s="10" t="s">
        <v>18</v>
      </c>
      <c r="G38" s="10" t="s">
        <v>18</v>
      </c>
      <c r="H38" s="9">
        <v>1</v>
      </c>
      <c r="I38" s="9">
        <v>30478</v>
      </c>
      <c r="J38" s="10" t="s">
        <v>18</v>
      </c>
      <c r="K38" s="10" t="s">
        <v>18</v>
      </c>
      <c r="L38" s="10"/>
      <c r="M38" s="10" t="s">
        <v>18</v>
      </c>
      <c r="N38" s="10" t="s">
        <v>18</v>
      </c>
      <c r="O38" s="9">
        <v>2</v>
      </c>
      <c r="P38" s="9">
        <v>7063</v>
      </c>
      <c r="Q38" s="10" t="s">
        <v>18</v>
      </c>
      <c r="R38" s="10" t="s">
        <v>18</v>
      </c>
      <c r="S38" s="10" t="s">
        <v>18</v>
      </c>
      <c r="T38" s="10" t="s">
        <v>18</v>
      </c>
      <c r="U38" s="10" t="s">
        <v>18</v>
      </c>
      <c r="V38" s="10" t="s">
        <v>18</v>
      </c>
      <c r="W38" s="10" t="s">
        <v>18</v>
      </c>
      <c r="X38" s="10" t="s">
        <v>18</v>
      </c>
      <c r="Z38" s="21">
        <v>1122317</v>
      </c>
      <c r="AB38" s="21">
        <f t="shared" si="0"/>
        <v>79661</v>
      </c>
      <c r="AC38" s="21">
        <f t="shared" si="1"/>
        <v>30478</v>
      </c>
      <c r="AE38" s="23">
        <f t="shared" si="2"/>
        <v>7.0979054937241433</v>
      </c>
      <c r="AF38" s="23">
        <f t="shared" si="3"/>
        <v>2.7156320362250597</v>
      </c>
    </row>
    <row r="39" spans="1:32">
      <c r="A39" s="5" t="s">
        <v>52</v>
      </c>
      <c r="B39" s="6">
        <v>1</v>
      </c>
      <c r="C39" s="6">
        <v>4759</v>
      </c>
      <c r="D39" s="6">
        <v>5</v>
      </c>
      <c r="E39" s="6">
        <v>42794</v>
      </c>
      <c r="F39" s="6">
        <v>5</v>
      </c>
      <c r="G39" s="6">
        <v>76199</v>
      </c>
      <c r="H39" s="6">
        <v>1</v>
      </c>
      <c r="I39" s="6">
        <v>46122</v>
      </c>
      <c r="J39" s="7" t="s">
        <v>18</v>
      </c>
      <c r="K39" s="7" t="s">
        <v>18</v>
      </c>
      <c r="L39" s="7"/>
      <c r="M39" s="6">
        <v>74</v>
      </c>
      <c r="N39" s="6">
        <v>182273</v>
      </c>
      <c r="O39" s="6">
        <v>39</v>
      </c>
      <c r="P39" s="6">
        <v>133053</v>
      </c>
      <c r="Q39" s="6">
        <v>9</v>
      </c>
      <c r="R39" s="6">
        <v>39234</v>
      </c>
      <c r="S39" s="7" t="s">
        <v>18</v>
      </c>
      <c r="T39" s="7" t="s">
        <v>18</v>
      </c>
      <c r="U39" s="7" t="s">
        <v>18</v>
      </c>
      <c r="V39" s="7" t="s">
        <v>18</v>
      </c>
      <c r="W39" s="7" t="s">
        <v>18</v>
      </c>
      <c r="X39" s="7" t="s">
        <v>18</v>
      </c>
      <c r="Z39" s="21">
        <v>1802196</v>
      </c>
      <c r="AB39" s="21">
        <f t="shared" si="0"/>
        <v>524434</v>
      </c>
      <c r="AC39" s="21">
        <f t="shared" si="1"/>
        <v>46122</v>
      </c>
      <c r="AE39" s="23">
        <f t="shared" si="2"/>
        <v>29.099720563135197</v>
      </c>
      <c r="AF39" s="23">
        <f t="shared" si="3"/>
        <v>2.5592110957964613</v>
      </c>
    </row>
    <row r="40" spans="1:32">
      <c r="A40" s="8" t="s">
        <v>53</v>
      </c>
      <c r="B40" s="9">
        <v>1</v>
      </c>
      <c r="C40" s="9">
        <v>3057</v>
      </c>
      <c r="D40" s="9">
        <v>2</v>
      </c>
      <c r="E40" s="9">
        <v>13550</v>
      </c>
      <c r="F40" s="9">
        <v>4</v>
      </c>
      <c r="G40" s="9">
        <v>52236</v>
      </c>
      <c r="H40" s="10" t="s">
        <v>18</v>
      </c>
      <c r="I40" s="10" t="s">
        <v>18</v>
      </c>
      <c r="J40" s="9">
        <v>1</v>
      </c>
      <c r="K40" s="9">
        <v>89999</v>
      </c>
      <c r="L40" s="9"/>
      <c r="M40" s="9">
        <v>213</v>
      </c>
      <c r="N40" s="9">
        <v>508916</v>
      </c>
      <c r="O40" s="9">
        <v>77</v>
      </c>
      <c r="P40" s="9">
        <v>265616</v>
      </c>
      <c r="Q40" s="9">
        <v>30</v>
      </c>
      <c r="R40" s="9">
        <v>133965</v>
      </c>
      <c r="S40" s="9">
        <v>27</v>
      </c>
      <c r="T40" s="9">
        <v>170652</v>
      </c>
      <c r="U40" s="9">
        <v>3</v>
      </c>
      <c r="V40" s="9">
        <v>41634</v>
      </c>
      <c r="W40" s="9">
        <v>1</v>
      </c>
      <c r="X40" s="9">
        <v>21599</v>
      </c>
      <c r="Z40" s="21">
        <v>2751336</v>
      </c>
      <c r="AB40" s="21">
        <f t="shared" si="0"/>
        <v>1301224</v>
      </c>
      <c r="AC40" s="21">
        <f t="shared" si="1"/>
        <v>111598</v>
      </c>
      <c r="AE40" s="23">
        <f t="shared" si="2"/>
        <v>47.294259952255921</v>
      </c>
      <c r="AF40" s="23">
        <f t="shared" si="3"/>
        <v>4.0561385450559291</v>
      </c>
    </row>
    <row r="41" spans="1:32">
      <c r="A41" s="5" t="s">
        <v>54</v>
      </c>
      <c r="B41" s="6">
        <v>3</v>
      </c>
      <c r="C41" s="6">
        <v>10617</v>
      </c>
      <c r="D41" s="6">
        <v>4</v>
      </c>
      <c r="E41" s="6">
        <v>21472</v>
      </c>
      <c r="F41" s="6">
        <v>3</v>
      </c>
      <c r="G41" s="6">
        <v>42739</v>
      </c>
      <c r="H41" s="6">
        <v>1</v>
      </c>
      <c r="I41" s="6">
        <v>22480</v>
      </c>
      <c r="J41" s="6">
        <v>2</v>
      </c>
      <c r="K41" s="6">
        <v>1324445</v>
      </c>
      <c r="L41" s="6"/>
      <c r="M41" s="6">
        <v>4</v>
      </c>
      <c r="N41" s="6">
        <v>10612</v>
      </c>
      <c r="O41" s="6">
        <v>2</v>
      </c>
      <c r="P41" s="6">
        <v>6679</v>
      </c>
      <c r="Q41" s="7" t="s">
        <v>18</v>
      </c>
      <c r="R41" s="7" t="s">
        <v>18</v>
      </c>
      <c r="S41" s="6">
        <v>1</v>
      </c>
      <c r="T41" s="6">
        <v>8674</v>
      </c>
      <c r="U41" s="6">
        <v>1</v>
      </c>
      <c r="V41" s="6">
        <v>12241</v>
      </c>
      <c r="W41" s="7" t="s">
        <v>18</v>
      </c>
      <c r="X41" s="7" t="s">
        <v>18</v>
      </c>
      <c r="Z41" s="21">
        <v>2112033</v>
      </c>
      <c r="AB41" s="21">
        <f t="shared" si="0"/>
        <v>1459959</v>
      </c>
      <c r="AC41" s="21">
        <f t="shared" si="1"/>
        <v>1346925</v>
      </c>
      <c r="AE41" s="23">
        <f t="shared" si="2"/>
        <v>69.125766500807515</v>
      </c>
      <c r="AF41" s="23">
        <f t="shared" si="3"/>
        <v>63.773861487959707</v>
      </c>
    </row>
    <row r="42" spans="1:32">
      <c r="A42" s="8" t="s">
        <v>55</v>
      </c>
      <c r="B42" s="10" t="s">
        <v>18</v>
      </c>
      <c r="C42" s="10" t="s">
        <v>18</v>
      </c>
      <c r="D42" s="9">
        <v>2</v>
      </c>
      <c r="E42" s="9">
        <v>14681</v>
      </c>
      <c r="F42" s="9">
        <v>4</v>
      </c>
      <c r="G42" s="9">
        <v>55004</v>
      </c>
      <c r="H42" s="9">
        <v>2</v>
      </c>
      <c r="I42" s="9">
        <v>47531</v>
      </c>
      <c r="J42" s="9">
        <v>2</v>
      </c>
      <c r="K42" s="9">
        <v>192333</v>
      </c>
      <c r="L42" s="9"/>
      <c r="M42" s="9">
        <v>135</v>
      </c>
      <c r="N42" s="9">
        <v>324544</v>
      </c>
      <c r="O42" s="9">
        <v>58</v>
      </c>
      <c r="P42" s="9">
        <v>196731</v>
      </c>
      <c r="Q42" s="9">
        <v>27</v>
      </c>
      <c r="R42" s="9">
        <v>119896</v>
      </c>
      <c r="S42" s="9">
        <v>29</v>
      </c>
      <c r="T42" s="9">
        <v>182190</v>
      </c>
      <c r="U42" s="9">
        <v>3</v>
      </c>
      <c r="V42" s="9">
        <v>40299</v>
      </c>
      <c r="W42" s="10" t="s">
        <v>18</v>
      </c>
      <c r="X42" s="10" t="s">
        <v>18</v>
      </c>
      <c r="Z42" s="21">
        <v>2405829</v>
      </c>
      <c r="AB42" s="21">
        <f t="shared" si="0"/>
        <v>1173209</v>
      </c>
      <c r="AC42" s="21">
        <f t="shared" si="1"/>
        <v>239864</v>
      </c>
      <c r="AE42" s="23">
        <f t="shared" si="2"/>
        <v>48.76526968458689</v>
      </c>
      <c r="AF42" s="23">
        <f t="shared" si="3"/>
        <v>9.9701184082492986</v>
      </c>
    </row>
    <row r="43" spans="1:32">
      <c r="A43" s="5" t="s">
        <v>56</v>
      </c>
      <c r="B43" s="6">
        <v>4</v>
      </c>
      <c r="C43" s="6">
        <v>16039</v>
      </c>
      <c r="D43" s="6">
        <v>1</v>
      </c>
      <c r="E43" s="6">
        <v>5734</v>
      </c>
      <c r="F43" s="6">
        <v>1</v>
      </c>
      <c r="G43" s="6">
        <v>12209</v>
      </c>
      <c r="H43" s="6">
        <v>2</v>
      </c>
      <c r="I43" s="6">
        <v>74067</v>
      </c>
      <c r="J43" s="7" t="s">
        <v>18</v>
      </c>
      <c r="K43" s="7" t="s">
        <v>18</v>
      </c>
      <c r="L43" s="7"/>
      <c r="M43" s="6">
        <v>85</v>
      </c>
      <c r="N43" s="6">
        <v>205752</v>
      </c>
      <c r="O43" s="6">
        <v>33</v>
      </c>
      <c r="P43" s="6">
        <v>112384</v>
      </c>
      <c r="Q43" s="6">
        <v>12</v>
      </c>
      <c r="R43" s="6">
        <v>53066</v>
      </c>
      <c r="S43" s="6">
        <v>2</v>
      </c>
      <c r="T43" s="6">
        <v>10953</v>
      </c>
      <c r="U43" s="7" t="s">
        <v>18</v>
      </c>
      <c r="V43" s="7" t="s">
        <v>18</v>
      </c>
      <c r="W43" s="7" t="s">
        <v>18</v>
      </c>
      <c r="X43" s="7" t="s">
        <v>18</v>
      </c>
      <c r="Z43" s="21">
        <v>1527848</v>
      </c>
      <c r="AB43" s="21">
        <f t="shared" si="0"/>
        <v>490204</v>
      </c>
      <c r="AC43" s="21">
        <f t="shared" si="1"/>
        <v>74067</v>
      </c>
      <c r="AE43" s="23">
        <f t="shared" si="2"/>
        <v>32.084605274870277</v>
      </c>
      <c r="AF43" s="23">
        <f t="shared" si="3"/>
        <v>4.8477989957116154</v>
      </c>
    </row>
    <row r="44" spans="1:32">
      <c r="A44" s="8" t="s">
        <v>57</v>
      </c>
      <c r="B44" s="9">
        <v>5</v>
      </c>
      <c r="C44" s="9">
        <v>15325</v>
      </c>
      <c r="D44" s="9">
        <v>4</v>
      </c>
      <c r="E44" s="9">
        <v>25450</v>
      </c>
      <c r="F44" s="9">
        <v>2</v>
      </c>
      <c r="G44" s="9">
        <v>33421</v>
      </c>
      <c r="H44" s="9">
        <v>1</v>
      </c>
      <c r="I44" s="9">
        <v>46699</v>
      </c>
      <c r="J44" s="10" t="s">
        <v>18</v>
      </c>
      <c r="K44" s="10" t="s">
        <v>18</v>
      </c>
      <c r="L44" s="10"/>
      <c r="M44" s="10" t="s">
        <v>18</v>
      </c>
      <c r="N44" s="10" t="s">
        <v>18</v>
      </c>
      <c r="O44" s="10" t="s">
        <v>18</v>
      </c>
      <c r="P44" s="10" t="s">
        <v>18</v>
      </c>
      <c r="Q44" s="10" t="s">
        <v>18</v>
      </c>
      <c r="R44" s="10" t="s">
        <v>18</v>
      </c>
      <c r="S44" s="9">
        <v>1</v>
      </c>
      <c r="T44" s="9">
        <v>5761</v>
      </c>
      <c r="U44" s="10" t="s">
        <v>18</v>
      </c>
      <c r="V44" s="10" t="s">
        <v>18</v>
      </c>
      <c r="W44" s="10" t="s">
        <v>18</v>
      </c>
      <c r="X44" s="10" t="s">
        <v>18</v>
      </c>
      <c r="Z44" s="21">
        <v>1525279</v>
      </c>
      <c r="AB44" s="21">
        <f t="shared" si="0"/>
        <v>126656</v>
      </c>
      <c r="AC44" s="21">
        <f t="shared" si="1"/>
        <v>46699</v>
      </c>
      <c r="AE44" s="23">
        <f t="shared" si="2"/>
        <v>8.3037922898040293</v>
      </c>
      <c r="AF44" s="23">
        <f t="shared" si="3"/>
        <v>3.0616693732753153</v>
      </c>
    </row>
    <row r="45" spans="1:32">
      <c r="A45" s="5" t="s">
        <v>58</v>
      </c>
      <c r="B45" s="6">
        <v>2</v>
      </c>
      <c r="C45" s="6">
        <v>7293</v>
      </c>
      <c r="D45" s="6">
        <v>3</v>
      </c>
      <c r="E45" s="6">
        <v>20274</v>
      </c>
      <c r="F45" s="6">
        <v>5</v>
      </c>
      <c r="G45" s="6">
        <v>72484</v>
      </c>
      <c r="H45" s="6">
        <v>4</v>
      </c>
      <c r="I45" s="6">
        <v>133017</v>
      </c>
      <c r="J45" s="6">
        <v>1</v>
      </c>
      <c r="K45" s="6">
        <v>53595</v>
      </c>
      <c r="L45" s="6"/>
      <c r="M45" s="6">
        <v>37</v>
      </c>
      <c r="N45" s="6">
        <v>88002</v>
      </c>
      <c r="O45" s="6">
        <v>17</v>
      </c>
      <c r="P45" s="6">
        <v>58236</v>
      </c>
      <c r="Q45" s="6">
        <v>15</v>
      </c>
      <c r="R45" s="6">
        <v>67734</v>
      </c>
      <c r="S45" s="6">
        <v>24</v>
      </c>
      <c r="T45" s="6">
        <v>168596</v>
      </c>
      <c r="U45" s="6">
        <v>12</v>
      </c>
      <c r="V45" s="6">
        <v>164045</v>
      </c>
      <c r="W45" s="7" t="s">
        <v>18</v>
      </c>
      <c r="X45" s="7" t="s">
        <v>18</v>
      </c>
      <c r="Z45" s="21">
        <v>1447790</v>
      </c>
      <c r="AB45" s="21">
        <f t="shared" si="0"/>
        <v>833276</v>
      </c>
      <c r="AC45" s="21">
        <f t="shared" si="1"/>
        <v>186612</v>
      </c>
      <c r="AE45" s="23">
        <f t="shared" si="2"/>
        <v>57.555032152453045</v>
      </c>
      <c r="AF45" s="23">
        <f t="shared" si="3"/>
        <v>12.889438385401197</v>
      </c>
    </row>
    <row r="46" spans="1:32">
      <c r="A46" s="8" t="s">
        <v>59</v>
      </c>
      <c r="B46" s="9">
        <v>1</v>
      </c>
      <c r="C46" s="9">
        <v>4578</v>
      </c>
      <c r="D46" s="9">
        <v>5</v>
      </c>
      <c r="E46" s="9">
        <v>37469</v>
      </c>
      <c r="F46" s="9">
        <v>2</v>
      </c>
      <c r="G46" s="9">
        <v>26614</v>
      </c>
      <c r="H46" s="9">
        <v>5</v>
      </c>
      <c r="I46" s="9">
        <v>157603</v>
      </c>
      <c r="J46" s="10" t="s">
        <v>18</v>
      </c>
      <c r="K46" s="10" t="s">
        <v>18</v>
      </c>
      <c r="L46" s="10"/>
      <c r="M46" s="9">
        <v>148</v>
      </c>
      <c r="N46" s="9">
        <v>358563</v>
      </c>
      <c r="O46" s="9">
        <v>53</v>
      </c>
      <c r="P46" s="9">
        <v>178078</v>
      </c>
      <c r="Q46" s="9">
        <v>28</v>
      </c>
      <c r="R46" s="9">
        <v>124132</v>
      </c>
      <c r="S46" s="9">
        <v>40</v>
      </c>
      <c r="T46" s="9">
        <v>264750</v>
      </c>
      <c r="U46" s="9">
        <v>1</v>
      </c>
      <c r="V46" s="9">
        <v>10267</v>
      </c>
      <c r="W46" s="10" t="s">
        <v>18</v>
      </c>
      <c r="X46" s="10" t="s">
        <v>18</v>
      </c>
      <c r="Z46" s="21">
        <v>2684030</v>
      </c>
      <c r="AB46" s="21">
        <f t="shared" si="0"/>
        <v>1162054</v>
      </c>
      <c r="AC46" s="21">
        <f t="shared" si="1"/>
        <v>157603</v>
      </c>
      <c r="AE46" s="23">
        <f t="shared" si="2"/>
        <v>43.295119652164843</v>
      </c>
      <c r="AF46" s="23">
        <f t="shared" si="3"/>
        <v>5.8718792263871871</v>
      </c>
    </row>
    <row r="47" spans="1:32">
      <c r="A47" s="5" t="s">
        <v>60</v>
      </c>
      <c r="B47" s="6">
        <v>4</v>
      </c>
      <c r="C47" s="6">
        <v>11347</v>
      </c>
      <c r="D47" s="6">
        <v>4</v>
      </c>
      <c r="E47" s="6">
        <v>28858</v>
      </c>
      <c r="F47" s="6">
        <v>3</v>
      </c>
      <c r="G47" s="6">
        <v>39755</v>
      </c>
      <c r="H47" s="6">
        <v>1</v>
      </c>
      <c r="I47" s="6">
        <v>21265</v>
      </c>
      <c r="J47" s="6">
        <v>1</v>
      </c>
      <c r="K47" s="6">
        <v>53544</v>
      </c>
      <c r="L47" s="6"/>
      <c r="M47" s="6">
        <v>1</v>
      </c>
      <c r="N47" s="6">
        <v>2503</v>
      </c>
      <c r="O47" s="7" t="s">
        <v>18</v>
      </c>
      <c r="P47" s="7" t="s">
        <v>18</v>
      </c>
      <c r="Q47" s="7" t="s">
        <v>18</v>
      </c>
      <c r="R47" s="7" t="s">
        <v>18</v>
      </c>
      <c r="S47" s="6">
        <v>1</v>
      </c>
      <c r="T47" s="6">
        <v>7017</v>
      </c>
      <c r="U47" s="7" t="s">
        <v>18</v>
      </c>
      <c r="V47" s="7" t="s">
        <v>18</v>
      </c>
      <c r="W47" s="7" t="s">
        <v>18</v>
      </c>
      <c r="X47" s="7" t="s">
        <v>18</v>
      </c>
      <c r="Z47" s="21">
        <v>1769135</v>
      </c>
      <c r="AB47" s="21">
        <f t="shared" si="0"/>
        <v>164289</v>
      </c>
      <c r="AC47" s="21">
        <f t="shared" si="1"/>
        <v>74809</v>
      </c>
      <c r="AE47" s="23">
        <f t="shared" si="2"/>
        <v>9.2864026770144736</v>
      </c>
      <c r="AF47" s="23">
        <f t="shared" si="3"/>
        <v>4.2285636765990162</v>
      </c>
    </row>
    <row r="48" spans="1:32">
      <c r="A48" s="8" t="s">
        <v>61</v>
      </c>
      <c r="B48" s="9">
        <v>7</v>
      </c>
      <c r="C48" s="9">
        <v>27334</v>
      </c>
      <c r="D48" s="9">
        <v>4</v>
      </c>
      <c r="E48" s="9">
        <v>29913</v>
      </c>
      <c r="F48" s="10" t="s">
        <v>18</v>
      </c>
      <c r="G48" s="10" t="s">
        <v>18</v>
      </c>
      <c r="H48" s="10" t="s">
        <v>18</v>
      </c>
      <c r="I48" s="10" t="s">
        <v>18</v>
      </c>
      <c r="J48" s="9">
        <v>1</v>
      </c>
      <c r="K48" s="9">
        <v>114733</v>
      </c>
      <c r="L48" s="9"/>
      <c r="M48" s="9">
        <v>12</v>
      </c>
      <c r="N48" s="9">
        <v>26523</v>
      </c>
      <c r="O48" s="9">
        <v>7</v>
      </c>
      <c r="P48" s="9">
        <v>24825</v>
      </c>
      <c r="Q48" s="9">
        <v>5</v>
      </c>
      <c r="R48" s="9">
        <v>22096</v>
      </c>
      <c r="S48" s="9">
        <v>3</v>
      </c>
      <c r="T48" s="9">
        <v>16774</v>
      </c>
      <c r="U48" s="10" t="s">
        <v>18</v>
      </c>
      <c r="V48" s="10" t="s">
        <v>18</v>
      </c>
      <c r="W48" s="10" t="s">
        <v>18</v>
      </c>
      <c r="X48" s="10" t="s">
        <v>18</v>
      </c>
      <c r="Z48" s="21">
        <v>1419456</v>
      </c>
      <c r="AB48" s="21">
        <f t="shared" si="0"/>
        <v>262198</v>
      </c>
      <c r="AC48" s="21">
        <f t="shared" si="1"/>
        <v>114733</v>
      </c>
      <c r="AE48" s="23">
        <f t="shared" si="2"/>
        <v>18.471724378916992</v>
      </c>
      <c r="AF48" s="23">
        <f t="shared" si="3"/>
        <v>8.0828852743586275</v>
      </c>
    </row>
    <row r="49" spans="1:32">
      <c r="A49" s="5" t="s">
        <v>62</v>
      </c>
      <c r="B49" s="7" t="s">
        <v>18</v>
      </c>
      <c r="C49" s="7" t="s">
        <v>18</v>
      </c>
      <c r="D49" s="6">
        <v>3</v>
      </c>
      <c r="E49" s="6">
        <v>21976</v>
      </c>
      <c r="F49" s="6">
        <v>1</v>
      </c>
      <c r="G49" s="6">
        <v>15550</v>
      </c>
      <c r="H49" s="6">
        <v>2</v>
      </c>
      <c r="I49" s="6">
        <v>69777</v>
      </c>
      <c r="J49" s="7" t="s">
        <v>18</v>
      </c>
      <c r="K49" s="7" t="s">
        <v>18</v>
      </c>
      <c r="L49" s="7"/>
      <c r="M49" s="6">
        <v>62</v>
      </c>
      <c r="N49" s="6">
        <v>145308</v>
      </c>
      <c r="O49" s="6">
        <v>6</v>
      </c>
      <c r="P49" s="6">
        <v>21565</v>
      </c>
      <c r="Q49" s="6">
        <v>7</v>
      </c>
      <c r="R49" s="6">
        <v>30810</v>
      </c>
      <c r="S49" s="6">
        <v>6</v>
      </c>
      <c r="T49" s="6">
        <v>45458</v>
      </c>
      <c r="U49" s="7" t="s">
        <v>18</v>
      </c>
      <c r="V49" s="7" t="s">
        <v>18</v>
      </c>
      <c r="W49" s="7" t="s">
        <v>18</v>
      </c>
      <c r="X49" s="7" t="s">
        <v>18</v>
      </c>
      <c r="Z49" s="21">
        <v>2196642</v>
      </c>
      <c r="AB49" s="21">
        <f t="shared" si="0"/>
        <v>350444</v>
      </c>
      <c r="AC49" s="21">
        <f t="shared" si="1"/>
        <v>69777</v>
      </c>
      <c r="AE49" s="23">
        <f t="shared" si="2"/>
        <v>15.953623758445845</v>
      </c>
      <c r="AF49" s="23">
        <f t="shared" si="3"/>
        <v>3.1765303586110072</v>
      </c>
    </row>
    <row r="50" spans="1:32">
      <c r="A50" s="8" t="s">
        <v>63</v>
      </c>
      <c r="B50" s="9">
        <v>1</v>
      </c>
      <c r="C50" s="9">
        <v>4673</v>
      </c>
      <c r="D50" s="9">
        <v>6</v>
      </c>
      <c r="E50" s="9">
        <v>43938</v>
      </c>
      <c r="F50" s="9">
        <v>7</v>
      </c>
      <c r="G50" s="9">
        <v>93780</v>
      </c>
      <c r="H50" s="9">
        <v>2</v>
      </c>
      <c r="I50" s="9">
        <v>50963</v>
      </c>
      <c r="J50" s="9">
        <v>1</v>
      </c>
      <c r="K50" s="9">
        <v>173989</v>
      </c>
      <c r="L50" s="9"/>
      <c r="M50" s="9">
        <v>109</v>
      </c>
      <c r="N50" s="9">
        <v>269155</v>
      </c>
      <c r="O50" s="9">
        <v>68</v>
      </c>
      <c r="P50" s="9">
        <v>237354</v>
      </c>
      <c r="Q50" s="9">
        <v>34</v>
      </c>
      <c r="R50" s="9">
        <v>153045</v>
      </c>
      <c r="S50" s="9">
        <v>40</v>
      </c>
      <c r="T50" s="9">
        <v>265282</v>
      </c>
      <c r="U50" s="9">
        <v>3</v>
      </c>
      <c r="V50" s="9">
        <v>41780</v>
      </c>
      <c r="W50" s="10" t="s">
        <v>18</v>
      </c>
      <c r="X50" s="10" t="s">
        <v>18</v>
      </c>
      <c r="Z50" s="21">
        <v>2492316</v>
      </c>
      <c r="AB50" s="21">
        <f t="shared" si="0"/>
        <v>1333959</v>
      </c>
      <c r="AC50" s="21">
        <f t="shared" si="1"/>
        <v>224952</v>
      </c>
      <c r="AE50" s="23">
        <f t="shared" si="2"/>
        <v>53.52286788673667</v>
      </c>
      <c r="AF50" s="23">
        <f t="shared" si="3"/>
        <v>9.0258217657792983</v>
      </c>
    </row>
    <row r="51" spans="1:32">
      <c r="A51" s="5" t="s">
        <v>64</v>
      </c>
      <c r="B51" s="6">
        <v>1</v>
      </c>
      <c r="C51" s="6">
        <v>4575</v>
      </c>
      <c r="D51" s="6">
        <v>4</v>
      </c>
      <c r="E51" s="6">
        <v>29040</v>
      </c>
      <c r="F51" s="6">
        <v>8</v>
      </c>
      <c r="G51" s="6">
        <v>107338</v>
      </c>
      <c r="H51" s="6">
        <v>1</v>
      </c>
      <c r="I51" s="6">
        <v>31616</v>
      </c>
      <c r="J51" s="6">
        <v>4</v>
      </c>
      <c r="K51" s="6">
        <v>616391</v>
      </c>
      <c r="L51" s="6"/>
      <c r="M51" s="6">
        <v>75</v>
      </c>
      <c r="N51" s="6">
        <v>182781</v>
      </c>
      <c r="O51" s="6">
        <v>42</v>
      </c>
      <c r="P51" s="6">
        <v>144790</v>
      </c>
      <c r="Q51" s="6">
        <v>34</v>
      </c>
      <c r="R51" s="6">
        <v>152549</v>
      </c>
      <c r="S51" s="6">
        <v>52</v>
      </c>
      <c r="T51" s="6">
        <v>333984</v>
      </c>
      <c r="U51" s="6">
        <v>8</v>
      </c>
      <c r="V51" s="6">
        <v>102548</v>
      </c>
      <c r="W51" s="7" t="s">
        <v>18</v>
      </c>
      <c r="X51" s="7" t="s">
        <v>18</v>
      </c>
      <c r="Z51" s="21">
        <v>2733612</v>
      </c>
      <c r="AB51" s="21">
        <f t="shared" si="0"/>
        <v>1705612</v>
      </c>
      <c r="AC51" s="21">
        <f t="shared" si="1"/>
        <v>648007</v>
      </c>
      <c r="AE51" s="23">
        <f t="shared" si="2"/>
        <v>62.394077872060848</v>
      </c>
      <c r="AF51" s="23">
        <f t="shared" si="3"/>
        <v>23.705156401127887</v>
      </c>
    </row>
    <row r="52" spans="1:32">
      <c r="A52" s="8" t="s">
        <v>65</v>
      </c>
      <c r="B52" s="9">
        <v>3</v>
      </c>
      <c r="C52" s="9">
        <v>13281</v>
      </c>
      <c r="D52" s="9">
        <v>7</v>
      </c>
      <c r="E52" s="9">
        <v>50604</v>
      </c>
      <c r="F52" s="9">
        <v>6</v>
      </c>
      <c r="G52" s="9">
        <v>84251</v>
      </c>
      <c r="H52" s="9">
        <v>2</v>
      </c>
      <c r="I52" s="9">
        <v>59829</v>
      </c>
      <c r="J52" s="7" t="s">
        <v>18</v>
      </c>
      <c r="K52" s="7" t="s">
        <v>18</v>
      </c>
      <c r="L52" s="9"/>
      <c r="M52" s="9">
        <v>155</v>
      </c>
      <c r="N52" s="9">
        <v>381539</v>
      </c>
      <c r="O52" s="9">
        <v>53</v>
      </c>
      <c r="P52" s="9">
        <v>182208</v>
      </c>
      <c r="Q52" s="9">
        <v>26</v>
      </c>
      <c r="R52" s="9">
        <v>115470</v>
      </c>
      <c r="S52" s="9">
        <v>19</v>
      </c>
      <c r="T52" s="9">
        <v>125578</v>
      </c>
      <c r="U52" s="9">
        <v>4</v>
      </c>
      <c r="V52" s="9">
        <v>52738</v>
      </c>
      <c r="W52" s="10" t="s">
        <v>18</v>
      </c>
      <c r="X52" s="10" t="s">
        <v>18</v>
      </c>
      <c r="Z52" s="21">
        <v>2297854</v>
      </c>
      <c r="AB52" s="21">
        <f t="shared" si="0"/>
        <v>1065498</v>
      </c>
      <c r="AC52" s="21">
        <f t="shared" si="1"/>
        <v>59829</v>
      </c>
      <c r="AE52" s="23">
        <f t="shared" si="2"/>
        <v>46.369264539870677</v>
      </c>
      <c r="AF52" s="23">
        <f t="shared" si="3"/>
        <v>2.6036902257497649</v>
      </c>
    </row>
    <row r="53" spans="1:32">
      <c r="A53" s="5" t="s">
        <v>66</v>
      </c>
      <c r="B53" s="6">
        <v>2</v>
      </c>
      <c r="C53" s="6">
        <v>5719</v>
      </c>
      <c r="D53" s="6">
        <v>1</v>
      </c>
      <c r="E53" s="6">
        <v>5890</v>
      </c>
      <c r="F53" s="7" t="s">
        <v>18</v>
      </c>
      <c r="G53" s="7" t="s">
        <v>18</v>
      </c>
      <c r="H53" s="7" t="s">
        <v>18</v>
      </c>
      <c r="I53" s="7" t="s">
        <v>18</v>
      </c>
      <c r="J53" s="6">
        <v>1</v>
      </c>
      <c r="K53" s="6">
        <v>64572</v>
      </c>
      <c r="L53" s="6"/>
      <c r="M53" s="6">
        <v>1</v>
      </c>
      <c r="N53" s="6">
        <v>2174</v>
      </c>
      <c r="O53" s="7" t="s">
        <v>18</v>
      </c>
      <c r="P53" s="7" t="s">
        <v>18</v>
      </c>
      <c r="Q53" s="6">
        <v>1</v>
      </c>
      <c r="R53" s="6">
        <v>4766</v>
      </c>
      <c r="S53" s="6">
        <v>1</v>
      </c>
      <c r="T53" s="6">
        <v>8524</v>
      </c>
      <c r="U53" s="7" t="s">
        <v>18</v>
      </c>
      <c r="V53" s="7" t="s">
        <v>18</v>
      </c>
      <c r="W53" s="7" t="s">
        <v>18</v>
      </c>
      <c r="X53" s="7" t="s">
        <v>18</v>
      </c>
      <c r="Z53" s="21">
        <v>412716</v>
      </c>
      <c r="AB53" s="21">
        <f t="shared" si="0"/>
        <v>91645</v>
      </c>
      <c r="AC53" s="21">
        <f t="shared" si="1"/>
        <v>64572</v>
      </c>
      <c r="AE53" s="23">
        <f t="shared" si="2"/>
        <v>22.205342172341272</v>
      </c>
      <c r="AF53" s="23">
        <f t="shared" si="3"/>
        <v>15.645625563341378</v>
      </c>
    </row>
    <row r="54" spans="1:32">
      <c r="A54" s="8" t="s">
        <v>67</v>
      </c>
      <c r="B54" s="9">
        <v>5</v>
      </c>
      <c r="C54" s="9">
        <v>17804</v>
      </c>
      <c r="D54" s="9">
        <v>2</v>
      </c>
      <c r="E54" s="9">
        <v>16380</v>
      </c>
      <c r="F54" s="9">
        <v>1</v>
      </c>
      <c r="G54" s="9">
        <v>13715</v>
      </c>
      <c r="H54" s="9">
        <v>1</v>
      </c>
      <c r="I54" s="9">
        <v>25290</v>
      </c>
      <c r="J54" s="9">
        <v>1</v>
      </c>
      <c r="K54" s="9">
        <v>71616</v>
      </c>
      <c r="L54" s="9"/>
      <c r="M54" s="9">
        <v>5</v>
      </c>
      <c r="N54" s="9">
        <v>10613</v>
      </c>
      <c r="O54" s="10" t="s">
        <v>18</v>
      </c>
      <c r="P54" s="10" t="s">
        <v>18</v>
      </c>
      <c r="Q54" s="9">
        <v>1</v>
      </c>
      <c r="R54" s="9">
        <v>4534</v>
      </c>
      <c r="S54" s="10" t="s">
        <v>18</v>
      </c>
      <c r="T54" s="10" t="s">
        <v>18</v>
      </c>
      <c r="U54" s="10" t="s">
        <v>18</v>
      </c>
      <c r="V54" s="10" t="s">
        <v>18</v>
      </c>
      <c r="W54" s="10" t="s">
        <v>18</v>
      </c>
      <c r="X54" s="10" t="s">
        <v>18</v>
      </c>
      <c r="Z54" s="21">
        <v>1071355</v>
      </c>
      <c r="AB54" s="21">
        <f t="shared" si="0"/>
        <v>159952</v>
      </c>
      <c r="AC54" s="21">
        <f t="shared" si="1"/>
        <v>96906</v>
      </c>
      <c r="AE54" s="23">
        <f t="shared" si="2"/>
        <v>14.929878518324923</v>
      </c>
      <c r="AF54" s="23">
        <f t="shared" si="3"/>
        <v>9.0451811024357003</v>
      </c>
    </row>
    <row r="55" spans="1:32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0"/>
      <c r="N55" s="10"/>
      <c r="O55" s="10"/>
      <c r="P55" s="10"/>
      <c r="Q55" s="10"/>
      <c r="R55" s="10"/>
      <c r="S55" s="9"/>
      <c r="T55" s="9"/>
      <c r="U55" s="10"/>
      <c r="V55" s="10"/>
      <c r="W55" s="10"/>
      <c r="X55" s="10"/>
      <c r="AB55" s="21"/>
      <c r="AC55" s="21"/>
      <c r="AE55" s="23"/>
      <c r="AF55" s="23"/>
    </row>
    <row r="56" spans="1:32">
      <c r="A56" s="5" t="s">
        <v>80</v>
      </c>
      <c r="B56" s="6">
        <v>1</v>
      </c>
      <c r="C56" s="6">
        <v>2201</v>
      </c>
      <c r="D56" s="6">
        <v>1</v>
      </c>
      <c r="E56" s="6">
        <v>8733</v>
      </c>
      <c r="F56" s="6">
        <v>2</v>
      </c>
      <c r="G56" s="6">
        <v>27150</v>
      </c>
      <c r="H56" s="6">
        <v>1</v>
      </c>
      <c r="I56" s="6">
        <v>20007</v>
      </c>
      <c r="J56" s="6">
        <v>1</v>
      </c>
      <c r="K56" s="6">
        <v>111904</v>
      </c>
      <c r="L56" s="6"/>
      <c r="M56" s="6">
        <v>13</v>
      </c>
      <c r="N56" s="6">
        <v>30756</v>
      </c>
      <c r="O56" s="6">
        <v>1</v>
      </c>
      <c r="P56" s="6">
        <v>3446</v>
      </c>
      <c r="Q56" s="6">
        <v>2</v>
      </c>
      <c r="R56" s="6">
        <v>9351</v>
      </c>
      <c r="S56" s="6">
        <v>3</v>
      </c>
      <c r="T56" s="6">
        <v>17140</v>
      </c>
      <c r="U56" s="7" t="s">
        <v>18</v>
      </c>
      <c r="V56" s="7" t="s">
        <v>18</v>
      </c>
      <c r="W56" s="7" t="s">
        <v>18</v>
      </c>
      <c r="X56" s="7" t="s">
        <v>18</v>
      </c>
      <c r="Z56" s="21">
        <v>826716</v>
      </c>
      <c r="AB56" s="21">
        <f t="shared" ref="AB56:AB85" si="4">N(C56)+N(E56)+N(G56)+N(I56)+N(K56)+N(N56)+N(P56)+N(R56)+N(T56)+N(V56)+N(X56)</f>
        <v>230688</v>
      </c>
      <c r="AC56" s="21">
        <f t="shared" ref="AC56:AC85" si="5">N(I56)+N(K56)+N(X56)</f>
        <v>131911</v>
      </c>
      <c r="AE56" s="23">
        <f t="shared" ref="AE56:AE85" si="6">AB56/Z56*100</f>
        <v>27.904141204476506</v>
      </c>
      <c r="AF56" s="23">
        <f t="shared" ref="AF56:AF85" si="7">AC56/Z56*100</f>
        <v>15.95602359214047</v>
      </c>
    </row>
    <row r="57" spans="1:32">
      <c r="A57" s="8" t="s">
        <v>81</v>
      </c>
      <c r="B57" s="10" t="s">
        <v>18</v>
      </c>
      <c r="C57" s="10" t="s">
        <v>18</v>
      </c>
      <c r="D57" s="9">
        <v>2</v>
      </c>
      <c r="E57" s="9">
        <v>18967</v>
      </c>
      <c r="F57" s="9">
        <v>1</v>
      </c>
      <c r="G57" s="9">
        <v>14649</v>
      </c>
      <c r="H57" s="10" t="s">
        <v>18</v>
      </c>
      <c r="I57" s="10" t="s">
        <v>18</v>
      </c>
      <c r="J57" s="10" t="s">
        <v>18</v>
      </c>
      <c r="K57" s="10" t="s">
        <v>18</v>
      </c>
      <c r="L57" s="10"/>
      <c r="M57" s="9">
        <v>19</v>
      </c>
      <c r="N57" s="9">
        <v>44645</v>
      </c>
      <c r="O57" s="9">
        <v>5</v>
      </c>
      <c r="P57" s="9">
        <v>16691</v>
      </c>
      <c r="Q57" s="9">
        <v>3</v>
      </c>
      <c r="R57" s="9">
        <v>13183</v>
      </c>
      <c r="S57" s="9">
        <v>1</v>
      </c>
      <c r="T57" s="9">
        <v>5062</v>
      </c>
      <c r="U57" s="10" t="s">
        <v>18</v>
      </c>
      <c r="V57" s="10" t="s">
        <v>18</v>
      </c>
      <c r="W57" s="10" t="s">
        <v>18</v>
      </c>
      <c r="X57" s="10" t="s">
        <v>18</v>
      </c>
      <c r="Z57" s="21">
        <v>571154</v>
      </c>
      <c r="AB57" s="21">
        <f t="shared" si="4"/>
        <v>113197</v>
      </c>
      <c r="AC57" s="21">
        <f t="shared" si="5"/>
        <v>0</v>
      </c>
      <c r="AE57" s="23">
        <f t="shared" si="6"/>
        <v>19.81899802855272</v>
      </c>
      <c r="AF57" s="23">
        <f t="shared" si="7"/>
        <v>0</v>
      </c>
    </row>
    <row r="58" spans="1:32">
      <c r="A58" s="5" t="s">
        <v>82</v>
      </c>
      <c r="B58" s="7" t="s">
        <v>18</v>
      </c>
      <c r="C58" s="7" t="s">
        <v>18</v>
      </c>
      <c r="D58" s="7" t="s">
        <v>18</v>
      </c>
      <c r="E58" s="7" t="s">
        <v>18</v>
      </c>
      <c r="F58" s="7" t="s">
        <v>18</v>
      </c>
      <c r="G58" s="7" t="s">
        <v>18</v>
      </c>
      <c r="H58" s="6">
        <v>3</v>
      </c>
      <c r="I58" s="6">
        <v>84240</v>
      </c>
      <c r="J58" s="7" t="s">
        <v>18</v>
      </c>
      <c r="K58" s="7" t="s">
        <v>18</v>
      </c>
      <c r="L58" s="7"/>
      <c r="M58" s="6">
        <v>26</v>
      </c>
      <c r="N58" s="6">
        <v>61109</v>
      </c>
      <c r="O58" s="6">
        <v>1</v>
      </c>
      <c r="P58" s="6">
        <v>3303</v>
      </c>
      <c r="Q58" s="6">
        <v>3</v>
      </c>
      <c r="R58" s="6">
        <v>14051</v>
      </c>
      <c r="S58" s="6">
        <v>1</v>
      </c>
      <c r="T58" s="6">
        <v>5581</v>
      </c>
      <c r="U58" s="7" t="s">
        <v>18</v>
      </c>
      <c r="V58" s="7" t="s">
        <v>18</v>
      </c>
      <c r="W58" s="7" t="s">
        <v>18</v>
      </c>
      <c r="X58" s="7" t="s">
        <v>18</v>
      </c>
      <c r="Z58" s="21">
        <v>878415</v>
      </c>
      <c r="AB58" s="21">
        <f t="shared" si="4"/>
        <v>168284</v>
      </c>
      <c r="AC58" s="21">
        <f t="shared" si="5"/>
        <v>84240</v>
      </c>
      <c r="AE58" s="23">
        <f t="shared" si="6"/>
        <v>19.157687425647328</v>
      </c>
      <c r="AF58" s="23">
        <f t="shared" si="7"/>
        <v>9.5900001707621119</v>
      </c>
    </row>
    <row r="59" spans="1:32">
      <c r="A59" s="5" t="s">
        <v>84</v>
      </c>
      <c r="B59" s="7" t="s">
        <v>18</v>
      </c>
      <c r="C59" s="7" t="s">
        <v>18</v>
      </c>
      <c r="D59" s="6">
        <v>1</v>
      </c>
      <c r="E59" s="6">
        <v>6944</v>
      </c>
      <c r="F59" s="6">
        <v>1</v>
      </c>
      <c r="G59" s="6">
        <v>14734</v>
      </c>
      <c r="H59" s="6">
        <v>2</v>
      </c>
      <c r="I59" s="6">
        <v>69741</v>
      </c>
      <c r="J59" s="6">
        <v>1</v>
      </c>
      <c r="K59" s="6">
        <v>65606</v>
      </c>
      <c r="L59" s="6"/>
      <c r="M59" s="6">
        <v>45</v>
      </c>
      <c r="N59" s="6">
        <v>108229</v>
      </c>
      <c r="O59" s="6">
        <v>25</v>
      </c>
      <c r="P59" s="6">
        <v>84369</v>
      </c>
      <c r="Q59" s="6">
        <v>31</v>
      </c>
      <c r="R59" s="6">
        <v>139711</v>
      </c>
      <c r="S59" s="6">
        <v>90</v>
      </c>
      <c r="T59" s="6">
        <v>656610</v>
      </c>
      <c r="U59" s="6">
        <v>25</v>
      </c>
      <c r="V59" s="6">
        <v>298334</v>
      </c>
      <c r="W59" s="7" t="s">
        <v>18</v>
      </c>
      <c r="X59" s="7" t="s">
        <v>18</v>
      </c>
      <c r="Z59" s="21">
        <v>1918881</v>
      </c>
      <c r="AB59" s="21">
        <f t="shared" si="4"/>
        <v>1444278</v>
      </c>
      <c r="AC59" s="21">
        <f t="shared" si="5"/>
        <v>135347</v>
      </c>
      <c r="AE59" s="23">
        <f t="shared" si="6"/>
        <v>75.266678861273846</v>
      </c>
      <c r="AF59" s="23">
        <f t="shared" si="7"/>
        <v>7.0534337460217698</v>
      </c>
    </row>
    <row r="60" spans="1:32">
      <c r="A60" s="8" t="s">
        <v>85</v>
      </c>
      <c r="B60" s="9">
        <v>1</v>
      </c>
      <c r="C60" s="9">
        <v>4710</v>
      </c>
      <c r="D60" s="9">
        <v>2</v>
      </c>
      <c r="E60" s="9">
        <v>15344</v>
      </c>
      <c r="F60" s="10" t="s">
        <v>18</v>
      </c>
      <c r="G60" s="10" t="s">
        <v>18</v>
      </c>
      <c r="H60" s="9">
        <v>2</v>
      </c>
      <c r="I60" s="9">
        <v>60984</v>
      </c>
      <c r="J60" s="10" t="s">
        <v>18</v>
      </c>
      <c r="K60" s="10" t="s">
        <v>18</v>
      </c>
      <c r="L60" s="10"/>
      <c r="M60" s="9">
        <v>33</v>
      </c>
      <c r="N60" s="9">
        <v>78002</v>
      </c>
      <c r="O60" s="9">
        <v>4</v>
      </c>
      <c r="P60" s="9">
        <v>12660</v>
      </c>
      <c r="Q60" s="9">
        <v>9</v>
      </c>
      <c r="R60" s="9">
        <v>39456</v>
      </c>
      <c r="S60" s="9">
        <v>3</v>
      </c>
      <c r="T60" s="9">
        <v>18264</v>
      </c>
      <c r="U60" s="10" t="s">
        <v>18</v>
      </c>
      <c r="V60" s="10" t="s">
        <v>18</v>
      </c>
      <c r="W60" s="10" t="s">
        <v>18</v>
      </c>
      <c r="X60" s="10" t="s">
        <v>18</v>
      </c>
      <c r="Z60" s="21">
        <v>1058241</v>
      </c>
      <c r="AB60" s="21">
        <f t="shared" si="4"/>
        <v>229420</v>
      </c>
      <c r="AC60" s="21">
        <f t="shared" si="5"/>
        <v>60984</v>
      </c>
      <c r="AE60" s="23">
        <f t="shared" si="6"/>
        <v>21.679371712114726</v>
      </c>
      <c r="AF60" s="23">
        <f t="shared" si="7"/>
        <v>5.7627704842280725</v>
      </c>
    </row>
    <row r="61" spans="1:32">
      <c r="A61" s="5" t="s">
        <v>86</v>
      </c>
      <c r="B61" s="7" t="s">
        <v>18</v>
      </c>
      <c r="C61" s="7" t="s">
        <v>18</v>
      </c>
      <c r="D61" s="6">
        <v>1</v>
      </c>
      <c r="E61" s="6">
        <v>6583</v>
      </c>
      <c r="F61" s="7" t="s">
        <v>18</v>
      </c>
      <c r="G61" s="7" t="s">
        <v>18</v>
      </c>
      <c r="H61" s="6">
        <v>1</v>
      </c>
      <c r="I61" s="6">
        <v>41590</v>
      </c>
      <c r="J61" s="7" t="s">
        <v>18</v>
      </c>
      <c r="K61" s="7" t="s">
        <v>18</v>
      </c>
      <c r="L61" s="7"/>
      <c r="M61" s="6">
        <v>11</v>
      </c>
      <c r="N61" s="6">
        <v>27630</v>
      </c>
      <c r="O61" s="6">
        <v>27</v>
      </c>
      <c r="P61" s="6">
        <v>93295</v>
      </c>
      <c r="Q61" s="6">
        <v>21</v>
      </c>
      <c r="R61" s="6">
        <v>94771</v>
      </c>
      <c r="S61" s="6">
        <v>41</v>
      </c>
      <c r="T61" s="6">
        <v>266566</v>
      </c>
      <c r="U61" s="6">
        <v>19</v>
      </c>
      <c r="V61" s="6">
        <v>219421</v>
      </c>
      <c r="W61" s="7" t="s">
        <v>18</v>
      </c>
      <c r="X61" s="7" t="s">
        <v>18</v>
      </c>
      <c r="Z61" s="21">
        <v>873301</v>
      </c>
      <c r="AB61" s="21">
        <f t="shared" si="4"/>
        <v>749856</v>
      </c>
      <c r="AC61" s="21">
        <f t="shared" si="5"/>
        <v>41590</v>
      </c>
      <c r="AE61" s="23">
        <f t="shared" si="6"/>
        <v>85.864553000626358</v>
      </c>
      <c r="AF61" s="23">
        <f t="shared" si="7"/>
        <v>4.7623900579525271</v>
      </c>
    </row>
    <row r="62" spans="1:32">
      <c r="A62" s="8" t="s">
        <v>87</v>
      </c>
      <c r="B62" s="10" t="s">
        <v>18</v>
      </c>
      <c r="C62" s="10" t="s">
        <v>18</v>
      </c>
      <c r="D62" s="9">
        <v>2</v>
      </c>
      <c r="E62" s="9">
        <v>16612</v>
      </c>
      <c r="F62" s="9">
        <v>3</v>
      </c>
      <c r="G62" s="9">
        <v>46119</v>
      </c>
      <c r="H62" s="9">
        <v>1</v>
      </c>
      <c r="I62" s="9">
        <v>43740</v>
      </c>
      <c r="J62" s="10" t="s">
        <v>18</v>
      </c>
      <c r="K62" s="10" t="s">
        <v>18</v>
      </c>
      <c r="L62" s="10"/>
      <c r="M62" s="9">
        <v>60</v>
      </c>
      <c r="N62" s="9">
        <v>146159</v>
      </c>
      <c r="O62" s="9">
        <v>32</v>
      </c>
      <c r="P62" s="9">
        <v>112154</v>
      </c>
      <c r="Q62" s="9">
        <v>11</v>
      </c>
      <c r="R62" s="9">
        <v>50615</v>
      </c>
      <c r="S62" s="9">
        <v>8</v>
      </c>
      <c r="T62" s="9">
        <v>48842</v>
      </c>
      <c r="U62" s="9">
        <v>2</v>
      </c>
      <c r="V62" s="9">
        <v>21576</v>
      </c>
      <c r="W62" s="10" t="s">
        <v>18</v>
      </c>
      <c r="X62" s="10" t="s">
        <v>18</v>
      </c>
      <c r="Z62" s="21">
        <v>933936</v>
      </c>
      <c r="AB62" s="21">
        <f t="shared" si="4"/>
        <v>485817</v>
      </c>
      <c r="AC62" s="21">
        <f t="shared" si="5"/>
        <v>43740</v>
      </c>
      <c r="AE62" s="23">
        <f t="shared" si="6"/>
        <v>52.018232512720353</v>
      </c>
      <c r="AF62" s="23">
        <f t="shared" si="7"/>
        <v>4.6834044302821605</v>
      </c>
    </row>
    <row r="63" spans="1:32">
      <c r="A63" s="5" t="s">
        <v>88</v>
      </c>
      <c r="B63" s="6">
        <v>2</v>
      </c>
      <c r="C63" s="6">
        <v>5575</v>
      </c>
      <c r="D63" s="6">
        <v>2</v>
      </c>
      <c r="E63" s="6">
        <v>14434</v>
      </c>
      <c r="F63" s="6">
        <v>3</v>
      </c>
      <c r="G63" s="6">
        <v>39555</v>
      </c>
      <c r="H63" s="7" t="s">
        <v>18</v>
      </c>
      <c r="I63" s="7" t="s">
        <v>18</v>
      </c>
      <c r="J63" s="6">
        <v>1</v>
      </c>
      <c r="K63" s="6">
        <v>159590</v>
      </c>
      <c r="L63" s="6"/>
      <c r="M63" s="6">
        <v>34</v>
      </c>
      <c r="N63" s="6">
        <v>81915</v>
      </c>
      <c r="O63" s="6">
        <v>12</v>
      </c>
      <c r="P63" s="6">
        <v>42757</v>
      </c>
      <c r="Q63" s="6">
        <v>8</v>
      </c>
      <c r="R63" s="6">
        <v>34110</v>
      </c>
      <c r="S63" s="6">
        <v>2</v>
      </c>
      <c r="T63" s="6">
        <v>13721</v>
      </c>
      <c r="U63" s="7" t="s">
        <v>18</v>
      </c>
      <c r="V63" s="7" t="s">
        <v>18</v>
      </c>
      <c r="W63" s="7" t="s">
        <v>18</v>
      </c>
      <c r="X63" s="7" t="s">
        <v>18</v>
      </c>
      <c r="Z63" s="21">
        <v>1051032</v>
      </c>
      <c r="AB63" s="21">
        <f t="shared" si="4"/>
        <v>391657</v>
      </c>
      <c r="AC63" s="21">
        <f t="shared" si="5"/>
        <v>159590</v>
      </c>
      <c r="AE63" s="23">
        <f t="shared" si="6"/>
        <v>37.26404143736822</v>
      </c>
      <c r="AF63" s="23">
        <f t="shared" si="7"/>
        <v>15.18412379451815</v>
      </c>
    </row>
    <row r="64" spans="1:32">
      <c r="A64" s="8" t="s">
        <v>89</v>
      </c>
      <c r="B64" s="10" t="s">
        <v>18</v>
      </c>
      <c r="C64" s="10" t="s">
        <v>18</v>
      </c>
      <c r="D64" s="10" t="s">
        <v>18</v>
      </c>
      <c r="E64" s="10" t="s">
        <v>18</v>
      </c>
      <c r="F64" s="9">
        <v>1</v>
      </c>
      <c r="G64" s="9">
        <v>16897</v>
      </c>
      <c r="H64" s="10" t="s">
        <v>18</v>
      </c>
      <c r="I64" s="10" t="s">
        <v>18</v>
      </c>
      <c r="J64" s="10" t="s">
        <v>18</v>
      </c>
      <c r="K64" s="10" t="s">
        <v>18</v>
      </c>
      <c r="L64" s="10"/>
      <c r="M64" s="10" t="s">
        <v>18</v>
      </c>
      <c r="N64" s="10" t="s">
        <v>18</v>
      </c>
      <c r="O64" s="10" t="s">
        <v>18</v>
      </c>
      <c r="P64" s="10" t="s">
        <v>18</v>
      </c>
      <c r="Q64" s="9">
        <v>1</v>
      </c>
      <c r="R64" s="9">
        <v>4845</v>
      </c>
      <c r="S64" s="10" t="s">
        <v>18</v>
      </c>
      <c r="T64" s="10" t="s">
        <v>18</v>
      </c>
      <c r="U64" s="10" t="s">
        <v>18</v>
      </c>
      <c r="V64" s="10" t="s">
        <v>18</v>
      </c>
      <c r="W64" s="10" t="s">
        <v>18</v>
      </c>
      <c r="X64" s="10" t="s">
        <v>18</v>
      </c>
      <c r="Z64" s="21">
        <v>57478</v>
      </c>
      <c r="AB64" s="21">
        <f t="shared" si="4"/>
        <v>21742</v>
      </c>
      <c r="AC64" s="21">
        <f t="shared" si="5"/>
        <v>0</v>
      </c>
      <c r="AE64" s="23">
        <f t="shared" si="6"/>
        <v>37.82664671700477</v>
      </c>
      <c r="AF64" s="23">
        <f t="shared" si="7"/>
        <v>0</v>
      </c>
    </row>
    <row r="65" spans="1:32">
      <c r="A65" s="5" t="s">
        <v>90</v>
      </c>
      <c r="B65" s="6">
        <v>1</v>
      </c>
      <c r="C65" s="6">
        <v>4611</v>
      </c>
      <c r="D65" s="6">
        <v>2</v>
      </c>
      <c r="E65" s="6">
        <v>17276</v>
      </c>
      <c r="F65" s="7" t="s">
        <v>18</v>
      </c>
      <c r="G65" s="7" t="s">
        <v>18</v>
      </c>
      <c r="H65" s="6">
        <v>2</v>
      </c>
      <c r="I65" s="6">
        <v>59622</v>
      </c>
      <c r="J65" s="7" t="s">
        <v>18</v>
      </c>
      <c r="K65" s="7" t="s">
        <v>18</v>
      </c>
      <c r="L65" s="7"/>
      <c r="M65" s="6">
        <v>24</v>
      </c>
      <c r="N65" s="6">
        <v>57428</v>
      </c>
      <c r="O65" s="6">
        <v>8</v>
      </c>
      <c r="P65" s="6">
        <v>27266</v>
      </c>
      <c r="Q65" s="6">
        <v>2</v>
      </c>
      <c r="R65" s="6">
        <v>9522</v>
      </c>
      <c r="S65" s="6">
        <v>1</v>
      </c>
      <c r="T65" s="6">
        <v>5267</v>
      </c>
      <c r="U65" s="7" t="s">
        <v>18</v>
      </c>
      <c r="V65" s="7" t="s">
        <v>18</v>
      </c>
      <c r="W65" s="7" t="s">
        <v>18</v>
      </c>
      <c r="X65" s="7" t="s">
        <v>18</v>
      </c>
      <c r="Z65" s="21">
        <v>829556</v>
      </c>
      <c r="AB65" s="21">
        <f t="shared" si="4"/>
        <v>180992</v>
      </c>
      <c r="AC65" s="21">
        <f t="shared" si="5"/>
        <v>59622</v>
      </c>
      <c r="AE65" s="23">
        <f t="shared" si="6"/>
        <v>21.817936341850338</v>
      </c>
      <c r="AF65" s="23">
        <f t="shared" si="7"/>
        <v>7.1872182227601282</v>
      </c>
    </row>
    <row r="66" spans="1:32">
      <c r="A66" s="5"/>
      <c r="B66" s="6"/>
      <c r="C66" s="6"/>
      <c r="D66" s="6"/>
      <c r="E66" s="6"/>
      <c r="F66" s="7"/>
      <c r="G66" s="7"/>
      <c r="H66" s="6"/>
      <c r="I66" s="6"/>
      <c r="J66" s="7"/>
      <c r="K66" s="7"/>
      <c r="L66" s="7"/>
      <c r="M66" s="6"/>
      <c r="N66" s="6"/>
      <c r="O66" s="6"/>
      <c r="P66" s="6"/>
      <c r="Q66" s="6"/>
      <c r="R66" s="6"/>
      <c r="S66" s="6"/>
      <c r="T66" s="6"/>
      <c r="U66" s="7"/>
      <c r="V66" s="7"/>
      <c r="W66" s="7"/>
      <c r="X66" s="7"/>
      <c r="AB66" s="21"/>
      <c r="AC66" s="21"/>
      <c r="AE66" s="23"/>
      <c r="AF66" s="23"/>
    </row>
    <row r="67" spans="1:32">
      <c r="A67" s="5" t="s">
        <v>92</v>
      </c>
      <c r="B67" s="7" t="s">
        <v>18</v>
      </c>
      <c r="C67" s="7" t="s">
        <v>18</v>
      </c>
      <c r="D67" s="7" t="s">
        <v>18</v>
      </c>
      <c r="E67" s="7" t="s">
        <v>18</v>
      </c>
      <c r="F67" s="7" t="s">
        <v>18</v>
      </c>
      <c r="G67" s="7" t="s">
        <v>18</v>
      </c>
      <c r="H67" s="6">
        <v>1</v>
      </c>
      <c r="I67" s="6">
        <v>32834</v>
      </c>
      <c r="J67" s="7" t="s">
        <v>18</v>
      </c>
      <c r="K67" s="7" t="s">
        <v>18</v>
      </c>
      <c r="L67" s="7"/>
      <c r="M67" s="7" t="s">
        <v>18</v>
      </c>
      <c r="N67" s="7" t="s">
        <v>18</v>
      </c>
      <c r="O67" s="6">
        <v>1</v>
      </c>
      <c r="P67" s="6">
        <v>3037</v>
      </c>
      <c r="Q67" s="7" t="s">
        <v>18</v>
      </c>
      <c r="R67" s="7" t="s">
        <v>18</v>
      </c>
      <c r="S67" s="7" t="s">
        <v>18</v>
      </c>
      <c r="T67" s="7" t="s">
        <v>18</v>
      </c>
      <c r="U67" s="7" t="s">
        <v>18</v>
      </c>
      <c r="V67" s="7" t="s">
        <v>18</v>
      </c>
      <c r="W67" s="7" t="s">
        <v>18</v>
      </c>
      <c r="X67" s="7" t="s">
        <v>18</v>
      </c>
      <c r="Z67" s="21">
        <v>120306</v>
      </c>
      <c r="AB67" s="21">
        <f t="shared" si="4"/>
        <v>35871</v>
      </c>
      <c r="AC67" s="21">
        <f t="shared" si="5"/>
        <v>32834</v>
      </c>
      <c r="AE67" s="23">
        <f t="shared" si="6"/>
        <v>29.816468006583214</v>
      </c>
      <c r="AF67" s="23">
        <f t="shared" si="7"/>
        <v>27.292071883364088</v>
      </c>
    </row>
    <row r="68" spans="1:32">
      <c r="A68" s="8" t="s">
        <v>93</v>
      </c>
      <c r="B68" s="10" t="s">
        <v>18</v>
      </c>
      <c r="C68" s="10" t="s">
        <v>18</v>
      </c>
      <c r="D68" s="9">
        <v>2</v>
      </c>
      <c r="E68" s="9">
        <v>14236</v>
      </c>
      <c r="F68" s="9">
        <v>2</v>
      </c>
      <c r="G68" s="9">
        <v>21737</v>
      </c>
      <c r="H68" s="9">
        <v>1</v>
      </c>
      <c r="I68" s="9">
        <v>26699</v>
      </c>
      <c r="J68" s="10" t="s">
        <v>18</v>
      </c>
      <c r="K68" s="10" t="s">
        <v>18</v>
      </c>
      <c r="L68" s="10"/>
      <c r="M68" s="9">
        <v>5</v>
      </c>
      <c r="N68" s="9">
        <v>12152</v>
      </c>
      <c r="O68" s="9">
        <v>1</v>
      </c>
      <c r="P68" s="9">
        <v>3711</v>
      </c>
      <c r="Q68" s="10" t="s">
        <v>18</v>
      </c>
      <c r="R68" s="10" t="s">
        <v>18</v>
      </c>
      <c r="S68" s="10" t="s">
        <v>18</v>
      </c>
      <c r="T68" s="10" t="s">
        <v>18</v>
      </c>
      <c r="U68" s="10" t="s">
        <v>18</v>
      </c>
      <c r="V68" s="10" t="s">
        <v>18</v>
      </c>
      <c r="W68" s="10" t="s">
        <v>18</v>
      </c>
      <c r="X68" s="10" t="s">
        <v>18</v>
      </c>
      <c r="Z68" s="21">
        <v>570161</v>
      </c>
      <c r="AB68" s="21">
        <f t="shared" si="4"/>
        <v>78535</v>
      </c>
      <c r="AC68" s="21">
        <f t="shared" si="5"/>
        <v>26699</v>
      </c>
      <c r="AE68" s="23">
        <f t="shared" si="6"/>
        <v>13.774179573839671</v>
      </c>
      <c r="AF68" s="23">
        <f t="shared" si="7"/>
        <v>4.6827124268408395</v>
      </c>
    </row>
    <row r="69" spans="1:32">
      <c r="A69" s="5" t="s">
        <v>94</v>
      </c>
      <c r="B69" s="7" t="s">
        <v>18</v>
      </c>
      <c r="C69" s="7" t="s">
        <v>18</v>
      </c>
      <c r="D69" s="6">
        <v>3</v>
      </c>
      <c r="E69" s="6">
        <v>23513</v>
      </c>
      <c r="F69" s="6">
        <v>1</v>
      </c>
      <c r="G69" s="6">
        <v>11511</v>
      </c>
      <c r="H69" s="7" t="s">
        <v>18</v>
      </c>
      <c r="I69" s="7" t="s">
        <v>18</v>
      </c>
      <c r="J69" s="7" t="s">
        <v>18</v>
      </c>
      <c r="K69" s="7" t="s">
        <v>18</v>
      </c>
      <c r="L69" s="7"/>
      <c r="M69" s="6">
        <v>6</v>
      </c>
      <c r="N69" s="6">
        <v>14193</v>
      </c>
      <c r="O69" s="6">
        <v>4</v>
      </c>
      <c r="P69" s="6">
        <v>14057</v>
      </c>
      <c r="Q69" s="6">
        <v>4</v>
      </c>
      <c r="R69" s="6">
        <v>17490</v>
      </c>
      <c r="S69" s="7" t="s">
        <v>18</v>
      </c>
      <c r="T69" s="7" t="s">
        <v>18</v>
      </c>
      <c r="U69" s="7" t="s">
        <v>18</v>
      </c>
      <c r="V69" s="7" t="s">
        <v>18</v>
      </c>
      <c r="W69" s="7" t="s">
        <v>18</v>
      </c>
      <c r="X69" s="7" t="s">
        <v>18</v>
      </c>
      <c r="Z69" s="21">
        <v>672037</v>
      </c>
      <c r="AB69" s="21">
        <f t="shared" si="4"/>
        <v>80764</v>
      </c>
      <c r="AC69" s="21">
        <f t="shared" si="5"/>
        <v>0</v>
      </c>
      <c r="AE69" s="23">
        <f t="shared" si="6"/>
        <v>12.017790687119906</v>
      </c>
      <c r="AF69" s="23">
        <f t="shared" si="7"/>
        <v>0</v>
      </c>
    </row>
    <row r="70" spans="1:32">
      <c r="A70" s="8" t="s">
        <v>95</v>
      </c>
      <c r="B70" s="9">
        <v>1</v>
      </c>
      <c r="C70" s="9">
        <v>2280</v>
      </c>
      <c r="D70" s="9">
        <v>1</v>
      </c>
      <c r="E70" s="9">
        <v>5752</v>
      </c>
      <c r="F70" s="10" t="s">
        <v>18</v>
      </c>
      <c r="G70" s="10" t="s">
        <v>18</v>
      </c>
      <c r="H70" s="10" t="s">
        <v>18</v>
      </c>
      <c r="I70" s="10" t="s">
        <v>18</v>
      </c>
      <c r="J70" s="9">
        <v>1</v>
      </c>
      <c r="K70" s="9">
        <v>51473</v>
      </c>
      <c r="L70" s="9"/>
      <c r="M70" s="9">
        <v>9</v>
      </c>
      <c r="N70" s="9">
        <v>21113</v>
      </c>
      <c r="O70" s="9">
        <v>4</v>
      </c>
      <c r="P70" s="9">
        <v>13395</v>
      </c>
      <c r="Q70" s="9">
        <v>3</v>
      </c>
      <c r="R70" s="9">
        <v>13091</v>
      </c>
      <c r="S70" s="10" t="s">
        <v>18</v>
      </c>
      <c r="T70" s="10" t="s">
        <v>18</v>
      </c>
      <c r="U70" s="10" t="s">
        <v>18</v>
      </c>
      <c r="V70" s="10" t="s">
        <v>18</v>
      </c>
      <c r="W70" s="10" t="s">
        <v>18</v>
      </c>
      <c r="X70" s="10" t="s">
        <v>18</v>
      </c>
      <c r="Z70" s="21">
        <v>514267</v>
      </c>
      <c r="AB70" s="21">
        <f t="shared" si="4"/>
        <v>107104</v>
      </c>
      <c r="AC70" s="21">
        <f t="shared" si="5"/>
        <v>51473</v>
      </c>
      <c r="AE70" s="23">
        <f t="shared" si="6"/>
        <v>20.826535632268843</v>
      </c>
      <c r="AF70" s="23">
        <f t="shared" si="7"/>
        <v>10.009003105390779</v>
      </c>
    </row>
    <row r="71" spans="1:32">
      <c r="A71" s="5" t="s">
        <v>96</v>
      </c>
      <c r="B71" s="7" t="s">
        <v>18</v>
      </c>
      <c r="C71" s="7" t="s">
        <v>18</v>
      </c>
      <c r="D71" s="6">
        <v>1</v>
      </c>
      <c r="E71" s="6">
        <v>5684</v>
      </c>
      <c r="F71" s="6">
        <v>2</v>
      </c>
      <c r="G71" s="6">
        <v>25839</v>
      </c>
      <c r="H71" s="6">
        <v>1</v>
      </c>
      <c r="I71" s="6">
        <v>28933</v>
      </c>
      <c r="J71" s="7" t="s">
        <v>18</v>
      </c>
      <c r="K71" s="7" t="s">
        <v>18</v>
      </c>
      <c r="L71" s="7"/>
      <c r="M71" s="7" t="s">
        <v>18</v>
      </c>
      <c r="N71" s="7" t="s">
        <v>18</v>
      </c>
      <c r="O71" s="7" t="s">
        <v>18</v>
      </c>
      <c r="P71" s="7" t="s">
        <v>18</v>
      </c>
      <c r="Q71" s="7" t="s">
        <v>18</v>
      </c>
      <c r="R71" s="7" t="s">
        <v>18</v>
      </c>
      <c r="S71" s="6">
        <v>1</v>
      </c>
      <c r="T71" s="6">
        <v>7191</v>
      </c>
      <c r="U71" s="7" t="s">
        <v>18</v>
      </c>
      <c r="V71" s="7" t="s">
        <v>18</v>
      </c>
      <c r="W71" s="7" t="s">
        <v>18</v>
      </c>
      <c r="X71" s="7" t="s">
        <v>18</v>
      </c>
      <c r="Z71" s="21">
        <v>223336</v>
      </c>
      <c r="AB71" s="21">
        <f t="shared" si="4"/>
        <v>67647</v>
      </c>
      <c r="AC71" s="21">
        <f t="shared" si="5"/>
        <v>28933</v>
      </c>
      <c r="AE71" s="23">
        <f t="shared" si="6"/>
        <v>30.289339828778161</v>
      </c>
      <c r="AF71" s="23">
        <f t="shared" si="7"/>
        <v>12.954919941254433</v>
      </c>
    </row>
    <row r="72" spans="1:32">
      <c r="A72" s="8" t="s">
        <v>97</v>
      </c>
      <c r="B72" s="10" t="s">
        <v>18</v>
      </c>
      <c r="C72" s="10" t="s">
        <v>18</v>
      </c>
      <c r="D72" s="10" t="s">
        <v>18</v>
      </c>
      <c r="E72" s="10" t="s">
        <v>18</v>
      </c>
      <c r="F72" s="10" t="s">
        <v>18</v>
      </c>
      <c r="G72" s="10" t="s">
        <v>18</v>
      </c>
      <c r="H72" s="10" t="s">
        <v>18</v>
      </c>
      <c r="I72" s="10" t="s">
        <v>18</v>
      </c>
      <c r="J72" s="10" t="s">
        <v>18</v>
      </c>
      <c r="K72" s="10" t="s">
        <v>18</v>
      </c>
      <c r="L72" s="10"/>
      <c r="M72" s="10" t="s">
        <v>18</v>
      </c>
      <c r="N72" s="10" t="s">
        <v>18</v>
      </c>
      <c r="O72" s="9">
        <v>2</v>
      </c>
      <c r="P72" s="9">
        <v>6893</v>
      </c>
      <c r="Q72" s="10" t="s">
        <v>18</v>
      </c>
      <c r="R72" s="10" t="s">
        <v>18</v>
      </c>
      <c r="S72" s="10" t="s">
        <v>18</v>
      </c>
      <c r="T72" s="10" t="s">
        <v>18</v>
      </c>
      <c r="U72" s="10" t="s">
        <v>18</v>
      </c>
      <c r="V72" s="10" t="s">
        <v>18</v>
      </c>
      <c r="W72" s="10" t="s">
        <v>18</v>
      </c>
      <c r="X72" s="10" t="s">
        <v>18</v>
      </c>
      <c r="Z72" s="21">
        <v>28113</v>
      </c>
      <c r="AB72" s="21">
        <f t="shared" si="4"/>
        <v>6893</v>
      </c>
      <c r="AC72" s="21">
        <f t="shared" si="5"/>
        <v>0</v>
      </c>
      <c r="AE72" s="23">
        <f t="shared" si="6"/>
        <v>24.518905844271334</v>
      </c>
      <c r="AF72" s="23">
        <f t="shared" si="7"/>
        <v>0</v>
      </c>
    </row>
    <row r="73" spans="1:32">
      <c r="A73" s="5" t="s">
        <v>98</v>
      </c>
      <c r="B73" s="6">
        <v>3</v>
      </c>
      <c r="C73" s="6">
        <v>10515</v>
      </c>
      <c r="D73" s="6">
        <v>2</v>
      </c>
      <c r="E73" s="6">
        <v>14376</v>
      </c>
      <c r="F73" s="6">
        <v>1</v>
      </c>
      <c r="G73" s="6">
        <v>10301</v>
      </c>
      <c r="H73" s="6">
        <v>2</v>
      </c>
      <c r="I73" s="6">
        <v>49969</v>
      </c>
      <c r="J73" s="7" t="s">
        <v>18</v>
      </c>
      <c r="K73" s="7" t="s">
        <v>18</v>
      </c>
      <c r="L73" s="7"/>
      <c r="M73" s="6">
        <v>6</v>
      </c>
      <c r="N73" s="6">
        <v>13394</v>
      </c>
      <c r="O73" s="6">
        <v>2</v>
      </c>
      <c r="P73" s="6">
        <v>6816</v>
      </c>
      <c r="Q73" s="7" t="s">
        <v>18</v>
      </c>
      <c r="R73" s="7" t="s">
        <v>18</v>
      </c>
      <c r="S73" s="7" t="s">
        <v>18</v>
      </c>
      <c r="T73" s="7" t="s">
        <v>18</v>
      </c>
      <c r="U73" s="7" t="s">
        <v>18</v>
      </c>
      <c r="V73" s="7" t="s">
        <v>18</v>
      </c>
      <c r="W73" s="7" t="s">
        <v>18</v>
      </c>
      <c r="X73" s="7" t="s">
        <v>18</v>
      </c>
      <c r="Z73" s="21">
        <v>1433043</v>
      </c>
      <c r="AB73" s="21">
        <f t="shared" si="4"/>
        <v>105371</v>
      </c>
      <c r="AC73" s="21">
        <f t="shared" si="5"/>
        <v>49969</v>
      </c>
      <c r="AE73" s="23">
        <f t="shared" si="6"/>
        <v>7.3529545170661308</v>
      </c>
      <c r="AF73" s="23">
        <f t="shared" si="7"/>
        <v>3.4869156054633392</v>
      </c>
    </row>
    <row r="74" spans="1:32">
      <c r="A74" s="8" t="s">
        <v>99</v>
      </c>
      <c r="B74" s="9">
        <v>1</v>
      </c>
      <c r="C74" s="9">
        <v>3117</v>
      </c>
      <c r="D74" s="9">
        <v>3</v>
      </c>
      <c r="E74" s="9">
        <v>21478</v>
      </c>
      <c r="F74" s="9">
        <v>2</v>
      </c>
      <c r="G74" s="9">
        <v>28924</v>
      </c>
      <c r="H74" s="9">
        <v>1</v>
      </c>
      <c r="I74" s="9">
        <v>21073</v>
      </c>
      <c r="J74" s="9">
        <v>1</v>
      </c>
      <c r="K74" s="9">
        <v>52210</v>
      </c>
      <c r="L74" s="9"/>
      <c r="M74" s="9">
        <v>75</v>
      </c>
      <c r="N74" s="9">
        <v>182339</v>
      </c>
      <c r="O74" s="9">
        <v>26</v>
      </c>
      <c r="P74" s="9">
        <v>87606</v>
      </c>
      <c r="Q74" s="9">
        <v>5</v>
      </c>
      <c r="R74" s="9">
        <v>21020</v>
      </c>
      <c r="S74" s="9">
        <v>6</v>
      </c>
      <c r="T74" s="9">
        <v>37416</v>
      </c>
      <c r="U74" s="10" t="s">
        <v>18</v>
      </c>
      <c r="V74" s="10" t="s">
        <v>18</v>
      </c>
      <c r="W74" s="10" t="s">
        <v>18</v>
      </c>
      <c r="X74" s="10" t="s">
        <v>18</v>
      </c>
      <c r="Z74" s="21">
        <v>1927679</v>
      </c>
      <c r="AB74" s="21">
        <f t="shared" si="4"/>
        <v>455183</v>
      </c>
      <c r="AC74" s="21">
        <f t="shared" si="5"/>
        <v>73283</v>
      </c>
      <c r="AE74" s="23">
        <f t="shared" si="6"/>
        <v>23.613008182378913</v>
      </c>
      <c r="AF74" s="23">
        <f t="shared" si="7"/>
        <v>3.8016184229843248</v>
      </c>
    </row>
    <row r="75" spans="1:32">
      <c r="A75" s="5" t="s">
        <v>100</v>
      </c>
      <c r="B75" s="7" t="s">
        <v>18</v>
      </c>
      <c r="C75" s="7" t="s">
        <v>18</v>
      </c>
      <c r="D75" s="6">
        <v>1</v>
      </c>
      <c r="E75" s="6">
        <v>6535</v>
      </c>
      <c r="F75" s="7" t="s">
        <v>18</v>
      </c>
      <c r="G75" s="7" t="s">
        <v>18</v>
      </c>
      <c r="H75" s="7" t="s">
        <v>18</v>
      </c>
      <c r="I75" s="7" t="s">
        <v>18</v>
      </c>
      <c r="J75" s="7" t="s">
        <v>18</v>
      </c>
      <c r="K75" s="7" t="s">
        <v>18</v>
      </c>
      <c r="L75" s="7"/>
      <c r="M75" s="7" t="s">
        <v>18</v>
      </c>
      <c r="N75" s="7" t="s">
        <v>18</v>
      </c>
      <c r="O75" s="7" t="s">
        <v>18</v>
      </c>
      <c r="P75" s="7" t="s">
        <v>18</v>
      </c>
      <c r="Q75" s="7" t="s">
        <v>18</v>
      </c>
      <c r="R75" s="7" t="s">
        <v>18</v>
      </c>
      <c r="S75" s="7" t="s">
        <v>18</v>
      </c>
      <c r="T75" s="7" t="s">
        <v>18</v>
      </c>
      <c r="U75" s="7" t="s">
        <v>18</v>
      </c>
      <c r="V75" s="7" t="s">
        <v>18</v>
      </c>
      <c r="W75" s="7" t="s">
        <v>18</v>
      </c>
      <c r="X75" s="7" t="s">
        <v>18</v>
      </c>
      <c r="Z75" s="21">
        <v>269880</v>
      </c>
      <c r="AB75" s="21">
        <f t="shared" si="4"/>
        <v>6535</v>
      </c>
      <c r="AC75" s="21">
        <f t="shared" si="5"/>
        <v>0</v>
      </c>
      <c r="AE75" s="23">
        <f t="shared" si="6"/>
        <v>2.421446568845413</v>
      </c>
      <c r="AF75" s="23">
        <f t="shared" si="7"/>
        <v>0</v>
      </c>
    </row>
    <row r="76" spans="1:32">
      <c r="A76" s="5"/>
      <c r="B76" s="7"/>
      <c r="C76" s="7"/>
      <c r="D76" s="6"/>
      <c r="E76" s="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Z76" s="21"/>
      <c r="AB76" s="21"/>
      <c r="AC76" s="21"/>
      <c r="AE76" s="23"/>
      <c r="AF76" s="23"/>
    </row>
    <row r="77" spans="1:32">
      <c r="A77" s="5" t="s">
        <v>102</v>
      </c>
      <c r="B77" s="6">
        <v>2</v>
      </c>
      <c r="C77" s="6">
        <v>8000</v>
      </c>
      <c r="D77" s="6">
        <v>1</v>
      </c>
      <c r="E77" s="6">
        <v>9688</v>
      </c>
      <c r="F77" s="6">
        <v>1</v>
      </c>
      <c r="G77" s="6">
        <v>19688</v>
      </c>
      <c r="H77" s="6">
        <v>1</v>
      </c>
      <c r="I77" s="6">
        <v>37376</v>
      </c>
      <c r="J77" s="7" t="s">
        <v>18</v>
      </c>
      <c r="K77" s="7" t="s">
        <v>18</v>
      </c>
      <c r="L77" s="6"/>
      <c r="M77" s="6">
        <v>21</v>
      </c>
      <c r="N77" s="6">
        <v>48464</v>
      </c>
      <c r="O77" s="6">
        <v>2</v>
      </c>
      <c r="P77" s="6">
        <v>6696</v>
      </c>
      <c r="Q77" s="7" t="s">
        <v>18</v>
      </c>
      <c r="R77" s="7" t="s">
        <v>18</v>
      </c>
      <c r="S77" s="7" t="s">
        <v>18</v>
      </c>
      <c r="T77" s="7" t="s">
        <v>18</v>
      </c>
      <c r="U77" s="7" t="s">
        <v>18</v>
      </c>
      <c r="V77" s="7" t="s">
        <v>18</v>
      </c>
      <c r="W77" s="7" t="s">
        <v>18</v>
      </c>
      <c r="X77" s="7" t="s">
        <v>18</v>
      </c>
      <c r="Z77" s="21">
        <v>682608</v>
      </c>
      <c r="AB77" s="21">
        <f t="shared" si="4"/>
        <v>129912</v>
      </c>
      <c r="AC77" s="21">
        <f t="shared" si="5"/>
        <v>37376</v>
      </c>
      <c r="AE77" s="23">
        <f t="shared" si="6"/>
        <v>19.031713662892905</v>
      </c>
      <c r="AF77" s="23">
        <f t="shared" si="7"/>
        <v>5.4754705482502404</v>
      </c>
    </row>
    <row r="78" spans="1:32">
      <c r="A78" s="8" t="s">
        <v>103</v>
      </c>
      <c r="B78" s="9">
        <v>1</v>
      </c>
      <c r="C78" s="9">
        <v>4098</v>
      </c>
      <c r="D78" s="9">
        <v>2</v>
      </c>
      <c r="E78" s="9">
        <v>14855</v>
      </c>
      <c r="F78" s="9">
        <v>1</v>
      </c>
      <c r="G78" s="9">
        <v>19426</v>
      </c>
      <c r="H78" s="10" t="s">
        <v>18</v>
      </c>
      <c r="I78" s="10" t="s">
        <v>18</v>
      </c>
      <c r="J78" s="10" t="s">
        <v>18</v>
      </c>
      <c r="K78" s="10" t="s">
        <v>18</v>
      </c>
      <c r="L78" s="10"/>
      <c r="M78" s="9">
        <v>3</v>
      </c>
      <c r="N78" s="9">
        <v>6950</v>
      </c>
      <c r="O78" s="10" t="s">
        <v>18</v>
      </c>
      <c r="P78" s="10" t="s">
        <v>18</v>
      </c>
      <c r="Q78" s="10" t="s">
        <v>18</v>
      </c>
      <c r="R78" s="10" t="s">
        <v>18</v>
      </c>
      <c r="S78" s="10" t="s">
        <v>18</v>
      </c>
      <c r="T78" s="10" t="s">
        <v>18</v>
      </c>
      <c r="U78" s="10" t="s">
        <v>18</v>
      </c>
      <c r="V78" s="10" t="s">
        <v>18</v>
      </c>
      <c r="W78" s="10" t="s">
        <v>18</v>
      </c>
      <c r="X78" s="10" t="s">
        <v>18</v>
      </c>
      <c r="Z78" s="21">
        <v>382487</v>
      </c>
      <c r="AB78" s="21">
        <f t="shared" si="4"/>
        <v>45329</v>
      </c>
      <c r="AC78" s="21">
        <f t="shared" si="5"/>
        <v>0</v>
      </c>
      <c r="AE78" s="23">
        <f t="shared" si="6"/>
        <v>11.851121737470816</v>
      </c>
      <c r="AF78" s="23">
        <f t="shared" si="7"/>
        <v>0</v>
      </c>
    </row>
    <row r="79" spans="1:32">
      <c r="A79" s="5" t="s">
        <v>104</v>
      </c>
      <c r="B79" s="6">
        <v>1</v>
      </c>
      <c r="C79" s="6">
        <v>3658</v>
      </c>
      <c r="D79" s="7" t="s">
        <v>18</v>
      </c>
      <c r="E79" s="7" t="s">
        <v>18</v>
      </c>
      <c r="F79" s="6">
        <v>2</v>
      </c>
      <c r="G79" s="6">
        <v>25797</v>
      </c>
      <c r="H79" s="6">
        <v>2</v>
      </c>
      <c r="I79" s="6">
        <v>50730</v>
      </c>
      <c r="J79" s="6">
        <v>1</v>
      </c>
      <c r="K79" s="6">
        <v>55128</v>
      </c>
      <c r="L79" s="6"/>
      <c r="M79" s="6">
        <v>10</v>
      </c>
      <c r="N79" s="6">
        <v>22092</v>
      </c>
      <c r="O79" s="7" t="s">
        <v>18</v>
      </c>
      <c r="P79" s="7" t="s">
        <v>18</v>
      </c>
      <c r="Q79" s="6">
        <v>1</v>
      </c>
      <c r="R79" s="6">
        <v>4440</v>
      </c>
      <c r="S79" s="7" t="s">
        <v>18</v>
      </c>
      <c r="T79" s="7" t="s">
        <v>18</v>
      </c>
      <c r="U79" s="7" t="s">
        <v>18</v>
      </c>
      <c r="V79" s="7" t="s">
        <v>18</v>
      </c>
      <c r="W79" s="7" t="s">
        <v>18</v>
      </c>
      <c r="X79" s="7" t="s">
        <v>18</v>
      </c>
      <c r="Z79" s="21">
        <v>860021</v>
      </c>
      <c r="AB79" s="21">
        <f t="shared" si="4"/>
        <v>161845</v>
      </c>
      <c r="AC79" s="21">
        <f t="shared" si="5"/>
        <v>105858</v>
      </c>
      <c r="AE79" s="23">
        <f t="shared" si="6"/>
        <v>18.818726519468711</v>
      </c>
      <c r="AF79" s="23">
        <f t="shared" si="7"/>
        <v>12.308769204472913</v>
      </c>
    </row>
    <row r="80" spans="1:32">
      <c r="A80" s="8" t="s">
        <v>105</v>
      </c>
      <c r="B80" s="9">
        <v>3</v>
      </c>
      <c r="C80" s="9">
        <v>11783</v>
      </c>
      <c r="D80" s="9">
        <v>2</v>
      </c>
      <c r="E80" s="9">
        <v>16459</v>
      </c>
      <c r="F80" s="10" t="s">
        <v>18</v>
      </c>
      <c r="G80" s="10" t="s">
        <v>18</v>
      </c>
      <c r="H80" s="9">
        <v>1</v>
      </c>
      <c r="I80" s="9">
        <v>26246</v>
      </c>
      <c r="J80" s="10" t="s">
        <v>18</v>
      </c>
      <c r="K80" s="10" t="s">
        <v>18</v>
      </c>
      <c r="L80" s="9"/>
      <c r="M80" s="9">
        <v>13</v>
      </c>
      <c r="N80" s="9">
        <v>31471</v>
      </c>
      <c r="O80" s="9">
        <v>2</v>
      </c>
      <c r="P80" s="9">
        <v>6442</v>
      </c>
      <c r="Q80" s="10" t="s">
        <v>18</v>
      </c>
      <c r="R80" s="10" t="s">
        <v>18</v>
      </c>
      <c r="S80" s="10" t="s">
        <v>18</v>
      </c>
      <c r="T80" s="10" t="s">
        <v>18</v>
      </c>
      <c r="U80" s="10" t="s">
        <v>18</v>
      </c>
      <c r="V80" s="10" t="s">
        <v>18</v>
      </c>
      <c r="W80" s="10" t="s">
        <v>18</v>
      </c>
      <c r="X80" s="10" t="s">
        <v>18</v>
      </c>
      <c r="Z80" s="21">
        <v>684590</v>
      </c>
      <c r="AB80" s="21">
        <f t="shared" si="4"/>
        <v>92401</v>
      </c>
      <c r="AC80" s="21">
        <f t="shared" si="5"/>
        <v>26246</v>
      </c>
      <c r="AE80" s="23">
        <f t="shared" si="6"/>
        <v>13.497275741684803</v>
      </c>
      <c r="AF80" s="23">
        <f t="shared" si="7"/>
        <v>3.8338275464146419</v>
      </c>
    </row>
    <row r="81" spans="1:32">
      <c r="A81" s="5" t="s">
        <v>106</v>
      </c>
      <c r="B81" s="6">
        <v>1</v>
      </c>
      <c r="C81" s="6">
        <v>3230</v>
      </c>
      <c r="D81" s="6">
        <v>3</v>
      </c>
      <c r="E81" s="6">
        <v>20906</v>
      </c>
      <c r="F81" s="6">
        <v>1</v>
      </c>
      <c r="G81" s="6">
        <v>16094</v>
      </c>
      <c r="H81" s="6">
        <v>1</v>
      </c>
      <c r="I81" s="6">
        <v>22744</v>
      </c>
      <c r="J81" s="7" t="s">
        <v>18</v>
      </c>
      <c r="K81" s="7" t="s">
        <v>18</v>
      </c>
      <c r="L81" s="7"/>
      <c r="M81" s="6">
        <v>21</v>
      </c>
      <c r="N81" s="6">
        <v>49690</v>
      </c>
      <c r="O81" s="6">
        <v>5</v>
      </c>
      <c r="P81" s="6">
        <v>17936</v>
      </c>
      <c r="Q81" s="6">
        <v>1</v>
      </c>
      <c r="R81" s="6">
        <v>4625</v>
      </c>
      <c r="S81" s="6">
        <v>1</v>
      </c>
      <c r="T81" s="6">
        <v>6870</v>
      </c>
      <c r="U81" s="7" t="s">
        <v>18</v>
      </c>
      <c r="V81" s="7" t="s">
        <v>18</v>
      </c>
      <c r="W81" s="7" t="s">
        <v>18</v>
      </c>
      <c r="X81" s="7" t="s">
        <v>18</v>
      </c>
      <c r="Z81" s="21">
        <v>987863</v>
      </c>
      <c r="AB81" s="21">
        <f t="shared" si="4"/>
        <v>142095</v>
      </c>
      <c r="AC81" s="21">
        <f t="shared" si="5"/>
        <v>22744</v>
      </c>
      <c r="AE81" s="23">
        <f t="shared" si="6"/>
        <v>14.384079573787053</v>
      </c>
      <c r="AF81" s="23">
        <f t="shared" si="7"/>
        <v>2.3023435435885342</v>
      </c>
    </row>
    <row r="82" spans="1:32">
      <c r="A82" s="8" t="s">
        <v>107</v>
      </c>
      <c r="B82" s="9">
        <v>1</v>
      </c>
      <c r="C82" s="9">
        <v>3111</v>
      </c>
      <c r="D82" s="9">
        <v>2</v>
      </c>
      <c r="E82" s="9">
        <v>12643</v>
      </c>
      <c r="F82" s="9">
        <v>3</v>
      </c>
      <c r="G82" s="9">
        <v>34169</v>
      </c>
      <c r="H82" s="10" t="s">
        <v>18</v>
      </c>
      <c r="I82" s="10" t="s">
        <v>18</v>
      </c>
      <c r="J82" s="9">
        <v>1</v>
      </c>
      <c r="K82" s="9">
        <v>155673</v>
      </c>
      <c r="L82" s="9"/>
      <c r="M82" s="9">
        <v>49</v>
      </c>
      <c r="N82" s="9">
        <v>118687</v>
      </c>
      <c r="O82" s="9">
        <v>18</v>
      </c>
      <c r="P82" s="9">
        <v>59562</v>
      </c>
      <c r="Q82" s="9">
        <v>2</v>
      </c>
      <c r="R82" s="9">
        <v>9088</v>
      </c>
      <c r="S82" s="9">
        <v>4</v>
      </c>
      <c r="T82" s="9">
        <v>25054</v>
      </c>
      <c r="U82" s="10" t="s">
        <v>18</v>
      </c>
      <c r="V82" s="10" t="s">
        <v>18</v>
      </c>
      <c r="W82" s="10" t="s">
        <v>18</v>
      </c>
      <c r="X82" s="10" t="s">
        <v>18</v>
      </c>
      <c r="Z82" s="21">
        <v>1478398</v>
      </c>
      <c r="AB82" s="21">
        <f t="shared" si="4"/>
        <v>417987</v>
      </c>
      <c r="AC82" s="21">
        <f t="shared" si="5"/>
        <v>155673</v>
      </c>
      <c r="AE82" s="23">
        <f t="shared" si="6"/>
        <v>28.272968442868564</v>
      </c>
      <c r="AF82" s="23">
        <f t="shared" si="7"/>
        <v>10.529843790373093</v>
      </c>
    </row>
    <row r="83" spans="1:32">
      <c r="A83" s="5" t="s">
        <v>108</v>
      </c>
      <c r="B83" s="6">
        <v>1</v>
      </c>
      <c r="C83" s="6">
        <v>2817</v>
      </c>
      <c r="D83" s="7" t="s">
        <v>18</v>
      </c>
      <c r="E83" s="7" t="s">
        <v>18</v>
      </c>
      <c r="F83" s="6">
        <v>1</v>
      </c>
      <c r="G83" s="6">
        <v>14275</v>
      </c>
      <c r="H83" s="7" t="s">
        <v>18</v>
      </c>
      <c r="I83" s="7" t="s">
        <v>18</v>
      </c>
      <c r="J83" s="7" t="s">
        <v>18</v>
      </c>
      <c r="K83" s="7" t="s">
        <v>18</v>
      </c>
      <c r="L83" s="7"/>
      <c r="M83" s="6">
        <v>19</v>
      </c>
      <c r="N83" s="6">
        <v>42839</v>
      </c>
      <c r="O83" s="6">
        <v>3</v>
      </c>
      <c r="P83" s="6">
        <v>9340</v>
      </c>
      <c r="Q83" s="7" t="s">
        <v>18</v>
      </c>
      <c r="R83" s="7" t="s">
        <v>18</v>
      </c>
      <c r="S83" s="7" t="s">
        <v>18</v>
      </c>
      <c r="T83" s="7" t="s">
        <v>18</v>
      </c>
      <c r="U83" s="7" t="s">
        <v>18</v>
      </c>
      <c r="V83" s="7" t="s">
        <v>18</v>
      </c>
      <c r="W83" s="7" t="s">
        <v>18</v>
      </c>
      <c r="X83" s="7" t="s">
        <v>18</v>
      </c>
      <c r="Z83" s="21">
        <v>453416</v>
      </c>
      <c r="AB83" s="21">
        <f t="shared" si="4"/>
        <v>69271</v>
      </c>
      <c r="AC83" s="21">
        <f t="shared" si="5"/>
        <v>0</v>
      </c>
      <c r="AE83" s="23">
        <f t="shared" si="6"/>
        <v>15.277581735095366</v>
      </c>
      <c r="AF83" s="23">
        <f t="shared" si="7"/>
        <v>0</v>
      </c>
    </row>
    <row r="84" spans="1:32">
      <c r="A84" s="8" t="s">
        <v>109</v>
      </c>
      <c r="B84" s="10" t="s">
        <v>18</v>
      </c>
      <c r="C84" s="10" t="s">
        <v>18</v>
      </c>
      <c r="D84" s="9">
        <v>2</v>
      </c>
      <c r="E84" s="9">
        <v>16476</v>
      </c>
      <c r="F84" s="10" t="s">
        <v>18</v>
      </c>
      <c r="G84" s="10" t="s">
        <v>18</v>
      </c>
      <c r="H84" s="9">
        <v>1</v>
      </c>
      <c r="I84" s="9">
        <v>36466</v>
      </c>
      <c r="J84" s="10" t="s">
        <v>18</v>
      </c>
      <c r="K84" s="10" t="s">
        <v>18</v>
      </c>
      <c r="L84" s="10"/>
      <c r="M84" s="9">
        <v>10</v>
      </c>
      <c r="N84" s="9">
        <v>23542</v>
      </c>
      <c r="O84" s="9">
        <v>4</v>
      </c>
      <c r="P84" s="9">
        <v>12624</v>
      </c>
      <c r="Q84" s="9">
        <v>1</v>
      </c>
      <c r="R84" s="9">
        <v>4181</v>
      </c>
      <c r="S84" s="10" t="s">
        <v>18</v>
      </c>
      <c r="T84" s="10" t="s">
        <v>18</v>
      </c>
      <c r="U84" s="10" t="s">
        <v>18</v>
      </c>
      <c r="V84" s="10" t="s">
        <v>18</v>
      </c>
      <c r="W84" s="10" t="s">
        <v>18</v>
      </c>
      <c r="X84" s="10" t="s">
        <v>18</v>
      </c>
      <c r="Z84" s="21">
        <v>645121</v>
      </c>
      <c r="AB84" s="21">
        <f t="shared" si="4"/>
        <v>93289</v>
      </c>
      <c r="AC84" s="21">
        <f t="shared" si="5"/>
        <v>36466</v>
      </c>
      <c r="AE84" s="23">
        <f t="shared" si="6"/>
        <v>14.460698070594507</v>
      </c>
      <c r="AF84" s="23">
        <f t="shared" si="7"/>
        <v>5.652583003808588</v>
      </c>
    </row>
    <row r="85" spans="1:32">
      <c r="A85" s="5" t="s">
        <v>110</v>
      </c>
      <c r="B85" s="7" t="s">
        <v>18</v>
      </c>
      <c r="C85" s="7" t="s">
        <v>18</v>
      </c>
      <c r="D85" s="6">
        <v>1</v>
      </c>
      <c r="E85" s="6">
        <v>8928</v>
      </c>
      <c r="F85" s="6">
        <v>1</v>
      </c>
      <c r="G85" s="6">
        <v>13785</v>
      </c>
      <c r="H85" s="6">
        <v>3</v>
      </c>
      <c r="I85" s="6">
        <v>118274</v>
      </c>
      <c r="J85" s="6">
        <v>2</v>
      </c>
      <c r="K85" s="6">
        <v>143371</v>
      </c>
      <c r="L85" s="7"/>
      <c r="M85" s="6">
        <v>60</v>
      </c>
      <c r="N85" s="6">
        <v>142808</v>
      </c>
      <c r="O85" s="6">
        <v>14</v>
      </c>
      <c r="P85" s="6">
        <v>48727</v>
      </c>
      <c r="Q85" s="6">
        <v>7</v>
      </c>
      <c r="R85" s="6">
        <v>30668</v>
      </c>
      <c r="S85" s="6">
        <v>2</v>
      </c>
      <c r="T85" s="6">
        <v>13753</v>
      </c>
      <c r="U85" s="6">
        <v>1</v>
      </c>
      <c r="V85" s="6">
        <v>10974</v>
      </c>
      <c r="W85" s="7" t="s">
        <v>18</v>
      </c>
      <c r="X85" s="7" t="s">
        <v>18</v>
      </c>
      <c r="Z85" s="21">
        <v>1572214</v>
      </c>
      <c r="AB85" s="21">
        <f t="shared" si="4"/>
        <v>531288</v>
      </c>
      <c r="AC85" s="21">
        <f t="shared" si="5"/>
        <v>261645</v>
      </c>
      <c r="AE85" s="23">
        <f t="shared" si="6"/>
        <v>33.79234633453207</v>
      </c>
      <c r="AF85" s="23">
        <f t="shared" si="7"/>
        <v>16.641818480181449</v>
      </c>
    </row>
    <row r="87" spans="1:32">
      <c r="Z87" s="21">
        <f>SUM(Z5:Z85)</f>
        <v>115947114</v>
      </c>
      <c r="AB87" s="21">
        <f>SUM(AB5:AB85)</f>
        <v>36777843</v>
      </c>
      <c r="AC87" s="21">
        <f>SUM(AC5:AC85)</f>
        <v>10387372</v>
      </c>
      <c r="AE87" s="23">
        <f t="shared" ref="AE87" si="8">AB87/Z87*100</f>
        <v>31.719498425808169</v>
      </c>
      <c r="AF87" s="23">
        <f t="shared" ref="AF87" si="9">AC87/Z87*100</f>
        <v>8.9587154364187107</v>
      </c>
    </row>
  </sheetData>
  <mergeCells count="16">
    <mergeCell ref="Q3:R3"/>
    <mergeCell ref="S3:T3"/>
    <mergeCell ref="U3:V3"/>
    <mergeCell ref="W3:X3"/>
    <mergeCell ref="AB3:AC3"/>
    <mergeCell ref="AE3:AF3"/>
    <mergeCell ref="A2:A3"/>
    <mergeCell ref="B2:K2"/>
    <mergeCell ref="M2:X2"/>
    <mergeCell ref="B3:C3"/>
    <mergeCell ref="D3:E3"/>
    <mergeCell ref="F3:G3"/>
    <mergeCell ref="H3:I3"/>
    <mergeCell ref="J3:K3"/>
    <mergeCell ref="M3:N3"/>
    <mergeCell ref="O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2BF2-32CD-48A6-AB48-27DF21E6263A}">
  <dimension ref="A2:AF54"/>
  <sheetViews>
    <sheetView workbookViewId="0">
      <selection activeCell="AK45" sqref="AK45"/>
    </sheetView>
  </sheetViews>
  <sheetFormatPr defaultRowHeight="15"/>
  <cols>
    <col min="1" max="1" width="18.7109375" bestFit="1" customWidth="1"/>
    <col min="2" max="2" width="5.7109375" bestFit="1" customWidth="1"/>
    <col min="4" max="4" width="5.7109375" bestFit="1" customWidth="1"/>
    <col min="6" max="6" width="5.7109375" bestFit="1" customWidth="1"/>
    <col min="8" max="8" width="5.7109375" bestFit="1" customWidth="1"/>
    <col min="10" max="10" width="5.7109375" bestFit="1" customWidth="1"/>
    <col min="13" max="13" width="5.7109375" bestFit="1" customWidth="1"/>
    <col min="15" max="15" width="5.7109375" bestFit="1" customWidth="1"/>
    <col min="17" max="17" width="5.7109375" bestFit="1" customWidth="1"/>
    <col min="19" max="19" width="5.7109375" bestFit="1" customWidth="1"/>
    <col min="21" max="21" width="5.7109375" bestFit="1" customWidth="1"/>
    <col min="23" max="23" width="5.7109375" bestFit="1" customWidth="1"/>
    <col min="26" max="26" width="11.140625" bestFit="1" customWidth="1"/>
    <col min="28" max="29" width="10.140625" bestFit="1" customWidth="1"/>
    <col min="31" max="31" width="7.28515625" bestFit="1" customWidth="1"/>
    <col min="32" max="32" width="8.28515625" bestFit="1" customWidth="1"/>
  </cols>
  <sheetData>
    <row r="2" spans="1:32">
      <c r="A2" s="14" t="s">
        <v>1</v>
      </c>
      <c r="B2" s="14" t="s">
        <v>2</v>
      </c>
      <c r="C2" s="14"/>
      <c r="D2" s="14"/>
      <c r="E2" s="14"/>
      <c r="F2" s="14"/>
      <c r="G2" s="14"/>
      <c r="H2" s="14"/>
      <c r="I2" s="14"/>
      <c r="J2" s="14"/>
      <c r="K2" s="14"/>
      <c r="L2" s="15"/>
      <c r="M2" s="14" t="s">
        <v>3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2">
      <c r="A3" s="14"/>
      <c r="B3" s="14" t="s">
        <v>4</v>
      </c>
      <c r="C3" s="14"/>
      <c r="D3" s="14" t="s">
        <v>5</v>
      </c>
      <c r="E3" s="14"/>
      <c r="F3" s="14" t="s">
        <v>6</v>
      </c>
      <c r="G3" s="14"/>
      <c r="H3" s="14" t="s">
        <v>7</v>
      </c>
      <c r="I3" s="14"/>
      <c r="J3" s="14" t="s">
        <v>8</v>
      </c>
      <c r="K3" s="14"/>
      <c r="L3" s="15"/>
      <c r="M3" s="14" t="s">
        <v>9</v>
      </c>
      <c r="N3" s="14"/>
      <c r="O3" s="14" t="s">
        <v>10</v>
      </c>
      <c r="P3" s="14"/>
      <c r="Q3" s="14" t="s">
        <v>11</v>
      </c>
      <c r="R3" s="14"/>
      <c r="S3" s="14" t="s">
        <v>5</v>
      </c>
      <c r="T3" s="14"/>
      <c r="U3" s="14" t="s">
        <v>6</v>
      </c>
      <c r="V3" s="14"/>
      <c r="W3" s="14" t="s">
        <v>12</v>
      </c>
      <c r="X3" s="14"/>
      <c r="Z3" s="22" t="s">
        <v>129</v>
      </c>
      <c r="AB3" s="25" t="s">
        <v>130</v>
      </c>
      <c r="AC3" s="25"/>
      <c r="AE3" s="25" t="s">
        <v>131</v>
      </c>
      <c r="AF3" s="25"/>
    </row>
    <row r="4" spans="1:32">
      <c r="A4" s="1"/>
      <c r="B4" s="2" t="s">
        <v>13</v>
      </c>
      <c r="C4" s="2" t="s">
        <v>14</v>
      </c>
      <c r="D4" s="2" t="s">
        <v>13</v>
      </c>
      <c r="E4" s="2" t="s">
        <v>14</v>
      </c>
      <c r="F4" s="2" t="s">
        <v>13</v>
      </c>
      <c r="G4" s="2" t="s">
        <v>14</v>
      </c>
      <c r="H4" s="2" t="s">
        <v>13</v>
      </c>
      <c r="I4" s="2" t="s">
        <v>14</v>
      </c>
      <c r="J4" s="2" t="s">
        <v>13</v>
      </c>
      <c r="K4" s="2" t="s">
        <v>14</v>
      </c>
      <c r="L4" s="16"/>
      <c r="M4" s="2" t="s">
        <v>13</v>
      </c>
      <c r="N4" s="2" t="s">
        <v>14</v>
      </c>
      <c r="O4" s="2" t="s">
        <v>13</v>
      </c>
      <c r="P4" s="2" t="s">
        <v>14</v>
      </c>
      <c r="Q4" s="2" t="s">
        <v>13</v>
      </c>
      <c r="R4" s="2" t="s">
        <v>14</v>
      </c>
      <c r="S4" s="2" t="s">
        <v>13</v>
      </c>
      <c r="T4" s="2" t="s">
        <v>14</v>
      </c>
      <c r="U4" s="2" t="s">
        <v>13</v>
      </c>
      <c r="V4" s="2" t="s">
        <v>14</v>
      </c>
      <c r="W4" s="2" t="s">
        <v>13</v>
      </c>
      <c r="X4" s="2" t="s">
        <v>14</v>
      </c>
      <c r="Z4" s="22" t="s">
        <v>115</v>
      </c>
      <c r="AB4" s="22" t="s">
        <v>116</v>
      </c>
      <c r="AC4" s="22" t="s">
        <v>117</v>
      </c>
      <c r="AE4" s="22" t="s">
        <v>118</v>
      </c>
      <c r="AF4" s="22" t="s">
        <v>119</v>
      </c>
    </row>
    <row r="5" spans="1:32">
      <c r="A5" s="5" t="s">
        <v>17</v>
      </c>
      <c r="B5" s="6">
        <v>2</v>
      </c>
      <c r="C5" s="6">
        <v>4988</v>
      </c>
      <c r="D5" s="7" t="s">
        <v>18</v>
      </c>
      <c r="E5" s="7" t="s">
        <v>18</v>
      </c>
      <c r="F5" s="7" t="s">
        <v>18</v>
      </c>
      <c r="G5" s="7" t="s">
        <v>18</v>
      </c>
      <c r="H5" s="6">
        <v>1</v>
      </c>
      <c r="I5" s="6">
        <v>20882</v>
      </c>
      <c r="J5" s="7" t="s">
        <v>18</v>
      </c>
      <c r="K5" s="7" t="s">
        <v>18</v>
      </c>
      <c r="L5" s="7"/>
      <c r="M5" s="6">
        <v>4</v>
      </c>
      <c r="N5" s="6">
        <v>8641</v>
      </c>
      <c r="O5" s="7" t="s">
        <v>18</v>
      </c>
      <c r="P5" s="7" t="s">
        <v>18</v>
      </c>
      <c r="Q5" s="7" t="s">
        <v>18</v>
      </c>
      <c r="R5" s="7" t="s">
        <v>18</v>
      </c>
      <c r="S5" s="7" t="s">
        <v>18</v>
      </c>
      <c r="T5" s="7" t="s">
        <v>18</v>
      </c>
      <c r="U5" s="7" t="s">
        <v>18</v>
      </c>
      <c r="V5" s="7" t="s">
        <v>18</v>
      </c>
      <c r="W5" s="7" t="s">
        <v>18</v>
      </c>
      <c r="X5" s="7" t="s">
        <v>18</v>
      </c>
      <c r="Z5" s="21">
        <v>346536</v>
      </c>
      <c r="AB5" s="21">
        <f t="shared" ref="AB5:AB35" si="0">N(C5)+N(E5)+N(G5)+N(I5)+N(K5)+N(N5)+N(P5)+N(R5)+N(T5)+N(V5)+N(X5)</f>
        <v>34511</v>
      </c>
      <c r="AC5" s="21">
        <f t="shared" ref="AC5:AC35" si="1">N(I5)+N(K5)+N(X5)</f>
        <v>20882</v>
      </c>
      <c r="AE5" s="23">
        <f t="shared" ref="AE5:AE35" si="2">AB5/Z5*100</f>
        <v>9.9588498741833469</v>
      </c>
      <c r="AF5" s="23">
        <f t="shared" ref="AF5:AF35" si="3">AC5/Z5*100</f>
        <v>6.0259251564051066</v>
      </c>
    </row>
    <row r="6" spans="1:32">
      <c r="A6" s="8" t="s">
        <v>19</v>
      </c>
      <c r="B6" s="9">
        <v>2</v>
      </c>
      <c r="C6" s="9">
        <v>7052</v>
      </c>
      <c r="D6" s="9">
        <v>2</v>
      </c>
      <c r="E6" s="9">
        <v>12570</v>
      </c>
      <c r="F6" s="10" t="s">
        <v>18</v>
      </c>
      <c r="G6" s="10" t="s">
        <v>18</v>
      </c>
      <c r="H6" s="10" t="s">
        <v>18</v>
      </c>
      <c r="I6" s="10" t="s">
        <v>18</v>
      </c>
      <c r="J6" s="9">
        <v>1</v>
      </c>
      <c r="K6" s="9">
        <v>112880</v>
      </c>
      <c r="L6" s="9"/>
      <c r="M6" s="9">
        <v>29</v>
      </c>
      <c r="N6" s="9">
        <v>70859</v>
      </c>
      <c r="O6" s="9">
        <v>18</v>
      </c>
      <c r="P6" s="9">
        <v>62034</v>
      </c>
      <c r="Q6" s="9">
        <v>3</v>
      </c>
      <c r="R6" s="9">
        <v>13604</v>
      </c>
      <c r="S6" s="9">
        <v>8</v>
      </c>
      <c r="T6" s="9">
        <v>55225</v>
      </c>
      <c r="U6" s="9">
        <v>2</v>
      </c>
      <c r="V6" s="9">
        <v>24324</v>
      </c>
      <c r="W6" s="9">
        <v>1</v>
      </c>
      <c r="X6" s="9">
        <v>20725</v>
      </c>
      <c r="Z6" s="21">
        <v>1003542</v>
      </c>
      <c r="AB6" s="21">
        <f t="shared" si="0"/>
        <v>379273</v>
      </c>
      <c r="AC6" s="21">
        <f t="shared" si="1"/>
        <v>133605</v>
      </c>
      <c r="AE6" s="23">
        <f t="shared" si="2"/>
        <v>37.793435650924422</v>
      </c>
      <c r="AF6" s="23">
        <f t="shared" si="3"/>
        <v>13.313344135073567</v>
      </c>
    </row>
    <row r="7" spans="1:32">
      <c r="A7" s="8" t="s">
        <v>23</v>
      </c>
      <c r="B7" s="9">
        <v>4</v>
      </c>
      <c r="C7" s="9">
        <v>13115</v>
      </c>
      <c r="D7" s="9">
        <v>5</v>
      </c>
      <c r="E7" s="9">
        <v>36752</v>
      </c>
      <c r="F7" s="9">
        <v>4</v>
      </c>
      <c r="G7" s="9">
        <v>58064</v>
      </c>
      <c r="H7" s="9">
        <v>1</v>
      </c>
      <c r="I7" s="9">
        <v>28479</v>
      </c>
      <c r="J7" s="9">
        <v>1</v>
      </c>
      <c r="K7" s="9">
        <v>54208</v>
      </c>
      <c r="L7" s="9"/>
      <c r="M7" s="9">
        <v>6</v>
      </c>
      <c r="N7" s="9">
        <v>13444</v>
      </c>
      <c r="O7" s="9">
        <v>4</v>
      </c>
      <c r="P7" s="9">
        <v>13622</v>
      </c>
      <c r="Q7" s="9">
        <v>1</v>
      </c>
      <c r="R7" s="9">
        <v>4147</v>
      </c>
      <c r="S7" s="9">
        <v>5</v>
      </c>
      <c r="T7" s="9">
        <v>32371</v>
      </c>
      <c r="U7" s="9">
        <v>1</v>
      </c>
      <c r="V7" s="9">
        <v>12007</v>
      </c>
      <c r="W7" s="9">
        <v>1</v>
      </c>
      <c r="X7" s="9">
        <v>25233</v>
      </c>
      <c r="Z7" s="21">
        <v>1515691</v>
      </c>
      <c r="AB7" s="21">
        <f t="shared" si="0"/>
        <v>291442</v>
      </c>
      <c r="AC7" s="21">
        <f t="shared" si="1"/>
        <v>107920</v>
      </c>
      <c r="AE7" s="23">
        <f t="shared" si="2"/>
        <v>19.228325562400254</v>
      </c>
      <c r="AF7" s="23">
        <f t="shared" si="3"/>
        <v>7.1201847870047397</v>
      </c>
    </row>
    <row r="8" spans="1:32">
      <c r="A8" s="5" t="s">
        <v>24</v>
      </c>
      <c r="B8" s="6">
        <v>5</v>
      </c>
      <c r="C8" s="6">
        <v>17575</v>
      </c>
      <c r="D8" s="7" t="s">
        <v>18</v>
      </c>
      <c r="E8" s="7" t="s">
        <v>18</v>
      </c>
      <c r="F8" s="6">
        <v>1</v>
      </c>
      <c r="G8" s="6">
        <v>11137</v>
      </c>
      <c r="H8" s="6">
        <v>1</v>
      </c>
      <c r="I8" s="6">
        <v>27705</v>
      </c>
      <c r="J8" s="7" t="s">
        <v>18</v>
      </c>
      <c r="K8" s="7" t="s">
        <v>18</v>
      </c>
      <c r="L8" s="7"/>
      <c r="M8" s="6">
        <v>2</v>
      </c>
      <c r="N8" s="6">
        <v>4403</v>
      </c>
      <c r="O8" s="7" t="s">
        <v>18</v>
      </c>
      <c r="P8" s="7" t="s">
        <v>18</v>
      </c>
      <c r="Q8" s="7" t="s">
        <v>18</v>
      </c>
      <c r="R8" s="7" t="s">
        <v>18</v>
      </c>
      <c r="S8" s="7" t="s">
        <v>18</v>
      </c>
      <c r="T8" s="7" t="s">
        <v>18</v>
      </c>
      <c r="U8" s="7" t="s">
        <v>18</v>
      </c>
      <c r="V8" s="7" t="s">
        <v>18</v>
      </c>
      <c r="W8" s="7" t="s">
        <v>18</v>
      </c>
      <c r="X8" s="7" t="s">
        <v>18</v>
      </c>
      <c r="Z8" s="21">
        <v>1341785</v>
      </c>
      <c r="AB8" s="21">
        <f t="shared" si="0"/>
        <v>60820</v>
      </c>
      <c r="AC8" s="21">
        <f t="shared" si="1"/>
        <v>27705</v>
      </c>
      <c r="AE8" s="23">
        <f t="shared" si="2"/>
        <v>4.5327679173638096</v>
      </c>
      <c r="AF8" s="23">
        <f t="shared" si="3"/>
        <v>2.0647868324657077</v>
      </c>
    </row>
    <row r="9" spans="1:32">
      <c r="A9" s="5" t="s">
        <v>26</v>
      </c>
      <c r="B9" s="6">
        <v>2</v>
      </c>
      <c r="C9" s="6">
        <v>6293</v>
      </c>
      <c r="D9" s="6">
        <v>7</v>
      </c>
      <c r="E9" s="6">
        <v>48676</v>
      </c>
      <c r="F9" s="6">
        <v>1</v>
      </c>
      <c r="G9" s="6">
        <v>13081</v>
      </c>
      <c r="H9" s="6">
        <v>1</v>
      </c>
      <c r="I9" s="6">
        <v>20983</v>
      </c>
      <c r="J9" s="6">
        <v>1</v>
      </c>
      <c r="K9" s="6">
        <v>80599</v>
      </c>
      <c r="L9" s="6"/>
      <c r="M9" s="6">
        <v>144</v>
      </c>
      <c r="N9" s="6">
        <v>351948</v>
      </c>
      <c r="O9" s="6">
        <v>55</v>
      </c>
      <c r="P9" s="6">
        <v>188165</v>
      </c>
      <c r="Q9" s="6">
        <v>36</v>
      </c>
      <c r="R9" s="6">
        <v>159023</v>
      </c>
      <c r="S9" s="6">
        <v>63</v>
      </c>
      <c r="T9" s="6">
        <v>424436</v>
      </c>
      <c r="U9" s="6">
        <v>7</v>
      </c>
      <c r="V9" s="6">
        <v>86962</v>
      </c>
      <c r="W9" s="6">
        <v>1</v>
      </c>
      <c r="X9" s="6">
        <v>23443</v>
      </c>
      <c r="Z9" s="21">
        <v>2531253</v>
      </c>
      <c r="AB9" s="21">
        <f t="shared" si="0"/>
        <v>1403609</v>
      </c>
      <c r="AC9" s="21">
        <f t="shared" si="1"/>
        <v>125025</v>
      </c>
      <c r="AE9" s="23">
        <f t="shared" si="2"/>
        <v>55.451154033200154</v>
      </c>
      <c r="AF9" s="23">
        <f t="shared" si="3"/>
        <v>4.939253405329298</v>
      </c>
    </row>
    <row r="10" spans="1:32">
      <c r="A10" s="8" t="s">
        <v>27</v>
      </c>
      <c r="B10" s="9">
        <v>7</v>
      </c>
      <c r="C10" s="9">
        <v>28155</v>
      </c>
      <c r="D10" s="9">
        <v>1</v>
      </c>
      <c r="E10" s="9">
        <v>9764</v>
      </c>
      <c r="F10" s="9">
        <v>1</v>
      </c>
      <c r="G10" s="9">
        <v>10051</v>
      </c>
      <c r="H10" s="9">
        <v>2</v>
      </c>
      <c r="I10" s="9">
        <v>46406</v>
      </c>
      <c r="J10" s="10" t="s">
        <v>18</v>
      </c>
      <c r="K10" s="10" t="s">
        <v>18</v>
      </c>
      <c r="L10" s="10"/>
      <c r="M10" s="9">
        <v>12</v>
      </c>
      <c r="N10" s="9">
        <v>30624</v>
      </c>
      <c r="O10" s="9">
        <v>1</v>
      </c>
      <c r="P10" s="9">
        <v>3232</v>
      </c>
      <c r="Q10" s="9">
        <v>2</v>
      </c>
      <c r="R10" s="9">
        <v>8785</v>
      </c>
      <c r="S10" s="9">
        <v>1</v>
      </c>
      <c r="T10" s="9">
        <v>5245</v>
      </c>
      <c r="U10" s="10" t="s">
        <v>18</v>
      </c>
      <c r="V10" s="10" t="s">
        <v>18</v>
      </c>
      <c r="W10" s="9">
        <v>2</v>
      </c>
      <c r="X10" s="9">
        <v>62695</v>
      </c>
      <c r="Z10" s="21">
        <v>3030831</v>
      </c>
      <c r="AB10" s="21">
        <f t="shared" si="0"/>
        <v>204957</v>
      </c>
      <c r="AC10" s="21">
        <f t="shared" si="1"/>
        <v>109101</v>
      </c>
      <c r="AE10" s="23">
        <f t="shared" si="2"/>
        <v>6.7624027865624976</v>
      </c>
      <c r="AF10" s="23">
        <f t="shared" si="3"/>
        <v>3.5997058232544141</v>
      </c>
    </row>
    <row r="11" spans="1:32">
      <c r="A11" s="8" t="s">
        <v>29</v>
      </c>
      <c r="B11" s="10" t="s">
        <v>18</v>
      </c>
      <c r="C11" s="10" t="s">
        <v>18</v>
      </c>
      <c r="D11" s="10" t="s">
        <v>18</v>
      </c>
      <c r="E11" s="10" t="s">
        <v>18</v>
      </c>
      <c r="F11" s="9">
        <v>1</v>
      </c>
      <c r="G11" s="9">
        <v>16479</v>
      </c>
      <c r="H11" s="9">
        <v>1</v>
      </c>
      <c r="I11" s="9">
        <v>28427</v>
      </c>
      <c r="J11" s="9">
        <v>3</v>
      </c>
      <c r="K11" s="9">
        <v>222876</v>
      </c>
      <c r="L11" s="9"/>
      <c r="M11" s="9">
        <v>71</v>
      </c>
      <c r="N11" s="9">
        <v>170000</v>
      </c>
      <c r="O11" s="9">
        <v>29</v>
      </c>
      <c r="P11" s="9">
        <v>99031</v>
      </c>
      <c r="Q11" s="9">
        <v>18</v>
      </c>
      <c r="R11" s="9">
        <v>80268</v>
      </c>
      <c r="S11" s="9">
        <v>28</v>
      </c>
      <c r="T11" s="9">
        <v>176437</v>
      </c>
      <c r="U11" s="9">
        <v>6</v>
      </c>
      <c r="V11" s="9">
        <v>75508</v>
      </c>
      <c r="W11" s="10" t="s">
        <v>18</v>
      </c>
      <c r="X11" s="10" t="s">
        <v>18</v>
      </c>
      <c r="Z11" s="21">
        <v>2564238</v>
      </c>
      <c r="AB11" s="21">
        <f t="shared" si="0"/>
        <v>869026</v>
      </c>
      <c r="AC11" s="21">
        <f t="shared" si="1"/>
        <v>251303</v>
      </c>
      <c r="AE11" s="23">
        <f t="shared" si="2"/>
        <v>33.890223918372634</v>
      </c>
      <c r="AF11" s="23">
        <f t="shared" si="3"/>
        <v>9.80029934818843</v>
      </c>
    </row>
    <row r="12" spans="1:32">
      <c r="A12" s="8" t="s">
        <v>31</v>
      </c>
      <c r="B12" s="9">
        <v>8</v>
      </c>
      <c r="C12" s="9">
        <v>27355</v>
      </c>
      <c r="D12" s="9">
        <v>1</v>
      </c>
      <c r="E12" s="9">
        <v>5284</v>
      </c>
      <c r="F12" s="10" t="s">
        <v>18</v>
      </c>
      <c r="G12" s="10" t="s">
        <v>18</v>
      </c>
      <c r="H12" s="9">
        <v>1</v>
      </c>
      <c r="I12" s="9">
        <v>20104</v>
      </c>
      <c r="J12" s="9">
        <v>1</v>
      </c>
      <c r="K12" s="9">
        <v>129959</v>
      </c>
      <c r="L12" s="9"/>
      <c r="M12" s="9">
        <v>50</v>
      </c>
      <c r="N12" s="9">
        <v>120154</v>
      </c>
      <c r="O12" s="9">
        <v>8</v>
      </c>
      <c r="P12" s="9">
        <v>27081</v>
      </c>
      <c r="Q12" s="9">
        <v>3</v>
      </c>
      <c r="R12" s="9">
        <v>12685</v>
      </c>
      <c r="S12" s="9">
        <v>1</v>
      </c>
      <c r="T12" s="9">
        <v>6058</v>
      </c>
      <c r="U12" s="10" t="s">
        <v>18</v>
      </c>
      <c r="V12" s="10" t="s">
        <v>18</v>
      </c>
      <c r="W12" s="10" t="s">
        <v>18</v>
      </c>
      <c r="X12" s="10" t="s">
        <v>18</v>
      </c>
      <c r="Z12" s="21">
        <v>2170665</v>
      </c>
      <c r="AB12" s="21">
        <f t="shared" si="0"/>
        <v>348680</v>
      </c>
      <c r="AC12" s="21">
        <f t="shared" si="1"/>
        <v>150063</v>
      </c>
      <c r="AE12" s="23">
        <f t="shared" si="2"/>
        <v>16.063280146867434</v>
      </c>
      <c r="AF12" s="23">
        <f t="shared" si="3"/>
        <v>6.9132270525391988</v>
      </c>
    </row>
    <row r="13" spans="1:32">
      <c r="A13" s="5" t="s">
        <v>32</v>
      </c>
      <c r="B13" s="6">
        <v>4</v>
      </c>
      <c r="C13" s="6">
        <v>13174</v>
      </c>
      <c r="D13" s="6">
        <v>4</v>
      </c>
      <c r="E13" s="6">
        <v>25484</v>
      </c>
      <c r="F13" s="7" t="s">
        <v>18</v>
      </c>
      <c r="G13" s="7" t="s">
        <v>18</v>
      </c>
      <c r="H13" s="6">
        <v>1</v>
      </c>
      <c r="I13" s="6">
        <v>49513</v>
      </c>
      <c r="J13" s="7" t="s">
        <v>18</v>
      </c>
      <c r="K13" s="7" t="s">
        <v>18</v>
      </c>
      <c r="L13" s="7"/>
      <c r="M13" s="6">
        <v>11</v>
      </c>
      <c r="N13" s="6">
        <v>24373</v>
      </c>
      <c r="O13" s="6">
        <v>4</v>
      </c>
      <c r="P13" s="6">
        <v>14111</v>
      </c>
      <c r="Q13" s="6">
        <v>1</v>
      </c>
      <c r="R13" s="6">
        <v>4983</v>
      </c>
      <c r="S13" s="6">
        <v>1</v>
      </c>
      <c r="T13" s="6">
        <v>7784</v>
      </c>
      <c r="U13" s="7" t="s">
        <v>18</v>
      </c>
      <c r="V13" s="7" t="s">
        <v>18</v>
      </c>
      <c r="W13" s="7" t="s">
        <v>18</v>
      </c>
      <c r="X13" s="7" t="s">
        <v>18</v>
      </c>
      <c r="Z13" s="21">
        <v>1132843</v>
      </c>
      <c r="AB13" s="21">
        <f t="shared" si="0"/>
        <v>139422</v>
      </c>
      <c r="AC13" s="21">
        <f t="shared" si="1"/>
        <v>49513</v>
      </c>
      <c r="AE13" s="23">
        <f t="shared" si="2"/>
        <v>12.307265878855233</v>
      </c>
      <c r="AF13" s="23">
        <f t="shared" si="3"/>
        <v>4.370685081692697</v>
      </c>
    </row>
    <row r="14" spans="1:32">
      <c r="A14" s="8" t="s">
        <v>35</v>
      </c>
      <c r="B14" s="9">
        <v>7</v>
      </c>
      <c r="C14" s="9">
        <v>20842</v>
      </c>
      <c r="D14" s="9">
        <v>4</v>
      </c>
      <c r="E14" s="9">
        <v>25037</v>
      </c>
      <c r="F14" s="10" t="s">
        <v>18</v>
      </c>
      <c r="G14" s="10" t="s">
        <v>18</v>
      </c>
      <c r="H14" s="9">
        <v>1</v>
      </c>
      <c r="I14" s="9">
        <v>41336</v>
      </c>
      <c r="J14" s="10" t="s">
        <v>18</v>
      </c>
      <c r="K14" s="10" t="s">
        <v>18</v>
      </c>
      <c r="L14" s="10"/>
      <c r="M14" s="9">
        <v>3</v>
      </c>
      <c r="N14" s="9">
        <v>7777</v>
      </c>
      <c r="O14" s="9">
        <v>2</v>
      </c>
      <c r="P14" s="9">
        <v>6383</v>
      </c>
      <c r="Q14" s="9">
        <v>1</v>
      </c>
      <c r="R14" s="9">
        <v>4173</v>
      </c>
      <c r="S14" s="10" t="s">
        <v>18</v>
      </c>
      <c r="T14" s="10" t="s">
        <v>18</v>
      </c>
      <c r="U14" s="10" t="s">
        <v>18</v>
      </c>
      <c r="V14" s="10" t="s">
        <v>18</v>
      </c>
      <c r="W14" s="10" t="s">
        <v>18</v>
      </c>
      <c r="X14" s="10" t="s">
        <v>18</v>
      </c>
      <c r="Z14" s="21">
        <v>1387015</v>
      </c>
      <c r="AB14" s="21">
        <f t="shared" si="0"/>
        <v>105548</v>
      </c>
      <c r="AC14" s="21">
        <f t="shared" si="1"/>
        <v>41336</v>
      </c>
      <c r="AE14" s="23">
        <f t="shared" si="2"/>
        <v>7.6097230383233061</v>
      </c>
      <c r="AF14" s="23">
        <f t="shared" si="3"/>
        <v>2.9802129032490634</v>
      </c>
    </row>
    <row r="15" spans="1:32">
      <c r="A15" s="8" t="s">
        <v>37</v>
      </c>
      <c r="B15" s="9">
        <v>3</v>
      </c>
      <c r="C15" s="9">
        <v>10180</v>
      </c>
      <c r="D15" s="9">
        <v>7</v>
      </c>
      <c r="E15" s="9">
        <v>49273</v>
      </c>
      <c r="F15" s="9">
        <v>5</v>
      </c>
      <c r="G15" s="9">
        <v>59334</v>
      </c>
      <c r="H15" s="9">
        <v>1</v>
      </c>
      <c r="I15" s="9">
        <v>26564</v>
      </c>
      <c r="J15" s="9">
        <v>1</v>
      </c>
      <c r="K15" s="9">
        <v>75721</v>
      </c>
      <c r="L15" s="9"/>
      <c r="M15" s="9">
        <v>123</v>
      </c>
      <c r="N15" s="9">
        <v>293034</v>
      </c>
      <c r="O15" s="9">
        <v>25</v>
      </c>
      <c r="P15" s="9">
        <v>88813</v>
      </c>
      <c r="Q15" s="9">
        <v>14</v>
      </c>
      <c r="R15" s="9">
        <v>60673</v>
      </c>
      <c r="S15" s="9">
        <v>13</v>
      </c>
      <c r="T15" s="9">
        <v>82377</v>
      </c>
      <c r="U15" s="9">
        <v>3</v>
      </c>
      <c r="V15" s="9">
        <v>40524</v>
      </c>
      <c r="W15" s="10" t="s">
        <v>18</v>
      </c>
      <c r="X15" s="10" t="s">
        <v>18</v>
      </c>
      <c r="Z15" s="21">
        <v>2371012</v>
      </c>
      <c r="AB15" s="21">
        <f t="shared" si="0"/>
        <v>786493</v>
      </c>
      <c r="AC15" s="21">
        <f t="shared" si="1"/>
        <v>102285</v>
      </c>
      <c r="AE15" s="23">
        <f t="shared" si="2"/>
        <v>33.171194409813189</v>
      </c>
      <c r="AF15" s="23">
        <f t="shared" si="3"/>
        <v>4.3139806968501215</v>
      </c>
    </row>
    <row r="16" spans="1:32">
      <c r="A16" s="8" t="s">
        <v>41</v>
      </c>
      <c r="B16" s="9">
        <v>10</v>
      </c>
      <c r="C16" s="9">
        <v>33841</v>
      </c>
      <c r="D16" s="10" t="s">
        <v>18</v>
      </c>
      <c r="E16" s="10" t="s">
        <v>18</v>
      </c>
      <c r="F16" s="9">
        <v>1</v>
      </c>
      <c r="G16" s="9">
        <v>11102</v>
      </c>
      <c r="H16" s="9">
        <v>2</v>
      </c>
      <c r="I16" s="9">
        <v>50848</v>
      </c>
      <c r="J16" s="9">
        <v>1</v>
      </c>
      <c r="K16" s="9">
        <v>1038591</v>
      </c>
      <c r="L16" s="9"/>
      <c r="M16" s="9">
        <v>7</v>
      </c>
      <c r="N16" s="9">
        <v>16133</v>
      </c>
      <c r="O16" s="9">
        <v>7</v>
      </c>
      <c r="P16" s="9">
        <v>24170</v>
      </c>
      <c r="Q16" s="9">
        <v>2</v>
      </c>
      <c r="R16" s="9">
        <v>8490</v>
      </c>
      <c r="S16" s="9">
        <v>5</v>
      </c>
      <c r="T16" s="9">
        <v>41189</v>
      </c>
      <c r="U16" s="9">
        <v>2</v>
      </c>
      <c r="V16" s="9">
        <v>26321</v>
      </c>
      <c r="W16" s="10" t="s">
        <v>18</v>
      </c>
      <c r="X16" s="10" t="s">
        <v>18</v>
      </c>
      <c r="Z16" s="21">
        <v>2430581</v>
      </c>
      <c r="AB16" s="21">
        <f t="shared" si="0"/>
        <v>1250685</v>
      </c>
      <c r="AC16" s="21">
        <f t="shared" si="1"/>
        <v>1089439</v>
      </c>
      <c r="AE16" s="23">
        <f t="shared" si="2"/>
        <v>51.456215612645707</v>
      </c>
      <c r="AF16" s="23">
        <f t="shared" si="3"/>
        <v>44.822163918832572</v>
      </c>
    </row>
    <row r="17" spans="1:32">
      <c r="A17" s="5" t="s">
        <v>42</v>
      </c>
      <c r="B17" s="6">
        <v>7</v>
      </c>
      <c r="C17" s="6">
        <v>25085</v>
      </c>
      <c r="D17" s="6">
        <v>2</v>
      </c>
      <c r="E17" s="6">
        <v>14971</v>
      </c>
      <c r="F17" s="6">
        <v>1</v>
      </c>
      <c r="G17" s="6">
        <v>10592</v>
      </c>
      <c r="H17" s="7" t="s">
        <v>18</v>
      </c>
      <c r="I17" s="7" t="s">
        <v>18</v>
      </c>
      <c r="J17" s="6">
        <v>1</v>
      </c>
      <c r="K17" s="6">
        <v>90053</v>
      </c>
      <c r="L17" s="6"/>
      <c r="M17" s="6">
        <v>44</v>
      </c>
      <c r="N17" s="6">
        <v>105760</v>
      </c>
      <c r="O17" s="6">
        <v>11</v>
      </c>
      <c r="P17" s="6">
        <v>38519</v>
      </c>
      <c r="Q17" s="6">
        <v>7</v>
      </c>
      <c r="R17" s="6">
        <v>31789</v>
      </c>
      <c r="S17" s="6">
        <v>5</v>
      </c>
      <c r="T17" s="6">
        <v>32087</v>
      </c>
      <c r="U17" s="6">
        <v>2</v>
      </c>
      <c r="V17" s="6">
        <v>24773</v>
      </c>
      <c r="W17" s="7" t="s">
        <v>18</v>
      </c>
      <c r="X17" s="7" t="s">
        <v>18</v>
      </c>
      <c r="Z17" s="21">
        <v>1584774</v>
      </c>
      <c r="AB17" s="21">
        <f t="shared" si="0"/>
        <v>373629</v>
      </c>
      <c r="AC17" s="21">
        <f t="shared" si="1"/>
        <v>90053</v>
      </c>
      <c r="AE17" s="23">
        <f t="shared" si="2"/>
        <v>23.57616922034309</v>
      </c>
      <c r="AF17" s="23">
        <f t="shared" si="3"/>
        <v>5.6823875202394794</v>
      </c>
    </row>
    <row r="18" spans="1:32">
      <c r="A18" s="8" t="s">
        <v>43</v>
      </c>
      <c r="B18" s="9">
        <v>3</v>
      </c>
      <c r="C18" s="9">
        <v>9809</v>
      </c>
      <c r="D18" s="9">
        <v>5</v>
      </c>
      <c r="E18" s="9">
        <v>33094</v>
      </c>
      <c r="F18" s="9">
        <v>1</v>
      </c>
      <c r="G18" s="9">
        <v>15183</v>
      </c>
      <c r="H18" s="9">
        <v>1</v>
      </c>
      <c r="I18" s="9">
        <v>25736</v>
      </c>
      <c r="J18" s="10" t="s">
        <v>18</v>
      </c>
      <c r="K18" s="10" t="s">
        <v>18</v>
      </c>
      <c r="L18" s="10"/>
      <c r="M18" s="9">
        <v>1</v>
      </c>
      <c r="N18" s="9">
        <v>2285</v>
      </c>
      <c r="O18" s="10" t="s">
        <v>18</v>
      </c>
      <c r="P18" s="10" t="s">
        <v>18</v>
      </c>
      <c r="Q18" s="9">
        <v>1</v>
      </c>
      <c r="R18" s="9">
        <v>4851</v>
      </c>
      <c r="S18" s="9">
        <v>1</v>
      </c>
      <c r="T18" s="9">
        <v>5826</v>
      </c>
      <c r="U18" s="10" t="s">
        <v>18</v>
      </c>
      <c r="V18" s="10" t="s">
        <v>18</v>
      </c>
      <c r="W18" s="10" t="s">
        <v>18</v>
      </c>
      <c r="X18" s="10" t="s">
        <v>18</v>
      </c>
      <c r="Z18" s="21">
        <v>1367022</v>
      </c>
      <c r="AB18" s="21">
        <f t="shared" si="0"/>
        <v>96784</v>
      </c>
      <c r="AC18" s="21">
        <f t="shared" si="1"/>
        <v>25736</v>
      </c>
      <c r="AE18" s="23">
        <f t="shared" si="2"/>
        <v>7.0799153195778857</v>
      </c>
      <c r="AF18" s="23">
        <f t="shared" si="3"/>
        <v>1.8826324667781498</v>
      </c>
    </row>
    <row r="19" spans="1:32">
      <c r="A19" s="5" t="s">
        <v>44</v>
      </c>
      <c r="B19" s="6">
        <v>2</v>
      </c>
      <c r="C19" s="6">
        <v>7559</v>
      </c>
      <c r="D19" s="7" t="s">
        <v>18</v>
      </c>
      <c r="E19" s="7" t="s">
        <v>18</v>
      </c>
      <c r="F19" s="6">
        <v>1</v>
      </c>
      <c r="G19" s="6">
        <v>12522</v>
      </c>
      <c r="H19" s="7" t="s">
        <v>18</v>
      </c>
      <c r="I19" s="7" t="s">
        <v>18</v>
      </c>
      <c r="J19" s="7" t="s">
        <v>18</v>
      </c>
      <c r="K19" s="7" t="s">
        <v>18</v>
      </c>
      <c r="L19" s="7"/>
      <c r="M19" s="7" t="s">
        <v>18</v>
      </c>
      <c r="N19" s="7" t="s">
        <v>18</v>
      </c>
      <c r="O19" s="7" t="s">
        <v>18</v>
      </c>
      <c r="P19" s="7" t="s">
        <v>18</v>
      </c>
      <c r="Q19" s="7" t="s">
        <v>18</v>
      </c>
      <c r="R19" s="7" t="s">
        <v>18</v>
      </c>
      <c r="S19" s="7" t="s">
        <v>18</v>
      </c>
      <c r="T19" s="7" t="s">
        <v>18</v>
      </c>
      <c r="U19" s="7" t="s">
        <v>18</v>
      </c>
      <c r="V19" s="7" t="s">
        <v>18</v>
      </c>
      <c r="W19" s="7" t="s">
        <v>18</v>
      </c>
      <c r="X19" s="7" t="s">
        <v>18</v>
      </c>
      <c r="Z19" s="21">
        <v>364156</v>
      </c>
      <c r="AB19" s="21">
        <f t="shared" si="0"/>
        <v>20081</v>
      </c>
      <c r="AC19" s="21">
        <f t="shared" si="1"/>
        <v>0</v>
      </c>
      <c r="AE19" s="23">
        <f t="shared" si="2"/>
        <v>5.5143949296455368</v>
      </c>
      <c r="AF19" s="23">
        <f t="shared" si="3"/>
        <v>0</v>
      </c>
    </row>
    <row r="20" spans="1:32">
      <c r="A20" s="8" t="s">
        <v>45</v>
      </c>
      <c r="B20" s="10" t="s">
        <v>18</v>
      </c>
      <c r="C20" s="10" t="s">
        <v>18</v>
      </c>
      <c r="D20" s="10" t="s">
        <v>18</v>
      </c>
      <c r="E20" s="10" t="s">
        <v>18</v>
      </c>
      <c r="F20" s="9">
        <v>4</v>
      </c>
      <c r="G20" s="9">
        <v>56877</v>
      </c>
      <c r="H20" s="9">
        <v>1</v>
      </c>
      <c r="I20" s="9">
        <v>23299</v>
      </c>
      <c r="J20" s="9">
        <v>1</v>
      </c>
      <c r="K20" s="9">
        <v>72425</v>
      </c>
      <c r="L20" s="10"/>
      <c r="M20" s="9">
        <v>73</v>
      </c>
      <c r="N20" s="9">
        <v>172965</v>
      </c>
      <c r="O20" s="9">
        <v>15</v>
      </c>
      <c r="P20" s="9">
        <v>50280</v>
      </c>
      <c r="Q20" s="9">
        <v>10</v>
      </c>
      <c r="R20" s="9">
        <v>43988</v>
      </c>
      <c r="S20" s="9">
        <v>9</v>
      </c>
      <c r="T20" s="9">
        <v>56061</v>
      </c>
      <c r="U20" s="9">
        <v>2</v>
      </c>
      <c r="V20" s="9">
        <v>29868</v>
      </c>
      <c r="W20" s="10" t="s">
        <v>18</v>
      </c>
      <c r="X20" s="10" t="s">
        <v>18</v>
      </c>
      <c r="Z20" s="21">
        <v>1600145</v>
      </c>
      <c r="AB20" s="21">
        <f t="shared" si="0"/>
        <v>505763</v>
      </c>
      <c r="AC20" s="21">
        <f t="shared" si="1"/>
        <v>95724</v>
      </c>
      <c r="AE20" s="23">
        <f t="shared" si="2"/>
        <v>31.6073230863453</v>
      </c>
      <c r="AF20" s="23">
        <f t="shared" si="3"/>
        <v>5.9822078624124693</v>
      </c>
    </row>
    <row r="21" spans="1:32">
      <c r="A21" s="5" t="s">
        <v>46</v>
      </c>
      <c r="B21" s="7" t="s">
        <v>18</v>
      </c>
      <c r="C21" s="7" t="s">
        <v>18</v>
      </c>
      <c r="D21" s="6">
        <v>6</v>
      </c>
      <c r="E21" s="6">
        <v>45149</v>
      </c>
      <c r="F21" s="6">
        <v>1</v>
      </c>
      <c r="G21" s="6">
        <v>15493</v>
      </c>
      <c r="H21" s="6">
        <v>4</v>
      </c>
      <c r="I21" s="6">
        <v>113631</v>
      </c>
      <c r="J21" s="6">
        <v>1</v>
      </c>
      <c r="K21" s="6">
        <v>69735</v>
      </c>
      <c r="L21" s="6"/>
      <c r="M21" s="6">
        <v>46</v>
      </c>
      <c r="N21" s="6">
        <v>113693</v>
      </c>
      <c r="O21" s="6">
        <v>8</v>
      </c>
      <c r="P21" s="6">
        <v>26386</v>
      </c>
      <c r="Q21" s="7" t="s">
        <v>18</v>
      </c>
      <c r="R21" s="7" t="s">
        <v>18</v>
      </c>
      <c r="S21" s="6">
        <v>1</v>
      </c>
      <c r="T21" s="6">
        <v>5883</v>
      </c>
      <c r="U21" s="6">
        <v>1</v>
      </c>
      <c r="V21" s="6">
        <v>19054</v>
      </c>
      <c r="W21" s="7" t="s">
        <v>18</v>
      </c>
      <c r="X21" s="7" t="s">
        <v>18</v>
      </c>
      <c r="Z21" s="21">
        <v>2033798</v>
      </c>
      <c r="AB21" s="21">
        <f t="shared" si="0"/>
        <v>409024</v>
      </c>
      <c r="AC21" s="21">
        <f t="shared" si="1"/>
        <v>183366</v>
      </c>
      <c r="AE21" s="23">
        <f t="shared" si="2"/>
        <v>20.111338490843238</v>
      </c>
      <c r="AF21" s="23">
        <f t="shared" si="3"/>
        <v>9.0159396360897208</v>
      </c>
    </row>
    <row r="22" spans="1:32">
      <c r="A22" s="8" t="s">
        <v>47</v>
      </c>
      <c r="B22" s="9">
        <v>5</v>
      </c>
      <c r="C22" s="9">
        <v>20733</v>
      </c>
      <c r="D22" s="9">
        <v>5</v>
      </c>
      <c r="E22" s="9">
        <v>34496</v>
      </c>
      <c r="F22" s="9">
        <v>2</v>
      </c>
      <c r="G22" s="9">
        <v>24628</v>
      </c>
      <c r="H22" s="10" t="s">
        <v>18</v>
      </c>
      <c r="I22" s="10" t="s">
        <v>18</v>
      </c>
      <c r="J22" s="9">
        <v>1</v>
      </c>
      <c r="K22" s="9">
        <v>59981</v>
      </c>
      <c r="L22" s="9"/>
      <c r="M22" s="9">
        <v>64</v>
      </c>
      <c r="N22" s="9">
        <v>157162</v>
      </c>
      <c r="O22" s="9">
        <v>22</v>
      </c>
      <c r="P22" s="9">
        <v>76277</v>
      </c>
      <c r="Q22" s="9">
        <v>4</v>
      </c>
      <c r="R22" s="9">
        <v>17605</v>
      </c>
      <c r="S22" s="9">
        <v>5</v>
      </c>
      <c r="T22" s="9">
        <v>33225</v>
      </c>
      <c r="U22" s="10" t="s">
        <v>18</v>
      </c>
      <c r="V22" s="10" t="s">
        <v>18</v>
      </c>
      <c r="W22" s="10" t="s">
        <v>18</v>
      </c>
      <c r="X22" s="10" t="s">
        <v>18</v>
      </c>
      <c r="Z22" s="21">
        <v>1470474</v>
      </c>
      <c r="AB22" s="21">
        <f t="shared" si="0"/>
        <v>424107</v>
      </c>
      <c r="AC22" s="21">
        <f t="shared" si="1"/>
        <v>59981</v>
      </c>
      <c r="AE22" s="23">
        <f t="shared" si="2"/>
        <v>28.84151640899465</v>
      </c>
      <c r="AF22" s="23">
        <f t="shared" si="3"/>
        <v>4.07902485865102</v>
      </c>
    </row>
    <row r="23" spans="1:32">
      <c r="A23" s="5" t="s">
        <v>48</v>
      </c>
      <c r="B23" s="6">
        <v>4</v>
      </c>
      <c r="C23" s="6">
        <v>14228</v>
      </c>
      <c r="D23" s="6">
        <v>4</v>
      </c>
      <c r="E23" s="6">
        <v>28174</v>
      </c>
      <c r="F23" s="6">
        <v>2</v>
      </c>
      <c r="G23" s="6">
        <v>25973</v>
      </c>
      <c r="H23" s="6">
        <v>3</v>
      </c>
      <c r="I23" s="6">
        <v>108506</v>
      </c>
      <c r="J23" s="7" t="s">
        <v>18</v>
      </c>
      <c r="K23" s="7" t="s">
        <v>18</v>
      </c>
      <c r="L23" s="7"/>
      <c r="M23" s="6">
        <v>57</v>
      </c>
      <c r="N23" s="6">
        <v>133778</v>
      </c>
      <c r="O23" s="6">
        <v>22</v>
      </c>
      <c r="P23" s="6">
        <v>73297</v>
      </c>
      <c r="Q23" s="6">
        <v>20</v>
      </c>
      <c r="R23" s="6">
        <v>90254</v>
      </c>
      <c r="S23" s="6">
        <v>26</v>
      </c>
      <c r="T23" s="6">
        <v>172426</v>
      </c>
      <c r="U23" s="6">
        <v>10</v>
      </c>
      <c r="V23" s="6">
        <v>127402</v>
      </c>
      <c r="W23" s="6">
        <v>1</v>
      </c>
      <c r="X23" s="6">
        <v>31449</v>
      </c>
      <c r="Z23" s="21">
        <v>2994302</v>
      </c>
      <c r="AB23" s="21">
        <f t="shared" si="0"/>
        <v>805487</v>
      </c>
      <c r="AC23" s="21">
        <f t="shared" si="1"/>
        <v>139955</v>
      </c>
      <c r="AE23" s="23">
        <f t="shared" si="2"/>
        <v>26.900659986868391</v>
      </c>
      <c r="AF23" s="23">
        <f t="shared" si="3"/>
        <v>4.6740442346830742</v>
      </c>
    </row>
    <row r="24" spans="1:32">
      <c r="A24" s="8" t="s">
        <v>51</v>
      </c>
      <c r="B24" s="9">
        <v>1</v>
      </c>
      <c r="C24" s="9">
        <v>2838</v>
      </c>
      <c r="D24" s="9">
        <v>6</v>
      </c>
      <c r="E24" s="9">
        <v>39282</v>
      </c>
      <c r="F24" s="10" t="s">
        <v>18</v>
      </c>
      <c r="G24" s="10" t="s">
        <v>18</v>
      </c>
      <c r="H24" s="9">
        <v>1</v>
      </c>
      <c r="I24" s="9">
        <v>30478</v>
      </c>
      <c r="J24" s="10" t="s">
        <v>18</v>
      </c>
      <c r="K24" s="10" t="s">
        <v>18</v>
      </c>
      <c r="L24" s="10"/>
      <c r="M24" s="10" t="s">
        <v>18</v>
      </c>
      <c r="N24" s="10" t="s">
        <v>18</v>
      </c>
      <c r="O24" s="9">
        <v>2</v>
      </c>
      <c r="P24" s="9">
        <v>7063</v>
      </c>
      <c r="Q24" s="10" t="s">
        <v>18</v>
      </c>
      <c r="R24" s="10" t="s">
        <v>18</v>
      </c>
      <c r="S24" s="10" t="s">
        <v>18</v>
      </c>
      <c r="T24" s="10" t="s">
        <v>18</v>
      </c>
      <c r="U24" s="10" t="s">
        <v>18</v>
      </c>
      <c r="V24" s="10" t="s">
        <v>18</v>
      </c>
      <c r="W24" s="10" t="s">
        <v>18</v>
      </c>
      <c r="X24" s="10" t="s">
        <v>18</v>
      </c>
      <c r="Z24" s="21">
        <v>1122317</v>
      </c>
      <c r="AB24" s="21">
        <f t="shared" si="0"/>
        <v>79661</v>
      </c>
      <c r="AC24" s="21">
        <f t="shared" si="1"/>
        <v>30478</v>
      </c>
      <c r="AE24" s="23">
        <f t="shared" si="2"/>
        <v>7.0979054937241433</v>
      </c>
      <c r="AF24" s="23">
        <f t="shared" si="3"/>
        <v>2.7156320362250597</v>
      </c>
    </row>
    <row r="25" spans="1:32">
      <c r="A25" s="5" t="s">
        <v>52</v>
      </c>
      <c r="B25" s="6">
        <v>1</v>
      </c>
      <c r="C25" s="6">
        <v>4759</v>
      </c>
      <c r="D25" s="6">
        <v>5</v>
      </c>
      <c r="E25" s="6">
        <v>42794</v>
      </c>
      <c r="F25" s="6">
        <v>5</v>
      </c>
      <c r="G25" s="6">
        <v>76199</v>
      </c>
      <c r="H25" s="6">
        <v>1</v>
      </c>
      <c r="I25" s="6">
        <v>46122</v>
      </c>
      <c r="J25" s="7" t="s">
        <v>18</v>
      </c>
      <c r="K25" s="7" t="s">
        <v>18</v>
      </c>
      <c r="L25" s="7"/>
      <c r="M25" s="6">
        <v>74</v>
      </c>
      <c r="N25" s="6">
        <v>182273</v>
      </c>
      <c r="O25" s="6">
        <v>39</v>
      </c>
      <c r="P25" s="6">
        <v>133053</v>
      </c>
      <c r="Q25" s="6">
        <v>9</v>
      </c>
      <c r="R25" s="6">
        <v>39234</v>
      </c>
      <c r="S25" s="7" t="s">
        <v>18</v>
      </c>
      <c r="T25" s="7" t="s">
        <v>18</v>
      </c>
      <c r="U25" s="7" t="s">
        <v>18</v>
      </c>
      <c r="V25" s="7" t="s">
        <v>18</v>
      </c>
      <c r="W25" s="7" t="s">
        <v>18</v>
      </c>
      <c r="X25" s="7" t="s">
        <v>18</v>
      </c>
      <c r="Z25" s="21">
        <v>1802196</v>
      </c>
      <c r="AB25" s="21">
        <f t="shared" si="0"/>
        <v>524434</v>
      </c>
      <c r="AC25" s="21">
        <f t="shared" si="1"/>
        <v>46122</v>
      </c>
      <c r="AE25" s="23">
        <f t="shared" si="2"/>
        <v>29.099720563135197</v>
      </c>
      <c r="AF25" s="23">
        <f t="shared" si="3"/>
        <v>2.5592110957964613</v>
      </c>
    </row>
    <row r="26" spans="1:32">
      <c r="A26" s="8" t="s">
        <v>53</v>
      </c>
      <c r="B26" s="9">
        <v>1</v>
      </c>
      <c r="C26" s="9">
        <v>3057</v>
      </c>
      <c r="D26" s="9">
        <v>2</v>
      </c>
      <c r="E26" s="9">
        <v>13550</v>
      </c>
      <c r="F26" s="9">
        <v>4</v>
      </c>
      <c r="G26" s="9">
        <v>52236</v>
      </c>
      <c r="H26" s="10" t="s">
        <v>18</v>
      </c>
      <c r="I26" s="10" t="s">
        <v>18</v>
      </c>
      <c r="J26" s="9">
        <v>1</v>
      </c>
      <c r="K26" s="9">
        <v>89999</v>
      </c>
      <c r="L26" s="9"/>
      <c r="M26" s="9">
        <v>213</v>
      </c>
      <c r="N26" s="9">
        <v>508916</v>
      </c>
      <c r="O26" s="9">
        <v>77</v>
      </c>
      <c r="P26" s="9">
        <v>265616</v>
      </c>
      <c r="Q26" s="9">
        <v>30</v>
      </c>
      <c r="R26" s="9">
        <v>133965</v>
      </c>
      <c r="S26" s="9">
        <v>27</v>
      </c>
      <c r="T26" s="9">
        <v>170652</v>
      </c>
      <c r="U26" s="9">
        <v>3</v>
      </c>
      <c r="V26" s="9">
        <v>41634</v>
      </c>
      <c r="W26" s="9">
        <v>1</v>
      </c>
      <c r="X26" s="9">
        <v>21599</v>
      </c>
      <c r="Z26" s="21">
        <v>2751336</v>
      </c>
      <c r="AB26" s="21">
        <f t="shared" si="0"/>
        <v>1301224</v>
      </c>
      <c r="AC26" s="21">
        <f t="shared" si="1"/>
        <v>111598</v>
      </c>
      <c r="AE26" s="23">
        <f t="shared" si="2"/>
        <v>47.294259952255921</v>
      </c>
      <c r="AF26" s="23">
        <f t="shared" si="3"/>
        <v>4.0561385450559291</v>
      </c>
    </row>
    <row r="27" spans="1:32">
      <c r="A27" s="5" t="s">
        <v>54</v>
      </c>
      <c r="B27" s="6">
        <v>3</v>
      </c>
      <c r="C27" s="6">
        <v>10617</v>
      </c>
      <c r="D27" s="6">
        <v>4</v>
      </c>
      <c r="E27" s="6">
        <v>21472</v>
      </c>
      <c r="F27" s="6">
        <v>3</v>
      </c>
      <c r="G27" s="6">
        <v>42739</v>
      </c>
      <c r="H27" s="6">
        <v>1</v>
      </c>
      <c r="I27" s="6">
        <v>22480</v>
      </c>
      <c r="J27" s="6">
        <v>2</v>
      </c>
      <c r="K27" s="6">
        <v>1324445</v>
      </c>
      <c r="L27" s="6"/>
      <c r="M27" s="6">
        <v>4</v>
      </c>
      <c r="N27" s="6">
        <v>10612</v>
      </c>
      <c r="O27" s="6">
        <v>2</v>
      </c>
      <c r="P27" s="6">
        <v>6679</v>
      </c>
      <c r="Q27" s="7" t="s">
        <v>18</v>
      </c>
      <c r="R27" s="7" t="s">
        <v>18</v>
      </c>
      <c r="S27" s="6">
        <v>1</v>
      </c>
      <c r="T27" s="6">
        <v>8674</v>
      </c>
      <c r="U27" s="6">
        <v>1</v>
      </c>
      <c r="V27" s="6">
        <v>12241</v>
      </c>
      <c r="W27" s="7" t="s">
        <v>18</v>
      </c>
      <c r="X27" s="7" t="s">
        <v>18</v>
      </c>
      <c r="Z27" s="21">
        <v>2112033</v>
      </c>
      <c r="AB27" s="21">
        <f t="shared" si="0"/>
        <v>1459959</v>
      </c>
      <c r="AC27" s="21">
        <f t="shared" si="1"/>
        <v>1346925</v>
      </c>
      <c r="AE27" s="23">
        <f t="shared" si="2"/>
        <v>69.125766500807515</v>
      </c>
      <c r="AF27" s="23">
        <f t="shared" si="3"/>
        <v>63.773861487959707</v>
      </c>
    </row>
    <row r="28" spans="1:32">
      <c r="A28" s="8" t="s">
        <v>55</v>
      </c>
      <c r="B28" s="10" t="s">
        <v>18</v>
      </c>
      <c r="C28" s="10" t="s">
        <v>18</v>
      </c>
      <c r="D28" s="9">
        <v>2</v>
      </c>
      <c r="E28" s="9">
        <v>14681</v>
      </c>
      <c r="F28" s="9">
        <v>4</v>
      </c>
      <c r="G28" s="9">
        <v>55004</v>
      </c>
      <c r="H28" s="9">
        <v>2</v>
      </c>
      <c r="I28" s="9">
        <v>47531</v>
      </c>
      <c r="J28" s="9">
        <v>2</v>
      </c>
      <c r="K28" s="9">
        <v>192333</v>
      </c>
      <c r="L28" s="9"/>
      <c r="M28" s="9">
        <v>135</v>
      </c>
      <c r="N28" s="9">
        <v>324544</v>
      </c>
      <c r="O28" s="9">
        <v>58</v>
      </c>
      <c r="P28" s="9">
        <v>196731</v>
      </c>
      <c r="Q28" s="9">
        <v>27</v>
      </c>
      <c r="R28" s="9">
        <v>119896</v>
      </c>
      <c r="S28" s="9">
        <v>29</v>
      </c>
      <c r="T28" s="9">
        <v>182190</v>
      </c>
      <c r="U28" s="9">
        <v>3</v>
      </c>
      <c r="V28" s="9">
        <v>40299</v>
      </c>
      <c r="W28" s="10" t="s">
        <v>18</v>
      </c>
      <c r="X28" s="10" t="s">
        <v>18</v>
      </c>
      <c r="Z28" s="21">
        <v>2405829</v>
      </c>
      <c r="AB28" s="21">
        <f t="shared" si="0"/>
        <v>1173209</v>
      </c>
      <c r="AC28" s="21">
        <f t="shared" si="1"/>
        <v>239864</v>
      </c>
      <c r="AE28" s="23">
        <f t="shared" si="2"/>
        <v>48.76526968458689</v>
      </c>
      <c r="AF28" s="23">
        <f t="shared" si="3"/>
        <v>9.9701184082492986</v>
      </c>
    </row>
    <row r="29" spans="1:32">
      <c r="A29" s="5" t="s">
        <v>56</v>
      </c>
      <c r="B29" s="6">
        <v>4</v>
      </c>
      <c r="C29" s="6">
        <v>16039</v>
      </c>
      <c r="D29" s="6">
        <v>1</v>
      </c>
      <c r="E29" s="6">
        <v>5734</v>
      </c>
      <c r="F29" s="6">
        <v>1</v>
      </c>
      <c r="G29" s="6">
        <v>12209</v>
      </c>
      <c r="H29" s="6">
        <v>2</v>
      </c>
      <c r="I29" s="6">
        <v>74067</v>
      </c>
      <c r="J29" s="7" t="s">
        <v>18</v>
      </c>
      <c r="K29" s="7" t="s">
        <v>18</v>
      </c>
      <c r="L29" s="7"/>
      <c r="M29" s="6">
        <v>85</v>
      </c>
      <c r="N29" s="6">
        <v>205752</v>
      </c>
      <c r="O29" s="6">
        <v>33</v>
      </c>
      <c r="P29" s="6">
        <v>112384</v>
      </c>
      <c r="Q29" s="6">
        <v>12</v>
      </c>
      <c r="R29" s="6">
        <v>53066</v>
      </c>
      <c r="S29" s="6">
        <v>2</v>
      </c>
      <c r="T29" s="6">
        <v>10953</v>
      </c>
      <c r="U29" s="7" t="s">
        <v>18</v>
      </c>
      <c r="V29" s="7" t="s">
        <v>18</v>
      </c>
      <c r="W29" s="7" t="s">
        <v>18</v>
      </c>
      <c r="X29" s="7" t="s">
        <v>18</v>
      </c>
      <c r="Z29" s="21">
        <v>1527848</v>
      </c>
      <c r="AB29" s="21">
        <f t="shared" si="0"/>
        <v>490204</v>
      </c>
      <c r="AC29" s="21">
        <f t="shared" si="1"/>
        <v>74067</v>
      </c>
      <c r="AE29" s="23">
        <f t="shared" si="2"/>
        <v>32.084605274870277</v>
      </c>
      <c r="AF29" s="23">
        <f t="shared" si="3"/>
        <v>4.8477989957116154</v>
      </c>
    </row>
    <row r="30" spans="1:32">
      <c r="A30" s="8" t="s">
        <v>57</v>
      </c>
      <c r="B30" s="9">
        <v>5</v>
      </c>
      <c r="C30" s="9">
        <v>15325</v>
      </c>
      <c r="D30" s="9">
        <v>4</v>
      </c>
      <c r="E30" s="9">
        <v>25450</v>
      </c>
      <c r="F30" s="9">
        <v>2</v>
      </c>
      <c r="G30" s="9">
        <v>33421</v>
      </c>
      <c r="H30" s="9">
        <v>1</v>
      </c>
      <c r="I30" s="9">
        <v>46699</v>
      </c>
      <c r="J30" s="10" t="s">
        <v>18</v>
      </c>
      <c r="K30" s="10" t="s">
        <v>18</v>
      </c>
      <c r="L30" s="10"/>
      <c r="M30" s="10" t="s">
        <v>18</v>
      </c>
      <c r="N30" s="10" t="s">
        <v>18</v>
      </c>
      <c r="O30" s="10" t="s">
        <v>18</v>
      </c>
      <c r="P30" s="10" t="s">
        <v>18</v>
      </c>
      <c r="Q30" s="10" t="s">
        <v>18</v>
      </c>
      <c r="R30" s="10" t="s">
        <v>18</v>
      </c>
      <c r="S30" s="9">
        <v>1</v>
      </c>
      <c r="T30" s="9">
        <v>5761</v>
      </c>
      <c r="U30" s="10" t="s">
        <v>18</v>
      </c>
      <c r="V30" s="10" t="s">
        <v>18</v>
      </c>
      <c r="W30" s="10" t="s">
        <v>18</v>
      </c>
      <c r="X30" s="10" t="s">
        <v>18</v>
      </c>
      <c r="Z30" s="21">
        <v>1525279</v>
      </c>
      <c r="AB30" s="21">
        <f t="shared" si="0"/>
        <v>126656</v>
      </c>
      <c r="AC30" s="21">
        <f t="shared" si="1"/>
        <v>46699</v>
      </c>
      <c r="AE30" s="23">
        <f t="shared" si="2"/>
        <v>8.3037922898040293</v>
      </c>
      <c r="AF30" s="23">
        <f t="shared" si="3"/>
        <v>3.0616693732753153</v>
      </c>
    </row>
    <row r="31" spans="1:32">
      <c r="A31" s="8" t="s">
        <v>59</v>
      </c>
      <c r="B31" s="9">
        <v>1</v>
      </c>
      <c r="C31" s="9">
        <v>4578</v>
      </c>
      <c r="D31" s="9">
        <v>5</v>
      </c>
      <c r="E31" s="9">
        <v>37469</v>
      </c>
      <c r="F31" s="9">
        <v>2</v>
      </c>
      <c r="G31" s="9">
        <v>26614</v>
      </c>
      <c r="H31" s="9">
        <v>5</v>
      </c>
      <c r="I31" s="9">
        <v>157603</v>
      </c>
      <c r="J31" s="10" t="s">
        <v>18</v>
      </c>
      <c r="K31" s="10" t="s">
        <v>18</v>
      </c>
      <c r="L31" s="10"/>
      <c r="M31" s="9">
        <v>148</v>
      </c>
      <c r="N31" s="9">
        <v>358563</v>
      </c>
      <c r="O31" s="9">
        <v>53</v>
      </c>
      <c r="P31" s="9">
        <v>178078</v>
      </c>
      <c r="Q31" s="9">
        <v>28</v>
      </c>
      <c r="R31" s="9">
        <v>124132</v>
      </c>
      <c r="S31" s="9">
        <v>40</v>
      </c>
      <c r="T31" s="9">
        <v>264750</v>
      </c>
      <c r="U31" s="9">
        <v>1</v>
      </c>
      <c r="V31" s="9">
        <v>10267</v>
      </c>
      <c r="W31" s="10" t="s">
        <v>18</v>
      </c>
      <c r="X31" s="10" t="s">
        <v>18</v>
      </c>
      <c r="Z31" s="21">
        <v>2684030</v>
      </c>
      <c r="AB31" s="21">
        <f t="shared" si="0"/>
        <v>1162054</v>
      </c>
      <c r="AC31" s="21">
        <f t="shared" si="1"/>
        <v>157603</v>
      </c>
      <c r="AE31" s="23">
        <f t="shared" si="2"/>
        <v>43.295119652164843</v>
      </c>
      <c r="AF31" s="23">
        <f t="shared" si="3"/>
        <v>5.8718792263871871</v>
      </c>
    </row>
    <row r="32" spans="1:32">
      <c r="A32" s="5" t="s">
        <v>60</v>
      </c>
      <c r="B32" s="6">
        <v>4</v>
      </c>
      <c r="C32" s="6">
        <v>11347</v>
      </c>
      <c r="D32" s="6">
        <v>4</v>
      </c>
      <c r="E32" s="6">
        <v>28858</v>
      </c>
      <c r="F32" s="6">
        <v>3</v>
      </c>
      <c r="G32" s="6">
        <v>39755</v>
      </c>
      <c r="H32" s="6">
        <v>1</v>
      </c>
      <c r="I32" s="6">
        <v>21265</v>
      </c>
      <c r="J32" s="6">
        <v>1</v>
      </c>
      <c r="K32" s="6">
        <v>53544</v>
      </c>
      <c r="L32" s="6"/>
      <c r="M32" s="6">
        <v>1</v>
      </c>
      <c r="N32" s="6">
        <v>2503</v>
      </c>
      <c r="O32" s="7" t="s">
        <v>18</v>
      </c>
      <c r="P32" s="7" t="s">
        <v>18</v>
      </c>
      <c r="Q32" s="7" t="s">
        <v>18</v>
      </c>
      <c r="R32" s="7" t="s">
        <v>18</v>
      </c>
      <c r="S32" s="6">
        <v>1</v>
      </c>
      <c r="T32" s="6">
        <v>7017</v>
      </c>
      <c r="U32" s="7" t="s">
        <v>18</v>
      </c>
      <c r="V32" s="7" t="s">
        <v>18</v>
      </c>
      <c r="W32" s="7" t="s">
        <v>18</v>
      </c>
      <c r="X32" s="7" t="s">
        <v>18</v>
      </c>
      <c r="Z32" s="21">
        <v>1769135</v>
      </c>
      <c r="AB32" s="21">
        <f t="shared" si="0"/>
        <v>164289</v>
      </c>
      <c r="AC32" s="21">
        <f t="shared" si="1"/>
        <v>74809</v>
      </c>
      <c r="AE32" s="23">
        <f t="shared" si="2"/>
        <v>9.2864026770144736</v>
      </c>
      <c r="AF32" s="23">
        <f t="shared" si="3"/>
        <v>4.2285636765990162</v>
      </c>
    </row>
    <row r="33" spans="1:32">
      <c r="A33" s="8" t="s">
        <v>61</v>
      </c>
      <c r="B33" s="9">
        <v>7</v>
      </c>
      <c r="C33" s="9">
        <v>27334</v>
      </c>
      <c r="D33" s="9">
        <v>4</v>
      </c>
      <c r="E33" s="9">
        <v>29913</v>
      </c>
      <c r="F33" s="10" t="s">
        <v>18</v>
      </c>
      <c r="G33" s="10" t="s">
        <v>18</v>
      </c>
      <c r="H33" s="10" t="s">
        <v>18</v>
      </c>
      <c r="I33" s="10" t="s">
        <v>18</v>
      </c>
      <c r="J33" s="9">
        <v>1</v>
      </c>
      <c r="K33" s="9">
        <v>114733</v>
      </c>
      <c r="L33" s="9"/>
      <c r="M33" s="9">
        <v>12</v>
      </c>
      <c r="N33" s="9">
        <v>26523</v>
      </c>
      <c r="O33" s="9">
        <v>7</v>
      </c>
      <c r="P33" s="9">
        <v>24825</v>
      </c>
      <c r="Q33" s="9">
        <v>5</v>
      </c>
      <c r="R33" s="9">
        <v>22096</v>
      </c>
      <c r="S33" s="9">
        <v>3</v>
      </c>
      <c r="T33" s="9">
        <v>16774</v>
      </c>
      <c r="U33" s="10" t="s">
        <v>18</v>
      </c>
      <c r="V33" s="10" t="s">
        <v>18</v>
      </c>
      <c r="W33" s="10" t="s">
        <v>18</v>
      </c>
      <c r="X33" s="10" t="s">
        <v>18</v>
      </c>
      <c r="Z33" s="21">
        <v>1419456</v>
      </c>
      <c r="AB33" s="21">
        <f t="shared" si="0"/>
        <v>262198</v>
      </c>
      <c r="AC33" s="21">
        <f t="shared" si="1"/>
        <v>114733</v>
      </c>
      <c r="AE33" s="23">
        <f t="shared" si="2"/>
        <v>18.471724378916992</v>
      </c>
      <c r="AF33" s="23">
        <f t="shared" si="3"/>
        <v>8.0828852743586275</v>
      </c>
    </row>
    <row r="34" spans="1:32">
      <c r="A34" s="5" t="s">
        <v>62</v>
      </c>
      <c r="B34" s="7" t="s">
        <v>18</v>
      </c>
      <c r="C34" s="7" t="s">
        <v>18</v>
      </c>
      <c r="D34" s="6">
        <v>3</v>
      </c>
      <c r="E34" s="6">
        <v>21976</v>
      </c>
      <c r="F34" s="6">
        <v>1</v>
      </c>
      <c r="G34" s="6">
        <v>15550</v>
      </c>
      <c r="H34" s="6">
        <v>2</v>
      </c>
      <c r="I34" s="6">
        <v>69777</v>
      </c>
      <c r="J34" s="7" t="s">
        <v>18</v>
      </c>
      <c r="K34" s="7" t="s">
        <v>18</v>
      </c>
      <c r="L34" s="7"/>
      <c r="M34" s="6">
        <v>62</v>
      </c>
      <c r="N34" s="6">
        <v>145308</v>
      </c>
      <c r="O34" s="6">
        <v>6</v>
      </c>
      <c r="P34" s="6">
        <v>21565</v>
      </c>
      <c r="Q34" s="6">
        <v>7</v>
      </c>
      <c r="R34" s="6">
        <v>30810</v>
      </c>
      <c r="S34" s="6">
        <v>6</v>
      </c>
      <c r="T34" s="6">
        <v>45458</v>
      </c>
      <c r="U34" s="7" t="s">
        <v>18</v>
      </c>
      <c r="V34" s="7" t="s">
        <v>18</v>
      </c>
      <c r="W34" s="7" t="s">
        <v>18</v>
      </c>
      <c r="X34" s="7" t="s">
        <v>18</v>
      </c>
      <c r="Z34" s="21">
        <v>2196642</v>
      </c>
      <c r="AB34" s="21">
        <f t="shared" si="0"/>
        <v>350444</v>
      </c>
      <c r="AC34" s="21">
        <f t="shared" si="1"/>
        <v>69777</v>
      </c>
      <c r="AE34" s="23">
        <f t="shared" si="2"/>
        <v>15.953623758445845</v>
      </c>
      <c r="AF34" s="23">
        <f t="shared" si="3"/>
        <v>3.1765303586110072</v>
      </c>
    </row>
    <row r="35" spans="1:32">
      <c r="A35" s="8" t="s">
        <v>67</v>
      </c>
      <c r="B35" s="9">
        <v>5</v>
      </c>
      <c r="C35" s="9">
        <v>17804</v>
      </c>
      <c r="D35" s="9">
        <v>2</v>
      </c>
      <c r="E35" s="9">
        <v>16380</v>
      </c>
      <c r="F35" s="9">
        <v>1</v>
      </c>
      <c r="G35" s="9">
        <v>13715</v>
      </c>
      <c r="H35" s="9">
        <v>1</v>
      </c>
      <c r="I35" s="9">
        <v>25290</v>
      </c>
      <c r="J35" s="9">
        <v>1</v>
      </c>
      <c r="K35" s="9">
        <v>71616</v>
      </c>
      <c r="L35" s="9"/>
      <c r="M35" s="9">
        <v>5</v>
      </c>
      <c r="N35" s="9">
        <v>10613</v>
      </c>
      <c r="O35" s="10" t="s">
        <v>18</v>
      </c>
      <c r="P35" s="10" t="s">
        <v>18</v>
      </c>
      <c r="Q35" s="9">
        <v>1</v>
      </c>
      <c r="R35" s="9">
        <v>4534</v>
      </c>
      <c r="S35" s="10" t="s">
        <v>18</v>
      </c>
      <c r="T35" s="10" t="s">
        <v>18</v>
      </c>
      <c r="U35" s="10" t="s">
        <v>18</v>
      </c>
      <c r="V35" s="10" t="s">
        <v>18</v>
      </c>
      <c r="W35" s="10" t="s">
        <v>18</v>
      </c>
      <c r="X35" s="10" t="s">
        <v>18</v>
      </c>
      <c r="Z35" s="21">
        <v>1071355</v>
      </c>
      <c r="AB35" s="21">
        <f t="shared" si="0"/>
        <v>159952</v>
      </c>
      <c r="AC35" s="21">
        <f t="shared" si="1"/>
        <v>96906</v>
      </c>
      <c r="AE35" s="23">
        <f t="shared" si="2"/>
        <v>14.929878518324923</v>
      </c>
      <c r="AF35" s="23">
        <f t="shared" si="3"/>
        <v>9.0451811024357003</v>
      </c>
    </row>
    <row r="36" spans="1:32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0"/>
      <c r="N36" s="10"/>
      <c r="O36" s="10"/>
      <c r="P36" s="10"/>
      <c r="Q36" s="10"/>
      <c r="R36" s="10"/>
      <c r="S36" s="9"/>
      <c r="T36" s="9"/>
      <c r="U36" s="10"/>
      <c r="V36" s="10"/>
      <c r="W36" s="10"/>
      <c r="X36" s="10"/>
      <c r="AB36" s="21"/>
      <c r="AC36" s="21"/>
      <c r="AE36" s="23"/>
      <c r="AF36" s="23"/>
    </row>
    <row r="37" spans="1:32">
      <c r="A37" s="8" t="s">
        <v>81</v>
      </c>
      <c r="B37" s="10" t="s">
        <v>18</v>
      </c>
      <c r="C37" s="10" t="s">
        <v>18</v>
      </c>
      <c r="D37" s="9">
        <v>2</v>
      </c>
      <c r="E37" s="9">
        <v>18967</v>
      </c>
      <c r="F37" s="9">
        <v>1</v>
      </c>
      <c r="G37" s="9">
        <v>14649</v>
      </c>
      <c r="H37" s="10" t="s">
        <v>18</v>
      </c>
      <c r="I37" s="10" t="s">
        <v>18</v>
      </c>
      <c r="J37" s="10" t="s">
        <v>18</v>
      </c>
      <c r="K37" s="10" t="s">
        <v>18</v>
      </c>
      <c r="L37" s="10"/>
      <c r="M37" s="9">
        <v>19</v>
      </c>
      <c r="N37" s="9">
        <v>44645</v>
      </c>
      <c r="O37" s="9">
        <v>5</v>
      </c>
      <c r="P37" s="9">
        <v>16691</v>
      </c>
      <c r="Q37" s="9">
        <v>3</v>
      </c>
      <c r="R37" s="9">
        <v>13183</v>
      </c>
      <c r="S37" s="9">
        <v>1</v>
      </c>
      <c r="T37" s="9">
        <v>5062</v>
      </c>
      <c r="U37" s="10" t="s">
        <v>18</v>
      </c>
      <c r="V37" s="10" t="s">
        <v>18</v>
      </c>
      <c r="W37" s="10" t="s">
        <v>18</v>
      </c>
      <c r="X37" s="10" t="s">
        <v>18</v>
      </c>
      <c r="Z37" s="21">
        <v>571154</v>
      </c>
      <c r="AB37" s="21">
        <f t="shared" ref="AB37:AB51" si="4">N(C37)+N(E37)+N(G37)+N(I37)+N(K37)+N(N37)+N(P37)+N(R37)+N(T37)+N(V37)+N(X37)</f>
        <v>113197</v>
      </c>
      <c r="AC37" s="21">
        <f t="shared" ref="AC37:AC51" si="5">N(I37)+N(K37)+N(X37)</f>
        <v>0</v>
      </c>
      <c r="AE37" s="23">
        <f t="shared" ref="AE37:AE51" si="6">AB37/Z37*100</f>
        <v>19.81899802855272</v>
      </c>
      <c r="AF37" s="23">
        <f t="shared" ref="AF37:AF51" si="7">AC37/Z37*100</f>
        <v>0</v>
      </c>
    </row>
    <row r="38" spans="1:32">
      <c r="A38" s="5" t="s">
        <v>84</v>
      </c>
      <c r="B38" s="7" t="s">
        <v>18</v>
      </c>
      <c r="C38" s="7" t="s">
        <v>18</v>
      </c>
      <c r="D38" s="6">
        <v>1</v>
      </c>
      <c r="E38" s="6">
        <v>6944</v>
      </c>
      <c r="F38" s="6">
        <v>1</v>
      </c>
      <c r="G38" s="6">
        <v>14734</v>
      </c>
      <c r="H38" s="6">
        <v>2</v>
      </c>
      <c r="I38" s="6">
        <v>69741</v>
      </c>
      <c r="J38" s="6">
        <v>1</v>
      </c>
      <c r="K38" s="6">
        <v>65606</v>
      </c>
      <c r="L38" s="6"/>
      <c r="M38" s="6">
        <v>45</v>
      </c>
      <c r="N38" s="6">
        <v>108229</v>
      </c>
      <c r="O38" s="6">
        <v>25</v>
      </c>
      <c r="P38" s="6">
        <v>84369</v>
      </c>
      <c r="Q38" s="6">
        <v>31</v>
      </c>
      <c r="R38" s="6">
        <v>139711</v>
      </c>
      <c r="S38" s="6">
        <v>90</v>
      </c>
      <c r="T38" s="6">
        <v>656610</v>
      </c>
      <c r="U38" s="6">
        <v>25</v>
      </c>
      <c r="V38" s="6">
        <v>298334</v>
      </c>
      <c r="W38" s="7" t="s">
        <v>18</v>
      </c>
      <c r="X38" s="7" t="s">
        <v>18</v>
      </c>
      <c r="Z38" s="21">
        <v>1918881</v>
      </c>
      <c r="AB38" s="21">
        <f t="shared" si="4"/>
        <v>1444278</v>
      </c>
      <c r="AC38" s="21">
        <f t="shared" si="5"/>
        <v>135347</v>
      </c>
      <c r="AE38" s="23">
        <f t="shared" si="6"/>
        <v>75.266678861273846</v>
      </c>
      <c r="AF38" s="23">
        <f t="shared" si="7"/>
        <v>7.0534337460217698</v>
      </c>
    </row>
    <row r="39" spans="1:32">
      <c r="A39" s="5" t="s">
        <v>86</v>
      </c>
      <c r="B39" s="7" t="s">
        <v>18</v>
      </c>
      <c r="C39" s="7" t="s">
        <v>18</v>
      </c>
      <c r="D39" s="6">
        <v>1</v>
      </c>
      <c r="E39" s="6">
        <v>6583</v>
      </c>
      <c r="F39" s="7" t="s">
        <v>18</v>
      </c>
      <c r="G39" s="7" t="s">
        <v>18</v>
      </c>
      <c r="H39" s="6">
        <v>1</v>
      </c>
      <c r="I39" s="6">
        <v>41590</v>
      </c>
      <c r="J39" s="7" t="s">
        <v>18</v>
      </c>
      <c r="K39" s="7" t="s">
        <v>18</v>
      </c>
      <c r="L39" s="7"/>
      <c r="M39" s="6">
        <v>11</v>
      </c>
      <c r="N39" s="6">
        <v>27630</v>
      </c>
      <c r="O39" s="6">
        <v>27</v>
      </c>
      <c r="P39" s="6">
        <v>93295</v>
      </c>
      <c r="Q39" s="6">
        <v>21</v>
      </c>
      <c r="R39" s="6">
        <v>94771</v>
      </c>
      <c r="S39" s="6">
        <v>41</v>
      </c>
      <c r="T39" s="6">
        <v>266566</v>
      </c>
      <c r="U39" s="6">
        <v>19</v>
      </c>
      <c r="V39" s="6">
        <v>219421</v>
      </c>
      <c r="W39" s="7" t="s">
        <v>18</v>
      </c>
      <c r="X39" s="7" t="s">
        <v>18</v>
      </c>
      <c r="Z39" s="21">
        <v>873301</v>
      </c>
      <c r="AB39" s="21">
        <f t="shared" si="4"/>
        <v>749856</v>
      </c>
      <c r="AC39" s="21">
        <f t="shared" si="5"/>
        <v>41590</v>
      </c>
      <c r="AE39" s="23">
        <f t="shared" si="6"/>
        <v>85.864553000626358</v>
      </c>
      <c r="AF39" s="23">
        <f t="shared" si="7"/>
        <v>4.7623900579525271</v>
      </c>
    </row>
    <row r="40" spans="1:32">
      <c r="A40" s="8" t="s">
        <v>87</v>
      </c>
      <c r="B40" s="10" t="s">
        <v>18</v>
      </c>
      <c r="C40" s="10" t="s">
        <v>18</v>
      </c>
      <c r="D40" s="9">
        <v>2</v>
      </c>
      <c r="E40" s="9">
        <v>16612</v>
      </c>
      <c r="F40" s="9">
        <v>3</v>
      </c>
      <c r="G40" s="9">
        <v>46119</v>
      </c>
      <c r="H40" s="9">
        <v>1</v>
      </c>
      <c r="I40" s="9">
        <v>43740</v>
      </c>
      <c r="J40" s="10" t="s">
        <v>18</v>
      </c>
      <c r="K40" s="10" t="s">
        <v>18</v>
      </c>
      <c r="L40" s="10"/>
      <c r="M40" s="9">
        <v>60</v>
      </c>
      <c r="N40" s="9">
        <v>146159</v>
      </c>
      <c r="O40" s="9">
        <v>32</v>
      </c>
      <c r="P40" s="9">
        <v>112154</v>
      </c>
      <c r="Q40" s="9">
        <v>11</v>
      </c>
      <c r="R40" s="9">
        <v>50615</v>
      </c>
      <c r="S40" s="9">
        <v>8</v>
      </c>
      <c r="T40" s="9">
        <v>48842</v>
      </c>
      <c r="U40" s="9">
        <v>2</v>
      </c>
      <c r="V40" s="9">
        <v>21576</v>
      </c>
      <c r="W40" s="10" t="s">
        <v>18</v>
      </c>
      <c r="X40" s="10" t="s">
        <v>18</v>
      </c>
      <c r="Z40" s="21">
        <v>933936</v>
      </c>
      <c r="AB40" s="21">
        <f t="shared" si="4"/>
        <v>485817</v>
      </c>
      <c r="AC40" s="21">
        <f t="shared" si="5"/>
        <v>43740</v>
      </c>
      <c r="AE40" s="23">
        <f t="shared" si="6"/>
        <v>52.018232512720353</v>
      </c>
      <c r="AF40" s="23">
        <f t="shared" si="7"/>
        <v>4.6834044302821605</v>
      </c>
    </row>
    <row r="41" spans="1:32">
      <c r="A41" s="8" t="s">
        <v>89</v>
      </c>
      <c r="B41" s="10" t="s">
        <v>18</v>
      </c>
      <c r="C41" s="10" t="s">
        <v>18</v>
      </c>
      <c r="D41" s="10" t="s">
        <v>18</v>
      </c>
      <c r="E41" s="10" t="s">
        <v>18</v>
      </c>
      <c r="F41" s="9">
        <v>1</v>
      </c>
      <c r="G41" s="9">
        <v>16897</v>
      </c>
      <c r="H41" s="10" t="s">
        <v>18</v>
      </c>
      <c r="I41" s="10" t="s">
        <v>18</v>
      </c>
      <c r="J41" s="10" t="s">
        <v>18</v>
      </c>
      <c r="K41" s="10" t="s">
        <v>18</v>
      </c>
      <c r="L41" s="10"/>
      <c r="M41" s="10" t="s">
        <v>18</v>
      </c>
      <c r="N41" s="10" t="s">
        <v>18</v>
      </c>
      <c r="O41" s="10" t="s">
        <v>18</v>
      </c>
      <c r="P41" s="10" t="s">
        <v>18</v>
      </c>
      <c r="Q41" s="9">
        <v>1</v>
      </c>
      <c r="R41" s="9">
        <v>4845</v>
      </c>
      <c r="S41" s="10" t="s">
        <v>18</v>
      </c>
      <c r="T41" s="10" t="s">
        <v>18</v>
      </c>
      <c r="U41" s="10" t="s">
        <v>18</v>
      </c>
      <c r="V41" s="10" t="s">
        <v>18</v>
      </c>
      <c r="W41" s="10" t="s">
        <v>18</v>
      </c>
      <c r="X41" s="10" t="s">
        <v>18</v>
      </c>
      <c r="Z41" s="21">
        <v>57478</v>
      </c>
      <c r="AB41" s="21">
        <f t="shared" si="4"/>
        <v>21742</v>
      </c>
      <c r="AC41" s="21">
        <f t="shared" si="5"/>
        <v>0</v>
      </c>
      <c r="AE41" s="23">
        <f t="shared" si="6"/>
        <v>37.82664671700477</v>
      </c>
      <c r="AF41" s="23">
        <f t="shared" si="7"/>
        <v>0</v>
      </c>
    </row>
    <row r="42" spans="1:32">
      <c r="A42" s="5"/>
      <c r="B42" s="6"/>
      <c r="C42" s="6"/>
      <c r="D42" s="6"/>
      <c r="E42" s="6"/>
      <c r="F42" s="7"/>
      <c r="G42" s="7"/>
      <c r="H42" s="6"/>
      <c r="I42" s="6"/>
      <c r="J42" s="7"/>
      <c r="K42" s="7"/>
      <c r="L42" s="7"/>
      <c r="M42" s="6"/>
      <c r="N42" s="6"/>
      <c r="O42" s="6"/>
      <c r="P42" s="6"/>
      <c r="Q42" s="6"/>
      <c r="R42" s="6"/>
      <c r="S42" s="6"/>
      <c r="T42" s="6"/>
      <c r="U42" s="7"/>
      <c r="V42" s="7"/>
      <c r="W42" s="7"/>
      <c r="X42" s="7"/>
      <c r="AB42" s="21"/>
      <c r="AC42" s="21"/>
      <c r="AE42" s="23"/>
      <c r="AF42" s="23"/>
    </row>
    <row r="43" spans="1:32">
      <c r="A43" s="5" t="s">
        <v>92</v>
      </c>
      <c r="B43" s="7" t="s">
        <v>18</v>
      </c>
      <c r="C43" s="7" t="s">
        <v>18</v>
      </c>
      <c r="D43" s="7" t="s">
        <v>18</v>
      </c>
      <c r="E43" s="7" t="s">
        <v>18</v>
      </c>
      <c r="F43" s="7" t="s">
        <v>18</v>
      </c>
      <c r="G43" s="7" t="s">
        <v>18</v>
      </c>
      <c r="H43" s="6">
        <v>1</v>
      </c>
      <c r="I43" s="6">
        <v>32834</v>
      </c>
      <c r="J43" s="7" t="s">
        <v>18</v>
      </c>
      <c r="K43" s="7" t="s">
        <v>18</v>
      </c>
      <c r="L43" s="7"/>
      <c r="M43" s="7" t="s">
        <v>18</v>
      </c>
      <c r="N43" s="7" t="s">
        <v>18</v>
      </c>
      <c r="O43" s="6">
        <v>1</v>
      </c>
      <c r="P43" s="6">
        <v>3037</v>
      </c>
      <c r="Q43" s="7" t="s">
        <v>18</v>
      </c>
      <c r="R43" s="7" t="s">
        <v>18</v>
      </c>
      <c r="S43" s="7" t="s">
        <v>18</v>
      </c>
      <c r="T43" s="7" t="s">
        <v>18</v>
      </c>
      <c r="U43" s="7" t="s">
        <v>18</v>
      </c>
      <c r="V43" s="7" t="s">
        <v>18</v>
      </c>
      <c r="W43" s="7" t="s">
        <v>18</v>
      </c>
      <c r="X43" s="7" t="s">
        <v>18</v>
      </c>
      <c r="Z43" s="21">
        <v>120306</v>
      </c>
      <c r="AB43" s="21">
        <f t="shared" si="4"/>
        <v>35871</v>
      </c>
      <c r="AC43" s="21">
        <f t="shared" si="5"/>
        <v>32834</v>
      </c>
      <c r="AE43" s="23">
        <f t="shared" si="6"/>
        <v>29.816468006583214</v>
      </c>
      <c r="AF43" s="23">
        <f t="shared" si="7"/>
        <v>27.292071883364088</v>
      </c>
    </row>
    <row r="44" spans="1:32">
      <c r="A44" s="8" t="s">
        <v>93</v>
      </c>
      <c r="B44" s="10" t="s">
        <v>18</v>
      </c>
      <c r="C44" s="10" t="s">
        <v>18</v>
      </c>
      <c r="D44" s="9">
        <v>2</v>
      </c>
      <c r="E44" s="9">
        <v>14236</v>
      </c>
      <c r="F44" s="9">
        <v>2</v>
      </c>
      <c r="G44" s="9">
        <v>21737</v>
      </c>
      <c r="H44" s="9">
        <v>1</v>
      </c>
      <c r="I44" s="9">
        <v>26699</v>
      </c>
      <c r="J44" s="10" t="s">
        <v>18</v>
      </c>
      <c r="K44" s="10" t="s">
        <v>18</v>
      </c>
      <c r="L44" s="10"/>
      <c r="M44" s="9">
        <v>5</v>
      </c>
      <c r="N44" s="9">
        <v>12152</v>
      </c>
      <c r="O44" s="9">
        <v>1</v>
      </c>
      <c r="P44" s="9">
        <v>3711</v>
      </c>
      <c r="Q44" s="10" t="s">
        <v>18</v>
      </c>
      <c r="R44" s="10" t="s">
        <v>18</v>
      </c>
      <c r="S44" s="10" t="s">
        <v>18</v>
      </c>
      <c r="T44" s="10" t="s">
        <v>18</v>
      </c>
      <c r="U44" s="10" t="s">
        <v>18</v>
      </c>
      <c r="V44" s="10" t="s">
        <v>18</v>
      </c>
      <c r="W44" s="10" t="s">
        <v>18</v>
      </c>
      <c r="X44" s="10" t="s">
        <v>18</v>
      </c>
      <c r="Z44" s="21">
        <v>570161</v>
      </c>
      <c r="AB44" s="21">
        <f t="shared" si="4"/>
        <v>78535</v>
      </c>
      <c r="AC44" s="21">
        <f t="shared" si="5"/>
        <v>26699</v>
      </c>
      <c r="AE44" s="23">
        <f t="shared" si="6"/>
        <v>13.774179573839671</v>
      </c>
      <c r="AF44" s="23">
        <f t="shared" si="7"/>
        <v>4.6827124268408395</v>
      </c>
    </row>
    <row r="45" spans="1:32">
      <c r="A45" s="5" t="s">
        <v>94</v>
      </c>
      <c r="B45" s="7" t="s">
        <v>18</v>
      </c>
      <c r="C45" s="7" t="s">
        <v>18</v>
      </c>
      <c r="D45" s="6">
        <v>3</v>
      </c>
      <c r="E45" s="6">
        <v>23513</v>
      </c>
      <c r="F45" s="6">
        <v>1</v>
      </c>
      <c r="G45" s="6">
        <v>11511</v>
      </c>
      <c r="H45" s="7" t="s">
        <v>18</v>
      </c>
      <c r="I45" s="7" t="s">
        <v>18</v>
      </c>
      <c r="J45" s="7" t="s">
        <v>18</v>
      </c>
      <c r="K45" s="7" t="s">
        <v>18</v>
      </c>
      <c r="L45" s="7"/>
      <c r="M45" s="6">
        <v>6</v>
      </c>
      <c r="N45" s="6">
        <v>14193</v>
      </c>
      <c r="O45" s="6">
        <v>4</v>
      </c>
      <c r="P45" s="6">
        <v>14057</v>
      </c>
      <c r="Q45" s="6">
        <v>4</v>
      </c>
      <c r="R45" s="6">
        <v>17490</v>
      </c>
      <c r="S45" s="7" t="s">
        <v>18</v>
      </c>
      <c r="T45" s="7" t="s">
        <v>18</v>
      </c>
      <c r="U45" s="7" t="s">
        <v>18</v>
      </c>
      <c r="V45" s="7" t="s">
        <v>18</v>
      </c>
      <c r="W45" s="7" t="s">
        <v>18</v>
      </c>
      <c r="X45" s="7" t="s">
        <v>18</v>
      </c>
      <c r="Z45" s="21">
        <v>672037</v>
      </c>
      <c r="AB45" s="21">
        <f t="shared" si="4"/>
        <v>80764</v>
      </c>
      <c r="AC45" s="21">
        <f t="shared" si="5"/>
        <v>0</v>
      </c>
      <c r="AE45" s="23">
        <f t="shared" si="6"/>
        <v>12.017790687119906</v>
      </c>
      <c r="AF45" s="23">
        <f t="shared" si="7"/>
        <v>0</v>
      </c>
    </row>
    <row r="46" spans="1:32">
      <c r="A46" s="8" t="s">
        <v>95</v>
      </c>
      <c r="B46" s="9">
        <v>1</v>
      </c>
      <c r="C46" s="9">
        <v>2280</v>
      </c>
      <c r="D46" s="9">
        <v>1</v>
      </c>
      <c r="E46" s="9">
        <v>5752</v>
      </c>
      <c r="F46" s="10" t="s">
        <v>18</v>
      </c>
      <c r="G46" s="10" t="s">
        <v>18</v>
      </c>
      <c r="H46" s="10" t="s">
        <v>18</v>
      </c>
      <c r="I46" s="10" t="s">
        <v>18</v>
      </c>
      <c r="J46" s="9">
        <v>1</v>
      </c>
      <c r="K46" s="9">
        <v>51473</v>
      </c>
      <c r="L46" s="9"/>
      <c r="M46" s="9">
        <v>9</v>
      </c>
      <c r="N46" s="9">
        <v>21113</v>
      </c>
      <c r="O46" s="9">
        <v>4</v>
      </c>
      <c r="P46" s="9">
        <v>13395</v>
      </c>
      <c r="Q46" s="9">
        <v>3</v>
      </c>
      <c r="R46" s="9">
        <v>13091</v>
      </c>
      <c r="S46" s="10" t="s">
        <v>18</v>
      </c>
      <c r="T46" s="10" t="s">
        <v>18</v>
      </c>
      <c r="U46" s="10" t="s">
        <v>18</v>
      </c>
      <c r="V46" s="10" t="s">
        <v>18</v>
      </c>
      <c r="W46" s="10" t="s">
        <v>18</v>
      </c>
      <c r="X46" s="10" t="s">
        <v>18</v>
      </c>
      <c r="Z46" s="21">
        <v>514267</v>
      </c>
      <c r="AB46" s="21">
        <f t="shared" si="4"/>
        <v>107104</v>
      </c>
      <c r="AC46" s="21">
        <f t="shared" si="5"/>
        <v>51473</v>
      </c>
      <c r="AE46" s="23">
        <f t="shared" si="6"/>
        <v>20.826535632268843</v>
      </c>
      <c r="AF46" s="23">
        <f t="shared" si="7"/>
        <v>10.009003105390779</v>
      </c>
    </row>
    <row r="47" spans="1:32">
      <c r="A47" s="5" t="s">
        <v>96</v>
      </c>
      <c r="B47" s="7" t="s">
        <v>18</v>
      </c>
      <c r="C47" s="7" t="s">
        <v>18</v>
      </c>
      <c r="D47" s="6">
        <v>1</v>
      </c>
      <c r="E47" s="6">
        <v>5684</v>
      </c>
      <c r="F47" s="6">
        <v>2</v>
      </c>
      <c r="G47" s="6">
        <v>25839</v>
      </c>
      <c r="H47" s="6">
        <v>1</v>
      </c>
      <c r="I47" s="6">
        <v>28933</v>
      </c>
      <c r="J47" s="7" t="s">
        <v>18</v>
      </c>
      <c r="K47" s="7" t="s">
        <v>18</v>
      </c>
      <c r="L47" s="7"/>
      <c r="M47" s="7" t="s">
        <v>18</v>
      </c>
      <c r="N47" s="7" t="s">
        <v>18</v>
      </c>
      <c r="O47" s="7" t="s">
        <v>18</v>
      </c>
      <c r="P47" s="7" t="s">
        <v>18</v>
      </c>
      <c r="Q47" s="7" t="s">
        <v>18</v>
      </c>
      <c r="R47" s="7" t="s">
        <v>18</v>
      </c>
      <c r="S47" s="6">
        <v>1</v>
      </c>
      <c r="T47" s="6">
        <v>7191</v>
      </c>
      <c r="U47" s="7" t="s">
        <v>18</v>
      </c>
      <c r="V47" s="7" t="s">
        <v>18</v>
      </c>
      <c r="W47" s="7" t="s">
        <v>18</v>
      </c>
      <c r="X47" s="7" t="s">
        <v>18</v>
      </c>
      <c r="Z47" s="21">
        <v>223336</v>
      </c>
      <c r="AB47" s="21">
        <f t="shared" si="4"/>
        <v>67647</v>
      </c>
      <c r="AC47" s="21">
        <f t="shared" si="5"/>
        <v>28933</v>
      </c>
      <c r="AE47" s="23">
        <f t="shared" si="6"/>
        <v>30.289339828778161</v>
      </c>
      <c r="AF47" s="23">
        <f t="shared" si="7"/>
        <v>12.954919941254433</v>
      </c>
    </row>
    <row r="48" spans="1:32">
      <c r="A48" s="8" t="s">
        <v>97</v>
      </c>
      <c r="B48" s="10" t="s">
        <v>18</v>
      </c>
      <c r="C48" s="10" t="s">
        <v>18</v>
      </c>
      <c r="D48" s="10" t="s">
        <v>18</v>
      </c>
      <c r="E48" s="10" t="s">
        <v>18</v>
      </c>
      <c r="F48" s="10" t="s">
        <v>18</v>
      </c>
      <c r="G48" s="10" t="s">
        <v>18</v>
      </c>
      <c r="H48" s="10" t="s">
        <v>18</v>
      </c>
      <c r="I48" s="10" t="s">
        <v>18</v>
      </c>
      <c r="J48" s="10" t="s">
        <v>18</v>
      </c>
      <c r="K48" s="10" t="s">
        <v>18</v>
      </c>
      <c r="L48" s="10"/>
      <c r="M48" s="10" t="s">
        <v>18</v>
      </c>
      <c r="N48" s="10" t="s">
        <v>18</v>
      </c>
      <c r="O48" s="9">
        <v>2</v>
      </c>
      <c r="P48" s="9">
        <v>6893</v>
      </c>
      <c r="Q48" s="10" t="s">
        <v>18</v>
      </c>
      <c r="R48" s="10" t="s">
        <v>18</v>
      </c>
      <c r="S48" s="10" t="s">
        <v>18</v>
      </c>
      <c r="T48" s="10" t="s">
        <v>18</v>
      </c>
      <c r="U48" s="10" t="s">
        <v>18</v>
      </c>
      <c r="V48" s="10" t="s">
        <v>18</v>
      </c>
      <c r="W48" s="10" t="s">
        <v>18</v>
      </c>
      <c r="X48" s="10" t="s">
        <v>18</v>
      </c>
      <c r="Z48" s="21">
        <v>28113</v>
      </c>
      <c r="AB48" s="21">
        <f t="shared" si="4"/>
        <v>6893</v>
      </c>
      <c r="AC48" s="21">
        <f t="shared" si="5"/>
        <v>0</v>
      </c>
      <c r="AE48" s="23">
        <f t="shared" si="6"/>
        <v>24.518905844271334</v>
      </c>
      <c r="AF48" s="23">
        <f t="shared" si="7"/>
        <v>0</v>
      </c>
    </row>
    <row r="49" spans="1:32">
      <c r="A49" s="5" t="s">
        <v>98</v>
      </c>
      <c r="B49" s="6">
        <v>3</v>
      </c>
      <c r="C49" s="6">
        <v>10515</v>
      </c>
      <c r="D49" s="6">
        <v>2</v>
      </c>
      <c r="E49" s="6">
        <v>14376</v>
      </c>
      <c r="F49" s="6">
        <v>1</v>
      </c>
      <c r="G49" s="6">
        <v>10301</v>
      </c>
      <c r="H49" s="6">
        <v>2</v>
      </c>
      <c r="I49" s="6">
        <v>49969</v>
      </c>
      <c r="J49" s="7" t="s">
        <v>18</v>
      </c>
      <c r="K49" s="7" t="s">
        <v>18</v>
      </c>
      <c r="L49" s="7"/>
      <c r="M49" s="6">
        <v>6</v>
      </c>
      <c r="N49" s="6">
        <v>13394</v>
      </c>
      <c r="O49" s="6">
        <v>2</v>
      </c>
      <c r="P49" s="6">
        <v>6816</v>
      </c>
      <c r="Q49" s="7" t="s">
        <v>18</v>
      </c>
      <c r="R49" s="7" t="s">
        <v>18</v>
      </c>
      <c r="S49" s="7" t="s">
        <v>18</v>
      </c>
      <c r="T49" s="7" t="s">
        <v>18</v>
      </c>
      <c r="U49" s="7" t="s">
        <v>18</v>
      </c>
      <c r="V49" s="7" t="s">
        <v>18</v>
      </c>
      <c r="W49" s="7" t="s">
        <v>18</v>
      </c>
      <c r="X49" s="7" t="s">
        <v>18</v>
      </c>
      <c r="Z49" s="21">
        <v>1433043</v>
      </c>
      <c r="AB49" s="21">
        <f t="shared" si="4"/>
        <v>105371</v>
      </c>
      <c r="AC49" s="21">
        <f t="shared" si="5"/>
        <v>49969</v>
      </c>
      <c r="AE49" s="23">
        <f t="shared" si="6"/>
        <v>7.3529545170661308</v>
      </c>
      <c r="AF49" s="23">
        <f t="shared" si="7"/>
        <v>3.4869156054633392</v>
      </c>
    </row>
    <row r="50" spans="1:32">
      <c r="A50" s="8" t="s">
        <v>99</v>
      </c>
      <c r="B50" s="9">
        <v>1</v>
      </c>
      <c r="C50" s="9">
        <v>3117</v>
      </c>
      <c r="D50" s="9">
        <v>3</v>
      </c>
      <c r="E50" s="9">
        <v>21478</v>
      </c>
      <c r="F50" s="9">
        <v>2</v>
      </c>
      <c r="G50" s="9">
        <v>28924</v>
      </c>
      <c r="H50" s="9">
        <v>1</v>
      </c>
      <c r="I50" s="9">
        <v>21073</v>
      </c>
      <c r="J50" s="9">
        <v>1</v>
      </c>
      <c r="K50" s="9">
        <v>52210</v>
      </c>
      <c r="L50" s="9"/>
      <c r="M50" s="9">
        <v>75</v>
      </c>
      <c r="N50" s="9">
        <v>182339</v>
      </c>
      <c r="O50" s="9">
        <v>26</v>
      </c>
      <c r="P50" s="9">
        <v>87606</v>
      </c>
      <c r="Q50" s="9">
        <v>5</v>
      </c>
      <c r="R50" s="9">
        <v>21020</v>
      </c>
      <c r="S50" s="9">
        <v>6</v>
      </c>
      <c r="T50" s="9">
        <v>37416</v>
      </c>
      <c r="U50" s="10" t="s">
        <v>18</v>
      </c>
      <c r="V50" s="10" t="s">
        <v>18</v>
      </c>
      <c r="W50" s="10" t="s">
        <v>18</v>
      </c>
      <c r="X50" s="10" t="s">
        <v>18</v>
      </c>
      <c r="Z50" s="21">
        <v>1927679</v>
      </c>
      <c r="AB50" s="21">
        <f t="shared" si="4"/>
        <v>455183</v>
      </c>
      <c r="AC50" s="21">
        <f t="shared" si="5"/>
        <v>73283</v>
      </c>
      <c r="AE50" s="23">
        <f t="shared" si="6"/>
        <v>23.613008182378913</v>
      </c>
      <c r="AF50" s="23">
        <f t="shared" si="7"/>
        <v>3.8016184229843248</v>
      </c>
    </row>
    <row r="51" spans="1:32">
      <c r="A51" s="5" t="s">
        <v>100</v>
      </c>
      <c r="B51" s="7" t="s">
        <v>18</v>
      </c>
      <c r="C51" s="7" t="s">
        <v>18</v>
      </c>
      <c r="D51" s="6">
        <v>1</v>
      </c>
      <c r="E51" s="6">
        <v>6535</v>
      </c>
      <c r="F51" s="7" t="s">
        <v>18</v>
      </c>
      <c r="G51" s="7" t="s">
        <v>18</v>
      </c>
      <c r="H51" s="7" t="s">
        <v>18</v>
      </c>
      <c r="I51" s="7" t="s">
        <v>18</v>
      </c>
      <c r="J51" s="7" t="s">
        <v>18</v>
      </c>
      <c r="K51" s="7" t="s">
        <v>18</v>
      </c>
      <c r="L51" s="7"/>
      <c r="M51" s="7" t="s">
        <v>18</v>
      </c>
      <c r="N51" s="7" t="s">
        <v>18</v>
      </c>
      <c r="O51" s="7" t="s">
        <v>18</v>
      </c>
      <c r="P51" s="7" t="s">
        <v>18</v>
      </c>
      <c r="Q51" s="7" t="s">
        <v>18</v>
      </c>
      <c r="R51" s="7" t="s">
        <v>18</v>
      </c>
      <c r="S51" s="7" t="s">
        <v>18</v>
      </c>
      <c r="T51" s="7" t="s">
        <v>18</v>
      </c>
      <c r="U51" s="7" t="s">
        <v>18</v>
      </c>
      <c r="V51" s="7" t="s">
        <v>18</v>
      </c>
      <c r="W51" s="7" t="s">
        <v>18</v>
      </c>
      <c r="X51" s="7" t="s">
        <v>18</v>
      </c>
      <c r="Z51" s="21">
        <v>269880</v>
      </c>
      <c r="AB51" s="21">
        <f t="shared" si="4"/>
        <v>6535</v>
      </c>
      <c r="AC51" s="21">
        <f t="shared" si="5"/>
        <v>0</v>
      </c>
      <c r="AE51" s="23">
        <f t="shared" si="6"/>
        <v>2.421446568845413</v>
      </c>
      <c r="AF51" s="23">
        <f t="shared" si="7"/>
        <v>0</v>
      </c>
    </row>
    <row r="52" spans="1:32">
      <c r="A52" s="5"/>
      <c r="B52" s="7"/>
      <c r="C52" s="7"/>
      <c r="D52" s="6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Z52" s="21"/>
      <c r="AB52" s="21"/>
      <c r="AC52" s="21"/>
      <c r="AE52" s="23"/>
      <c r="AF52" s="23"/>
    </row>
    <row r="53" spans="1:32">
      <c r="Z53" s="21">
        <f>SUM(Z5:Z51)</f>
        <v>65741691</v>
      </c>
      <c r="AB53" s="21">
        <f>SUM(AB5:AB51)</f>
        <v>19522418</v>
      </c>
      <c r="AC53" s="21">
        <f>SUM(AC5:AC51)</f>
        <v>5696441</v>
      </c>
      <c r="AE53" s="23">
        <f t="shared" ref="AE53" si="8">AB53/Z53*100</f>
        <v>29.695643210637829</v>
      </c>
      <c r="AF53" s="23">
        <f t="shared" ref="AF53" si="9">AC53/Z53*100</f>
        <v>8.6648835972290392</v>
      </c>
    </row>
    <row r="54" spans="1:32">
      <c r="Z54" s="21"/>
      <c r="AB54" s="21"/>
      <c r="AC54" s="21"/>
      <c r="AE54" s="23"/>
      <c r="AF54" s="23"/>
    </row>
  </sheetData>
  <mergeCells count="16">
    <mergeCell ref="Q3:R3"/>
    <mergeCell ref="S3:T3"/>
    <mergeCell ref="U3:V3"/>
    <mergeCell ref="W3:X3"/>
    <mergeCell ref="AB3:AC3"/>
    <mergeCell ref="AE3:AF3"/>
    <mergeCell ref="A2:A3"/>
    <mergeCell ref="B2:K2"/>
    <mergeCell ref="M2:X2"/>
    <mergeCell ref="B3:C3"/>
    <mergeCell ref="D3:E3"/>
    <mergeCell ref="F3:G3"/>
    <mergeCell ref="H3:I3"/>
    <mergeCell ref="J3:K3"/>
    <mergeCell ref="M3:N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Данные переписи 1897</vt:lpstr>
      <vt:lpstr>СССР-1991</vt:lpstr>
      <vt:lpstr>РСФСР-1991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sergey</cp:lastModifiedBy>
  <dcterms:created xsi:type="dcterms:W3CDTF">2026-06-21T23:29:56Z</dcterms:created>
  <dcterms:modified xsi:type="dcterms:W3CDTF">2026-06-22T02:02:32Z</dcterms:modified>
</cp:coreProperties>
</file>