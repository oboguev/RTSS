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workbooks\"/>
    </mc:Choice>
  </mc:AlternateContent>
  <xr:revisionPtr revIDLastSave="0" documentId="13_ncr:1_{976A2D7B-B4ED-42A4-8846-5EF5BD732348}" xr6:coauthVersionLast="45" xr6:coauthVersionMax="47" xr10:uidLastSave="{00000000-0000-0000-0000-000000000000}"/>
  <bookViews>
    <workbookView xWindow="21795" yWindow="960" windowWidth="16380" windowHeight="15630" activeTab="2" xr2:uid="{9806A3BC-D491-4476-99E9-37D3951075C7}"/>
  </bookViews>
  <sheets>
    <sheet name="Notes" sheetId="1" r:id="rId1"/>
    <sheet name="RU-1897" sheetId="24" r:id="rId2"/>
    <sheet name="RU-1926" sheetId="17" r:id="rId3"/>
    <sheet name="USSR-1926" sheetId="3" r:id="rId4"/>
    <sheet name="USSR-1959" sheetId="2" r:id="rId5"/>
    <sheet name="USSR-1970" sheetId="7" r:id="rId6"/>
    <sheet name="USSR-1979" sheetId="9" r:id="rId7"/>
    <sheet name="RSFSR-1926" sheetId="4" r:id="rId8"/>
    <sheet name="RSFSR-1959" sheetId="6" r:id="rId9"/>
    <sheet name="RSFSR-1970" sheetId="8" r:id="rId10"/>
    <sheet name="RSFSR-1979" sheetId="10" r:id="rId11"/>
    <sheet name="RSFSR-1989" sheetId="20" r:id="rId12"/>
    <sheet name="MX-1930" sheetId="13" r:id="rId13"/>
    <sheet name="MX-1950" sheetId="23" r:id="rId14"/>
    <sheet name="MX-1960" sheetId="14" r:id="rId15"/>
    <sheet name="MX-1970" sheetId="15" r:id="rId16"/>
    <sheet name="MX-1980" sheetId="22" r:id="rId17"/>
    <sheet name="MX-1990" sheetId="21" r:id="rId18"/>
    <sheet name="Итоги" sheetId="19" r:id="rId1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0" i="23" l="1"/>
  <c r="D31" i="23" s="1"/>
  <c r="D46" i="23"/>
  <c r="D47" i="23" s="1"/>
  <c r="D42" i="23"/>
  <c r="D43" i="23" s="1"/>
  <c r="D38" i="23"/>
  <c r="D39" i="23" s="1"/>
  <c r="D34" i="23"/>
  <c r="D35" i="23" s="1"/>
  <c r="D26" i="23"/>
  <c r="D27" i="23" s="1"/>
  <c r="D21" i="8"/>
  <c r="O42" i="24"/>
  <c r="O41" i="24"/>
  <c r="M42" i="24" l="1"/>
  <c r="M41" i="24"/>
  <c r="M39" i="24"/>
  <c r="M37" i="24"/>
  <c r="M36" i="24"/>
  <c r="M35" i="24"/>
  <c r="M34" i="24"/>
  <c r="M33" i="24"/>
  <c r="M29" i="24"/>
  <c r="M28" i="24"/>
  <c r="M27" i="24"/>
  <c r="M26" i="24"/>
  <c r="M25" i="24"/>
  <c r="M24" i="24"/>
  <c r="M20" i="24"/>
  <c r="M19" i="24"/>
  <c r="M18" i="24"/>
  <c r="M17" i="24"/>
  <c r="M16" i="24"/>
  <c r="M15" i="24"/>
  <c r="L42" i="24"/>
  <c r="L41" i="24"/>
  <c r="K42" i="24"/>
  <c r="K41" i="24"/>
  <c r="L39" i="24"/>
  <c r="K39" i="24"/>
  <c r="K37" i="24"/>
  <c r="L37" i="24" s="1"/>
  <c r="K36" i="24"/>
  <c r="L36" i="24" s="1"/>
  <c r="K35" i="24"/>
  <c r="L35" i="24" s="1"/>
  <c r="L34" i="24"/>
  <c r="K34" i="24"/>
  <c r="K33" i="24"/>
  <c r="L33" i="24" s="1"/>
  <c r="K29" i="24"/>
  <c r="L29" i="24" s="1"/>
  <c r="K28" i="24"/>
  <c r="L28" i="24" s="1"/>
  <c r="K27" i="24"/>
  <c r="L27" i="24" s="1"/>
  <c r="K26" i="24"/>
  <c r="L26" i="24" s="1"/>
  <c r="K25" i="24"/>
  <c r="L25" i="24" s="1"/>
  <c r="K24" i="24"/>
  <c r="L24" i="24" s="1"/>
  <c r="K20" i="24"/>
  <c r="L20" i="24" s="1"/>
  <c r="K19" i="24"/>
  <c r="L19" i="24" s="1"/>
  <c r="K18" i="24"/>
  <c r="L18" i="24" s="1"/>
  <c r="L17" i="24"/>
  <c r="K17" i="24"/>
  <c r="K16" i="24"/>
  <c r="L16" i="24" s="1"/>
  <c r="L15" i="24"/>
  <c r="K15" i="24"/>
  <c r="I42" i="24"/>
  <c r="H42" i="24"/>
  <c r="G42" i="24"/>
  <c r="F42" i="24"/>
  <c r="E42" i="24"/>
  <c r="D42" i="24"/>
  <c r="I41" i="24"/>
  <c r="H41" i="24"/>
  <c r="G41" i="24"/>
  <c r="F41" i="24"/>
  <c r="E41" i="24"/>
  <c r="D41" i="24"/>
  <c r="I37" i="24"/>
  <c r="I36" i="24"/>
  <c r="I35" i="24"/>
  <c r="I34" i="24"/>
  <c r="I33" i="24"/>
  <c r="H37" i="24"/>
  <c r="H36" i="24"/>
  <c r="H35" i="24"/>
  <c r="H34" i="24"/>
  <c r="H33" i="24"/>
  <c r="G37" i="24"/>
  <c r="G36" i="24"/>
  <c r="G35" i="24"/>
  <c r="G34" i="24"/>
  <c r="G33" i="24"/>
  <c r="F37" i="24"/>
  <c r="F36" i="24"/>
  <c r="F35" i="24"/>
  <c r="F34" i="24"/>
  <c r="F33" i="24"/>
  <c r="E37" i="24"/>
  <c r="E36" i="24"/>
  <c r="E35" i="24"/>
  <c r="E34" i="24"/>
  <c r="E33" i="24"/>
  <c r="D37" i="24"/>
  <c r="D36" i="24"/>
  <c r="D18" i="24"/>
  <c r="D35" i="24"/>
  <c r="D34" i="24"/>
  <c r="D33" i="24"/>
  <c r="M36" i="19" l="1"/>
  <c r="K36" i="19"/>
  <c r="M35" i="19"/>
  <c r="K35" i="19"/>
  <c r="M27" i="19"/>
  <c r="K27" i="19"/>
  <c r="M26" i="19"/>
  <c r="K26" i="19"/>
  <c r="M19" i="19"/>
  <c r="K19" i="19"/>
  <c r="M18" i="19"/>
  <c r="K18" i="19"/>
  <c r="M10" i="19"/>
  <c r="K10" i="19"/>
  <c r="M9" i="19"/>
  <c r="K9" i="19"/>
  <c r="D21" i="10"/>
  <c r="D20" i="9"/>
  <c r="D19" i="9"/>
  <c r="N24" i="17"/>
  <c r="M24" i="17"/>
  <c r="L24" i="17"/>
  <c r="K24" i="17"/>
  <c r="J24" i="17"/>
  <c r="I24" i="17"/>
  <c r="H24" i="17"/>
  <c r="G24" i="17"/>
  <c r="F24" i="17"/>
  <c r="E24" i="17"/>
  <c r="D24" i="17"/>
  <c r="C24" i="17"/>
  <c r="L20" i="7"/>
  <c r="J19" i="7"/>
  <c r="D19" i="7"/>
  <c r="L25" i="7"/>
  <c r="D30" i="7"/>
  <c r="D35" i="7"/>
  <c r="J24" i="7"/>
  <c r="D24" i="7"/>
  <c r="D29" i="7"/>
  <c r="D34" i="7"/>
  <c r="L21" i="2"/>
  <c r="J20" i="2"/>
  <c r="D20" i="2"/>
  <c r="D25" i="2"/>
  <c r="D37" i="2"/>
  <c r="J25" i="2"/>
  <c r="D31" i="2"/>
  <c r="D32" i="2" s="1"/>
  <c r="D36" i="2"/>
  <c r="D37" i="6"/>
  <c r="D32" i="6"/>
  <c r="L26" i="6"/>
  <c r="L21" i="6"/>
  <c r="J20" i="6"/>
  <c r="D20" i="6"/>
  <c r="D36" i="6"/>
  <c r="D31" i="6"/>
  <c r="J25" i="6"/>
  <c r="D25" i="6"/>
  <c r="D37" i="8"/>
  <c r="D32" i="8"/>
  <c r="L27" i="8"/>
  <c r="J21" i="8"/>
  <c r="D36" i="8"/>
  <c r="D31" i="8"/>
  <c r="J26" i="8"/>
  <c r="D26" i="8"/>
  <c r="E23" i="20"/>
  <c r="D28" i="14"/>
  <c r="D27" i="14"/>
  <c r="D30" i="15"/>
  <c r="D29" i="15"/>
  <c r="D50" i="22" l="1"/>
  <c r="D51" i="22" s="1"/>
  <c r="D45" i="22"/>
  <c r="D46" i="22" s="1"/>
  <c r="D40" i="22"/>
  <c r="D41" i="22" s="1"/>
  <c r="D35" i="22"/>
  <c r="D36" i="22" s="1"/>
  <c r="D30" i="22"/>
  <c r="D31" i="22" s="1"/>
  <c r="D25" i="22"/>
  <c r="D26" i="22" s="1"/>
  <c r="G48" i="19" l="1"/>
  <c r="I48" i="19" s="1"/>
  <c r="C48" i="19"/>
  <c r="E48" i="19" s="1"/>
  <c r="D22" i="10" l="1"/>
  <c r="E24" i="20"/>
  <c r="D50" i="21"/>
  <c r="D51" i="21" s="1"/>
  <c r="D45" i="21"/>
  <c r="D46" i="21" s="1"/>
  <c r="D40" i="21"/>
  <c r="D41" i="21" s="1"/>
  <c r="D25" i="21"/>
  <c r="D26" i="21" s="1"/>
  <c r="D35" i="21"/>
  <c r="D36" i="21" s="1"/>
  <c r="D30" i="21"/>
  <c r="D31" i="21" s="1"/>
  <c r="E39" i="20"/>
  <c r="E40" i="20" s="1"/>
  <c r="E34" i="20"/>
  <c r="E35" i="20" s="1"/>
  <c r="E29" i="20"/>
  <c r="E30" i="20" s="1"/>
  <c r="D26" i="10"/>
  <c r="D27" i="10" s="1"/>
  <c r="D24" i="9"/>
  <c r="D25" i="9" s="1"/>
  <c r="I47" i="19" l="1"/>
  <c r="E50" i="19" l="1"/>
  <c r="I50" i="19"/>
  <c r="I54" i="19" l="1"/>
  <c r="E54" i="19"/>
  <c r="E53" i="19"/>
  <c r="E52" i="19"/>
  <c r="E51" i="19"/>
  <c r="E49" i="19"/>
  <c r="D49" i="17"/>
  <c r="J49" i="17"/>
  <c r="I53" i="19"/>
  <c r="I52" i="19"/>
  <c r="I51" i="19"/>
  <c r="I49" i="19"/>
  <c r="M34" i="19"/>
  <c r="K34" i="19"/>
  <c r="M33" i="19"/>
  <c r="K33" i="19"/>
  <c r="M25" i="19"/>
  <c r="K25" i="19"/>
  <c r="M24" i="19"/>
  <c r="K24" i="19"/>
  <c r="D55" i="15"/>
  <c r="D56" i="15" s="1"/>
  <c r="D50" i="15"/>
  <c r="D51" i="15" s="1"/>
  <c r="D53" i="14"/>
  <c r="D54" i="14" s="1"/>
  <c r="D48" i="14"/>
  <c r="D49" i="14" s="1"/>
  <c r="D34" i="9"/>
  <c r="D35" i="9" s="1"/>
  <c r="D29" i="9"/>
  <c r="D30" i="9" s="1"/>
  <c r="D36" i="10"/>
  <c r="D37" i="10" s="1"/>
  <c r="D31" i="10"/>
  <c r="D32" i="10" s="1"/>
  <c r="J44" i="17"/>
  <c r="J45" i="17" s="1"/>
  <c r="J39" i="17"/>
  <c r="J40" i="17" s="1"/>
  <c r="D44" i="17"/>
  <c r="D45" i="17" s="1"/>
  <c r="D39" i="17"/>
  <c r="D40" i="17" s="1"/>
  <c r="M17" i="19" l="1"/>
  <c r="M16" i="19"/>
  <c r="M15" i="19"/>
  <c r="M8" i="19"/>
  <c r="M7" i="19"/>
  <c r="M6" i="19"/>
  <c r="K15" i="19"/>
  <c r="K6" i="19"/>
  <c r="K17" i="19"/>
  <c r="K16" i="19"/>
  <c r="K8" i="19"/>
  <c r="K7" i="19"/>
  <c r="J34" i="17" l="1"/>
  <c r="J35" i="17" s="1"/>
  <c r="D34" i="17"/>
  <c r="D35" i="17" s="1"/>
  <c r="D45" i="15"/>
  <c r="D46" i="15" s="1"/>
  <c r="D42" i="14"/>
  <c r="D43" i="14" s="1"/>
  <c r="D22" i="13"/>
  <c r="D37" i="13"/>
  <c r="D38" i="13" s="1"/>
  <c r="J29" i="17"/>
  <c r="J30" i="17" s="1"/>
  <c r="D29" i="17"/>
  <c r="D30" i="17" s="1"/>
  <c r="D35" i="15"/>
  <c r="D36" i="15" s="1"/>
  <c r="D40" i="15"/>
  <c r="D41" i="15" s="1"/>
  <c r="D37" i="14"/>
  <c r="D38" i="14" s="1"/>
  <c r="D32" i="14"/>
  <c r="D33" i="14" s="1"/>
  <c r="D27" i="13"/>
  <c r="D28" i="13" s="1"/>
  <c r="D32" i="13"/>
  <c r="D33" i="13" s="1"/>
  <c r="L26" i="8" l="1"/>
  <c r="L25" i="6"/>
  <c r="L24" i="7"/>
  <c r="L25" i="2"/>
  <c r="L26" i="2" s="1"/>
  <c r="D4" i="14"/>
  <c r="D23" i="13"/>
  <c r="J25" i="17"/>
  <c r="D25" i="17"/>
  <c r="L20" i="6" l="1"/>
  <c r="L21" i="8"/>
  <c r="L22" i="8" s="1"/>
  <c r="L20" i="2"/>
  <c r="L19" i="7"/>
  <c r="C14" i="8"/>
  <c r="C14" i="7"/>
  <c r="C14" i="6"/>
  <c r="C15" i="2"/>
  <c r="F17" i="13" l="1"/>
  <c r="F22" i="14"/>
  <c r="F21" i="15"/>
  <c r="F23" i="15" s="1"/>
  <c r="D20" i="15"/>
  <c r="D21" i="15" s="1"/>
  <c r="D23" i="15" s="1"/>
  <c r="D19" i="14"/>
  <c r="D20" i="14" s="1"/>
  <c r="D22" i="14" s="1"/>
  <c r="D14" i="13"/>
  <c r="D4" i="13" s="1"/>
  <c r="D15" i="13"/>
  <c r="D17" i="13" s="1"/>
  <c r="D35" i="4"/>
  <c r="D37" i="4" s="1"/>
  <c r="D35" i="3"/>
  <c r="D37" i="3" s="1"/>
  <c r="D13" i="10"/>
  <c r="D15" i="10" s="1"/>
  <c r="D13" i="9"/>
  <c r="D15" i="9" s="1"/>
  <c r="D13" i="8"/>
  <c r="D15" i="8" s="1"/>
  <c r="D13" i="7"/>
  <c r="D15" i="7" s="1"/>
  <c r="D13" i="6"/>
  <c r="D15" i="6" s="1"/>
  <c r="D12" i="4"/>
  <c r="D14" i="4" s="1"/>
  <c r="D14" i="2"/>
  <c r="D16" i="2" s="1"/>
  <c r="D12" i="3"/>
  <c r="D14" i="3" s="1"/>
</calcChain>
</file>

<file path=xl/sharedStrings.xml><?xml version="1.0" encoding="utf-8"?>
<sst xmlns="http://schemas.openxmlformats.org/spreadsheetml/2006/main" count="671" uniqueCount="156">
  <si>
    <t>от</t>
  </si>
  <si>
    <t>до</t>
  </si>
  <si>
    <t>менее</t>
  </si>
  <si>
    <t>и более</t>
  </si>
  <si>
    <t>жителей</t>
  </si>
  <si>
    <t>USSR-1959</t>
  </si>
  <si>
    <t>ЦСУ СССР, "Итоги Всесоюзной переписи населения 1959 года. СССР. Сводный том" (1962), стр. 35</t>
  </si>
  <si>
    <t>USSR-1926</t>
  </si>
  <si>
    <t>RSFSR-1926</t>
  </si>
  <si>
    <t>RSFSR-1959</t>
  </si>
  <si>
    <t>ЦСУ СССР, "Итоги Всесоюзной переписи населения 1959 года. РСФСР", стр. 39</t>
  </si>
  <si>
    <t>RSFSR-1970</t>
  </si>
  <si>
    <t>USSR-1970</t>
  </si>
  <si>
    <t>городское население</t>
  </si>
  <si>
    <t>всё население</t>
  </si>
  <si>
    <t>% городского</t>
  </si>
  <si>
    <t>USSR-1979</t>
  </si>
  <si>
    <t>"Итоги Всесоюзной переписи населения 1979 года. Том I - Численность населения СССР, союзных и автономных республик, краев и областей", стр. 112</t>
  </si>
  <si>
    <t>"Итоги Всесоюзной переписи населения 1979 года. Том I - Численность населения СССР, союзных и автономных республик, краев и областей", стр. 113</t>
  </si>
  <si>
    <t>RSFSR-1979</t>
  </si>
  <si>
    <t>ЦСУ СССР, "Всесоюзная перепись населения 17 декабря 1926 года, том XVII, отдел 1, Союз Советских Социалистических Ресупблик",  М. 1929, стр. 4</t>
  </si>
  <si>
    <t>MX-1930</t>
  </si>
  <si>
    <t>сумма &gt; 1000</t>
  </si>
  <si>
    <t>городское</t>
  </si>
  <si>
    <t>MX-1960</t>
  </si>
  <si>
    <t>"Quinto Censo de Población. 15 de mayo de 1930. Resumen general", стр. 39-40</t>
  </si>
  <si>
    <t>MX-1970</t>
  </si>
  <si>
    <t>см. стр 5</t>
  </si>
  <si>
    <t>ЦСУ СССР, "Всесоюзная перепись населения 17 декабря 1926 года, том XVII, отдел 1, Союз Советских Социалистических Ресупблик",  М. 1929, стр. 4-7</t>
  </si>
  <si>
    <t>ЦСУ СССР, "Всесоюзная перепись населения 17 декабря 1926 года, том XVII, отдел 1, Союз Советских Социалистических Ресупблик",  М. 1929, стр. 6-7</t>
  </si>
  <si>
    <t>гор. жит.</t>
  </si>
  <si>
    <t>сель. жит</t>
  </si>
  <si>
    <t>РСФСР</t>
  </si>
  <si>
    <t>РСФСР городские</t>
  </si>
  <si>
    <t>РСФСР сельские</t>
  </si>
  <si>
    <t>всего</t>
  </si>
  <si>
    <t>мест</t>
  </si>
  <si>
    <t>СССР</t>
  </si>
  <si>
    <t>СССР городские</t>
  </si>
  <si>
    <t>СССР сельские</t>
  </si>
  <si>
    <t>cвыше</t>
  </si>
  <si>
    <t>см. страницу RU-1926</t>
  </si>
  <si>
    <t>численность</t>
  </si>
  <si>
    <t>%</t>
  </si>
  <si>
    <t>сельских</t>
  </si>
  <si>
    <t>городских</t>
  </si>
  <si>
    <t>ЦСУ СССР, "Итоги Всесоюзной переписи населения 1959 года. СССР. Сводный том" (1962), стр. 35, 38-39</t>
  </si>
  <si>
    <t>ЦСУ СССР, "Итоги Всесоюзной переписи населения 1959 года. РСФСР", стр. 39, 48-49</t>
  </si>
  <si>
    <t>"Итоги Всесоюзной переписи населения 1970 года. Том I - Численность населения СССР", стр. 61, 146-147</t>
  </si>
  <si>
    <t>"Итоги Всесоюзной переписи населения 1970 года. Том I - Численность населения СССР",  стр. 62, 146-147</t>
  </si>
  <si>
    <t>Население в пунктах численностью 2000 жителей и выше</t>
  </si>
  <si>
    <t>Население в пунктах численностью 2500 жителей и выше</t>
  </si>
  <si>
    <t>% в более 2000</t>
  </si>
  <si>
    <t>всего в более 2000</t>
  </si>
  <si>
    <t>сумма &gt; 2000</t>
  </si>
  <si>
    <t>"VIII Censo General de Población 1960. 8 de junio de 1960. Resumen general", cтр. 59, 68, xlv-xlvi, 1</t>
  </si>
  <si>
    <t>"X Censo General de Población 1970. 28 de enero de 1970. Resumen general", стр. 7, v, 4</t>
  </si>
  <si>
    <t>гор. офиц. т.е.  живущих в пунктах с более 2500</t>
  </si>
  <si>
    <t>сумма &gt; 5000</t>
  </si>
  <si>
    <t>Население в пунктах численностью 5000 жителей и выше</t>
  </si>
  <si>
    <t>всего в более 5000</t>
  </si>
  <si>
    <t>% в более 5000</t>
  </si>
  <si>
    <t>Исходные сведения по опубликованным итогам переписи</t>
  </si>
  <si>
    <t>Мексика</t>
  </si>
  <si>
    <t>1926 или</t>
  </si>
  <si>
    <t>1959 или</t>
  </si>
  <si>
    <t>% &gt; 5000</t>
  </si>
  <si>
    <t>сумма &gt; 2500</t>
  </si>
  <si>
    <t>% &gt; 2500</t>
  </si>
  <si>
    <t>Население в пунктах численностью 1000 жителей и выше</t>
  </si>
  <si>
    <t>% &gt; 1000</t>
  </si>
  <si>
    <t>RSFSR-MX</t>
  </si>
  <si>
    <t>RSFSR/MX</t>
  </si>
  <si>
    <t>Население в пунктах численностью 20,000 жителей и выше</t>
  </si>
  <si>
    <t>Население в пунктах численностью 100,000 жителей и выше</t>
  </si>
  <si>
    <t>RU-1926</t>
  </si>
  <si>
    <t>Население по административному статусу пункта</t>
  </si>
  <si>
    <t>год</t>
  </si>
  <si>
    <t>всё</t>
  </si>
  <si>
    <t>%гор</t>
  </si>
  <si>
    <t>"Итоги Всесоюзной переписи населения 1979 года. Том I - Численность населения СССР, союзных и автономных республик, краев и областей", стр. 25-26</t>
  </si>
  <si>
    <t>Городское население по административному статусу</t>
  </si>
  <si>
    <t>Для 1926: RU-1926</t>
  </si>
  <si>
    <t>"Численность населения РСФСР по данным Всесоюзной переписи населения 1989 года", Госкомстат РСФСР, 1990, стр.  5-7</t>
  </si>
  <si>
    <t>В.Б. Жиромская, "Численность населения России в 1939 г. : Поиск истины" // "Население России в 1920-1950-е годы: Численность, потери, миграции", ИРИ РАН, М. 1994, стр. 32, 35, 38-40</t>
  </si>
  <si>
    <t>1939-действ</t>
  </si>
  <si>
    <t>Для 1937:</t>
  </si>
  <si>
    <t>Жиромская, Поляков, "Всесоюзная перепись населения 1937 года: Общие итоги. В 85 Сборник документов и материалов", РОССПЭН, 2007, стр. 48-59</t>
  </si>
  <si>
    <t>RSFSR-1989</t>
  </si>
  <si>
    <t>"Городские поселения РСФСР по данным Всесоюзной переписи населения 1989 года", стр. 62-63</t>
  </si>
  <si>
    <t>1979 или</t>
  </si>
  <si>
    <t>1989 или</t>
  </si>
  <si>
    <t>Население в пунктах численностью 5,000 жителей и выше</t>
  </si>
  <si>
    <t>https://www.uv.mx/apps/censos-conteos/1990/menu1990.html</t>
  </si>
  <si>
    <t>таблицы 1 и 3</t>
  </si>
  <si>
    <t>и выше</t>
  </si>
  <si>
    <t>INEGI. Censo General de Población y Vivienda 1990</t>
  </si>
  <si>
    <t>% &gt; 2000</t>
  </si>
  <si>
    <t>Разложение</t>
  </si>
  <si>
    <t>Население в пунктах численностью 2,000 жителей и выше</t>
  </si>
  <si>
    <t>В.Б. Жиромская, "Всесоюзная перепись населения 1939 г. в историографии : оценка достоверности" // "Россия в XX веке, судъбы исторической науки", М. : Наука, 1996, стр. 473-476</t>
  </si>
  <si>
    <t>1939-действительное -- для 1939 после очисток от фальсификации:</t>
  </si>
  <si>
    <t>"Всесоюзная перепись населения 1939 года. Основные итоги. Россия", сост. В.Б. Жиромская, ИРИ РАН, 1999, стр. 14-17</t>
  </si>
  <si>
    <t>1937-действительное -- для 1937 после очисток от фальсификации:</t>
  </si>
  <si>
    <t>1937-действ</t>
  </si>
  <si>
    <t xml:space="preserve">Для 1897, 1913, 1920, 1937, 1939 </t>
  </si>
  <si>
    <t>MX-1990</t>
  </si>
  <si>
    <t>https://www.uv.mx/apps/censos-conteos/1990/1990.xlsx</t>
  </si>
  <si>
    <t>INEGI. Censo General de Población y Vivienda 1980</t>
  </si>
  <si>
    <t>https://www.uv.mx/apps/censos-conteos/1990/menu1980.html</t>
  </si>
  <si>
    <t>https://www.uv.mx/apps/censos-conteos/1980/1980.xlsx</t>
  </si>
  <si>
    <t>таблицы 1, 3, 63</t>
  </si>
  <si>
    <t>NB: cумма на 70 тыс. выше "всего"</t>
  </si>
  <si>
    <t>MX-1980</t>
  </si>
  <si>
    <t>В тех случаях, когда имелись диапазоны 0-3000 жителей или 1000-2500 жителей,</t>
  </si>
  <si>
    <t>диапазоны 2000-3000 и 2000-2500 извлекались дезагрегацией корзины по модели f(x) = A * x^(-alpha).</t>
  </si>
  <si>
    <t>Модуль RTSS SplitTownPopulation.</t>
  </si>
  <si>
    <t>Переписи СССР 1937 и 1939 не собирали сведений о распределении населения по численности городов и посёлков.</t>
  </si>
  <si>
    <t>Переписи Мексики 1940 и 1950 не собирали сведений о распределении населения по численности городов и посёлков.</t>
  </si>
  <si>
    <t>MX-1950</t>
  </si>
  <si>
    <t>INEGI, "Estadísticas históricas de México 2014", табл. 2.15</t>
  </si>
  <si>
    <t>По переписи</t>
  </si>
  <si>
    <t>сумма</t>
  </si>
  <si>
    <t>Население в пунктах численностью 20000 жителей и выше</t>
  </si>
  <si>
    <t>Население в пунктах численностью 100000 жителей и выше</t>
  </si>
  <si>
    <t>Эта модель удовлетворительно вписывается в данные младших корзин RU-1926 и MX-1930.</t>
  </si>
  <si>
    <t>1897 или</t>
  </si>
  <si>
    <t>RU-1897</t>
  </si>
  <si>
    <t xml:space="preserve">В России по переписи 1897 года городское население по официально принятому статусу селений составляло 13%, </t>
  </si>
  <si>
    <t xml:space="preserve">но при разграничении по статистической норме в 2 тыс. жителей – 31.5% </t>
  </si>
  <si>
    <t xml:space="preserve">(С.А. Новосельский, "О различиях в смертности городского и сельского населения Европейской России", М., 1911, стр. 2). </t>
  </si>
  <si>
    <t xml:space="preserve"> и выше</t>
  </si>
  <si>
    <t>Города и поселения в уездах</t>
  </si>
  <si>
    <t>Империя</t>
  </si>
  <si>
    <t>Кавказ</t>
  </si>
  <si>
    <t>Сибирь</t>
  </si>
  <si>
    <t>Средняя Азия</t>
  </si>
  <si>
    <t>Европейская Россия 50 губ.</t>
  </si>
  <si>
    <t>города</t>
  </si>
  <si>
    <t>поселения в уездах</t>
  </si>
  <si>
    <t>Царство Польское</t>
  </si>
  <si>
    <t>101654</t>
  </si>
  <si>
    <t>города + поселения в уездах</t>
  </si>
  <si>
    <t>% 2000 и более</t>
  </si>
  <si>
    <t>% 20000 и более</t>
  </si>
  <si>
    <t>50 губ + Сибирь</t>
  </si>
  <si>
    <t>50 губ + Сибирь + Кавказ</t>
  </si>
  <si>
    <t>"Первая всеобщая перепись населения Российской Империи 1897 г. : Города и поселения в уездах имеющие 2.000 и более жителей", ред. Н.А. Тройницкий, С.-Пб., 1905, стр. 4-6</t>
  </si>
  <si>
    <t>"Общий свод по Империи результатов разработки данных первой всеобщей переписи населения, произведенной 28 января 1897 года", ред. Н.А. Тройницкий, С.-Пб., 1905, том 1, стр. 6-7</t>
  </si>
  <si>
    <t>50 губ + Сибирь + Кавказ + Ср. Азия</t>
  </si>
  <si>
    <t>"Séptimo Censo General de Población 6 de junio de 1950. Secretaría de Economía Dirección General de Estadística. Resumen General", стр. 119</t>
  </si>
  <si>
    <t>https://www.istmat.org/files/uploads/44830/rgae_4372.92.161_l.1-34.pdf</t>
  </si>
  <si>
    <t>См. подробнее в urbanization-ru-1897.xlsx</t>
  </si>
  <si>
    <t>https://www.istmat.org/node/44830</t>
  </si>
  <si>
    <t>РГАЭ Ф.4372, Оп.92, Д.161, Л.1-34</t>
  </si>
  <si>
    <t>"В 1926 году некоторые города были переписаны с пригородами и слободами, не входящими в городскую черту"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</si>
</sst>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_-* #,##0.00_-;\-* #,##0.00_-;_-* &quot;-&quot;??_-;_-@_-"/>
    <numFmt numFmtId="167" formatCode="_-[$€-2]* #,##0.00_-;\-[$€-2]* #,##0.00_-;_-[$€-2]* &quot;-&quot;??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14"/>
      </top>
      <bottom style="medium">
        <color indexed="14"/>
      </bottom>
      <diagonal/>
    </border>
  </borders>
  <cellStyleXfs count="7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3" fontId="0" fillId="0" borderId="0" xfId="0" applyNumberFormat="1"/>
    <xf numFmtId="0" fontId="1" fillId="0" borderId="0" xfId="0" applyFont="1"/>
    <xf numFmtId="164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/>
    <xf numFmtId="16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center"/>
    </xf>
    <xf numFmtId="164" fontId="5" fillId="0" borderId="0" xfId="0" applyNumberFormat="1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5" fontId="0" fillId="0" borderId="0" xfId="0" applyNumberFormat="1"/>
    <xf numFmtId="0" fontId="6" fillId="0" borderId="0" xfId="0" applyFont="1"/>
    <xf numFmtId="3" fontId="0" fillId="0" borderId="0" xfId="0" applyNumberFormat="1" applyAlignment="1">
      <alignment horizontal="right" vertical="center" wrapText="1"/>
    </xf>
    <xf numFmtId="0" fontId="7" fillId="0" borderId="0" xfId="1"/>
    <xf numFmtId="0" fontId="11" fillId="0" borderId="0" xfId="2" applyFont="1" applyAlignment="1">
      <alignment horizontal="center" vertical="center"/>
    </xf>
    <xf numFmtId="0" fontId="9" fillId="0" borderId="0" xfId="2" applyFont="1"/>
    <xf numFmtId="3" fontId="11" fillId="0" borderId="0" xfId="2" applyNumberFormat="1" applyFont="1" applyAlignment="1">
      <alignment horizontal="right"/>
    </xf>
    <xf numFmtId="3" fontId="5" fillId="3" borderId="2" xfId="2" applyNumberFormat="1" applyFont="1" applyFill="1" applyBorder="1"/>
    <xf numFmtId="3" fontId="5" fillId="0" borderId="1" xfId="2" applyNumberFormat="1" applyFont="1" applyBorder="1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center"/>
    </xf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7">
    <cellStyle name="Comma 2" xfId="5" xr:uid="{2A5730CF-2000-4C9F-A914-E035B50DA721}"/>
    <cellStyle name="Euro" xfId="3" xr:uid="{13FA6C99-1DA1-4BDE-A330-70CA7E69198D}"/>
    <cellStyle name="Hyperlink" xfId="1" builtinId="8"/>
    <cellStyle name="Hyperlink 2" xfId="4" xr:uid="{3B50002E-2B40-4A53-9A5A-330329E22FD3}"/>
    <cellStyle name="Normal" xfId="0" builtinId="0"/>
    <cellStyle name="Normal 2" xfId="2" xr:uid="{7DDB2CAA-4EE4-4CED-9BCF-19D89D6652BE}"/>
    <cellStyle name="Normal 2 2" xfId="6" xr:uid="{932A0CD9-754C-4CE4-8215-E4DF05526C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v.mx/apps/censos-conteos/1980/1980.xlsx" TargetMode="External"/><Relationship Id="rId1" Type="http://schemas.openxmlformats.org/officeDocument/2006/relationships/hyperlink" Target="https://www.uv.mx/apps/censos-conteos/1990/menu1980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4E3F-1F27-45F2-85D8-EE2D60E7DC98}">
  <dimension ref="A1:B46"/>
  <sheetViews>
    <sheetView workbookViewId="0">
      <selection activeCell="B29" sqref="B29"/>
    </sheetView>
  </sheetViews>
  <sheetFormatPr defaultRowHeight="15" x14ac:dyDescent="0.25"/>
  <cols>
    <col min="1" max="1" width="13.140625" customWidth="1"/>
  </cols>
  <sheetData>
    <row r="1" spans="1:2" x14ac:dyDescent="0.25">
      <c r="A1" s="2" t="s">
        <v>127</v>
      </c>
    </row>
    <row r="3" spans="1:2" x14ac:dyDescent="0.25">
      <c r="A3" s="2" t="s">
        <v>75</v>
      </c>
      <c r="B3" t="s">
        <v>28</v>
      </c>
    </row>
    <row r="5" spans="1:2" x14ac:dyDescent="0.25">
      <c r="A5" s="2" t="s">
        <v>7</v>
      </c>
      <c r="B5" t="s">
        <v>6</v>
      </c>
    </row>
    <row r="6" spans="1:2" x14ac:dyDescent="0.25">
      <c r="A6" s="2"/>
      <c r="B6" t="s">
        <v>28</v>
      </c>
    </row>
    <row r="7" spans="1:2" x14ac:dyDescent="0.25">
      <c r="A7" s="2"/>
      <c r="B7" t="s">
        <v>41</v>
      </c>
    </row>
    <row r="8" spans="1:2" x14ac:dyDescent="0.25">
      <c r="A8" s="2"/>
    </row>
    <row r="9" spans="1:2" x14ac:dyDescent="0.25">
      <c r="A9" s="2" t="s">
        <v>5</v>
      </c>
      <c r="B9" t="s">
        <v>46</v>
      </c>
    </row>
    <row r="10" spans="1:2" x14ac:dyDescent="0.25">
      <c r="A10" s="2"/>
    </row>
    <row r="11" spans="1:2" x14ac:dyDescent="0.25">
      <c r="A11" s="2" t="s">
        <v>12</v>
      </c>
      <c r="B11" t="s">
        <v>48</v>
      </c>
    </row>
    <row r="12" spans="1:2" x14ac:dyDescent="0.25">
      <c r="A12" s="2"/>
    </row>
    <row r="13" spans="1:2" x14ac:dyDescent="0.25">
      <c r="A13" s="2" t="s">
        <v>16</v>
      </c>
      <c r="B13" t="s">
        <v>17</v>
      </c>
    </row>
    <row r="14" spans="1:2" x14ac:dyDescent="0.25">
      <c r="A14" s="2"/>
    </row>
    <row r="15" spans="1:2" x14ac:dyDescent="0.25">
      <c r="A15" s="2" t="s">
        <v>8</v>
      </c>
      <c r="B15" t="s">
        <v>10</v>
      </c>
    </row>
    <row r="16" spans="1:2" x14ac:dyDescent="0.25">
      <c r="B16" t="s">
        <v>20</v>
      </c>
    </row>
    <row r="18" spans="1:2" x14ac:dyDescent="0.25">
      <c r="A18" s="2" t="s">
        <v>9</v>
      </c>
      <c r="B18" t="s">
        <v>47</v>
      </c>
    </row>
    <row r="20" spans="1:2" x14ac:dyDescent="0.25">
      <c r="A20" s="2" t="s">
        <v>11</v>
      </c>
      <c r="B20" t="s">
        <v>49</v>
      </c>
    </row>
    <row r="22" spans="1:2" x14ac:dyDescent="0.25">
      <c r="A22" s="2" t="s">
        <v>19</v>
      </c>
      <c r="B22" t="s">
        <v>18</v>
      </c>
    </row>
    <row r="23" spans="1:2" x14ac:dyDescent="0.25">
      <c r="A23" s="2"/>
    </row>
    <row r="24" spans="1:2" x14ac:dyDescent="0.25">
      <c r="A24" s="2" t="s">
        <v>88</v>
      </c>
      <c r="B24" t="s">
        <v>89</v>
      </c>
    </row>
    <row r="26" spans="1:2" x14ac:dyDescent="0.25">
      <c r="A26" s="2" t="s">
        <v>21</v>
      </c>
      <c r="B26" t="s">
        <v>25</v>
      </c>
    </row>
    <row r="28" spans="1:2" x14ac:dyDescent="0.25">
      <c r="A28" s="2" t="s">
        <v>119</v>
      </c>
      <c r="B28" t="s">
        <v>150</v>
      </c>
    </row>
    <row r="29" spans="1:2" x14ac:dyDescent="0.25">
      <c r="B29" t="s">
        <v>120</v>
      </c>
    </row>
    <row r="31" spans="1:2" x14ac:dyDescent="0.25">
      <c r="A31" s="2" t="s">
        <v>24</v>
      </c>
      <c r="B31" t="s">
        <v>55</v>
      </c>
    </row>
    <row r="33" spans="1:2" x14ac:dyDescent="0.25">
      <c r="A33" s="2" t="s">
        <v>26</v>
      </c>
      <c r="B33" t="s">
        <v>56</v>
      </c>
    </row>
    <row r="34" spans="1:2" x14ac:dyDescent="0.25">
      <c r="A34" s="2"/>
    </row>
    <row r="35" spans="1:2" x14ac:dyDescent="0.25">
      <c r="A35" s="2" t="s">
        <v>113</v>
      </c>
      <c r="B35" t="s">
        <v>108</v>
      </c>
    </row>
    <row r="36" spans="1:2" x14ac:dyDescent="0.25">
      <c r="A36" s="2"/>
    </row>
    <row r="37" spans="1:2" x14ac:dyDescent="0.25">
      <c r="A37" s="2" t="s">
        <v>106</v>
      </c>
      <c r="B37" t="s">
        <v>96</v>
      </c>
    </row>
    <row r="39" spans="1:2" x14ac:dyDescent="0.25">
      <c r="A39" t="s">
        <v>117</v>
      </c>
    </row>
    <row r="40" spans="1:2" x14ac:dyDescent="0.25">
      <c r="A40" t="s">
        <v>118</v>
      </c>
    </row>
    <row r="43" spans="1:2" x14ac:dyDescent="0.25">
      <c r="A43" t="s">
        <v>114</v>
      </c>
    </row>
    <row r="44" spans="1:2" x14ac:dyDescent="0.25">
      <c r="A44" t="s">
        <v>115</v>
      </c>
    </row>
    <row r="45" spans="1:2" x14ac:dyDescent="0.25">
      <c r="A45" t="s">
        <v>125</v>
      </c>
    </row>
    <row r="46" spans="1:2" x14ac:dyDescent="0.25">
      <c r="A46" t="s">
        <v>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972A-1F2C-44A9-AD06-BDF66C69F9F0}">
  <dimension ref="A3:O48"/>
  <sheetViews>
    <sheetView workbookViewId="0">
      <selection activeCell="A49" sqref="A49"/>
    </sheetView>
  </sheetViews>
  <sheetFormatPr defaultRowHeight="15" x14ac:dyDescent="0.25"/>
  <cols>
    <col min="4" max="4" width="11.140625" bestFit="1" customWidth="1"/>
    <col min="5" max="5" width="27.28515625" customWidth="1"/>
    <col min="6" max="6" width="18.140625" customWidth="1"/>
    <col min="9" max="9" width="16.140625" customWidth="1"/>
    <col min="11" max="11" width="15.7109375" customWidth="1"/>
    <col min="12" max="12" width="23.7109375" customWidth="1"/>
    <col min="13" max="13" width="35.28515625" customWidth="1"/>
  </cols>
  <sheetData>
    <row r="3" spans="1:13" x14ac:dyDescent="0.25">
      <c r="A3" t="s">
        <v>128</v>
      </c>
    </row>
    <row r="4" spans="1:13" x14ac:dyDescent="0.25">
      <c r="A4" t="s">
        <v>129</v>
      </c>
    </row>
    <row r="5" spans="1:13" x14ac:dyDescent="0.25">
      <c r="A5" s="2" t="s">
        <v>130</v>
      </c>
    </row>
    <row r="8" spans="1:13" x14ac:dyDescent="0.25">
      <c r="A8" t="s">
        <v>147</v>
      </c>
    </row>
    <row r="9" spans="1:13" x14ac:dyDescent="0.25">
      <c r="A9" t="s">
        <v>148</v>
      </c>
    </row>
    <row r="11" spans="1:13" x14ac:dyDescent="0.25">
      <c r="A11" s="2" t="s">
        <v>132</v>
      </c>
    </row>
    <row r="13" spans="1:13" x14ac:dyDescent="0.25">
      <c r="A13" s="2" t="s">
        <v>138</v>
      </c>
      <c r="D13" s="27"/>
      <c r="G13" s="27"/>
      <c r="H13" s="27"/>
    </row>
    <row r="14" spans="1:13" x14ac:dyDescent="0.25">
      <c r="A14" s="27" t="s">
        <v>0</v>
      </c>
      <c r="B14" s="27" t="s">
        <v>1</v>
      </c>
      <c r="C14" s="27"/>
      <c r="D14" s="27" t="s">
        <v>133</v>
      </c>
      <c r="E14" s="2" t="s">
        <v>137</v>
      </c>
      <c r="F14" s="2" t="s">
        <v>140</v>
      </c>
      <c r="G14" s="27" t="s">
        <v>134</v>
      </c>
      <c r="H14" s="27" t="s">
        <v>135</v>
      </c>
      <c r="I14" s="27" t="s">
        <v>136</v>
      </c>
      <c r="K14" s="27" t="s">
        <v>145</v>
      </c>
      <c r="L14" s="27" t="s">
        <v>146</v>
      </c>
      <c r="M14" s="27" t="s">
        <v>149</v>
      </c>
    </row>
    <row r="15" spans="1:13" x14ac:dyDescent="0.25">
      <c r="A15" s="29" t="s">
        <v>2</v>
      </c>
      <c r="B15" s="1">
        <v>2000</v>
      </c>
      <c r="C15" s="27"/>
      <c r="D15" s="30">
        <v>93768</v>
      </c>
      <c r="E15" s="30">
        <v>67075</v>
      </c>
      <c r="F15" s="30"/>
      <c r="G15" s="30">
        <v>3524</v>
      </c>
      <c r="H15" s="30">
        <v>14693</v>
      </c>
      <c r="I15" s="30">
        <v>8476</v>
      </c>
      <c r="K15" s="1">
        <f>E15+H15</f>
        <v>81768</v>
      </c>
      <c r="L15" s="1">
        <f>K15+G15</f>
        <v>85292</v>
      </c>
      <c r="M15" s="1">
        <f>L15+I15</f>
        <v>93768</v>
      </c>
    </row>
    <row r="16" spans="1:13" x14ac:dyDescent="0.25">
      <c r="A16" s="1">
        <v>2000</v>
      </c>
      <c r="B16" s="1">
        <v>5000</v>
      </c>
      <c r="D16" s="8">
        <v>706490</v>
      </c>
      <c r="E16" s="8">
        <v>528615</v>
      </c>
      <c r="F16" s="8" t="s">
        <v>141</v>
      </c>
      <c r="G16" s="8">
        <v>23612</v>
      </c>
      <c r="H16" s="8">
        <v>15912</v>
      </c>
      <c r="I16" s="8">
        <v>36697</v>
      </c>
      <c r="J16" s="28"/>
      <c r="K16" s="1">
        <f t="shared" ref="K16:K20" si="0">E16+H16</f>
        <v>544527</v>
      </c>
      <c r="L16" s="1">
        <f t="shared" ref="L16:L20" si="1">K16+G16</f>
        <v>568139</v>
      </c>
      <c r="M16" s="1">
        <f t="shared" ref="M16:M20" si="2">L16+I16</f>
        <v>604836</v>
      </c>
    </row>
    <row r="17" spans="1:13" x14ac:dyDescent="0.25">
      <c r="A17" s="1">
        <v>5000</v>
      </c>
      <c r="B17" s="1">
        <v>10000</v>
      </c>
      <c r="D17" s="8">
        <v>1919624</v>
      </c>
      <c r="E17" s="8">
        <v>1237379</v>
      </c>
      <c r="F17" s="8">
        <v>385823</v>
      </c>
      <c r="G17" s="8">
        <v>104893</v>
      </c>
      <c r="H17" s="8">
        <v>91574</v>
      </c>
      <c r="I17" s="8">
        <v>99955</v>
      </c>
      <c r="J17" s="28"/>
      <c r="K17" s="1">
        <f t="shared" si="0"/>
        <v>1328953</v>
      </c>
      <c r="L17" s="1">
        <f t="shared" si="1"/>
        <v>1433846</v>
      </c>
      <c r="M17" s="1">
        <f t="shared" si="2"/>
        <v>1533801</v>
      </c>
    </row>
    <row r="18" spans="1:13" x14ac:dyDescent="0.25">
      <c r="A18" s="1">
        <v>10000</v>
      </c>
      <c r="B18" s="1">
        <v>20000</v>
      </c>
      <c r="D18" s="8">
        <f>+D28</f>
        <v>1740858</v>
      </c>
      <c r="E18" s="8">
        <v>1671766</v>
      </c>
      <c r="F18" s="8">
        <v>240179</v>
      </c>
      <c r="G18" s="8">
        <v>169622</v>
      </c>
      <c r="H18" s="8">
        <v>98312</v>
      </c>
      <c r="I18" s="8">
        <v>143234</v>
      </c>
      <c r="J18" s="28"/>
      <c r="K18" s="1">
        <f t="shared" si="0"/>
        <v>1770078</v>
      </c>
      <c r="L18" s="1">
        <f t="shared" si="1"/>
        <v>1939700</v>
      </c>
      <c r="M18" s="1">
        <f t="shared" si="2"/>
        <v>2082934</v>
      </c>
    </row>
    <row r="19" spans="1:13" x14ac:dyDescent="0.25">
      <c r="A19" s="1">
        <v>20000</v>
      </c>
      <c r="B19" s="1">
        <v>50000</v>
      </c>
      <c r="D19" s="8">
        <v>3361740</v>
      </c>
      <c r="E19" s="8">
        <v>2159573</v>
      </c>
      <c r="F19" s="8">
        <v>350094</v>
      </c>
      <c r="G19" s="8">
        <v>400729</v>
      </c>
      <c r="H19" s="8">
        <v>159508</v>
      </c>
      <c r="I19" s="8">
        <v>291836</v>
      </c>
      <c r="J19" s="28"/>
      <c r="K19" s="1">
        <f t="shared" si="0"/>
        <v>2319081</v>
      </c>
      <c r="L19" s="1">
        <f t="shared" si="1"/>
        <v>2719810</v>
      </c>
      <c r="M19" s="1">
        <f t="shared" si="2"/>
        <v>3011646</v>
      </c>
    </row>
    <row r="20" spans="1:13" x14ac:dyDescent="0.25">
      <c r="A20" s="1">
        <v>50000</v>
      </c>
      <c r="B20" s="8" t="s">
        <v>131</v>
      </c>
      <c r="D20" s="8">
        <v>8174959</v>
      </c>
      <c r="E20" s="8">
        <v>6331907</v>
      </c>
      <c r="F20" s="8">
        <v>1048097</v>
      </c>
      <c r="G20" s="8">
        <v>337100</v>
      </c>
      <c r="H20" s="8">
        <v>103683</v>
      </c>
      <c r="I20" s="8">
        <v>354172</v>
      </c>
      <c r="J20" s="28"/>
      <c r="K20" s="1">
        <f t="shared" si="0"/>
        <v>6435590</v>
      </c>
      <c r="L20" s="1">
        <f t="shared" si="1"/>
        <v>6772690</v>
      </c>
      <c r="M20" s="1">
        <f t="shared" si="2"/>
        <v>7126862</v>
      </c>
    </row>
    <row r="21" spans="1:13" x14ac:dyDescent="0.25">
      <c r="D21" s="8"/>
      <c r="E21" s="8"/>
      <c r="F21" s="8"/>
      <c r="G21" s="8"/>
      <c r="H21" s="8"/>
      <c r="I21" s="8"/>
    </row>
    <row r="22" spans="1:13" x14ac:dyDescent="0.25">
      <c r="A22" s="2" t="s">
        <v>139</v>
      </c>
      <c r="D22" s="8"/>
      <c r="E22" s="8"/>
      <c r="F22" s="8"/>
      <c r="G22" s="8"/>
      <c r="H22" s="8"/>
      <c r="I22" s="8"/>
    </row>
    <row r="23" spans="1:13" x14ac:dyDescent="0.25">
      <c r="A23" s="27" t="s">
        <v>0</v>
      </c>
      <c r="B23" s="27" t="s">
        <v>1</v>
      </c>
      <c r="D23" s="8"/>
      <c r="E23" s="8"/>
      <c r="F23" s="8"/>
      <c r="G23" s="8"/>
      <c r="H23" s="8"/>
      <c r="I23" s="8"/>
    </row>
    <row r="24" spans="1:13" x14ac:dyDescent="0.25">
      <c r="A24" s="1">
        <v>2000</v>
      </c>
      <c r="B24" s="1">
        <v>3000</v>
      </c>
      <c r="D24" s="8">
        <v>8293580</v>
      </c>
      <c r="E24" s="8">
        <v>6636631</v>
      </c>
      <c r="F24" s="8">
        <v>291342</v>
      </c>
      <c r="G24" s="8">
        <v>635873</v>
      </c>
      <c r="H24" s="8">
        <v>243191</v>
      </c>
      <c r="I24" s="8">
        <v>486543</v>
      </c>
      <c r="K24" s="1">
        <f t="shared" ref="K24:K29" si="3">E24+H24</f>
        <v>6879822</v>
      </c>
      <c r="L24" s="1">
        <f t="shared" ref="L24:L29" si="4">K24+G24</f>
        <v>7515695</v>
      </c>
      <c r="M24" s="1">
        <f t="shared" ref="M24:M29" si="5">L24+I24</f>
        <v>8002238</v>
      </c>
    </row>
    <row r="25" spans="1:13" x14ac:dyDescent="0.25">
      <c r="A25" s="1">
        <v>3000</v>
      </c>
      <c r="B25" s="1">
        <v>4000</v>
      </c>
      <c r="D25" s="8">
        <v>4401509</v>
      </c>
      <c r="E25" s="8">
        <v>3560755</v>
      </c>
      <c r="F25" s="8">
        <v>147971</v>
      </c>
      <c r="G25" s="8">
        <v>395941</v>
      </c>
      <c r="H25" s="8">
        <v>135515</v>
      </c>
      <c r="I25" s="8">
        <v>161327</v>
      </c>
      <c r="K25" s="1">
        <f t="shared" si="3"/>
        <v>3696270</v>
      </c>
      <c r="L25" s="1">
        <f t="shared" si="4"/>
        <v>4092211</v>
      </c>
      <c r="M25" s="1">
        <f t="shared" si="5"/>
        <v>4253538</v>
      </c>
    </row>
    <row r="26" spans="1:13" x14ac:dyDescent="0.25">
      <c r="A26" s="1">
        <v>4000</v>
      </c>
      <c r="B26" s="1">
        <v>5000</v>
      </c>
      <c r="D26" s="8">
        <v>2912447</v>
      </c>
      <c r="E26" s="8">
        <v>2313824</v>
      </c>
      <c r="F26" s="8">
        <v>80095</v>
      </c>
      <c r="G26" s="8">
        <v>413925</v>
      </c>
      <c r="H26" s="8">
        <v>51601</v>
      </c>
      <c r="I26" s="8">
        <v>53002</v>
      </c>
      <c r="K26" s="1">
        <f t="shared" si="3"/>
        <v>2365425</v>
      </c>
      <c r="L26" s="1">
        <f t="shared" si="4"/>
        <v>2779350</v>
      </c>
      <c r="M26" s="1">
        <f t="shared" si="5"/>
        <v>2832352</v>
      </c>
    </row>
    <row r="27" spans="1:13" x14ac:dyDescent="0.25">
      <c r="A27" s="1">
        <v>5000</v>
      </c>
      <c r="B27" s="1">
        <v>10000</v>
      </c>
      <c r="D27" s="8">
        <v>5540144</v>
      </c>
      <c r="E27" s="8">
        <v>4272192</v>
      </c>
      <c r="F27" s="8">
        <v>140615</v>
      </c>
      <c r="G27" s="8">
        <v>1037053</v>
      </c>
      <c r="H27" s="8">
        <v>44607</v>
      </c>
      <c r="I27" s="8">
        <v>45677</v>
      </c>
      <c r="K27" s="1">
        <f t="shared" si="3"/>
        <v>4316799</v>
      </c>
      <c r="L27" s="1">
        <f t="shared" si="4"/>
        <v>5353852</v>
      </c>
      <c r="M27" s="1">
        <f t="shared" si="5"/>
        <v>5399529</v>
      </c>
    </row>
    <row r="28" spans="1:13" x14ac:dyDescent="0.25">
      <c r="A28" s="1">
        <v>10000</v>
      </c>
      <c r="B28" s="1">
        <v>20000</v>
      </c>
      <c r="D28" s="8">
        <v>1740858</v>
      </c>
      <c r="E28" s="8">
        <v>1152281</v>
      </c>
      <c r="F28" s="8">
        <v>38272</v>
      </c>
      <c r="G28" s="8">
        <v>539331</v>
      </c>
      <c r="H28" s="8">
        <v>0</v>
      </c>
      <c r="I28" s="8">
        <v>10974</v>
      </c>
      <c r="K28" s="1">
        <f t="shared" si="3"/>
        <v>1152281</v>
      </c>
      <c r="L28" s="1">
        <f t="shared" si="4"/>
        <v>1691612</v>
      </c>
      <c r="M28" s="1">
        <f t="shared" si="5"/>
        <v>1702586</v>
      </c>
    </row>
    <row r="29" spans="1:13" x14ac:dyDescent="0.25">
      <c r="A29" s="1">
        <v>20000</v>
      </c>
      <c r="B29" s="8" t="s">
        <v>131</v>
      </c>
      <c r="D29" s="8">
        <v>269669</v>
      </c>
      <c r="E29" s="8">
        <v>269669</v>
      </c>
      <c r="F29" s="8">
        <v>0</v>
      </c>
      <c r="G29" s="8">
        <v>0</v>
      </c>
      <c r="H29" s="8">
        <v>0</v>
      </c>
      <c r="I29" s="8">
        <v>0</v>
      </c>
      <c r="K29" s="1">
        <f t="shared" si="3"/>
        <v>269669</v>
      </c>
      <c r="L29" s="1">
        <f t="shared" si="4"/>
        <v>269669</v>
      </c>
      <c r="M29" s="1">
        <f t="shared" si="5"/>
        <v>269669</v>
      </c>
    </row>
    <row r="31" spans="1:13" x14ac:dyDescent="0.25">
      <c r="A31" s="2" t="s">
        <v>142</v>
      </c>
    </row>
    <row r="32" spans="1:13" x14ac:dyDescent="0.25">
      <c r="A32" s="27" t="s">
        <v>0</v>
      </c>
      <c r="B32" s="27" t="s">
        <v>1</v>
      </c>
    </row>
    <row r="33" spans="1:15" x14ac:dyDescent="0.25">
      <c r="A33" s="29" t="s">
        <v>2</v>
      </c>
      <c r="B33" s="1">
        <v>2000</v>
      </c>
      <c r="D33" s="1">
        <f t="shared" ref="D33:I33" si="6">D15</f>
        <v>93768</v>
      </c>
      <c r="E33" s="1">
        <f t="shared" si="6"/>
        <v>67075</v>
      </c>
      <c r="F33" s="1">
        <f t="shared" si="6"/>
        <v>0</v>
      </c>
      <c r="G33" s="1">
        <f t="shared" si="6"/>
        <v>3524</v>
      </c>
      <c r="H33" s="1">
        <f t="shared" si="6"/>
        <v>14693</v>
      </c>
      <c r="I33" s="1">
        <f t="shared" si="6"/>
        <v>8476</v>
      </c>
      <c r="K33" s="1">
        <f t="shared" ref="K33:K37" si="7">E33+H33</f>
        <v>81768</v>
      </c>
      <c r="L33" s="1">
        <f t="shared" ref="L33:L37" si="8">K33+G33</f>
        <v>85292</v>
      </c>
      <c r="M33" s="1">
        <f t="shared" ref="M33:M39" si="9">L33+I33</f>
        <v>93768</v>
      </c>
    </row>
    <row r="34" spans="1:15" x14ac:dyDescent="0.25">
      <c r="A34" s="1">
        <v>2000</v>
      </c>
      <c r="B34" s="1">
        <v>5000</v>
      </c>
      <c r="D34" s="1">
        <f t="shared" ref="D34:I34" si="10">D16+SUM(D24:D26)</f>
        <v>16314026</v>
      </c>
      <c r="E34" s="1">
        <f t="shared" si="10"/>
        <v>13039825</v>
      </c>
      <c r="F34" s="1">
        <f t="shared" si="10"/>
        <v>621062</v>
      </c>
      <c r="G34" s="1">
        <f t="shared" si="10"/>
        <v>1469351</v>
      </c>
      <c r="H34" s="1">
        <f t="shared" si="10"/>
        <v>446219</v>
      </c>
      <c r="I34" s="1">
        <f t="shared" si="10"/>
        <v>737569</v>
      </c>
      <c r="K34" s="1">
        <f t="shared" si="7"/>
        <v>13486044</v>
      </c>
      <c r="L34" s="1">
        <f t="shared" si="8"/>
        <v>14955395</v>
      </c>
      <c r="M34" s="1">
        <f t="shared" si="9"/>
        <v>15692964</v>
      </c>
    </row>
    <row r="35" spans="1:15" x14ac:dyDescent="0.25">
      <c r="A35" s="1">
        <v>5000</v>
      </c>
      <c r="B35" s="1">
        <v>10000</v>
      </c>
      <c r="D35" s="1">
        <f t="shared" ref="D35:I36" si="11">D17+D27</f>
        <v>7459768</v>
      </c>
      <c r="E35" s="1">
        <f t="shared" si="11"/>
        <v>5509571</v>
      </c>
      <c r="F35" s="1">
        <f t="shared" si="11"/>
        <v>526438</v>
      </c>
      <c r="G35" s="1">
        <f t="shared" si="11"/>
        <v>1141946</v>
      </c>
      <c r="H35" s="1">
        <f t="shared" si="11"/>
        <v>136181</v>
      </c>
      <c r="I35" s="1">
        <f t="shared" si="11"/>
        <v>145632</v>
      </c>
      <c r="K35" s="1">
        <f t="shared" si="7"/>
        <v>5645752</v>
      </c>
      <c r="L35" s="1">
        <f t="shared" si="8"/>
        <v>6787698</v>
      </c>
      <c r="M35" s="1">
        <f t="shared" si="9"/>
        <v>6933330</v>
      </c>
    </row>
    <row r="36" spans="1:15" x14ac:dyDescent="0.25">
      <c r="A36" s="1">
        <v>10000</v>
      </c>
      <c r="B36" s="1">
        <v>20000</v>
      </c>
      <c r="D36" s="1">
        <f t="shared" si="11"/>
        <v>3481716</v>
      </c>
      <c r="E36" s="1">
        <f t="shared" si="11"/>
        <v>2824047</v>
      </c>
      <c r="F36" s="1">
        <f t="shared" si="11"/>
        <v>278451</v>
      </c>
      <c r="G36" s="1">
        <f t="shared" si="11"/>
        <v>708953</v>
      </c>
      <c r="H36" s="1">
        <f t="shared" si="11"/>
        <v>98312</v>
      </c>
      <c r="I36" s="1">
        <f t="shared" si="11"/>
        <v>154208</v>
      </c>
      <c r="K36" s="1">
        <f t="shared" si="7"/>
        <v>2922359</v>
      </c>
      <c r="L36" s="1">
        <f t="shared" si="8"/>
        <v>3631312</v>
      </c>
      <c r="M36" s="1">
        <f t="shared" si="9"/>
        <v>3785520</v>
      </c>
    </row>
    <row r="37" spans="1:15" x14ac:dyDescent="0.25">
      <c r="A37" s="1">
        <v>20000</v>
      </c>
      <c r="B37" s="8" t="s">
        <v>131</v>
      </c>
      <c r="D37" s="1">
        <f t="shared" ref="D37:I37" si="12">SUM(D19:D20)+D29</f>
        <v>11806368</v>
      </c>
      <c r="E37" s="1">
        <f t="shared" si="12"/>
        <v>8761149</v>
      </c>
      <c r="F37" s="1">
        <f t="shared" si="12"/>
        <v>1398191</v>
      </c>
      <c r="G37" s="1">
        <f t="shared" si="12"/>
        <v>737829</v>
      </c>
      <c r="H37" s="1">
        <f t="shared" si="12"/>
        <v>263191</v>
      </c>
      <c r="I37" s="1">
        <f t="shared" si="12"/>
        <v>646008</v>
      </c>
      <c r="K37" s="1">
        <f t="shared" si="7"/>
        <v>9024340</v>
      </c>
      <c r="L37" s="1">
        <f t="shared" si="8"/>
        <v>9762169</v>
      </c>
      <c r="M37" s="1">
        <f t="shared" si="9"/>
        <v>10408177</v>
      </c>
    </row>
    <row r="38" spans="1:15" x14ac:dyDescent="0.25">
      <c r="A38" s="1"/>
    </row>
    <row r="39" spans="1:15" x14ac:dyDescent="0.25">
      <c r="A39" s="2" t="s">
        <v>14</v>
      </c>
      <c r="D39" s="1">
        <v>126586525</v>
      </c>
      <c r="E39" s="1">
        <v>94244096</v>
      </c>
      <c r="F39" s="1">
        <v>9456105</v>
      </c>
      <c r="G39" s="1">
        <v>9354773</v>
      </c>
      <c r="H39" s="1">
        <v>5784382</v>
      </c>
      <c r="I39" s="1">
        <v>7747169</v>
      </c>
      <c r="K39" s="1">
        <f>E39+H39</f>
        <v>100028478</v>
      </c>
      <c r="L39" s="1">
        <f>K39+G39</f>
        <v>109383251</v>
      </c>
      <c r="M39" s="1">
        <f t="shared" si="9"/>
        <v>117130420</v>
      </c>
    </row>
    <row r="41" spans="1:15" x14ac:dyDescent="0.25">
      <c r="A41" t="s">
        <v>143</v>
      </c>
      <c r="D41" s="3">
        <f t="shared" ref="D41:I41" si="13">SUM(D34:D37)/D39*100</f>
        <v>30.857848416330253</v>
      </c>
      <c r="E41" s="3">
        <f t="shared" si="13"/>
        <v>31.975044887692487</v>
      </c>
      <c r="F41" s="3">
        <f t="shared" si="13"/>
        <v>29.865806270129191</v>
      </c>
      <c r="G41" s="3">
        <f t="shared" si="13"/>
        <v>43.379769877900834</v>
      </c>
      <c r="H41" s="3">
        <f t="shared" si="13"/>
        <v>16.318130441592551</v>
      </c>
      <c r="I41" s="3">
        <f t="shared" si="13"/>
        <v>21.729447234209037</v>
      </c>
      <c r="K41" s="3">
        <f>SUM(K34:K37)/K39*100</f>
        <v>31.06964698593135</v>
      </c>
      <c r="L41" s="3">
        <f>SUM(L34:L37)/L39*100</f>
        <v>32.122444413359041</v>
      </c>
      <c r="M41" s="3">
        <f>SUM(M34:M37)/M39*100</f>
        <v>31.435037115038089</v>
      </c>
      <c r="O41" s="3">
        <f>AVERAGE(K41:L41)</f>
        <v>31.596045699645195</v>
      </c>
    </row>
    <row r="42" spans="1:15" x14ac:dyDescent="0.25">
      <c r="A42" t="s">
        <v>144</v>
      </c>
      <c r="D42" s="3">
        <f t="shared" ref="D42:I42" si="14">D37/D39*100</f>
        <v>9.3267178319335322</v>
      </c>
      <c r="E42" s="3">
        <f t="shared" si="14"/>
        <v>9.296231140038735</v>
      </c>
      <c r="F42" s="3">
        <f t="shared" si="14"/>
        <v>14.78611965497422</v>
      </c>
      <c r="G42" s="3">
        <f t="shared" si="14"/>
        <v>7.8871929869383255</v>
      </c>
      <c r="H42" s="3">
        <f t="shared" si="14"/>
        <v>4.5500279891611584</v>
      </c>
      <c r="I42" s="3">
        <f t="shared" si="14"/>
        <v>8.3386331187560252</v>
      </c>
      <c r="K42" s="3">
        <f>K37/K39*100</f>
        <v>9.0217707801172384</v>
      </c>
      <c r="L42" s="3">
        <f>L37/L39*100</f>
        <v>8.9247383952777195</v>
      </c>
      <c r="M42" s="3">
        <f>M37/M39*100</f>
        <v>8.8859725765518469</v>
      </c>
      <c r="O42" s="3">
        <f>AVERAGE(K42:L42)</f>
        <v>8.973254587697479</v>
      </c>
    </row>
    <row r="48" spans="1:15" x14ac:dyDescent="0.25">
      <c r="A48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DB8B-3990-447D-A504-5F100C779FB0}">
  <dimension ref="A1:AG56"/>
  <sheetViews>
    <sheetView tabSelected="1" topLeftCell="A28" workbookViewId="0">
      <selection activeCell="A54" sqref="A54"/>
    </sheetView>
  </sheetViews>
  <sheetFormatPr defaultRowHeight="15" x14ac:dyDescent="0.25"/>
  <cols>
    <col min="1" max="1" width="8" bestFit="1" customWidth="1"/>
    <col min="2" max="2" width="10.7109375" bestFit="1" customWidth="1"/>
    <col min="3" max="4" width="11.140625" bestFit="1" customWidth="1"/>
    <col min="5" max="5" width="12" customWidth="1"/>
    <col min="6" max="6" width="10.140625" bestFit="1" customWidth="1"/>
    <col min="7" max="7" width="11.5703125" customWidth="1"/>
    <col min="8" max="10" width="11.140625" bestFit="1" customWidth="1"/>
    <col min="11" max="11" width="10.85546875" customWidth="1"/>
    <col min="12" max="12" width="10.140625" bestFit="1" customWidth="1"/>
    <col min="13" max="13" width="15.85546875" bestFit="1" customWidth="1"/>
    <col min="14" max="14" width="10.140625" bestFit="1" customWidth="1"/>
    <col min="17" max="19" width="8.85546875" bestFit="1" customWidth="1"/>
    <col min="20" max="20" width="10.5703125" customWidth="1"/>
    <col min="21" max="21" width="8.85546875" bestFit="1" customWidth="1"/>
    <col min="22" max="22" width="11" customWidth="1"/>
    <col min="33" max="33" width="11.5703125" customWidth="1"/>
  </cols>
  <sheetData>
    <row r="1" spans="1:33" ht="18.75" x14ac:dyDescent="0.3">
      <c r="A1" s="11" t="s">
        <v>62</v>
      </c>
      <c r="Q1" s="19"/>
    </row>
    <row r="3" spans="1:33" x14ac:dyDescent="0.25">
      <c r="A3" s="36" t="s">
        <v>42</v>
      </c>
      <c r="B3" s="36"/>
      <c r="C3" s="35" t="s">
        <v>37</v>
      </c>
      <c r="D3" s="35"/>
      <c r="E3" s="35" t="s">
        <v>38</v>
      </c>
      <c r="F3" s="35"/>
      <c r="G3" s="35" t="s">
        <v>39</v>
      </c>
      <c r="H3" s="35"/>
      <c r="I3" s="35" t="s">
        <v>32</v>
      </c>
      <c r="J3" s="35"/>
      <c r="K3" s="35" t="s">
        <v>33</v>
      </c>
      <c r="L3" s="35"/>
      <c r="M3" s="35" t="s">
        <v>34</v>
      </c>
      <c r="N3" s="35"/>
      <c r="Q3" s="36"/>
      <c r="R3" s="36"/>
      <c r="S3" s="35"/>
      <c r="T3" s="35"/>
      <c r="U3" s="35"/>
      <c r="V3" s="35"/>
    </row>
    <row r="4" spans="1:33" x14ac:dyDescent="0.25">
      <c r="A4" s="7" t="s">
        <v>0</v>
      </c>
      <c r="B4" s="7" t="s">
        <v>1</v>
      </c>
      <c r="C4" s="6" t="s">
        <v>36</v>
      </c>
      <c r="D4" s="6" t="s">
        <v>4</v>
      </c>
      <c r="E4" s="6" t="s">
        <v>36</v>
      </c>
      <c r="F4" s="6" t="s">
        <v>4</v>
      </c>
      <c r="G4" s="6" t="s">
        <v>36</v>
      </c>
      <c r="H4" s="6" t="s">
        <v>4</v>
      </c>
      <c r="I4" s="6" t="s">
        <v>36</v>
      </c>
      <c r="J4" s="6" t="s">
        <v>4</v>
      </c>
      <c r="K4" s="6" t="s">
        <v>36</v>
      </c>
      <c r="L4" s="6" t="s">
        <v>4</v>
      </c>
      <c r="M4" s="6" t="s">
        <v>36</v>
      </c>
      <c r="N4" s="6" t="s">
        <v>4</v>
      </c>
      <c r="Q4" s="7"/>
      <c r="R4" s="7"/>
      <c r="S4" s="6"/>
      <c r="T4" s="6"/>
      <c r="U4" s="6"/>
      <c r="V4" s="6"/>
    </row>
    <row r="5" spans="1:33" x14ac:dyDescent="0.25">
      <c r="A5" s="1">
        <v>1</v>
      </c>
      <c r="B5" s="1">
        <v>10</v>
      </c>
      <c r="C5" s="1">
        <v>96806</v>
      </c>
      <c r="D5" s="1">
        <v>537658</v>
      </c>
      <c r="E5" s="1">
        <v>0</v>
      </c>
      <c r="F5" s="1">
        <v>0</v>
      </c>
      <c r="G5" s="1">
        <v>96806</v>
      </c>
      <c r="H5" s="1">
        <v>537658</v>
      </c>
      <c r="I5" s="1">
        <v>80149</v>
      </c>
      <c r="J5" s="1">
        <v>446099</v>
      </c>
      <c r="K5" s="1">
        <v>0</v>
      </c>
      <c r="L5" s="1">
        <v>0</v>
      </c>
      <c r="M5" s="1">
        <v>80149</v>
      </c>
      <c r="N5" s="1">
        <v>446099</v>
      </c>
      <c r="Q5" s="1"/>
      <c r="R5" s="1"/>
      <c r="S5" s="1"/>
      <c r="T5" s="1"/>
      <c r="U5" s="1"/>
      <c r="V5" s="1"/>
      <c r="X5" s="1"/>
      <c r="AA5" s="3"/>
    </row>
    <row r="6" spans="1:33" x14ac:dyDescent="0.25">
      <c r="A6" s="1">
        <v>10</v>
      </c>
      <c r="B6" s="1">
        <v>20</v>
      </c>
      <c r="C6" s="1">
        <v>64058</v>
      </c>
      <c r="D6" s="1">
        <v>904107</v>
      </c>
      <c r="E6" s="1">
        <v>0</v>
      </c>
      <c r="F6" s="1">
        <v>0</v>
      </c>
      <c r="G6" s="1">
        <v>64058</v>
      </c>
      <c r="H6" s="1">
        <v>904107</v>
      </c>
      <c r="I6" s="1">
        <v>54094</v>
      </c>
      <c r="J6" s="1">
        <v>763814</v>
      </c>
      <c r="K6" s="1">
        <v>0</v>
      </c>
      <c r="L6" s="1">
        <v>0</v>
      </c>
      <c r="M6" s="1">
        <v>54094</v>
      </c>
      <c r="N6" s="1">
        <v>763814</v>
      </c>
      <c r="Q6" s="1"/>
      <c r="R6" s="1"/>
      <c r="S6" s="1"/>
      <c r="T6" s="1"/>
      <c r="U6" s="1"/>
      <c r="V6" s="1"/>
      <c r="X6" s="1"/>
      <c r="AA6" s="3"/>
    </row>
    <row r="7" spans="1:33" x14ac:dyDescent="0.25">
      <c r="A7" s="1">
        <v>20</v>
      </c>
      <c r="B7" s="1">
        <v>50</v>
      </c>
      <c r="C7" s="1">
        <v>115643</v>
      </c>
      <c r="D7" s="1">
        <v>3841490</v>
      </c>
      <c r="E7" s="1">
        <v>0</v>
      </c>
      <c r="F7" s="1">
        <v>0</v>
      </c>
      <c r="G7" s="1">
        <v>115643</v>
      </c>
      <c r="H7" s="1">
        <v>3841490</v>
      </c>
      <c r="I7" s="1">
        <v>96670</v>
      </c>
      <c r="J7" s="1">
        <v>3208144</v>
      </c>
      <c r="K7" s="1">
        <v>0</v>
      </c>
      <c r="L7" s="1">
        <v>0</v>
      </c>
      <c r="M7" s="1">
        <v>96670</v>
      </c>
      <c r="N7" s="1">
        <v>3208144</v>
      </c>
      <c r="Q7" s="1"/>
      <c r="R7" s="1"/>
      <c r="S7" s="1"/>
      <c r="T7" s="1"/>
      <c r="U7" s="1"/>
      <c r="V7" s="1"/>
      <c r="X7" s="1"/>
      <c r="AA7" s="3"/>
    </row>
    <row r="8" spans="1:33" x14ac:dyDescent="0.25">
      <c r="A8" s="1">
        <v>50</v>
      </c>
      <c r="B8" s="1">
        <v>100</v>
      </c>
      <c r="C8" s="1">
        <v>106480</v>
      </c>
      <c r="D8" s="1">
        <v>7644673</v>
      </c>
      <c r="E8" s="1">
        <v>0</v>
      </c>
      <c r="F8" s="1">
        <v>0</v>
      </c>
      <c r="G8" s="1">
        <v>106480</v>
      </c>
      <c r="H8" s="1">
        <v>7644673</v>
      </c>
      <c r="I8" s="1">
        <v>87299</v>
      </c>
      <c r="J8" s="1">
        <v>6257750</v>
      </c>
      <c r="K8" s="1">
        <v>0</v>
      </c>
      <c r="L8" s="1">
        <v>0</v>
      </c>
      <c r="M8" s="1">
        <v>87299</v>
      </c>
      <c r="N8" s="1">
        <v>6257750</v>
      </c>
      <c r="Q8" s="1"/>
      <c r="R8" s="1"/>
      <c r="S8" s="1"/>
      <c r="T8" s="1"/>
      <c r="U8" s="1"/>
      <c r="V8" s="1"/>
      <c r="X8" s="1"/>
      <c r="AA8" s="3"/>
    </row>
    <row r="9" spans="1:33" x14ac:dyDescent="0.25">
      <c r="A9" s="1">
        <v>100</v>
      </c>
      <c r="B9" s="1">
        <v>200</v>
      </c>
      <c r="C9" s="1">
        <v>96975</v>
      </c>
      <c r="D9" s="1">
        <v>13738630</v>
      </c>
      <c r="E9" s="1">
        <v>0</v>
      </c>
      <c r="F9" s="1">
        <v>0</v>
      </c>
      <c r="G9" s="1">
        <v>96975</v>
      </c>
      <c r="H9" s="1">
        <v>13738630</v>
      </c>
      <c r="I9" s="1">
        <v>76812</v>
      </c>
      <c r="J9" s="1">
        <v>10850499</v>
      </c>
      <c r="K9" s="1">
        <v>0</v>
      </c>
      <c r="L9" s="1">
        <v>0</v>
      </c>
      <c r="M9" s="1">
        <v>76812</v>
      </c>
      <c r="N9" s="1">
        <v>10850499</v>
      </c>
      <c r="Q9" s="1"/>
      <c r="R9" s="1"/>
      <c r="S9" s="1"/>
      <c r="T9" s="1"/>
      <c r="U9" s="1"/>
      <c r="V9" s="1"/>
      <c r="X9" s="1"/>
      <c r="AA9" s="3"/>
    </row>
    <row r="10" spans="1:33" x14ac:dyDescent="0.25">
      <c r="A10" s="1">
        <v>200</v>
      </c>
      <c r="B10" s="1">
        <v>500</v>
      </c>
      <c r="C10" s="1">
        <v>80471</v>
      </c>
      <c r="D10" s="1">
        <v>24872184</v>
      </c>
      <c r="E10" s="1">
        <v>3</v>
      </c>
      <c r="F10" s="1">
        <v>1229</v>
      </c>
      <c r="G10" s="1">
        <v>80468</v>
      </c>
      <c r="H10" s="1">
        <v>24870955</v>
      </c>
      <c r="I10" s="1">
        <v>59131</v>
      </c>
      <c r="J10" s="1">
        <v>18144846</v>
      </c>
      <c r="K10" s="1">
        <v>1</v>
      </c>
      <c r="L10" s="1">
        <v>415</v>
      </c>
      <c r="M10" s="1">
        <v>59130</v>
      </c>
      <c r="N10" s="1">
        <v>18144431</v>
      </c>
      <c r="Q10" s="1"/>
      <c r="R10" s="1"/>
      <c r="S10" s="1"/>
      <c r="T10" s="1"/>
      <c r="U10" s="1"/>
      <c r="V10" s="1"/>
      <c r="X10" s="1"/>
      <c r="AA10" s="3"/>
    </row>
    <row r="11" spans="1:33" x14ac:dyDescent="0.25">
      <c r="A11" s="1">
        <v>500</v>
      </c>
      <c r="B11" s="1">
        <v>1000</v>
      </c>
      <c r="C11" s="1">
        <v>30381</v>
      </c>
      <c r="D11" s="1">
        <v>21094938</v>
      </c>
      <c r="E11" s="1">
        <v>176</v>
      </c>
      <c r="F11" s="1">
        <v>134714</v>
      </c>
      <c r="G11" s="1">
        <v>30205</v>
      </c>
      <c r="H11" s="1">
        <v>20960224</v>
      </c>
      <c r="I11" s="1">
        <v>21052</v>
      </c>
      <c r="J11" s="1">
        <v>14578685</v>
      </c>
      <c r="K11" s="1">
        <v>103</v>
      </c>
      <c r="L11" s="1">
        <v>80433</v>
      </c>
      <c r="M11" s="1">
        <v>20949</v>
      </c>
      <c r="N11" s="1">
        <v>14498252</v>
      </c>
      <c r="Q11" s="1"/>
      <c r="R11" s="1"/>
      <c r="S11" s="1"/>
      <c r="T11" s="1"/>
      <c r="U11" s="1"/>
      <c r="V11" s="1"/>
      <c r="X11" s="1"/>
      <c r="AA11" s="3"/>
    </row>
    <row r="12" spans="1:33" x14ac:dyDescent="0.25">
      <c r="A12" s="1">
        <v>1000</v>
      </c>
      <c r="B12" s="1">
        <v>2000</v>
      </c>
      <c r="C12" s="1">
        <v>15547</v>
      </c>
      <c r="D12" s="1">
        <v>21410126</v>
      </c>
      <c r="E12" s="1">
        <v>330</v>
      </c>
      <c r="F12" s="1">
        <v>482417</v>
      </c>
      <c r="G12" s="1">
        <v>15217</v>
      </c>
      <c r="H12" s="1">
        <v>20927709</v>
      </c>
      <c r="I12" s="1">
        <v>10019</v>
      </c>
      <c r="J12" s="1">
        <v>13728623</v>
      </c>
      <c r="K12" s="1">
        <v>219</v>
      </c>
      <c r="L12" s="1">
        <v>320966</v>
      </c>
      <c r="M12" s="1">
        <v>9800</v>
      </c>
      <c r="N12" s="1">
        <v>13407657</v>
      </c>
      <c r="Q12" s="1"/>
      <c r="R12" s="1"/>
      <c r="S12" s="1"/>
      <c r="T12" s="1"/>
      <c r="U12" s="1"/>
      <c r="V12" s="1"/>
      <c r="X12" s="1"/>
      <c r="AA12" s="3"/>
    </row>
    <row r="13" spans="1:33" x14ac:dyDescent="0.25">
      <c r="A13" s="1">
        <v>2000</v>
      </c>
      <c r="B13" s="1">
        <v>5000</v>
      </c>
      <c r="C13" s="1">
        <v>7219</v>
      </c>
      <c r="D13" s="1">
        <v>20999532</v>
      </c>
      <c r="E13" s="1">
        <v>559</v>
      </c>
      <c r="F13" s="1">
        <v>1844645</v>
      </c>
      <c r="G13" s="1">
        <v>6660</v>
      </c>
      <c r="H13" s="1">
        <v>19154887</v>
      </c>
      <c r="I13" s="1">
        <v>4218</v>
      </c>
      <c r="J13" s="1">
        <v>12184306</v>
      </c>
      <c r="K13" s="1">
        <v>362</v>
      </c>
      <c r="L13" s="1">
        <v>1198303</v>
      </c>
      <c r="M13" s="1">
        <v>3856</v>
      </c>
      <c r="N13" s="1">
        <v>10986003</v>
      </c>
      <c r="Q13" s="1"/>
      <c r="R13" s="1"/>
      <c r="S13" s="1"/>
      <c r="T13" s="1"/>
      <c r="U13" s="1"/>
      <c r="V13" s="1"/>
      <c r="X13" s="1"/>
      <c r="AA13" s="3"/>
    </row>
    <row r="14" spans="1:33" x14ac:dyDescent="0.25">
      <c r="A14" s="1">
        <v>5000</v>
      </c>
      <c r="B14" s="1">
        <v>10000</v>
      </c>
      <c r="C14" s="1">
        <v>1280</v>
      </c>
      <c r="D14" s="1">
        <v>8557326</v>
      </c>
      <c r="E14" s="1">
        <v>378</v>
      </c>
      <c r="F14" s="1">
        <v>2688102</v>
      </c>
      <c r="G14" s="1">
        <v>902</v>
      </c>
      <c r="H14" s="1">
        <v>5869224</v>
      </c>
      <c r="I14" s="1">
        <v>721</v>
      </c>
      <c r="J14" s="1">
        <v>4861267</v>
      </c>
      <c r="K14" s="1">
        <v>243</v>
      </c>
      <c r="L14" s="1">
        <v>1727240</v>
      </c>
      <c r="M14" s="1">
        <v>478</v>
      </c>
      <c r="N14" s="1">
        <v>3134027</v>
      </c>
      <c r="Q14" s="1"/>
      <c r="R14" s="1"/>
      <c r="S14" s="1"/>
      <c r="T14" s="1"/>
      <c r="U14" s="1"/>
      <c r="V14" s="1"/>
      <c r="X14" s="1"/>
      <c r="AA14" s="3"/>
    </row>
    <row r="15" spans="1:33" x14ac:dyDescent="0.25">
      <c r="A15" s="1">
        <v>10000</v>
      </c>
      <c r="B15" s="1">
        <v>20000</v>
      </c>
      <c r="C15" s="1">
        <v>421</v>
      </c>
      <c r="D15" s="1">
        <v>5620665</v>
      </c>
      <c r="E15" s="1">
        <v>253</v>
      </c>
      <c r="F15" s="1">
        <v>3522846</v>
      </c>
      <c r="G15" s="1">
        <v>168</v>
      </c>
      <c r="H15" s="1">
        <v>2097819</v>
      </c>
      <c r="I15" s="1">
        <v>292</v>
      </c>
      <c r="J15" s="1">
        <v>3907710</v>
      </c>
      <c r="K15" s="1">
        <v>161</v>
      </c>
      <c r="L15" s="1">
        <v>2276487</v>
      </c>
      <c r="M15" s="1">
        <v>131</v>
      </c>
      <c r="N15" s="1">
        <v>1631223</v>
      </c>
      <c r="Q15" s="1"/>
      <c r="R15" s="1"/>
      <c r="S15" s="1"/>
      <c r="T15" s="1"/>
      <c r="U15" s="1"/>
      <c r="V15" s="1"/>
      <c r="X15" s="1"/>
      <c r="AA15" s="3"/>
    </row>
    <row r="16" spans="1:33" x14ac:dyDescent="0.25">
      <c r="A16" s="1">
        <v>20000</v>
      </c>
      <c r="B16" s="1">
        <v>50000</v>
      </c>
      <c r="C16" s="1">
        <v>140</v>
      </c>
      <c r="D16" s="1">
        <v>4093873</v>
      </c>
      <c r="E16" s="1">
        <v>135</v>
      </c>
      <c r="F16" s="1">
        <v>3982819</v>
      </c>
      <c r="G16" s="1">
        <v>5</v>
      </c>
      <c r="H16" s="1">
        <v>111054</v>
      </c>
      <c r="I16" s="1">
        <v>93</v>
      </c>
      <c r="J16" s="1">
        <v>2670393</v>
      </c>
      <c r="K16" s="1">
        <v>90</v>
      </c>
      <c r="L16" s="1">
        <v>2605731</v>
      </c>
      <c r="M16" s="1">
        <v>3</v>
      </c>
      <c r="N16" s="1">
        <v>64662</v>
      </c>
      <c r="Q16" s="1"/>
      <c r="R16" s="1"/>
      <c r="S16" s="1"/>
      <c r="T16" s="1"/>
      <c r="U16" s="1"/>
      <c r="V16" s="1"/>
      <c r="X16" s="1"/>
      <c r="AA16" s="3"/>
      <c r="AD16" s="1"/>
      <c r="AE16" s="1"/>
      <c r="AF16" s="1"/>
      <c r="AG16" s="1"/>
    </row>
    <row r="17" spans="1:33" x14ac:dyDescent="0.25">
      <c r="A17" s="1">
        <v>50000</v>
      </c>
      <c r="B17" s="1">
        <v>100000</v>
      </c>
      <c r="C17" s="1">
        <v>60</v>
      </c>
      <c r="D17" s="1">
        <v>4108692</v>
      </c>
      <c r="E17" s="1">
        <v>60</v>
      </c>
      <c r="F17" s="1">
        <v>4108692</v>
      </c>
      <c r="G17" s="1">
        <v>0</v>
      </c>
      <c r="H17" s="1">
        <v>0</v>
      </c>
      <c r="I17" s="1">
        <v>40</v>
      </c>
      <c r="J17" s="1">
        <v>2786535</v>
      </c>
      <c r="K17" s="1">
        <v>40</v>
      </c>
      <c r="L17" s="1">
        <v>2786535</v>
      </c>
      <c r="M17" s="1">
        <v>0</v>
      </c>
      <c r="N17" s="1">
        <v>0</v>
      </c>
      <c r="Q17" s="1"/>
      <c r="R17" s="1"/>
      <c r="S17" s="1"/>
      <c r="T17" s="1"/>
      <c r="U17" s="1"/>
      <c r="V17" s="1"/>
      <c r="X17" s="1"/>
      <c r="AA17" s="3"/>
      <c r="AD17" s="1"/>
      <c r="AE17" s="1"/>
      <c r="AF17" s="1"/>
      <c r="AG17" s="1"/>
    </row>
    <row r="18" spans="1:33" x14ac:dyDescent="0.25">
      <c r="A18" t="s">
        <v>40</v>
      </c>
      <c r="B18" s="1">
        <v>100000</v>
      </c>
      <c r="C18" s="1">
        <v>32</v>
      </c>
      <c r="D18" s="1">
        <v>9550941</v>
      </c>
      <c r="E18" s="1">
        <v>32</v>
      </c>
      <c r="F18" s="1">
        <v>9550941</v>
      </c>
      <c r="G18" s="1">
        <v>0</v>
      </c>
      <c r="H18" s="1">
        <v>0</v>
      </c>
      <c r="I18" s="1">
        <v>20</v>
      </c>
      <c r="J18" s="1">
        <v>6447410</v>
      </c>
      <c r="K18" s="1">
        <v>20</v>
      </c>
      <c r="L18" s="1">
        <v>6447410</v>
      </c>
      <c r="M18" s="1">
        <v>0</v>
      </c>
      <c r="N18" s="1">
        <v>0</v>
      </c>
      <c r="Q18" s="1"/>
      <c r="R18" s="1"/>
      <c r="S18" s="1"/>
      <c r="T18" s="1"/>
      <c r="U18" s="1"/>
      <c r="V18" s="1"/>
      <c r="X18" s="1"/>
      <c r="AA18" s="3"/>
      <c r="AD18" s="1"/>
      <c r="AE18" s="1"/>
      <c r="AF18" s="1"/>
      <c r="AG18" s="1"/>
    </row>
    <row r="19" spans="1:33" x14ac:dyDescent="0.25">
      <c r="A19" t="s">
        <v>35</v>
      </c>
      <c r="C19" s="1">
        <v>615513</v>
      </c>
      <c r="D19" s="1">
        <v>146974835</v>
      </c>
      <c r="E19" s="1">
        <v>1926</v>
      </c>
      <c r="F19" s="1">
        <v>26316405</v>
      </c>
      <c r="G19" s="1">
        <v>613587</v>
      </c>
      <c r="H19" s="1">
        <v>120658430</v>
      </c>
      <c r="I19" s="1">
        <v>490610</v>
      </c>
      <c r="J19" s="1">
        <v>100836081</v>
      </c>
      <c r="K19" s="1">
        <v>1239</v>
      </c>
      <c r="L19" s="1">
        <v>17443520</v>
      </c>
      <c r="M19" s="1">
        <v>489371</v>
      </c>
      <c r="N19" s="1">
        <v>83392561</v>
      </c>
      <c r="Q19" s="1"/>
      <c r="R19" s="1"/>
      <c r="S19" s="1"/>
      <c r="T19" s="1"/>
      <c r="U19" s="1"/>
      <c r="V19" s="1"/>
      <c r="AD19" s="1"/>
      <c r="AE19" s="1"/>
      <c r="AF19" s="1"/>
      <c r="AG19" s="1"/>
    </row>
    <row r="20" spans="1:33" x14ac:dyDescent="0.25">
      <c r="C20" s="1"/>
      <c r="D20" s="1"/>
      <c r="I20" s="1"/>
      <c r="J20" s="1"/>
      <c r="S20" s="1"/>
      <c r="T20" s="1"/>
      <c r="U20" s="1"/>
      <c r="V20" s="1"/>
      <c r="AD20" s="1"/>
      <c r="AE20" s="1"/>
      <c r="AF20" s="1"/>
      <c r="AG20" s="1"/>
    </row>
    <row r="22" spans="1:33" ht="18.75" x14ac:dyDescent="0.3">
      <c r="A22" s="11" t="s">
        <v>50</v>
      </c>
    </row>
    <row r="24" spans="1:33" x14ac:dyDescent="0.25">
      <c r="A24" t="s">
        <v>35</v>
      </c>
      <c r="C24" s="1">
        <f>SUM(C13:C18)</f>
        <v>9152</v>
      </c>
      <c r="D24" s="1">
        <f t="shared" ref="D24:N24" si="0">SUM(D13:D18)</f>
        <v>52931029</v>
      </c>
      <c r="E24" s="1">
        <f t="shared" si="0"/>
        <v>1417</v>
      </c>
      <c r="F24" s="1">
        <f t="shared" si="0"/>
        <v>25698045</v>
      </c>
      <c r="G24" s="1">
        <f t="shared" si="0"/>
        <v>7735</v>
      </c>
      <c r="H24" s="1">
        <f t="shared" si="0"/>
        <v>27232984</v>
      </c>
      <c r="I24" s="1">
        <f t="shared" si="0"/>
        <v>5384</v>
      </c>
      <c r="J24" s="1">
        <f t="shared" si="0"/>
        <v>32857621</v>
      </c>
      <c r="K24" s="1">
        <f t="shared" si="0"/>
        <v>916</v>
      </c>
      <c r="L24" s="1">
        <f t="shared" si="0"/>
        <v>17041706</v>
      </c>
      <c r="M24" s="1">
        <f t="shared" si="0"/>
        <v>4468</v>
      </c>
      <c r="N24" s="1">
        <f t="shared" si="0"/>
        <v>15815915</v>
      </c>
    </row>
    <row r="25" spans="1:33" x14ac:dyDescent="0.25">
      <c r="A25" t="s">
        <v>43</v>
      </c>
      <c r="D25" s="12">
        <f>100*D24/D19</f>
        <v>36.013667918048689</v>
      </c>
      <c r="J25" s="12">
        <f>100*J24/J19</f>
        <v>32.585182480465498</v>
      </c>
    </row>
    <row r="27" spans="1:33" ht="18.75" x14ac:dyDescent="0.3">
      <c r="A27" s="11" t="s">
        <v>69</v>
      </c>
    </row>
    <row r="29" spans="1:33" x14ac:dyDescent="0.25">
      <c r="A29" t="s">
        <v>35</v>
      </c>
      <c r="D29" s="1">
        <f>SUM(D12:D18)</f>
        <v>74341155</v>
      </c>
      <c r="J29" s="1">
        <f>SUM(J12:J18)</f>
        <v>46586244</v>
      </c>
    </row>
    <row r="30" spans="1:33" x14ac:dyDescent="0.25">
      <c r="A30" t="s">
        <v>43</v>
      </c>
      <c r="D30" s="12">
        <f>100*D29/D19</f>
        <v>50.580873249491994</v>
      </c>
      <c r="J30" s="12">
        <f>100*J29/J19</f>
        <v>46.199974788786172</v>
      </c>
    </row>
    <row r="32" spans="1:33" ht="18.75" x14ac:dyDescent="0.3">
      <c r="A32" s="11" t="s">
        <v>59</v>
      </c>
    </row>
    <row r="34" spans="1:10" x14ac:dyDescent="0.25">
      <c r="A34" t="s">
        <v>35</v>
      </c>
      <c r="D34" s="1">
        <f>SUM(D14:D18)</f>
        <v>31931497</v>
      </c>
      <c r="J34" s="1">
        <f>SUM(J14:J18)</f>
        <v>20673315</v>
      </c>
    </row>
    <row r="35" spans="1:10" x14ac:dyDescent="0.25">
      <c r="A35" t="s">
        <v>43</v>
      </c>
      <c r="D35" s="12">
        <f>D34/D19*100</f>
        <v>21.725826057229458</v>
      </c>
      <c r="J35" s="12">
        <f>J34/J19*100</f>
        <v>20.50190248865384</v>
      </c>
    </row>
    <row r="37" spans="1:10" ht="18.75" x14ac:dyDescent="0.3">
      <c r="A37" s="11" t="s">
        <v>73</v>
      </c>
    </row>
    <row r="39" spans="1:10" x14ac:dyDescent="0.25">
      <c r="A39" t="s">
        <v>35</v>
      </c>
      <c r="D39" s="1">
        <f>SUM(D16:D18)</f>
        <v>17753506</v>
      </c>
      <c r="J39" s="1">
        <f>SUM(J16:J18)</f>
        <v>11904338</v>
      </c>
    </row>
    <row r="40" spans="1:10" x14ac:dyDescent="0.25">
      <c r="A40" t="s">
        <v>43</v>
      </c>
      <c r="D40" s="12">
        <f>D39/D19*100</f>
        <v>12.079282824165102</v>
      </c>
      <c r="J40" s="12">
        <f>J39/J19*100</f>
        <v>11.805633342692087</v>
      </c>
    </row>
    <row r="42" spans="1:10" ht="18.75" x14ac:dyDescent="0.3">
      <c r="A42" s="11" t="s">
        <v>74</v>
      </c>
    </row>
    <row r="44" spans="1:10" x14ac:dyDescent="0.25">
      <c r="A44" t="s">
        <v>35</v>
      </c>
      <c r="D44" s="1">
        <f>SUM(D18)</f>
        <v>9550941</v>
      </c>
      <c r="J44" s="1">
        <f>SUM(J18)</f>
        <v>6447410</v>
      </c>
    </row>
    <row r="45" spans="1:10" x14ac:dyDescent="0.25">
      <c r="A45" t="s">
        <v>43</v>
      </c>
      <c r="D45" s="12">
        <f>D44/D19*100</f>
        <v>6.4983512313519523</v>
      </c>
      <c r="J45" s="12">
        <f>J44/J19*100</f>
        <v>6.3939513873015361</v>
      </c>
    </row>
    <row r="47" spans="1:10" ht="18.75" x14ac:dyDescent="0.3">
      <c r="A47" s="19" t="s">
        <v>81</v>
      </c>
    </row>
    <row r="49" spans="1:10" x14ac:dyDescent="0.25">
      <c r="D49" s="12">
        <f>F19/D19*100</f>
        <v>17.905381557325782</v>
      </c>
      <c r="J49" s="12">
        <f>L19/J19*100</f>
        <v>17.298887290155594</v>
      </c>
    </row>
    <row r="53" spans="1:10" x14ac:dyDescent="0.25">
      <c r="A53" t="s">
        <v>155</v>
      </c>
    </row>
    <row r="54" spans="1:10" x14ac:dyDescent="0.25">
      <c r="A54" t="s">
        <v>151</v>
      </c>
    </row>
    <row r="55" spans="1:10" x14ac:dyDescent="0.25">
      <c r="A55" t="s">
        <v>153</v>
      </c>
    </row>
    <row r="56" spans="1:10" x14ac:dyDescent="0.25">
      <c r="A56" t="s">
        <v>154</v>
      </c>
    </row>
  </sheetData>
  <mergeCells count="10">
    <mergeCell ref="A3:B3"/>
    <mergeCell ref="C3:D3"/>
    <mergeCell ref="E3:F3"/>
    <mergeCell ref="G3:H3"/>
    <mergeCell ref="I3:J3"/>
    <mergeCell ref="S3:T3"/>
    <mergeCell ref="U3:V3"/>
    <mergeCell ref="Q3:R3"/>
    <mergeCell ref="K3:L3"/>
    <mergeCell ref="M3:N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E754-2BB4-4F22-A1F6-E30F1A3E2522}">
  <dimension ref="A1:D57"/>
  <sheetViews>
    <sheetView workbookViewId="0">
      <selection activeCell="A41" sqref="A41"/>
    </sheetView>
  </sheetViews>
  <sheetFormatPr defaultRowHeight="15" x14ac:dyDescent="0.25"/>
  <cols>
    <col min="4" max="4" width="11" customWidth="1"/>
  </cols>
  <sheetData>
    <row r="1" spans="1:4" x14ac:dyDescent="0.25">
      <c r="A1" s="5" t="s">
        <v>6</v>
      </c>
    </row>
    <row r="3" spans="1:4" x14ac:dyDescent="0.25">
      <c r="A3" s="2" t="s">
        <v>0</v>
      </c>
      <c r="B3" s="2" t="s">
        <v>1</v>
      </c>
      <c r="C3" s="2"/>
      <c r="D3" s="2" t="s">
        <v>4</v>
      </c>
    </row>
    <row r="4" spans="1:4" x14ac:dyDescent="0.25">
      <c r="A4" t="s">
        <v>2</v>
      </c>
      <c r="B4" s="1">
        <v>3000</v>
      </c>
      <c r="D4" s="1">
        <v>1207383</v>
      </c>
    </row>
    <row r="5" spans="1:4" x14ac:dyDescent="0.25">
      <c r="A5" s="1">
        <v>3000</v>
      </c>
      <c r="B5" s="1">
        <v>5000</v>
      </c>
      <c r="D5" s="1">
        <v>1255602</v>
      </c>
    </row>
    <row r="6" spans="1:4" x14ac:dyDescent="0.25">
      <c r="A6" s="1">
        <v>5000</v>
      </c>
      <c r="B6" s="1">
        <v>10000</v>
      </c>
      <c r="D6" s="1">
        <v>2688141</v>
      </c>
    </row>
    <row r="7" spans="1:4" x14ac:dyDescent="0.25">
      <c r="A7" s="1">
        <v>10000</v>
      </c>
      <c r="B7" s="1">
        <v>20000</v>
      </c>
      <c r="D7" s="1">
        <v>3522835</v>
      </c>
    </row>
    <row r="8" spans="1:4" x14ac:dyDescent="0.25">
      <c r="A8" s="1">
        <v>20000</v>
      </c>
      <c r="B8" s="1">
        <v>50000</v>
      </c>
      <c r="D8" s="1">
        <v>3982819</v>
      </c>
    </row>
    <row r="9" spans="1:4" x14ac:dyDescent="0.25">
      <c r="A9" s="1">
        <v>50000</v>
      </c>
      <c r="B9" s="1">
        <v>100000</v>
      </c>
      <c r="D9" s="1">
        <v>4108692</v>
      </c>
    </row>
    <row r="10" spans="1:4" x14ac:dyDescent="0.25">
      <c r="A10" s="1">
        <v>100000</v>
      </c>
      <c r="B10" s="1">
        <v>500000</v>
      </c>
      <c r="D10" s="1">
        <v>5397349</v>
      </c>
    </row>
    <row r="11" spans="1:4" x14ac:dyDescent="0.25">
      <c r="A11" s="1">
        <v>500000</v>
      </c>
      <c r="B11" t="s">
        <v>3</v>
      </c>
      <c r="D11" s="1">
        <v>4153592</v>
      </c>
    </row>
    <row r="12" spans="1:4" x14ac:dyDescent="0.25">
      <c r="A12" s="2" t="s">
        <v>13</v>
      </c>
      <c r="D12" s="1">
        <f>SUM(D4:D11)</f>
        <v>26316413</v>
      </c>
    </row>
    <row r="13" spans="1:4" x14ac:dyDescent="0.25">
      <c r="A13" s="2" t="s">
        <v>14</v>
      </c>
      <c r="D13" s="1">
        <v>136810000</v>
      </c>
    </row>
    <row r="14" spans="1:4" x14ac:dyDescent="0.25">
      <c r="A14" s="2" t="s">
        <v>15</v>
      </c>
      <c r="D14" s="3">
        <f>100*D12/D13</f>
        <v>19.235737884657553</v>
      </c>
    </row>
    <row r="17" spans="1:4" x14ac:dyDescent="0.25">
      <c r="A17" s="5" t="s">
        <v>20</v>
      </c>
    </row>
    <row r="19" spans="1:4" x14ac:dyDescent="0.25">
      <c r="A19" s="2" t="s">
        <v>0</v>
      </c>
      <c r="B19" s="2" t="s">
        <v>1</v>
      </c>
      <c r="C19" s="2"/>
      <c r="D19" s="2" t="s">
        <v>4</v>
      </c>
    </row>
    <row r="20" spans="1:4" x14ac:dyDescent="0.25">
      <c r="A20" t="s">
        <v>2</v>
      </c>
      <c r="B20" s="1">
        <v>1000</v>
      </c>
      <c r="C20" s="2"/>
      <c r="D20" s="1">
        <v>11126</v>
      </c>
    </row>
    <row r="21" spans="1:4" x14ac:dyDescent="0.25">
      <c r="A21" s="1">
        <v>1000</v>
      </c>
      <c r="B21" s="1">
        <v>2000</v>
      </c>
      <c r="D21" s="1">
        <v>53807</v>
      </c>
    </row>
    <row r="22" spans="1:4" x14ac:dyDescent="0.25">
      <c r="A22" s="1">
        <v>2000</v>
      </c>
      <c r="B22" s="1">
        <v>3000</v>
      </c>
      <c r="D22" s="1">
        <v>120250</v>
      </c>
    </row>
    <row r="23" spans="1:4" x14ac:dyDescent="0.25">
      <c r="A23" s="1">
        <v>3000</v>
      </c>
      <c r="B23" s="1">
        <v>5000</v>
      </c>
      <c r="D23" s="1">
        <v>414313</v>
      </c>
    </row>
    <row r="24" spans="1:4" x14ac:dyDescent="0.25">
      <c r="A24" s="1">
        <v>5000</v>
      </c>
      <c r="B24" s="1">
        <v>7000</v>
      </c>
      <c r="D24" s="1">
        <v>437484</v>
      </c>
    </row>
    <row r="25" spans="1:4" x14ac:dyDescent="0.25">
      <c r="A25" s="1">
        <v>7000</v>
      </c>
      <c r="B25" s="1">
        <v>10000</v>
      </c>
      <c r="D25" s="1">
        <v>611204</v>
      </c>
    </row>
    <row r="26" spans="1:4" x14ac:dyDescent="0.25">
      <c r="A26" s="1">
        <v>10000</v>
      </c>
      <c r="B26" s="1">
        <v>15000</v>
      </c>
      <c r="D26" s="1">
        <v>1214439</v>
      </c>
    </row>
    <row r="27" spans="1:4" x14ac:dyDescent="0.25">
      <c r="A27" s="1">
        <v>15000</v>
      </c>
      <c r="B27" s="1">
        <v>20000</v>
      </c>
      <c r="D27" s="1">
        <v>850914</v>
      </c>
    </row>
    <row r="28" spans="1:4" x14ac:dyDescent="0.25">
      <c r="A28" s="1">
        <v>20000</v>
      </c>
      <c r="B28" s="1">
        <v>25000</v>
      </c>
      <c r="D28" s="1">
        <v>778363</v>
      </c>
    </row>
    <row r="29" spans="1:4" x14ac:dyDescent="0.25">
      <c r="A29" s="1">
        <v>25000</v>
      </c>
      <c r="B29" s="1">
        <v>30000</v>
      </c>
      <c r="D29" s="1">
        <v>563766</v>
      </c>
    </row>
    <row r="30" spans="1:4" x14ac:dyDescent="0.25">
      <c r="A30" s="1">
        <v>30000</v>
      </c>
      <c r="B30" s="1">
        <v>40000</v>
      </c>
      <c r="D30" s="1">
        <v>1243442</v>
      </c>
    </row>
    <row r="31" spans="1:4" x14ac:dyDescent="0.25">
      <c r="A31" s="1">
        <v>40000</v>
      </c>
      <c r="B31" s="1">
        <v>50000</v>
      </c>
      <c r="D31" s="1">
        <v>682374</v>
      </c>
    </row>
    <row r="32" spans="1:4" x14ac:dyDescent="0.25">
      <c r="A32" s="1">
        <v>50000</v>
      </c>
      <c r="B32" s="1">
        <v>70000</v>
      </c>
      <c r="D32" s="1">
        <v>1811560</v>
      </c>
    </row>
    <row r="33" spans="1:4" x14ac:dyDescent="0.25">
      <c r="A33" s="1">
        <v>70000</v>
      </c>
      <c r="B33" s="1">
        <v>100000</v>
      </c>
      <c r="D33" s="1">
        <v>2226166</v>
      </c>
    </row>
    <row r="34" spans="1:4" x14ac:dyDescent="0.25">
      <c r="A34" s="1">
        <v>100000</v>
      </c>
      <c r="B34" t="s">
        <v>3</v>
      </c>
      <c r="D34" s="1">
        <v>9142693</v>
      </c>
    </row>
    <row r="35" spans="1:4" x14ac:dyDescent="0.25">
      <c r="A35" s="2" t="s">
        <v>13</v>
      </c>
      <c r="D35" s="1">
        <f>SUM(D20:D34)</f>
        <v>20161901</v>
      </c>
    </row>
    <row r="36" spans="1:4" x14ac:dyDescent="0.25">
      <c r="A36" s="2" t="s">
        <v>14</v>
      </c>
      <c r="D36" s="1">
        <v>147027915</v>
      </c>
    </row>
    <row r="37" spans="1:4" x14ac:dyDescent="0.25">
      <c r="A37" s="2" t="s">
        <v>15</v>
      </c>
      <c r="D37" s="3">
        <f>100*D35/D36</f>
        <v>13.712974845627103</v>
      </c>
    </row>
    <row r="38" spans="1:4" x14ac:dyDescent="0.25">
      <c r="D38" s="1"/>
    </row>
    <row r="39" spans="1:4" x14ac:dyDescent="0.25">
      <c r="A39" s="5" t="s">
        <v>29</v>
      </c>
      <c r="D39" s="1"/>
    </row>
    <row r="40" spans="1:4" x14ac:dyDescent="0.25">
      <c r="D40" s="1"/>
    </row>
    <row r="41" spans="1:4" x14ac:dyDescent="0.25">
      <c r="A41" s="2" t="s">
        <v>41</v>
      </c>
      <c r="D41" s="1"/>
    </row>
    <row r="47" spans="1:4" x14ac:dyDescent="0.25">
      <c r="D47" s="1"/>
    </row>
    <row r="48" spans="1:4" x14ac:dyDescent="0.25">
      <c r="D48" s="1"/>
    </row>
    <row r="49" spans="1:4" x14ac:dyDescent="0.25">
      <c r="D49" s="1"/>
    </row>
    <row r="50" spans="1:4" x14ac:dyDescent="0.25">
      <c r="D50" s="1"/>
    </row>
    <row r="51" spans="1:4" x14ac:dyDescent="0.25">
      <c r="D51" s="1"/>
    </row>
    <row r="52" spans="1:4" x14ac:dyDescent="0.25">
      <c r="D52" s="1"/>
    </row>
    <row r="53" spans="1:4" x14ac:dyDescent="0.25">
      <c r="D53" s="1"/>
    </row>
    <row r="54" spans="1:4" x14ac:dyDescent="0.25">
      <c r="D54" s="1"/>
    </row>
    <row r="55" spans="1:4" x14ac:dyDescent="0.25">
      <c r="A55" s="2"/>
      <c r="D55" s="1"/>
    </row>
    <row r="56" spans="1:4" x14ac:dyDescent="0.25">
      <c r="A56" s="2"/>
      <c r="D56" s="1"/>
    </row>
    <row r="57" spans="1:4" x14ac:dyDescent="0.25">
      <c r="A57" s="2"/>
      <c r="D5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26E9-8D2E-42C0-8EF9-E316006CB136}">
  <dimension ref="A2:AB37"/>
  <sheetViews>
    <sheetView workbookViewId="0">
      <selection activeCell="L22" sqref="L22"/>
    </sheetView>
  </sheetViews>
  <sheetFormatPr defaultRowHeight="15" x14ac:dyDescent="0.25"/>
  <cols>
    <col min="4" max="4" width="11.28515625" customWidth="1"/>
    <col min="5" max="5" width="10.140625" bestFit="1" customWidth="1"/>
    <col min="10" max="10" width="11.140625" bestFit="1" customWidth="1"/>
    <col min="12" max="12" width="11.140625" bestFit="1" customWidth="1"/>
    <col min="14" max="16" width="8.85546875" bestFit="1" customWidth="1"/>
    <col min="17" max="17" width="11.7109375" customWidth="1"/>
    <col min="19" max="21" width="8.85546875" bestFit="1" customWidth="1"/>
    <col min="22" max="22" width="9.5703125" bestFit="1" customWidth="1"/>
  </cols>
  <sheetData>
    <row r="2" spans="1:28" ht="18.75" x14ac:dyDescent="0.3">
      <c r="A2" s="11" t="s">
        <v>62</v>
      </c>
      <c r="N2" s="19" t="s">
        <v>98</v>
      </c>
    </row>
    <row r="3" spans="1:28" x14ac:dyDescent="0.25">
      <c r="I3" s="36" t="s">
        <v>44</v>
      </c>
      <c r="J3" s="36"/>
      <c r="M3" s="7"/>
      <c r="N3" s="7"/>
    </row>
    <row r="4" spans="1:28" x14ac:dyDescent="0.25">
      <c r="C4" s="36" t="s">
        <v>45</v>
      </c>
      <c r="D4" s="36"/>
      <c r="G4" s="7" t="s">
        <v>0</v>
      </c>
      <c r="H4" s="7" t="s">
        <v>1</v>
      </c>
      <c r="I4" s="7" t="s">
        <v>36</v>
      </c>
      <c r="J4" s="7" t="s">
        <v>4</v>
      </c>
      <c r="P4" s="36" t="s">
        <v>45</v>
      </c>
      <c r="Q4" s="36"/>
      <c r="U4" s="36" t="s">
        <v>44</v>
      </c>
      <c r="V4" s="36"/>
    </row>
    <row r="5" spans="1:28" x14ac:dyDescent="0.25">
      <c r="A5" s="7" t="s">
        <v>0</v>
      </c>
      <c r="B5" s="7" t="s">
        <v>1</v>
      </c>
      <c r="C5" s="7" t="s">
        <v>36</v>
      </c>
      <c r="D5" s="7" t="s">
        <v>4</v>
      </c>
      <c r="G5">
        <v>200</v>
      </c>
      <c r="H5">
        <v>500</v>
      </c>
      <c r="I5" s="1">
        <v>74762</v>
      </c>
      <c r="J5" s="1">
        <v>23688400</v>
      </c>
      <c r="N5" s="7" t="s">
        <v>0</v>
      </c>
      <c r="O5" s="7" t="s">
        <v>1</v>
      </c>
      <c r="P5" s="7" t="s">
        <v>36</v>
      </c>
      <c r="Q5" s="7" t="s">
        <v>4</v>
      </c>
      <c r="S5" s="7" t="s">
        <v>0</v>
      </c>
      <c r="T5" s="7" t="s">
        <v>1</v>
      </c>
      <c r="U5" s="7" t="s">
        <v>36</v>
      </c>
      <c r="V5" s="7" t="s">
        <v>4</v>
      </c>
    </row>
    <row r="6" spans="1:28" x14ac:dyDescent="0.25">
      <c r="A6" t="s">
        <v>2</v>
      </c>
      <c r="B6" s="1">
        <v>3000</v>
      </c>
      <c r="C6">
        <v>843</v>
      </c>
      <c r="D6" s="1">
        <v>1610533</v>
      </c>
      <c r="G6">
        <v>500</v>
      </c>
      <c r="H6">
        <v>1000</v>
      </c>
      <c r="I6" s="1">
        <v>31763</v>
      </c>
      <c r="J6" s="1">
        <v>22105900</v>
      </c>
      <c r="N6" s="1">
        <v>1</v>
      </c>
      <c r="O6" s="1">
        <v>2000</v>
      </c>
      <c r="P6" s="1">
        <v>414</v>
      </c>
      <c r="Q6" s="1">
        <v>527061</v>
      </c>
      <c r="R6" s="1"/>
      <c r="S6">
        <v>200</v>
      </c>
      <c r="T6">
        <v>500</v>
      </c>
      <c r="U6" s="1">
        <v>74762</v>
      </c>
      <c r="V6" s="1">
        <v>23688400</v>
      </c>
      <c r="Z6" s="1"/>
      <c r="AB6" s="1"/>
    </row>
    <row r="7" spans="1:28" x14ac:dyDescent="0.25">
      <c r="A7" s="1">
        <v>3000</v>
      </c>
      <c r="B7" s="1">
        <v>5000</v>
      </c>
      <c r="C7">
        <v>904</v>
      </c>
      <c r="D7" s="1">
        <v>3596828</v>
      </c>
      <c r="G7">
        <v>1000</v>
      </c>
      <c r="H7">
        <v>2000</v>
      </c>
      <c r="I7" s="1">
        <v>14218</v>
      </c>
      <c r="J7" s="1">
        <v>19337000</v>
      </c>
      <c r="N7" s="1">
        <v>2000</v>
      </c>
      <c r="O7" s="1">
        <v>3000</v>
      </c>
      <c r="P7" s="1">
        <v>429</v>
      </c>
      <c r="Q7" s="1">
        <v>1083472</v>
      </c>
      <c r="R7" s="1"/>
      <c r="S7">
        <v>500</v>
      </c>
      <c r="T7">
        <v>1000</v>
      </c>
      <c r="U7" s="1">
        <v>31763</v>
      </c>
      <c r="V7" s="1">
        <v>22105900</v>
      </c>
      <c r="Y7" s="1"/>
      <c r="Z7" s="1"/>
      <c r="AB7" s="1"/>
    </row>
    <row r="8" spans="1:28" x14ac:dyDescent="0.25">
      <c r="A8" s="1">
        <v>5000</v>
      </c>
      <c r="B8" s="1">
        <v>10000</v>
      </c>
      <c r="C8">
        <v>1296</v>
      </c>
      <c r="D8" s="1">
        <v>9213576</v>
      </c>
      <c r="G8">
        <v>2000</v>
      </c>
      <c r="H8">
        <v>3000</v>
      </c>
      <c r="I8" s="1">
        <v>3482</v>
      </c>
      <c r="J8" s="1">
        <v>8389199</v>
      </c>
      <c r="N8" s="1">
        <v>3000</v>
      </c>
      <c r="O8" s="1">
        <v>5000</v>
      </c>
      <c r="P8">
        <v>904</v>
      </c>
      <c r="Q8" s="1">
        <v>3596828</v>
      </c>
      <c r="R8" s="1"/>
      <c r="S8">
        <v>1000</v>
      </c>
      <c r="T8">
        <v>2000</v>
      </c>
      <c r="U8" s="1">
        <v>14218</v>
      </c>
      <c r="V8" s="1">
        <v>19337000</v>
      </c>
    </row>
    <row r="9" spans="1:28" x14ac:dyDescent="0.25">
      <c r="A9" s="1">
        <v>10000</v>
      </c>
      <c r="B9" s="1">
        <v>20000</v>
      </c>
      <c r="C9">
        <v>798</v>
      </c>
      <c r="D9" s="1">
        <v>11150064</v>
      </c>
      <c r="G9" s="1">
        <v>3000</v>
      </c>
      <c r="H9" s="1">
        <v>5000</v>
      </c>
      <c r="I9" s="1">
        <v>1807</v>
      </c>
      <c r="J9" s="1">
        <v>6732200</v>
      </c>
      <c r="N9" s="1">
        <v>5000</v>
      </c>
      <c r="O9" s="1">
        <v>10000</v>
      </c>
      <c r="P9">
        <v>1296</v>
      </c>
      <c r="Q9" s="1">
        <v>9213576</v>
      </c>
      <c r="R9" s="1"/>
      <c r="S9">
        <v>2000</v>
      </c>
      <c r="T9">
        <v>3000</v>
      </c>
      <c r="U9" s="1">
        <v>3482</v>
      </c>
      <c r="V9" s="1">
        <v>8389199</v>
      </c>
    </row>
    <row r="10" spans="1:28" x14ac:dyDescent="0.25">
      <c r="A10" s="1">
        <v>20000</v>
      </c>
      <c r="B10" s="1">
        <v>50000</v>
      </c>
      <c r="C10">
        <v>474</v>
      </c>
      <c r="D10" s="1">
        <v>14828309</v>
      </c>
      <c r="G10" s="1">
        <v>5000</v>
      </c>
      <c r="H10" t="s">
        <v>3</v>
      </c>
      <c r="I10" s="1">
        <v>675</v>
      </c>
      <c r="J10" s="1">
        <v>4973200</v>
      </c>
      <c r="N10" s="1">
        <v>10000</v>
      </c>
      <c r="O10" s="1">
        <v>20000</v>
      </c>
      <c r="P10">
        <v>798</v>
      </c>
      <c r="Q10" s="1">
        <v>11150064</v>
      </c>
      <c r="R10" s="1"/>
      <c r="S10" s="1">
        <v>3000</v>
      </c>
      <c r="T10" s="1">
        <v>5000</v>
      </c>
      <c r="U10" s="1">
        <v>1807</v>
      </c>
      <c r="V10" s="1">
        <v>6732200</v>
      </c>
    </row>
    <row r="11" spans="1:28" x14ac:dyDescent="0.25">
      <c r="A11" s="1">
        <v>50000</v>
      </c>
      <c r="B11" s="1">
        <v>100000</v>
      </c>
      <c r="C11">
        <v>156</v>
      </c>
      <c r="D11" s="1">
        <v>10989803</v>
      </c>
      <c r="G11" s="1"/>
      <c r="H11" s="1"/>
      <c r="N11" s="1">
        <v>20000</v>
      </c>
      <c r="O11" s="1">
        <v>50000</v>
      </c>
      <c r="P11">
        <v>474</v>
      </c>
      <c r="Q11" s="1">
        <v>14828309</v>
      </c>
      <c r="R11" s="1"/>
      <c r="S11" s="1">
        <v>5000</v>
      </c>
      <c r="T11" t="s">
        <v>3</v>
      </c>
      <c r="U11" s="1">
        <v>675</v>
      </c>
      <c r="V11" s="1">
        <v>4973200</v>
      </c>
    </row>
    <row r="12" spans="1:28" x14ac:dyDescent="0.25">
      <c r="A12" s="1">
        <v>100000</v>
      </c>
      <c r="B12" s="1">
        <v>500000</v>
      </c>
      <c r="C12">
        <v>123</v>
      </c>
      <c r="D12" s="1">
        <v>24425829</v>
      </c>
      <c r="G12" s="1"/>
      <c r="H12" s="1"/>
      <c r="N12" s="1">
        <v>50000</v>
      </c>
      <c r="O12" s="1">
        <v>100000</v>
      </c>
      <c r="P12">
        <v>156</v>
      </c>
      <c r="Q12" s="1">
        <v>10989803</v>
      </c>
      <c r="R12" s="1"/>
      <c r="S12" s="1"/>
      <c r="U12" s="1"/>
      <c r="V12" s="1"/>
    </row>
    <row r="13" spans="1:28" x14ac:dyDescent="0.25">
      <c r="A13" s="1">
        <v>500000</v>
      </c>
      <c r="B13" t="s">
        <v>3</v>
      </c>
      <c r="C13">
        <v>25</v>
      </c>
      <c r="D13" s="1">
        <v>24162753</v>
      </c>
      <c r="G13" s="1"/>
      <c r="N13" s="1">
        <v>100000</v>
      </c>
      <c r="O13" s="1">
        <v>500000</v>
      </c>
      <c r="P13">
        <v>123</v>
      </c>
      <c r="Q13" s="1">
        <v>24425829</v>
      </c>
    </row>
    <row r="14" spans="1:28" x14ac:dyDescent="0.25">
      <c r="A14" s="2" t="s">
        <v>13</v>
      </c>
      <c r="D14" s="1">
        <f>SUM(D6:D13)</f>
        <v>99977695</v>
      </c>
      <c r="N14" s="1">
        <v>500000</v>
      </c>
      <c r="O14" t="s">
        <v>3</v>
      </c>
      <c r="P14">
        <v>25</v>
      </c>
      <c r="Q14" s="1">
        <v>24162753</v>
      </c>
    </row>
    <row r="15" spans="1:28" x14ac:dyDescent="0.25">
      <c r="A15" s="2" t="s">
        <v>14</v>
      </c>
      <c r="C15">
        <f>SUM(C6:C13)</f>
        <v>4619</v>
      </c>
      <c r="D15" s="1">
        <v>208826650</v>
      </c>
      <c r="N15" s="1"/>
      <c r="O15" s="1"/>
      <c r="Q15" s="1"/>
    </row>
    <row r="16" spans="1:28" x14ac:dyDescent="0.25">
      <c r="A16" s="2" t="s">
        <v>15</v>
      </c>
      <c r="D16" s="3">
        <f>100*D14/D15</f>
        <v>47.875927234383163</v>
      </c>
      <c r="N16" s="2" t="s">
        <v>14</v>
      </c>
      <c r="P16" s="1"/>
      <c r="Q16" s="1">
        <v>208826650</v>
      </c>
    </row>
    <row r="18" spans="1:12" ht="18.75" x14ac:dyDescent="0.3">
      <c r="A18" s="11" t="s">
        <v>50</v>
      </c>
    </row>
    <row r="20" spans="1:12" x14ac:dyDescent="0.25">
      <c r="A20" s="2" t="s">
        <v>53</v>
      </c>
      <c r="D20" s="1">
        <f>SUM(Q7:Q14)</f>
        <v>99450634</v>
      </c>
      <c r="J20" s="1">
        <f>SUM(J8:J10)</f>
        <v>20094599</v>
      </c>
      <c r="L20" s="1">
        <f>D20+J20</f>
        <v>119545233</v>
      </c>
    </row>
    <row r="21" spans="1:12" x14ac:dyDescent="0.25">
      <c r="A21" s="2" t="s">
        <v>52</v>
      </c>
      <c r="D21" s="3"/>
      <c r="L21" s="12">
        <f>L20/Q16*100</f>
        <v>57.246157518688342</v>
      </c>
    </row>
    <row r="23" spans="1:12" ht="18.75" x14ac:dyDescent="0.3">
      <c r="A23" s="11" t="s">
        <v>59</v>
      </c>
    </row>
    <row r="25" spans="1:12" x14ac:dyDescent="0.25">
      <c r="A25" t="s">
        <v>60</v>
      </c>
      <c r="D25" s="1">
        <f>SUM(D8:D13)</f>
        <v>94770334</v>
      </c>
      <c r="J25" s="1">
        <f>J10</f>
        <v>4973200</v>
      </c>
      <c r="L25" s="1">
        <f>J25+D25</f>
        <v>99743534</v>
      </c>
    </row>
    <row r="26" spans="1:12" x14ac:dyDescent="0.25">
      <c r="A26" t="s">
        <v>61</v>
      </c>
      <c r="L26" s="12">
        <f>L25/Q16*100</f>
        <v>47.763795473422569</v>
      </c>
    </row>
    <row r="29" spans="1:12" ht="18.75" x14ac:dyDescent="0.3">
      <c r="A29" s="11" t="s">
        <v>73</v>
      </c>
    </row>
    <row r="31" spans="1:12" x14ac:dyDescent="0.25">
      <c r="A31" t="s">
        <v>35</v>
      </c>
      <c r="D31" s="1">
        <f>SUM(D10:D13)</f>
        <v>74406694</v>
      </c>
    </row>
    <row r="32" spans="1:12" x14ac:dyDescent="0.25">
      <c r="A32" t="s">
        <v>43</v>
      </c>
      <c r="D32" s="12">
        <f>D31/D15*100</f>
        <v>35.630842136288635</v>
      </c>
    </row>
    <row r="34" spans="1:4" ht="18.75" x14ac:dyDescent="0.3">
      <c r="A34" s="11" t="s">
        <v>74</v>
      </c>
    </row>
    <row r="36" spans="1:4" x14ac:dyDescent="0.25">
      <c r="A36" t="s">
        <v>35</v>
      </c>
      <c r="D36" s="1">
        <f>SUM(D12:D13)</f>
        <v>48588582</v>
      </c>
    </row>
    <row r="37" spans="1:4" x14ac:dyDescent="0.25">
      <c r="A37" t="s">
        <v>43</v>
      </c>
      <c r="D37" s="12">
        <f>D36/D15*100</f>
        <v>23.267423961453197</v>
      </c>
    </row>
  </sheetData>
  <mergeCells count="4">
    <mergeCell ref="I3:J3"/>
    <mergeCell ref="P4:Q4"/>
    <mergeCell ref="U4:V4"/>
    <mergeCell ref="C4:D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CCEF-9F8C-4056-9EBF-C43E8745BF26}">
  <dimension ref="A1:W35"/>
  <sheetViews>
    <sheetView workbookViewId="0">
      <selection activeCell="L21" sqref="L21"/>
    </sheetView>
  </sheetViews>
  <sheetFormatPr defaultRowHeight="15" x14ac:dyDescent="0.25"/>
  <cols>
    <col min="4" max="4" width="13.42578125" customWidth="1"/>
    <col min="10" max="10" width="10.7109375" customWidth="1"/>
    <col min="12" max="12" width="11.140625" bestFit="1" customWidth="1"/>
    <col min="14" max="15" width="8.85546875" bestFit="1" customWidth="1"/>
    <col min="16" max="16" width="8.85546875" customWidth="1"/>
    <col min="17" max="17" width="13" customWidth="1"/>
    <col min="20" max="21" width="8.85546875" bestFit="1" customWidth="1"/>
    <col min="22" max="22" width="11.5703125" customWidth="1"/>
    <col min="23" max="23" width="9.5703125" bestFit="1" customWidth="1"/>
  </cols>
  <sheetData>
    <row r="1" spans="1:23" ht="18.75" x14ac:dyDescent="0.3">
      <c r="A1" s="11" t="s">
        <v>62</v>
      </c>
      <c r="N1" s="19" t="s">
        <v>98</v>
      </c>
    </row>
    <row r="2" spans="1:23" x14ac:dyDescent="0.25">
      <c r="I2" s="7"/>
      <c r="J2" s="7"/>
    </row>
    <row r="3" spans="1:23" x14ac:dyDescent="0.25">
      <c r="C3" s="36" t="s">
        <v>45</v>
      </c>
      <c r="D3" s="36"/>
      <c r="I3" s="36" t="s">
        <v>44</v>
      </c>
      <c r="J3" s="36"/>
      <c r="P3" s="36" t="s">
        <v>45</v>
      </c>
      <c r="Q3" s="36"/>
      <c r="U3" s="36" t="s">
        <v>44</v>
      </c>
      <c r="V3" s="36"/>
    </row>
    <row r="4" spans="1:23" x14ac:dyDescent="0.25">
      <c r="A4" s="2" t="s">
        <v>0</v>
      </c>
      <c r="B4" s="2" t="s">
        <v>1</v>
      </c>
      <c r="C4" s="2" t="s">
        <v>36</v>
      </c>
      <c r="D4" s="2" t="s">
        <v>4</v>
      </c>
      <c r="G4" s="7" t="s">
        <v>0</v>
      </c>
      <c r="H4" s="7" t="s">
        <v>1</v>
      </c>
      <c r="I4" s="7" t="s">
        <v>36</v>
      </c>
      <c r="J4" s="7" t="s">
        <v>4</v>
      </c>
      <c r="N4" s="2" t="s">
        <v>0</v>
      </c>
      <c r="O4" s="2" t="s">
        <v>1</v>
      </c>
      <c r="P4" s="2" t="s">
        <v>36</v>
      </c>
      <c r="Q4" s="2" t="s">
        <v>4</v>
      </c>
      <c r="S4" s="7" t="s">
        <v>0</v>
      </c>
      <c r="T4" s="7" t="s">
        <v>1</v>
      </c>
      <c r="U4" s="7" t="s">
        <v>36</v>
      </c>
      <c r="V4" s="7" t="s">
        <v>4</v>
      </c>
    </row>
    <row r="5" spans="1:23" x14ac:dyDescent="0.25">
      <c r="A5" t="s">
        <v>2</v>
      </c>
      <c r="B5" s="1">
        <v>3000</v>
      </c>
      <c r="C5">
        <v>1118</v>
      </c>
      <c r="D5" s="1">
        <v>2051695</v>
      </c>
      <c r="G5">
        <v>200</v>
      </c>
      <c r="H5">
        <v>500</v>
      </c>
      <c r="I5" s="1">
        <v>6475</v>
      </c>
      <c r="J5" s="1">
        <v>20815766</v>
      </c>
      <c r="N5" s="1">
        <v>1</v>
      </c>
      <c r="O5" s="1">
        <v>2000</v>
      </c>
      <c r="P5" s="1">
        <v>590</v>
      </c>
      <c r="Q5" s="1">
        <v>721755</v>
      </c>
      <c r="R5" s="1"/>
      <c r="S5">
        <v>200</v>
      </c>
      <c r="T5">
        <v>500</v>
      </c>
      <c r="U5" s="1">
        <v>6475</v>
      </c>
      <c r="V5" s="1">
        <v>20815766</v>
      </c>
      <c r="W5" s="1"/>
    </row>
    <row r="6" spans="1:23" x14ac:dyDescent="0.25">
      <c r="A6" s="1">
        <v>3000</v>
      </c>
      <c r="B6" s="1">
        <v>5000</v>
      </c>
      <c r="C6">
        <v>1028</v>
      </c>
      <c r="D6" s="1">
        <v>4098169</v>
      </c>
      <c r="G6">
        <v>500</v>
      </c>
      <c r="H6">
        <v>1000</v>
      </c>
      <c r="I6" s="1">
        <v>33032</v>
      </c>
      <c r="J6" s="1">
        <v>23116794</v>
      </c>
      <c r="N6" s="1">
        <v>2000</v>
      </c>
      <c r="O6" s="1">
        <v>3000</v>
      </c>
      <c r="P6" s="1">
        <v>528</v>
      </c>
      <c r="Q6" s="1">
        <v>1329940</v>
      </c>
      <c r="R6" s="1"/>
      <c r="S6">
        <v>500</v>
      </c>
      <c r="T6">
        <v>1000</v>
      </c>
      <c r="U6" s="1">
        <v>33032</v>
      </c>
      <c r="V6" s="1">
        <v>23116794</v>
      </c>
      <c r="W6" s="1"/>
    </row>
    <row r="7" spans="1:23" x14ac:dyDescent="0.25">
      <c r="A7" s="1">
        <v>5000</v>
      </c>
      <c r="B7" s="1">
        <v>10000</v>
      </c>
      <c r="C7">
        <v>1430</v>
      </c>
      <c r="D7" s="1">
        <v>10069839</v>
      </c>
      <c r="G7">
        <v>1000</v>
      </c>
      <c r="H7">
        <v>2000</v>
      </c>
      <c r="I7" s="1">
        <v>16677</v>
      </c>
      <c r="J7" s="9">
        <v>22785371</v>
      </c>
      <c r="N7" s="1">
        <v>3000</v>
      </c>
      <c r="O7" s="1">
        <v>5000</v>
      </c>
      <c r="P7">
        <v>1028</v>
      </c>
      <c r="Q7" s="1">
        <v>4098169</v>
      </c>
      <c r="R7" s="1"/>
      <c r="S7">
        <v>1000</v>
      </c>
      <c r="T7">
        <v>2000</v>
      </c>
      <c r="U7" s="1">
        <v>16677</v>
      </c>
      <c r="V7" s="9">
        <v>22785371</v>
      </c>
      <c r="W7" s="1"/>
    </row>
    <row r="8" spans="1:23" x14ac:dyDescent="0.25">
      <c r="A8" s="1">
        <v>10000</v>
      </c>
      <c r="B8" s="1">
        <v>20000</v>
      </c>
      <c r="C8">
        <v>919</v>
      </c>
      <c r="D8" s="1">
        <v>12721674</v>
      </c>
      <c r="G8">
        <v>2000</v>
      </c>
      <c r="H8">
        <v>3000</v>
      </c>
      <c r="I8" s="1">
        <v>3911</v>
      </c>
      <c r="J8" s="9">
        <v>9424188</v>
      </c>
      <c r="N8" s="1">
        <v>5000</v>
      </c>
      <c r="O8" s="1">
        <v>10000</v>
      </c>
      <c r="P8">
        <v>1430</v>
      </c>
      <c r="Q8" s="1">
        <v>10069839</v>
      </c>
      <c r="R8" s="1"/>
      <c r="S8">
        <v>2000</v>
      </c>
      <c r="T8">
        <v>3000</v>
      </c>
      <c r="U8" s="1">
        <v>3911</v>
      </c>
      <c r="V8" s="9">
        <v>9424188</v>
      </c>
      <c r="W8" s="1"/>
    </row>
    <row r="9" spans="1:23" x14ac:dyDescent="0.25">
      <c r="A9" s="1">
        <v>20000</v>
      </c>
      <c r="B9" s="1">
        <v>50000</v>
      </c>
      <c r="C9">
        <v>600</v>
      </c>
      <c r="D9" s="1">
        <v>18468944</v>
      </c>
      <c r="G9" s="1">
        <v>3000</v>
      </c>
      <c r="H9" s="1">
        <v>5000</v>
      </c>
      <c r="I9" s="1">
        <v>2040</v>
      </c>
      <c r="J9" s="9">
        <v>7656431</v>
      </c>
      <c r="N9" s="1">
        <v>10000</v>
      </c>
      <c r="O9" s="1">
        <v>20000</v>
      </c>
      <c r="P9">
        <v>919</v>
      </c>
      <c r="Q9" s="1">
        <v>12721674</v>
      </c>
      <c r="R9" s="1"/>
      <c r="S9" s="1">
        <v>3000</v>
      </c>
      <c r="T9" s="1">
        <v>5000</v>
      </c>
      <c r="U9" s="1">
        <v>2040</v>
      </c>
      <c r="V9" s="9">
        <v>7656431</v>
      </c>
      <c r="W9" s="1"/>
    </row>
    <row r="10" spans="1:23" x14ac:dyDescent="0.25">
      <c r="A10" s="1">
        <v>50000</v>
      </c>
      <c r="B10" s="1">
        <v>100000</v>
      </c>
      <c r="C10">
        <v>189</v>
      </c>
      <c r="D10" s="1">
        <v>13054945</v>
      </c>
      <c r="G10" s="1">
        <v>5000</v>
      </c>
      <c r="H10" t="s">
        <v>3</v>
      </c>
      <c r="I10" s="1">
        <v>868</v>
      </c>
      <c r="J10" s="9">
        <v>6446727</v>
      </c>
      <c r="N10" s="1">
        <v>20000</v>
      </c>
      <c r="O10" s="1">
        <v>50000</v>
      </c>
      <c r="P10">
        <v>600</v>
      </c>
      <c r="Q10" s="1">
        <v>18468944</v>
      </c>
      <c r="R10" s="1"/>
      <c r="S10" s="1">
        <v>5000</v>
      </c>
      <c r="T10" t="s">
        <v>3</v>
      </c>
      <c r="U10" s="1">
        <v>868</v>
      </c>
      <c r="V10" s="9">
        <v>6446727</v>
      </c>
      <c r="W10" s="9"/>
    </row>
    <row r="11" spans="1:23" x14ac:dyDescent="0.25">
      <c r="A11" s="1">
        <v>100000</v>
      </c>
      <c r="B11" s="1">
        <v>500000</v>
      </c>
      <c r="C11">
        <v>188</v>
      </c>
      <c r="D11" s="1">
        <v>38239651</v>
      </c>
      <c r="N11" s="1">
        <v>50000</v>
      </c>
      <c r="O11" s="1">
        <v>100000</v>
      </c>
      <c r="P11">
        <v>189</v>
      </c>
      <c r="Q11" s="1">
        <v>13054945</v>
      </c>
      <c r="R11" s="1"/>
      <c r="S11" s="1"/>
      <c r="T11" s="1"/>
      <c r="U11" s="1"/>
      <c r="V11" s="1"/>
      <c r="W11" s="1"/>
    </row>
    <row r="12" spans="1:23" x14ac:dyDescent="0.25">
      <c r="A12" s="1">
        <v>500000</v>
      </c>
      <c r="B12" t="s">
        <v>3</v>
      </c>
      <c r="C12">
        <v>33</v>
      </c>
      <c r="D12" s="1">
        <v>37286597</v>
      </c>
      <c r="N12" s="1">
        <v>100000</v>
      </c>
      <c r="O12" s="1">
        <v>500000</v>
      </c>
      <c r="P12">
        <v>188</v>
      </c>
      <c r="Q12" s="1">
        <v>38239651</v>
      </c>
      <c r="R12" s="1"/>
      <c r="S12" s="1"/>
      <c r="T12" s="1"/>
      <c r="U12" s="1"/>
      <c r="V12" s="1"/>
      <c r="W12" s="1"/>
    </row>
    <row r="13" spans="1:23" x14ac:dyDescent="0.25">
      <c r="A13" s="2" t="s">
        <v>13</v>
      </c>
      <c r="D13" s="1">
        <f>SUM(D5:D12)</f>
        <v>135991514</v>
      </c>
      <c r="N13" s="1">
        <v>500000</v>
      </c>
      <c r="O13" t="s">
        <v>3</v>
      </c>
      <c r="P13">
        <v>33</v>
      </c>
      <c r="Q13" s="1">
        <v>37286597</v>
      </c>
      <c r="R13" s="1"/>
      <c r="S13" s="1"/>
      <c r="T13" s="1"/>
      <c r="U13" s="1"/>
      <c r="V13" s="1"/>
      <c r="W13" s="1"/>
    </row>
    <row r="14" spans="1:23" x14ac:dyDescent="0.25">
      <c r="A14" s="2" t="s">
        <v>14</v>
      </c>
      <c r="C14">
        <f>SUM(C5:C12)</f>
        <v>5505</v>
      </c>
      <c r="D14" s="1">
        <v>241720134</v>
      </c>
      <c r="N14" s="1"/>
      <c r="O14" s="1"/>
      <c r="Q14" s="1"/>
    </row>
    <row r="15" spans="1:23" x14ac:dyDescent="0.25">
      <c r="A15" s="2" t="s">
        <v>15</v>
      </c>
      <c r="D15" s="3">
        <f>100*D13/D14</f>
        <v>56.259903446851474</v>
      </c>
      <c r="N15" s="2" t="s">
        <v>14</v>
      </c>
      <c r="P15" s="1"/>
      <c r="Q15" s="1">
        <v>241720134</v>
      </c>
    </row>
    <row r="16" spans="1:23" x14ac:dyDescent="0.25">
      <c r="A16" s="2"/>
      <c r="D16" s="3"/>
      <c r="N16" s="2"/>
      <c r="Q16" s="1"/>
    </row>
    <row r="17" spans="1:12" ht="18.75" x14ac:dyDescent="0.3">
      <c r="A17" s="11" t="s">
        <v>50</v>
      </c>
    </row>
    <row r="19" spans="1:12" x14ac:dyDescent="0.25">
      <c r="A19" s="2" t="s">
        <v>53</v>
      </c>
      <c r="D19" s="1">
        <f>SUM(Q6:Q13)</f>
        <v>135269759</v>
      </c>
      <c r="J19" s="1">
        <f>SUM(J8:J10)</f>
        <v>23527346</v>
      </c>
      <c r="L19" s="1">
        <f>D19+J19</f>
        <v>158797105</v>
      </c>
    </row>
    <row r="20" spans="1:12" x14ac:dyDescent="0.25">
      <c r="A20" s="2" t="s">
        <v>52</v>
      </c>
      <c r="D20" s="3"/>
      <c r="L20" s="13">
        <f>L19/Q15*100</f>
        <v>65.694612348675932</v>
      </c>
    </row>
    <row r="22" spans="1:12" ht="18.75" x14ac:dyDescent="0.3">
      <c r="A22" s="11" t="s">
        <v>59</v>
      </c>
    </row>
    <row r="24" spans="1:12" x14ac:dyDescent="0.25">
      <c r="A24" t="s">
        <v>60</v>
      </c>
      <c r="D24" s="1">
        <f>SUM(D7:D12)</f>
        <v>129841650</v>
      </c>
      <c r="J24" s="1">
        <f>J10</f>
        <v>6446727</v>
      </c>
      <c r="L24" s="1">
        <f>J24+D24</f>
        <v>136288377</v>
      </c>
    </row>
    <row r="25" spans="1:12" x14ac:dyDescent="0.25">
      <c r="A25" t="s">
        <v>61</v>
      </c>
      <c r="L25" s="12">
        <f>L24/Q15*100</f>
        <v>56.382716137332608</v>
      </c>
    </row>
    <row r="27" spans="1:12" ht="18.75" x14ac:dyDescent="0.3">
      <c r="A27" s="11" t="s">
        <v>73</v>
      </c>
    </row>
    <row r="29" spans="1:12" x14ac:dyDescent="0.25">
      <c r="A29" t="s">
        <v>35</v>
      </c>
      <c r="D29" s="1">
        <f>SUM(D9:D12)</f>
        <v>107050137</v>
      </c>
    </row>
    <row r="30" spans="1:12" x14ac:dyDescent="0.25">
      <c r="A30" t="s">
        <v>43</v>
      </c>
      <c r="D30" s="12">
        <f>D29/D14*100</f>
        <v>44.286810216645009</v>
      </c>
    </row>
    <row r="32" spans="1:12" ht="18.75" x14ac:dyDescent="0.3">
      <c r="A32" s="11" t="s">
        <v>74</v>
      </c>
    </row>
    <row r="34" spans="1:4" x14ac:dyDescent="0.25">
      <c r="A34" t="s">
        <v>35</v>
      </c>
      <c r="D34" s="1">
        <f>SUM(D11:D12)</f>
        <v>75526248</v>
      </c>
    </row>
    <row r="35" spans="1:4" x14ac:dyDescent="0.25">
      <c r="A35" t="s">
        <v>43</v>
      </c>
      <c r="D35" s="12">
        <f>D34/D14*100</f>
        <v>31.24532770613142</v>
      </c>
    </row>
  </sheetData>
  <mergeCells count="4">
    <mergeCell ref="U3:V3"/>
    <mergeCell ref="P3:Q3"/>
    <mergeCell ref="I3:J3"/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2E70-CE4D-4995-8529-70D230642B3F}">
  <dimension ref="A1:N35"/>
  <sheetViews>
    <sheetView workbookViewId="0">
      <selection activeCell="D20" sqref="D20"/>
    </sheetView>
  </sheetViews>
  <sheetFormatPr defaultRowHeight="15" x14ac:dyDescent="0.25"/>
  <cols>
    <col min="4" max="4" width="12.140625" customWidth="1"/>
    <col min="11" max="12" width="8.85546875" bestFit="1" customWidth="1"/>
    <col min="14" max="14" width="10.5703125" customWidth="1"/>
  </cols>
  <sheetData>
    <row r="1" spans="1:14" ht="18.75" x14ac:dyDescent="0.3">
      <c r="A1" s="11" t="s">
        <v>62</v>
      </c>
      <c r="K1" s="19" t="s">
        <v>98</v>
      </c>
    </row>
    <row r="3" spans="1:14" x14ac:dyDescent="0.25">
      <c r="A3" s="2" t="s">
        <v>0</v>
      </c>
      <c r="B3" s="2" t="s">
        <v>1</v>
      </c>
      <c r="C3" s="2" t="s">
        <v>36</v>
      </c>
      <c r="D3" s="2" t="s">
        <v>4</v>
      </c>
      <c r="K3" s="2" t="s">
        <v>0</v>
      </c>
      <c r="L3" s="2" t="s">
        <v>1</v>
      </c>
      <c r="M3" s="2" t="s">
        <v>36</v>
      </c>
      <c r="N3" s="2" t="s">
        <v>4</v>
      </c>
    </row>
    <row r="4" spans="1:14" x14ac:dyDescent="0.25">
      <c r="A4" t="s">
        <v>2</v>
      </c>
      <c r="B4" s="1">
        <v>3000</v>
      </c>
      <c r="C4">
        <v>1186</v>
      </c>
      <c r="D4" s="1">
        <v>2114745</v>
      </c>
      <c r="K4" s="1">
        <v>1</v>
      </c>
      <c r="L4" s="1">
        <v>2000</v>
      </c>
      <c r="M4" s="1">
        <v>654</v>
      </c>
      <c r="N4" s="1">
        <v>777953</v>
      </c>
    </row>
    <row r="5" spans="1:14" x14ac:dyDescent="0.25">
      <c r="A5" s="1">
        <v>3000</v>
      </c>
      <c r="B5" s="1">
        <v>5000</v>
      </c>
      <c r="C5">
        <v>1074</v>
      </c>
      <c r="D5" s="1">
        <v>4252575</v>
      </c>
      <c r="K5" s="1">
        <v>2000</v>
      </c>
      <c r="L5" s="1">
        <v>3000</v>
      </c>
      <c r="M5" s="1">
        <v>532</v>
      </c>
      <c r="N5" s="1">
        <v>1336792</v>
      </c>
    </row>
    <row r="6" spans="1:14" x14ac:dyDescent="0.25">
      <c r="A6" s="1">
        <v>5000</v>
      </c>
      <c r="B6" s="1">
        <v>10000</v>
      </c>
      <c r="C6">
        <v>1496</v>
      </c>
      <c r="D6" s="1">
        <v>10665340</v>
      </c>
      <c r="K6" s="1">
        <v>3000</v>
      </c>
      <c r="L6" s="1">
        <v>5000</v>
      </c>
      <c r="M6">
        <v>1074</v>
      </c>
      <c r="N6" s="1">
        <v>4252575</v>
      </c>
    </row>
    <row r="7" spans="1:14" x14ac:dyDescent="0.25">
      <c r="A7" s="1">
        <v>10000</v>
      </c>
      <c r="B7" s="1">
        <v>20000</v>
      </c>
      <c r="C7">
        <v>997</v>
      </c>
      <c r="D7" s="1">
        <v>13750129</v>
      </c>
      <c r="K7" s="1">
        <v>5000</v>
      </c>
      <c r="L7" s="1">
        <v>10000</v>
      </c>
      <c r="M7">
        <v>1496</v>
      </c>
      <c r="N7" s="1">
        <v>10665340</v>
      </c>
    </row>
    <row r="8" spans="1:14" x14ac:dyDescent="0.25">
      <c r="A8" s="1">
        <v>20000</v>
      </c>
      <c r="B8" s="1">
        <v>50000</v>
      </c>
      <c r="C8">
        <v>665</v>
      </c>
      <c r="D8" s="1">
        <v>20247758</v>
      </c>
      <c r="K8" s="1">
        <v>10000</v>
      </c>
      <c r="L8" s="1">
        <v>20000</v>
      </c>
      <c r="M8">
        <v>997</v>
      </c>
      <c r="N8" s="1">
        <v>13750129</v>
      </c>
    </row>
    <row r="9" spans="1:14" x14ac:dyDescent="0.25">
      <c r="A9" s="1">
        <v>50000</v>
      </c>
      <c r="B9" s="1">
        <v>100000</v>
      </c>
      <c r="C9">
        <v>223</v>
      </c>
      <c r="D9" s="1">
        <v>14944959</v>
      </c>
      <c r="K9" s="1">
        <v>20000</v>
      </c>
      <c r="L9" s="1">
        <v>50000</v>
      </c>
      <c r="M9">
        <v>665</v>
      </c>
      <c r="N9" s="1">
        <v>20247758</v>
      </c>
    </row>
    <row r="10" spans="1:14" x14ac:dyDescent="0.25">
      <c r="A10" s="1">
        <v>100000</v>
      </c>
      <c r="B10" s="1">
        <v>250000</v>
      </c>
      <c r="C10">
        <v>163</v>
      </c>
      <c r="D10" s="1">
        <v>24525256</v>
      </c>
      <c r="K10" s="1">
        <v>50000</v>
      </c>
      <c r="L10" s="1">
        <v>100000</v>
      </c>
      <c r="M10">
        <v>223</v>
      </c>
      <c r="N10" s="1">
        <v>14944959</v>
      </c>
    </row>
    <row r="11" spans="1:14" x14ac:dyDescent="0.25">
      <c r="A11" s="1">
        <v>250000</v>
      </c>
      <c r="B11" s="1">
        <v>500000</v>
      </c>
      <c r="C11">
        <v>65</v>
      </c>
      <c r="D11" s="1">
        <v>22547945</v>
      </c>
      <c r="K11" s="1">
        <v>100000</v>
      </c>
      <c r="L11" s="1">
        <v>250000</v>
      </c>
      <c r="M11">
        <v>163</v>
      </c>
      <c r="N11" s="1">
        <v>24525256</v>
      </c>
    </row>
    <row r="12" spans="1:14" x14ac:dyDescent="0.25">
      <c r="A12" s="1">
        <v>500000</v>
      </c>
      <c r="B12" t="s">
        <v>3</v>
      </c>
      <c r="C12">
        <v>45</v>
      </c>
      <c r="D12" s="1">
        <v>50537237</v>
      </c>
      <c r="K12" s="1">
        <v>250000</v>
      </c>
      <c r="L12" s="1">
        <v>500000</v>
      </c>
      <c r="M12">
        <v>65</v>
      </c>
      <c r="N12" s="1">
        <v>22547945</v>
      </c>
    </row>
    <row r="13" spans="1:14" x14ac:dyDescent="0.25">
      <c r="A13" s="2" t="s">
        <v>13</v>
      </c>
      <c r="D13" s="1">
        <f>SUM(D4:D12)</f>
        <v>163585944</v>
      </c>
      <c r="K13" s="1">
        <v>500000</v>
      </c>
      <c r="L13" t="s">
        <v>3</v>
      </c>
      <c r="M13">
        <v>45</v>
      </c>
      <c r="N13" s="1">
        <v>50537237</v>
      </c>
    </row>
    <row r="14" spans="1:14" x14ac:dyDescent="0.25">
      <c r="A14" s="2" t="s">
        <v>14</v>
      </c>
      <c r="D14" s="1">
        <v>241720134</v>
      </c>
      <c r="K14" s="1"/>
      <c r="L14" s="1"/>
      <c r="M14" s="1"/>
      <c r="N14" s="1"/>
    </row>
    <row r="15" spans="1:14" x14ac:dyDescent="0.25">
      <c r="A15" s="2" t="s">
        <v>15</v>
      </c>
      <c r="D15" s="3">
        <f>100*D13/D14</f>
        <v>67.67576258252447</v>
      </c>
      <c r="K15" s="2" t="s">
        <v>14</v>
      </c>
      <c r="N15" s="1">
        <v>241720134</v>
      </c>
    </row>
    <row r="17" spans="1:4" ht="18.75" x14ac:dyDescent="0.3">
      <c r="A17" s="11" t="s">
        <v>99</v>
      </c>
    </row>
    <row r="19" spans="1:4" x14ac:dyDescent="0.25">
      <c r="A19" t="s">
        <v>35</v>
      </c>
      <c r="D19" s="1">
        <f>SUM(N5:N13)</f>
        <v>162807991</v>
      </c>
    </row>
    <row r="20" spans="1:4" x14ac:dyDescent="0.25">
      <c r="A20" t="s">
        <v>43</v>
      </c>
      <c r="D20" s="12">
        <f>D19/D14*100</f>
        <v>67.353922201615191</v>
      </c>
    </row>
    <row r="22" spans="1:4" ht="18.75" x14ac:dyDescent="0.3">
      <c r="A22" s="11" t="s">
        <v>92</v>
      </c>
    </row>
    <row r="24" spans="1:4" x14ac:dyDescent="0.25">
      <c r="A24" t="s">
        <v>35</v>
      </c>
      <c r="D24" s="1">
        <f>SUM(D6:D12)</f>
        <v>157218624</v>
      </c>
    </row>
    <row r="25" spans="1:4" x14ac:dyDescent="0.25">
      <c r="A25" t="s">
        <v>43</v>
      </c>
      <c r="D25" s="12">
        <f>D24/D14*100</f>
        <v>65.041592273815311</v>
      </c>
    </row>
    <row r="27" spans="1:4" ht="18.75" x14ac:dyDescent="0.3">
      <c r="A27" s="11" t="s">
        <v>73</v>
      </c>
    </row>
    <row r="29" spans="1:4" x14ac:dyDescent="0.25">
      <c r="A29" t="s">
        <v>35</v>
      </c>
      <c r="D29" s="1">
        <f>SUM(D8:D12)</f>
        <v>132803155</v>
      </c>
    </row>
    <row r="30" spans="1:4" x14ac:dyDescent="0.25">
      <c r="A30" t="s">
        <v>43</v>
      </c>
      <c r="D30" s="12">
        <f>D29/D14*100</f>
        <v>54.940874308798783</v>
      </c>
    </row>
    <row r="32" spans="1:4" ht="18.75" x14ac:dyDescent="0.3">
      <c r="A32" s="11" t="s">
        <v>74</v>
      </c>
    </row>
    <row r="34" spans="1:4" x14ac:dyDescent="0.25">
      <c r="A34" t="s">
        <v>35</v>
      </c>
      <c r="D34" s="1">
        <f>SUM(D10:D12)</f>
        <v>97610438</v>
      </c>
    </row>
    <row r="35" spans="1:4" x14ac:dyDescent="0.25">
      <c r="A35" t="s">
        <v>43</v>
      </c>
      <c r="D35" s="12">
        <f>D34/D14*100</f>
        <v>40.381591878482084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413B-3CBA-4C92-A836-5049A5909C6E}">
  <dimension ref="A1:G58"/>
  <sheetViews>
    <sheetView topLeftCell="A19" workbookViewId="0">
      <selection activeCell="A58" sqref="A58"/>
    </sheetView>
  </sheetViews>
  <sheetFormatPr defaultRowHeight="15" x14ac:dyDescent="0.25"/>
  <cols>
    <col min="4" max="4" width="11.140625" customWidth="1"/>
  </cols>
  <sheetData>
    <row r="1" spans="1:4" x14ac:dyDescent="0.25">
      <c r="A1" s="5" t="s">
        <v>10</v>
      </c>
    </row>
    <row r="3" spans="1:4" x14ac:dyDescent="0.25">
      <c r="A3" s="2" t="s">
        <v>0</v>
      </c>
      <c r="B3" s="2" t="s">
        <v>1</v>
      </c>
      <c r="C3" s="2"/>
      <c r="D3" s="2" t="s">
        <v>4</v>
      </c>
    </row>
    <row r="4" spans="1:4" x14ac:dyDescent="0.25">
      <c r="A4" t="s">
        <v>2</v>
      </c>
      <c r="B4" s="1">
        <v>3000</v>
      </c>
      <c r="D4" s="1">
        <v>727660</v>
      </c>
    </row>
    <row r="5" spans="1:4" x14ac:dyDescent="0.25">
      <c r="A5" s="1">
        <v>3000</v>
      </c>
      <c r="B5" s="1">
        <v>5000</v>
      </c>
      <c r="D5" s="1">
        <v>779186</v>
      </c>
    </row>
    <row r="6" spans="1:4" x14ac:dyDescent="0.25">
      <c r="A6" s="1">
        <v>5000</v>
      </c>
      <c r="B6" s="1">
        <v>10000</v>
      </c>
      <c r="D6" s="1">
        <v>1632180</v>
      </c>
    </row>
    <row r="7" spans="1:4" x14ac:dyDescent="0.25">
      <c r="A7" s="1">
        <v>10000</v>
      </c>
      <c r="B7" s="1">
        <v>20000</v>
      </c>
      <c r="D7" s="1">
        <v>2145140</v>
      </c>
    </row>
    <row r="8" spans="1:4" x14ac:dyDescent="0.25">
      <c r="A8" s="1">
        <v>20000</v>
      </c>
      <c r="B8" s="1">
        <v>50000</v>
      </c>
      <c r="D8" s="1">
        <v>2157322</v>
      </c>
    </row>
    <row r="9" spans="1:4" x14ac:dyDescent="0.25">
      <c r="A9" s="1">
        <v>50000</v>
      </c>
      <c r="B9" s="1">
        <v>100000</v>
      </c>
      <c r="D9" s="1">
        <v>2566621</v>
      </c>
    </row>
    <row r="10" spans="1:4" x14ac:dyDescent="0.25">
      <c r="A10" s="1">
        <v>100000</v>
      </c>
      <c r="B10" s="1">
        <v>500000</v>
      </c>
      <c r="D10" s="1">
        <v>2807455</v>
      </c>
    </row>
    <row r="11" spans="1:4" x14ac:dyDescent="0.25">
      <c r="A11" s="1">
        <v>500000</v>
      </c>
      <c r="B11" t="s">
        <v>3</v>
      </c>
      <c r="D11" s="1">
        <v>3639955</v>
      </c>
    </row>
    <row r="12" spans="1:4" x14ac:dyDescent="0.25">
      <c r="A12" s="2" t="s">
        <v>13</v>
      </c>
      <c r="D12" s="1">
        <f>SUM(D4:D11)</f>
        <v>16455519</v>
      </c>
    </row>
    <row r="13" spans="1:4" x14ac:dyDescent="0.25">
      <c r="A13" s="2" t="s">
        <v>14</v>
      </c>
      <c r="D13" s="1">
        <v>92736716</v>
      </c>
    </row>
    <row r="14" spans="1:4" x14ac:dyDescent="0.25">
      <c r="A14" s="2" t="s">
        <v>15</v>
      </c>
      <c r="D14" s="3">
        <f>100*D12/D13</f>
        <v>17.744340871419254</v>
      </c>
    </row>
    <row r="17" spans="1:7" x14ac:dyDescent="0.25">
      <c r="A17" s="5" t="s">
        <v>20</v>
      </c>
    </row>
    <row r="19" spans="1:7" x14ac:dyDescent="0.25">
      <c r="A19" s="2" t="s">
        <v>0</v>
      </c>
      <c r="B19" s="2" t="s">
        <v>1</v>
      </c>
      <c r="C19" s="2"/>
      <c r="D19" s="2" t="s">
        <v>4</v>
      </c>
    </row>
    <row r="20" spans="1:7" x14ac:dyDescent="0.25">
      <c r="A20" t="s">
        <v>2</v>
      </c>
      <c r="B20" s="1">
        <v>1000</v>
      </c>
      <c r="C20" s="2"/>
      <c r="D20" s="1">
        <v>6380</v>
      </c>
    </row>
    <row r="21" spans="1:7" x14ac:dyDescent="0.25">
      <c r="A21" s="1">
        <v>1000</v>
      </c>
      <c r="B21" s="1">
        <v>2000</v>
      </c>
      <c r="D21" s="1">
        <v>47916</v>
      </c>
    </row>
    <row r="22" spans="1:7" x14ac:dyDescent="0.25">
      <c r="A22" s="1">
        <v>2000</v>
      </c>
      <c r="B22" s="1">
        <v>3000</v>
      </c>
      <c r="D22" s="1">
        <v>113308</v>
      </c>
    </row>
    <row r="23" spans="1:7" x14ac:dyDescent="0.25">
      <c r="A23" s="1">
        <v>3000</v>
      </c>
      <c r="B23" s="1">
        <v>5000</v>
      </c>
      <c r="D23" s="1">
        <v>353375</v>
      </c>
    </row>
    <row r="24" spans="1:7" x14ac:dyDescent="0.25">
      <c r="A24" s="1">
        <v>5000</v>
      </c>
      <c r="B24" s="1">
        <v>7000</v>
      </c>
      <c r="D24" s="1">
        <v>389605</v>
      </c>
      <c r="G24" s="2" t="s">
        <v>27</v>
      </c>
    </row>
    <row r="25" spans="1:7" x14ac:dyDescent="0.25">
      <c r="A25" s="1">
        <v>7000</v>
      </c>
      <c r="B25" s="1">
        <v>10000</v>
      </c>
      <c r="D25" s="1">
        <v>517796</v>
      </c>
    </row>
    <row r="26" spans="1:7" x14ac:dyDescent="0.25">
      <c r="A26" s="1">
        <v>10000</v>
      </c>
      <c r="B26" s="1">
        <v>15000</v>
      </c>
      <c r="D26" s="1">
        <v>951932</v>
      </c>
    </row>
    <row r="27" spans="1:7" x14ac:dyDescent="0.25">
      <c r="A27" s="1">
        <v>15000</v>
      </c>
      <c r="B27" s="1">
        <v>20000</v>
      </c>
      <c r="D27" s="1">
        <v>749591</v>
      </c>
    </row>
    <row r="28" spans="1:7" x14ac:dyDescent="0.25">
      <c r="A28" s="1">
        <v>20000</v>
      </c>
      <c r="B28" s="1">
        <v>25000</v>
      </c>
      <c r="D28" s="1">
        <v>559670</v>
      </c>
    </row>
    <row r="29" spans="1:7" x14ac:dyDescent="0.25">
      <c r="A29" s="1">
        <v>25000</v>
      </c>
      <c r="B29" s="1">
        <v>30000</v>
      </c>
      <c r="D29" s="1">
        <v>432250</v>
      </c>
    </row>
    <row r="30" spans="1:7" x14ac:dyDescent="0.25">
      <c r="A30" s="1">
        <v>30000</v>
      </c>
      <c r="B30" s="1">
        <v>40000</v>
      </c>
      <c r="D30" s="1">
        <v>854763</v>
      </c>
    </row>
    <row r="31" spans="1:7" x14ac:dyDescent="0.25">
      <c r="A31" s="1">
        <v>40000</v>
      </c>
      <c r="B31" s="1">
        <v>50000</v>
      </c>
      <c r="D31" s="1">
        <v>362266</v>
      </c>
    </row>
    <row r="32" spans="1:7" x14ac:dyDescent="0.25">
      <c r="A32" s="1">
        <v>50000</v>
      </c>
      <c r="B32" s="1">
        <v>70000</v>
      </c>
      <c r="D32" s="1">
        <v>1174773</v>
      </c>
    </row>
    <row r="33" spans="1:6" x14ac:dyDescent="0.25">
      <c r="A33" s="1">
        <v>70000</v>
      </c>
      <c r="B33" s="1">
        <v>100000</v>
      </c>
      <c r="D33" s="1">
        <v>1570708</v>
      </c>
    </row>
    <row r="34" spans="1:6" x14ac:dyDescent="0.25">
      <c r="A34" s="1">
        <v>100000</v>
      </c>
      <c r="B34" t="s">
        <v>3</v>
      </c>
      <c r="D34" s="1">
        <v>6188683</v>
      </c>
    </row>
    <row r="35" spans="1:6" x14ac:dyDescent="0.25">
      <c r="A35" s="2" t="s">
        <v>13</v>
      </c>
      <c r="D35" s="1">
        <f>SUM(D20:D34)</f>
        <v>14273016</v>
      </c>
    </row>
    <row r="36" spans="1:6" x14ac:dyDescent="0.25">
      <c r="A36" s="2" t="s">
        <v>14</v>
      </c>
      <c r="D36" s="1">
        <v>100891244</v>
      </c>
    </row>
    <row r="37" spans="1:6" x14ac:dyDescent="0.25">
      <c r="A37" s="2" t="s">
        <v>15</v>
      </c>
      <c r="D37" s="3">
        <f>100*D35/D36</f>
        <v>14.146932314562401</v>
      </c>
    </row>
    <row r="40" spans="1:6" x14ac:dyDescent="0.25">
      <c r="A40" s="5" t="s">
        <v>29</v>
      </c>
    </row>
    <row r="42" spans="1:6" x14ac:dyDescent="0.25">
      <c r="A42" s="2" t="s">
        <v>0</v>
      </c>
      <c r="B42" s="2" t="s">
        <v>1</v>
      </c>
      <c r="C42" s="2"/>
      <c r="D42" s="2" t="s">
        <v>4</v>
      </c>
      <c r="E42" s="2" t="s">
        <v>30</v>
      </c>
      <c r="F42" s="2" t="s">
        <v>31</v>
      </c>
    </row>
    <row r="43" spans="1:6" x14ac:dyDescent="0.25">
      <c r="A43" t="s">
        <v>2</v>
      </c>
      <c r="B43" s="1">
        <v>10</v>
      </c>
    </row>
    <row r="44" spans="1:6" x14ac:dyDescent="0.25">
      <c r="A44" s="1">
        <v>10</v>
      </c>
      <c r="B44" s="1">
        <v>20</v>
      </c>
    </row>
    <row r="45" spans="1:6" x14ac:dyDescent="0.25">
      <c r="A45" s="1">
        <v>20</v>
      </c>
      <c r="B45" s="1">
        <v>50</v>
      </c>
    </row>
    <row r="46" spans="1:6" x14ac:dyDescent="0.25">
      <c r="A46" s="1">
        <v>50</v>
      </c>
      <c r="B46" s="1">
        <v>100</v>
      </c>
    </row>
    <row r="47" spans="1:6" x14ac:dyDescent="0.25">
      <c r="A47" s="1">
        <v>100</v>
      </c>
      <c r="B47" s="1">
        <v>200</v>
      </c>
    </row>
    <row r="48" spans="1:6" x14ac:dyDescent="0.25">
      <c r="A48" s="1">
        <v>200</v>
      </c>
      <c r="B48" s="1">
        <v>500</v>
      </c>
    </row>
    <row r="49" spans="1:2" x14ac:dyDescent="0.25">
      <c r="A49" s="1">
        <v>500</v>
      </c>
      <c r="B49" s="1">
        <v>1000</v>
      </c>
    </row>
    <row r="50" spans="1:2" x14ac:dyDescent="0.25">
      <c r="A50" s="1">
        <v>1000</v>
      </c>
      <c r="B50" s="1">
        <v>2000</v>
      </c>
    </row>
    <row r="51" spans="1:2" x14ac:dyDescent="0.25">
      <c r="A51" s="1">
        <v>2000</v>
      </c>
      <c r="B51" s="1">
        <v>5000</v>
      </c>
    </row>
    <row r="52" spans="1:2" x14ac:dyDescent="0.25">
      <c r="A52" s="1">
        <v>5000</v>
      </c>
      <c r="B52" s="1">
        <v>10000</v>
      </c>
    </row>
    <row r="53" spans="1:2" x14ac:dyDescent="0.25">
      <c r="A53" s="1">
        <v>10000</v>
      </c>
      <c r="B53" s="1">
        <v>20000</v>
      </c>
    </row>
    <row r="54" spans="1:2" x14ac:dyDescent="0.25">
      <c r="A54" s="1">
        <v>20000</v>
      </c>
      <c r="B54" s="1">
        <v>50000</v>
      </c>
    </row>
    <row r="55" spans="1:2" x14ac:dyDescent="0.25">
      <c r="A55" s="1">
        <v>50000</v>
      </c>
      <c r="B55" s="1">
        <v>100000</v>
      </c>
    </row>
    <row r="56" spans="1:2" x14ac:dyDescent="0.25">
      <c r="A56" s="1">
        <v>100000</v>
      </c>
      <c r="B56" t="s">
        <v>3</v>
      </c>
    </row>
    <row r="58" spans="1:2" x14ac:dyDescent="0.25">
      <c r="A58" s="2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2521-C453-4789-9567-9D014E4404BA}">
  <dimension ref="A1:U37"/>
  <sheetViews>
    <sheetView workbookViewId="0">
      <selection activeCell="D20" sqref="D20"/>
    </sheetView>
  </sheetViews>
  <sheetFormatPr defaultRowHeight="15" x14ac:dyDescent="0.25"/>
  <cols>
    <col min="4" max="4" width="11" customWidth="1"/>
    <col min="9" max="9" width="9.28515625" bestFit="1" customWidth="1"/>
    <col min="10" max="10" width="10.140625" bestFit="1" customWidth="1"/>
    <col min="12" max="12" width="10.140625" bestFit="1" customWidth="1"/>
    <col min="16" max="16" width="10" customWidth="1"/>
    <col min="18" max="20" width="8.85546875" bestFit="1" customWidth="1"/>
    <col min="21" max="21" width="9.5703125" bestFit="1" customWidth="1"/>
  </cols>
  <sheetData>
    <row r="1" spans="1:21" ht="18.75" x14ac:dyDescent="0.3">
      <c r="A1" s="11" t="s">
        <v>62</v>
      </c>
      <c r="M1" s="19" t="s">
        <v>98</v>
      </c>
    </row>
    <row r="2" spans="1:21" x14ac:dyDescent="0.25">
      <c r="I2" s="36" t="s">
        <v>44</v>
      </c>
      <c r="J2" s="36"/>
    </row>
    <row r="3" spans="1:21" x14ac:dyDescent="0.25">
      <c r="C3" s="36" t="s">
        <v>45</v>
      </c>
      <c r="D3" s="36"/>
      <c r="G3" s="7" t="s">
        <v>0</v>
      </c>
      <c r="H3" s="7" t="s">
        <v>1</v>
      </c>
      <c r="I3" s="7" t="s">
        <v>36</v>
      </c>
      <c r="J3" s="7" t="s">
        <v>4</v>
      </c>
      <c r="O3" s="36" t="s">
        <v>45</v>
      </c>
      <c r="P3" s="36"/>
      <c r="T3" s="36" t="s">
        <v>44</v>
      </c>
      <c r="U3" s="36"/>
    </row>
    <row r="4" spans="1:21" x14ac:dyDescent="0.25">
      <c r="A4" s="7" t="s">
        <v>0</v>
      </c>
      <c r="B4" s="7" t="s">
        <v>1</v>
      </c>
      <c r="C4" s="7" t="s">
        <v>36</v>
      </c>
      <c r="D4" s="7" t="s">
        <v>4</v>
      </c>
      <c r="G4">
        <v>200</v>
      </c>
      <c r="H4">
        <v>500</v>
      </c>
      <c r="I4" s="1">
        <v>42064</v>
      </c>
      <c r="J4" s="1">
        <v>13189348</v>
      </c>
      <c r="M4" s="7" t="s">
        <v>0</v>
      </c>
      <c r="N4" s="7" t="s">
        <v>1</v>
      </c>
      <c r="O4" s="7" t="s">
        <v>36</v>
      </c>
      <c r="P4" s="7" t="s">
        <v>4</v>
      </c>
      <c r="R4" s="7" t="s">
        <v>0</v>
      </c>
      <c r="S4" s="7" t="s">
        <v>1</v>
      </c>
      <c r="T4" s="7" t="s">
        <v>36</v>
      </c>
      <c r="U4" s="7" t="s">
        <v>4</v>
      </c>
    </row>
    <row r="5" spans="1:21" x14ac:dyDescent="0.25">
      <c r="A5" t="s">
        <v>2</v>
      </c>
      <c r="B5" s="1">
        <v>3000</v>
      </c>
      <c r="C5">
        <v>316</v>
      </c>
      <c r="D5" s="1">
        <v>622363</v>
      </c>
      <c r="G5">
        <v>500</v>
      </c>
      <c r="H5">
        <v>1000</v>
      </c>
      <c r="I5" s="1">
        <v>15353</v>
      </c>
      <c r="J5" s="1">
        <v>10645006</v>
      </c>
      <c r="M5" s="1">
        <v>1</v>
      </c>
      <c r="N5" s="1">
        <v>2000</v>
      </c>
      <c r="O5" s="1">
        <v>146</v>
      </c>
      <c r="P5" s="1">
        <v>191045</v>
      </c>
      <c r="R5">
        <v>200</v>
      </c>
      <c r="S5">
        <v>500</v>
      </c>
      <c r="T5" s="1">
        <v>42064</v>
      </c>
      <c r="U5" s="1">
        <v>13189348</v>
      </c>
    </row>
    <row r="6" spans="1:21" x14ac:dyDescent="0.25">
      <c r="A6" s="1">
        <v>3000</v>
      </c>
      <c r="B6" s="1">
        <v>5000</v>
      </c>
      <c r="C6">
        <v>443</v>
      </c>
      <c r="D6" s="1">
        <v>1763827</v>
      </c>
      <c r="G6">
        <v>1000</v>
      </c>
      <c r="H6">
        <v>2000</v>
      </c>
      <c r="I6" s="1">
        <v>6057</v>
      </c>
      <c r="J6" s="1">
        <v>8161371</v>
      </c>
      <c r="M6" s="1">
        <v>2000</v>
      </c>
      <c r="N6" s="1">
        <v>3000</v>
      </c>
      <c r="O6" s="1">
        <v>170</v>
      </c>
      <c r="P6" s="1">
        <v>431318</v>
      </c>
      <c r="R6">
        <v>500</v>
      </c>
      <c r="S6">
        <v>1000</v>
      </c>
      <c r="T6" s="1">
        <v>15353</v>
      </c>
      <c r="U6" s="1">
        <v>10645006</v>
      </c>
    </row>
    <row r="7" spans="1:21" x14ac:dyDescent="0.25">
      <c r="A7" s="1">
        <v>5000</v>
      </c>
      <c r="B7" s="1">
        <v>10000</v>
      </c>
      <c r="C7">
        <v>654</v>
      </c>
      <c r="D7" s="1">
        <v>4660310</v>
      </c>
      <c r="G7">
        <v>2000</v>
      </c>
      <c r="H7">
        <v>3000</v>
      </c>
      <c r="I7" s="1">
        <v>1450</v>
      </c>
      <c r="J7" s="1">
        <v>3500966</v>
      </c>
      <c r="M7" s="1">
        <v>3000</v>
      </c>
      <c r="N7" s="1">
        <v>5000</v>
      </c>
      <c r="O7">
        <v>443</v>
      </c>
      <c r="P7" s="1">
        <v>1763827</v>
      </c>
      <c r="R7">
        <v>1000</v>
      </c>
      <c r="S7">
        <v>2000</v>
      </c>
      <c r="T7" s="1">
        <v>6057</v>
      </c>
      <c r="U7" s="1">
        <v>8161371</v>
      </c>
    </row>
    <row r="8" spans="1:21" x14ac:dyDescent="0.25">
      <c r="A8" s="1">
        <v>10000</v>
      </c>
      <c r="B8" s="1">
        <v>20000</v>
      </c>
      <c r="C8">
        <v>459</v>
      </c>
      <c r="D8" s="1">
        <v>6417782</v>
      </c>
      <c r="G8" s="1">
        <v>3000</v>
      </c>
      <c r="H8" s="1">
        <v>5000</v>
      </c>
      <c r="I8" s="1">
        <v>833</v>
      </c>
      <c r="J8" s="1">
        <v>3125682</v>
      </c>
      <c r="M8" s="1">
        <v>5000</v>
      </c>
      <c r="N8" s="1">
        <v>10000</v>
      </c>
      <c r="O8">
        <v>654</v>
      </c>
      <c r="P8" s="1">
        <v>4660310</v>
      </c>
      <c r="R8">
        <v>2000</v>
      </c>
      <c r="S8">
        <v>3000</v>
      </c>
      <c r="T8" s="1">
        <v>1450</v>
      </c>
      <c r="U8" s="1">
        <v>3500966</v>
      </c>
    </row>
    <row r="9" spans="1:21" x14ac:dyDescent="0.25">
      <c r="A9" s="1">
        <v>20000</v>
      </c>
      <c r="B9" s="1">
        <v>50000</v>
      </c>
      <c r="C9">
        <v>311</v>
      </c>
      <c r="D9" s="1">
        <v>9741418</v>
      </c>
      <c r="G9" s="1">
        <v>5000</v>
      </c>
      <c r="H9" t="s">
        <v>3</v>
      </c>
      <c r="I9" s="1">
        <v>372</v>
      </c>
      <c r="J9" s="1">
        <v>2900584</v>
      </c>
      <c r="M9" s="1">
        <v>10000</v>
      </c>
      <c r="N9" s="1">
        <v>20000</v>
      </c>
      <c r="O9">
        <v>459</v>
      </c>
      <c r="P9" s="1">
        <v>6417782</v>
      </c>
      <c r="R9" s="1">
        <v>3000</v>
      </c>
      <c r="S9" s="1">
        <v>5000</v>
      </c>
      <c r="T9" s="1">
        <v>833</v>
      </c>
      <c r="U9" s="1">
        <v>3125682</v>
      </c>
    </row>
    <row r="10" spans="1:21" x14ac:dyDescent="0.25">
      <c r="A10" s="1">
        <v>50000</v>
      </c>
      <c r="B10" s="1">
        <v>100000</v>
      </c>
      <c r="C10">
        <v>97</v>
      </c>
      <c r="D10" s="1">
        <v>6720976</v>
      </c>
      <c r="M10" s="1">
        <v>20000</v>
      </c>
      <c r="N10" s="1">
        <v>50000</v>
      </c>
      <c r="O10">
        <v>311</v>
      </c>
      <c r="P10" s="1">
        <v>9741418</v>
      </c>
      <c r="R10" s="1">
        <v>5000</v>
      </c>
      <c r="S10" t="s">
        <v>3</v>
      </c>
      <c r="T10" s="1">
        <v>372</v>
      </c>
      <c r="U10" s="1">
        <v>2900584</v>
      </c>
    </row>
    <row r="11" spans="1:21" x14ac:dyDescent="0.25">
      <c r="A11" s="1">
        <v>100000</v>
      </c>
      <c r="B11" s="1">
        <v>500000</v>
      </c>
      <c r="C11">
        <v>78</v>
      </c>
      <c r="D11" s="1">
        <v>15459194</v>
      </c>
      <c r="M11" s="1">
        <v>50000</v>
      </c>
      <c r="N11" s="1">
        <v>100000</v>
      </c>
      <c r="O11">
        <v>97</v>
      </c>
      <c r="P11" s="1">
        <v>6720976</v>
      </c>
      <c r="R11" s="1"/>
      <c r="T11" s="1"/>
      <c r="U11" s="1"/>
    </row>
    <row r="12" spans="1:21" x14ac:dyDescent="0.25">
      <c r="A12" s="1">
        <v>500000</v>
      </c>
      <c r="B12" t="s">
        <v>3</v>
      </c>
      <c r="C12">
        <v>14</v>
      </c>
      <c r="D12" s="1">
        <v>16225204</v>
      </c>
      <c r="M12" s="1">
        <v>100000</v>
      </c>
      <c r="N12" s="1">
        <v>500000</v>
      </c>
      <c r="O12">
        <v>78</v>
      </c>
      <c r="P12" s="1">
        <v>15459194</v>
      </c>
    </row>
    <row r="13" spans="1:21" x14ac:dyDescent="0.25">
      <c r="A13" s="2" t="s">
        <v>13</v>
      </c>
      <c r="D13" s="1">
        <f>SUM(D5:D12)</f>
        <v>61611074</v>
      </c>
      <c r="M13" s="1">
        <v>500000</v>
      </c>
      <c r="N13" t="s">
        <v>3</v>
      </c>
      <c r="O13">
        <v>14</v>
      </c>
      <c r="P13" s="1">
        <v>16225204</v>
      </c>
    </row>
    <row r="14" spans="1:21" x14ac:dyDescent="0.25">
      <c r="A14" s="2" t="s">
        <v>14</v>
      </c>
      <c r="C14">
        <f>SUM(C5:C12)</f>
        <v>2372</v>
      </c>
      <c r="D14" s="1">
        <v>117534315</v>
      </c>
      <c r="M14" s="2"/>
      <c r="P14" s="1"/>
    </row>
    <row r="15" spans="1:21" x14ac:dyDescent="0.25">
      <c r="A15" s="2" t="s">
        <v>15</v>
      </c>
      <c r="D15" s="3">
        <f>100*D13/D14</f>
        <v>52.419647827955608</v>
      </c>
      <c r="M15" s="2" t="s">
        <v>14</v>
      </c>
      <c r="P15" s="1">
        <v>117534315</v>
      </c>
    </row>
    <row r="16" spans="1:21" x14ac:dyDescent="0.25">
      <c r="A16" s="2"/>
      <c r="D16" s="3"/>
    </row>
    <row r="17" spans="1:12" x14ac:dyDescent="0.25">
      <c r="A17" s="2"/>
      <c r="D17" s="3"/>
    </row>
    <row r="18" spans="1:12" ht="18.75" x14ac:dyDescent="0.3">
      <c r="A18" s="11" t="s">
        <v>50</v>
      </c>
    </row>
    <row r="20" spans="1:12" x14ac:dyDescent="0.25">
      <c r="A20" t="s">
        <v>53</v>
      </c>
      <c r="D20" s="1">
        <f>SUM(P6:P13)</f>
        <v>61420029</v>
      </c>
      <c r="J20" s="1">
        <f>SUM(U8:U10)</f>
        <v>9527232</v>
      </c>
      <c r="L20" s="1">
        <f>D20+J20</f>
        <v>70947261</v>
      </c>
    </row>
    <row r="21" spans="1:12" x14ac:dyDescent="0.25">
      <c r="A21" s="2" t="s">
        <v>52</v>
      </c>
      <c r="D21" s="3"/>
      <c r="L21" s="12">
        <f>L20/P15*100</f>
        <v>60.363019089361266</v>
      </c>
    </row>
    <row r="23" spans="1:12" ht="18.75" x14ac:dyDescent="0.3">
      <c r="A23" s="11" t="s">
        <v>59</v>
      </c>
    </row>
    <row r="25" spans="1:12" x14ac:dyDescent="0.25">
      <c r="A25" t="s">
        <v>60</v>
      </c>
      <c r="D25" s="1">
        <f>SUM(D7:D12)</f>
        <v>59224884</v>
      </c>
      <c r="J25" s="1">
        <f>SUM(J9)</f>
        <v>2900584</v>
      </c>
      <c r="L25" s="1">
        <f>D25+J25</f>
        <v>62125468</v>
      </c>
    </row>
    <row r="26" spans="1:12" x14ac:dyDescent="0.25">
      <c r="A26" t="s">
        <v>61</v>
      </c>
      <c r="L26" s="12">
        <f>L25/P15*100</f>
        <v>52.857302141931918</v>
      </c>
    </row>
    <row r="29" spans="1:12" ht="18.75" x14ac:dyDescent="0.3">
      <c r="A29" s="11" t="s">
        <v>73</v>
      </c>
    </row>
    <row r="31" spans="1:12" x14ac:dyDescent="0.25">
      <c r="A31" t="s">
        <v>35</v>
      </c>
      <c r="D31" s="1">
        <f>SUM(D9:D12)</f>
        <v>48146792</v>
      </c>
    </row>
    <row r="32" spans="1:12" x14ac:dyDescent="0.25">
      <c r="A32" t="s">
        <v>43</v>
      </c>
      <c r="D32" s="12">
        <f>D31/D14*100</f>
        <v>40.964029951593282</v>
      </c>
    </row>
    <row r="34" spans="1:4" ht="18.75" x14ac:dyDescent="0.3">
      <c r="A34" s="11" t="s">
        <v>74</v>
      </c>
    </row>
    <row r="36" spans="1:4" x14ac:dyDescent="0.25">
      <c r="A36" t="s">
        <v>35</v>
      </c>
      <c r="D36" s="1">
        <f>SUM(D11:D12)</f>
        <v>31684398</v>
      </c>
    </row>
    <row r="37" spans="1:4" x14ac:dyDescent="0.25">
      <c r="A37" t="s">
        <v>43</v>
      </c>
      <c r="D37" s="12">
        <f>D36/D14*100</f>
        <v>26.957572348126586</v>
      </c>
    </row>
  </sheetData>
  <mergeCells count="4">
    <mergeCell ref="O3:P3"/>
    <mergeCell ref="T3:U3"/>
    <mergeCell ref="I2:J2"/>
    <mergeCell ref="C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6153-DE52-4DDC-AC00-DEE976B14729}">
  <dimension ref="A1:V37"/>
  <sheetViews>
    <sheetView workbookViewId="0">
      <selection activeCell="Q29" sqref="Q29"/>
    </sheetView>
  </sheetViews>
  <sheetFormatPr defaultRowHeight="15" x14ac:dyDescent="0.25"/>
  <cols>
    <col min="4" max="4" width="12.85546875" customWidth="1"/>
    <col min="9" max="9" width="10" customWidth="1"/>
    <col min="10" max="10" width="10.140625" bestFit="1" customWidth="1"/>
    <col min="12" max="12" width="10.140625" bestFit="1" customWidth="1"/>
    <col min="16" max="16" width="11.85546875" customWidth="1"/>
    <col min="21" max="21" width="8.85546875" bestFit="1" customWidth="1"/>
    <col min="22" max="22" width="11.140625" customWidth="1"/>
  </cols>
  <sheetData>
    <row r="1" spans="1:22" ht="18.75" x14ac:dyDescent="0.3">
      <c r="A1" s="11" t="s">
        <v>62</v>
      </c>
      <c r="M1" s="19" t="s">
        <v>98</v>
      </c>
    </row>
    <row r="2" spans="1:22" x14ac:dyDescent="0.25">
      <c r="I2" s="7"/>
      <c r="J2" s="7"/>
    </row>
    <row r="3" spans="1:22" x14ac:dyDescent="0.25">
      <c r="C3" s="36" t="s">
        <v>45</v>
      </c>
      <c r="D3" s="36"/>
      <c r="I3" s="36" t="s">
        <v>44</v>
      </c>
      <c r="J3" s="36"/>
      <c r="O3" s="36" t="s">
        <v>45</v>
      </c>
      <c r="P3" s="36"/>
      <c r="U3" s="36" t="s">
        <v>44</v>
      </c>
      <c r="V3" s="36"/>
    </row>
    <row r="4" spans="1:22" x14ac:dyDescent="0.25">
      <c r="A4" s="2" t="s">
        <v>0</v>
      </c>
      <c r="B4" s="2" t="s">
        <v>1</v>
      </c>
      <c r="C4" s="7" t="s">
        <v>36</v>
      </c>
      <c r="D4" s="2" t="s">
        <v>4</v>
      </c>
      <c r="G4" s="7" t="s">
        <v>0</v>
      </c>
      <c r="H4" s="7" t="s">
        <v>1</v>
      </c>
      <c r="I4" s="7" t="s">
        <v>36</v>
      </c>
      <c r="J4" s="7" t="s">
        <v>4</v>
      </c>
      <c r="M4" s="2" t="s">
        <v>0</v>
      </c>
      <c r="N4" s="2" t="s">
        <v>1</v>
      </c>
      <c r="O4" s="7" t="s">
        <v>36</v>
      </c>
      <c r="P4" s="2" t="s">
        <v>4</v>
      </c>
      <c r="S4" s="7" t="s">
        <v>0</v>
      </c>
      <c r="T4" s="7" t="s">
        <v>1</v>
      </c>
      <c r="U4" s="7" t="s">
        <v>36</v>
      </c>
      <c r="V4" s="7" t="s">
        <v>4</v>
      </c>
    </row>
    <row r="5" spans="1:22" x14ac:dyDescent="0.25">
      <c r="A5" t="s">
        <v>2</v>
      </c>
      <c r="B5" s="1">
        <v>3000</v>
      </c>
      <c r="C5">
        <v>460</v>
      </c>
      <c r="D5" s="1">
        <v>875596</v>
      </c>
      <c r="G5">
        <v>200</v>
      </c>
      <c r="H5">
        <v>500</v>
      </c>
      <c r="I5">
        <v>34707</v>
      </c>
      <c r="J5" s="1">
        <v>11002701</v>
      </c>
      <c r="M5" s="1">
        <v>1</v>
      </c>
      <c r="N5" s="1">
        <v>2000</v>
      </c>
      <c r="O5" s="1">
        <v>227</v>
      </c>
      <c r="P5" s="1">
        <v>288600</v>
      </c>
      <c r="S5">
        <v>200</v>
      </c>
      <c r="T5">
        <v>500</v>
      </c>
      <c r="U5">
        <v>34707</v>
      </c>
      <c r="V5" s="1">
        <v>11002701</v>
      </c>
    </row>
    <row r="6" spans="1:22" x14ac:dyDescent="0.25">
      <c r="A6" s="1">
        <v>3000</v>
      </c>
      <c r="B6" s="1">
        <v>5000</v>
      </c>
      <c r="C6">
        <v>535</v>
      </c>
      <c r="D6" s="1">
        <v>2137680</v>
      </c>
      <c r="G6">
        <v>500</v>
      </c>
      <c r="H6">
        <v>1000</v>
      </c>
      <c r="I6">
        <v>14730</v>
      </c>
      <c r="J6" s="1">
        <v>10272810</v>
      </c>
      <c r="M6" s="1">
        <v>2000</v>
      </c>
      <c r="N6" s="1">
        <v>3000</v>
      </c>
      <c r="O6" s="1">
        <v>233</v>
      </c>
      <c r="P6" s="1">
        <v>586996</v>
      </c>
      <c r="S6">
        <v>500</v>
      </c>
      <c r="T6">
        <v>1000</v>
      </c>
      <c r="U6">
        <v>14730</v>
      </c>
      <c r="V6" s="1">
        <v>10272810</v>
      </c>
    </row>
    <row r="7" spans="1:22" x14ac:dyDescent="0.25">
      <c r="A7" s="1">
        <v>5000</v>
      </c>
      <c r="B7" s="1">
        <v>10000</v>
      </c>
      <c r="C7">
        <v>761</v>
      </c>
      <c r="D7" s="1">
        <v>5330060</v>
      </c>
      <c r="G7">
        <v>1000</v>
      </c>
      <c r="H7">
        <v>2000</v>
      </c>
      <c r="I7" s="1">
        <v>6333</v>
      </c>
      <c r="J7" s="9">
        <v>8573108</v>
      </c>
      <c r="M7" s="1">
        <v>3000</v>
      </c>
      <c r="N7" s="1">
        <v>5000</v>
      </c>
      <c r="O7">
        <v>535</v>
      </c>
      <c r="P7" s="1">
        <v>2137680</v>
      </c>
      <c r="S7">
        <v>1000</v>
      </c>
      <c r="T7">
        <v>2000</v>
      </c>
      <c r="U7" s="1">
        <v>6333</v>
      </c>
      <c r="V7" s="9">
        <v>8573108</v>
      </c>
    </row>
    <row r="8" spans="1:22" x14ac:dyDescent="0.25">
      <c r="A8" s="1">
        <v>10000</v>
      </c>
      <c r="B8" s="1">
        <v>20000</v>
      </c>
      <c r="C8">
        <v>476</v>
      </c>
      <c r="D8" s="1">
        <v>6616796</v>
      </c>
      <c r="G8">
        <v>2000</v>
      </c>
      <c r="H8">
        <v>3000</v>
      </c>
      <c r="I8" s="1">
        <v>1385</v>
      </c>
      <c r="J8" s="9">
        <v>3333563</v>
      </c>
      <c r="M8" s="1">
        <v>5000</v>
      </c>
      <c r="N8" s="1">
        <v>10000</v>
      </c>
      <c r="O8">
        <v>761</v>
      </c>
      <c r="P8" s="1">
        <v>5330060</v>
      </c>
      <c r="S8">
        <v>2000</v>
      </c>
      <c r="T8">
        <v>3000</v>
      </c>
      <c r="U8" s="1">
        <v>1385</v>
      </c>
      <c r="V8" s="9">
        <v>3333563</v>
      </c>
    </row>
    <row r="9" spans="1:22" x14ac:dyDescent="0.25">
      <c r="A9" s="1">
        <v>20000</v>
      </c>
      <c r="B9" s="1">
        <v>50000</v>
      </c>
      <c r="C9">
        <v>368</v>
      </c>
      <c r="D9" s="1">
        <v>11565985</v>
      </c>
      <c r="G9" s="1">
        <v>3000</v>
      </c>
      <c r="H9" s="1">
        <v>5000</v>
      </c>
      <c r="I9" s="1">
        <v>846</v>
      </c>
      <c r="J9" s="9">
        <v>3199082</v>
      </c>
      <c r="M9" s="1">
        <v>10000</v>
      </c>
      <c r="N9" s="1">
        <v>20000</v>
      </c>
      <c r="O9">
        <v>476</v>
      </c>
      <c r="P9" s="1">
        <v>6616796</v>
      </c>
      <c r="S9" s="1">
        <v>3000</v>
      </c>
      <c r="T9" s="1">
        <v>5000</v>
      </c>
      <c r="U9" s="1">
        <v>846</v>
      </c>
      <c r="V9" s="9">
        <v>3199082</v>
      </c>
    </row>
    <row r="10" spans="1:22" x14ac:dyDescent="0.25">
      <c r="A10" s="1">
        <v>50000</v>
      </c>
      <c r="B10" s="1">
        <v>100000</v>
      </c>
      <c r="C10">
        <v>114</v>
      </c>
      <c r="D10" s="1">
        <v>7908160</v>
      </c>
      <c r="G10" s="1">
        <v>5000</v>
      </c>
      <c r="H10" s="10" t="s">
        <v>3</v>
      </c>
      <c r="I10" s="1">
        <v>434</v>
      </c>
      <c r="J10" s="9">
        <v>3401655</v>
      </c>
      <c r="M10" s="1">
        <v>20000</v>
      </c>
      <c r="N10" s="1">
        <v>50000</v>
      </c>
      <c r="O10">
        <v>368</v>
      </c>
      <c r="P10" s="1">
        <v>11565985</v>
      </c>
      <c r="S10" s="1">
        <v>5000</v>
      </c>
      <c r="T10" s="10" t="s">
        <v>3</v>
      </c>
      <c r="U10" s="1">
        <v>434</v>
      </c>
      <c r="V10" s="9">
        <v>3401655</v>
      </c>
    </row>
    <row r="11" spans="1:22" x14ac:dyDescent="0.25">
      <c r="A11" s="1">
        <v>100000</v>
      </c>
      <c r="B11" s="1">
        <v>500000</v>
      </c>
      <c r="C11">
        <v>107</v>
      </c>
      <c r="D11" s="1">
        <v>23315401</v>
      </c>
      <c r="M11" s="1">
        <v>50000</v>
      </c>
      <c r="N11" s="1">
        <v>100000</v>
      </c>
      <c r="O11">
        <v>114</v>
      </c>
      <c r="P11" s="1">
        <v>7908160</v>
      </c>
      <c r="S11" s="1"/>
      <c r="T11" s="10"/>
      <c r="U11" s="1"/>
      <c r="V11" s="9"/>
    </row>
    <row r="12" spans="1:22" x14ac:dyDescent="0.25">
      <c r="A12" s="1">
        <v>500000</v>
      </c>
      <c r="B12" t="s">
        <v>3</v>
      </c>
      <c r="C12">
        <v>17</v>
      </c>
      <c r="D12" s="1">
        <v>23231465</v>
      </c>
      <c r="M12" s="1">
        <v>100000</v>
      </c>
      <c r="N12" s="1">
        <v>500000</v>
      </c>
      <c r="O12">
        <v>107</v>
      </c>
      <c r="P12" s="1">
        <v>23315401</v>
      </c>
    </row>
    <row r="13" spans="1:22" x14ac:dyDescent="0.25">
      <c r="A13" s="2" t="s">
        <v>13</v>
      </c>
      <c r="D13" s="1">
        <f>SUM(D5:D12)</f>
        <v>80981143</v>
      </c>
      <c r="M13" s="1">
        <v>500000</v>
      </c>
      <c r="N13" t="s">
        <v>3</v>
      </c>
      <c r="O13">
        <v>17</v>
      </c>
      <c r="P13" s="1">
        <v>23231465</v>
      </c>
    </row>
    <row r="14" spans="1:22" x14ac:dyDescent="0.25">
      <c r="A14" s="2" t="s">
        <v>14</v>
      </c>
      <c r="C14">
        <f>SUM(C5:C12)</f>
        <v>2838</v>
      </c>
      <c r="D14" s="1">
        <v>130079210</v>
      </c>
      <c r="M14" s="1"/>
      <c r="N14" s="1"/>
      <c r="P14" s="1"/>
    </row>
    <row r="15" spans="1:22" x14ac:dyDescent="0.25">
      <c r="A15" s="2" t="s">
        <v>15</v>
      </c>
      <c r="D15" s="3">
        <f>100*D13/D14</f>
        <v>62.255254317734554</v>
      </c>
      <c r="M15" s="2" t="s">
        <v>14</v>
      </c>
      <c r="P15" s="1">
        <v>130079210</v>
      </c>
    </row>
    <row r="16" spans="1:22" x14ac:dyDescent="0.25">
      <c r="A16" s="2"/>
      <c r="D16" s="3"/>
    </row>
    <row r="17" spans="1:12" x14ac:dyDescent="0.25">
      <c r="A17" s="2"/>
      <c r="D17" s="3"/>
    </row>
    <row r="19" spans="1:12" ht="18.75" x14ac:dyDescent="0.3">
      <c r="A19" s="11" t="s">
        <v>50</v>
      </c>
    </row>
    <row r="21" spans="1:12" x14ac:dyDescent="0.25">
      <c r="A21" t="s">
        <v>53</v>
      </c>
      <c r="D21" s="1">
        <f>SUM(P6:P13)</f>
        <v>80692543</v>
      </c>
      <c r="J21" s="1">
        <f>SUM(J8:J10)</f>
        <v>9934300</v>
      </c>
      <c r="L21" s="1">
        <f>D21+J21</f>
        <v>90626843</v>
      </c>
    </row>
    <row r="22" spans="1:12" x14ac:dyDescent="0.25">
      <c r="A22" s="2" t="s">
        <v>52</v>
      </c>
      <c r="D22" s="3"/>
      <c r="L22" s="12">
        <f>L21/P15*100</f>
        <v>69.670505378991763</v>
      </c>
    </row>
    <row r="24" spans="1:12" ht="18.75" x14ac:dyDescent="0.3">
      <c r="A24" s="11" t="s">
        <v>59</v>
      </c>
    </row>
    <row r="26" spans="1:12" x14ac:dyDescent="0.25">
      <c r="A26" t="s">
        <v>60</v>
      </c>
      <c r="D26" s="1">
        <f>SUM(D7:D12)</f>
        <v>77967867</v>
      </c>
      <c r="J26" s="1">
        <f>SUM(J10)</f>
        <v>3401655</v>
      </c>
      <c r="L26" s="1">
        <f>D26+J26</f>
        <v>81369522</v>
      </c>
    </row>
    <row r="27" spans="1:12" x14ac:dyDescent="0.25">
      <c r="A27" s="2" t="s">
        <v>61</v>
      </c>
      <c r="L27" s="12">
        <f>L26/P15*100</f>
        <v>62.553825472956056</v>
      </c>
    </row>
    <row r="29" spans="1:12" ht="18.75" x14ac:dyDescent="0.3">
      <c r="A29" s="11" t="s">
        <v>73</v>
      </c>
    </row>
    <row r="31" spans="1:12" x14ac:dyDescent="0.25">
      <c r="A31" t="s">
        <v>35</v>
      </c>
      <c r="D31" s="1">
        <f>SUM(D9:D12)</f>
        <v>66021011</v>
      </c>
    </row>
    <row r="32" spans="1:12" x14ac:dyDescent="0.25">
      <c r="A32" t="s">
        <v>43</v>
      </c>
      <c r="D32" s="12">
        <f>D31/D14*100</f>
        <v>50.7544679891583</v>
      </c>
    </row>
    <row r="34" spans="1:4" ht="18.75" x14ac:dyDescent="0.3">
      <c r="A34" s="11" t="s">
        <v>74</v>
      </c>
    </row>
    <row r="36" spans="1:4" x14ac:dyDescent="0.25">
      <c r="A36" t="s">
        <v>35</v>
      </c>
      <c r="D36" s="1">
        <f>SUM(D11:D12)</f>
        <v>46546866</v>
      </c>
    </row>
    <row r="37" spans="1:4" x14ac:dyDescent="0.25">
      <c r="A37" t="s">
        <v>43</v>
      </c>
      <c r="D37" s="12">
        <f>D36/D14*100</f>
        <v>35.783478389821092</v>
      </c>
    </row>
  </sheetData>
  <mergeCells count="4">
    <mergeCell ref="O3:P3"/>
    <mergeCell ref="U3:V3"/>
    <mergeCell ref="I3:J3"/>
    <mergeCell ref="C3:D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B758-2D8E-4D0F-9152-375389941F4D}">
  <dimension ref="A1:M37"/>
  <sheetViews>
    <sheetView workbookViewId="0">
      <selection activeCell="L43" sqref="L43"/>
    </sheetView>
  </sheetViews>
  <sheetFormatPr defaultRowHeight="15" x14ac:dyDescent="0.25"/>
  <cols>
    <col min="4" max="4" width="22.42578125" customWidth="1"/>
    <col min="13" max="13" width="13" customWidth="1"/>
  </cols>
  <sheetData>
    <row r="1" spans="1:13" ht="18.75" x14ac:dyDescent="0.3">
      <c r="A1" s="11" t="s">
        <v>62</v>
      </c>
      <c r="J1" s="19" t="s">
        <v>98</v>
      </c>
    </row>
    <row r="3" spans="1:13" x14ac:dyDescent="0.25">
      <c r="A3" s="2" t="s">
        <v>0</v>
      </c>
      <c r="B3" s="2" t="s">
        <v>1</v>
      </c>
      <c r="C3" s="2" t="s">
        <v>36</v>
      </c>
      <c r="D3" s="2" t="s">
        <v>4</v>
      </c>
      <c r="J3" s="2" t="s">
        <v>0</v>
      </c>
      <c r="K3" s="2" t="s">
        <v>1</v>
      </c>
      <c r="L3" s="2" t="s">
        <v>36</v>
      </c>
      <c r="M3" s="2" t="s">
        <v>4</v>
      </c>
    </row>
    <row r="4" spans="1:13" x14ac:dyDescent="0.25">
      <c r="A4" t="s">
        <v>2</v>
      </c>
      <c r="B4" s="1">
        <v>3000</v>
      </c>
      <c r="C4">
        <v>525</v>
      </c>
      <c r="D4" s="1">
        <v>970800</v>
      </c>
      <c r="J4" s="1">
        <v>1</v>
      </c>
      <c r="K4" s="1">
        <v>2000</v>
      </c>
      <c r="L4" s="1">
        <v>274</v>
      </c>
      <c r="M4" s="1">
        <v>337199</v>
      </c>
    </row>
    <row r="5" spans="1:13" x14ac:dyDescent="0.25">
      <c r="A5" s="1">
        <v>3000</v>
      </c>
      <c r="B5" s="1">
        <v>5000</v>
      </c>
      <c r="C5">
        <v>582</v>
      </c>
      <c r="D5" s="1">
        <v>2312878</v>
      </c>
      <c r="J5" s="1">
        <v>2000</v>
      </c>
      <c r="K5" s="1">
        <v>3000</v>
      </c>
      <c r="L5" s="1">
        <v>251</v>
      </c>
      <c r="M5" s="1">
        <v>633601</v>
      </c>
    </row>
    <row r="6" spans="1:13" x14ac:dyDescent="0.25">
      <c r="A6" s="1">
        <v>5000</v>
      </c>
      <c r="B6" s="1">
        <v>10000</v>
      </c>
      <c r="C6">
        <v>763</v>
      </c>
      <c r="D6" s="1">
        <v>5385703</v>
      </c>
      <c r="J6" s="1">
        <v>5000</v>
      </c>
      <c r="K6" s="1">
        <v>10000</v>
      </c>
      <c r="L6">
        <v>763</v>
      </c>
      <c r="M6" s="1">
        <v>5385703</v>
      </c>
    </row>
    <row r="7" spans="1:13" x14ac:dyDescent="0.25">
      <c r="A7" s="1">
        <v>10000</v>
      </c>
      <c r="B7" s="1">
        <v>20000</v>
      </c>
      <c r="C7">
        <v>500</v>
      </c>
      <c r="D7" s="1">
        <v>6890054</v>
      </c>
      <c r="J7" s="1">
        <v>10000</v>
      </c>
      <c r="K7" s="1">
        <v>20000</v>
      </c>
      <c r="L7">
        <v>500</v>
      </c>
      <c r="M7" s="1">
        <v>6890054</v>
      </c>
    </row>
    <row r="8" spans="1:13" x14ac:dyDescent="0.25">
      <c r="A8" s="1">
        <v>20000</v>
      </c>
      <c r="B8" s="1">
        <v>50000</v>
      </c>
      <c r="C8">
        <v>386</v>
      </c>
      <c r="D8" s="1">
        <v>11978294</v>
      </c>
      <c r="J8" s="1">
        <v>20000</v>
      </c>
      <c r="K8" s="1">
        <v>50000</v>
      </c>
      <c r="L8">
        <v>386</v>
      </c>
      <c r="M8" s="1">
        <v>11978294</v>
      </c>
    </row>
    <row r="9" spans="1:13" x14ac:dyDescent="0.25">
      <c r="A9" s="1">
        <v>50000</v>
      </c>
      <c r="B9" s="1">
        <v>100000</v>
      </c>
      <c r="C9">
        <v>135</v>
      </c>
      <c r="D9" s="1">
        <v>9081267</v>
      </c>
      <c r="J9" s="1">
        <v>50000</v>
      </c>
      <c r="K9" s="1">
        <v>100000</v>
      </c>
      <c r="L9">
        <v>135</v>
      </c>
      <c r="M9" s="1">
        <v>9081267</v>
      </c>
    </row>
    <row r="10" spans="1:13" x14ac:dyDescent="0.25">
      <c r="A10" s="1">
        <v>100000</v>
      </c>
      <c r="B10" s="1">
        <v>250000</v>
      </c>
      <c r="C10">
        <v>87</v>
      </c>
      <c r="D10" s="1">
        <v>12881225</v>
      </c>
      <c r="J10" s="1">
        <v>100000</v>
      </c>
      <c r="K10" s="1">
        <v>250000</v>
      </c>
      <c r="L10">
        <v>87</v>
      </c>
      <c r="M10" s="1">
        <v>12881225</v>
      </c>
    </row>
    <row r="11" spans="1:13" x14ac:dyDescent="0.25">
      <c r="A11" s="1">
        <v>250000</v>
      </c>
      <c r="B11" s="1">
        <v>500000</v>
      </c>
      <c r="C11">
        <v>11</v>
      </c>
      <c r="D11" s="1">
        <v>14159420</v>
      </c>
      <c r="J11" s="1">
        <v>250000</v>
      </c>
      <c r="K11" s="1">
        <v>500000</v>
      </c>
      <c r="L11">
        <v>11</v>
      </c>
      <c r="M11" s="1">
        <v>14159420</v>
      </c>
    </row>
    <row r="12" spans="1:13" x14ac:dyDescent="0.25">
      <c r="A12" s="1">
        <v>500000</v>
      </c>
      <c r="B12" t="s">
        <v>3</v>
      </c>
      <c r="C12">
        <v>26</v>
      </c>
      <c r="D12" s="1">
        <v>31714226</v>
      </c>
      <c r="J12" s="1">
        <v>500000</v>
      </c>
      <c r="K12" t="s">
        <v>3</v>
      </c>
      <c r="L12">
        <v>26</v>
      </c>
      <c r="M12" s="1">
        <v>31714226</v>
      </c>
    </row>
    <row r="13" spans="1:13" x14ac:dyDescent="0.25">
      <c r="A13" s="2" t="s">
        <v>13</v>
      </c>
      <c r="D13" s="1">
        <f>SUM(D4:D12)</f>
        <v>95373867</v>
      </c>
      <c r="J13" s="1"/>
      <c r="K13" s="1"/>
      <c r="M13" s="1"/>
    </row>
    <row r="14" spans="1:13" x14ac:dyDescent="0.25">
      <c r="A14" s="2" t="s">
        <v>14</v>
      </c>
      <c r="D14" s="1">
        <v>137550949</v>
      </c>
      <c r="J14" s="2" t="s">
        <v>14</v>
      </c>
      <c r="M14" s="1">
        <v>137550949</v>
      </c>
    </row>
    <row r="15" spans="1:13" x14ac:dyDescent="0.25">
      <c r="A15" s="2" t="s">
        <v>15</v>
      </c>
      <c r="D15" s="3">
        <f>100*D13/D14</f>
        <v>69.337120313143018</v>
      </c>
      <c r="J15" s="1"/>
      <c r="M15" s="1"/>
    </row>
    <row r="16" spans="1:13" x14ac:dyDescent="0.25">
      <c r="A16" s="2"/>
      <c r="D16" s="3"/>
      <c r="J16" s="2"/>
      <c r="M16" s="1"/>
    </row>
    <row r="17" spans="1:13" x14ac:dyDescent="0.25">
      <c r="A17" s="2"/>
      <c r="D17" s="3"/>
      <c r="J17" s="2"/>
      <c r="M17" s="1"/>
    </row>
    <row r="18" spans="1:13" x14ac:dyDescent="0.25">
      <c r="A18" s="2"/>
      <c r="D18" s="3"/>
    </row>
    <row r="19" spans="1:13" ht="18.75" x14ac:dyDescent="0.3">
      <c r="A19" s="11" t="s">
        <v>99</v>
      </c>
      <c r="D19" s="3"/>
    </row>
    <row r="20" spans="1:13" x14ac:dyDescent="0.25">
      <c r="D20" s="3"/>
    </row>
    <row r="21" spans="1:13" x14ac:dyDescent="0.25">
      <c r="A21" t="s">
        <v>35</v>
      </c>
      <c r="D21" s="1">
        <f>SUM(M5:M12)</f>
        <v>92723790</v>
      </c>
    </row>
    <row r="22" spans="1:13" x14ac:dyDescent="0.25">
      <c r="A22" t="s">
        <v>43</v>
      </c>
      <c r="D22" s="12">
        <f>D21/D14*100</f>
        <v>67.410505470231257</v>
      </c>
    </row>
    <row r="24" spans="1:13" ht="18.75" x14ac:dyDescent="0.3">
      <c r="A24" s="11" t="s">
        <v>92</v>
      </c>
    </row>
    <row r="26" spans="1:13" x14ac:dyDescent="0.25">
      <c r="A26" t="s">
        <v>35</v>
      </c>
      <c r="D26" s="1">
        <f>SUM(D6:D12)</f>
        <v>92090189</v>
      </c>
    </row>
    <row r="27" spans="1:13" x14ac:dyDescent="0.25">
      <c r="A27" t="s">
        <v>43</v>
      </c>
      <c r="D27" s="12">
        <f>D26/D14*100</f>
        <v>66.949875423978355</v>
      </c>
    </row>
    <row r="29" spans="1:13" ht="18.75" x14ac:dyDescent="0.3">
      <c r="A29" s="11" t="s">
        <v>73</v>
      </c>
    </row>
    <row r="31" spans="1:13" x14ac:dyDescent="0.25">
      <c r="A31" t="s">
        <v>35</v>
      </c>
      <c r="D31" s="1">
        <f>SUM(D8:D12)</f>
        <v>79814432</v>
      </c>
    </row>
    <row r="32" spans="1:13" x14ac:dyDescent="0.25">
      <c r="A32" t="s">
        <v>43</v>
      </c>
      <c r="D32" s="12">
        <f>D31/D14*100</f>
        <v>58.025359025331049</v>
      </c>
    </row>
    <row r="34" spans="1:4" ht="18.75" x14ac:dyDescent="0.3">
      <c r="A34" s="11" t="s">
        <v>74</v>
      </c>
    </row>
    <row r="36" spans="1:4" x14ac:dyDescent="0.25">
      <c r="A36" t="s">
        <v>35</v>
      </c>
      <c r="D36" s="1">
        <f>SUM(D10:D12)</f>
        <v>58754871</v>
      </c>
    </row>
    <row r="37" spans="1:4" x14ac:dyDescent="0.25">
      <c r="A37" t="s">
        <v>43</v>
      </c>
      <c r="D37" s="12">
        <f>D36/D14*100</f>
        <v>42.714987738834139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E47A-F406-4131-8275-CA858AD6FB0F}">
  <dimension ref="A1:AA40"/>
  <sheetViews>
    <sheetView workbookViewId="0">
      <selection activeCell="A20" sqref="A20:A21"/>
    </sheetView>
  </sheetViews>
  <sheetFormatPr defaultRowHeight="15" x14ac:dyDescent="0.25"/>
  <cols>
    <col min="5" max="5" width="12.42578125" customWidth="1"/>
    <col min="14" max="14" width="12.28515625" customWidth="1"/>
    <col min="20" max="20" width="10.28515625" customWidth="1"/>
    <col min="27" max="27" width="9.85546875" customWidth="1"/>
  </cols>
  <sheetData>
    <row r="1" spans="1:27" ht="18.75" x14ac:dyDescent="0.3">
      <c r="A1" s="11" t="s">
        <v>62</v>
      </c>
      <c r="J1" s="19" t="s">
        <v>98</v>
      </c>
    </row>
    <row r="3" spans="1:27" x14ac:dyDescent="0.25">
      <c r="A3" s="2" t="s">
        <v>0</v>
      </c>
      <c r="B3" s="2" t="s">
        <v>1</v>
      </c>
      <c r="C3" s="2"/>
      <c r="D3" s="2" t="s">
        <v>36</v>
      </c>
      <c r="E3" s="2" t="s">
        <v>4</v>
      </c>
      <c r="J3" s="2" t="s">
        <v>0</v>
      </c>
      <c r="K3" s="2" t="s">
        <v>1</v>
      </c>
      <c r="L3" s="2"/>
      <c r="M3" s="2" t="s">
        <v>36</v>
      </c>
      <c r="N3" s="2" t="s">
        <v>4</v>
      </c>
    </row>
    <row r="4" spans="1:27" x14ac:dyDescent="0.25">
      <c r="A4" t="s">
        <v>2</v>
      </c>
      <c r="B4" s="1">
        <v>3000</v>
      </c>
      <c r="D4" s="9">
        <v>602</v>
      </c>
      <c r="E4" s="9">
        <v>1084310</v>
      </c>
      <c r="J4">
        <v>1</v>
      </c>
      <c r="K4" s="1">
        <v>2000</v>
      </c>
      <c r="M4">
        <v>327</v>
      </c>
      <c r="N4" s="1">
        <v>392909</v>
      </c>
    </row>
    <row r="5" spans="1:27" x14ac:dyDescent="0.25">
      <c r="A5" s="1">
        <v>3000</v>
      </c>
      <c r="B5" s="1">
        <v>5000</v>
      </c>
      <c r="D5" s="9">
        <v>541</v>
      </c>
      <c r="E5" s="9">
        <v>2144804</v>
      </c>
      <c r="J5" s="1">
        <v>2000</v>
      </c>
      <c r="K5" s="1">
        <v>3000</v>
      </c>
      <c r="M5">
        <v>275</v>
      </c>
      <c r="N5" s="1">
        <v>691401</v>
      </c>
      <c r="Q5" s="1"/>
      <c r="S5" s="9"/>
      <c r="T5" s="9"/>
      <c r="V5" s="1"/>
      <c r="Z5" s="1"/>
      <c r="AA5" s="1"/>
    </row>
    <row r="6" spans="1:27" x14ac:dyDescent="0.25">
      <c r="A6" s="1">
        <v>5000</v>
      </c>
      <c r="B6" s="1">
        <v>10000</v>
      </c>
      <c r="D6" s="9">
        <v>795</v>
      </c>
      <c r="E6" s="9">
        <v>5677836</v>
      </c>
      <c r="J6" s="1">
        <v>3000</v>
      </c>
      <c r="K6" s="1">
        <v>5000</v>
      </c>
      <c r="M6" s="9">
        <v>541</v>
      </c>
      <c r="N6" s="9">
        <v>2144804</v>
      </c>
      <c r="P6" s="1"/>
      <c r="Q6" s="1"/>
      <c r="S6" s="9"/>
      <c r="T6" s="9"/>
      <c r="V6" s="1"/>
      <c r="Z6" s="1"/>
      <c r="AA6" s="1"/>
    </row>
    <row r="7" spans="1:27" x14ac:dyDescent="0.25">
      <c r="A7" s="1">
        <v>10000</v>
      </c>
      <c r="B7" s="1">
        <v>20000</v>
      </c>
      <c r="D7" s="9">
        <v>561</v>
      </c>
      <c r="E7" s="9">
        <v>7873504</v>
      </c>
      <c r="J7" s="1">
        <v>5000</v>
      </c>
      <c r="K7" s="1">
        <v>10000</v>
      </c>
      <c r="M7" s="9">
        <v>795</v>
      </c>
      <c r="N7" s="9">
        <v>5677836</v>
      </c>
      <c r="P7" s="1"/>
      <c r="Q7" s="1"/>
      <c r="S7" s="9"/>
      <c r="T7" s="9"/>
      <c r="V7" s="1"/>
      <c r="Z7" s="1"/>
      <c r="AA7" s="1"/>
    </row>
    <row r="8" spans="1:27" x14ac:dyDescent="0.25">
      <c r="A8" s="1">
        <v>20000</v>
      </c>
      <c r="B8" s="1">
        <v>50000</v>
      </c>
      <c r="D8" s="9">
        <v>398</v>
      </c>
      <c r="E8" s="9">
        <v>12531858</v>
      </c>
      <c r="J8" s="1">
        <v>10000</v>
      </c>
      <c r="K8" s="1">
        <v>20000</v>
      </c>
      <c r="M8" s="9">
        <v>561</v>
      </c>
      <c r="N8" s="9">
        <v>7873504</v>
      </c>
      <c r="P8" s="1"/>
      <c r="Q8" s="1"/>
      <c r="S8" s="9"/>
      <c r="T8" s="9"/>
      <c r="V8" s="1"/>
      <c r="Z8" s="1"/>
      <c r="AA8" s="1"/>
    </row>
    <row r="9" spans="1:27" x14ac:dyDescent="0.25">
      <c r="A9" s="1">
        <v>50000</v>
      </c>
      <c r="B9" s="1">
        <v>75000</v>
      </c>
      <c r="D9" s="9">
        <v>120</v>
      </c>
      <c r="E9" s="9">
        <v>7379458</v>
      </c>
      <c r="J9" s="1">
        <v>20000</v>
      </c>
      <c r="K9" s="1">
        <v>50000</v>
      </c>
      <c r="M9" s="9">
        <v>398</v>
      </c>
      <c r="N9" s="9">
        <v>12531858</v>
      </c>
      <c r="Z9" s="1"/>
      <c r="AA9" s="1"/>
    </row>
    <row r="10" spans="1:27" x14ac:dyDescent="0.25">
      <c r="A10" s="1">
        <v>75000</v>
      </c>
      <c r="B10" s="1">
        <v>100000</v>
      </c>
      <c r="D10" s="9">
        <v>45</v>
      </c>
      <c r="E10" s="9">
        <v>3906503</v>
      </c>
      <c r="J10" s="1">
        <v>50000</v>
      </c>
      <c r="K10" s="1">
        <v>75000</v>
      </c>
      <c r="M10" s="9">
        <v>120</v>
      </c>
      <c r="N10" s="9">
        <v>7379458</v>
      </c>
      <c r="Z10" s="1"/>
      <c r="AA10" s="1"/>
    </row>
    <row r="11" spans="1:27" x14ac:dyDescent="0.25">
      <c r="A11" s="1">
        <v>100000</v>
      </c>
      <c r="B11" s="1">
        <v>250000</v>
      </c>
      <c r="D11" s="9">
        <v>87</v>
      </c>
      <c r="E11" s="9">
        <v>13077996</v>
      </c>
      <c r="J11" s="1">
        <v>75000</v>
      </c>
      <c r="K11" s="1">
        <v>100000</v>
      </c>
      <c r="M11" s="9">
        <v>45</v>
      </c>
      <c r="N11" s="9">
        <v>3906503</v>
      </c>
      <c r="S11" s="1"/>
      <c r="T11" s="1"/>
      <c r="Z11" s="1"/>
      <c r="AA11" s="1"/>
    </row>
    <row r="12" spans="1:27" x14ac:dyDescent="0.25">
      <c r="A12" s="1">
        <v>250000</v>
      </c>
      <c r="B12" s="1">
        <v>500000</v>
      </c>
      <c r="D12" s="9">
        <v>44</v>
      </c>
      <c r="E12" s="9">
        <v>15083943</v>
      </c>
      <c r="J12" s="1">
        <v>100000</v>
      </c>
      <c r="K12" s="1">
        <v>250000</v>
      </c>
      <c r="M12" s="9">
        <v>87</v>
      </c>
      <c r="N12" s="9">
        <v>13077996</v>
      </c>
    </row>
    <row r="13" spans="1:27" x14ac:dyDescent="0.25">
      <c r="A13" s="1">
        <v>500000</v>
      </c>
      <c r="B13" s="1">
        <v>750000</v>
      </c>
      <c r="D13" s="9">
        <v>18</v>
      </c>
      <c r="E13" s="9">
        <v>10348744</v>
      </c>
      <c r="J13" s="1">
        <v>250000</v>
      </c>
      <c r="K13" s="1">
        <v>500000</v>
      </c>
      <c r="M13" s="9">
        <v>44</v>
      </c>
      <c r="N13" s="9">
        <v>15083943</v>
      </c>
    </row>
    <row r="14" spans="1:27" x14ac:dyDescent="0.25">
      <c r="A14" s="1">
        <v>750000</v>
      </c>
      <c r="B14" s="1">
        <v>1000000</v>
      </c>
      <c r="D14" s="9">
        <v>4</v>
      </c>
      <c r="E14" s="9">
        <v>3691188</v>
      </c>
      <c r="J14" s="1">
        <v>500000</v>
      </c>
      <c r="K14" s="1">
        <v>750000</v>
      </c>
      <c r="M14" s="9">
        <v>18</v>
      </c>
      <c r="N14" s="9">
        <v>10348744</v>
      </c>
      <c r="Z14" s="1"/>
      <c r="AA14" s="1"/>
    </row>
    <row r="15" spans="1:27" x14ac:dyDescent="0.25">
      <c r="A15" s="1">
        <v>1000000</v>
      </c>
      <c r="B15" t="s">
        <v>3</v>
      </c>
      <c r="D15" s="9">
        <v>12</v>
      </c>
      <c r="E15" s="9">
        <v>25158828</v>
      </c>
      <c r="J15" s="1">
        <v>750000</v>
      </c>
      <c r="K15" s="1">
        <v>1000000</v>
      </c>
      <c r="M15" s="9">
        <v>4</v>
      </c>
      <c r="N15" s="9">
        <v>3691188</v>
      </c>
    </row>
    <row r="16" spans="1:27" x14ac:dyDescent="0.25">
      <c r="A16" t="s">
        <v>35</v>
      </c>
      <c r="D16" s="1">
        <v>3230</v>
      </c>
      <c r="E16" s="1">
        <v>107959002</v>
      </c>
      <c r="J16" s="1">
        <v>1000000</v>
      </c>
      <c r="K16" t="s">
        <v>3</v>
      </c>
      <c r="M16" s="9">
        <v>12</v>
      </c>
      <c r="N16" s="9">
        <v>25158828</v>
      </c>
    </row>
    <row r="17" spans="1:14" x14ac:dyDescent="0.25">
      <c r="A17" s="2" t="s">
        <v>14</v>
      </c>
      <c r="D17" s="1"/>
      <c r="E17" s="1">
        <v>147400499</v>
      </c>
      <c r="J17" s="1"/>
      <c r="K17" s="1"/>
      <c r="M17" s="9"/>
      <c r="N17" s="9"/>
    </row>
    <row r="18" spans="1:14" x14ac:dyDescent="0.25">
      <c r="A18" s="2"/>
      <c r="D18" s="1"/>
      <c r="E18" s="1"/>
      <c r="J18" s="2" t="s">
        <v>14</v>
      </c>
      <c r="M18" s="9"/>
      <c r="N18" s="1">
        <v>147400499</v>
      </c>
    </row>
    <row r="19" spans="1:14" x14ac:dyDescent="0.25">
      <c r="A19" s="2"/>
      <c r="D19" s="1"/>
      <c r="E19" s="1"/>
      <c r="M19" s="1"/>
      <c r="N19" s="1"/>
    </row>
    <row r="20" spans="1:14" x14ac:dyDescent="0.25">
      <c r="A20" s="2"/>
      <c r="D20" s="1"/>
      <c r="E20" s="1"/>
    </row>
    <row r="21" spans="1:14" ht="18.75" x14ac:dyDescent="0.3">
      <c r="A21" s="11" t="s">
        <v>99</v>
      </c>
      <c r="D21" s="1"/>
      <c r="E21" s="1"/>
    </row>
    <row r="22" spans="1:14" x14ac:dyDescent="0.25">
      <c r="D22" s="1"/>
      <c r="E22" s="1"/>
      <c r="M22" s="1"/>
      <c r="N22" s="1"/>
    </row>
    <row r="23" spans="1:14" x14ac:dyDescent="0.25">
      <c r="A23" t="s">
        <v>35</v>
      </c>
      <c r="D23" s="1"/>
      <c r="E23" s="1">
        <f>SUM(N5:N16)</f>
        <v>107566063</v>
      </c>
    </row>
    <row r="24" spans="1:14" x14ac:dyDescent="0.25">
      <c r="A24" t="s">
        <v>43</v>
      </c>
      <c r="D24" s="1"/>
      <c r="E24" s="13">
        <f>E23/E17*100</f>
        <v>72.975372356100365</v>
      </c>
    </row>
    <row r="25" spans="1:14" x14ac:dyDescent="0.25">
      <c r="D25" s="1"/>
      <c r="E25" s="1"/>
    </row>
    <row r="27" spans="1:14" ht="18.75" x14ac:dyDescent="0.3">
      <c r="A27" s="11" t="s">
        <v>92</v>
      </c>
    </row>
    <row r="29" spans="1:14" x14ac:dyDescent="0.25">
      <c r="A29" t="s">
        <v>35</v>
      </c>
      <c r="E29" s="1">
        <f>SUM(E6:E15)</f>
        <v>104729858</v>
      </c>
    </row>
    <row r="30" spans="1:14" x14ac:dyDescent="0.25">
      <c r="A30" t="s">
        <v>43</v>
      </c>
      <c r="E30" s="12">
        <f>E29/E17*100</f>
        <v>71.051223510444146</v>
      </c>
    </row>
    <row r="32" spans="1:14" ht="18.75" x14ac:dyDescent="0.3">
      <c r="A32" s="11" t="s">
        <v>73</v>
      </c>
    </row>
    <row r="34" spans="1:5" x14ac:dyDescent="0.25">
      <c r="A34" t="s">
        <v>35</v>
      </c>
      <c r="E34" s="1">
        <f>SUM(E8:E15)</f>
        <v>91178518</v>
      </c>
    </row>
    <row r="35" spans="1:5" x14ac:dyDescent="0.25">
      <c r="A35" t="s">
        <v>43</v>
      </c>
      <c r="E35" s="12">
        <f>E34/E17*100</f>
        <v>61.857672544242881</v>
      </c>
    </row>
    <row r="37" spans="1:5" ht="18.75" x14ac:dyDescent="0.3">
      <c r="A37" s="11" t="s">
        <v>74</v>
      </c>
    </row>
    <row r="39" spans="1:5" x14ac:dyDescent="0.25">
      <c r="A39" t="s">
        <v>35</v>
      </c>
      <c r="E39" s="1">
        <f>SUM(E11:E15)</f>
        <v>67360699</v>
      </c>
    </row>
    <row r="40" spans="1:5" x14ac:dyDescent="0.25">
      <c r="A40" t="s">
        <v>43</v>
      </c>
      <c r="E40" s="12">
        <f>E39/E17*100</f>
        <v>45.699098345657568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EBF5-B4BD-4DD1-AC0A-66E7B41EFED5}">
  <dimension ref="A2:H38"/>
  <sheetViews>
    <sheetView topLeftCell="A4" workbookViewId="0">
      <selection activeCell="D22" sqref="D22"/>
    </sheetView>
  </sheetViews>
  <sheetFormatPr defaultRowHeight="15" x14ac:dyDescent="0.25"/>
  <cols>
    <col min="4" max="4" width="20" customWidth="1"/>
    <col min="6" max="6" width="10.7109375" bestFit="1" customWidth="1"/>
  </cols>
  <sheetData>
    <row r="2" spans="1:8" x14ac:dyDescent="0.25">
      <c r="A2" s="7" t="s">
        <v>0</v>
      </c>
      <c r="B2" s="7" t="s">
        <v>1</v>
      </c>
      <c r="C2" s="7" t="s">
        <v>36</v>
      </c>
      <c r="D2" s="7" t="s">
        <v>4</v>
      </c>
    </row>
    <row r="4" spans="1:8" x14ac:dyDescent="0.25">
      <c r="A4" t="s">
        <v>2</v>
      </c>
      <c r="B4" s="1">
        <v>1000</v>
      </c>
      <c r="D4" s="1">
        <f>D16-D14</f>
        <v>8283369</v>
      </c>
    </row>
    <row r="5" spans="1:8" x14ac:dyDescent="0.25">
      <c r="A5" s="1">
        <v>1000</v>
      </c>
      <c r="B5" s="1">
        <v>1500</v>
      </c>
      <c r="C5">
        <v>1036</v>
      </c>
      <c r="D5" s="1">
        <v>1251217</v>
      </c>
      <c r="F5" s="1"/>
    </row>
    <row r="6" spans="1:8" x14ac:dyDescent="0.25">
      <c r="A6" s="1">
        <v>1500</v>
      </c>
      <c r="B6" s="1">
        <v>2000</v>
      </c>
      <c r="C6">
        <v>503</v>
      </c>
      <c r="D6" s="1">
        <v>863103</v>
      </c>
    </row>
    <row r="7" spans="1:8" x14ac:dyDescent="0.25">
      <c r="A7" s="1">
        <v>2000</v>
      </c>
      <c r="B7" s="1">
        <v>2500</v>
      </c>
      <c r="C7">
        <v>276</v>
      </c>
      <c r="D7" s="1">
        <v>614036</v>
      </c>
    </row>
    <row r="8" spans="1:8" x14ac:dyDescent="0.25">
      <c r="A8" s="1">
        <v>2500</v>
      </c>
      <c r="B8" s="1">
        <v>3000</v>
      </c>
      <c r="C8">
        <v>155</v>
      </c>
      <c r="D8" s="1">
        <v>418091</v>
      </c>
    </row>
    <row r="9" spans="1:8" x14ac:dyDescent="0.25">
      <c r="A9" s="1">
        <v>3000</v>
      </c>
      <c r="B9" s="1">
        <v>3500</v>
      </c>
      <c r="C9">
        <v>82</v>
      </c>
      <c r="D9" s="1">
        <v>263400</v>
      </c>
    </row>
    <row r="10" spans="1:8" x14ac:dyDescent="0.25">
      <c r="A10" s="1">
        <v>3500</v>
      </c>
      <c r="B10" s="1">
        <v>4000</v>
      </c>
      <c r="C10">
        <v>58</v>
      </c>
      <c r="D10" s="1">
        <v>216700</v>
      </c>
    </row>
    <row r="11" spans="1:8" x14ac:dyDescent="0.25">
      <c r="A11" s="1">
        <v>4000</v>
      </c>
      <c r="B11" s="1">
        <v>4500</v>
      </c>
      <c r="C11">
        <v>61</v>
      </c>
      <c r="D11" s="1">
        <v>258876</v>
      </c>
    </row>
    <row r="12" spans="1:8" x14ac:dyDescent="0.25">
      <c r="A12" s="1">
        <v>4500</v>
      </c>
      <c r="B12" s="1">
        <v>5000</v>
      </c>
      <c r="C12">
        <v>32</v>
      </c>
      <c r="D12" s="1">
        <v>151698</v>
      </c>
    </row>
    <row r="13" spans="1:8" x14ac:dyDescent="0.25">
      <c r="A13" s="1">
        <v>5000</v>
      </c>
      <c r="B13" t="s">
        <v>3</v>
      </c>
      <c r="C13">
        <v>218</v>
      </c>
      <c r="D13" s="1">
        <v>4232232</v>
      </c>
    </row>
    <row r="14" spans="1:8" x14ac:dyDescent="0.25">
      <c r="A14" s="4" t="s">
        <v>22</v>
      </c>
      <c r="D14" s="1">
        <f>SUM(D5:D13)</f>
        <v>8269353</v>
      </c>
      <c r="F14" s="2" t="s">
        <v>57</v>
      </c>
    </row>
    <row r="15" spans="1:8" x14ac:dyDescent="0.25">
      <c r="A15" s="2" t="s">
        <v>13</v>
      </c>
      <c r="D15" s="1">
        <f>SUM(D5:D13)</f>
        <v>8269353</v>
      </c>
      <c r="F15" s="1">
        <v>5540631</v>
      </c>
      <c r="H15" s="1"/>
    </row>
    <row r="16" spans="1:8" x14ac:dyDescent="0.25">
      <c r="A16" s="2" t="s">
        <v>14</v>
      </c>
      <c r="D16" s="1">
        <v>16552722</v>
      </c>
    </row>
    <row r="17" spans="1:6" x14ac:dyDescent="0.25">
      <c r="A17" s="2" t="s">
        <v>15</v>
      </c>
      <c r="D17" s="3">
        <f>100*D15/D16</f>
        <v>49.957662552418874</v>
      </c>
      <c r="F17" s="3">
        <f>100*F15/D16</f>
        <v>33.472627643960912</v>
      </c>
    </row>
    <row r="20" spans="1:6" ht="18.75" x14ac:dyDescent="0.3">
      <c r="A20" s="11" t="s">
        <v>50</v>
      </c>
    </row>
    <row r="22" spans="1:6" x14ac:dyDescent="0.25">
      <c r="A22" s="4" t="s">
        <v>54</v>
      </c>
      <c r="D22" s="1">
        <f>SUM(D7:D13)</f>
        <v>6155033</v>
      </c>
    </row>
    <row r="23" spans="1:6" x14ac:dyDescent="0.25">
      <c r="A23" s="2" t="s">
        <v>15</v>
      </c>
      <c r="D23" s="13">
        <f>100*D22/D16</f>
        <v>37.184415952856575</v>
      </c>
    </row>
    <row r="25" spans="1:6" ht="18.75" x14ac:dyDescent="0.3">
      <c r="A25" s="11" t="s">
        <v>51</v>
      </c>
    </row>
    <row r="27" spans="1:6" x14ac:dyDescent="0.25">
      <c r="A27" s="4" t="s">
        <v>67</v>
      </c>
      <c r="D27" s="1">
        <f>SUM(D8:D13)</f>
        <v>5540997</v>
      </c>
    </row>
    <row r="28" spans="1:6" x14ac:dyDescent="0.25">
      <c r="A28" s="2" t="s">
        <v>68</v>
      </c>
      <c r="D28" s="12">
        <f>D27/D16 * 100</f>
        <v>33.474838760658216</v>
      </c>
    </row>
    <row r="29" spans="1:6" x14ac:dyDescent="0.25">
      <c r="A29" s="2"/>
    </row>
    <row r="30" spans="1:6" ht="18.75" x14ac:dyDescent="0.3">
      <c r="A30" s="11" t="s">
        <v>59</v>
      </c>
    </row>
    <row r="32" spans="1:6" x14ac:dyDescent="0.25">
      <c r="A32" s="4" t="s">
        <v>58</v>
      </c>
      <c r="D32" s="1">
        <f>D13</f>
        <v>4232232</v>
      </c>
    </row>
    <row r="33" spans="1:4" x14ac:dyDescent="0.25">
      <c r="A33" s="2" t="s">
        <v>66</v>
      </c>
      <c r="D33" s="12">
        <f>100* D32/D16</f>
        <v>25.568193557530901</v>
      </c>
    </row>
    <row r="35" spans="1:4" ht="18.75" x14ac:dyDescent="0.3">
      <c r="A35" s="11" t="s">
        <v>69</v>
      </c>
    </row>
    <row r="37" spans="1:4" x14ac:dyDescent="0.25">
      <c r="A37" s="4" t="s">
        <v>22</v>
      </c>
      <c r="D37" s="1">
        <f>SUM(D5:D13)</f>
        <v>8269353</v>
      </c>
    </row>
    <row r="38" spans="1:4" x14ac:dyDescent="0.25">
      <c r="A38" s="2" t="s">
        <v>70</v>
      </c>
      <c r="D38" s="12">
        <f>D37/D16 * 100</f>
        <v>49.957662552418867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A78D-D0DF-4D29-8FEE-3CBA1F2AAB01}">
  <dimension ref="A1:L51"/>
  <sheetViews>
    <sheetView workbookViewId="0">
      <selection activeCell="E38" sqref="E38"/>
    </sheetView>
  </sheetViews>
  <sheetFormatPr defaultRowHeight="15" x14ac:dyDescent="0.25"/>
  <cols>
    <col min="1" max="1" width="13.7109375" customWidth="1"/>
    <col min="2" max="2" width="10.5703125" customWidth="1"/>
    <col min="3" max="3" width="9.28515625" bestFit="1" customWidth="1"/>
    <col min="4" max="4" width="10.140625" bestFit="1" customWidth="1"/>
    <col min="12" max="12" width="11.85546875" customWidth="1"/>
    <col min="15" max="15" width="12.28515625" customWidth="1"/>
  </cols>
  <sheetData>
    <row r="1" spans="1:12" ht="18.75" x14ac:dyDescent="0.3">
      <c r="A1" s="19" t="s">
        <v>121</v>
      </c>
      <c r="I1" s="19" t="s">
        <v>98</v>
      </c>
    </row>
    <row r="2" spans="1:12" x14ac:dyDescent="0.25">
      <c r="B2" s="1"/>
    </row>
    <row r="3" spans="1:12" x14ac:dyDescent="0.25">
      <c r="B3" s="1"/>
    </row>
    <row r="4" spans="1:12" x14ac:dyDescent="0.25">
      <c r="B4" s="1"/>
    </row>
    <row r="5" spans="1:12" x14ac:dyDescent="0.25">
      <c r="A5" s="27" t="s">
        <v>0</v>
      </c>
      <c r="B5" s="31" t="s">
        <v>1</v>
      </c>
      <c r="C5" s="27" t="s">
        <v>36</v>
      </c>
      <c r="D5" s="27" t="s">
        <v>4</v>
      </c>
      <c r="I5" s="27" t="s">
        <v>0</v>
      </c>
      <c r="J5" s="31" t="s">
        <v>1</v>
      </c>
      <c r="K5" s="27" t="s">
        <v>36</v>
      </c>
      <c r="L5" s="27" t="s">
        <v>4</v>
      </c>
    </row>
    <row r="6" spans="1:12" x14ac:dyDescent="0.25">
      <c r="A6" s="1">
        <v>1</v>
      </c>
      <c r="B6" s="1">
        <v>99</v>
      </c>
      <c r="C6" s="1">
        <v>65090</v>
      </c>
      <c r="D6" s="1">
        <v>1772256</v>
      </c>
      <c r="I6" s="1">
        <v>1</v>
      </c>
      <c r="J6" s="1">
        <v>99</v>
      </c>
      <c r="K6" s="1">
        <v>65090</v>
      </c>
      <c r="L6" s="1">
        <v>1772256</v>
      </c>
    </row>
    <row r="7" spans="1:12" x14ac:dyDescent="0.25">
      <c r="A7" s="1">
        <v>100</v>
      </c>
      <c r="B7" s="1">
        <v>499</v>
      </c>
      <c r="C7" s="1">
        <v>24979</v>
      </c>
      <c r="D7" s="1">
        <v>5752995</v>
      </c>
      <c r="I7" s="1">
        <v>100</v>
      </c>
      <c r="J7" s="1">
        <v>499</v>
      </c>
      <c r="K7" s="1">
        <v>24979</v>
      </c>
      <c r="L7" s="1">
        <v>5752995</v>
      </c>
    </row>
    <row r="8" spans="1:12" x14ac:dyDescent="0.25">
      <c r="A8" s="1">
        <v>500</v>
      </c>
      <c r="B8" s="1">
        <v>999</v>
      </c>
      <c r="C8" s="1">
        <v>4940</v>
      </c>
      <c r="D8" s="1">
        <v>3406603</v>
      </c>
      <c r="I8" s="1">
        <v>500</v>
      </c>
      <c r="J8" s="1">
        <v>999</v>
      </c>
      <c r="K8" s="1">
        <v>4940</v>
      </c>
      <c r="L8" s="1">
        <v>3406603</v>
      </c>
    </row>
    <row r="9" spans="1:12" x14ac:dyDescent="0.25">
      <c r="A9" s="1">
        <v>1000</v>
      </c>
      <c r="B9" s="1">
        <v>2499</v>
      </c>
      <c r="C9" s="1">
        <v>2598</v>
      </c>
      <c r="D9" s="1">
        <v>3858445</v>
      </c>
      <c r="I9" s="1">
        <v>1000</v>
      </c>
      <c r="J9" s="1">
        <v>1999</v>
      </c>
      <c r="K9" s="1">
        <v>2233</v>
      </c>
      <c r="L9" s="1">
        <v>3045638</v>
      </c>
    </row>
    <row r="10" spans="1:12" x14ac:dyDescent="0.25">
      <c r="A10" s="1">
        <v>2500</v>
      </c>
      <c r="B10" s="1">
        <v>4999</v>
      </c>
      <c r="C10" s="1">
        <v>614</v>
      </c>
      <c r="D10" s="1">
        <v>2123135</v>
      </c>
      <c r="I10" s="1">
        <v>2000</v>
      </c>
      <c r="J10" s="1">
        <v>2499</v>
      </c>
      <c r="K10">
        <v>365</v>
      </c>
      <c r="L10" s="1">
        <v>812807</v>
      </c>
    </row>
    <row r="11" spans="1:12" x14ac:dyDescent="0.25">
      <c r="A11" s="1">
        <v>5000</v>
      </c>
      <c r="B11" s="1">
        <v>9999</v>
      </c>
      <c r="C11" s="1">
        <v>215</v>
      </c>
      <c r="D11" s="1">
        <v>1472397</v>
      </c>
      <c r="I11" s="1">
        <v>2500</v>
      </c>
      <c r="J11" s="1">
        <v>4999</v>
      </c>
      <c r="K11" s="1">
        <v>614</v>
      </c>
      <c r="L11" s="1">
        <v>2123135</v>
      </c>
    </row>
    <row r="12" spans="1:12" x14ac:dyDescent="0.25">
      <c r="A12" s="1">
        <v>10000</v>
      </c>
      <c r="B12" s="1">
        <v>19999</v>
      </c>
      <c r="C12" s="1">
        <v>93</v>
      </c>
      <c r="D12" s="1">
        <v>1281299</v>
      </c>
      <c r="I12" s="1">
        <v>5000</v>
      </c>
      <c r="J12" s="1">
        <v>9999</v>
      </c>
      <c r="K12" s="1">
        <v>215</v>
      </c>
      <c r="L12" s="1">
        <v>1472397</v>
      </c>
    </row>
    <row r="13" spans="1:12" x14ac:dyDescent="0.25">
      <c r="A13" s="1">
        <v>20000</v>
      </c>
      <c r="B13" s="1">
        <v>29999</v>
      </c>
      <c r="C13" s="1">
        <v>20</v>
      </c>
      <c r="D13" s="1">
        <v>491613</v>
      </c>
      <c r="I13" s="1">
        <v>10000</v>
      </c>
      <c r="J13" s="1">
        <v>19999</v>
      </c>
      <c r="K13" s="1">
        <v>93</v>
      </c>
      <c r="L13" s="1">
        <v>1281299</v>
      </c>
    </row>
    <row r="14" spans="1:12" x14ac:dyDescent="0.25">
      <c r="A14" s="1">
        <v>30000</v>
      </c>
      <c r="B14" s="1">
        <v>39999</v>
      </c>
      <c r="C14" s="1">
        <v>9</v>
      </c>
      <c r="D14" s="1">
        <v>292538</v>
      </c>
      <c r="I14" s="1">
        <v>20000</v>
      </c>
      <c r="J14" s="1">
        <v>29999</v>
      </c>
      <c r="K14" s="1">
        <v>20</v>
      </c>
      <c r="L14" s="1">
        <v>491613</v>
      </c>
    </row>
    <row r="15" spans="1:12" x14ac:dyDescent="0.25">
      <c r="A15" s="1">
        <v>40000</v>
      </c>
      <c r="B15" s="1">
        <v>49999</v>
      </c>
      <c r="C15" s="1">
        <v>11</v>
      </c>
      <c r="D15" s="1">
        <v>507855</v>
      </c>
      <c r="I15" s="1">
        <v>30000</v>
      </c>
      <c r="J15" s="1">
        <v>39999</v>
      </c>
      <c r="K15" s="1">
        <v>9</v>
      </c>
      <c r="L15" s="1">
        <v>292538</v>
      </c>
    </row>
    <row r="16" spans="1:12" x14ac:dyDescent="0.25">
      <c r="A16" s="1">
        <v>50000</v>
      </c>
      <c r="B16" s="1">
        <v>74999</v>
      </c>
      <c r="C16" s="1">
        <v>10</v>
      </c>
      <c r="D16" s="1">
        <v>590058</v>
      </c>
      <c r="I16" s="1">
        <v>40000</v>
      </c>
      <c r="J16" s="1">
        <v>49999</v>
      </c>
      <c r="K16" s="1">
        <v>11</v>
      </c>
      <c r="L16" s="1">
        <v>507855</v>
      </c>
    </row>
    <row r="17" spans="1:12" x14ac:dyDescent="0.25">
      <c r="A17" s="1">
        <v>75000</v>
      </c>
      <c r="B17" s="1">
        <v>99999</v>
      </c>
      <c r="C17" s="1">
        <v>3</v>
      </c>
      <c r="D17" s="1">
        <v>282566</v>
      </c>
      <c r="I17" s="1">
        <v>50000</v>
      </c>
      <c r="J17" s="1">
        <v>74999</v>
      </c>
      <c r="K17" s="1">
        <v>10</v>
      </c>
      <c r="L17" s="1">
        <v>590058</v>
      </c>
    </row>
    <row r="18" spans="1:12" x14ac:dyDescent="0.25">
      <c r="A18" s="1">
        <v>100000</v>
      </c>
      <c r="B18" s="1">
        <v>249999</v>
      </c>
      <c r="C18" s="1">
        <v>7</v>
      </c>
      <c r="D18" s="1">
        <v>955335</v>
      </c>
      <c r="I18" s="1">
        <v>75000</v>
      </c>
      <c r="J18" s="1">
        <v>99999</v>
      </c>
      <c r="K18" s="1">
        <v>3</v>
      </c>
      <c r="L18" s="1">
        <v>282566</v>
      </c>
    </row>
    <row r="19" spans="1:12" x14ac:dyDescent="0.25">
      <c r="A19" s="1">
        <v>250000</v>
      </c>
      <c r="B19" s="1">
        <v>499999</v>
      </c>
      <c r="C19" s="1">
        <v>2</v>
      </c>
      <c r="D19" s="1">
        <v>763421</v>
      </c>
      <c r="I19" s="1">
        <v>100000</v>
      </c>
      <c r="J19" s="1">
        <v>249999</v>
      </c>
      <c r="K19" s="1">
        <v>7</v>
      </c>
      <c r="L19" s="1">
        <v>955335</v>
      </c>
    </row>
    <row r="20" spans="1:12" x14ac:dyDescent="0.25">
      <c r="A20" s="1">
        <v>500000</v>
      </c>
      <c r="B20" s="8" t="s">
        <v>95</v>
      </c>
      <c r="C20" s="1">
        <v>1</v>
      </c>
      <c r="D20" s="1">
        <v>2234795</v>
      </c>
      <c r="I20" s="1">
        <v>250000</v>
      </c>
      <c r="J20" s="1">
        <v>499999</v>
      </c>
      <c r="K20" s="1">
        <v>2</v>
      </c>
      <c r="L20" s="1">
        <v>763421</v>
      </c>
    </row>
    <row r="21" spans="1:12" x14ac:dyDescent="0.25">
      <c r="A21" s="1"/>
      <c r="B21" s="1"/>
      <c r="C21" s="1"/>
      <c r="D21" s="1"/>
      <c r="I21" s="1">
        <v>500000</v>
      </c>
      <c r="J21" s="8" t="s">
        <v>95</v>
      </c>
      <c r="K21" s="1">
        <v>1</v>
      </c>
      <c r="L21" s="1">
        <v>2234795</v>
      </c>
    </row>
    <row r="22" spans="1:12" x14ac:dyDescent="0.25">
      <c r="A22" s="1" t="s">
        <v>35</v>
      </c>
      <c r="B22" s="1"/>
      <c r="C22" s="1">
        <v>99030</v>
      </c>
      <c r="D22" s="1">
        <v>25785311</v>
      </c>
    </row>
    <row r="23" spans="1:12" x14ac:dyDescent="0.25">
      <c r="B23" s="1"/>
    </row>
    <row r="25" spans="1:12" ht="18.75" x14ac:dyDescent="0.3">
      <c r="A25" s="11" t="s">
        <v>69</v>
      </c>
      <c r="L25" s="32"/>
    </row>
    <row r="26" spans="1:12" x14ac:dyDescent="0.25">
      <c r="A26" s="2" t="s">
        <v>122</v>
      </c>
      <c r="D26" s="1">
        <f>SUM(D9:D20)</f>
        <v>14853457</v>
      </c>
      <c r="J26" s="2"/>
      <c r="L26" s="33"/>
    </row>
    <row r="27" spans="1:12" x14ac:dyDescent="0.25">
      <c r="A27" s="2" t="s">
        <v>43</v>
      </c>
      <c r="D27" s="12">
        <f>D26/D22*100</f>
        <v>57.604335274451415</v>
      </c>
      <c r="J27" s="2"/>
      <c r="L27" s="34"/>
    </row>
    <row r="28" spans="1:12" x14ac:dyDescent="0.25">
      <c r="L28" s="32"/>
    </row>
    <row r="29" spans="1:12" ht="18.75" x14ac:dyDescent="0.3">
      <c r="A29" s="11" t="s">
        <v>50</v>
      </c>
      <c r="L29" s="32"/>
    </row>
    <row r="30" spans="1:12" x14ac:dyDescent="0.25">
      <c r="A30" s="2" t="s">
        <v>122</v>
      </c>
      <c r="D30" s="1">
        <f>SUM(L10:L21)</f>
        <v>11807819</v>
      </c>
      <c r="J30" s="2"/>
      <c r="L30" s="33"/>
    </row>
    <row r="31" spans="1:12" x14ac:dyDescent="0.25">
      <c r="A31" s="2" t="s">
        <v>43</v>
      </c>
      <c r="D31" s="12">
        <f>D30/D22*100</f>
        <v>45.792812039381644</v>
      </c>
      <c r="J31" s="2"/>
      <c r="L31" s="34"/>
    </row>
    <row r="32" spans="1:12" x14ac:dyDescent="0.25">
      <c r="L32" s="32"/>
    </row>
    <row r="33" spans="1:12" ht="18.75" x14ac:dyDescent="0.3">
      <c r="A33" s="11" t="s">
        <v>51</v>
      </c>
      <c r="L33" s="32"/>
    </row>
    <row r="34" spans="1:12" x14ac:dyDescent="0.25">
      <c r="A34" s="2" t="s">
        <v>122</v>
      </c>
      <c r="D34" s="1">
        <f>SUM(D10:D20)</f>
        <v>10995012</v>
      </c>
      <c r="J34" s="2"/>
      <c r="L34" s="33"/>
    </row>
    <row r="35" spans="1:12" x14ac:dyDescent="0.25">
      <c r="A35" s="2" t="s">
        <v>43</v>
      </c>
      <c r="D35" s="12">
        <f>D34/D22*100</f>
        <v>42.640602628372406</v>
      </c>
      <c r="J35" s="2"/>
      <c r="L35" s="34"/>
    </row>
    <row r="36" spans="1:12" x14ac:dyDescent="0.25">
      <c r="L36" s="32"/>
    </row>
    <row r="37" spans="1:12" ht="18.75" x14ac:dyDescent="0.3">
      <c r="A37" s="11" t="s">
        <v>59</v>
      </c>
      <c r="L37" s="32"/>
    </row>
    <row r="38" spans="1:12" x14ac:dyDescent="0.25">
      <c r="A38" s="2" t="s">
        <v>122</v>
      </c>
      <c r="D38" s="1">
        <f>SUM(D11:D20)</f>
        <v>8871877</v>
      </c>
      <c r="J38" s="2"/>
      <c r="L38" s="33"/>
    </row>
    <row r="39" spans="1:12" x14ac:dyDescent="0.25">
      <c r="A39" s="2" t="s">
        <v>43</v>
      </c>
      <c r="D39" s="12">
        <f>D38/D22*100</f>
        <v>34.406709308256936</v>
      </c>
      <c r="J39" s="2"/>
      <c r="L39" s="34"/>
    </row>
    <row r="40" spans="1:12" x14ac:dyDescent="0.25">
      <c r="L40" s="32"/>
    </row>
    <row r="41" spans="1:12" ht="18.75" x14ac:dyDescent="0.3">
      <c r="A41" s="11" t="s">
        <v>123</v>
      </c>
      <c r="L41" s="32"/>
    </row>
    <row r="42" spans="1:12" x14ac:dyDescent="0.25">
      <c r="A42" s="2" t="s">
        <v>122</v>
      </c>
      <c r="D42" s="1">
        <f>SUM(D13:D20)</f>
        <v>6118181</v>
      </c>
      <c r="J42" s="2"/>
      <c r="L42" s="33"/>
    </row>
    <row r="43" spans="1:12" x14ac:dyDescent="0.25">
      <c r="A43" s="2" t="s">
        <v>43</v>
      </c>
      <c r="D43" s="12">
        <f>D42/D22*100</f>
        <v>23.727388822263961</v>
      </c>
      <c r="J43" s="2"/>
      <c r="L43" s="34"/>
    </row>
    <row r="44" spans="1:12" x14ac:dyDescent="0.25">
      <c r="L44" s="32"/>
    </row>
    <row r="45" spans="1:12" ht="18.75" x14ac:dyDescent="0.3">
      <c r="A45" s="11" t="s">
        <v>124</v>
      </c>
      <c r="L45" s="32"/>
    </row>
    <row r="46" spans="1:12" x14ac:dyDescent="0.25">
      <c r="A46" s="2" t="s">
        <v>122</v>
      </c>
      <c r="D46" s="1">
        <f>SUM(D18:D20)</f>
        <v>3953551</v>
      </c>
      <c r="J46" s="2"/>
      <c r="L46" s="33"/>
    </row>
    <row r="47" spans="1:12" x14ac:dyDescent="0.25">
      <c r="A47" s="2" t="s">
        <v>43</v>
      </c>
      <c r="D47" s="12">
        <f>D46/D22*100</f>
        <v>15.332570547626903</v>
      </c>
      <c r="J47" s="2"/>
      <c r="L47" s="34"/>
    </row>
    <row r="48" spans="1:12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3D3E-D80F-423E-BDEC-5E3B3CDBD631}">
  <dimension ref="A1:O54"/>
  <sheetViews>
    <sheetView workbookViewId="0">
      <selection activeCell="A30" sqref="A30"/>
    </sheetView>
  </sheetViews>
  <sheetFormatPr defaultRowHeight="15" x14ac:dyDescent="0.25"/>
  <cols>
    <col min="4" max="4" width="10.140625" bestFit="1" customWidth="1"/>
    <col min="6" max="6" width="10.140625" bestFit="1" customWidth="1"/>
    <col min="15" max="15" width="11.42578125" customWidth="1"/>
  </cols>
  <sheetData>
    <row r="1" spans="1:15" ht="18.75" x14ac:dyDescent="0.3">
      <c r="A1" s="11" t="s">
        <v>62</v>
      </c>
      <c r="L1" s="19" t="s">
        <v>98</v>
      </c>
    </row>
    <row r="3" spans="1:15" x14ac:dyDescent="0.25">
      <c r="A3" s="7" t="s">
        <v>0</v>
      </c>
      <c r="B3" s="7" t="s">
        <v>1</v>
      </c>
      <c r="C3" s="7" t="s">
        <v>36</v>
      </c>
      <c r="D3" s="7" t="s">
        <v>4</v>
      </c>
      <c r="L3" s="7" t="s">
        <v>0</v>
      </c>
      <c r="M3" s="7" t="s">
        <v>1</v>
      </c>
      <c r="N3" s="7" t="s">
        <v>36</v>
      </c>
      <c r="O3" s="7" t="s">
        <v>4</v>
      </c>
    </row>
    <row r="4" spans="1:15" x14ac:dyDescent="0.25">
      <c r="A4" s="10" t="s">
        <v>2</v>
      </c>
      <c r="B4">
        <v>100</v>
      </c>
      <c r="C4">
        <v>51555</v>
      </c>
      <c r="D4" s="1">
        <f>D21-SUM(D5:D18)</f>
        <v>1558268</v>
      </c>
      <c r="L4" s="10" t="s">
        <v>2</v>
      </c>
      <c r="M4">
        <v>100</v>
      </c>
      <c r="N4">
        <v>51555</v>
      </c>
      <c r="O4" s="1">
        <v>1558268</v>
      </c>
    </row>
    <row r="5" spans="1:15" x14ac:dyDescent="0.25">
      <c r="A5">
        <v>100</v>
      </c>
      <c r="B5">
        <v>500</v>
      </c>
      <c r="C5">
        <v>27098</v>
      </c>
      <c r="D5" s="1">
        <v>6410224</v>
      </c>
      <c r="L5">
        <v>100</v>
      </c>
      <c r="M5">
        <v>500</v>
      </c>
      <c r="N5">
        <v>27098</v>
      </c>
      <c r="O5" s="1">
        <v>6410224</v>
      </c>
    </row>
    <row r="6" spans="1:15" x14ac:dyDescent="0.25">
      <c r="A6">
        <v>500</v>
      </c>
      <c r="B6" s="1">
        <v>1000</v>
      </c>
      <c r="C6" s="1">
        <v>6156</v>
      </c>
      <c r="D6" s="1">
        <v>4253855</v>
      </c>
      <c r="E6" s="1"/>
      <c r="L6">
        <v>500</v>
      </c>
      <c r="M6" s="1">
        <v>1000</v>
      </c>
      <c r="N6" s="1">
        <v>6156</v>
      </c>
      <c r="O6" s="1">
        <v>4253855</v>
      </c>
    </row>
    <row r="7" spans="1:15" x14ac:dyDescent="0.25">
      <c r="A7" s="1">
        <v>1000</v>
      </c>
      <c r="B7" s="1">
        <v>2500</v>
      </c>
      <c r="C7" s="1">
        <v>3342</v>
      </c>
      <c r="D7" s="1">
        <v>4995664</v>
      </c>
      <c r="E7" s="1"/>
      <c r="L7" s="1">
        <v>1000</v>
      </c>
      <c r="M7" s="1">
        <v>2000</v>
      </c>
      <c r="N7" s="1">
        <v>2853</v>
      </c>
      <c r="O7" s="1">
        <v>3905365</v>
      </c>
    </row>
    <row r="8" spans="1:15" x14ac:dyDescent="0.25">
      <c r="A8" s="1">
        <v>2500</v>
      </c>
      <c r="B8" s="1">
        <v>5000</v>
      </c>
      <c r="C8" s="1">
        <v>865</v>
      </c>
      <c r="D8" s="1">
        <v>2959460</v>
      </c>
      <c r="E8" s="1"/>
      <c r="L8" s="1">
        <v>2000</v>
      </c>
      <c r="M8" s="1">
        <v>2500</v>
      </c>
      <c r="N8">
        <v>489</v>
      </c>
      <c r="O8" s="1">
        <v>1090299</v>
      </c>
    </row>
    <row r="9" spans="1:15" x14ac:dyDescent="0.25">
      <c r="A9" s="1">
        <v>5000</v>
      </c>
      <c r="B9" s="1">
        <v>10000</v>
      </c>
      <c r="C9" s="1">
        <v>340</v>
      </c>
      <c r="D9" s="1">
        <v>2366431</v>
      </c>
      <c r="E9" s="1"/>
      <c r="L9" s="1">
        <v>2500</v>
      </c>
      <c r="M9" s="1">
        <v>5000</v>
      </c>
      <c r="N9" s="1">
        <v>865</v>
      </c>
      <c r="O9" s="1">
        <v>2959460</v>
      </c>
    </row>
    <row r="10" spans="1:15" x14ac:dyDescent="0.25">
      <c r="A10" s="1">
        <v>10000</v>
      </c>
      <c r="B10" s="1">
        <v>20000</v>
      </c>
      <c r="C10" s="1">
        <v>146</v>
      </c>
      <c r="D10" s="1">
        <v>2027511</v>
      </c>
      <c r="E10" s="1"/>
      <c r="L10" s="1">
        <v>5000</v>
      </c>
      <c r="M10" s="1">
        <v>10000</v>
      </c>
      <c r="N10" s="1">
        <v>340</v>
      </c>
      <c r="O10" s="1">
        <v>2366431</v>
      </c>
    </row>
    <row r="11" spans="1:15" x14ac:dyDescent="0.25">
      <c r="A11" s="1">
        <v>20000</v>
      </c>
      <c r="B11" s="1">
        <v>30000</v>
      </c>
      <c r="C11" s="1">
        <v>38</v>
      </c>
      <c r="D11" s="1">
        <v>939938</v>
      </c>
      <c r="E11" s="1"/>
      <c r="L11" s="1">
        <v>10000</v>
      </c>
      <c r="M11" s="1">
        <v>20000</v>
      </c>
      <c r="N11" s="1">
        <v>146</v>
      </c>
      <c r="O11" s="1">
        <v>2027511</v>
      </c>
    </row>
    <row r="12" spans="1:15" x14ac:dyDescent="0.25">
      <c r="A12" s="1">
        <v>30000</v>
      </c>
      <c r="B12" s="1">
        <v>40000</v>
      </c>
      <c r="C12" s="1">
        <v>20</v>
      </c>
      <c r="D12" s="1">
        <v>683971</v>
      </c>
      <c r="E12" s="1"/>
      <c r="L12" s="1">
        <v>20000</v>
      </c>
      <c r="M12" s="1">
        <v>30000</v>
      </c>
      <c r="N12" s="1">
        <v>38</v>
      </c>
      <c r="O12" s="1">
        <v>939938</v>
      </c>
    </row>
    <row r="13" spans="1:15" x14ac:dyDescent="0.25">
      <c r="A13" s="1">
        <v>40000</v>
      </c>
      <c r="B13" s="1">
        <v>50000</v>
      </c>
      <c r="C13" s="1">
        <v>11</v>
      </c>
      <c r="D13" s="1">
        <v>484642</v>
      </c>
      <c r="E13" s="1"/>
      <c r="L13" s="1">
        <v>30000</v>
      </c>
      <c r="M13" s="1">
        <v>40000</v>
      </c>
      <c r="N13" s="1">
        <v>20</v>
      </c>
      <c r="O13" s="1">
        <v>683971</v>
      </c>
    </row>
    <row r="14" spans="1:15" x14ac:dyDescent="0.25">
      <c r="A14" s="1">
        <v>50000</v>
      </c>
      <c r="B14" s="1">
        <v>75000</v>
      </c>
      <c r="C14" s="1">
        <v>15</v>
      </c>
      <c r="D14" s="1">
        <v>932190</v>
      </c>
      <c r="E14" s="1"/>
      <c r="L14" s="1">
        <v>40000</v>
      </c>
      <c r="M14" s="1">
        <v>50000</v>
      </c>
      <c r="N14" s="1">
        <v>11</v>
      </c>
      <c r="O14" s="1">
        <v>484642</v>
      </c>
    </row>
    <row r="15" spans="1:15" x14ac:dyDescent="0.25">
      <c r="A15" s="1">
        <v>75000</v>
      </c>
      <c r="B15" s="1">
        <v>100000</v>
      </c>
      <c r="C15" s="1">
        <v>9</v>
      </c>
      <c r="D15" s="1">
        <v>798743</v>
      </c>
      <c r="E15" s="1"/>
      <c r="L15" s="1">
        <v>50000</v>
      </c>
      <c r="M15" s="1">
        <v>75000</v>
      </c>
      <c r="N15" s="1">
        <v>15</v>
      </c>
      <c r="O15" s="1">
        <v>932190</v>
      </c>
    </row>
    <row r="16" spans="1:15" x14ac:dyDescent="0.25">
      <c r="A16" s="1">
        <v>100000</v>
      </c>
      <c r="B16" s="1">
        <v>250000</v>
      </c>
      <c r="C16" s="1">
        <v>1</v>
      </c>
      <c r="D16" s="1">
        <v>1795192</v>
      </c>
      <c r="E16" s="1"/>
      <c r="L16" s="1">
        <v>75000</v>
      </c>
      <c r="M16" s="1">
        <v>100000</v>
      </c>
      <c r="N16" s="1">
        <v>9</v>
      </c>
      <c r="O16" s="1">
        <v>798743</v>
      </c>
    </row>
    <row r="17" spans="1:15" x14ac:dyDescent="0.25">
      <c r="A17" s="1">
        <v>250000</v>
      </c>
      <c r="B17" s="1">
        <v>500000</v>
      </c>
      <c r="C17" s="1">
        <v>3</v>
      </c>
      <c r="D17" s="1">
        <v>551168</v>
      </c>
      <c r="E17" s="1"/>
      <c r="L17" s="1">
        <v>100000</v>
      </c>
      <c r="M17" s="1">
        <v>250000</v>
      </c>
      <c r="N17" s="1">
        <v>1</v>
      </c>
      <c r="O17" s="1">
        <v>1795192</v>
      </c>
    </row>
    <row r="18" spans="1:15" x14ac:dyDescent="0.25">
      <c r="A18" s="1">
        <v>500000</v>
      </c>
      <c r="B18" t="s">
        <v>3</v>
      </c>
      <c r="D18" s="1">
        <v>4165872</v>
      </c>
      <c r="E18" s="1"/>
      <c r="L18" s="1">
        <v>250000</v>
      </c>
      <c r="M18" s="1">
        <v>500000</v>
      </c>
      <c r="N18" s="1">
        <v>3</v>
      </c>
      <c r="O18" s="1">
        <v>551168</v>
      </c>
    </row>
    <row r="19" spans="1:15" x14ac:dyDescent="0.25">
      <c r="A19" s="2" t="s">
        <v>22</v>
      </c>
      <c r="D19" s="1">
        <f>SUM(D7:D18)</f>
        <v>22700782</v>
      </c>
      <c r="E19" s="3"/>
      <c r="F19" s="2" t="s">
        <v>57</v>
      </c>
      <c r="L19" s="1">
        <v>500000</v>
      </c>
      <c r="M19" t="s">
        <v>3</v>
      </c>
      <c r="O19" s="1">
        <v>4165872</v>
      </c>
    </row>
    <row r="20" spans="1:15" x14ac:dyDescent="0.25">
      <c r="A20" s="2" t="s">
        <v>23</v>
      </c>
      <c r="D20" s="1">
        <f>D19</f>
        <v>22700782</v>
      </c>
      <c r="F20" s="1">
        <v>17218011</v>
      </c>
      <c r="H20" s="1"/>
    </row>
    <row r="21" spans="1:15" x14ac:dyDescent="0.25">
      <c r="A21" s="2" t="s">
        <v>14</v>
      </c>
      <c r="D21" s="1">
        <v>34923129</v>
      </c>
      <c r="L21" s="2" t="s">
        <v>14</v>
      </c>
      <c r="O21" s="1">
        <v>34923129</v>
      </c>
    </row>
    <row r="22" spans="1:15" x14ac:dyDescent="0.25">
      <c r="A22" s="2" t="s">
        <v>15</v>
      </c>
      <c r="D22">
        <f>100*D20/D21</f>
        <v>65.002142276541136</v>
      </c>
      <c r="F22" s="3">
        <f>100*F20/D21</f>
        <v>49.302601150085948</v>
      </c>
    </row>
    <row r="25" spans="1:15" ht="18.75" x14ac:dyDescent="0.3">
      <c r="A25" s="11" t="s">
        <v>50</v>
      </c>
    </row>
    <row r="27" spans="1:15" x14ac:dyDescent="0.25">
      <c r="A27" s="2" t="s">
        <v>54</v>
      </c>
      <c r="D27" s="1">
        <f>SUM(O8:O19)</f>
        <v>18795417</v>
      </c>
      <c r="F27" s="3"/>
    </row>
    <row r="28" spans="1:15" x14ac:dyDescent="0.25">
      <c r="A28" s="2" t="s">
        <v>43</v>
      </c>
      <c r="D28" s="13">
        <f>D27/D21*100</f>
        <v>53.819395736275524</v>
      </c>
      <c r="F28" s="3"/>
    </row>
    <row r="30" spans="1:15" ht="18.75" x14ac:dyDescent="0.3">
      <c r="A30" s="11" t="s">
        <v>51</v>
      </c>
    </row>
    <row r="32" spans="1:15" x14ac:dyDescent="0.25">
      <c r="A32" s="4" t="s">
        <v>67</v>
      </c>
      <c r="D32" s="1">
        <f>SUM(D8:D18)</f>
        <v>17705118</v>
      </c>
    </row>
    <row r="33" spans="1:4" x14ac:dyDescent="0.25">
      <c r="A33" s="2" t="s">
        <v>68</v>
      </c>
      <c r="D33" s="12">
        <f>D32/D21 * 100</f>
        <v>50.697398849914052</v>
      </c>
    </row>
    <row r="34" spans="1:4" x14ac:dyDescent="0.25">
      <c r="A34" s="2"/>
    </row>
    <row r="35" spans="1:4" ht="18.75" x14ac:dyDescent="0.3">
      <c r="A35" s="11" t="s">
        <v>59</v>
      </c>
    </row>
    <row r="37" spans="1:4" x14ac:dyDescent="0.25">
      <c r="A37" s="4" t="s">
        <v>58</v>
      </c>
      <c r="D37" s="1">
        <f>SUM(D9:D18)</f>
        <v>14745658</v>
      </c>
    </row>
    <row r="38" spans="1:4" x14ac:dyDescent="0.25">
      <c r="A38" s="2" t="s">
        <v>66</v>
      </c>
      <c r="D38" s="12">
        <f>D37/D21 * 100</f>
        <v>42.223186816965914</v>
      </c>
    </row>
    <row r="40" spans="1:4" ht="18.75" x14ac:dyDescent="0.3">
      <c r="A40" s="11" t="s">
        <v>69</v>
      </c>
    </row>
    <row r="42" spans="1:4" x14ac:dyDescent="0.25">
      <c r="A42" s="4" t="s">
        <v>22</v>
      </c>
      <c r="D42" s="1">
        <f>SUM(D7:D18)</f>
        <v>22700782</v>
      </c>
    </row>
    <row r="43" spans="1:4" x14ac:dyDescent="0.25">
      <c r="A43" s="2" t="s">
        <v>70</v>
      </c>
      <c r="D43" s="12">
        <f>D42/D21*100</f>
        <v>65.002142276541136</v>
      </c>
    </row>
    <row r="46" spans="1:4" ht="18.75" x14ac:dyDescent="0.3">
      <c r="A46" s="11" t="s">
        <v>73</v>
      </c>
    </row>
    <row r="48" spans="1:4" x14ac:dyDescent="0.25">
      <c r="A48" t="s">
        <v>35</v>
      </c>
      <c r="D48" s="1">
        <f>SUM(D11:D18)</f>
        <v>10351716</v>
      </c>
    </row>
    <row r="49" spans="1:4" x14ac:dyDescent="0.25">
      <c r="A49" t="s">
        <v>43</v>
      </c>
      <c r="D49" s="12">
        <f>D48/D21*100</f>
        <v>29.641433332047651</v>
      </c>
    </row>
    <row r="51" spans="1:4" ht="18.75" x14ac:dyDescent="0.3">
      <c r="A51" s="11" t="s">
        <v>74</v>
      </c>
    </row>
    <row r="53" spans="1:4" x14ac:dyDescent="0.25">
      <c r="A53" t="s">
        <v>35</v>
      </c>
      <c r="D53" s="1">
        <f>SUM(D16:D18)</f>
        <v>6512232</v>
      </c>
    </row>
    <row r="54" spans="1:4" x14ac:dyDescent="0.25">
      <c r="A54" t="s">
        <v>43</v>
      </c>
      <c r="D54" s="12">
        <f>D53/D21*100</f>
        <v>18.647332545717767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5240-BC93-4757-9D88-C679B5B701EC}">
  <dimension ref="A1:O56"/>
  <sheetViews>
    <sheetView workbookViewId="0">
      <selection activeCell="D29" sqref="D29"/>
    </sheetView>
  </sheetViews>
  <sheetFormatPr defaultRowHeight="15" x14ac:dyDescent="0.25"/>
  <cols>
    <col min="4" max="4" width="15.140625" customWidth="1"/>
    <col min="6" max="6" width="10.140625" bestFit="1" customWidth="1"/>
    <col min="10" max="10" width="11.42578125" style="10" customWidth="1"/>
    <col min="13" max="13" width="10.85546875" customWidth="1"/>
    <col min="15" max="15" width="10.28515625" customWidth="1"/>
  </cols>
  <sheetData>
    <row r="1" spans="1:15" ht="18.75" x14ac:dyDescent="0.3">
      <c r="A1" s="11" t="s">
        <v>62</v>
      </c>
      <c r="L1" s="19" t="s">
        <v>98</v>
      </c>
    </row>
    <row r="4" spans="1:15" x14ac:dyDescent="0.25">
      <c r="A4" s="7" t="s">
        <v>0</v>
      </c>
      <c r="B4" s="7" t="s">
        <v>1</v>
      </c>
      <c r="C4" s="7" t="s">
        <v>36</v>
      </c>
      <c r="D4" s="7" t="s">
        <v>4</v>
      </c>
      <c r="L4" s="7" t="s">
        <v>0</v>
      </c>
      <c r="M4" s="7" t="s">
        <v>1</v>
      </c>
      <c r="N4" s="7" t="s">
        <v>36</v>
      </c>
      <c r="O4" s="7" t="s">
        <v>4</v>
      </c>
    </row>
    <row r="5" spans="1:15" x14ac:dyDescent="0.25">
      <c r="A5">
        <v>1</v>
      </c>
      <c r="B5">
        <v>100</v>
      </c>
      <c r="C5">
        <v>55650</v>
      </c>
      <c r="D5" s="8">
        <v>1471154</v>
      </c>
      <c r="L5">
        <v>1</v>
      </c>
      <c r="M5">
        <v>100</v>
      </c>
      <c r="N5">
        <v>55650</v>
      </c>
      <c r="O5" s="8">
        <v>1471154</v>
      </c>
    </row>
    <row r="6" spans="1:15" x14ac:dyDescent="0.25">
      <c r="A6">
        <v>100</v>
      </c>
      <c r="B6">
        <v>500</v>
      </c>
      <c r="C6">
        <v>28055</v>
      </c>
      <c r="D6" s="8">
        <v>6889077</v>
      </c>
      <c r="L6">
        <v>100</v>
      </c>
      <c r="M6">
        <v>500</v>
      </c>
      <c r="N6">
        <v>28055</v>
      </c>
      <c r="O6" s="8">
        <v>6889077</v>
      </c>
    </row>
    <row r="7" spans="1:15" x14ac:dyDescent="0.25">
      <c r="A7">
        <v>500</v>
      </c>
      <c r="B7" s="1">
        <v>1000</v>
      </c>
      <c r="C7">
        <v>7473</v>
      </c>
      <c r="D7" s="8">
        <v>5190166</v>
      </c>
      <c r="L7">
        <v>500</v>
      </c>
      <c r="M7" s="1">
        <v>1000</v>
      </c>
      <c r="N7">
        <v>7473</v>
      </c>
      <c r="O7" s="8">
        <v>5190166</v>
      </c>
    </row>
    <row r="8" spans="1:15" x14ac:dyDescent="0.25">
      <c r="A8" s="1">
        <v>1000</v>
      </c>
      <c r="B8" s="1">
        <v>2500</v>
      </c>
      <c r="C8">
        <v>4232</v>
      </c>
      <c r="D8" s="8">
        <v>6366285</v>
      </c>
      <c r="L8" s="1">
        <v>1000</v>
      </c>
      <c r="M8" s="1">
        <v>2000</v>
      </c>
      <c r="N8" s="1">
        <v>3587</v>
      </c>
      <c r="O8" s="1">
        <v>4928994</v>
      </c>
    </row>
    <row r="9" spans="1:15" x14ac:dyDescent="0.25">
      <c r="A9" s="1">
        <v>2500</v>
      </c>
      <c r="B9" s="1">
        <v>5000</v>
      </c>
      <c r="C9">
        <v>1201</v>
      </c>
      <c r="D9" s="8">
        <v>4129872</v>
      </c>
      <c r="L9" s="1">
        <v>2000</v>
      </c>
      <c r="M9" s="1">
        <v>2500</v>
      </c>
      <c r="N9">
        <v>645</v>
      </c>
      <c r="O9" s="1">
        <v>1437291</v>
      </c>
    </row>
    <row r="10" spans="1:15" x14ac:dyDescent="0.25">
      <c r="A10" s="1">
        <v>5000</v>
      </c>
      <c r="B10" s="1">
        <v>10000</v>
      </c>
      <c r="C10">
        <v>539</v>
      </c>
      <c r="D10" s="8">
        <v>3764208</v>
      </c>
      <c r="L10" s="1">
        <v>2500</v>
      </c>
      <c r="M10" s="1">
        <v>5000</v>
      </c>
      <c r="N10">
        <v>1201</v>
      </c>
      <c r="O10" s="8">
        <v>4129872</v>
      </c>
    </row>
    <row r="11" spans="1:15" x14ac:dyDescent="0.25">
      <c r="A11" s="1">
        <v>10000</v>
      </c>
      <c r="B11" s="1">
        <v>20000</v>
      </c>
      <c r="C11">
        <v>248</v>
      </c>
      <c r="D11" s="8">
        <v>3409846</v>
      </c>
      <c r="L11" s="1">
        <v>5000</v>
      </c>
      <c r="M11" s="1">
        <v>10000</v>
      </c>
      <c r="N11">
        <v>539</v>
      </c>
      <c r="O11" s="8">
        <v>3764208</v>
      </c>
    </row>
    <row r="12" spans="1:15" x14ac:dyDescent="0.25">
      <c r="A12" s="1">
        <v>20000</v>
      </c>
      <c r="B12" s="1">
        <v>30000</v>
      </c>
      <c r="C12">
        <v>65</v>
      </c>
      <c r="D12" s="8">
        <v>1531569</v>
      </c>
      <c r="L12" s="1">
        <v>10000</v>
      </c>
      <c r="M12" s="1">
        <v>20000</v>
      </c>
      <c r="N12">
        <v>248</v>
      </c>
      <c r="O12" s="8">
        <v>3409846</v>
      </c>
    </row>
    <row r="13" spans="1:15" x14ac:dyDescent="0.25">
      <c r="A13" s="1">
        <v>30000</v>
      </c>
      <c r="B13" s="1">
        <v>40000</v>
      </c>
      <c r="C13">
        <v>30</v>
      </c>
      <c r="D13" s="8">
        <v>1015827</v>
      </c>
      <c r="L13" s="1">
        <v>20000</v>
      </c>
      <c r="M13" s="1">
        <v>30000</v>
      </c>
      <c r="N13">
        <v>65</v>
      </c>
      <c r="O13" s="8">
        <v>1531569</v>
      </c>
    </row>
    <row r="14" spans="1:15" x14ac:dyDescent="0.25">
      <c r="A14" s="1">
        <v>40000</v>
      </c>
      <c r="B14" s="1">
        <v>50000</v>
      </c>
      <c r="C14">
        <v>19</v>
      </c>
      <c r="D14" s="8">
        <v>858422</v>
      </c>
      <c r="L14" s="1">
        <v>30000</v>
      </c>
      <c r="M14" s="1">
        <v>40000</v>
      </c>
      <c r="N14">
        <v>30</v>
      </c>
      <c r="O14" s="8">
        <v>1015827</v>
      </c>
    </row>
    <row r="15" spans="1:15" x14ac:dyDescent="0.25">
      <c r="A15" s="1">
        <v>50000</v>
      </c>
      <c r="B15" s="1">
        <v>75000</v>
      </c>
      <c r="C15">
        <v>21</v>
      </c>
      <c r="D15" s="8">
        <v>1242173</v>
      </c>
      <c r="L15" s="1">
        <v>40000</v>
      </c>
      <c r="M15" s="1">
        <v>50000</v>
      </c>
      <c r="N15">
        <v>19</v>
      </c>
      <c r="O15" s="8">
        <v>858422</v>
      </c>
    </row>
    <row r="16" spans="1:15" x14ac:dyDescent="0.25">
      <c r="A16" s="1">
        <v>75000</v>
      </c>
      <c r="B16" s="1">
        <v>100000</v>
      </c>
      <c r="C16">
        <v>13</v>
      </c>
      <c r="D16" s="8">
        <v>1114396</v>
      </c>
      <c r="L16" s="1">
        <v>50000</v>
      </c>
      <c r="M16" s="1">
        <v>75000</v>
      </c>
      <c r="N16">
        <v>21</v>
      </c>
      <c r="O16" s="8">
        <v>1242173</v>
      </c>
    </row>
    <row r="17" spans="1:15" x14ac:dyDescent="0.25">
      <c r="A17" s="1">
        <v>100000</v>
      </c>
      <c r="B17" s="1">
        <v>250000</v>
      </c>
      <c r="C17">
        <v>24</v>
      </c>
      <c r="D17" s="8">
        <v>3735336</v>
      </c>
      <c r="L17" s="1">
        <v>75000</v>
      </c>
      <c r="M17" s="1">
        <v>100000</v>
      </c>
      <c r="N17">
        <v>13</v>
      </c>
      <c r="O17" s="8">
        <v>1114396</v>
      </c>
    </row>
    <row r="18" spans="1:15" x14ac:dyDescent="0.25">
      <c r="A18" s="1">
        <v>250000</v>
      </c>
      <c r="B18" s="1">
        <v>500000</v>
      </c>
      <c r="C18">
        <v>6</v>
      </c>
      <c r="D18" s="8">
        <v>1971794</v>
      </c>
      <c r="L18" s="1">
        <v>100000</v>
      </c>
      <c r="M18" s="1">
        <v>250000</v>
      </c>
      <c r="N18">
        <v>24</v>
      </c>
      <c r="O18" s="8">
        <v>3735336</v>
      </c>
    </row>
    <row r="19" spans="1:15" x14ac:dyDescent="0.25">
      <c r="A19" s="1">
        <v>500000</v>
      </c>
      <c r="B19" t="s">
        <v>3</v>
      </c>
      <c r="C19">
        <v>4</v>
      </c>
      <c r="D19" s="8">
        <v>5535113</v>
      </c>
      <c r="L19" s="1">
        <v>250000</v>
      </c>
      <c r="M19" s="1">
        <v>500000</v>
      </c>
      <c r="N19">
        <v>6</v>
      </c>
      <c r="O19" s="8">
        <v>1971794</v>
      </c>
    </row>
    <row r="20" spans="1:15" x14ac:dyDescent="0.25">
      <c r="A20" s="2" t="s">
        <v>22</v>
      </c>
      <c r="D20" s="1">
        <f>SUM(D8:D19)</f>
        <v>34674841</v>
      </c>
      <c r="F20" s="2" t="s">
        <v>57</v>
      </c>
      <c r="L20" s="1">
        <v>500000</v>
      </c>
      <c r="M20" t="s">
        <v>3</v>
      </c>
      <c r="N20">
        <v>4</v>
      </c>
      <c r="O20" s="8">
        <v>5535113</v>
      </c>
    </row>
    <row r="21" spans="1:15" x14ac:dyDescent="0.25">
      <c r="A21" s="2" t="s">
        <v>23</v>
      </c>
      <c r="D21" s="1">
        <f>D20</f>
        <v>34674841</v>
      </c>
      <c r="F21" s="1">
        <f>D22-D8-D7</f>
        <v>36668787</v>
      </c>
      <c r="M21" s="8"/>
    </row>
    <row r="22" spans="1:15" x14ac:dyDescent="0.25">
      <c r="A22" s="2" t="s">
        <v>14</v>
      </c>
      <c r="D22" s="1">
        <v>48225238</v>
      </c>
      <c r="L22" s="2" t="s">
        <v>14</v>
      </c>
      <c r="O22" s="1">
        <v>48225238</v>
      </c>
    </row>
    <row r="23" spans="1:15" x14ac:dyDescent="0.25">
      <c r="A23" s="2" t="s">
        <v>15</v>
      </c>
      <c r="D23" s="3">
        <f>100*D21/D22</f>
        <v>71.901855621738974</v>
      </c>
      <c r="F23" s="3">
        <f>100*F21/D22</f>
        <v>76.036508103910236</v>
      </c>
      <c r="M23" s="8"/>
    </row>
    <row r="24" spans="1:15" x14ac:dyDescent="0.25">
      <c r="J24" s="8"/>
      <c r="M24" s="8"/>
    </row>
    <row r="25" spans="1:15" x14ac:dyDescent="0.25">
      <c r="M25" s="8"/>
    </row>
    <row r="26" spans="1:15" x14ac:dyDescent="0.25">
      <c r="M26" s="8"/>
    </row>
    <row r="27" spans="1:15" ht="18.75" x14ac:dyDescent="0.3">
      <c r="A27" s="11" t="s">
        <v>50</v>
      </c>
      <c r="M27" s="8"/>
    </row>
    <row r="28" spans="1:15" x14ac:dyDescent="0.25">
      <c r="M28" s="8"/>
    </row>
    <row r="29" spans="1:15" x14ac:dyDescent="0.25">
      <c r="A29" s="2" t="s">
        <v>54</v>
      </c>
      <c r="D29" s="1">
        <f>SUM(O9:O20)</f>
        <v>29745847</v>
      </c>
      <c r="F29" s="3"/>
    </row>
    <row r="30" spans="1:15" x14ac:dyDescent="0.25">
      <c r="A30" s="2" t="s">
        <v>43</v>
      </c>
      <c r="D30" s="13">
        <f>D29/D22*100</f>
        <v>61.681078691617863</v>
      </c>
      <c r="F30" s="3"/>
    </row>
    <row r="33" spans="1:4" ht="18.75" x14ac:dyDescent="0.3">
      <c r="A33" s="11" t="s">
        <v>51</v>
      </c>
    </row>
    <row r="35" spans="1:4" x14ac:dyDescent="0.25">
      <c r="A35" s="4" t="s">
        <v>67</v>
      </c>
      <c r="D35" s="1">
        <f>SUM(D9:D19)</f>
        <v>28308556</v>
      </c>
    </row>
    <row r="36" spans="1:4" x14ac:dyDescent="0.25">
      <c r="A36" s="2" t="s">
        <v>68</v>
      </c>
      <c r="D36" s="12">
        <f>D35/D22 * 100</f>
        <v>58.700707708275068</v>
      </c>
    </row>
    <row r="37" spans="1:4" x14ac:dyDescent="0.25">
      <c r="A37" s="2"/>
    </row>
    <row r="38" spans="1:4" ht="18.75" x14ac:dyDescent="0.3">
      <c r="A38" s="11" t="s">
        <v>59</v>
      </c>
    </row>
    <row r="40" spans="1:4" x14ac:dyDescent="0.25">
      <c r="A40" s="4" t="s">
        <v>58</v>
      </c>
      <c r="D40" s="1">
        <f>SUM(D10:D19)</f>
        <v>24178684</v>
      </c>
    </row>
    <row r="41" spans="1:4" x14ac:dyDescent="0.25">
      <c r="A41" s="2" t="s">
        <v>66</v>
      </c>
      <c r="D41" s="12">
        <f>D40/D22 * 100</f>
        <v>50.136992584671127</v>
      </c>
    </row>
    <row r="43" spans="1:4" ht="18.75" x14ac:dyDescent="0.3">
      <c r="A43" s="11" t="s">
        <v>69</v>
      </c>
    </row>
    <row r="45" spans="1:4" x14ac:dyDescent="0.25">
      <c r="A45" s="4" t="s">
        <v>22</v>
      </c>
      <c r="D45" s="1">
        <f>SUM(D8:D19)</f>
        <v>34674841</v>
      </c>
    </row>
    <row r="46" spans="1:4" x14ac:dyDescent="0.25">
      <c r="A46" s="2" t="s">
        <v>70</v>
      </c>
      <c r="D46" s="12">
        <f>D45/D22*100</f>
        <v>71.901855621738974</v>
      </c>
    </row>
    <row r="48" spans="1:4" ht="18.75" x14ac:dyDescent="0.3">
      <c r="A48" s="11" t="s">
        <v>73</v>
      </c>
    </row>
    <row r="50" spans="1:4" x14ac:dyDescent="0.25">
      <c r="A50" t="s">
        <v>35</v>
      </c>
      <c r="D50" s="1">
        <f>SUM(D12:D19)</f>
        <v>17004630</v>
      </c>
    </row>
    <row r="51" spans="1:4" x14ac:dyDescent="0.25">
      <c r="A51" t="s">
        <v>43</v>
      </c>
      <c r="D51" s="12">
        <f>D50/D22*100</f>
        <v>35.260852419224967</v>
      </c>
    </row>
    <row r="53" spans="1:4" ht="18.75" x14ac:dyDescent="0.3">
      <c r="A53" s="11" t="s">
        <v>74</v>
      </c>
    </row>
    <row r="55" spans="1:4" x14ac:dyDescent="0.25">
      <c r="A55" t="s">
        <v>35</v>
      </c>
      <c r="D55" s="1">
        <f>SUM(D17:D19)</f>
        <v>11242243</v>
      </c>
    </row>
    <row r="56" spans="1:4" x14ac:dyDescent="0.25">
      <c r="A56" t="s">
        <v>43</v>
      </c>
      <c r="D56" s="12">
        <f>D55/D22*100</f>
        <v>23.311949232889219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1983-1E2D-4296-BC15-C6FA9A40CC5F}">
  <dimension ref="A1:Q51"/>
  <sheetViews>
    <sheetView workbookViewId="0">
      <selection activeCell="D30" sqref="D30"/>
    </sheetView>
  </sheetViews>
  <sheetFormatPr defaultRowHeight="15" x14ac:dyDescent="0.25"/>
  <cols>
    <col min="4" max="4" width="10.140625" bestFit="1" customWidth="1"/>
  </cols>
  <sheetData>
    <row r="1" spans="1:4" x14ac:dyDescent="0.25">
      <c r="A1" t="s">
        <v>108</v>
      </c>
    </row>
    <row r="2" spans="1:4" x14ac:dyDescent="0.25">
      <c r="A2" s="21" t="s">
        <v>109</v>
      </c>
    </row>
    <row r="3" spans="1:4" x14ac:dyDescent="0.25">
      <c r="A3" s="21" t="s">
        <v>110</v>
      </c>
    </row>
    <row r="4" spans="1:4" x14ac:dyDescent="0.25">
      <c r="A4" t="s">
        <v>111</v>
      </c>
    </row>
    <row r="6" spans="1:4" ht="15.75" thickBot="1" x14ac:dyDescent="0.3">
      <c r="A6" s="7" t="s">
        <v>0</v>
      </c>
      <c r="B6" s="7" t="s">
        <v>1</v>
      </c>
      <c r="C6" s="7" t="s">
        <v>36</v>
      </c>
      <c r="D6" s="7" t="s">
        <v>4</v>
      </c>
    </row>
    <row r="7" spans="1:4" ht="15.75" thickBot="1" x14ac:dyDescent="0.3">
      <c r="A7" s="1">
        <v>1</v>
      </c>
      <c r="B7" s="1">
        <v>99</v>
      </c>
      <c r="C7" s="1">
        <v>78806</v>
      </c>
      <c r="D7" s="25">
        <v>1888882</v>
      </c>
    </row>
    <row r="8" spans="1:4" x14ac:dyDescent="0.25">
      <c r="A8" s="1">
        <v>100</v>
      </c>
      <c r="B8" s="1">
        <v>499</v>
      </c>
      <c r="C8" s="1">
        <v>31054</v>
      </c>
      <c r="D8" s="26">
        <v>7544871</v>
      </c>
    </row>
    <row r="9" spans="1:4" x14ac:dyDescent="0.25">
      <c r="A9" s="1">
        <v>500</v>
      </c>
      <c r="B9" s="1">
        <v>999</v>
      </c>
      <c r="C9" s="1">
        <v>8473</v>
      </c>
      <c r="D9" s="26">
        <v>5886009</v>
      </c>
    </row>
    <row r="10" spans="1:4" x14ac:dyDescent="0.25">
      <c r="A10" s="1">
        <v>1000</v>
      </c>
      <c r="B10" s="1">
        <v>1999</v>
      </c>
      <c r="C10" s="1">
        <v>4100</v>
      </c>
      <c r="D10" s="26">
        <v>5585494</v>
      </c>
    </row>
    <row r="11" spans="1:4" x14ac:dyDescent="0.25">
      <c r="A11" s="1">
        <v>2000</v>
      </c>
      <c r="B11" s="1">
        <v>2499</v>
      </c>
      <c r="C11" s="1">
        <v>736</v>
      </c>
      <c r="D11" s="26">
        <v>1641848</v>
      </c>
    </row>
    <row r="12" spans="1:4" x14ac:dyDescent="0.25">
      <c r="A12" s="1">
        <v>2500</v>
      </c>
      <c r="B12" s="1">
        <v>4999</v>
      </c>
      <c r="C12" s="1">
        <v>1147</v>
      </c>
      <c r="D12" s="26">
        <v>4092168</v>
      </c>
    </row>
    <row r="13" spans="1:4" x14ac:dyDescent="0.25">
      <c r="A13" s="1">
        <v>5000</v>
      </c>
      <c r="B13" s="1">
        <v>9999</v>
      </c>
      <c r="C13" s="1">
        <v>513</v>
      </c>
      <c r="D13" s="26">
        <v>3527104</v>
      </c>
    </row>
    <row r="14" spans="1:4" x14ac:dyDescent="0.25">
      <c r="A14" s="1">
        <v>10000</v>
      </c>
      <c r="B14" s="1">
        <v>14999</v>
      </c>
      <c r="C14" s="1">
        <v>171</v>
      </c>
      <c r="D14" s="26">
        <v>2075770</v>
      </c>
    </row>
    <row r="15" spans="1:4" x14ac:dyDescent="0.25">
      <c r="A15" s="1">
        <v>15000</v>
      </c>
      <c r="B15" s="1">
        <v>19999</v>
      </c>
      <c r="C15" s="1">
        <v>77</v>
      </c>
      <c r="D15" s="26">
        <v>1331710</v>
      </c>
    </row>
    <row r="16" spans="1:4" ht="15.75" thickBot="1" x14ac:dyDescent="0.3">
      <c r="A16" s="1">
        <v>20000</v>
      </c>
      <c r="B16" s="1">
        <v>49999</v>
      </c>
      <c r="C16" s="1">
        <v>119</v>
      </c>
      <c r="D16" s="26">
        <v>3596371</v>
      </c>
    </row>
    <row r="17" spans="1:6" ht="15.75" thickBot="1" x14ac:dyDescent="0.3">
      <c r="A17" s="1">
        <v>50000</v>
      </c>
      <c r="B17" s="1">
        <v>99999</v>
      </c>
      <c r="C17" s="1">
        <v>33</v>
      </c>
      <c r="D17" s="25">
        <v>2408180</v>
      </c>
    </row>
    <row r="18" spans="1:6" x14ac:dyDescent="0.25">
      <c r="A18" s="1">
        <v>100000</v>
      </c>
      <c r="B18" s="1">
        <v>499999</v>
      </c>
      <c r="C18" s="1">
        <v>52</v>
      </c>
      <c r="D18" s="26">
        <v>11352926</v>
      </c>
    </row>
    <row r="19" spans="1:6" x14ac:dyDescent="0.25">
      <c r="A19" s="1">
        <v>500000</v>
      </c>
      <c r="B19" s="1">
        <v>999999</v>
      </c>
      <c r="C19" s="1">
        <v>14</v>
      </c>
      <c r="D19" s="26">
        <v>9158189</v>
      </c>
    </row>
    <row r="20" spans="1:6" x14ac:dyDescent="0.25">
      <c r="A20" s="1">
        <v>1000000</v>
      </c>
      <c r="B20" s="1" t="s">
        <v>95</v>
      </c>
      <c r="C20" s="1">
        <v>5</v>
      </c>
      <c r="D20" s="26">
        <v>6827792</v>
      </c>
    </row>
    <row r="21" spans="1:6" x14ac:dyDescent="0.25">
      <c r="A21" s="4" t="s">
        <v>35</v>
      </c>
      <c r="B21" s="1"/>
      <c r="C21" s="1">
        <v>125300</v>
      </c>
      <c r="D21" s="26">
        <v>66846833</v>
      </c>
      <c r="F21" t="s">
        <v>112</v>
      </c>
    </row>
    <row r="23" spans="1:6" ht="18.75" x14ac:dyDescent="0.3">
      <c r="A23" s="11" t="s">
        <v>69</v>
      </c>
    </row>
    <row r="25" spans="1:6" x14ac:dyDescent="0.25">
      <c r="A25" s="4" t="s">
        <v>22</v>
      </c>
      <c r="D25" s="1">
        <f>SUM(D10:D20)</f>
        <v>51597552</v>
      </c>
    </row>
    <row r="26" spans="1:6" x14ac:dyDescent="0.25">
      <c r="A26" s="2" t="s">
        <v>70</v>
      </c>
      <c r="D26" s="12">
        <f>D25/D21*100</f>
        <v>77.187728549533531</v>
      </c>
    </row>
    <row r="28" spans="1:6" ht="18.75" x14ac:dyDescent="0.3">
      <c r="A28" s="11" t="s">
        <v>50</v>
      </c>
    </row>
    <row r="30" spans="1:6" x14ac:dyDescent="0.25">
      <c r="A30" s="4" t="s">
        <v>54</v>
      </c>
      <c r="D30" s="1">
        <f>SUM(D11:D20)</f>
        <v>46012058</v>
      </c>
    </row>
    <row r="31" spans="1:6" x14ac:dyDescent="0.25">
      <c r="A31" s="2" t="s">
        <v>97</v>
      </c>
      <c r="D31" s="12">
        <f>D30/D21*100</f>
        <v>68.832068678556553</v>
      </c>
    </row>
    <row r="33" spans="1:17" ht="18.75" x14ac:dyDescent="0.3">
      <c r="A33" s="11" t="s">
        <v>51</v>
      </c>
    </row>
    <row r="35" spans="1:17" x14ac:dyDescent="0.25">
      <c r="A35" s="4" t="s">
        <v>67</v>
      </c>
      <c r="D35" s="1">
        <f>SUM(D12:D20)</f>
        <v>44370210</v>
      </c>
    </row>
    <row r="36" spans="1:17" x14ac:dyDescent="0.25">
      <c r="A36" s="2" t="s">
        <v>68</v>
      </c>
      <c r="D36" s="12">
        <f>D35/D21*100</f>
        <v>66.375934369246778</v>
      </c>
    </row>
    <row r="37" spans="1:17" x14ac:dyDescent="0.25">
      <c r="A37" s="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8.75" x14ac:dyDescent="0.3">
      <c r="A38" s="11" t="s">
        <v>59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x14ac:dyDescent="0.25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25">
      <c r="A40" s="4" t="s">
        <v>58</v>
      </c>
      <c r="D40" s="1">
        <f>SUM(D13:D20)</f>
        <v>40278042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25">
      <c r="A41" s="2" t="s">
        <v>66</v>
      </c>
      <c r="D41" s="12">
        <f>D40/D21*100</f>
        <v>60.254226254817489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3" spans="1:17" ht="18.75" x14ac:dyDescent="0.3">
      <c r="A43" s="11" t="s">
        <v>73</v>
      </c>
    </row>
    <row r="45" spans="1:17" x14ac:dyDescent="0.25">
      <c r="A45" t="s">
        <v>35</v>
      </c>
      <c r="D45" s="1">
        <f>SUM(D16:D20)</f>
        <v>33343458</v>
      </c>
    </row>
    <row r="46" spans="1:17" x14ac:dyDescent="0.25">
      <c r="A46" t="s">
        <v>43</v>
      </c>
      <c r="D46" s="12">
        <f>D45/D21*100</f>
        <v>49.880385507567723</v>
      </c>
    </row>
    <row r="48" spans="1:17" ht="18.75" x14ac:dyDescent="0.3">
      <c r="A48" s="11" t="s">
        <v>74</v>
      </c>
    </row>
    <row r="50" spans="1:4" x14ac:dyDescent="0.25">
      <c r="A50" t="s">
        <v>35</v>
      </c>
      <c r="D50" s="1">
        <f>SUM(D18:D20)</f>
        <v>27338907</v>
      </c>
    </row>
    <row r="51" spans="1:4" x14ac:dyDescent="0.25">
      <c r="A51" t="s">
        <v>43</v>
      </c>
      <c r="D51" s="12">
        <f>D50/D21*100</f>
        <v>40.897834307273762</v>
      </c>
    </row>
  </sheetData>
  <hyperlinks>
    <hyperlink ref="A2" r:id="rId1" xr:uid="{3706BEE1-B7B0-454B-8812-12F4928DB69C}"/>
    <hyperlink ref="A3" r:id="rId2" xr:uid="{F6F195A7-0198-48A3-8B2C-9DCECD98A82F}"/>
  </hyperlinks>
  <pageMargins left="0.7" right="0.7" top="0.75" bottom="0.75" header="0.3" footer="0.3"/>
  <ignoredErrors>
    <ignoredError sqref="D25 D35 D40 D45 D50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3DFD-C1E0-4182-B8B9-0550FFE0B4EA}">
  <dimension ref="A1:D51"/>
  <sheetViews>
    <sheetView workbookViewId="0">
      <selection activeCell="D30" sqref="D30"/>
    </sheetView>
  </sheetViews>
  <sheetFormatPr defaultRowHeight="15" x14ac:dyDescent="0.25"/>
  <cols>
    <col min="4" max="4" width="12.7109375" customWidth="1"/>
    <col min="5" max="5" width="13.140625" customWidth="1"/>
  </cols>
  <sheetData>
    <row r="1" spans="1:4" x14ac:dyDescent="0.25">
      <c r="A1" t="s">
        <v>96</v>
      </c>
    </row>
    <row r="2" spans="1:4" x14ac:dyDescent="0.25">
      <c r="A2" t="s">
        <v>93</v>
      </c>
    </row>
    <row r="3" spans="1:4" x14ac:dyDescent="0.25">
      <c r="A3" t="s">
        <v>107</v>
      </c>
    </row>
    <row r="4" spans="1:4" x14ac:dyDescent="0.25">
      <c r="A4" t="s">
        <v>94</v>
      </c>
    </row>
    <row r="6" spans="1:4" x14ac:dyDescent="0.25">
      <c r="A6" s="7" t="s">
        <v>0</v>
      </c>
      <c r="B6" s="7" t="s">
        <v>1</v>
      </c>
      <c r="C6" s="7" t="s">
        <v>36</v>
      </c>
      <c r="D6" s="7" t="s">
        <v>4</v>
      </c>
    </row>
    <row r="7" spans="1:4" x14ac:dyDescent="0.25">
      <c r="A7" s="1">
        <v>1</v>
      </c>
      <c r="B7" s="1">
        <v>99</v>
      </c>
      <c r="C7" s="1">
        <v>108307</v>
      </c>
      <c r="D7" s="20">
        <v>2190339</v>
      </c>
    </row>
    <row r="8" spans="1:4" x14ac:dyDescent="0.25">
      <c r="A8" s="1">
        <v>100</v>
      </c>
      <c r="B8" s="1">
        <v>499</v>
      </c>
      <c r="C8" s="1">
        <v>32244</v>
      </c>
      <c r="D8" s="20">
        <v>7760320</v>
      </c>
    </row>
    <row r="9" spans="1:4" x14ac:dyDescent="0.25">
      <c r="A9" s="1">
        <v>500</v>
      </c>
      <c r="B9" s="1">
        <v>999</v>
      </c>
      <c r="C9" s="1">
        <v>8515</v>
      </c>
      <c r="D9" s="20">
        <v>5922495</v>
      </c>
    </row>
    <row r="10" spans="1:4" x14ac:dyDescent="0.25">
      <c r="A10" s="1">
        <v>1000</v>
      </c>
      <c r="B10" s="1">
        <v>1999</v>
      </c>
      <c r="C10" s="1">
        <v>4216</v>
      </c>
      <c r="D10" s="20">
        <v>5779036</v>
      </c>
    </row>
    <row r="11" spans="1:4" x14ac:dyDescent="0.25">
      <c r="A11" s="1">
        <v>2000</v>
      </c>
      <c r="B11" s="1">
        <v>2499</v>
      </c>
      <c r="C11">
        <v>734</v>
      </c>
      <c r="D11" s="20">
        <v>1637734</v>
      </c>
    </row>
    <row r="12" spans="1:4" x14ac:dyDescent="0.25">
      <c r="A12" s="1">
        <v>2500</v>
      </c>
      <c r="B12" s="1">
        <v>4999</v>
      </c>
      <c r="C12" s="1">
        <v>1364</v>
      </c>
      <c r="D12" s="20">
        <v>4647566</v>
      </c>
    </row>
    <row r="13" spans="1:4" x14ac:dyDescent="0.25">
      <c r="A13" s="1">
        <v>5000</v>
      </c>
      <c r="B13" s="1">
        <v>9999</v>
      </c>
      <c r="C13">
        <v>609</v>
      </c>
      <c r="D13" s="20">
        <v>4226294</v>
      </c>
    </row>
    <row r="14" spans="1:4" x14ac:dyDescent="0.25">
      <c r="A14" s="1">
        <v>10000</v>
      </c>
      <c r="B14" s="1">
        <v>14999</v>
      </c>
      <c r="C14">
        <v>197</v>
      </c>
      <c r="D14" s="20">
        <v>2410451</v>
      </c>
    </row>
    <row r="15" spans="1:4" x14ac:dyDescent="0.25">
      <c r="A15" s="1">
        <v>15000</v>
      </c>
      <c r="B15" s="1">
        <v>19999</v>
      </c>
      <c r="C15">
        <v>96</v>
      </c>
      <c r="D15" s="20">
        <v>1675566</v>
      </c>
    </row>
    <row r="16" spans="1:4" x14ac:dyDescent="0.25">
      <c r="A16" s="1">
        <v>20000</v>
      </c>
      <c r="B16" s="1">
        <v>49999</v>
      </c>
      <c r="C16">
        <v>167</v>
      </c>
      <c r="D16" s="20">
        <v>5075188</v>
      </c>
    </row>
    <row r="17" spans="1:4" x14ac:dyDescent="0.25">
      <c r="A17" s="1">
        <v>50000</v>
      </c>
      <c r="B17" s="1">
        <v>99999</v>
      </c>
      <c r="C17">
        <v>55</v>
      </c>
      <c r="D17" s="20">
        <v>3854850</v>
      </c>
    </row>
    <row r="18" spans="1:4" x14ac:dyDescent="0.25">
      <c r="A18" s="1">
        <v>100000</v>
      </c>
      <c r="B18" s="1">
        <v>499999</v>
      </c>
      <c r="C18">
        <v>77</v>
      </c>
      <c r="D18" s="20">
        <v>18233313</v>
      </c>
    </row>
    <row r="19" spans="1:4" x14ac:dyDescent="0.25">
      <c r="A19" s="1">
        <v>500000</v>
      </c>
      <c r="B19" s="1">
        <v>999999</v>
      </c>
      <c r="C19">
        <v>14</v>
      </c>
      <c r="D19" s="20">
        <v>8878127</v>
      </c>
    </row>
    <row r="20" spans="1:4" x14ac:dyDescent="0.25">
      <c r="A20" s="1">
        <v>1000000</v>
      </c>
      <c r="B20" s="8" t="s">
        <v>95</v>
      </c>
      <c r="C20">
        <v>7</v>
      </c>
      <c r="D20" s="20">
        <v>8958366</v>
      </c>
    </row>
    <row r="21" spans="1:4" x14ac:dyDescent="0.25">
      <c r="A21" s="2" t="s">
        <v>35</v>
      </c>
      <c r="C21" s="1">
        <v>156602</v>
      </c>
      <c r="D21" s="1">
        <v>81249645</v>
      </c>
    </row>
    <row r="22" spans="1:4" x14ac:dyDescent="0.25">
      <c r="C22" s="1"/>
      <c r="D22" s="1"/>
    </row>
    <row r="23" spans="1:4" ht="18.75" x14ac:dyDescent="0.3">
      <c r="A23" s="11" t="s">
        <v>69</v>
      </c>
    </row>
    <row r="25" spans="1:4" x14ac:dyDescent="0.25">
      <c r="A25" s="4" t="s">
        <v>22</v>
      </c>
      <c r="D25" s="1">
        <f>SUM(D10:D20)</f>
        <v>65376491</v>
      </c>
    </row>
    <row r="26" spans="1:4" x14ac:dyDescent="0.25">
      <c r="A26" s="2" t="s">
        <v>70</v>
      </c>
      <c r="D26" s="12">
        <f>D25/D21*100</f>
        <v>80.463725103045064</v>
      </c>
    </row>
    <row r="28" spans="1:4" ht="18.75" x14ac:dyDescent="0.3">
      <c r="A28" s="11" t="s">
        <v>50</v>
      </c>
    </row>
    <row r="30" spans="1:4" x14ac:dyDescent="0.25">
      <c r="A30" s="4" t="s">
        <v>54</v>
      </c>
      <c r="D30" s="1">
        <f>SUM(D11:D20)</f>
        <v>59597455</v>
      </c>
    </row>
    <row r="31" spans="1:4" x14ac:dyDescent="0.25">
      <c r="A31" s="2" t="s">
        <v>97</v>
      </c>
      <c r="D31" s="12">
        <f>D30/D21*100</f>
        <v>73.351034333750007</v>
      </c>
    </row>
    <row r="33" spans="1:4" ht="18.75" x14ac:dyDescent="0.3">
      <c r="A33" s="11" t="s">
        <v>51</v>
      </c>
    </row>
    <row r="35" spans="1:4" x14ac:dyDescent="0.25">
      <c r="A35" s="4" t="s">
        <v>67</v>
      </c>
      <c r="D35" s="1">
        <f>SUM(D12:D20)</f>
        <v>57959721</v>
      </c>
    </row>
    <row r="36" spans="1:4" x14ac:dyDescent="0.25">
      <c r="A36" s="2" t="s">
        <v>68</v>
      </c>
      <c r="D36" s="12">
        <f>D35/D21*100</f>
        <v>71.3353529113881</v>
      </c>
    </row>
    <row r="37" spans="1:4" x14ac:dyDescent="0.25">
      <c r="A37" s="2"/>
    </row>
    <row r="38" spans="1:4" ht="18.75" x14ac:dyDescent="0.3">
      <c r="A38" s="11" t="s">
        <v>59</v>
      </c>
    </row>
    <row r="40" spans="1:4" x14ac:dyDescent="0.25">
      <c r="A40" s="4" t="s">
        <v>58</v>
      </c>
      <c r="D40" s="1">
        <f>SUM(D13:D20)</f>
        <v>53312155</v>
      </c>
    </row>
    <row r="41" spans="1:4" x14ac:dyDescent="0.25">
      <c r="A41" s="2" t="s">
        <v>66</v>
      </c>
      <c r="D41" s="12">
        <f>D40/D21*100</f>
        <v>65.615246688154755</v>
      </c>
    </row>
    <row r="43" spans="1:4" ht="18.75" x14ac:dyDescent="0.3">
      <c r="A43" s="11" t="s">
        <v>73</v>
      </c>
    </row>
    <row r="45" spans="1:4" x14ac:dyDescent="0.25">
      <c r="A45" t="s">
        <v>35</v>
      </c>
      <c r="D45" s="1">
        <f>SUM(D16:D20)</f>
        <v>44999844</v>
      </c>
    </row>
    <row r="46" spans="1:4" x14ac:dyDescent="0.25">
      <c r="A46" t="s">
        <v>43</v>
      </c>
      <c r="D46" s="12">
        <f>D45/D21*100</f>
        <v>55.384665372999478</v>
      </c>
    </row>
    <row r="48" spans="1:4" ht="18.75" x14ac:dyDescent="0.3">
      <c r="A48" s="11" t="s">
        <v>74</v>
      </c>
    </row>
    <row r="50" spans="1:4" x14ac:dyDescent="0.25">
      <c r="A50" t="s">
        <v>35</v>
      </c>
      <c r="D50" s="1">
        <f>SUM(D18:D20)</f>
        <v>36069806</v>
      </c>
    </row>
    <row r="51" spans="1:4" x14ac:dyDescent="0.25">
      <c r="A51" t="s">
        <v>43</v>
      </c>
      <c r="D51" s="12">
        <f>D50/D21*100</f>
        <v>44.393801351378215</v>
      </c>
    </row>
  </sheetData>
  <pageMargins left="0.7" right="0.7" top="0.75" bottom="0.75" header="0.3" footer="0.3"/>
  <ignoredErrors>
    <ignoredError sqref="D25 D30 D35 D40 D45 D50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F376-2D53-4EC0-B932-712BB7C94480}">
  <dimension ref="A1:M67"/>
  <sheetViews>
    <sheetView workbookViewId="0">
      <selection activeCell="E10" sqref="E10"/>
    </sheetView>
  </sheetViews>
  <sheetFormatPr defaultRowHeight="15" x14ac:dyDescent="0.25"/>
  <cols>
    <col min="1" max="1" width="12.140625" customWidth="1"/>
    <col min="3" max="3" width="11.140625" customWidth="1"/>
    <col min="4" max="4" width="11.42578125" customWidth="1"/>
    <col min="5" max="5" width="11" customWidth="1"/>
    <col min="6" max="6" width="10.140625" bestFit="1" customWidth="1"/>
    <col min="7" max="7" width="11" customWidth="1"/>
    <col min="8" max="8" width="9.85546875" customWidth="1"/>
  </cols>
  <sheetData>
    <row r="1" spans="1:13" x14ac:dyDescent="0.25">
      <c r="M1" s="16"/>
    </row>
    <row r="2" spans="1:13" ht="18.75" x14ac:dyDescent="0.3">
      <c r="A2" s="11" t="s">
        <v>50</v>
      </c>
      <c r="K2" s="2" t="s">
        <v>71</v>
      </c>
      <c r="M2" s="2" t="s">
        <v>72</v>
      </c>
    </row>
    <row r="3" spans="1:13" x14ac:dyDescent="0.25">
      <c r="M3" s="16"/>
    </row>
    <row r="4" spans="1:13" x14ac:dyDescent="0.25">
      <c r="C4" s="7" t="s">
        <v>63</v>
      </c>
      <c r="D4" s="7" t="s">
        <v>37</v>
      </c>
      <c r="E4" s="7" t="s">
        <v>32</v>
      </c>
      <c r="M4" s="16"/>
    </row>
    <row r="5" spans="1:13" x14ac:dyDescent="0.25">
      <c r="A5" s="10" t="s">
        <v>126</v>
      </c>
      <c r="B5" s="14">
        <v>1900</v>
      </c>
      <c r="C5" s="27"/>
      <c r="D5" s="27"/>
      <c r="E5" s="27"/>
      <c r="M5" s="16"/>
    </row>
    <row r="6" spans="1:13" x14ac:dyDescent="0.25">
      <c r="A6" s="10" t="s">
        <v>64</v>
      </c>
      <c r="B6" s="14">
        <v>1930</v>
      </c>
      <c r="C6" s="3">
        <v>37.200000000000003</v>
      </c>
      <c r="D6" s="3">
        <v>36</v>
      </c>
      <c r="E6" s="3">
        <v>32.6</v>
      </c>
      <c r="K6" s="3">
        <f>E6-C6</f>
        <v>-4.6000000000000014</v>
      </c>
      <c r="M6" s="16">
        <f>E6/C6</f>
        <v>0.87634408602150538</v>
      </c>
    </row>
    <row r="7" spans="1:13" x14ac:dyDescent="0.25">
      <c r="A7" s="10" t="s">
        <v>65</v>
      </c>
      <c r="B7" s="14">
        <v>1960</v>
      </c>
      <c r="C7" s="3">
        <v>53.8</v>
      </c>
      <c r="D7" s="3">
        <v>57.2</v>
      </c>
      <c r="E7" s="3">
        <v>60.4</v>
      </c>
      <c r="K7" s="3">
        <f>E7-C7</f>
        <v>6.6000000000000014</v>
      </c>
      <c r="M7" s="16">
        <f>E7/C7</f>
        <v>1.1226765799256506</v>
      </c>
    </row>
    <row r="8" spans="1:13" x14ac:dyDescent="0.25">
      <c r="B8" s="14">
        <v>1970</v>
      </c>
      <c r="C8" s="3">
        <v>61.7</v>
      </c>
      <c r="D8" s="3">
        <v>65.7</v>
      </c>
      <c r="E8" s="3">
        <v>69.7</v>
      </c>
      <c r="K8" s="3">
        <f>E8-C8</f>
        <v>8</v>
      </c>
      <c r="M8" s="16">
        <f>E8/C8</f>
        <v>1.1296596434359805</v>
      </c>
    </row>
    <row r="9" spans="1:13" x14ac:dyDescent="0.25">
      <c r="A9" s="10" t="s">
        <v>90</v>
      </c>
      <c r="B9" s="14">
        <v>1980</v>
      </c>
      <c r="C9" s="3">
        <v>68.8</v>
      </c>
      <c r="D9" s="3">
        <v>67.400000000000006</v>
      </c>
      <c r="E9" s="3">
        <v>67.400000000000006</v>
      </c>
      <c r="K9" s="3">
        <f>E9-C9</f>
        <v>-1.3999999999999915</v>
      </c>
      <c r="M9" s="16">
        <f>E9/C9</f>
        <v>0.97965116279069775</v>
      </c>
    </row>
    <row r="10" spans="1:13" x14ac:dyDescent="0.25">
      <c r="A10" s="10" t="s">
        <v>91</v>
      </c>
      <c r="B10" s="14">
        <v>1990</v>
      </c>
      <c r="C10" s="3">
        <v>73.400000000000006</v>
      </c>
      <c r="D10" s="3"/>
      <c r="E10" s="3">
        <v>73</v>
      </c>
      <c r="K10" s="3">
        <f>E10-C10</f>
        <v>-0.40000000000000568</v>
      </c>
      <c r="M10" s="16">
        <f>E10/C10</f>
        <v>0.99455040871934597</v>
      </c>
    </row>
    <row r="11" spans="1:13" x14ac:dyDescent="0.25">
      <c r="M11" s="16"/>
    </row>
    <row r="12" spans="1:13" ht="18.75" x14ac:dyDescent="0.3">
      <c r="A12" s="11" t="s">
        <v>59</v>
      </c>
      <c r="M12" s="16"/>
    </row>
    <row r="13" spans="1:13" x14ac:dyDescent="0.25">
      <c r="M13" s="16"/>
    </row>
    <row r="14" spans="1:13" x14ac:dyDescent="0.25">
      <c r="C14" s="7" t="s">
        <v>63</v>
      </c>
      <c r="D14" s="7" t="s">
        <v>37</v>
      </c>
      <c r="E14" s="7" t="s">
        <v>32</v>
      </c>
      <c r="M14" s="16"/>
    </row>
    <row r="15" spans="1:13" x14ac:dyDescent="0.25">
      <c r="A15" s="10" t="s">
        <v>64</v>
      </c>
      <c r="B15" s="14">
        <v>1930</v>
      </c>
      <c r="C15" s="3">
        <v>25.6</v>
      </c>
      <c r="D15" s="3">
        <v>21.7</v>
      </c>
      <c r="E15" s="3">
        <v>20.5</v>
      </c>
      <c r="K15" s="3">
        <f>E15-C15</f>
        <v>-5.1000000000000014</v>
      </c>
      <c r="M15" s="16">
        <f t="shared" ref="M15:M17" si="0">E15/C15</f>
        <v>0.80078125</v>
      </c>
    </row>
    <row r="16" spans="1:13" x14ac:dyDescent="0.25">
      <c r="A16" s="10" t="s">
        <v>65</v>
      </c>
      <c r="B16" s="14">
        <v>1960</v>
      </c>
      <c r="C16" s="3">
        <v>42.2</v>
      </c>
      <c r="D16" s="3">
        <v>47.8</v>
      </c>
      <c r="E16" s="3">
        <v>52.9</v>
      </c>
      <c r="K16" s="3">
        <f>E16-C16</f>
        <v>10.699999999999996</v>
      </c>
      <c r="M16" s="16">
        <f t="shared" si="0"/>
        <v>1.2535545023696681</v>
      </c>
    </row>
    <row r="17" spans="1:13" x14ac:dyDescent="0.25">
      <c r="B17" s="14">
        <v>1970</v>
      </c>
      <c r="C17" s="3">
        <v>50.1</v>
      </c>
      <c r="D17" s="3">
        <v>56.4</v>
      </c>
      <c r="E17" s="3">
        <v>62.6</v>
      </c>
      <c r="K17" s="3">
        <f>E17-C17</f>
        <v>12.5</v>
      </c>
      <c r="M17" s="16">
        <f t="shared" si="0"/>
        <v>1.2495009980039919</v>
      </c>
    </row>
    <row r="18" spans="1:13" x14ac:dyDescent="0.25">
      <c r="A18" s="10" t="s">
        <v>90</v>
      </c>
      <c r="B18" s="14">
        <v>1980</v>
      </c>
      <c r="C18" s="3">
        <v>60.3</v>
      </c>
      <c r="D18" s="3">
        <v>65</v>
      </c>
      <c r="E18" s="3">
        <v>66.900000000000006</v>
      </c>
      <c r="K18" s="3">
        <f>E18-C18</f>
        <v>6.6000000000000085</v>
      </c>
      <c r="M18" s="16">
        <f t="shared" ref="M18:M19" si="1">E18/C18</f>
        <v>1.1094527363184081</v>
      </c>
    </row>
    <row r="19" spans="1:13" x14ac:dyDescent="0.25">
      <c r="A19" s="10" t="s">
        <v>91</v>
      </c>
      <c r="B19" s="14">
        <v>1990</v>
      </c>
      <c r="C19" s="3">
        <v>65.599999999999994</v>
      </c>
      <c r="E19" s="3">
        <v>71.099999999999994</v>
      </c>
      <c r="K19" s="3">
        <f>E19-C19</f>
        <v>5.5</v>
      </c>
      <c r="M19" s="16">
        <f t="shared" si="1"/>
        <v>1.0838414634146341</v>
      </c>
    </row>
    <row r="21" spans="1:13" ht="18.75" x14ac:dyDescent="0.3">
      <c r="A21" s="11" t="s">
        <v>73</v>
      </c>
    </row>
    <row r="22" spans="1:13" x14ac:dyDescent="0.25">
      <c r="C22" s="7" t="s">
        <v>63</v>
      </c>
      <c r="D22" s="7" t="s">
        <v>37</v>
      </c>
      <c r="E22" s="7" t="s">
        <v>32</v>
      </c>
    </row>
    <row r="23" spans="1:13" x14ac:dyDescent="0.25">
      <c r="A23" s="10" t="s">
        <v>64</v>
      </c>
      <c r="B23" s="14">
        <v>1930</v>
      </c>
      <c r="C23" s="3"/>
      <c r="D23" s="3">
        <v>12.1</v>
      </c>
      <c r="E23" s="3">
        <v>11.8</v>
      </c>
    </row>
    <row r="24" spans="1:13" x14ac:dyDescent="0.25">
      <c r="A24" s="10" t="s">
        <v>65</v>
      </c>
      <c r="B24" s="14">
        <v>1960</v>
      </c>
      <c r="C24" s="3">
        <v>29.6</v>
      </c>
      <c r="D24" s="3">
        <v>35.6</v>
      </c>
      <c r="E24" s="3">
        <v>41</v>
      </c>
      <c r="K24" s="3">
        <f>E24-C24</f>
        <v>11.399999999999999</v>
      </c>
      <c r="M24" s="16">
        <f t="shared" ref="M24:M25" si="2">E24/C24</f>
        <v>1.3851351351351351</v>
      </c>
    </row>
    <row r="25" spans="1:13" x14ac:dyDescent="0.25">
      <c r="B25" s="14">
        <v>1970</v>
      </c>
      <c r="C25" s="3">
        <v>35.299999999999997</v>
      </c>
      <c r="D25" s="3">
        <v>44.3</v>
      </c>
      <c r="E25" s="3">
        <v>50.8</v>
      </c>
      <c r="K25" s="3">
        <f>E25-C25</f>
        <v>15.5</v>
      </c>
      <c r="M25" s="16">
        <f t="shared" si="2"/>
        <v>1.4390934844192635</v>
      </c>
    </row>
    <row r="26" spans="1:13" x14ac:dyDescent="0.25">
      <c r="A26" s="10" t="s">
        <v>90</v>
      </c>
      <c r="B26" s="14">
        <v>1980</v>
      </c>
      <c r="C26" s="3">
        <v>49.9</v>
      </c>
      <c r="D26" s="3">
        <v>54.9</v>
      </c>
      <c r="E26" s="15">
        <v>58</v>
      </c>
      <c r="K26" s="3">
        <f>E26-C26</f>
        <v>8.1000000000000014</v>
      </c>
      <c r="M26" s="16">
        <f t="shared" ref="M26:M27" si="3">E26/C26</f>
        <v>1.1623246492985972</v>
      </c>
    </row>
    <row r="27" spans="1:13" x14ac:dyDescent="0.25">
      <c r="A27" s="10" t="s">
        <v>91</v>
      </c>
      <c r="B27" s="14">
        <v>1990</v>
      </c>
      <c r="C27" s="3">
        <v>55.4</v>
      </c>
      <c r="D27" s="3"/>
      <c r="E27" s="15">
        <v>61.9</v>
      </c>
      <c r="K27" s="3">
        <f>E27-C27</f>
        <v>6.5</v>
      </c>
      <c r="M27" s="16">
        <f t="shared" si="3"/>
        <v>1.1173285198555958</v>
      </c>
    </row>
    <row r="28" spans="1:13" x14ac:dyDescent="0.25">
      <c r="B28" s="14"/>
      <c r="C28" s="3"/>
      <c r="D28" s="3"/>
      <c r="E28" s="15"/>
    </row>
    <row r="29" spans="1:13" x14ac:dyDescent="0.25">
      <c r="C29" s="3"/>
      <c r="D29" s="3"/>
      <c r="E29" s="3"/>
    </row>
    <row r="30" spans="1:13" ht="18.75" x14ac:dyDescent="0.3">
      <c r="A30" s="11" t="s">
        <v>74</v>
      </c>
      <c r="C30" s="3"/>
      <c r="D30" s="3"/>
      <c r="E30" s="3"/>
    </row>
    <row r="31" spans="1:13" x14ac:dyDescent="0.25">
      <c r="C31" s="17" t="s">
        <v>63</v>
      </c>
      <c r="D31" s="17" t="s">
        <v>37</v>
      </c>
      <c r="E31" s="17" t="s">
        <v>32</v>
      </c>
    </row>
    <row r="32" spans="1:13" x14ac:dyDescent="0.25">
      <c r="A32" s="10" t="s">
        <v>64</v>
      </c>
      <c r="B32" s="14">
        <v>1930</v>
      </c>
      <c r="C32" s="3"/>
      <c r="D32" s="3">
        <v>6.5</v>
      </c>
      <c r="E32" s="3">
        <v>6.4</v>
      </c>
    </row>
    <row r="33" spans="1:13" x14ac:dyDescent="0.25">
      <c r="A33" s="10" t="s">
        <v>65</v>
      </c>
      <c r="B33" s="14">
        <v>1960</v>
      </c>
      <c r="C33" s="3">
        <v>18.600000000000001</v>
      </c>
      <c r="D33" s="3">
        <v>23.3</v>
      </c>
      <c r="E33" s="3">
        <v>27</v>
      </c>
      <c r="K33" s="3">
        <f>E33-C33</f>
        <v>8.3999999999999986</v>
      </c>
      <c r="M33" s="16">
        <f t="shared" ref="M33:M34" si="4">E33/C33</f>
        <v>1.4516129032258063</v>
      </c>
    </row>
    <row r="34" spans="1:13" x14ac:dyDescent="0.25">
      <c r="B34" s="14">
        <v>1970</v>
      </c>
      <c r="C34" s="3">
        <v>23.3</v>
      </c>
      <c r="D34" s="3">
        <v>31.2</v>
      </c>
      <c r="E34" s="3">
        <v>35.799999999999997</v>
      </c>
      <c r="K34" s="3">
        <f>E34-C34</f>
        <v>12.499999999999996</v>
      </c>
      <c r="M34" s="16">
        <f t="shared" si="4"/>
        <v>1.5364806866952787</v>
      </c>
    </row>
    <row r="35" spans="1:13" x14ac:dyDescent="0.25">
      <c r="A35" s="10" t="s">
        <v>90</v>
      </c>
      <c r="B35" s="14">
        <v>1980</v>
      </c>
      <c r="C35" s="3">
        <v>40.9</v>
      </c>
      <c r="D35" s="3">
        <v>40.4</v>
      </c>
      <c r="E35" s="15">
        <v>42.7</v>
      </c>
      <c r="K35" s="3">
        <f>E35-C35</f>
        <v>1.8000000000000043</v>
      </c>
      <c r="M35" s="16">
        <f t="shared" ref="M35:M36" si="5">E35/C35</f>
        <v>1.0440097799511003</v>
      </c>
    </row>
    <row r="36" spans="1:13" x14ac:dyDescent="0.25">
      <c r="A36" s="10" t="s">
        <v>91</v>
      </c>
      <c r="B36" s="14">
        <v>1990</v>
      </c>
      <c r="C36" s="3">
        <v>44.4</v>
      </c>
      <c r="D36" s="3"/>
      <c r="E36" s="15">
        <v>45.7</v>
      </c>
      <c r="K36" s="3">
        <f>E36-C36</f>
        <v>1.3000000000000043</v>
      </c>
      <c r="M36" s="16">
        <f t="shared" si="5"/>
        <v>1.0292792792792793</v>
      </c>
    </row>
    <row r="39" spans="1:13" ht="18.75" x14ac:dyDescent="0.3">
      <c r="A39" s="11" t="s">
        <v>76</v>
      </c>
    </row>
    <row r="41" spans="1:13" x14ac:dyDescent="0.25">
      <c r="C41" s="36" t="s">
        <v>37</v>
      </c>
      <c r="D41" s="36"/>
      <c r="E41" s="36"/>
      <c r="F41" s="2"/>
      <c r="G41" s="36" t="s">
        <v>32</v>
      </c>
      <c r="H41" s="36"/>
      <c r="I41" s="36"/>
    </row>
    <row r="42" spans="1:13" x14ac:dyDescent="0.25">
      <c r="A42" t="s">
        <v>77</v>
      </c>
      <c r="C42" s="7" t="s">
        <v>78</v>
      </c>
      <c r="D42" s="7" t="s">
        <v>23</v>
      </c>
      <c r="E42" s="7" t="s">
        <v>79</v>
      </c>
      <c r="F42" s="2"/>
      <c r="G42" s="7" t="s">
        <v>78</v>
      </c>
      <c r="H42" s="7" t="s">
        <v>23</v>
      </c>
      <c r="I42" s="7" t="s">
        <v>79</v>
      </c>
    </row>
    <row r="43" spans="1:13" x14ac:dyDescent="0.25">
      <c r="A43" s="14">
        <v>1897</v>
      </c>
      <c r="E43">
        <v>15</v>
      </c>
      <c r="G43" s="1"/>
      <c r="H43" s="1"/>
      <c r="I43">
        <v>14.7</v>
      </c>
    </row>
    <row r="44" spans="1:13" x14ac:dyDescent="0.25">
      <c r="A44" s="14">
        <v>1913</v>
      </c>
      <c r="E44">
        <v>18</v>
      </c>
      <c r="G44" s="1"/>
      <c r="H44" s="1"/>
    </row>
    <row r="45" spans="1:13" x14ac:dyDescent="0.25">
      <c r="A45" s="14">
        <v>1920</v>
      </c>
      <c r="E45">
        <v>15</v>
      </c>
      <c r="G45" s="1"/>
      <c r="H45" s="1"/>
      <c r="I45">
        <v>14.2</v>
      </c>
    </row>
    <row r="46" spans="1:13" x14ac:dyDescent="0.25">
      <c r="A46" s="14">
        <v>1926</v>
      </c>
      <c r="E46">
        <v>17.899999999999999</v>
      </c>
      <c r="G46" s="1"/>
      <c r="H46" s="1"/>
      <c r="I46">
        <v>17.3</v>
      </c>
    </row>
    <row r="47" spans="1:13" x14ac:dyDescent="0.25">
      <c r="A47" s="14">
        <v>1937</v>
      </c>
      <c r="C47" s="1">
        <v>162039470</v>
      </c>
      <c r="D47" s="1">
        <v>51949458</v>
      </c>
      <c r="E47">
        <v>31.2</v>
      </c>
      <c r="G47" s="1">
        <v>103967924</v>
      </c>
      <c r="H47" s="1">
        <v>34373245</v>
      </c>
      <c r="I47" s="18">
        <f>H47/G47*100</f>
        <v>33.061394012253245</v>
      </c>
    </row>
    <row r="48" spans="1:13" x14ac:dyDescent="0.25">
      <c r="A48" s="14" t="s">
        <v>104</v>
      </c>
      <c r="C48" s="3">
        <f>C47/1000000</f>
        <v>162.03946999999999</v>
      </c>
      <c r="D48" s="3">
        <v>43.7</v>
      </c>
      <c r="E48" s="3">
        <f>D48/C48*100</f>
        <v>26.968737925395587</v>
      </c>
      <c r="F48" s="3"/>
      <c r="G48" s="3">
        <f>G47/1000000</f>
        <v>103.967924</v>
      </c>
      <c r="H48" s="3">
        <v>30</v>
      </c>
      <c r="I48" s="3">
        <f>H48/G48*100</f>
        <v>28.855053410511495</v>
      </c>
    </row>
    <row r="49" spans="1:9" x14ac:dyDescent="0.25">
      <c r="A49" s="14">
        <v>1939</v>
      </c>
      <c r="C49" s="1">
        <v>190677890</v>
      </c>
      <c r="D49" s="1">
        <v>60409216</v>
      </c>
      <c r="E49" s="3">
        <f>D49/C49*100</f>
        <v>31.681290368799448</v>
      </c>
      <c r="G49" s="1">
        <v>108377210</v>
      </c>
      <c r="H49" s="1">
        <v>36295552</v>
      </c>
      <c r="I49" s="18">
        <f>H49/G49*100</f>
        <v>33.490022487200036</v>
      </c>
    </row>
    <row r="50" spans="1:9" x14ac:dyDescent="0.25">
      <c r="A50" s="14" t="s">
        <v>85</v>
      </c>
      <c r="C50">
        <v>167.65</v>
      </c>
      <c r="D50">
        <v>47.5</v>
      </c>
      <c r="E50" s="3">
        <f>D50/C50*100</f>
        <v>28.332836266030419</v>
      </c>
      <c r="G50" s="18">
        <v>106.9</v>
      </c>
      <c r="H50" s="18">
        <v>33.700000000000003</v>
      </c>
      <c r="I50" s="18">
        <f>H50/G50*100</f>
        <v>31.524789522918617</v>
      </c>
    </row>
    <row r="51" spans="1:9" x14ac:dyDescent="0.25">
      <c r="A51" s="14">
        <v>1959</v>
      </c>
      <c r="C51" s="1">
        <v>208826650</v>
      </c>
      <c r="D51" s="1">
        <v>99977695</v>
      </c>
      <c r="E51" s="3">
        <f t="shared" ref="E51:E54" si="6">D51/C51*100</f>
        <v>47.875927234383155</v>
      </c>
      <c r="G51" s="1">
        <v>117534306</v>
      </c>
      <c r="H51" s="1">
        <v>61611074</v>
      </c>
      <c r="I51" s="18">
        <f t="shared" ref="I51:I54" si="7">H51/G51*100</f>
        <v>52.419651841905633</v>
      </c>
    </row>
    <row r="52" spans="1:9" x14ac:dyDescent="0.25">
      <c r="A52" s="14">
        <v>1970</v>
      </c>
      <c r="C52" s="1">
        <v>241720134</v>
      </c>
      <c r="D52" s="1">
        <v>135991514</v>
      </c>
      <c r="E52" s="3">
        <f t="shared" si="6"/>
        <v>56.259903446851482</v>
      </c>
      <c r="G52" s="1">
        <v>130079210</v>
      </c>
      <c r="H52" s="1">
        <v>80981143</v>
      </c>
      <c r="I52" s="18">
        <f t="shared" si="7"/>
        <v>62.255254317734554</v>
      </c>
    </row>
    <row r="53" spans="1:9" x14ac:dyDescent="0.25">
      <c r="A53" s="14">
        <v>1979</v>
      </c>
      <c r="C53" s="1">
        <v>262436227</v>
      </c>
      <c r="D53" s="1">
        <v>163585914</v>
      </c>
      <c r="E53" s="3">
        <f t="shared" si="6"/>
        <v>62.333587047035245</v>
      </c>
      <c r="G53" s="1">
        <v>137550949</v>
      </c>
      <c r="H53" s="1">
        <v>95373867</v>
      </c>
      <c r="I53" s="18">
        <f t="shared" si="7"/>
        <v>69.337120313143018</v>
      </c>
    </row>
    <row r="54" spans="1:9" x14ac:dyDescent="0.25">
      <c r="A54" s="14">
        <v>1989</v>
      </c>
      <c r="C54" s="1">
        <v>286731</v>
      </c>
      <c r="D54" s="1">
        <v>188814</v>
      </c>
      <c r="E54" s="3">
        <f t="shared" si="6"/>
        <v>65.850570744007456</v>
      </c>
      <c r="F54" s="1"/>
      <c r="G54" s="1">
        <v>147400</v>
      </c>
      <c r="H54" s="1">
        <v>108425</v>
      </c>
      <c r="I54" s="18">
        <f t="shared" si="7"/>
        <v>73.558344640434186</v>
      </c>
    </row>
    <row r="56" spans="1:9" x14ac:dyDescent="0.25">
      <c r="A56" t="s">
        <v>105</v>
      </c>
    </row>
    <row r="57" spans="1:9" x14ac:dyDescent="0.25">
      <c r="B57" t="s">
        <v>80</v>
      </c>
    </row>
    <row r="58" spans="1:9" x14ac:dyDescent="0.25">
      <c r="B58" t="s">
        <v>83</v>
      </c>
    </row>
    <row r="59" spans="1:9" x14ac:dyDescent="0.25">
      <c r="A59" t="s">
        <v>82</v>
      </c>
    </row>
    <row r="60" spans="1:9" x14ac:dyDescent="0.25">
      <c r="A60" t="s">
        <v>86</v>
      </c>
    </row>
    <row r="61" spans="1:9" x14ac:dyDescent="0.25">
      <c r="B61" t="s">
        <v>87</v>
      </c>
    </row>
    <row r="62" spans="1:9" x14ac:dyDescent="0.25">
      <c r="A62" t="s">
        <v>103</v>
      </c>
    </row>
    <row r="63" spans="1:9" x14ac:dyDescent="0.25">
      <c r="B63" t="s">
        <v>102</v>
      </c>
    </row>
    <row r="64" spans="1:9" x14ac:dyDescent="0.25">
      <c r="A64" t="s">
        <v>101</v>
      </c>
    </row>
    <row r="65" spans="2:2" x14ac:dyDescent="0.25">
      <c r="B65" t="s">
        <v>84</v>
      </c>
    </row>
    <row r="66" spans="2:2" x14ac:dyDescent="0.25">
      <c r="B66" t="s">
        <v>100</v>
      </c>
    </row>
    <row r="67" spans="2:2" x14ac:dyDescent="0.25">
      <c r="B67" t="s">
        <v>102</v>
      </c>
    </row>
  </sheetData>
  <mergeCells count="2">
    <mergeCell ref="C41:E41"/>
    <mergeCell ref="G41:I4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Notes</vt:lpstr>
      <vt:lpstr>RU-1897</vt:lpstr>
      <vt:lpstr>RU-1926</vt:lpstr>
      <vt:lpstr>USSR-1926</vt:lpstr>
      <vt:lpstr>USSR-1959</vt:lpstr>
      <vt:lpstr>USSR-1970</vt:lpstr>
      <vt:lpstr>USSR-1979</vt:lpstr>
      <vt:lpstr>RSFSR-1926</vt:lpstr>
      <vt:lpstr>RSFSR-1959</vt:lpstr>
      <vt:lpstr>RSFSR-1970</vt:lpstr>
      <vt:lpstr>RSFSR-1979</vt:lpstr>
      <vt:lpstr>RSFSR-1989</vt:lpstr>
      <vt:lpstr>MX-1930</vt:lpstr>
      <vt:lpstr>MX-1950</vt:lpstr>
      <vt:lpstr>MX-1960</vt:lpstr>
      <vt:lpstr>MX-1970</vt:lpstr>
      <vt:lpstr>MX-1980</vt:lpstr>
      <vt:lpstr>MX-1990</vt:lpstr>
      <vt:lpstr>Итоги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2026-04-27T09:02:17Z</dcterms:created>
  <dcterms:modified xsi:type="dcterms:W3CDTF">2026-07-05T01:16:43Z</dcterms:modified>
</cp:coreProperties>
</file>