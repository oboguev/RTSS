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DE9CFA20-2C58-4386-A7FF-1BC25E84DAF6}" xr6:coauthVersionLast="45" xr6:coauthVersionMax="47" xr10:uidLastSave="{00000000-0000-0000-0000-000000000000}"/>
  <bookViews>
    <workbookView xWindow="-60" yWindow="-60" windowWidth="38520" windowHeight="23700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41" i="14" l="1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D229" i="14" s="1"/>
  <c r="C193" i="14"/>
  <c r="F193" i="14" s="1"/>
  <c r="C226" i="14" s="1"/>
  <c r="D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D228" i="14" s="1"/>
  <c r="C194" i="14"/>
  <c r="F194" i="14" s="1"/>
  <c r="C227" i="14" s="1"/>
  <c r="D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I222" i="14" l="1"/>
  <c r="H222" i="14"/>
  <c r="J222" i="14" s="1"/>
  <c r="F223" i="14" s="1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223" i="14"/>
  <c r="G123" i="14"/>
  <c r="H223" i="14" l="1"/>
  <c r="I223" i="14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J223" i="14" l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224" i="14"/>
  <c r="G1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25" i="14"/>
  <c r="G125" i="14"/>
  <c r="G20" i="4"/>
  <c r="I225" i="14" l="1"/>
  <c r="H225" i="14"/>
  <c r="J225" i="14" s="1"/>
  <c r="F226" i="14" s="1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226" i="14"/>
  <c r="J5" i="13"/>
  <c r="G4" i="5"/>
  <c r="I226" i="14" l="1"/>
  <c r="H226" i="14"/>
  <c r="J226" i="14"/>
  <c r="F227" i="14" s="1"/>
  <c r="G6" i="13"/>
  <c r="G5" i="13"/>
  <c r="J125" i="14"/>
  <c r="F126" i="14" s="1"/>
  <c r="L5" i="13"/>
  <c r="K5" i="13"/>
  <c r="J20" i="4"/>
  <c r="F21" i="4" s="1"/>
  <c r="I4" i="3"/>
  <c r="H4" i="3"/>
  <c r="I4" i="5"/>
  <c r="H4" i="5"/>
  <c r="G227" i="14"/>
  <c r="G21" i="4"/>
  <c r="G4" i="2"/>
  <c r="I227" i="14" l="1"/>
  <c r="H227" i="14"/>
  <c r="J4" i="3"/>
  <c r="F5" i="3" s="1"/>
  <c r="M5" i="13"/>
  <c r="I6" i="13" s="1"/>
  <c r="H21" i="4"/>
  <c r="I21" i="4"/>
  <c r="H4" i="2"/>
  <c r="I4" i="2"/>
  <c r="J4" i="5"/>
  <c r="F5" i="5" s="1"/>
  <c r="J6" i="13"/>
  <c r="G5" i="5"/>
  <c r="G5" i="3"/>
  <c r="G126" i="14"/>
  <c r="J227" i="14" l="1"/>
  <c r="F228" i="14" s="1"/>
  <c r="I126" i="14"/>
  <c r="H126" i="14"/>
  <c r="I5" i="3"/>
  <c r="H5" i="3"/>
  <c r="K6" i="13"/>
  <c r="L6" i="13"/>
  <c r="J21" i="4"/>
  <c r="F22" i="4" s="1"/>
  <c r="I5" i="5"/>
  <c r="H5" i="5"/>
  <c r="J4" i="2"/>
  <c r="F5" i="2" s="1"/>
  <c r="G228" i="14"/>
  <c r="G5" i="2"/>
  <c r="G22" i="4"/>
  <c r="I228" i="14" l="1"/>
  <c r="H228" i="14"/>
  <c r="J126" i="14"/>
  <c r="F127" i="14" s="1"/>
  <c r="J5" i="3"/>
  <c r="F6" i="3" s="1"/>
  <c r="J5" i="5"/>
  <c r="F6" i="5" s="1"/>
  <c r="M6" i="13"/>
  <c r="I7" i="13" s="1"/>
  <c r="I22" i="4"/>
  <c r="H22" i="4"/>
  <c r="H5" i="2"/>
  <c r="I5" i="2"/>
  <c r="J7" i="13"/>
  <c r="G6" i="5"/>
  <c r="G127" i="14"/>
  <c r="G6" i="3"/>
  <c r="J228" i="14" l="1"/>
  <c r="F229" i="14" s="1"/>
  <c r="H127" i="14"/>
  <c r="I127" i="14"/>
  <c r="I6" i="3"/>
  <c r="H6" i="3"/>
  <c r="I6" i="5"/>
  <c r="H6" i="5"/>
  <c r="L7" i="13"/>
  <c r="K7" i="13"/>
  <c r="J6" i="3"/>
  <c r="F7" i="3" s="1"/>
  <c r="J22" i="4"/>
  <c r="F23" i="4" s="1"/>
  <c r="J5" i="2"/>
  <c r="F6" i="2" s="1"/>
  <c r="G229" i="14"/>
  <c r="G7" i="3"/>
  <c r="G6" i="2"/>
  <c r="G23" i="4"/>
  <c r="I229" i="14" l="1"/>
  <c r="H229" i="14"/>
  <c r="J6" i="5"/>
  <c r="F7" i="5" s="1"/>
  <c r="J127" i="14"/>
  <c r="F128" i="14" s="1"/>
  <c r="M7" i="13"/>
  <c r="I8" i="13" s="1"/>
  <c r="H23" i="4"/>
  <c r="I23" i="4"/>
  <c r="I7" i="3"/>
  <c r="H7" i="3"/>
  <c r="H6" i="2"/>
  <c r="I6" i="2"/>
  <c r="J8" i="13"/>
  <c r="G128" i="14"/>
  <c r="G7" i="5"/>
  <c r="J229" i="14" l="1"/>
  <c r="F230" i="14" s="1"/>
  <c r="H7" i="5"/>
  <c r="I7" i="5"/>
  <c r="I128" i="14"/>
  <c r="H128" i="14"/>
  <c r="J7" i="5"/>
  <c r="F8" i="5" s="1"/>
  <c r="J7" i="3"/>
  <c r="F8" i="3" s="1"/>
  <c r="K8" i="13"/>
  <c r="L8" i="13"/>
  <c r="J23" i="4"/>
  <c r="F24" i="4" s="1"/>
  <c r="J6" i="2"/>
  <c r="F7" i="2" s="1"/>
  <c r="G230" i="14"/>
  <c r="G8" i="3"/>
  <c r="G8" i="5"/>
  <c r="G7" i="2"/>
  <c r="G24" i="4"/>
  <c r="H230" i="14" l="1"/>
  <c r="I230" i="14"/>
  <c r="J128" i="14"/>
  <c r="F129" i="14" s="1"/>
  <c r="J230" i="14"/>
  <c r="F231" i="14" s="1"/>
  <c r="I8" i="5"/>
  <c r="H8" i="5"/>
  <c r="H8" i="3"/>
  <c r="I8" i="3"/>
  <c r="M8" i="13"/>
  <c r="I9" i="13" s="1"/>
  <c r="H7" i="2"/>
  <c r="I7" i="2"/>
  <c r="H24" i="4"/>
  <c r="I24" i="4"/>
  <c r="J9" i="13"/>
  <c r="G129" i="14"/>
  <c r="G231" i="14"/>
  <c r="I129" i="14" l="1"/>
  <c r="H129" i="14"/>
  <c r="H231" i="14"/>
  <c r="I231" i="14"/>
  <c r="J8" i="5"/>
  <c r="F9" i="5" s="1"/>
  <c r="J8" i="3"/>
  <c r="F9" i="3" s="1"/>
  <c r="J7" i="2"/>
  <c r="F8" i="2" s="1"/>
  <c r="J24" i="4"/>
  <c r="F25" i="4" s="1"/>
  <c r="K9" i="13"/>
  <c r="L9" i="13"/>
  <c r="G9" i="5"/>
  <c r="G25" i="4"/>
  <c r="G8" i="2"/>
  <c r="G9" i="3"/>
  <c r="J129" i="14" l="1"/>
  <c r="F130" i="14" s="1"/>
  <c r="J231" i="14"/>
  <c r="F232" i="14" s="1"/>
  <c r="H9" i="5"/>
  <c r="I9" i="5"/>
  <c r="I9" i="3"/>
  <c r="H9" i="3"/>
  <c r="J9" i="3" s="1"/>
  <c r="F10" i="3" s="1"/>
  <c r="H25" i="4"/>
  <c r="I25" i="4"/>
  <c r="H8" i="2"/>
  <c r="I8" i="2"/>
  <c r="M9" i="13"/>
  <c r="I10" i="13" s="1"/>
  <c r="J25" i="4"/>
  <c r="F26" i="4" s="1"/>
  <c r="J10" i="13"/>
  <c r="G130" i="14"/>
  <c r="G26" i="4"/>
  <c r="G10" i="3"/>
  <c r="G232" i="14"/>
  <c r="J9" i="5" l="1"/>
  <c r="F10" i="5" s="1"/>
  <c r="I130" i="14"/>
  <c r="H130" i="14"/>
  <c r="H232" i="14"/>
  <c r="I232" i="14"/>
  <c r="J8" i="2"/>
  <c r="F9" i="2" s="1"/>
  <c r="K10" i="13"/>
  <c r="L10" i="13"/>
  <c r="H26" i="4"/>
  <c r="I26" i="4"/>
  <c r="I10" i="3"/>
  <c r="H10" i="3"/>
  <c r="G10" i="5"/>
  <c r="G9" i="2"/>
  <c r="J130" i="14" l="1"/>
  <c r="F131" i="14" s="1"/>
  <c r="I10" i="5"/>
  <c r="H10" i="5"/>
  <c r="J232" i="14"/>
  <c r="F233" i="14" s="1"/>
  <c r="H9" i="2"/>
  <c r="I9" i="2"/>
  <c r="J10" i="3"/>
  <c r="F11" i="3" s="1"/>
  <c r="M10" i="13"/>
  <c r="I11" i="13" s="1"/>
  <c r="J26" i="4"/>
  <c r="F27" i="4" s="1"/>
  <c r="J9" i="2"/>
  <c r="F10" i="2" s="1"/>
  <c r="J10" i="5"/>
  <c r="F11" i="5" s="1"/>
  <c r="J11" i="13"/>
  <c r="G11" i="5"/>
  <c r="G11" i="3"/>
  <c r="G27" i="4"/>
  <c r="G131" i="14"/>
  <c r="G10" i="2"/>
  <c r="G233" i="14"/>
  <c r="I233" i="14" l="1"/>
  <c r="H233" i="14"/>
  <c r="I131" i="14"/>
  <c r="H131" i="14"/>
  <c r="I11" i="3"/>
  <c r="H11" i="3"/>
  <c r="J11" i="3" s="1"/>
  <c r="F12" i="3" s="1"/>
  <c r="K11" i="13"/>
  <c r="L11" i="13"/>
  <c r="I11" i="5"/>
  <c r="H11" i="5"/>
  <c r="H10" i="2"/>
  <c r="I10" i="2"/>
  <c r="I27" i="4"/>
  <c r="H27" i="4"/>
  <c r="G12" i="3"/>
  <c r="J233" i="14" l="1"/>
  <c r="F234" i="14" s="1"/>
  <c r="J131" i="14"/>
  <c r="F132" i="14" s="1"/>
  <c r="J27" i="4"/>
  <c r="F28" i="4" s="1"/>
  <c r="J11" i="5"/>
  <c r="F12" i="5" s="1"/>
  <c r="M11" i="13"/>
  <c r="I12" i="13" s="1"/>
  <c r="J10" i="2"/>
  <c r="F11" i="2" s="1"/>
  <c r="H12" i="3"/>
  <c r="I12" i="3"/>
  <c r="G234" i="14"/>
  <c r="J12" i="13"/>
  <c r="G11" i="2"/>
  <c r="G28" i="4"/>
  <c r="G12" i="5"/>
  <c r="G132" i="14"/>
  <c r="I234" i="14" l="1"/>
  <c r="H234" i="14"/>
  <c r="J234" i="14" s="1"/>
  <c r="F238" i="14"/>
  <c r="H132" i="14"/>
  <c r="I132" i="14"/>
  <c r="H12" i="5"/>
  <c r="I12" i="5"/>
  <c r="I28" i="4"/>
  <c r="H28" i="4"/>
  <c r="K12" i="13"/>
  <c r="L12" i="13"/>
  <c r="I11" i="2"/>
  <c r="H11" i="2"/>
  <c r="J12" i="3"/>
  <c r="F13" i="3" s="1"/>
  <c r="G13" i="3"/>
  <c r="J132" i="14" l="1"/>
  <c r="F133" i="14" s="1"/>
  <c r="J12" i="5"/>
  <c r="F13" i="5" s="1"/>
  <c r="J28" i="4"/>
  <c r="F29" i="4" s="1"/>
  <c r="M12" i="13"/>
  <c r="I13" i="13" s="1"/>
  <c r="J11" i="2"/>
  <c r="F12" i="2" s="1"/>
  <c r="H13" i="3"/>
  <c r="I13" i="3"/>
  <c r="J13" i="13"/>
  <c r="G13" i="5"/>
  <c r="G29" i="4"/>
  <c r="G133" i="14"/>
  <c r="G12" i="2"/>
  <c r="H133" i="14" l="1"/>
  <c r="I133" i="14"/>
  <c r="I13" i="5"/>
  <c r="H13" i="5"/>
  <c r="H29" i="4"/>
  <c r="I29" i="4"/>
  <c r="J13" i="5"/>
  <c r="F14" i="5" s="1"/>
  <c r="L13" i="13"/>
  <c r="K13" i="13"/>
  <c r="I12" i="2"/>
  <c r="H12" i="2"/>
  <c r="J13" i="3"/>
  <c r="F14" i="3" s="1"/>
  <c r="G14" i="5"/>
  <c r="G14" i="3"/>
  <c r="M13" i="13" l="1"/>
  <c r="I14" i="13" s="1"/>
  <c r="J29" i="4"/>
  <c r="F30" i="4" s="1"/>
  <c r="J133" i="14"/>
  <c r="F134" i="14" s="1"/>
  <c r="I14" i="5"/>
  <c r="H14" i="5"/>
  <c r="J12" i="2"/>
  <c r="F13" i="2" s="1"/>
  <c r="I14" i="3"/>
  <c r="H14" i="3"/>
  <c r="J14" i="13"/>
  <c r="G30" i="4"/>
  <c r="G13" i="2"/>
  <c r="G134" i="14"/>
  <c r="L14" i="13" l="1"/>
  <c r="K14" i="13"/>
  <c r="I30" i="4"/>
  <c r="H30" i="4"/>
  <c r="H134" i="14"/>
  <c r="I134" i="14"/>
  <c r="J14" i="5"/>
  <c r="F15" i="5" s="1"/>
  <c r="J14" i="3"/>
  <c r="F15" i="3" s="1"/>
  <c r="H13" i="2"/>
  <c r="I13" i="2"/>
  <c r="J30" i="4"/>
  <c r="F31" i="4" s="1"/>
  <c r="G15" i="3"/>
  <c r="G31" i="4"/>
  <c r="G15" i="5"/>
  <c r="M14" i="13" l="1"/>
  <c r="I15" i="13" s="1"/>
  <c r="J134" i="14"/>
  <c r="F135" i="14" s="1"/>
  <c r="F139" i="14" s="1"/>
  <c r="I15" i="5"/>
  <c r="H15" i="5"/>
  <c r="J15" i="5" s="1"/>
  <c r="F16" i="5" s="1"/>
  <c r="F20" i="5" s="1"/>
  <c r="H15" i="3"/>
  <c r="I15" i="3"/>
  <c r="J15" i="3" s="1"/>
  <c r="F16" i="3" s="1"/>
  <c r="F20" i="3" s="1"/>
  <c r="J13" i="2"/>
  <c r="F14" i="2" s="1"/>
  <c r="I31" i="4"/>
  <c r="H31" i="4"/>
  <c r="J15" i="13"/>
  <c r="G14" i="2"/>
  <c r="L15" i="13" l="1"/>
  <c r="K15" i="13"/>
  <c r="J31" i="4"/>
  <c r="F32" i="4" s="1"/>
  <c r="F36" i="4" s="1"/>
  <c r="I14" i="2"/>
  <c r="H14" i="2"/>
  <c r="M15" i="13" l="1"/>
  <c r="I16" i="13" s="1"/>
  <c r="J14" i="2"/>
  <c r="F15" i="2" s="1"/>
  <c r="J16" i="13"/>
  <c r="G15" i="2"/>
  <c r="K16" i="13" l="1"/>
  <c r="L16" i="13"/>
  <c r="I15" i="2"/>
  <c r="H15" i="2"/>
  <c r="M16" i="13" l="1"/>
  <c r="I17" i="13" s="1"/>
  <c r="I21" i="13" s="1"/>
  <c r="J15" i="2"/>
  <c r="F16" i="2" s="1"/>
  <c r="F20" i="2" s="1"/>
</calcChain>
</file>

<file path=xl/sharedStrings.xml><?xml version="1.0" encoding="utf-8"?>
<sst xmlns="http://schemas.openxmlformats.org/spreadsheetml/2006/main" count="546" uniqueCount="172">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</sst>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91037</c:v>
                </c:pt>
                <c:pt idx="2">
                  <c:v>91680.644935678836</c:v>
                </c:pt>
                <c:pt idx="3">
                  <c:v>91831.63033329515</c:v>
                </c:pt>
                <c:pt idx="4">
                  <c:v>91549.896379962738</c:v>
                </c:pt>
                <c:pt idx="5">
                  <c:v>90293.011165567659</c:v>
                </c:pt>
                <c:pt idx="6">
                  <c:v>87920.609014824688</c:v>
                </c:pt>
                <c:pt idx="7">
                  <c:v>85793.912835847557</c:v>
                </c:pt>
                <c:pt idx="8">
                  <c:v>86059.940530310996</c:v>
                </c:pt>
                <c:pt idx="9">
                  <c:v>86334.20056596116</c:v>
                </c:pt>
                <c:pt idx="10">
                  <c:v>88058.065767505512</c:v>
                </c:pt>
                <c:pt idx="11">
                  <c:v>89710.150446260523</c:v>
                </c:pt>
                <c:pt idx="12">
                  <c:v>91462.469905437421</c:v>
                </c:pt>
                <c:pt idx="13">
                  <c:v>93403.491164666513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33.873767988117834</c:v>
                </c:pt>
                <c:pt idx="5">
                  <c:v>28.446247136867278</c:v>
                </c:pt>
                <c:pt idx="6">
                  <c:v>28.657273251550343</c:v>
                </c:pt>
                <c:pt idx="7">
                  <c:v>35.792526175083985</c:v>
                </c:pt>
                <c:pt idx="8">
                  <c:v>35.590305275377659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45.278104299999995</c:v>
                </c:pt>
                <c:pt idx="5">
                  <c:v>52.041662750000008</c:v>
                </c:pt>
                <c:pt idx="6">
                  <c:v>48.652919199999992</c:v>
                </c:pt>
                <c:pt idx="7">
                  <c:v>30.950874899999999</c:v>
                </c:pt>
                <c:pt idx="8">
                  <c:v>31.770449600000003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-11.404336311882162</c:v>
                </c:pt>
                <c:pt idx="5">
                  <c:v>-23.59541561313273</c:v>
                </c:pt>
                <c:pt idx="6">
                  <c:v>-19.995645948449649</c:v>
                </c:pt>
                <c:pt idx="7">
                  <c:v>4.8416512750839864</c:v>
                </c:pt>
                <c:pt idx="8">
                  <c:v>3.8198556753776565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28.933426064189188</c:v>
                </c:pt>
                <c:pt idx="6">
                  <c:v>37.022456249999998</c:v>
                </c:pt>
                <c:pt idx="7">
                  <c:v>46.427634324324316</c:v>
                </c:pt>
                <c:pt idx="8">
                  <c:v>43.108278445945942</c:v>
                </c:pt>
                <c:pt idx="9">
                  <c:v>42.170884459459458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28.933426064189188</c:v>
                </c:pt>
                <c:pt idx="6">
                  <c:v>37.022456249999998</c:v>
                </c:pt>
                <c:pt idx="7">
                  <c:v>46.427634324324316</c:v>
                </c:pt>
                <c:pt idx="8">
                  <c:v>43.108278445945942</c:v>
                </c:pt>
                <c:pt idx="9">
                  <c:v>42.170884459459458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3.8171069848513248</c:v>
                </c:pt>
                <c:pt idx="6">
                  <c:v>-5.2953773587420017</c:v>
                </c:pt>
                <c:pt idx="7">
                  <c:v>-14.495864601509819</c:v>
                </c:pt>
                <c:pt idx="8">
                  <c:v>-6.7756558446666233</c:v>
                </c:pt>
                <c:pt idx="9">
                  <c:v>-3.2325475724658546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91037</c:v>
                </c:pt>
                <c:pt idx="3">
                  <c:v>91334.519112179929</c:v>
                </c:pt>
                <c:pt idx="4">
                  <c:v>90948.320280247295</c:v>
                </c:pt>
                <c:pt idx="5">
                  <c:v>90445.912683684772</c:v>
                </c:pt>
                <c:pt idx="6">
                  <c:v>90571.393743698165</c:v>
                </c:pt>
                <c:pt idx="7">
                  <c:v>89823.765270384596</c:v>
                </c:pt>
                <c:pt idx="8">
                  <c:v>88143.897117474698</c:v>
                </c:pt>
                <c:pt idx="9">
                  <c:v>87399.190193801085</c:v>
                </c:pt>
                <c:pt idx="10">
                  <c:v>87062.213094389939</c:v>
                </c:pt>
                <c:pt idx="11">
                  <c:v>88545.198150289565</c:v>
                </c:pt>
                <c:pt idx="12">
                  <c:v>89997.874512262439</c:v>
                </c:pt>
                <c:pt idx="13">
                  <c:v>91602.324226421013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-6.1251932709041625</c:v>
                </c:pt>
                <c:pt idx="7">
                  <c:v>-16.008036898807116</c:v>
                </c:pt>
                <c:pt idx="8">
                  <c:v>-4.5939457770990515</c:v>
                </c:pt>
                <c:pt idx="9">
                  <c:v>-2.3725185184118018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91037</c:v>
                </c:pt>
                <c:pt idx="3">
                  <c:v>91334.519112179929</c:v>
                </c:pt>
                <c:pt idx="4">
                  <c:v>90948.320280247295</c:v>
                </c:pt>
                <c:pt idx="5">
                  <c:v>90445.912683684772</c:v>
                </c:pt>
                <c:pt idx="6">
                  <c:v>90509.253509604154</c:v>
                </c:pt>
                <c:pt idx="7">
                  <c:v>89687.38645589129</c:v>
                </c:pt>
                <c:pt idx="8">
                  <c:v>87876.202888083935</c:v>
                </c:pt>
                <c:pt idx="9">
                  <c:v>87323.77426204861</c:v>
                </c:pt>
                <c:pt idx="10">
                  <c:v>87061.907754916843</c:v>
                </c:pt>
                <c:pt idx="11">
                  <c:v>88544.887539031886</c:v>
                </c:pt>
                <c:pt idx="12">
                  <c:v>89997.55876973462</c:v>
                </c:pt>
                <c:pt idx="13">
                  <c:v>91602.002837250999</c:v>
                </c:pt>
                <c:pt idx="14">
                  <c:v>93403.832890056408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рождаемости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37.852272162162159</c:v>
                </c:pt>
                <c:pt idx="7">
                  <c:v>47.939806621621614</c:v>
                </c:pt>
                <c:pt idx="8">
                  <c:v>40.92656837837837</c:v>
                </c:pt>
                <c:pt idx="9">
                  <c:v>41.310855405405405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14286</xdr:colOff>
      <xdr:row>238</xdr:row>
      <xdr:rowOff>185737</xdr:rowOff>
    </xdr:from>
    <xdr:to>
      <xdr:col>18</xdr:col>
      <xdr:colOff>28574</xdr:colOff>
      <xdr:row>275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4761</xdr:colOff>
      <xdr:row>238</xdr:row>
      <xdr:rowOff>185737</xdr:rowOff>
    </xdr:from>
    <xdr:to>
      <xdr:col>35</xdr:col>
      <xdr:colOff>600074</xdr:colOff>
      <xdr:row>275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A5" sqref="A5:R20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77" t="s">
        <v>6</v>
      </c>
      <c r="C5" s="77"/>
      <c r="D5" s="77"/>
      <c r="E5" s="77"/>
      <c r="F5" s="77"/>
      <c r="G5" s="77"/>
      <c r="H5" s="77"/>
      <c r="I5" s="77"/>
      <c r="J5" s="78" t="s">
        <v>7</v>
      </c>
      <c r="K5" s="78"/>
      <c r="L5" s="78"/>
      <c r="M5" s="78"/>
      <c r="N5" s="78"/>
      <c r="O5" s="78"/>
      <c r="P5" s="78"/>
      <c r="Q5" s="78"/>
      <c r="R5" s="78"/>
    </row>
    <row r="6" spans="1:21" ht="30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155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155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79" t="s">
        <v>115</v>
      </c>
      <c r="U11" s="79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155</v>
      </c>
      <c r="B26" t="s">
        <v>161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3"/>
  <sheetViews>
    <sheetView workbookViewId="0">
      <selection activeCell="A23" sqref="A23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91037</v>
      </c>
      <c r="G4" s="4">
        <f>[1]!YearAveragePopulation(F4,B4,C4,E4)</f>
        <v>91358.441644906212</v>
      </c>
      <c r="H4" s="4">
        <f>G4*B4/1000</f>
        <v>3279.7680550521327</v>
      </c>
      <c r="I4" s="4">
        <f>G4*C4/1000</f>
        <v>2631.1231193732992</v>
      </c>
      <c r="J4" s="4">
        <f>H4-I4</f>
        <v>648.64493567883346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91680.644935678836</v>
      </c>
      <c r="G5" s="4">
        <f t="shared" ref="G5:G15" si="1">[1]!YearAveragePopulation(F5,B5,C5,E5)</f>
        <v>91756.116244893434</v>
      </c>
      <c r="H5" s="4">
        <f t="shared" ref="H5:H15" si="2">G5*B5/1000</f>
        <v>2486.5907502366122</v>
      </c>
      <c r="I5" s="4">
        <f t="shared" ref="I5:I15" si="3">G5*C5/1000</f>
        <v>2330.6053526202927</v>
      </c>
      <c r="J5" s="4">
        <f t="shared" ref="J5:J15" si="4">H5-I5</f>
        <v>155.98539761631946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91831.63033329515</v>
      </c>
      <c r="G6" s="4">
        <f t="shared" si="1"/>
        <v>91690.697618716091</v>
      </c>
      <c r="H6" s="4">
        <f t="shared" si="2"/>
        <v>2411.4653473722333</v>
      </c>
      <c r="I6" s="4">
        <f t="shared" si="3"/>
        <v>2668.1993007046385</v>
      </c>
      <c r="J6" s="4">
        <f t="shared" si="4"/>
        <v>-256.73395333240524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91549.896379962738</v>
      </c>
      <c r="G7" s="4">
        <f t="shared" si="1"/>
        <v>91006.755678473361</v>
      </c>
      <c r="H7" s="4">
        <f t="shared" si="2"/>
        <v>3157.9344220430257</v>
      </c>
      <c r="I7" s="4">
        <f t="shared" si="3"/>
        <v>4022.4986009885224</v>
      </c>
      <c r="J7" s="4">
        <f t="shared" si="4"/>
        <v>-864.56417894549668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90465.332201017241</v>
      </c>
      <c r="G8" s="4">
        <f t="shared" si="1"/>
        <v>89655.894452174558</v>
      </c>
      <c r="H8" s="4">
        <f t="shared" si="2"/>
        <v>2842.0918541339333</v>
      </c>
      <c r="I8" s="4">
        <f t="shared" si="3"/>
        <v>4186.9302709165522</v>
      </c>
      <c r="J8" s="4">
        <f t="shared" si="4"/>
        <v>-1344.8384167826189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88850.493784234626</v>
      </c>
      <c r="G9" s="4">
        <f t="shared" si="1"/>
        <v>88164.912539003519</v>
      </c>
      <c r="H9" s="4">
        <f t="shared" si="2"/>
        <v>2838.9101837559137</v>
      </c>
      <c r="I9" s="4">
        <f t="shared" si="3"/>
        <v>3817.5407129388523</v>
      </c>
      <c r="J9" s="4">
        <f t="shared" si="4"/>
        <v>-978.63052918293852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87481.863255051692</v>
      </c>
      <c r="G10" s="4">
        <f t="shared" si="1"/>
        <v>87739.947735146168</v>
      </c>
      <c r="H10" s="4">
        <f t="shared" si="2"/>
        <v>3272.7000505209517</v>
      </c>
      <c r="I10" s="4">
        <f t="shared" si="3"/>
        <v>2605.8764477338409</v>
      </c>
      <c r="J10" s="4">
        <f t="shared" si="4"/>
        <v>666.82360278711076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87998.686857838809</v>
      </c>
      <c r="G11" s="4">
        <f t="shared" si="1"/>
        <v>88350.589274877551</v>
      </c>
      <c r="H11" s="4">
        <f t="shared" si="2"/>
        <v>3374.9925103003229</v>
      </c>
      <c r="I11" s="4">
        <f t="shared" si="3"/>
        <v>2615.1774425363756</v>
      </c>
      <c r="J11" s="4">
        <f t="shared" si="4"/>
        <v>759.81506776394735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88703.501925602759</v>
      </c>
      <c r="G12" s="4">
        <f t="shared" si="1"/>
        <v>89586.41319681656</v>
      </c>
      <c r="H12" s="4">
        <f t="shared" si="2"/>
        <v>4076.1818004551533</v>
      </c>
      <c r="I12" s="4">
        <f t="shared" si="3"/>
        <v>2284.4535365188226</v>
      </c>
      <c r="J12" s="4">
        <f t="shared" si="4"/>
        <v>1791.7282639363307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90475.230189539085</v>
      </c>
      <c r="G13" s="4">
        <f t="shared" si="1"/>
        <v>91321.440070081226</v>
      </c>
      <c r="H13" s="4">
        <f t="shared" si="2"/>
        <v>3853.764770957428</v>
      </c>
      <c r="I13" s="4">
        <f t="shared" si="3"/>
        <v>2146.0538416469089</v>
      </c>
      <c r="J13" s="4">
        <f t="shared" si="4"/>
        <v>1707.7109293105191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92172.941118849601</v>
      </c>
      <c r="G14" s="4">
        <f t="shared" si="1"/>
        <v>93070.31225407969</v>
      </c>
      <c r="H14" s="4">
        <f t="shared" si="2"/>
        <v>4085.7867079540983</v>
      </c>
      <c r="I14" s="4">
        <f t="shared" si="3"/>
        <v>2280.2226502249523</v>
      </c>
      <c r="J14" s="4">
        <f t="shared" si="4"/>
        <v>1805.564057729146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93973.50517657875</v>
      </c>
      <c r="G15" s="4">
        <f t="shared" si="1"/>
        <v>94967.170448424309</v>
      </c>
      <c r="H15" s="4">
        <f t="shared" si="2"/>
        <v>4036.1047440580328</v>
      </c>
      <c r="I15" s="4">
        <f t="shared" si="3"/>
        <v>2041.7941646411225</v>
      </c>
      <c r="J15" s="4">
        <f t="shared" si="4"/>
        <v>1994.3105794169103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95967.81575599566</v>
      </c>
      <c r="O16" s="3"/>
      <c r="P16" s="3"/>
      <c r="Q16" s="3"/>
    </row>
    <row r="18" spans="1:7" x14ac:dyDescent="0.25">
      <c r="A18" s="15" t="s">
        <v>31</v>
      </c>
      <c r="F18">
        <v>93604</v>
      </c>
    </row>
    <row r="19" spans="1:7" x14ac:dyDescent="0.25">
      <c r="A19" s="15" t="s">
        <v>33</v>
      </c>
      <c r="F19">
        <v>200</v>
      </c>
    </row>
    <row r="20" spans="1:7" x14ac:dyDescent="0.25">
      <c r="A20" s="15" t="s">
        <v>34</v>
      </c>
      <c r="B20" s="14"/>
      <c r="F20" s="3">
        <f>F16+F19-F18</f>
        <v>2563.8157559956599</v>
      </c>
    </row>
    <row r="23" spans="1:7" x14ac:dyDescent="0.25">
      <c r="A23" s="75" t="s">
        <v>164</v>
      </c>
      <c r="B23" s="76"/>
      <c r="C23" s="76"/>
      <c r="D23" s="76"/>
      <c r="E23" s="76"/>
      <c r="F23" s="76"/>
      <c r="G23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U2" sqref="U2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3.0300000000000001E-3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82">
        <v>48.4</v>
      </c>
      <c r="F4" s="82">
        <v>31.5</v>
      </c>
      <c r="G4" s="27"/>
      <c r="H4" s="29"/>
      <c r="I4" s="31">
        <v>89489</v>
      </c>
      <c r="J4" s="31">
        <v>90260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91037</v>
      </c>
      <c r="J5" s="4">
        <f>YearAveragePopulation(I5,E5,F5,H5)</f>
        <v>91358.441644906212</v>
      </c>
      <c r="K5" s="4">
        <f>J5*E5/1000</f>
        <v>3279.7680550521327</v>
      </c>
      <c r="L5" s="4">
        <f>J5*F5/1000</f>
        <v>2631.1231193732992</v>
      </c>
      <c r="M5" s="4">
        <f>K5-L5</f>
        <v>648.64493567883346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91680.644935678836</v>
      </c>
      <c r="J6" s="4">
        <f t="shared" ref="J6:J16" si="5">YearAveragePopulation(I6,E6,F6,H6)</f>
        <v>91756.116244893434</v>
      </c>
      <c r="K6" s="4">
        <f t="shared" ref="K6:K16" si="6">J6*E6/1000</f>
        <v>2486.5907502366122</v>
      </c>
      <c r="L6" s="4">
        <f t="shared" ref="L6:L16" si="7">J6*F6/1000</f>
        <v>2330.6053526202927</v>
      </c>
      <c r="M6" s="4">
        <f t="shared" ref="M6:M16" si="8">K6-L6</f>
        <v>155.98539761631946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91831.63033329515</v>
      </c>
      <c r="J7" s="4">
        <f t="shared" si="5"/>
        <v>91690.697618716091</v>
      </c>
      <c r="K7" s="4">
        <f t="shared" si="6"/>
        <v>2411.4653473722333</v>
      </c>
      <c r="L7" s="4">
        <f t="shared" si="7"/>
        <v>2668.1993007046385</v>
      </c>
      <c r="M7" s="4">
        <f t="shared" si="8"/>
        <v>-256.73395333240524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33.873767988117834</v>
      </c>
      <c r="F8" s="30">
        <f t="shared" si="3"/>
        <v>45.278104299999995</v>
      </c>
      <c r="G8" s="25">
        <f t="shared" si="4"/>
        <v>-11.404336311882162</v>
      </c>
      <c r="H8" s="11">
        <v>-220</v>
      </c>
      <c r="I8" s="4">
        <f t="shared" si="9"/>
        <v>91549.896379962738</v>
      </c>
      <c r="J8" s="4">
        <f t="shared" si="5"/>
        <v>90920.25928021349</v>
      </c>
      <c r="K8" s="4">
        <f t="shared" si="6"/>
        <v>3079.8117682774691</v>
      </c>
      <c r="L8" s="4">
        <f t="shared" si="7"/>
        <v>4116.696982672549</v>
      </c>
      <c r="M8" s="4">
        <f t="shared" si="8"/>
        <v>-1036.8852143950799</v>
      </c>
      <c r="P8" s="2">
        <v>8.0499999999999972</v>
      </c>
      <c r="Q8" s="24">
        <f t="shared" si="0"/>
        <v>1.0243914999999999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28.446247136867278</v>
      </c>
      <c r="F9" s="30">
        <f t="shared" si="3"/>
        <v>52.041662750000008</v>
      </c>
      <c r="G9" s="25">
        <f t="shared" si="4"/>
        <v>-23.59541561313273</v>
      </c>
      <c r="H9" s="11">
        <v>-270</v>
      </c>
      <c r="I9" s="4">
        <f t="shared" si="9"/>
        <v>90293.011165567659</v>
      </c>
      <c r="J9" s="4">
        <f t="shared" si="5"/>
        <v>89102.145315584916</v>
      </c>
      <c r="K9" s="4">
        <f t="shared" si="6"/>
        <v>2534.6216460721898</v>
      </c>
      <c r="L9" s="4">
        <f t="shared" si="7"/>
        <v>4637.0237968151632</v>
      </c>
      <c r="M9" s="4">
        <f t="shared" si="8"/>
        <v>-2102.4021507429734</v>
      </c>
      <c r="P9" s="2">
        <v>37.75</v>
      </c>
      <c r="Q9" s="24">
        <f t="shared" si="0"/>
        <v>1.1143825000000001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28.657273251550343</v>
      </c>
      <c r="F10" s="30">
        <f t="shared" si="3"/>
        <v>48.652919199999992</v>
      </c>
      <c r="G10" s="25">
        <f t="shared" si="4"/>
        <v>-19.995645948449649</v>
      </c>
      <c r="H10" s="11">
        <v>-390</v>
      </c>
      <c r="I10" s="4">
        <f t="shared" si="9"/>
        <v>87920.609014824688</v>
      </c>
      <c r="J10" s="4">
        <f t="shared" si="5"/>
        <v>86853.717226964174</v>
      </c>
      <c r="K10" s="4">
        <f t="shared" si="6"/>
        <v>2488.9907074859975</v>
      </c>
      <c r="L10" s="4">
        <f t="shared" si="7"/>
        <v>4225.6868864631351</v>
      </c>
      <c r="M10" s="4">
        <f t="shared" si="8"/>
        <v>-1736.6961789771376</v>
      </c>
      <c r="P10" s="2">
        <v>40.799999999999997</v>
      </c>
      <c r="Q10" s="24">
        <f t="shared" si="0"/>
        <v>1.123624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35.792526175083985</v>
      </c>
      <c r="F11" s="30">
        <f t="shared" si="3"/>
        <v>30.950874899999999</v>
      </c>
      <c r="G11" s="25">
        <f t="shared" si="4"/>
        <v>4.8416512750839864</v>
      </c>
      <c r="H11" s="11">
        <v>-150</v>
      </c>
      <c r="I11" s="4">
        <f t="shared" si="9"/>
        <v>85793.912835847557</v>
      </c>
      <c r="J11" s="4">
        <f t="shared" si="5"/>
        <v>85926.819348677731</v>
      </c>
      <c r="K11" s="4">
        <f t="shared" si="6"/>
        <v>3075.5379306792606</v>
      </c>
      <c r="L11" s="4">
        <f t="shared" si="7"/>
        <v>2659.5102362158236</v>
      </c>
      <c r="M11" s="4">
        <f t="shared" si="8"/>
        <v>416.027694463437</v>
      </c>
      <c r="P11" s="2">
        <v>13.899999999999999</v>
      </c>
      <c r="Q11" s="24">
        <f t="shared" si="0"/>
        <v>1.042117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35.590305275377659</v>
      </c>
      <c r="F12" s="30">
        <f t="shared" si="3"/>
        <v>31.770449600000003</v>
      </c>
      <c r="G12" s="25">
        <f t="shared" si="4"/>
        <v>3.8198556753776565</v>
      </c>
      <c r="H12" s="11">
        <v>-55</v>
      </c>
      <c r="I12" s="4">
        <f t="shared" si="9"/>
        <v>86059.940530310996</v>
      </c>
      <c r="J12" s="4">
        <f t="shared" si="5"/>
        <v>86196.983245345909</v>
      </c>
      <c r="K12" s="4">
        <f t="shared" si="6"/>
        <v>3067.7769475184746</v>
      </c>
      <c r="L12" s="4">
        <f t="shared" si="7"/>
        <v>2738.516911868307</v>
      </c>
      <c r="M12" s="4">
        <f t="shared" si="8"/>
        <v>329.26003565016754</v>
      </c>
      <c r="P12" s="2">
        <v>24.200000000000003</v>
      </c>
      <c r="Q12" s="24">
        <f t="shared" si="0"/>
        <v>1.073326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86334.20056596116</v>
      </c>
      <c r="J13" s="4">
        <f t="shared" si="5"/>
        <v>87193.260077217827</v>
      </c>
      <c r="K13" s="4">
        <f t="shared" si="6"/>
        <v>3967.2933335134112</v>
      </c>
      <c r="L13" s="4">
        <f t="shared" si="7"/>
        <v>2223.4281319690549</v>
      </c>
      <c r="M13" s="4">
        <f t="shared" si="8"/>
        <v>1743.8652015443563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88058.065767505512</v>
      </c>
      <c r="J14" s="4">
        <f t="shared" si="5"/>
        <v>88881.533623262643</v>
      </c>
      <c r="K14" s="4">
        <f t="shared" si="6"/>
        <v>3750.8007189016835</v>
      </c>
      <c r="L14" s="4">
        <f t="shared" si="7"/>
        <v>2088.7160401466722</v>
      </c>
      <c r="M14" s="4">
        <f t="shared" si="8"/>
        <v>1662.0846787550113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89710.150446260523</v>
      </c>
      <c r="J15" s="4">
        <f t="shared" si="5"/>
        <v>90583.477277159589</v>
      </c>
      <c r="K15" s="4">
        <f t="shared" si="6"/>
        <v>3976.6146524673059</v>
      </c>
      <c r="L15" s="4">
        <f t="shared" si="7"/>
        <v>2219.2951932904102</v>
      </c>
      <c r="M15" s="4">
        <f t="shared" si="8"/>
        <v>1757.3194591768956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91462.469905437421</v>
      </c>
      <c r="J16" s="4">
        <f t="shared" si="5"/>
        <v>92429.583772813989</v>
      </c>
      <c r="K16" s="4">
        <f t="shared" si="6"/>
        <v>3928.2573103445943</v>
      </c>
      <c r="L16" s="4">
        <f t="shared" si="7"/>
        <v>1987.2360511155007</v>
      </c>
      <c r="M16" s="4">
        <f t="shared" si="8"/>
        <v>1941.0212592290936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93403.491164666513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-0.50883533348678611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H34" sqref="H34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91037</v>
      </c>
      <c r="G4" s="4">
        <f>[1]!YearAveragePopulation(F4,B4,C4,E4)</f>
        <v>91358.441644906212</v>
      </c>
      <c r="H4" s="4">
        <f>G4*B4/1000</f>
        <v>3279.7680550521327</v>
      </c>
      <c r="I4" s="4">
        <f>G4*C4/1000</f>
        <v>2631.1231193732992</v>
      </c>
      <c r="J4" s="4">
        <f>H4-I4</f>
        <v>648.64493567883346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91680.644935678836</v>
      </c>
      <c r="G5" s="4">
        <f t="shared" ref="G5:G15" si="1">[1]!YearAveragePopulation(F5,B5,C5,E5)</f>
        <v>91756.116244893434</v>
      </c>
      <c r="H5" s="4">
        <f t="shared" ref="H5:H15" si="2">G5*B5/1000</f>
        <v>2486.5907502366122</v>
      </c>
      <c r="I5" s="4">
        <f t="shared" ref="I5:I15" si="3">G5*C5/1000</f>
        <v>2330.6053526202927</v>
      </c>
      <c r="J5" s="4">
        <f t="shared" ref="J5:J15" si="4">H5-I5</f>
        <v>155.98539761631946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91831.63033329515</v>
      </c>
      <c r="G6" s="4">
        <f t="shared" si="1"/>
        <v>91690.697618716091</v>
      </c>
      <c r="H6" s="4">
        <f t="shared" si="2"/>
        <v>2411.4653473722333</v>
      </c>
      <c r="I6" s="4">
        <f t="shared" si="3"/>
        <v>2668.1993007046385</v>
      </c>
      <c r="J6" s="4">
        <f t="shared" si="4"/>
        <v>-256.73395333240524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91549.896379962738</v>
      </c>
      <c r="G7" s="4">
        <f t="shared" si="1"/>
        <v>91006.755678473361</v>
      </c>
      <c r="H7" s="4">
        <f t="shared" si="2"/>
        <v>3157.9344220430257</v>
      </c>
      <c r="I7" s="4">
        <f t="shared" si="3"/>
        <v>4022.4986009885224</v>
      </c>
      <c r="J7" s="4">
        <f t="shared" si="4"/>
        <v>-864.56417894549668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90465.332201017241</v>
      </c>
      <c r="G8" s="4">
        <f t="shared" si="1"/>
        <v>89655.894452174558</v>
      </c>
      <c r="H8" s="4">
        <f t="shared" si="2"/>
        <v>2842.0918541339333</v>
      </c>
      <c r="I8" s="4">
        <f t="shared" si="3"/>
        <v>4186.9302709165522</v>
      </c>
      <c r="J8" s="4">
        <f t="shared" si="4"/>
        <v>-1344.8384167826189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88850.493784234626</v>
      </c>
      <c r="G9" s="4">
        <f t="shared" si="1"/>
        <v>88164.912539003519</v>
      </c>
      <c r="H9" s="4">
        <f t="shared" si="2"/>
        <v>2838.9101837559137</v>
      </c>
      <c r="I9" s="4">
        <f t="shared" si="3"/>
        <v>3817.5407129388523</v>
      </c>
      <c r="J9" s="4">
        <f t="shared" si="4"/>
        <v>-978.63052918293852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87481.863255051692</v>
      </c>
      <c r="G10" s="4">
        <f t="shared" si="1"/>
        <v>87288.936412875308</v>
      </c>
      <c r="H10" s="4">
        <f t="shared" si="2"/>
        <v>3255.8773282002485</v>
      </c>
      <c r="I10" s="4">
        <f t="shared" si="3"/>
        <v>3491.5574565150123</v>
      </c>
      <c r="J10" s="4">
        <f t="shared" si="4"/>
        <v>-235.68012831476381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87096.183126736927</v>
      </c>
      <c r="G11" s="4">
        <f t="shared" si="1"/>
        <v>87444.193628909634</v>
      </c>
      <c r="H11" s="4">
        <f t="shared" si="2"/>
        <v>3340.3681966243485</v>
      </c>
      <c r="I11" s="4">
        <f t="shared" si="3"/>
        <v>2588.3481314157252</v>
      </c>
      <c r="J11" s="4">
        <f t="shared" si="4"/>
        <v>752.02006520862324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87793.203191945548</v>
      </c>
      <c r="G12" s="4">
        <f t="shared" si="1"/>
        <v>88666.950484589834</v>
      </c>
      <c r="H12" s="4">
        <f t="shared" si="2"/>
        <v>4034.3462470488375</v>
      </c>
      <c r="I12" s="4">
        <f t="shared" si="3"/>
        <v>2261.007237357041</v>
      </c>
      <c r="J12" s="4">
        <f t="shared" si="4"/>
        <v>1773.3390096917965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89546.542201637349</v>
      </c>
      <c r="G13" s="4">
        <f t="shared" si="1"/>
        <v>90384.014470022914</v>
      </c>
      <c r="H13" s="4">
        <f t="shared" si="2"/>
        <v>3814.2054106349669</v>
      </c>
      <c r="I13" s="4">
        <f t="shared" si="3"/>
        <v>2124.0243400455383</v>
      </c>
      <c r="J13" s="4">
        <f t="shared" si="4"/>
        <v>1690.1810705894286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91226.72327222678</v>
      </c>
      <c r="G14" s="4">
        <f t="shared" si="1"/>
        <v>92114.856452270149</v>
      </c>
      <c r="H14" s="4">
        <f t="shared" si="2"/>
        <v>4043.8421982546593</v>
      </c>
      <c r="I14" s="4">
        <f t="shared" si="3"/>
        <v>2256.8139830806185</v>
      </c>
      <c r="J14" s="4">
        <f t="shared" si="4"/>
        <v>1787.0282151740407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93008.751487400819</v>
      </c>
      <c r="G15" s="4">
        <f t="shared" si="1"/>
        <v>93992.215562270489</v>
      </c>
      <c r="H15" s="4">
        <f t="shared" si="2"/>
        <v>3994.6691613964958</v>
      </c>
      <c r="I15" s="4">
        <f t="shared" si="3"/>
        <v>2020.8326345888156</v>
      </c>
      <c r="J15" s="4">
        <f t="shared" si="4"/>
        <v>1973.8365268076802</v>
      </c>
    </row>
    <row r="16" spans="1:10" x14ac:dyDescent="0.25">
      <c r="A16">
        <v>1927</v>
      </c>
      <c r="F16" s="4">
        <f t="shared" si="5"/>
        <v>94982.588014208493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1578.5880142084934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>
      <selection activeCell="G4" sqref="G4"/>
    </sheetView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91037</v>
      </c>
      <c r="G4" s="4">
        <v>91037</v>
      </c>
      <c r="H4" s="4">
        <f>G4*B4/1000</f>
        <v>3404.7837999999997</v>
      </c>
      <c r="I4" s="4">
        <f>G4*C4/1000</f>
        <v>3878.1762000000003</v>
      </c>
      <c r="J4" s="4">
        <f>H4-I4</f>
        <v>-473.39240000000063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90558.607600000003</v>
      </c>
      <c r="G5" s="4">
        <f t="shared" ref="G5:G15" si="1">[1]!YearAveragePopulation(F5,B5,C5,E5)</f>
        <v>90253.418234507015</v>
      </c>
      <c r="H5" s="4">
        <f t="shared" ref="H5:H15" si="2">G5*B5/1000</f>
        <v>2933.2360926214778</v>
      </c>
      <c r="I5" s="4">
        <f t="shared" ref="I5:I15" si="3">G5*C5/1000</f>
        <v>3537.9339947926751</v>
      </c>
      <c r="J5" s="4">
        <f t="shared" ref="J5:J15" si="4">H5-I5</f>
        <v>-604.69790217119726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89948.9096978288</v>
      </c>
      <c r="G6" s="4">
        <f t="shared" si="1"/>
        <v>89118.450689947174</v>
      </c>
      <c r="H6" s="4">
        <f t="shared" si="2"/>
        <v>2566.6113798704787</v>
      </c>
      <c r="I6" s="4">
        <f t="shared" si="3"/>
        <v>4197.4790274965117</v>
      </c>
      <c r="J6" s="4">
        <f t="shared" si="4"/>
        <v>-1630.867647626033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88293.04205020277</v>
      </c>
      <c r="G7" s="4">
        <f t="shared" si="1"/>
        <v>87241.441800072935</v>
      </c>
      <c r="H7" s="4">
        <f t="shared" si="2"/>
        <v>2826.6227143223632</v>
      </c>
      <c r="I7" s="4">
        <f t="shared" si="3"/>
        <v>4702.3137130239311</v>
      </c>
      <c r="J7" s="4">
        <f t="shared" si="4"/>
        <v>-1875.6909987015679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86197.351051501202</v>
      </c>
      <c r="G8" s="4">
        <f t="shared" si="1"/>
        <v>85616.141431051743</v>
      </c>
      <c r="H8" s="4">
        <f t="shared" si="2"/>
        <v>2619.8539277901837</v>
      </c>
      <c r="I8" s="4">
        <f t="shared" si="3"/>
        <v>3510.2617986731211</v>
      </c>
      <c r="J8" s="4">
        <f t="shared" si="4"/>
        <v>-890.40787088293746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85036.943180618269</v>
      </c>
      <c r="G9" s="4">
        <f t="shared" si="1"/>
        <v>84613.106682909856</v>
      </c>
      <c r="H9" s="4">
        <f t="shared" si="2"/>
        <v>2682.2354818482422</v>
      </c>
      <c r="I9" s="4">
        <f t="shared" si="3"/>
        <v>3139.1462579359559</v>
      </c>
      <c r="J9" s="4">
        <f t="shared" si="4"/>
        <v>-456.91077608771366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84190.032404530561</v>
      </c>
      <c r="G10" s="4">
        <f t="shared" si="1"/>
        <v>84334.176229773948</v>
      </c>
      <c r="H10" s="4">
        <f t="shared" si="2"/>
        <v>2951.6961680420882</v>
      </c>
      <c r="I10" s="4">
        <f t="shared" si="3"/>
        <v>2513.1584516472635</v>
      </c>
      <c r="J10" s="4">
        <f t="shared" si="4"/>
        <v>438.53771639482466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84478.570120925389</v>
      </c>
      <c r="G11" s="4">
        <f t="shared" si="1"/>
        <v>84375.101498298172</v>
      </c>
      <c r="H11" s="4">
        <f t="shared" si="2"/>
        <v>3054.3786742383941</v>
      </c>
      <c r="I11" s="4">
        <f t="shared" si="3"/>
        <v>3206.2538569353305</v>
      </c>
      <c r="J11" s="4">
        <f t="shared" si="4"/>
        <v>-151.87518269693646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84271.694938228451</v>
      </c>
      <c r="G12" s="4">
        <f t="shared" si="1"/>
        <v>85174.071084525</v>
      </c>
      <c r="H12" s="4">
        <f t="shared" si="2"/>
        <v>3747.6591277191001</v>
      </c>
      <c r="I12" s="4">
        <f t="shared" si="3"/>
        <v>1916.4165994018126</v>
      </c>
      <c r="J12" s="4">
        <f t="shared" si="4"/>
        <v>1831.2425283172875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86082.937466545744</v>
      </c>
      <c r="G13" s="4">
        <f t="shared" si="1"/>
        <v>86970.677055472013</v>
      </c>
      <c r="H13" s="4">
        <f t="shared" si="2"/>
        <v>3678.8596394464657</v>
      </c>
      <c r="I13" s="4">
        <f t="shared" si="3"/>
        <v>1887.2636921037426</v>
      </c>
      <c r="J13" s="4">
        <f t="shared" si="4"/>
        <v>1791.5959473427231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87864.533413888465</v>
      </c>
      <c r="G14" s="4">
        <f t="shared" si="1"/>
        <v>88786.630527357367</v>
      </c>
      <c r="H14" s="4">
        <f t="shared" si="2"/>
        <v>3888.8544170982527</v>
      </c>
      <c r="I14" s="4">
        <f t="shared" si="3"/>
        <v>2033.2138390764835</v>
      </c>
      <c r="J14" s="4">
        <f t="shared" si="4"/>
        <v>1855.6405780217692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89715.17399191024</v>
      </c>
      <c r="G15" s="4">
        <f t="shared" si="1"/>
        <v>90722.975564908877</v>
      </c>
      <c r="H15" s="4">
        <f t="shared" si="2"/>
        <v>3837.5818663956452</v>
      </c>
      <c r="I15" s="4">
        <f t="shared" si="3"/>
        <v>1814.4595112981776</v>
      </c>
      <c r="J15" s="4">
        <f t="shared" si="4"/>
        <v>2023.1223550974676</v>
      </c>
    </row>
    <row r="16" spans="1:10" x14ac:dyDescent="0.25">
      <c r="A16">
        <v>1927</v>
      </c>
      <c r="F16" s="4">
        <f t="shared" si="5"/>
        <v>91738.296347007708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-1665.7036529922916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80" t="s">
        <v>3</v>
      </c>
      <c r="B3" s="77"/>
      <c r="C3" s="77"/>
      <c r="D3" s="77"/>
      <c r="E3" s="77"/>
      <c r="F3" s="78"/>
      <c r="G3" s="78"/>
      <c r="H3" s="78"/>
      <c r="I3" s="78"/>
      <c r="K3" s="81" t="s">
        <v>35</v>
      </c>
      <c r="L3" s="81"/>
    </row>
    <row r="4" spans="1:12" x14ac:dyDescent="0.25">
      <c r="A4" s="80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81" t="s">
        <v>141</v>
      </c>
      <c r="C118" s="81"/>
      <c r="D118" s="81"/>
      <c r="G118" s="81" t="s">
        <v>142</v>
      </c>
      <c r="H118" s="81"/>
      <c r="I118" s="81"/>
      <c r="J118" s="81"/>
      <c r="K118" s="81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tabSelected="1" topLeftCell="A197" workbookViewId="0">
      <selection activeCell="T227" sqref="T227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7" t="s">
        <v>162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45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2">
        <v>1914</v>
      </c>
      <c r="B5" s="45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1"/>
    </row>
    <row r="6" spans="1:6" x14ac:dyDescent="0.25">
      <c r="A6" s="43">
        <v>1915</v>
      </c>
      <c r="B6" s="45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8"/>
    </row>
    <row r="7" spans="1:6" x14ac:dyDescent="0.25">
      <c r="A7" s="43">
        <v>1916</v>
      </c>
      <c r="B7" s="45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8"/>
    </row>
    <row r="8" spans="1:6" x14ac:dyDescent="0.25">
      <c r="A8" s="43">
        <v>1917</v>
      </c>
      <c r="B8" s="45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8"/>
    </row>
    <row r="9" spans="1:6" x14ac:dyDescent="0.25">
      <c r="A9" s="43">
        <v>1918</v>
      </c>
      <c r="B9" s="45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8"/>
    </row>
    <row r="10" spans="1:6" x14ac:dyDescent="0.25">
      <c r="A10" s="43">
        <v>1919</v>
      </c>
      <c r="B10" s="45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8"/>
    </row>
    <row r="11" spans="1:6" x14ac:dyDescent="0.25">
      <c r="A11" s="43">
        <v>1920</v>
      </c>
      <c r="B11" s="45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8"/>
    </row>
    <row r="12" spans="1:6" x14ac:dyDescent="0.25">
      <c r="A12" s="43">
        <v>1921</v>
      </c>
      <c r="B12" s="45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8"/>
    </row>
    <row r="13" spans="1:6" x14ac:dyDescent="0.25">
      <c r="A13" s="43">
        <v>1922</v>
      </c>
      <c r="B13" s="45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8"/>
    </row>
    <row r="14" spans="1:6" x14ac:dyDescent="0.25">
      <c r="A14" s="43">
        <v>1923</v>
      </c>
      <c r="B14" s="45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8"/>
    </row>
    <row r="15" spans="1:6" x14ac:dyDescent="0.25">
      <c r="A15" s="43">
        <v>1924</v>
      </c>
      <c r="B15" s="46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8"/>
    </row>
    <row r="16" spans="1:6" x14ac:dyDescent="0.25">
      <c r="A16" s="43">
        <v>1925</v>
      </c>
      <c r="B16" s="46">
        <v>45.9</v>
      </c>
      <c r="D16">
        <v>1</v>
      </c>
      <c r="E16" s="2">
        <v>48.7</v>
      </c>
    </row>
    <row r="17" spans="1:5" x14ac:dyDescent="0.25">
      <c r="A17" s="43">
        <v>1926</v>
      </c>
      <c r="B17" s="46">
        <v>44.7</v>
      </c>
      <c r="D17">
        <v>1</v>
      </c>
      <c r="E17" s="2">
        <v>47</v>
      </c>
    </row>
    <row r="18" spans="1:5" x14ac:dyDescent="0.25">
      <c r="A18" s="44">
        <v>1927</v>
      </c>
      <c r="E18" s="2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  <row r="49" spans="1:38" ht="21" x14ac:dyDescent="0.35">
      <c r="A49" s="68" t="s">
        <v>166</v>
      </c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</row>
    <row r="51" spans="1:38" x14ac:dyDescent="0.25">
      <c r="B51" s="78" t="s">
        <v>7</v>
      </c>
      <c r="C51" s="78"/>
      <c r="D51" s="78"/>
      <c r="E51" s="78"/>
      <c r="F51" s="78"/>
      <c r="G51" s="78"/>
      <c r="H51" s="78"/>
      <c r="I51" s="78"/>
      <c r="J51" s="78"/>
    </row>
    <row r="52" spans="1:38" x14ac:dyDescent="0.25">
      <c r="A52" s="49" t="s">
        <v>3</v>
      </c>
      <c r="B52" s="48" t="s">
        <v>8</v>
      </c>
      <c r="C52" s="48" t="s">
        <v>9</v>
      </c>
      <c r="D52" s="48" t="s">
        <v>10</v>
      </c>
      <c r="E52" s="48" t="s">
        <v>11</v>
      </c>
      <c r="F52" s="48" t="s">
        <v>155</v>
      </c>
      <c r="G52" s="48" t="s">
        <v>13</v>
      </c>
      <c r="H52" s="48" t="s">
        <v>5</v>
      </c>
      <c r="I52" s="48" t="s">
        <v>15</v>
      </c>
      <c r="J52" s="48" t="s">
        <v>16</v>
      </c>
      <c r="AF52" s="51"/>
      <c r="AG52" s="51"/>
      <c r="AH52" s="51"/>
      <c r="AI52" s="51"/>
      <c r="AJ52" s="51"/>
      <c r="AK52" s="51"/>
      <c r="AL52" s="51"/>
    </row>
    <row r="53" spans="1:38" x14ac:dyDescent="0.25">
      <c r="A53" s="42">
        <v>1913</v>
      </c>
      <c r="B53" s="40"/>
      <c r="C53" s="40"/>
      <c r="D53" s="41">
        <v>30.2</v>
      </c>
      <c r="E53" s="41">
        <v>24.7</v>
      </c>
      <c r="F53" s="40"/>
      <c r="G53" s="41">
        <v>30.2</v>
      </c>
      <c r="H53" s="40"/>
      <c r="I53" s="40"/>
      <c r="J53" s="40"/>
      <c r="AF53" s="51"/>
      <c r="AG53" s="51"/>
      <c r="AH53" s="51"/>
      <c r="AI53" s="51"/>
      <c r="AJ53" s="51"/>
      <c r="AK53" s="51"/>
      <c r="AL53" s="51"/>
    </row>
    <row r="54" spans="1:38" x14ac:dyDescent="0.25">
      <c r="A54" s="42">
        <v>1914</v>
      </c>
      <c r="B54" s="40"/>
      <c r="C54" s="64">
        <v>27.2</v>
      </c>
      <c r="D54" s="41">
        <v>27.2</v>
      </c>
      <c r="E54" s="41">
        <v>26.6</v>
      </c>
      <c r="F54" s="40"/>
      <c r="G54" s="41">
        <v>29.6</v>
      </c>
      <c r="H54" s="40"/>
      <c r="I54" s="40"/>
      <c r="J54" s="40"/>
      <c r="AF54" s="51"/>
      <c r="AG54" s="51"/>
      <c r="AH54" s="51"/>
      <c r="AI54" s="51"/>
      <c r="AJ54" s="51"/>
      <c r="AK54" s="51"/>
      <c r="AL54" s="51"/>
    </row>
    <row r="55" spans="1:38" x14ac:dyDescent="0.25">
      <c r="A55" s="43">
        <v>1915</v>
      </c>
      <c r="B55" s="38"/>
      <c r="C55" s="38">
        <v>28.8</v>
      </c>
      <c r="D55" s="38">
        <v>28.8</v>
      </c>
      <c r="E55" s="38">
        <v>25.6</v>
      </c>
      <c r="F55" s="38"/>
      <c r="G55" s="38">
        <v>35.4</v>
      </c>
      <c r="H55" s="38"/>
      <c r="I55" s="38"/>
      <c r="J55" s="38"/>
      <c r="AF55" s="51"/>
      <c r="AG55" s="51"/>
      <c r="AH55" s="51"/>
      <c r="AI55" s="51"/>
      <c r="AJ55" s="51"/>
      <c r="AK55" s="51"/>
      <c r="AL55" s="51"/>
    </row>
    <row r="56" spans="1:38" x14ac:dyDescent="0.25">
      <c r="A56" s="43">
        <v>1916</v>
      </c>
      <c r="B56" s="38"/>
      <c r="C56" s="38">
        <v>25.4</v>
      </c>
      <c r="D56" s="38">
        <v>25.4</v>
      </c>
      <c r="E56" s="38">
        <v>42.6</v>
      </c>
      <c r="F56" s="38"/>
      <c r="G56" s="38">
        <v>33</v>
      </c>
      <c r="H56" s="38"/>
      <c r="I56" s="38"/>
      <c r="J56" s="38"/>
      <c r="AF56" s="51"/>
      <c r="AG56" s="51"/>
      <c r="AH56" s="51"/>
      <c r="AI56" s="51"/>
      <c r="AJ56" s="51"/>
      <c r="AK56" s="51"/>
      <c r="AL56" s="51"/>
    </row>
    <row r="57" spans="1:38" x14ac:dyDescent="0.25">
      <c r="A57" s="43">
        <v>1917</v>
      </c>
      <c r="B57" s="38"/>
      <c r="C57" s="38">
        <v>29.1</v>
      </c>
      <c r="D57" s="38">
        <v>29.1</v>
      </c>
      <c r="E57" s="38">
        <v>39.200000000000003</v>
      </c>
      <c r="F57" s="38"/>
      <c r="G57" s="38">
        <v>28.2</v>
      </c>
      <c r="H57" s="39">
        <v>27.4</v>
      </c>
      <c r="I57" s="39"/>
      <c r="J57" s="39"/>
      <c r="L57" s="79" t="s">
        <v>115</v>
      </c>
      <c r="M57" s="79"/>
      <c r="AF57" s="51"/>
      <c r="AG57" s="51"/>
      <c r="AH57" s="51"/>
      <c r="AI57" s="51"/>
      <c r="AJ57" s="51"/>
      <c r="AK57" s="51"/>
      <c r="AL57" s="51"/>
    </row>
    <row r="58" spans="1:38" x14ac:dyDescent="0.25">
      <c r="A58" s="43">
        <v>1918</v>
      </c>
      <c r="B58" s="38"/>
      <c r="C58" s="38">
        <v>44.2</v>
      </c>
      <c r="D58" s="38">
        <v>44.2</v>
      </c>
      <c r="E58" s="38">
        <v>47.1</v>
      </c>
      <c r="F58" s="38"/>
      <c r="G58" s="38"/>
      <c r="H58" s="39">
        <v>39.9</v>
      </c>
      <c r="I58" s="38">
        <v>28.1</v>
      </c>
      <c r="J58" s="38">
        <v>30.2</v>
      </c>
      <c r="L58" s="2">
        <f>AVERAGE(H58,J58)</f>
        <v>35.049999999999997</v>
      </c>
      <c r="M58" s="2">
        <f>L58-27</f>
        <v>8.0499999999999972</v>
      </c>
      <c r="AF58" s="51"/>
      <c r="AG58" s="51"/>
      <c r="AH58" s="51"/>
      <c r="AI58" s="51"/>
      <c r="AJ58" s="51"/>
      <c r="AK58" s="51"/>
      <c r="AL58" s="51"/>
    </row>
    <row r="59" spans="1:38" x14ac:dyDescent="0.25">
      <c r="A59" s="43">
        <v>1919</v>
      </c>
      <c r="B59" s="38"/>
      <c r="C59" s="38">
        <v>46.7</v>
      </c>
      <c r="D59" s="38">
        <v>46.7</v>
      </c>
      <c r="E59" s="38">
        <v>53.9</v>
      </c>
      <c r="F59" s="38"/>
      <c r="G59" s="38"/>
      <c r="H59" s="39">
        <v>65.5</v>
      </c>
      <c r="I59" s="38">
        <v>39.4</v>
      </c>
      <c r="J59" s="38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1"/>
      <c r="AG59" s="51"/>
      <c r="AH59" s="51"/>
      <c r="AI59" s="51"/>
      <c r="AJ59" s="51"/>
      <c r="AK59" s="51"/>
      <c r="AL59" s="51"/>
    </row>
    <row r="60" spans="1:38" x14ac:dyDescent="0.25">
      <c r="A60" s="43">
        <v>1920</v>
      </c>
      <c r="B60" s="38">
        <v>35.299999999999997</v>
      </c>
      <c r="C60" s="38">
        <v>43.3</v>
      </c>
      <c r="D60" s="38">
        <v>43.3</v>
      </c>
      <c r="E60" s="38">
        <v>41</v>
      </c>
      <c r="F60" s="38">
        <v>45.4</v>
      </c>
      <c r="G60" s="38"/>
      <c r="H60" s="39">
        <v>79.5</v>
      </c>
      <c r="I60" s="38">
        <v>49.9</v>
      </c>
      <c r="J60" s="38">
        <v>56.1</v>
      </c>
      <c r="L60" s="2">
        <f t="shared" si="2"/>
        <v>67.8</v>
      </c>
      <c r="M60" s="2">
        <f t="shared" si="3"/>
        <v>40.799999999999997</v>
      </c>
      <c r="AF60" s="51"/>
      <c r="AG60" s="51"/>
      <c r="AH60" s="51"/>
      <c r="AI60" s="51"/>
      <c r="AJ60" s="51"/>
      <c r="AK60" s="51"/>
      <c r="AL60" s="51"/>
    </row>
    <row r="61" spans="1:38" x14ac:dyDescent="0.25">
      <c r="A61" s="43">
        <v>1921</v>
      </c>
      <c r="B61" s="38">
        <v>29.2</v>
      </c>
      <c r="C61" s="38">
        <v>29.7</v>
      </c>
      <c r="D61" s="38">
        <v>40</v>
      </c>
      <c r="E61" s="38">
        <v>37.1</v>
      </c>
      <c r="F61" s="38">
        <v>39.799999999999997</v>
      </c>
      <c r="G61" s="38"/>
      <c r="H61" s="39">
        <v>40.4</v>
      </c>
      <c r="I61" s="38">
        <v>42.6</v>
      </c>
      <c r="J61" s="38">
        <v>41.4</v>
      </c>
      <c r="L61" s="2">
        <f t="shared" si="2"/>
        <v>40.9</v>
      </c>
      <c r="M61" s="2">
        <f t="shared" si="3"/>
        <v>13.899999999999999</v>
      </c>
      <c r="AF61" s="51"/>
      <c r="AG61" s="51"/>
      <c r="AH61" s="51"/>
      <c r="AI61" s="51"/>
      <c r="AJ61" s="51"/>
      <c r="AK61" s="51"/>
      <c r="AL61" s="51"/>
    </row>
    <row r="62" spans="1:38" x14ac:dyDescent="0.25">
      <c r="A62" s="43">
        <v>1922</v>
      </c>
      <c r="B62" s="38">
        <v>32.1</v>
      </c>
      <c r="C62" s="38">
        <v>29.6</v>
      </c>
      <c r="D62" s="38">
        <v>29.6</v>
      </c>
      <c r="E62" s="38">
        <v>29.8</v>
      </c>
      <c r="F62" s="38">
        <v>38.799999999999997</v>
      </c>
      <c r="G62" s="38"/>
      <c r="H62" s="39">
        <v>55.3</v>
      </c>
      <c r="I62" s="38">
        <v>43</v>
      </c>
      <c r="J62" s="38">
        <v>47.1</v>
      </c>
      <c r="L62" s="2">
        <f t="shared" si="2"/>
        <v>51.2</v>
      </c>
      <c r="M62" s="2">
        <f t="shared" si="3"/>
        <v>24.200000000000003</v>
      </c>
      <c r="AF62" s="51"/>
      <c r="AG62" s="51"/>
      <c r="AH62" s="51"/>
      <c r="AI62" s="51"/>
      <c r="AJ62" s="51"/>
      <c r="AK62" s="51"/>
      <c r="AL62" s="51"/>
    </row>
    <row r="63" spans="1:38" x14ac:dyDescent="0.25">
      <c r="A63" s="43">
        <v>1923</v>
      </c>
      <c r="B63" s="38">
        <v>23.1</v>
      </c>
      <c r="C63" s="38">
        <v>25.5</v>
      </c>
      <c r="D63" s="38">
        <v>25.5</v>
      </c>
      <c r="E63" s="38">
        <v>38</v>
      </c>
      <c r="F63" s="38">
        <v>29.1</v>
      </c>
      <c r="G63" s="38"/>
      <c r="H63" s="39">
        <v>22.3</v>
      </c>
      <c r="I63" s="38">
        <v>28.1</v>
      </c>
      <c r="J63" s="38">
        <v>28.7</v>
      </c>
      <c r="L63" s="2">
        <f t="shared" si="2"/>
        <v>25.5</v>
      </c>
      <c r="M63" s="2">
        <f t="shared" si="3"/>
        <v>-1.5</v>
      </c>
      <c r="AF63" s="51"/>
      <c r="AG63" s="51"/>
      <c r="AH63" s="51"/>
      <c r="AI63" s="51"/>
      <c r="AJ63" s="51"/>
      <c r="AK63" s="51"/>
      <c r="AL63" s="51"/>
    </row>
    <row r="64" spans="1:38" x14ac:dyDescent="0.25">
      <c r="A64" s="43">
        <v>1924</v>
      </c>
      <c r="B64" s="38">
        <v>24.1</v>
      </c>
      <c r="C64" s="38">
        <v>23.5</v>
      </c>
      <c r="D64" s="38">
        <v>23.5</v>
      </c>
      <c r="E64" s="38">
        <v>22.5</v>
      </c>
      <c r="F64" s="38">
        <v>27.6</v>
      </c>
      <c r="G64" s="38"/>
      <c r="H64" s="39">
        <v>23.1</v>
      </c>
      <c r="I64" s="38"/>
      <c r="J64" s="38">
        <v>22.4</v>
      </c>
      <c r="L64" s="2">
        <f t="shared" si="2"/>
        <v>22.75</v>
      </c>
      <c r="M64" s="2">
        <f t="shared" si="3"/>
        <v>-4.25</v>
      </c>
      <c r="AF64" s="51"/>
      <c r="AG64" s="51"/>
      <c r="AH64" s="51"/>
      <c r="AI64" s="51"/>
      <c r="AJ64" s="51"/>
      <c r="AK64" s="51"/>
      <c r="AL64" s="51"/>
    </row>
    <row r="65" spans="1:38" x14ac:dyDescent="0.25">
      <c r="A65" s="43">
        <v>1925</v>
      </c>
      <c r="B65" s="38">
        <v>25.2</v>
      </c>
      <c r="C65" s="38">
        <v>24.5</v>
      </c>
      <c r="D65" s="38">
        <v>24.5</v>
      </c>
      <c r="E65" s="38">
        <v>21.7</v>
      </c>
      <c r="F65" s="38">
        <v>28.7</v>
      </c>
      <c r="G65" s="38"/>
      <c r="H65" s="39">
        <v>23.3</v>
      </c>
      <c r="I65" s="39"/>
      <c r="J65" s="38">
        <v>23.8</v>
      </c>
      <c r="L65" s="2">
        <f t="shared" si="2"/>
        <v>23.55</v>
      </c>
      <c r="AF65" s="51"/>
      <c r="AG65" s="51"/>
      <c r="AH65" s="51"/>
      <c r="AI65" s="51"/>
      <c r="AJ65" s="51"/>
      <c r="AK65" s="51"/>
      <c r="AL65" s="51"/>
    </row>
    <row r="66" spans="1:38" x14ac:dyDescent="0.25">
      <c r="A66" s="43">
        <v>1926</v>
      </c>
      <c r="B66" s="38">
        <v>21.3</v>
      </c>
      <c r="C66" s="38">
        <v>21.5</v>
      </c>
      <c r="D66" s="38">
        <v>21.5</v>
      </c>
      <c r="E66" s="38">
        <v>22.9</v>
      </c>
      <c r="F66" s="38">
        <v>25.5</v>
      </c>
      <c r="G66" s="38"/>
      <c r="H66" s="39">
        <v>19.899999999999999</v>
      </c>
      <c r="I66" s="39"/>
      <c r="J66" s="38">
        <v>22.7</v>
      </c>
      <c r="AF66" s="51"/>
      <c r="AG66" s="51"/>
      <c r="AH66" s="51"/>
      <c r="AI66" s="51"/>
      <c r="AJ66" s="51"/>
      <c r="AK66" s="51"/>
      <c r="AL66" s="51"/>
    </row>
    <row r="67" spans="1:38" x14ac:dyDescent="0.25">
      <c r="AF67" s="51"/>
      <c r="AG67" s="51"/>
      <c r="AH67" s="51"/>
      <c r="AI67" s="51"/>
      <c r="AJ67" s="51"/>
      <c r="AK67" s="51"/>
      <c r="AL67" s="51"/>
    </row>
    <row r="68" spans="1:38" x14ac:dyDescent="0.25">
      <c r="A68" t="s">
        <v>8</v>
      </c>
      <c r="B68" t="s">
        <v>18</v>
      </c>
      <c r="AF68" s="51"/>
      <c r="AG68" s="51"/>
      <c r="AH68" s="51"/>
      <c r="AI68" s="51"/>
      <c r="AJ68" s="51"/>
      <c r="AK68" s="51"/>
      <c r="AL68" s="51"/>
    </row>
    <row r="69" spans="1:38" x14ac:dyDescent="0.25">
      <c r="A69" t="s">
        <v>9</v>
      </c>
      <c r="B69" t="s">
        <v>19</v>
      </c>
      <c r="AF69" s="51"/>
      <c r="AG69" s="51"/>
      <c r="AH69" s="51"/>
      <c r="AI69" s="51"/>
      <c r="AJ69" s="51"/>
      <c r="AK69" s="51"/>
      <c r="AL69" s="51"/>
    </row>
    <row r="70" spans="1:38" x14ac:dyDescent="0.25">
      <c r="A70" t="s">
        <v>10</v>
      </c>
      <c r="B70" t="s">
        <v>20</v>
      </c>
      <c r="AF70" s="51"/>
      <c r="AG70" s="51"/>
      <c r="AH70" s="51"/>
      <c r="AI70" s="51"/>
      <c r="AJ70" s="51"/>
      <c r="AK70" s="51"/>
      <c r="AL70" s="51"/>
    </row>
    <row r="71" spans="1:38" x14ac:dyDescent="0.25">
      <c r="A71" t="s">
        <v>11</v>
      </c>
      <c r="B71" t="s">
        <v>0</v>
      </c>
      <c r="AF71" s="51"/>
      <c r="AG71" s="51"/>
      <c r="AH71" s="51"/>
      <c r="AI71" s="51"/>
      <c r="AJ71" s="51"/>
      <c r="AK71" s="51"/>
      <c r="AL71" s="51"/>
    </row>
    <row r="72" spans="1:38" x14ac:dyDescent="0.25">
      <c r="A72" t="s">
        <v>12</v>
      </c>
      <c r="B72" t="s">
        <v>21</v>
      </c>
      <c r="AF72" s="51"/>
      <c r="AG72" s="51"/>
      <c r="AH72" s="51"/>
      <c r="AI72" s="51"/>
      <c r="AJ72" s="51"/>
      <c r="AK72" s="51"/>
      <c r="AL72" s="51"/>
    </row>
    <row r="73" spans="1:38" x14ac:dyDescent="0.25">
      <c r="A73" t="s">
        <v>13</v>
      </c>
      <c r="B73" t="s">
        <v>22</v>
      </c>
      <c r="AF73" s="51"/>
      <c r="AG73" s="51"/>
      <c r="AH73" s="51"/>
      <c r="AI73" s="51"/>
      <c r="AJ73" s="51"/>
      <c r="AK73" s="51"/>
      <c r="AL73" s="51"/>
    </row>
    <row r="74" spans="1:38" x14ac:dyDescent="0.25">
      <c r="A74" t="s">
        <v>14</v>
      </c>
      <c r="B74" t="s">
        <v>23</v>
      </c>
      <c r="AF74" s="51"/>
      <c r="AG74" s="51"/>
      <c r="AH74" s="51"/>
      <c r="AI74" s="51"/>
      <c r="AJ74" s="51"/>
      <c r="AK74" s="51"/>
      <c r="AL74" s="51"/>
    </row>
    <row r="75" spans="1:38" x14ac:dyDescent="0.25">
      <c r="A75" t="s">
        <v>5</v>
      </c>
      <c r="B75" t="s">
        <v>24</v>
      </c>
      <c r="AF75" s="51"/>
      <c r="AG75" s="51"/>
      <c r="AH75" s="51"/>
      <c r="AI75" s="51"/>
      <c r="AJ75" s="51"/>
      <c r="AK75" s="51"/>
      <c r="AL75" s="51"/>
    </row>
    <row r="76" spans="1:38" x14ac:dyDescent="0.25">
      <c r="A76" t="s">
        <v>15</v>
      </c>
      <c r="B76" t="s">
        <v>25</v>
      </c>
      <c r="AF76" s="51"/>
      <c r="AG76" s="51"/>
      <c r="AH76" s="51"/>
      <c r="AI76" s="51"/>
      <c r="AJ76" s="51"/>
      <c r="AK76" s="51"/>
      <c r="AL76" s="51"/>
    </row>
    <row r="77" spans="1:38" x14ac:dyDescent="0.25">
      <c r="A77" t="s">
        <v>16</v>
      </c>
      <c r="B77" t="s">
        <v>25</v>
      </c>
      <c r="AF77" s="51"/>
      <c r="AG77" s="51"/>
      <c r="AH77" s="51"/>
      <c r="AI77" s="51"/>
      <c r="AJ77" s="51"/>
      <c r="AK77" s="51"/>
      <c r="AL77" s="51"/>
    </row>
    <row r="78" spans="1:38" x14ac:dyDescent="0.25">
      <c r="AF78" s="51"/>
      <c r="AG78" s="51"/>
      <c r="AH78" s="51"/>
      <c r="AI78" s="51"/>
      <c r="AJ78" s="51"/>
      <c r="AK78" s="51"/>
      <c r="AL78" s="51"/>
    </row>
    <row r="79" spans="1:38" x14ac:dyDescent="0.25">
      <c r="AF79" s="51"/>
      <c r="AG79" s="51"/>
      <c r="AH79" s="51"/>
      <c r="AI79" s="51"/>
      <c r="AJ79" s="51"/>
      <c r="AK79" s="51"/>
      <c r="AL79" s="51"/>
    </row>
    <row r="80" spans="1:38" x14ac:dyDescent="0.25">
      <c r="AF80" s="51"/>
      <c r="AG80" s="51"/>
      <c r="AH80" s="51"/>
      <c r="AI80" s="51"/>
      <c r="AJ80" s="51"/>
      <c r="AK80" s="51"/>
      <c r="AL80" s="51"/>
    </row>
    <row r="81" spans="1:40" x14ac:dyDescent="0.25">
      <c r="AF81" s="51"/>
      <c r="AG81" s="51"/>
      <c r="AH81" s="51"/>
      <c r="AI81" s="51"/>
      <c r="AJ81" s="51"/>
      <c r="AK81" s="51"/>
      <c r="AL81" s="51"/>
    </row>
    <row r="82" spans="1:40" x14ac:dyDescent="0.25">
      <c r="AF82" s="51"/>
      <c r="AG82" s="51"/>
      <c r="AH82" s="51"/>
      <c r="AI82" s="51"/>
      <c r="AJ82" s="51"/>
      <c r="AK82" s="51"/>
      <c r="AL82" s="51"/>
    </row>
    <row r="83" spans="1:40" x14ac:dyDescent="0.25">
      <c r="AF83" s="51"/>
      <c r="AG83" s="51"/>
      <c r="AH83" s="51"/>
      <c r="AI83" s="51"/>
      <c r="AJ83" s="51"/>
      <c r="AK83" s="51"/>
      <c r="AL83" s="51"/>
    </row>
    <row r="84" spans="1:40" x14ac:dyDescent="0.25">
      <c r="AF84" s="51"/>
      <c r="AG84" s="51"/>
      <c r="AH84" s="51"/>
      <c r="AI84" s="51"/>
      <c r="AJ84" s="51"/>
      <c r="AK84" s="51"/>
      <c r="AL84" s="51"/>
    </row>
    <row r="85" spans="1:40" x14ac:dyDescent="0.25">
      <c r="AF85" s="51"/>
      <c r="AG85" s="51"/>
      <c r="AH85" s="51"/>
      <c r="AI85" s="51"/>
      <c r="AJ85" s="51"/>
      <c r="AK85" s="51"/>
      <c r="AL85" s="51"/>
    </row>
    <row r="86" spans="1:40" x14ac:dyDescent="0.25">
      <c r="AF86" s="51"/>
      <c r="AG86" s="51"/>
      <c r="AH86" s="51"/>
      <c r="AI86" s="51"/>
      <c r="AJ86" s="51"/>
      <c r="AK86" s="51"/>
      <c r="AL86" s="51"/>
    </row>
    <row r="87" spans="1:40" x14ac:dyDescent="0.25">
      <c r="AF87" s="51"/>
      <c r="AG87" s="51"/>
      <c r="AH87" s="51"/>
      <c r="AI87" s="51"/>
      <c r="AJ87" s="51"/>
      <c r="AK87" s="51"/>
      <c r="AL87" s="51"/>
    </row>
    <row r="88" spans="1:40" x14ac:dyDescent="0.25">
      <c r="A88" s="54" t="s">
        <v>152</v>
      </c>
      <c r="B88" s="51"/>
      <c r="C88" s="51"/>
      <c r="D88" s="51"/>
      <c r="E88" s="53">
        <f>31.2/29.6</f>
        <v>1.0540540540540539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</row>
    <row r="89" spans="1:40" x14ac:dyDescent="0.25">
      <c r="A89" s="54" t="s">
        <v>154</v>
      </c>
      <c r="B89" s="51"/>
      <c r="C89" s="51"/>
      <c r="D89" s="51"/>
      <c r="E89" s="67">
        <v>-2.875E-3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</row>
    <row r="90" spans="1:40" x14ac:dyDescent="0.25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</row>
    <row r="91" spans="1:40" s="59" customFormat="1" ht="45" x14ac:dyDescent="0.25">
      <c r="A91" s="55" t="s">
        <v>3</v>
      </c>
      <c r="B91" s="57" t="s">
        <v>157</v>
      </c>
      <c r="C91" s="57" t="s">
        <v>156</v>
      </c>
      <c r="D91" s="57" t="s">
        <v>155</v>
      </c>
      <c r="E91" s="57" t="s">
        <v>158</v>
      </c>
      <c r="F91" s="57" t="s">
        <v>159</v>
      </c>
      <c r="G91" s="57" t="s">
        <v>153</v>
      </c>
      <c r="H91" s="56" t="s">
        <v>160</v>
      </c>
      <c r="I91" s="29"/>
      <c r="J91" s="60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</row>
    <row r="92" spans="1:40" x14ac:dyDescent="0.25">
      <c r="A92" s="42">
        <v>1913</v>
      </c>
      <c r="B92" s="52">
        <f>G53*RSFSR_MULT</f>
        <v>31.83243243243243</v>
      </c>
      <c r="C92" s="51"/>
      <c r="D92" s="51"/>
      <c r="E92" s="51"/>
      <c r="F92" s="51"/>
      <c r="G92" s="51"/>
      <c r="H92" s="52">
        <f>B92</f>
        <v>31.83243243243243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1:40" x14ac:dyDescent="0.25">
      <c r="A93" s="42">
        <v>1914</v>
      </c>
      <c r="B93" s="52">
        <f>G54*RSFSR_MULT</f>
        <v>31.2</v>
      </c>
      <c r="H93" s="52">
        <f>B93</f>
        <v>31.2</v>
      </c>
    </row>
    <row r="94" spans="1:40" x14ac:dyDescent="0.25">
      <c r="A94" s="43">
        <v>1915</v>
      </c>
      <c r="B94" s="52">
        <f>G55*RSFSR_MULT</f>
        <v>37.313513513513506</v>
      </c>
      <c r="H94" s="52">
        <f>B94</f>
        <v>37.313513513513506</v>
      </c>
    </row>
    <row r="95" spans="1:40" x14ac:dyDescent="0.25">
      <c r="A95" s="43">
        <v>1916</v>
      </c>
      <c r="B95" s="52">
        <f>G56*RSFSR_MULT</f>
        <v>34.783783783783782</v>
      </c>
      <c r="H95" s="52">
        <f>B95</f>
        <v>34.783783783783782</v>
      </c>
    </row>
    <row r="96" spans="1:40" x14ac:dyDescent="0.25">
      <c r="A96" s="43">
        <v>1917</v>
      </c>
      <c r="B96" s="52">
        <f>G57*RSFSR_MULT</f>
        <v>29.724324324324321</v>
      </c>
      <c r="C96" s="2"/>
      <c r="D96" s="2"/>
      <c r="E96" s="2"/>
      <c r="H96" s="52">
        <f>B96</f>
        <v>29.724324324324321</v>
      </c>
    </row>
    <row r="97" spans="1:8" x14ac:dyDescent="0.25">
      <c r="A97" s="43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2">
        <f>C97*(1 + G97 * EXTRA_WEIGHT)</f>
        <v>28.933426064189188</v>
      </c>
    </row>
    <row r="98" spans="1:8" x14ac:dyDescent="0.25">
      <c r="A98" s="43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2">
        <f>C98*(1 + G98 * EXTRA_WEIGHT)</f>
        <v>37.022456249999998</v>
      </c>
    </row>
    <row r="99" spans="1:8" x14ac:dyDescent="0.25">
      <c r="A99" s="43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2">
        <f>C99*(1 + G99 * EXTRA_WEIGHT)</f>
        <v>46.427634324324316</v>
      </c>
    </row>
    <row r="100" spans="1:8" x14ac:dyDescent="0.25">
      <c r="A100" s="43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2">
        <f>C100*(1 + G100 * EXTRA_WEIGHT)</f>
        <v>43.108278445945942</v>
      </c>
    </row>
    <row r="101" spans="1:8" x14ac:dyDescent="0.25">
      <c r="A101" s="43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2">
        <f>C101*(1 + G101 * EXTRA_WEIGHT)</f>
        <v>42.170884459459458</v>
      </c>
    </row>
    <row r="102" spans="1:8" x14ac:dyDescent="0.25">
      <c r="A102" s="43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2">
        <f>E102</f>
        <v>31.406037735849061</v>
      </c>
    </row>
    <row r="103" spans="1:8" x14ac:dyDescent="0.25">
      <c r="A103" s="43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2">
        <f t="shared" ref="H103:H106" si="8">E103</f>
        <v>29.787169811320759</v>
      </c>
    </row>
    <row r="104" spans="1:8" x14ac:dyDescent="0.25">
      <c r="A104" s="43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2">
        <f t="shared" si="8"/>
        <v>30.974339622641512</v>
      </c>
    </row>
    <row r="105" spans="1:8" x14ac:dyDescent="0.25">
      <c r="A105" s="43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2">
        <f t="shared" si="8"/>
        <v>27.520754716981134</v>
      </c>
    </row>
    <row r="106" spans="1:8" x14ac:dyDescent="0.25">
      <c r="A106" s="44">
        <v>1927</v>
      </c>
      <c r="D106">
        <v>26.5</v>
      </c>
      <c r="E106" s="2">
        <f>D106*28.6/26.5</f>
        <v>28.600000000000005</v>
      </c>
      <c r="H106" s="52">
        <f t="shared" si="8"/>
        <v>28.600000000000005</v>
      </c>
    </row>
    <row r="118" spans="1:35" ht="21" x14ac:dyDescent="0.35">
      <c r="A118" s="68" t="s">
        <v>165</v>
      </c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</row>
    <row r="120" spans="1:35" ht="30" x14ac:dyDescent="0.25">
      <c r="A120" s="61" t="s">
        <v>3</v>
      </c>
      <c r="B120" s="61" t="s">
        <v>6</v>
      </c>
      <c r="C120" s="61" t="s">
        <v>7</v>
      </c>
      <c r="D120" s="13" t="s">
        <v>139</v>
      </c>
      <c r="E120" s="13" t="s">
        <v>26</v>
      </c>
      <c r="F120" s="61" t="s">
        <v>30</v>
      </c>
      <c r="G120" s="61" t="s">
        <v>27</v>
      </c>
      <c r="H120" s="61" t="s">
        <v>28</v>
      </c>
      <c r="I120" s="61" t="s">
        <v>29</v>
      </c>
      <c r="J120" s="61" t="s">
        <v>32</v>
      </c>
    </row>
    <row r="121" spans="1:35" x14ac:dyDescent="0.25">
      <c r="A121" s="62">
        <v>1913</v>
      </c>
      <c r="B121" s="65">
        <v>48.4</v>
      </c>
      <c r="C121" s="65">
        <v>31.6</v>
      </c>
      <c r="D121" s="1">
        <f>B121-C121</f>
        <v>16.799999999999997</v>
      </c>
      <c r="E121" s="29"/>
      <c r="F121" s="66">
        <v>87749</v>
      </c>
      <c r="G121" s="66">
        <v>88520</v>
      </c>
      <c r="H121" s="60"/>
      <c r="I121" s="60"/>
      <c r="J121" s="60"/>
    </row>
    <row r="122" spans="1:35" x14ac:dyDescent="0.25">
      <c r="A122" s="62">
        <v>1914</v>
      </c>
      <c r="B122" s="65">
        <v>48</v>
      </c>
      <c r="C122" s="65">
        <v>31.2</v>
      </c>
      <c r="D122" s="1">
        <f>B122-C122</f>
        <v>16.8</v>
      </c>
      <c r="E122" s="29"/>
      <c r="F122" s="66">
        <v>89296</v>
      </c>
      <c r="G122" s="66">
        <v>90063</v>
      </c>
      <c r="H122" s="60"/>
      <c r="I122" s="60"/>
      <c r="J122" s="60"/>
    </row>
    <row r="123" spans="1:35" x14ac:dyDescent="0.25">
      <c r="A123" s="50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 s="11">
        <v>-5</v>
      </c>
      <c r="F123" s="3">
        <v>91037</v>
      </c>
      <c r="G123" s="4">
        <f>[1]!YearAveragePopulation(F123,B123,C123,E123)</f>
        <v>91185.677301579519</v>
      </c>
      <c r="H123" s="4">
        <f>G123*B123/1000</f>
        <v>3704.9771144112997</v>
      </c>
      <c r="I123" s="4">
        <f>G123*C123/1000</f>
        <v>3402.4580022313694</v>
      </c>
      <c r="J123" s="4">
        <f>H123-I123</f>
        <v>302.51911217993029</v>
      </c>
    </row>
    <row r="124" spans="1:35" x14ac:dyDescent="0.25">
      <c r="A124" s="50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 s="11">
        <v>-5</v>
      </c>
      <c r="F124" s="4">
        <f>F123+J123+E123</f>
        <v>91334.519112179929</v>
      </c>
      <c r="G124" s="4">
        <f>[1]!YearAveragePopulation(F124,B124,C124,E124)</f>
        <v>91141.28508972445</v>
      </c>
      <c r="H124" s="4">
        <f t="shared" ref="H124:H134" si="12">G124*B124/1000</f>
        <v>2789.0399224045314</v>
      </c>
      <c r="I124" s="4">
        <f t="shared" ref="I124:I134" si="13">G124*C124/1000</f>
        <v>3170.2387543371719</v>
      </c>
      <c r="J124" s="4">
        <f t="shared" ref="J124:J134" si="14">H124-I124</f>
        <v>-381.19883193264059</v>
      </c>
    </row>
    <row r="125" spans="1:35" x14ac:dyDescent="0.25">
      <c r="A125" s="50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 s="11">
        <v>-25</v>
      </c>
      <c r="F125" s="4">
        <f t="shared" ref="F125:F135" si="15">F124+J124+E124</f>
        <v>90948.320280247295</v>
      </c>
      <c r="G125" s="4">
        <f>[1]!YearAveragePopulation(F125,B125,C125,E125)</f>
        <v>90696.896102234372</v>
      </c>
      <c r="H125" s="4">
        <f t="shared" si="12"/>
        <v>2218.4963583898348</v>
      </c>
      <c r="I125" s="4">
        <f t="shared" si="13"/>
        <v>2695.9039549523609</v>
      </c>
      <c r="J125" s="4">
        <f t="shared" si="14"/>
        <v>-477.40759656252612</v>
      </c>
    </row>
    <row r="126" spans="1:35" x14ac:dyDescent="0.25">
      <c r="A126" s="50">
        <v>1918</v>
      </c>
      <c r="B126" s="1">
        <f t="shared" si="9"/>
        <v>32.750533049040513</v>
      </c>
      <c r="C126" s="1">
        <f t="shared" si="10"/>
        <v>28.933426064189188</v>
      </c>
      <c r="D126" s="1">
        <f t="shared" si="11"/>
        <v>3.8171069848513248</v>
      </c>
      <c r="E126" s="11">
        <v>-220</v>
      </c>
      <c r="F126" s="4">
        <f t="shared" si="15"/>
        <v>90445.912683684772</v>
      </c>
      <c r="G126" s="4">
        <f>[1]!YearAveragePopulation(F126,B126,C126,E126)</f>
        <v>90508.613299148506</v>
      </c>
      <c r="H126" s="4">
        <f t="shared" si="12"/>
        <v>2964.2053310765909</v>
      </c>
      <c r="I126" s="4">
        <f t="shared" si="13"/>
        <v>2618.7242710632036</v>
      </c>
      <c r="J126" s="4">
        <f t="shared" si="14"/>
        <v>345.48106001338738</v>
      </c>
    </row>
    <row r="127" spans="1:35" x14ac:dyDescent="0.25">
      <c r="A127" s="50">
        <v>1919</v>
      </c>
      <c r="B127" s="1">
        <f t="shared" si="9"/>
        <v>31.727078891257996</v>
      </c>
      <c r="C127" s="1">
        <f t="shared" si="10"/>
        <v>37.022456249999998</v>
      </c>
      <c r="D127" s="1">
        <f t="shared" si="11"/>
        <v>-5.2953773587420017</v>
      </c>
      <c r="E127" s="11">
        <v>-270</v>
      </c>
      <c r="F127" s="4">
        <f t="shared" si="15"/>
        <v>90571.393743698165</v>
      </c>
      <c r="G127" s="4">
        <f>[1]!YearAveragePopulation(F127,B127,C127,E127)</f>
        <v>90197.249592620341</v>
      </c>
      <c r="H127" s="4">
        <f t="shared" si="12"/>
        <v>2861.6952535995538</v>
      </c>
      <c r="I127" s="4">
        <f t="shared" si="13"/>
        <v>3339.3237269131168</v>
      </c>
      <c r="J127" s="4">
        <f t="shared" si="14"/>
        <v>-477.62847331356306</v>
      </c>
    </row>
    <row r="128" spans="1:35" x14ac:dyDescent="0.25">
      <c r="A128" s="50">
        <v>1920</v>
      </c>
      <c r="B128" s="1">
        <f t="shared" si="9"/>
        <v>31.931769722814497</v>
      </c>
      <c r="C128" s="1">
        <f t="shared" si="10"/>
        <v>46.427634324324316</v>
      </c>
      <c r="D128" s="1">
        <f t="shared" si="11"/>
        <v>-14.495864601509819</v>
      </c>
      <c r="E128" s="11">
        <v>-390</v>
      </c>
      <c r="F128" s="4">
        <f t="shared" si="15"/>
        <v>89823.765270384596</v>
      </c>
      <c r="G128" s="4">
        <f>[1]!YearAveragePopulation(F128,B128,C128,E128)</f>
        <v>88981.801939261859</v>
      </c>
      <c r="H128" s="4">
        <f t="shared" si="12"/>
        <v>2841.3464090455982</v>
      </c>
      <c r="I128" s="4">
        <f t="shared" si="13"/>
        <v>4131.2145619555022</v>
      </c>
      <c r="J128" s="4">
        <f t="shared" si="14"/>
        <v>-1289.868152909904</v>
      </c>
    </row>
    <row r="129" spans="1:10" x14ac:dyDescent="0.25">
      <c r="A129" s="50">
        <v>1921</v>
      </c>
      <c r="B129" s="1">
        <f t="shared" si="9"/>
        <v>36.332622601279319</v>
      </c>
      <c r="C129" s="1">
        <f t="shared" si="10"/>
        <v>43.108278445945942</v>
      </c>
      <c r="D129" s="1">
        <f t="shared" si="11"/>
        <v>-6.7756558446666233</v>
      </c>
      <c r="E129" s="11">
        <v>-150</v>
      </c>
      <c r="F129" s="4">
        <f t="shared" si="15"/>
        <v>88143.897117474698</v>
      </c>
      <c r="G129" s="4">
        <f>[1]!YearAveragePopulation(F129,B129,C129,E129)</f>
        <v>87771.123166140576</v>
      </c>
      <c r="H129" s="4">
        <f t="shared" si="12"/>
        <v>3188.9550932857896</v>
      </c>
      <c r="I129" s="4">
        <f t="shared" si="13"/>
        <v>3783.6620169594039</v>
      </c>
      <c r="J129" s="4">
        <f t="shared" si="14"/>
        <v>-594.70692367361426</v>
      </c>
    </row>
    <row r="130" spans="1:10" x14ac:dyDescent="0.25">
      <c r="A130" s="50">
        <v>1922</v>
      </c>
      <c r="B130" s="1">
        <f t="shared" si="9"/>
        <v>38.938336886993604</v>
      </c>
      <c r="C130" s="1">
        <f t="shared" si="10"/>
        <v>42.170884459459458</v>
      </c>
      <c r="D130" s="1">
        <f t="shared" si="11"/>
        <v>-3.2325475724658546</v>
      </c>
      <c r="E130" s="11">
        <v>-55</v>
      </c>
      <c r="F130" s="4">
        <f t="shared" si="15"/>
        <v>87399.190193801085</v>
      </c>
      <c r="G130" s="4">
        <f>[1]!YearAveragePopulation(F130,B130,C130,E130)</f>
        <v>87230.610869569966</v>
      </c>
      <c r="H130" s="4">
        <f t="shared" si="12"/>
        <v>3396.6149128975612</v>
      </c>
      <c r="I130" s="4">
        <f t="shared" si="13"/>
        <v>3678.5920123087035</v>
      </c>
      <c r="J130" s="4">
        <f t="shared" si="14"/>
        <v>-281.97709941114226</v>
      </c>
    </row>
    <row r="131" spans="1:10" x14ac:dyDescent="0.25">
      <c r="A131" s="50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 s="11">
        <v>-20</v>
      </c>
      <c r="F131" s="4">
        <f t="shared" si="15"/>
        <v>87062.213094389939</v>
      </c>
      <c r="G131" s="4">
        <f>[1]!YearAveragePopulation(F131,B131,C131,E131)</f>
        <v>87801.590158097853</v>
      </c>
      <c r="H131" s="4">
        <f t="shared" si="12"/>
        <v>4260.4851096723942</v>
      </c>
      <c r="I131" s="4">
        <f t="shared" si="13"/>
        <v>2757.5000537727747</v>
      </c>
      <c r="J131" s="4">
        <f t="shared" si="14"/>
        <v>1502.9850558996195</v>
      </c>
    </row>
    <row r="132" spans="1:10" x14ac:dyDescent="0.25">
      <c r="A132" s="50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 s="11">
        <v>-10</v>
      </c>
      <c r="F132" s="4">
        <f t="shared" si="15"/>
        <v>88545.198150289565</v>
      </c>
      <c r="G132" s="4">
        <f>[1]!YearAveragePopulation(F132,B132,C132,E132)</f>
        <v>89269.552838770294</v>
      </c>
      <c r="H132" s="4">
        <f t="shared" si="12"/>
        <v>4121.7636913619954</v>
      </c>
      <c r="I132" s="4">
        <f t="shared" si="13"/>
        <v>2659.0873293891218</v>
      </c>
      <c r="J132" s="4">
        <f t="shared" si="14"/>
        <v>1462.6763619728736</v>
      </c>
    </row>
    <row r="133" spans="1:10" x14ac:dyDescent="0.25">
      <c r="A133" s="50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 s="11">
        <v>-5</v>
      </c>
      <c r="F133" s="4">
        <f t="shared" si="15"/>
        <v>89997.874512262439</v>
      </c>
      <c r="G133" s="4">
        <f>[1]!YearAveragePopulation(F133,B133,C133,E133)</f>
        <v>90797.729387525062</v>
      </c>
      <c r="H133" s="4">
        <f t="shared" si="12"/>
        <v>4421.849421172471</v>
      </c>
      <c r="I133" s="4">
        <f t="shared" si="13"/>
        <v>2812.3997070138989</v>
      </c>
      <c r="J133" s="4">
        <f t="shared" si="14"/>
        <v>1609.4497141585721</v>
      </c>
    </row>
    <row r="134" spans="1:10" x14ac:dyDescent="0.25">
      <c r="A134" s="50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 s="7">
        <v>0</v>
      </c>
      <c r="F134" s="4">
        <f t="shared" si="15"/>
        <v>91602.324226421013</v>
      </c>
      <c r="G134" s="4">
        <f>[1]!YearAveragePopulation(F134,B134,C134,E134)</f>
        <v>92500.317564490251</v>
      </c>
      <c r="H134" s="4">
        <f t="shared" si="12"/>
        <v>4347.5149255310416</v>
      </c>
      <c r="I134" s="4">
        <f t="shared" si="13"/>
        <v>2545.678550935198</v>
      </c>
      <c r="J134" s="4">
        <f t="shared" si="14"/>
        <v>1801.8363745958436</v>
      </c>
    </row>
    <row r="135" spans="1:10" x14ac:dyDescent="0.25">
      <c r="A135" s="50">
        <v>1927</v>
      </c>
      <c r="F135" s="4">
        <f t="shared" si="15"/>
        <v>93404.160601016862</v>
      </c>
    </row>
    <row r="137" spans="1:10" x14ac:dyDescent="0.25">
      <c r="A137" s="15" t="s">
        <v>31</v>
      </c>
      <c r="F137" s="3">
        <v>93604</v>
      </c>
    </row>
    <row r="138" spans="1:10" x14ac:dyDescent="0.25">
      <c r="A138" s="15" t="s">
        <v>33</v>
      </c>
      <c r="F138" s="3">
        <v>200</v>
      </c>
    </row>
    <row r="139" spans="1:10" x14ac:dyDescent="0.25">
      <c r="A139" s="15" t="s">
        <v>34</v>
      </c>
      <c r="B139" s="14"/>
      <c r="F139" s="3">
        <f>F135+F138-F137</f>
        <v>0.16060101686161943</v>
      </c>
    </row>
    <row r="182" spans="1:36" ht="21" x14ac:dyDescent="0.35">
      <c r="A182" s="68" t="s">
        <v>167</v>
      </c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</row>
    <row r="183" spans="1:36" x14ac:dyDescent="0.25">
      <c r="A183" s="22"/>
    </row>
    <row r="184" spans="1:36" x14ac:dyDescent="0.25">
      <c r="A184" s="70" t="s">
        <v>163</v>
      </c>
      <c r="D184" s="71">
        <v>0.91144999999999998</v>
      </c>
    </row>
    <row r="186" spans="1:36" ht="45" x14ac:dyDescent="0.25">
      <c r="A186" s="55" t="s">
        <v>3</v>
      </c>
      <c r="B186" s="57" t="s">
        <v>157</v>
      </c>
      <c r="C186" s="57" t="s">
        <v>156</v>
      </c>
      <c r="D186" s="57" t="s">
        <v>155</v>
      </c>
      <c r="E186" s="57" t="s">
        <v>158</v>
      </c>
      <c r="F186" s="56" t="s">
        <v>160</v>
      </c>
    </row>
    <row r="187" spans="1:36" x14ac:dyDescent="0.25">
      <c r="A187" s="42">
        <v>1913</v>
      </c>
      <c r="B187" s="52">
        <f>G53*RSFSR_MULT</f>
        <v>31.83243243243243</v>
      </c>
      <c r="C187" s="51"/>
      <c r="D187" s="51"/>
      <c r="E187" s="51"/>
      <c r="F187" s="2">
        <f>B187</f>
        <v>31.83243243243243</v>
      </c>
    </row>
    <row r="188" spans="1:36" x14ac:dyDescent="0.25">
      <c r="A188" s="42">
        <v>1914</v>
      </c>
      <c r="B188" s="52">
        <f>G54*RSFSR_MULT</f>
        <v>31.2</v>
      </c>
      <c r="F188" s="2">
        <f t="shared" ref="F188:F191" si="16">B188</f>
        <v>31.2</v>
      </c>
    </row>
    <row r="189" spans="1:36" x14ac:dyDescent="0.25">
      <c r="A189" s="43">
        <v>1915</v>
      </c>
      <c r="B189" s="52">
        <f>G55*RSFSR_MULT</f>
        <v>37.313513513513506</v>
      </c>
      <c r="F189" s="2">
        <f t="shared" si="16"/>
        <v>37.313513513513506</v>
      </c>
    </row>
    <row r="190" spans="1:36" x14ac:dyDescent="0.25">
      <c r="A190" s="43">
        <v>1916</v>
      </c>
      <c r="B190" s="52">
        <f>G56*RSFSR_MULT</f>
        <v>34.783783783783782</v>
      </c>
      <c r="F190" s="2">
        <f t="shared" si="16"/>
        <v>34.783783783783782</v>
      </c>
    </row>
    <row r="191" spans="1:36" x14ac:dyDescent="0.25">
      <c r="A191" s="43">
        <v>1917</v>
      </c>
      <c r="B191" s="52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3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3">
        <v>1919</v>
      </c>
      <c r="C193" s="2">
        <f t="shared" si="17"/>
        <v>41.529729729729723</v>
      </c>
      <c r="D193" s="2"/>
      <c r="E193" s="2"/>
      <c r="F193" s="2">
        <f>C193*VAR2_CDR_TONE_DOWN</f>
        <v>37.852272162162159</v>
      </c>
    </row>
    <row r="194" spans="1:6" x14ac:dyDescent="0.25">
      <c r="A194" s="43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47.939806621621614</v>
      </c>
    </row>
    <row r="195" spans="1:6" x14ac:dyDescent="0.25">
      <c r="A195" s="43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40.92656837837837</v>
      </c>
    </row>
    <row r="196" spans="1:6" x14ac:dyDescent="0.25">
      <c r="A196" s="43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41.310855405405405</v>
      </c>
    </row>
    <row r="197" spans="1:6" x14ac:dyDescent="0.25">
      <c r="A197" s="43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3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3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3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4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8" t="s">
        <v>168</v>
      </c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  <c r="AG216" s="69"/>
      <c r="AH216" s="69"/>
      <c r="AI216" s="69"/>
      <c r="AJ216" s="69"/>
    </row>
    <row r="219" spans="1:36" ht="30" x14ac:dyDescent="0.25">
      <c r="A219" s="61" t="s">
        <v>3</v>
      </c>
      <c r="B219" s="61" t="s">
        <v>6</v>
      </c>
      <c r="C219" s="61" t="s">
        <v>7</v>
      </c>
      <c r="D219" s="13" t="s">
        <v>139</v>
      </c>
      <c r="E219" s="13" t="s">
        <v>26</v>
      </c>
      <c r="F219" s="61" t="s">
        <v>30</v>
      </c>
      <c r="G219" s="61" t="s">
        <v>27</v>
      </c>
      <c r="H219" s="61" t="s">
        <v>28</v>
      </c>
      <c r="I219" s="61" t="s">
        <v>29</v>
      </c>
      <c r="J219" s="61" t="s">
        <v>32</v>
      </c>
    </row>
    <row r="220" spans="1:36" x14ac:dyDescent="0.25">
      <c r="A220" s="62">
        <v>1913</v>
      </c>
      <c r="B220" s="65">
        <v>48.4</v>
      </c>
      <c r="C220" s="65">
        <v>31.6</v>
      </c>
      <c r="D220" s="1">
        <f>B220-C220</f>
        <v>16.799999999999997</v>
      </c>
      <c r="E220" s="29"/>
      <c r="F220" s="66">
        <v>87934.812999999995</v>
      </c>
      <c r="G220" s="66">
        <v>88709.567999999999</v>
      </c>
      <c r="H220" s="66">
        <f>G220*B220/1000</f>
        <v>4293.5430911999993</v>
      </c>
      <c r="I220" s="66">
        <f>G220*C220/1000</f>
        <v>2803.2223488000004</v>
      </c>
      <c r="J220" s="66">
        <f>H220-I220</f>
        <v>1490.3207423999988</v>
      </c>
      <c r="M220" s="3"/>
      <c r="O220" s="24"/>
      <c r="P220" s="24"/>
      <c r="Q220" s="3"/>
      <c r="R220" s="3"/>
      <c r="S220" s="3"/>
    </row>
    <row r="221" spans="1:36" x14ac:dyDescent="0.25">
      <c r="A221" s="62">
        <v>1914</v>
      </c>
      <c r="B221" s="65">
        <f t="shared" ref="B221:B233" si="20">E5</f>
        <v>48</v>
      </c>
      <c r="C221" s="65">
        <f t="shared" ref="C221:C234" si="21">F188</f>
        <v>31.2</v>
      </c>
      <c r="D221" s="1">
        <f>B221-C221</f>
        <v>16.8</v>
      </c>
      <c r="E221" s="29"/>
      <c r="F221" s="66">
        <v>89488.86</v>
      </c>
      <c r="G221" s="66">
        <v>90260.49</v>
      </c>
      <c r="H221" s="66">
        <f>G221*B221/1000</f>
        <v>4332.5035200000002</v>
      </c>
      <c r="I221" s="66">
        <f>G221*C221/1000</f>
        <v>2816.1272880000001</v>
      </c>
      <c r="J221" s="66">
        <f>H221-I221</f>
        <v>1516.3762320000001</v>
      </c>
      <c r="M221" s="3"/>
      <c r="O221" s="24"/>
      <c r="P221" s="24"/>
      <c r="Q221" s="3"/>
      <c r="R221" s="3"/>
      <c r="S221" s="3"/>
    </row>
    <row r="222" spans="1:36" x14ac:dyDescent="0.25">
      <c r="A222" s="63">
        <v>1915</v>
      </c>
      <c r="B222" s="65">
        <f t="shared" si="20"/>
        <v>40.631130063965891</v>
      </c>
      <c r="C222" s="65">
        <f t="shared" si="21"/>
        <v>37.313513513513506</v>
      </c>
      <c r="D222" s="1">
        <f>B222-C222</f>
        <v>3.3176165504523851</v>
      </c>
      <c r="E222" s="11">
        <v>-5</v>
      </c>
      <c r="F222" s="3">
        <v>91037</v>
      </c>
      <c r="G222" s="4">
        <f>[1]!YearAveragePopulation(F222,B222,C222,E222)</f>
        <v>91185.677301579519</v>
      </c>
      <c r="H222" s="4">
        <f>G222*B222/1000</f>
        <v>3704.9771144112997</v>
      </c>
      <c r="I222" s="4">
        <f>G222*C222/1000</f>
        <v>3402.4580022313694</v>
      </c>
      <c r="J222" s="4">
        <f>H222-I222</f>
        <v>302.51911217993029</v>
      </c>
      <c r="M222" s="3"/>
      <c r="O222" s="24"/>
      <c r="P222" s="24"/>
      <c r="Q222" s="3"/>
      <c r="R222" s="3"/>
      <c r="S222" s="3"/>
    </row>
    <row r="223" spans="1:36" x14ac:dyDescent="0.25">
      <c r="A223" s="63">
        <v>1916</v>
      </c>
      <c r="B223" s="65">
        <f t="shared" si="20"/>
        <v>30.601279317697227</v>
      </c>
      <c r="C223" s="65">
        <f t="shared" si="21"/>
        <v>34.783783783783782</v>
      </c>
      <c r="D223" s="1">
        <f t="shared" ref="D223:D234" si="22">B223-C223</f>
        <v>-4.1825044660865558</v>
      </c>
      <c r="E223" s="11">
        <v>-5</v>
      </c>
      <c r="F223" s="4">
        <f>F222+J222+E222</f>
        <v>91334.519112179929</v>
      </c>
      <c r="G223" s="4">
        <f>[1]!YearAveragePopulation(F223,B223,C223,E223)</f>
        <v>91141.28508972445</v>
      </c>
      <c r="H223" s="4">
        <f t="shared" ref="H223:H233" si="23">G223*B223/1000</f>
        <v>2789.0399224045314</v>
      </c>
      <c r="I223" s="4">
        <f t="shared" ref="I223:I233" si="24">G223*C223/1000</f>
        <v>3170.2387543371719</v>
      </c>
      <c r="J223" s="4">
        <f t="shared" ref="J223:J233" si="25">H223-I223</f>
        <v>-381.19883193264059</v>
      </c>
      <c r="M223" s="3"/>
      <c r="O223" s="24"/>
      <c r="P223" s="24"/>
      <c r="Q223" s="3"/>
      <c r="R223" s="3"/>
      <c r="S223" s="3"/>
    </row>
    <row r="224" spans="1:36" x14ac:dyDescent="0.25">
      <c r="A224" s="63">
        <v>1917</v>
      </c>
      <c r="B224" s="65">
        <f t="shared" si="20"/>
        <v>24.460554371002129</v>
      </c>
      <c r="C224" s="65">
        <f t="shared" si="21"/>
        <v>29.724324324324321</v>
      </c>
      <c r="D224" s="1">
        <f t="shared" si="22"/>
        <v>-5.2637699533221927</v>
      </c>
      <c r="E224" s="11">
        <v>-25</v>
      </c>
      <c r="F224" s="4">
        <f t="shared" ref="F224:F234" si="26">F223+J223+E223</f>
        <v>90948.320280247295</v>
      </c>
      <c r="G224" s="4">
        <f>[1]!YearAveragePopulation(F224,B224,C224,E224)</f>
        <v>90696.896102234372</v>
      </c>
      <c r="H224" s="4">
        <f t="shared" si="23"/>
        <v>2218.4963583898348</v>
      </c>
      <c r="I224" s="4">
        <f t="shared" si="24"/>
        <v>2695.9039549523609</v>
      </c>
      <c r="J224" s="4">
        <f t="shared" si="25"/>
        <v>-477.40759656252612</v>
      </c>
      <c r="M224" s="3"/>
      <c r="O224" s="24"/>
      <c r="P224" s="24"/>
      <c r="Q224" s="3"/>
      <c r="R224" s="3"/>
      <c r="S224" s="3"/>
    </row>
    <row r="225" spans="1:19" x14ac:dyDescent="0.25">
      <c r="A225" s="63">
        <v>1918</v>
      </c>
      <c r="B225" s="65">
        <f t="shared" si="20"/>
        <v>32.750533049040513</v>
      </c>
      <c r="C225" s="65">
        <f t="shared" si="21"/>
        <v>29.618918918918919</v>
      </c>
      <c r="D225" s="1">
        <f t="shared" si="22"/>
        <v>3.1316141301215943</v>
      </c>
      <c r="E225" s="11">
        <v>-220</v>
      </c>
      <c r="F225" s="4">
        <f t="shared" si="26"/>
        <v>90445.912683684772</v>
      </c>
      <c r="G225" s="4">
        <f>[1]!YearAveragePopulation(F225,B225,C225,E225)</f>
        <v>90477.566566728638</v>
      </c>
      <c r="H225" s="4">
        <f t="shared" si="23"/>
        <v>2963.1885340404092</v>
      </c>
      <c r="I225" s="4">
        <f t="shared" si="24"/>
        <v>2679.8477081210244</v>
      </c>
      <c r="J225" s="4">
        <f t="shared" si="25"/>
        <v>283.34082591938477</v>
      </c>
      <c r="M225" s="3"/>
      <c r="O225" s="24"/>
      <c r="P225" s="24"/>
      <c r="Q225" s="3"/>
      <c r="R225" s="3"/>
      <c r="S225" s="3"/>
    </row>
    <row r="226" spans="1:19" x14ac:dyDescent="0.25">
      <c r="A226" s="63">
        <v>1919</v>
      </c>
      <c r="B226" s="65">
        <f t="shared" si="20"/>
        <v>31.727078891257996</v>
      </c>
      <c r="C226" s="65">
        <f t="shared" si="21"/>
        <v>37.852272162162159</v>
      </c>
      <c r="D226" s="1">
        <f t="shared" si="22"/>
        <v>-6.1251932709041625</v>
      </c>
      <c r="E226" s="11">
        <v>-270</v>
      </c>
      <c r="F226" s="4">
        <f t="shared" si="26"/>
        <v>90509.253509604154</v>
      </c>
      <c r="G226" s="4">
        <f>[1]!YearAveragePopulation(F226,B226,C226,E226)</f>
        <v>90097.900475130446</v>
      </c>
      <c r="H226" s="4">
        <f t="shared" si="23"/>
        <v>2858.5431963111751</v>
      </c>
      <c r="I226" s="4">
        <f t="shared" si="24"/>
        <v>3410.4102500240369</v>
      </c>
      <c r="J226" s="4">
        <f t="shared" si="25"/>
        <v>-551.86705371286189</v>
      </c>
      <c r="M226" s="3"/>
      <c r="O226" s="24"/>
      <c r="P226" s="24"/>
      <c r="Q226" s="3"/>
      <c r="R226" s="3"/>
      <c r="S226" s="3"/>
    </row>
    <row r="227" spans="1:19" x14ac:dyDescent="0.25">
      <c r="A227" s="63">
        <v>1920</v>
      </c>
      <c r="B227" s="65">
        <f t="shared" si="20"/>
        <v>31.931769722814497</v>
      </c>
      <c r="C227" s="65">
        <f t="shared" si="21"/>
        <v>47.939806621621614</v>
      </c>
      <c r="D227" s="1">
        <f t="shared" si="22"/>
        <v>-16.008036898807116</v>
      </c>
      <c r="E227" s="11">
        <v>-390</v>
      </c>
      <c r="F227" s="4">
        <f t="shared" si="26"/>
        <v>89687.38645589129</v>
      </c>
      <c r="G227" s="4">
        <f>[1]!YearAveragePopulation(F227,B227,C227,E227)</f>
        <v>88779.378557858072</v>
      </c>
      <c r="H227" s="4">
        <f t="shared" si="23"/>
        <v>2834.882672244099</v>
      </c>
      <c r="I227" s="4">
        <f t="shared" si="24"/>
        <v>4256.0662400514566</v>
      </c>
      <c r="J227" s="4">
        <f t="shared" si="25"/>
        <v>-1421.1835678073576</v>
      </c>
      <c r="M227" s="3"/>
      <c r="O227" s="24"/>
      <c r="P227" s="24"/>
      <c r="Q227" s="3"/>
      <c r="R227" s="3"/>
      <c r="S227" s="3"/>
    </row>
    <row r="228" spans="1:19" x14ac:dyDescent="0.25">
      <c r="A228" s="63">
        <v>1921</v>
      </c>
      <c r="B228" s="65">
        <f t="shared" si="20"/>
        <v>36.332622601279319</v>
      </c>
      <c r="C228" s="65">
        <f t="shared" si="21"/>
        <v>40.92656837837837</v>
      </c>
      <c r="D228" s="1">
        <f t="shared" si="22"/>
        <v>-4.5939457770990515</v>
      </c>
      <c r="E228" s="11">
        <v>-150</v>
      </c>
      <c r="F228" s="4">
        <f t="shared" si="26"/>
        <v>87876.202888083935</v>
      </c>
      <c r="G228" s="4">
        <f>[1]!YearAveragePopulation(F228,B228,C228,E228)</f>
        <v>87599.777089543728</v>
      </c>
      <c r="H228" s="4">
        <f t="shared" si="23"/>
        <v>3182.7296409505866</v>
      </c>
      <c r="I228" s="4">
        <f t="shared" si="24"/>
        <v>3585.158266985914</v>
      </c>
      <c r="J228" s="4">
        <f t="shared" si="25"/>
        <v>-402.4286260353274</v>
      </c>
      <c r="M228" s="3"/>
      <c r="O228" s="24"/>
      <c r="P228" s="24"/>
      <c r="Q228" s="3"/>
      <c r="R228" s="3"/>
      <c r="S228" s="3"/>
    </row>
    <row r="229" spans="1:19" x14ac:dyDescent="0.25">
      <c r="A229" s="63">
        <v>1922</v>
      </c>
      <c r="B229" s="65">
        <f t="shared" si="20"/>
        <v>38.938336886993604</v>
      </c>
      <c r="C229" s="65">
        <f t="shared" si="21"/>
        <v>41.310855405405405</v>
      </c>
      <c r="D229" s="1">
        <f t="shared" si="22"/>
        <v>-2.3725185184118018</v>
      </c>
      <c r="E229" s="11">
        <v>-55</v>
      </c>
      <c r="F229" s="4">
        <f t="shared" si="26"/>
        <v>87323.77426204861</v>
      </c>
      <c r="G229" s="4">
        <f>[1]!YearAveragePopulation(F229,B229,C229,E229)</f>
        <v>87192.789234895245</v>
      </c>
      <c r="H229" s="4">
        <f t="shared" si="23"/>
        <v>3395.1422013449805</v>
      </c>
      <c r="I229" s="4">
        <f t="shared" si="24"/>
        <v>3602.0087084767465</v>
      </c>
      <c r="J229" s="4">
        <f t="shared" si="25"/>
        <v>-206.86650713176596</v>
      </c>
      <c r="M229" s="3"/>
      <c r="O229" s="24"/>
      <c r="P229" s="24"/>
      <c r="Q229" s="3"/>
      <c r="R229" s="3"/>
      <c r="S229" s="3"/>
    </row>
    <row r="230" spans="1:19" x14ac:dyDescent="0.25">
      <c r="A230" s="63">
        <v>1923</v>
      </c>
      <c r="B230" s="65">
        <f t="shared" si="20"/>
        <v>48.524008528784648</v>
      </c>
      <c r="C230" s="65">
        <f t="shared" si="21"/>
        <v>31.406037735849061</v>
      </c>
      <c r="D230" s="1">
        <f t="shared" si="22"/>
        <v>17.117970792935587</v>
      </c>
      <c r="E230" s="11">
        <v>-20</v>
      </c>
      <c r="F230" s="4">
        <f t="shared" si="26"/>
        <v>87061.907754916843</v>
      </c>
      <c r="G230" s="4">
        <f>[1]!YearAveragePopulation(F230,B230,C230,E230)</f>
        <v>87801.282190252619</v>
      </c>
      <c r="H230" s="4">
        <f t="shared" si="23"/>
        <v>4260.4701658380463</v>
      </c>
      <c r="I230" s="4">
        <f t="shared" si="24"/>
        <v>2757.4903817230056</v>
      </c>
      <c r="J230" s="4">
        <f t="shared" si="25"/>
        <v>1502.9797841150407</v>
      </c>
      <c r="M230" s="3"/>
      <c r="O230" s="24"/>
      <c r="P230" s="24"/>
      <c r="Q230" s="3"/>
      <c r="R230" s="3"/>
      <c r="S230" s="3"/>
    </row>
    <row r="231" spans="1:19" x14ac:dyDescent="0.25">
      <c r="A231" s="63">
        <v>1924</v>
      </c>
      <c r="B231" s="65">
        <f t="shared" si="20"/>
        <v>46.17211087420042</v>
      </c>
      <c r="C231" s="65">
        <f t="shared" si="21"/>
        <v>29.787169811320759</v>
      </c>
      <c r="D231" s="1">
        <f t="shared" si="22"/>
        <v>16.384941062879662</v>
      </c>
      <c r="E231" s="11">
        <v>-10</v>
      </c>
      <c r="F231" s="4">
        <f t="shared" si="26"/>
        <v>88544.887539031886</v>
      </c>
      <c r="G231" s="4">
        <f>[1]!YearAveragePopulation(F231,B231,C231,E231)</f>
        <v>89269.23966888382</v>
      </c>
      <c r="H231" s="4">
        <f t="shared" si="23"/>
        <v>4121.7492316472744</v>
      </c>
      <c r="I231" s="4">
        <f t="shared" si="24"/>
        <v>2659.0780009445339</v>
      </c>
      <c r="J231" s="4">
        <f t="shared" si="25"/>
        <v>1462.6712307027406</v>
      </c>
      <c r="M231" s="3"/>
      <c r="O231" s="24"/>
      <c r="P231" s="24"/>
      <c r="Q231" s="3"/>
      <c r="R231" s="3"/>
      <c r="S231" s="3"/>
    </row>
    <row r="232" spans="1:19" x14ac:dyDescent="0.25">
      <c r="A232" s="63">
        <v>1925</v>
      </c>
      <c r="B232" s="65">
        <f t="shared" si="20"/>
        <v>48.7</v>
      </c>
      <c r="C232" s="65">
        <f t="shared" si="21"/>
        <v>30.974339622641512</v>
      </c>
      <c r="D232" s="1">
        <f t="shared" si="22"/>
        <v>17.725660377358491</v>
      </c>
      <c r="E232" s="11">
        <v>-5</v>
      </c>
      <c r="F232" s="4">
        <f t="shared" si="26"/>
        <v>89997.55876973462</v>
      </c>
      <c r="G232" s="4">
        <f>[1]!YearAveragePopulation(F232,B232,C232,E232)</f>
        <v>90797.410830016961</v>
      </c>
      <c r="H232" s="4">
        <f t="shared" si="23"/>
        <v>4421.8339074218266</v>
      </c>
      <c r="I232" s="4">
        <f t="shared" si="24"/>
        <v>2812.3898399054538</v>
      </c>
      <c r="J232" s="4">
        <f t="shared" si="25"/>
        <v>1609.4440675163728</v>
      </c>
      <c r="M232" s="3"/>
      <c r="O232" s="24"/>
      <c r="P232" s="24"/>
      <c r="Q232" s="3"/>
      <c r="R232" s="3"/>
      <c r="S232" s="3"/>
    </row>
    <row r="233" spans="1:19" x14ac:dyDescent="0.25">
      <c r="A233" s="63">
        <v>1926</v>
      </c>
      <c r="B233" s="65">
        <f t="shared" si="20"/>
        <v>47</v>
      </c>
      <c r="C233" s="65">
        <f t="shared" si="21"/>
        <v>27.520754716981134</v>
      </c>
      <c r="D233" s="1">
        <f t="shared" si="22"/>
        <v>19.479245283018866</v>
      </c>
      <c r="E233" s="7">
        <v>0</v>
      </c>
      <c r="F233" s="4">
        <f t="shared" si="26"/>
        <v>91602.002837250999</v>
      </c>
      <c r="G233" s="4">
        <f>[1]!YearAveragePopulation(F233,B233,C233,E233)</f>
        <v>92499.993024686933</v>
      </c>
      <c r="H233" s="4">
        <f t="shared" si="23"/>
        <v>4347.4996721602856</v>
      </c>
      <c r="I233" s="4">
        <f t="shared" si="24"/>
        <v>2545.6696193548746</v>
      </c>
      <c r="J233" s="4">
        <f t="shared" si="25"/>
        <v>1801.830052805411</v>
      </c>
      <c r="M233" s="3"/>
      <c r="O233" s="24"/>
      <c r="P233" s="24"/>
      <c r="Q233" s="3"/>
      <c r="R233" s="3"/>
      <c r="S233" s="3"/>
    </row>
    <row r="234" spans="1:19" x14ac:dyDescent="0.25">
      <c r="A234" s="63">
        <v>1927</v>
      </c>
      <c r="B234" s="2">
        <v>49.6</v>
      </c>
      <c r="C234" s="65">
        <f t="shared" si="21"/>
        <v>28.6</v>
      </c>
      <c r="D234" s="1">
        <f t="shared" si="22"/>
        <v>21</v>
      </c>
      <c r="F234" s="4">
        <f t="shared" si="26"/>
        <v>93403.832890056408</v>
      </c>
      <c r="G234" s="4">
        <f>[1]!YearAveragePopulation(F234,B234,C234,E234)</f>
        <v>94391.474511231645</v>
      </c>
      <c r="H234" s="4">
        <f t="shared" ref="H234" si="27">G234*B234/1000</f>
        <v>4681.81713575709</v>
      </c>
      <c r="I234" s="4">
        <f t="shared" ref="I234" si="28">G234*C234/1000</f>
        <v>2699.5961710212255</v>
      </c>
      <c r="J234" s="4">
        <f t="shared" ref="J234" si="29">H234-I234</f>
        <v>1982.2209647358645</v>
      </c>
      <c r="M234" s="3"/>
      <c r="O234" s="24"/>
      <c r="P234" s="24"/>
      <c r="Q234" s="3"/>
      <c r="R234" s="3"/>
      <c r="S234" s="3"/>
    </row>
    <row r="236" spans="1:19" x14ac:dyDescent="0.25">
      <c r="A236" s="15" t="s">
        <v>31</v>
      </c>
      <c r="F236" s="3">
        <v>93604</v>
      </c>
    </row>
    <row r="237" spans="1:19" x14ac:dyDescent="0.25">
      <c r="A237" s="15" t="s">
        <v>33</v>
      </c>
      <c r="F237" s="3">
        <v>200</v>
      </c>
    </row>
    <row r="238" spans="1:19" x14ac:dyDescent="0.25">
      <c r="A238" s="15" t="s">
        <v>34</v>
      </c>
      <c r="B238" s="14"/>
      <c r="F238" s="3">
        <f>F234+F237-F236</f>
        <v>-0.16710994359164033</v>
      </c>
    </row>
    <row r="280" spans="1:36" ht="21" x14ac:dyDescent="0.35">
      <c r="A280" s="68" t="s">
        <v>170</v>
      </c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</row>
    <row r="282" spans="1:36" ht="15" customHeight="1" x14ac:dyDescent="0.25">
      <c r="B282" s="77" t="s">
        <v>6</v>
      </c>
      <c r="C282" s="77"/>
      <c r="D282" s="77"/>
      <c r="E282" s="77"/>
      <c r="F282" s="77"/>
      <c r="G282" s="77"/>
      <c r="H282" s="77"/>
      <c r="I282" s="77"/>
      <c r="J282" s="77"/>
    </row>
    <row r="283" spans="1:36" x14ac:dyDescent="0.25">
      <c r="A283" s="74" t="s">
        <v>3</v>
      </c>
      <c r="B283" s="72" t="s">
        <v>8</v>
      </c>
      <c r="C283" s="72" t="s">
        <v>9</v>
      </c>
      <c r="D283" s="72" t="s">
        <v>10</v>
      </c>
      <c r="E283" s="72" t="s">
        <v>11</v>
      </c>
      <c r="F283" s="72" t="s">
        <v>155</v>
      </c>
      <c r="G283" s="72" t="s">
        <v>13</v>
      </c>
      <c r="H283" s="72" t="s">
        <v>14</v>
      </c>
      <c r="I283" s="72" t="s">
        <v>5</v>
      </c>
      <c r="J283" s="72" t="s">
        <v>171</v>
      </c>
    </row>
    <row r="284" spans="1:36" x14ac:dyDescent="0.25">
      <c r="A284" s="42">
        <v>1913</v>
      </c>
      <c r="B284" s="40"/>
      <c r="C284" s="40"/>
      <c r="D284" s="41">
        <v>47</v>
      </c>
      <c r="E284" s="41">
        <v>44.1</v>
      </c>
      <c r="F284" s="40"/>
      <c r="G284" s="41">
        <v>47</v>
      </c>
      <c r="H284" s="40"/>
      <c r="I284" s="40"/>
      <c r="J284" s="2">
        <f>B220</f>
        <v>48.4</v>
      </c>
    </row>
    <row r="285" spans="1:36" x14ac:dyDescent="0.25">
      <c r="A285" s="42">
        <v>1914</v>
      </c>
      <c r="B285" s="40"/>
      <c r="C285" s="40">
        <v>43.7</v>
      </c>
      <c r="D285" s="41">
        <v>43.7</v>
      </c>
      <c r="E285" s="41">
        <v>45.4</v>
      </c>
      <c r="F285" s="40"/>
      <c r="G285" s="41">
        <v>46.9</v>
      </c>
      <c r="H285" s="40"/>
      <c r="I285" s="40"/>
      <c r="J285" s="2">
        <f t="shared" ref="J285:J298" si="30">B221</f>
        <v>48</v>
      </c>
    </row>
    <row r="286" spans="1:36" x14ac:dyDescent="0.25">
      <c r="A286" s="43">
        <v>1915</v>
      </c>
      <c r="B286" s="38"/>
      <c r="C286" s="38">
        <v>35.9</v>
      </c>
      <c r="D286" s="38">
        <v>35.9</v>
      </c>
      <c r="E286" s="38">
        <v>43.1</v>
      </c>
      <c r="F286" s="38"/>
      <c r="G286" s="38">
        <v>39.700000000000003</v>
      </c>
      <c r="H286" s="38"/>
      <c r="I286" s="38"/>
      <c r="J286" s="2">
        <f t="shared" si="30"/>
        <v>40.631130063965891</v>
      </c>
    </row>
    <row r="287" spans="1:36" x14ac:dyDescent="0.25">
      <c r="A287" s="43">
        <v>1916</v>
      </c>
      <c r="B287" s="38"/>
      <c r="C287" s="38">
        <v>27.1</v>
      </c>
      <c r="D287" s="38">
        <v>27.1</v>
      </c>
      <c r="E287" s="38">
        <v>37.4</v>
      </c>
      <c r="F287" s="38"/>
      <c r="G287" s="38">
        <v>29.9</v>
      </c>
      <c r="H287" s="38"/>
      <c r="I287" s="38"/>
      <c r="J287" s="2">
        <f t="shared" si="30"/>
        <v>30.601279317697227</v>
      </c>
    </row>
    <row r="288" spans="1:36" x14ac:dyDescent="0.25">
      <c r="A288" s="43">
        <v>1917</v>
      </c>
      <c r="B288" s="38"/>
      <c r="C288" s="38">
        <v>26.3</v>
      </c>
      <c r="D288" s="38">
        <v>26.3</v>
      </c>
      <c r="E288" s="38">
        <v>32.5</v>
      </c>
      <c r="F288" s="38"/>
      <c r="G288" s="38">
        <v>23.9</v>
      </c>
      <c r="H288" s="38"/>
      <c r="I288" s="39">
        <v>27.4</v>
      </c>
      <c r="J288" s="2">
        <f t="shared" si="30"/>
        <v>24.460554371002129</v>
      </c>
    </row>
    <row r="289" spans="1:10" x14ac:dyDescent="0.25">
      <c r="A289" s="43">
        <v>1918</v>
      </c>
      <c r="B289" s="38"/>
      <c r="C289" s="38">
        <v>34.700000000000003</v>
      </c>
      <c r="D289" s="38">
        <v>34.700000000000003</v>
      </c>
      <c r="E289" s="38">
        <v>28.8</v>
      </c>
      <c r="F289" s="38"/>
      <c r="G289" s="38">
        <v>32</v>
      </c>
      <c r="H289" s="38">
        <v>31.8</v>
      </c>
      <c r="I289" s="39">
        <v>33.1</v>
      </c>
      <c r="J289" s="2">
        <f t="shared" si="30"/>
        <v>32.750533049040513</v>
      </c>
    </row>
    <row r="290" spans="1:10" x14ac:dyDescent="0.25">
      <c r="A290" s="43">
        <v>1919</v>
      </c>
      <c r="B290" s="38"/>
      <c r="C290" s="38">
        <v>31.7</v>
      </c>
      <c r="D290" s="38">
        <v>31.7</v>
      </c>
      <c r="E290" s="38">
        <v>32.4</v>
      </c>
      <c r="F290" s="38"/>
      <c r="G290" s="38">
        <v>31</v>
      </c>
      <c r="H290" s="38">
        <v>30.8</v>
      </c>
      <c r="I290" s="39">
        <v>30</v>
      </c>
      <c r="J290" s="2">
        <f t="shared" si="30"/>
        <v>31.727078891257996</v>
      </c>
    </row>
    <row r="291" spans="1:10" x14ac:dyDescent="0.25">
      <c r="A291" s="43">
        <v>1920</v>
      </c>
      <c r="B291" s="38">
        <v>30.9</v>
      </c>
      <c r="C291" s="38">
        <v>32.200000000000003</v>
      </c>
      <c r="D291" s="38">
        <v>32.200000000000003</v>
      </c>
      <c r="E291" s="38">
        <v>30.6</v>
      </c>
      <c r="F291" s="38">
        <v>39.299999999999997</v>
      </c>
      <c r="G291" s="38">
        <v>31.2</v>
      </c>
      <c r="H291" s="38">
        <v>31</v>
      </c>
      <c r="I291" s="39">
        <v>31.3</v>
      </c>
      <c r="J291" s="2">
        <f t="shared" si="30"/>
        <v>31.931769722814497</v>
      </c>
    </row>
    <row r="292" spans="1:10" x14ac:dyDescent="0.25">
      <c r="A292" s="43">
        <v>1921</v>
      </c>
      <c r="B292" s="38">
        <v>32.6</v>
      </c>
      <c r="C292" s="38">
        <v>37.299999999999997</v>
      </c>
      <c r="D292" s="38">
        <v>37.299999999999997</v>
      </c>
      <c r="E292" s="38">
        <v>31.7</v>
      </c>
      <c r="F292" s="38">
        <v>40.6</v>
      </c>
      <c r="G292" s="38">
        <v>35.5</v>
      </c>
      <c r="H292" s="38">
        <v>35.299999999999997</v>
      </c>
      <c r="I292" s="39">
        <v>37.799999999999997</v>
      </c>
      <c r="J292" s="2">
        <f t="shared" si="30"/>
        <v>36.332622601279319</v>
      </c>
    </row>
    <row r="293" spans="1:10" x14ac:dyDescent="0.25">
      <c r="A293" s="43">
        <v>1922</v>
      </c>
      <c r="B293" s="38">
        <v>33.4</v>
      </c>
      <c r="C293" s="38">
        <v>38.200000000000003</v>
      </c>
      <c r="D293" s="38">
        <v>38.200000000000003</v>
      </c>
      <c r="E293" s="38">
        <v>35</v>
      </c>
      <c r="F293" s="38">
        <v>43.7</v>
      </c>
      <c r="G293" s="38">
        <v>37.299999999999997</v>
      </c>
      <c r="H293" s="38">
        <v>36.799999999999997</v>
      </c>
      <c r="I293" s="39">
        <v>41.4</v>
      </c>
      <c r="J293" s="2">
        <f t="shared" si="30"/>
        <v>38.938336886993604</v>
      </c>
    </row>
    <row r="294" spans="1:10" x14ac:dyDescent="0.25">
      <c r="A294" s="43">
        <v>1923</v>
      </c>
      <c r="B294" s="38">
        <v>42.8</v>
      </c>
      <c r="C294" s="38">
        <v>45.5</v>
      </c>
      <c r="D294" s="38">
        <v>45.5</v>
      </c>
      <c r="E294" s="38">
        <v>36.200000000000003</v>
      </c>
      <c r="F294" s="38">
        <v>47</v>
      </c>
      <c r="G294" s="38">
        <v>43.9</v>
      </c>
      <c r="H294" s="38">
        <v>42.8</v>
      </c>
      <c r="I294" s="39">
        <v>46.5</v>
      </c>
      <c r="J294" s="2">
        <f t="shared" si="30"/>
        <v>48.524008528784648</v>
      </c>
    </row>
    <row r="295" spans="1:10" x14ac:dyDescent="0.25">
      <c r="A295" s="43">
        <v>1924</v>
      </c>
      <c r="B295" s="38">
        <v>43.8</v>
      </c>
      <c r="C295" s="38">
        <v>42.2</v>
      </c>
      <c r="D295" s="38">
        <v>42.2</v>
      </c>
      <c r="E295" s="38">
        <v>44</v>
      </c>
      <c r="F295" s="38">
        <v>49</v>
      </c>
      <c r="G295" s="38">
        <v>42</v>
      </c>
      <c r="H295" s="38">
        <v>41</v>
      </c>
      <c r="I295" s="39">
        <v>43.6</v>
      </c>
      <c r="J295" s="2">
        <f t="shared" si="30"/>
        <v>46.17211087420042</v>
      </c>
    </row>
    <row r="296" spans="1:10" x14ac:dyDescent="0.25">
      <c r="A296" s="43">
        <v>1925</v>
      </c>
      <c r="B296" s="38">
        <v>45.9</v>
      </c>
      <c r="C296" s="38">
        <v>43.9</v>
      </c>
      <c r="D296" s="38">
        <v>43.9</v>
      </c>
      <c r="E296" s="38">
        <v>42.3</v>
      </c>
      <c r="F296" s="38">
        <v>47.3</v>
      </c>
      <c r="G296" s="38"/>
      <c r="H296" s="38"/>
      <c r="I296" s="39">
        <v>45.7</v>
      </c>
      <c r="J296" s="2">
        <f t="shared" si="30"/>
        <v>48.7</v>
      </c>
    </row>
    <row r="297" spans="1:10" x14ac:dyDescent="0.25">
      <c r="A297" s="43">
        <v>1926</v>
      </c>
      <c r="B297" s="38">
        <v>44.7</v>
      </c>
      <c r="C297" s="38">
        <v>42.5</v>
      </c>
      <c r="D297" s="38">
        <v>42.5</v>
      </c>
      <c r="E297" s="38">
        <v>43.8</v>
      </c>
      <c r="F297" s="38">
        <v>45.6</v>
      </c>
      <c r="G297" s="38"/>
      <c r="H297" s="38"/>
      <c r="I297" s="39">
        <v>42.6</v>
      </c>
      <c r="J297" s="2">
        <f t="shared" si="30"/>
        <v>47</v>
      </c>
    </row>
    <row r="298" spans="1:10" x14ac:dyDescent="0.25">
      <c r="A298" s="44">
        <v>1927</v>
      </c>
      <c r="F298" s="41">
        <v>46.3</v>
      </c>
      <c r="J298" s="2">
        <f t="shared" si="30"/>
        <v>49.6</v>
      </c>
    </row>
    <row r="323" spans="1:36" ht="21" x14ac:dyDescent="0.35">
      <c r="A323" s="68" t="s">
        <v>169</v>
      </c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</row>
    <row r="325" spans="1:36" x14ac:dyDescent="0.25">
      <c r="B325" s="78" t="s">
        <v>7</v>
      </c>
      <c r="C325" s="78"/>
      <c r="D325" s="78"/>
      <c r="E325" s="78"/>
      <c r="F325" s="78"/>
      <c r="G325" s="78"/>
      <c r="H325" s="78"/>
      <c r="I325" s="78"/>
      <c r="J325" s="78"/>
      <c r="K325" s="78"/>
    </row>
    <row r="326" spans="1:36" x14ac:dyDescent="0.25">
      <c r="A326" s="74" t="s">
        <v>3</v>
      </c>
      <c r="B326" s="73" t="s">
        <v>8</v>
      </c>
      <c r="C326" s="73" t="s">
        <v>9</v>
      </c>
      <c r="D326" s="73" t="s">
        <v>10</v>
      </c>
      <c r="E326" s="73" t="s">
        <v>11</v>
      </c>
      <c r="F326" s="73" t="s">
        <v>155</v>
      </c>
      <c r="G326" s="73" t="s">
        <v>13</v>
      </c>
      <c r="H326" s="73" t="s">
        <v>5</v>
      </c>
      <c r="I326" s="73" t="s">
        <v>15</v>
      </c>
      <c r="J326" s="73" t="s">
        <v>16</v>
      </c>
      <c r="K326" s="73" t="s">
        <v>171</v>
      </c>
    </row>
    <row r="327" spans="1:36" x14ac:dyDescent="0.25">
      <c r="A327" s="83">
        <v>1913</v>
      </c>
      <c r="B327" s="84"/>
      <c r="C327" s="84"/>
      <c r="D327" s="1">
        <v>30.2</v>
      </c>
      <c r="E327" s="1">
        <v>24.7</v>
      </c>
      <c r="F327" s="84"/>
      <c r="G327" s="1">
        <v>30.2</v>
      </c>
      <c r="H327" s="84"/>
      <c r="I327" s="84"/>
      <c r="J327" s="84"/>
      <c r="K327" s="2">
        <f>C220</f>
        <v>31.6</v>
      </c>
    </row>
    <row r="328" spans="1:36" x14ac:dyDescent="0.25">
      <c r="A328" s="83">
        <v>1914</v>
      </c>
      <c r="B328" s="84"/>
      <c r="C328" s="84">
        <v>27.2</v>
      </c>
      <c r="D328" s="1">
        <v>27.2</v>
      </c>
      <c r="E328" s="1">
        <v>26.6</v>
      </c>
      <c r="F328" s="84"/>
      <c r="G328" s="1">
        <v>29.6</v>
      </c>
      <c r="H328" s="84"/>
      <c r="I328" s="84"/>
      <c r="J328" s="84"/>
      <c r="K328" s="2">
        <f t="shared" ref="K328:K341" si="31">C221</f>
        <v>31.2</v>
      </c>
    </row>
    <row r="329" spans="1:36" x14ac:dyDescent="0.25">
      <c r="A329" s="85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85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85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7">
        <v>27.4</v>
      </c>
      <c r="I331" s="17"/>
      <c r="J331" s="17"/>
      <c r="K331" s="2">
        <f t="shared" si="31"/>
        <v>29.724324324324321</v>
      </c>
    </row>
    <row r="332" spans="1:36" x14ac:dyDescent="0.25">
      <c r="A332" s="85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7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85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7">
        <v>65.5</v>
      </c>
      <c r="I333" s="1">
        <v>39.4</v>
      </c>
      <c r="J333" s="1">
        <v>64</v>
      </c>
      <c r="K333" s="2">
        <f t="shared" si="31"/>
        <v>37.852272162162159</v>
      </c>
    </row>
    <row r="334" spans="1:36" x14ac:dyDescent="0.25">
      <c r="A334" s="85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7">
        <v>79.5</v>
      </c>
      <c r="I334" s="1">
        <v>49.9</v>
      </c>
      <c r="J334" s="1">
        <v>56.1</v>
      </c>
      <c r="K334" s="2">
        <f t="shared" si="31"/>
        <v>47.939806621621614</v>
      </c>
    </row>
    <row r="335" spans="1:36" x14ac:dyDescent="0.25">
      <c r="A335" s="85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7">
        <v>40.4</v>
      </c>
      <c r="I335" s="1">
        <v>42.6</v>
      </c>
      <c r="J335" s="1">
        <v>41.4</v>
      </c>
      <c r="K335" s="2">
        <f t="shared" si="31"/>
        <v>40.92656837837837</v>
      </c>
    </row>
    <row r="336" spans="1:36" x14ac:dyDescent="0.25">
      <c r="A336" s="85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7">
        <v>55.3</v>
      </c>
      <c r="I336" s="1">
        <v>43</v>
      </c>
      <c r="J336" s="1">
        <v>47.1</v>
      </c>
      <c r="K336" s="2">
        <f t="shared" si="31"/>
        <v>41.310855405405405</v>
      </c>
    </row>
    <row r="337" spans="1:11" x14ac:dyDescent="0.25">
      <c r="A337" s="85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7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85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7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85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7">
        <v>23.3</v>
      </c>
      <c r="I339" s="17"/>
      <c r="J339" s="1">
        <v>23.8</v>
      </c>
      <c r="K339" s="2">
        <f t="shared" si="31"/>
        <v>30.974339622641512</v>
      </c>
    </row>
    <row r="340" spans="1:11" x14ac:dyDescent="0.25">
      <c r="A340" s="85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7">
        <v>19.899999999999999</v>
      </c>
      <c r="I340" s="17"/>
      <c r="J340" s="1">
        <v>22.7</v>
      </c>
      <c r="K340" s="2">
        <f t="shared" si="31"/>
        <v>27.520754716981134</v>
      </c>
    </row>
    <row r="341" spans="1:11" x14ac:dyDescent="0.25">
      <c r="A341" s="85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2026-06-28T18:01:19Z</dcterms:modified>
</cp:coreProperties>
</file>