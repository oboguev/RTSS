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TSS\workbooks\"/>
    </mc:Choice>
  </mc:AlternateContent>
  <xr:revisionPtr revIDLastSave="0" documentId="13_ncr:1_{3D05D4E5-96F1-49F3-A05C-8D25A3D570DF}" xr6:coauthVersionLast="47" xr6:coauthVersionMax="47" xr10:uidLastSave="{00000000-0000-0000-0000-000000000000}"/>
  <bookViews>
    <workbookView xWindow="57480" yWindow="-120" windowWidth="51840" windowHeight="21120" activeTab="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</sheets>
  <functionGroups builtInGroupCount="19"/>
  <definedNames>
    <definedName name="WEIGHT">'Боярский-мод'!$U$1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" i="13" l="1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6" i="6"/>
  <c r="U15" i="6"/>
  <c r="U14" i="6"/>
  <c r="U13" i="6"/>
  <c r="U12" i="6"/>
  <c r="U11" i="6"/>
  <c r="U10" i="6"/>
  <c r="T17" i="6"/>
  <c r="T16" i="6"/>
  <c r="T15" i="6"/>
  <c r="T14" i="6"/>
  <c r="T13" i="6"/>
  <c r="T12" i="6"/>
  <c r="T11" i="6"/>
  <c r="T10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4" i="11"/>
  <c r="D43" i="11"/>
  <c r="D42" i="11"/>
  <c r="D41" i="11"/>
  <c r="C44" i="11"/>
  <c r="C43" i="11"/>
  <c r="B44" i="11"/>
  <c r="B43" i="11"/>
  <c r="C42" i="11"/>
  <c r="B42" i="11"/>
  <c r="C41" i="11"/>
  <c r="B41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E5" i="13" l="1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4" i="3"/>
  <c r="G4" i="5"/>
  <c r="J5" i="13"/>
  <c r="L5" i="13" l="1"/>
  <c r="K5" i="13"/>
  <c r="J20" i="4"/>
  <c r="F21" i="4" s="1"/>
  <c r="I4" i="3"/>
  <c r="H4" i="3"/>
  <c r="J4" i="3" s="1"/>
  <c r="F5" i="3" s="1"/>
  <c r="I4" i="5"/>
  <c r="H4" i="5"/>
  <c r="G21" i="4"/>
  <c r="G4" i="2"/>
  <c r="G5" i="3"/>
  <c r="M5" i="13" l="1"/>
  <c r="I6" i="13" s="1"/>
  <c r="H21" i="4"/>
  <c r="I21" i="4"/>
  <c r="H4" i="2"/>
  <c r="I4" i="2"/>
  <c r="J4" i="5"/>
  <c r="F5" i="5" s="1"/>
  <c r="H5" i="3"/>
  <c r="I5" i="3"/>
  <c r="G5" i="5"/>
  <c r="J6" i="13"/>
  <c r="K6" i="13" l="1"/>
  <c r="L6" i="13"/>
  <c r="J21" i="4"/>
  <c r="F22" i="4" s="1"/>
  <c r="I5" i="5"/>
  <c r="H5" i="5"/>
  <c r="J4" i="2"/>
  <c r="F5" i="2" s="1"/>
  <c r="J5" i="3"/>
  <c r="F6" i="3" s="1"/>
  <c r="J5" i="5"/>
  <c r="F6" i="5" s="1"/>
  <c r="G22" i="4"/>
  <c r="G6" i="5"/>
  <c r="G6" i="3"/>
  <c r="G5" i="2"/>
  <c r="M6" i="13" l="1"/>
  <c r="I7" i="13" s="1"/>
  <c r="I22" i="4"/>
  <c r="H22" i="4"/>
  <c r="H5" i="2"/>
  <c r="I5" i="2"/>
  <c r="I6" i="3"/>
  <c r="H6" i="3"/>
  <c r="H6" i="5"/>
  <c r="I6" i="5"/>
  <c r="J7" i="13"/>
  <c r="L7" i="13" l="1"/>
  <c r="K7" i="13"/>
  <c r="J6" i="3"/>
  <c r="F7" i="3" s="1"/>
  <c r="J22" i="4"/>
  <c r="F23" i="4" s="1"/>
  <c r="J5" i="2"/>
  <c r="F6" i="2" s="1"/>
  <c r="J6" i="5"/>
  <c r="F7" i="5" s="1"/>
  <c r="G7" i="3"/>
  <c r="G6" i="2"/>
  <c r="G23" i="4"/>
  <c r="G7" i="5"/>
  <c r="M7" i="13" l="1"/>
  <c r="I8" i="13" s="1"/>
  <c r="H23" i="4"/>
  <c r="I23" i="4"/>
  <c r="I7" i="3"/>
  <c r="H7" i="3"/>
  <c r="H6" i="2"/>
  <c r="I6" i="2"/>
  <c r="J7" i="3"/>
  <c r="F8" i="3" s="1"/>
  <c r="I7" i="5"/>
  <c r="H7" i="5"/>
  <c r="J7" i="5" s="1"/>
  <c r="F8" i="5" s="1"/>
  <c r="G8" i="5"/>
  <c r="G8" i="3"/>
  <c r="J8" i="13"/>
  <c r="K8" i="13" l="1"/>
  <c r="L8" i="13"/>
  <c r="J23" i="4"/>
  <c r="F24" i="4" s="1"/>
  <c r="J6" i="2"/>
  <c r="F7" i="2" s="1"/>
  <c r="I8" i="3"/>
  <c r="H8" i="3"/>
  <c r="I8" i="5"/>
  <c r="H8" i="5"/>
  <c r="G24" i="4"/>
  <c r="G7" i="2"/>
  <c r="M8" i="13" l="1"/>
  <c r="I9" i="13" s="1"/>
  <c r="H7" i="2"/>
  <c r="J7" i="2" s="1"/>
  <c r="I7" i="2"/>
  <c r="H24" i="4"/>
  <c r="J24" i="4" s="1"/>
  <c r="F25" i="4" s="1"/>
  <c r="I24" i="4"/>
  <c r="F8" i="2"/>
  <c r="J8" i="5"/>
  <c r="F9" i="5" s="1"/>
  <c r="J8" i="3"/>
  <c r="F9" i="3" s="1"/>
  <c r="G9" i="3"/>
  <c r="G25" i="4"/>
  <c r="G8" i="2"/>
  <c r="G9" i="5"/>
  <c r="J9" i="13"/>
  <c r="K9" i="13" l="1"/>
  <c r="L9" i="13"/>
  <c r="H8" i="2"/>
  <c r="I8" i="2"/>
  <c r="I25" i="4"/>
  <c r="H25" i="4"/>
  <c r="H9" i="5"/>
  <c r="I9" i="5"/>
  <c r="I9" i="3"/>
  <c r="H9" i="3"/>
  <c r="M9" i="13" l="1"/>
  <c r="I10" i="13" s="1"/>
  <c r="J25" i="4"/>
  <c r="F26" i="4" s="1"/>
  <c r="J8" i="2"/>
  <c r="F9" i="2" s="1"/>
  <c r="J9" i="5"/>
  <c r="F10" i="5" s="1"/>
  <c r="J9" i="3"/>
  <c r="F10" i="3" s="1"/>
  <c r="G26" i="4"/>
  <c r="G9" i="2"/>
  <c r="G10" i="3"/>
  <c r="G10" i="5"/>
  <c r="J10" i="13"/>
  <c r="K10" i="13" l="1"/>
  <c r="L10" i="13"/>
  <c r="H9" i="2"/>
  <c r="I9" i="2"/>
  <c r="H26" i="4"/>
  <c r="I26" i="4"/>
  <c r="I10" i="5"/>
  <c r="H10" i="5"/>
  <c r="I10" i="3"/>
  <c r="H10" i="3"/>
  <c r="J10" i="3" s="1"/>
  <c r="F11" i="3" s="1"/>
  <c r="G11" i="3"/>
  <c r="M10" i="13" l="1"/>
  <c r="I11" i="13" s="1"/>
  <c r="J26" i="4"/>
  <c r="F27" i="4" s="1"/>
  <c r="J9" i="2"/>
  <c r="F10" i="2" s="1"/>
  <c r="J10" i="5"/>
  <c r="F11" i="5" s="1"/>
  <c r="H11" i="3"/>
  <c r="I11" i="3"/>
  <c r="G27" i="4"/>
  <c r="G10" i="2"/>
  <c r="G11" i="5"/>
  <c r="J11" i="13"/>
  <c r="K11" i="13" l="1"/>
  <c r="L11" i="13"/>
  <c r="I11" i="5"/>
  <c r="H11" i="5"/>
  <c r="H10" i="2"/>
  <c r="I10" i="2"/>
  <c r="I27" i="4"/>
  <c r="H27" i="4"/>
  <c r="J27" i="4" s="1"/>
  <c r="F28" i="4" s="1"/>
  <c r="J11" i="5"/>
  <c r="F12" i="5" s="1"/>
  <c r="J11" i="3"/>
  <c r="F12" i="3" s="1"/>
  <c r="G28" i="4"/>
  <c r="G12" i="5"/>
  <c r="G12" i="3"/>
  <c r="M11" i="13" l="1"/>
  <c r="I12" i="13" s="1"/>
  <c r="H12" i="5"/>
  <c r="I12" i="5"/>
  <c r="H28" i="4"/>
  <c r="I28" i="4"/>
  <c r="J10" i="2"/>
  <c r="F11" i="2" s="1"/>
  <c r="H12" i="3"/>
  <c r="I12" i="3"/>
  <c r="J12" i="5"/>
  <c r="F13" i="5" s="1"/>
  <c r="G11" i="2"/>
  <c r="G13" i="5"/>
  <c r="J12" i="13"/>
  <c r="K12" i="13" l="1"/>
  <c r="L12" i="13"/>
  <c r="M12" i="13" s="1"/>
  <c r="I13" i="13" s="1"/>
  <c r="I11" i="2"/>
  <c r="H11" i="2"/>
  <c r="J11" i="2" s="1"/>
  <c r="F12" i="2" s="1"/>
  <c r="J28" i="4"/>
  <c r="F29" i="4" s="1"/>
  <c r="J12" i="3"/>
  <c r="F13" i="3" s="1"/>
  <c r="I13" i="5"/>
  <c r="H13" i="5"/>
  <c r="J13" i="5" s="1"/>
  <c r="F14" i="5" s="1"/>
  <c r="G29" i="4"/>
  <c r="G12" i="2"/>
  <c r="G13" i="3"/>
  <c r="G14" i="5"/>
  <c r="J13" i="13"/>
  <c r="K13" i="13" l="1"/>
  <c r="L13" i="13"/>
  <c r="H13" i="3"/>
  <c r="J13" i="3" s="1"/>
  <c r="F14" i="3" s="1"/>
  <c r="I13" i="3"/>
  <c r="I12" i="2"/>
  <c r="H12" i="2"/>
  <c r="J12" i="2" s="1"/>
  <c r="F13" i="2" s="1"/>
  <c r="H29" i="4"/>
  <c r="I29" i="4"/>
  <c r="H14" i="5"/>
  <c r="I14" i="5"/>
  <c r="G13" i="2"/>
  <c r="G14" i="3"/>
  <c r="M13" i="13" l="1"/>
  <c r="I14" i="13" s="1"/>
  <c r="H14" i="3"/>
  <c r="I14" i="3"/>
  <c r="I13" i="2"/>
  <c r="H13" i="2"/>
  <c r="J13" i="2" s="1"/>
  <c r="F14" i="2" s="1"/>
  <c r="J29" i="4"/>
  <c r="F30" i="4" s="1"/>
  <c r="J14" i="5"/>
  <c r="F15" i="5" s="1"/>
  <c r="G30" i="4"/>
  <c r="G15" i="5"/>
  <c r="G14" i="2"/>
  <c r="J14" i="13"/>
  <c r="L14" i="13" l="1"/>
  <c r="K14" i="13"/>
  <c r="M14" i="13" s="1"/>
  <c r="I15" i="13" s="1"/>
  <c r="H14" i="2"/>
  <c r="I14" i="2"/>
  <c r="H30" i="4"/>
  <c r="I30" i="4"/>
  <c r="J14" i="3"/>
  <c r="F15" i="3" s="1"/>
  <c r="I15" i="5"/>
  <c r="H15" i="5"/>
  <c r="J15" i="5" s="1"/>
  <c r="F16" i="5" s="1"/>
  <c r="F20" i="5" s="1"/>
  <c r="G15" i="3"/>
  <c r="J15" i="13"/>
  <c r="L15" i="13" l="1"/>
  <c r="K15" i="13"/>
  <c r="H15" i="3"/>
  <c r="I15" i="3"/>
  <c r="J30" i="4"/>
  <c r="F31" i="4" s="1"/>
  <c r="J14" i="2"/>
  <c r="F15" i="2" s="1"/>
  <c r="G31" i="4"/>
  <c r="G15" i="2"/>
  <c r="M15" i="13" l="1"/>
  <c r="I16" i="13" s="1"/>
  <c r="I15" i="2"/>
  <c r="H15" i="2"/>
  <c r="I31" i="4"/>
  <c r="H31" i="4"/>
  <c r="J31" i="4" s="1"/>
  <c r="F32" i="4" s="1"/>
  <c r="F36" i="4" s="1"/>
  <c r="J15" i="3"/>
  <c r="F16" i="3" s="1"/>
  <c r="F20" i="3" s="1"/>
  <c r="J16" i="13"/>
  <c r="L16" i="13" l="1"/>
  <c r="K16" i="13"/>
  <c r="M16" i="13" s="1"/>
  <c r="I17" i="13" s="1"/>
  <c r="I21" i="13" s="1"/>
  <c r="J15" i="2"/>
  <c r="F16" i="2" s="1"/>
  <c r="F20" i="2" s="1"/>
</calcChain>
</file>

<file path=xl/sharedStrings.xml><?xml version="1.0" encoding="utf-8"?>
<sst xmlns="http://schemas.openxmlformats.org/spreadsheetml/2006/main" count="368" uniqueCount="122">
  <si>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</si>
  <si>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</si>
  <si>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</si>
  <si>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</si>
  <si>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</si>
  <si>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</si>
  <si>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</si>
  <si>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</si>
  <si>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</si>
  <si>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</si>
  <si>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</si>
  <si>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</si>
  <si>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</si>
  <si>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</si>
  <si>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</si>
  <si>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</si>
  <si>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</si>
  <si>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</si>
  <si>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</si>
  <si>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</si>
  <si>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</si>
  <si>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</si>
  <si>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</si>
  <si>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</si>
  <si>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</si>
  <si>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</si>
  <si>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</si>
  <si>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</si>
  <si>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</si>
  <si>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</si>
  <si>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</si>
  <si>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</si>
  <si>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</si>
  <si>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</si>
  <si>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</si>
  <si>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</si>
  <si>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</si>
  <si>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</si>
  <si>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</si>
  <si>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</si>
  <si>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</si>
  <si>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</si>
  <si>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</si>
  <si>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</si>
  <si>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</si>
  <si>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</si>
  <si>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</si>
  <si>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</si>
  <si>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</si>
  <si>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</si>
  <si>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</si>
  <si>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</si>
  <si>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</si>
  <si>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</si>
  <si>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</si>
  <si>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</si>
  <si>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</si>
  <si>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</si>
  <si>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</si>
  <si>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</si>
  <si>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</si>
  <si>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</si>
  <si>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</si>
  <si>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</si>
  <si>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</si>
  <si>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</si>
  <si>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</si>
  <si>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</si>
  <si>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</si>
  <si>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</si>
  <si>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</si>
  <si>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</si>
  <si>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</si>
  <si>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</si>
  <si>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</si>
  <si>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</si>
  <si>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</si>
  <si>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</si>
  <si>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</si>
  <si>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</si>
  <si>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</si>
  <si>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</si>
  <si>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</si>
  <si>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</si>
  <si>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</si>
  <si>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</si>
  <si>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</si>
  <si>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</si>
  <si>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</si>
  <si>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</si>
  <si>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</si>
  <si>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</si>
  <si>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</si>
  <si>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Труды комиссии по обследованию санитарных последствий войны 1914-1920 гг., вып. 1, М.-Пг. : Наркомздрав, 1923, стр. 204-298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</si>
  <si>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</si>
  <si>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</si>
  <si>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</si>
  <si>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</si>
  <si>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</si>
  <si>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</si>
  <si>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</si>
  <si>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</si>
  <si>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</si>
  <si>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</si>
  <si>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</si>
  <si>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</si>
  <si>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</si>
  <si>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</si>
  <si>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</si>
  <si>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</si>
  <si>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</si>
  <si>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</si>
  <si>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</si>
  <si>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</si>
  <si>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</si>
  <si>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</si>
  <si>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</si>
  <si>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</si>
  <si>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</si>
  <si>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р2</t>
  </si>
  <si>
    <t>с2</t>
  </si>
  <si>
    <t>еп2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</si>
</sst>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5" borderId="0" xfId="0" applyFill="1" applyAlignment="1">
      <alignment horizontal="center"/>
    </xf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Оценки!$B$7:$B$18</c:f>
              <c:numCache>
                <c:formatCode>0.0</c:formatCode>
                <c:ptCount val="12"/>
                <c:pt idx="5">
                  <c:v>30.9</c:v>
                </c:pt>
                <c:pt idx="6">
                  <c:v>32.6</c:v>
                </c:pt>
                <c:pt idx="7">
                  <c:v>33.4</c:v>
                </c:pt>
                <c:pt idx="8">
                  <c:v>42.8</c:v>
                </c:pt>
                <c:pt idx="9">
                  <c:v>43.8</c:v>
                </c:pt>
                <c:pt idx="10">
                  <c:v>45.9</c:v>
                </c:pt>
                <c:pt idx="11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1-4443-9DB7-371640DF07D3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Оценки!$C$7:$C$18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1-4443-9DB7-371640DF07D3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Оценки!$D$7:$D$18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1-4443-9DB7-371640DF07D3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Оценки!$E$7:$E$18</c:f>
              <c:numCache>
                <c:formatCode>0.0</c:formatCode>
                <c:ptCount val="12"/>
                <c:pt idx="0">
                  <c:v>37.4</c:v>
                </c:pt>
                <c:pt idx="1">
                  <c:v>32.5</c:v>
                </c:pt>
                <c:pt idx="2">
                  <c:v>28.8</c:v>
                </c:pt>
                <c:pt idx="3">
                  <c:v>32.4</c:v>
                </c:pt>
                <c:pt idx="4">
                  <c:v>30.6</c:v>
                </c:pt>
                <c:pt idx="5">
                  <c:v>31.7</c:v>
                </c:pt>
                <c:pt idx="6">
                  <c:v>35</c:v>
                </c:pt>
                <c:pt idx="7">
                  <c:v>36.200000000000003</c:v>
                </c:pt>
                <c:pt idx="8">
                  <c:v>44</c:v>
                </c:pt>
                <c:pt idx="9">
                  <c:v>42.3</c:v>
                </c:pt>
                <c:pt idx="10">
                  <c:v>43.8</c:v>
                </c:pt>
                <c:pt idx="1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51-4443-9DB7-371640DF07D3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Оценки!$F$7:$F$18</c:f>
              <c:numCache>
                <c:formatCode>0.0</c:formatCode>
                <c:ptCount val="12"/>
                <c:pt idx="5">
                  <c:v>39.299999999999997</c:v>
                </c:pt>
                <c:pt idx="6">
                  <c:v>40.6</c:v>
                </c:pt>
                <c:pt idx="7">
                  <c:v>43.7</c:v>
                </c:pt>
                <c:pt idx="8">
                  <c:v>47</c:v>
                </c:pt>
                <c:pt idx="9">
                  <c:v>49</c:v>
                </c:pt>
                <c:pt idx="10">
                  <c:v>47.3</c:v>
                </c:pt>
                <c:pt idx="11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51-4443-9DB7-371640DF07D3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Оценки!$G$7:$G$18</c:f>
              <c:numCache>
                <c:formatCode>0.0</c:formatCode>
                <c:ptCount val="12"/>
                <c:pt idx="0">
                  <c:v>39.700000000000003</c:v>
                </c:pt>
                <c:pt idx="1">
                  <c:v>29.9</c:v>
                </c:pt>
                <c:pt idx="2">
                  <c:v>23.9</c:v>
                </c:pt>
                <c:pt idx="3">
                  <c:v>32</c:v>
                </c:pt>
                <c:pt idx="4">
                  <c:v>31</c:v>
                </c:pt>
                <c:pt idx="5">
                  <c:v>31.2</c:v>
                </c:pt>
                <c:pt idx="6">
                  <c:v>35.5</c:v>
                </c:pt>
                <c:pt idx="7">
                  <c:v>37.299999999999997</c:v>
                </c:pt>
                <c:pt idx="8">
                  <c:v>43.9</c:v>
                </c:pt>
                <c:pt idx="9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51-4443-9DB7-371640DF07D3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Оценки!$H$7:$H$18</c:f>
              <c:numCache>
                <c:formatCode>0.0</c:formatCode>
                <c:ptCount val="12"/>
                <c:pt idx="3">
                  <c:v>31.8</c:v>
                </c:pt>
                <c:pt idx="4">
                  <c:v>30.8</c:v>
                </c:pt>
                <c:pt idx="5">
                  <c:v>31</c:v>
                </c:pt>
                <c:pt idx="6">
                  <c:v>35.299999999999997</c:v>
                </c:pt>
                <c:pt idx="7">
                  <c:v>36.799999999999997</c:v>
                </c:pt>
                <c:pt idx="8">
                  <c:v>42.8</c:v>
                </c:pt>
                <c:pt idx="9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51-4443-9DB7-371640DF07D3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Оценки!$I$7:$I$18</c:f>
              <c:numCache>
                <c:formatCode>0.0</c:formatCode>
                <c:ptCount val="12"/>
                <c:pt idx="2">
                  <c:v>27.4</c:v>
                </c:pt>
                <c:pt idx="3">
                  <c:v>33.1</c:v>
                </c:pt>
                <c:pt idx="4">
                  <c:v>30</c:v>
                </c:pt>
                <c:pt idx="5">
                  <c:v>31.3</c:v>
                </c:pt>
                <c:pt idx="6">
                  <c:v>37.799999999999997</c:v>
                </c:pt>
                <c:pt idx="7">
                  <c:v>41.4</c:v>
                </c:pt>
                <c:pt idx="8">
                  <c:v>46.5</c:v>
                </c:pt>
                <c:pt idx="9">
                  <c:v>43.6</c:v>
                </c:pt>
                <c:pt idx="10">
                  <c:v>45.7</c:v>
                </c:pt>
                <c:pt idx="11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51-4443-9DB7-371640DF0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102632"/>
        <c:axId val="1131104600"/>
      </c:scatterChart>
      <c:valAx>
        <c:axId val="113110263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4600"/>
        <c:crosses val="autoZero"/>
        <c:crossBetween val="midCat"/>
        <c:majorUnit val="1"/>
      </c:valAx>
      <c:valAx>
        <c:axId val="11311046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2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Оценки!$J$7:$J$18</c:f>
              <c:numCache>
                <c:formatCode>0.0</c:formatCode>
                <c:ptCount val="12"/>
                <c:pt idx="5">
                  <c:v>35.299999999999997</c:v>
                </c:pt>
                <c:pt idx="6">
                  <c:v>29.2</c:v>
                </c:pt>
                <c:pt idx="7">
                  <c:v>32.1</c:v>
                </c:pt>
                <c:pt idx="8">
                  <c:v>23.1</c:v>
                </c:pt>
                <c:pt idx="9">
                  <c:v>24.1</c:v>
                </c:pt>
                <c:pt idx="10">
                  <c:v>25.2</c:v>
                </c:pt>
                <c:pt idx="11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C-4C18-84F3-A9E661E20BFC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Оценки!$K$7:$K$18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29.7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C-4C18-84F3-A9E661E20BFC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Оценки!$L$7:$L$18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40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C-4C18-84F3-A9E661E20BFC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Оценки!$M$7:$M$18</c:f>
              <c:numCache>
                <c:formatCode>0.0</c:formatCode>
                <c:ptCount val="12"/>
                <c:pt idx="0">
                  <c:v>42.6</c:v>
                </c:pt>
                <c:pt idx="1">
                  <c:v>39.200000000000003</c:v>
                </c:pt>
                <c:pt idx="2">
                  <c:v>47.1</c:v>
                </c:pt>
                <c:pt idx="3">
                  <c:v>53.9</c:v>
                </c:pt>
                <c:pt idx="4">
                  <c:v>41</c:v>
                </c:pt>
                <c:pt idx="5">
                  <c:v>37.1</c:v>
                </c:pt>
                <c:pt idx="6">
                  <c:v>29.8</c:v>
                </c:pt>
                <c:pt idx="7">
                  <c:v>38</c:v>
                </c:pt>
                <c:pt idx="8">
                  <c:v>22.5</c:v>
                </c:pt>
                <c:pt idx="9">
                  <c:v>21.7</c:v>
                </c:pt>
                <c:pt idx="10">
                  <c:v>22.9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C-4C18-84F3-A9E661E20BFC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Оценки!$N$7:$N$18</c:f>
              <c:numCache>
                <c:formatCode>0.0</c:formatCode>
                <c:ptCount val="12"/>
                <c:pt idx="5">
                  <c:v>45.4</c:v>
                </c:pt>
                <c:pt idx="6">
                  <c:v>39.799999999999997</c:v>
                </c:pt>
                <c:pt idx="7">
                  <c:v>38.799999999999997</c:v>
                </c:pt>
                <c:pt idx="8">
                  <c:v>29.1</c:v>
                </c:pt>
                <c:pt idx="9">
                  <c:v>27.6</c:v>
                </c:pt>
                <c:pt idx="10">
                  <c:v>28.7</c:v>
                </c:pt>
                <c:pt idx="11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C-4C18-84F3-A9E661E20BFC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Оценки!$O$7:$O$18</c:f>
              <c:numCache>
                <c:formatCode>0.0</c:formatCode>
                <c:ptCount val="12"/>
                <c:pt idx="0">
                  <c:v>35.4</c:v>
                </c:pt>
                <c:pt idx="1">
                  <c:v>33</c:v>
                </c:pt>
                <c:pt idx="2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C-4C18-84F3-A9E661E20BFC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Оценки!$P$7:$P$18</c:f>
              <c:numCache>
                <c:formatCode>0.0</c:formatCode>
                <c:ptCount val="12"/>
                <c:pt idx="2">
                  <c:v>27.4</c:v>
                </c:pt>
                <c:pt idx="3">
                  <c:v>39.9</c:v>
                </c:pt>
                <c:pt idx="4">
                  <c:v>65.5</c:v>
                </c:pt>
                <c:pt idx="5">
                  <c:v>79.5</c:v>
                </c:pt>
                <c:pt idx="6">
                  <c:v>40.4</c:v>
                </c:pt>
                <c:pt idx="7">
                  <c:v>55.3</c:v>
                </c:pt>
                <c:pt idx="8">
                  <c:v>22.3</c:v>
                </c:pt>
                <c:pt idx="9">
                  <c:v>23.1</c:v>
                </c:pt>
                <c:pt idx="10">
                  <c:v>23.3</c:v>
                </c:pt>
                <c:pt idx="11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3C-4C18-84F3-A9E661E20BFC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Оценки!$Q$7:$Q$18</c:f>
              <c:numCache>
                <c:formatCode>0.0</c:formatCode>
                <c:ptCount val="12"/>
                <c:pt idx="3">
                  <c:v>28.1</c:v>
                </c:pt>
                <c:pt idx="4">
                  <c:v>39.4</c:v>
                </c:pt>
                <c:pt idx="5">
                  <c:v>49.9</c:v>
                </c:pt>
                <c:pt idx="6">
                  <c:v>42.6</c:v>
                </c:pt>
                <c:pt idx="7">
                  <c:v>43</c:v>
                </c:pt>
                <c:pt idx="8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3C-4C18-84F3-A9E661E20BFC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Оценки!$R$7:$R$18</c:f>
              <c:numCache>
                <c:formatCode>0.0</c:formatCode>
                <c:ptCount val="12"/>
                <c:pt idx="3">
                  <c:v>30.2</c:v>
                </c:pt>
                <c:pt idx="4">
                  <c:v>64</c:v>
                </c:pt>
                <c:pt idx="5">
                  <c:v>56.1</c:v>
                </c:pt>
                <c:pt idx="6">
                  <c:v>41.4</c:v>
                </c:pt>
                <c:pt idx="7">
                  <c:v>47.1</c:v>
                </c:pt>
                <c:pt idx="8">
                  <c:v>28.7</c:v>
                </c:pt>
                <c:pt idx="9">
                  <c:v>22.4</c:v>
                </c:pt>
                <c:pt idx="10">
                  <c:v>23.8</c:v>
                </c:pt>
                <c:pt idx="11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3C-4C18-84F3-A9E661E2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322952"/>
        <c:axId val="1146323608"/>
      </c:scatterChart>
      <c:valAx>
        <c:axId val="114632295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3608"/>
        <c:crosses val="autoZero"/>
        <c:crossBetween val="midCat"/>
        <c:majorUnit val="1"/>
      </c:valAx>
      <c:valAx>
        <c:axId val="11463236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295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на начало года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р2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еп2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604836</xdr:colOff>
      <xdr:row>30</xdr:row>
      <xdr:rowOff>4761</xdr:rowOff>
    </xdr:from>
    <xdr:to>
      <xdr:col>16</xdr:col>
      <xdr:colOff>0</xdr:colOff>
      <xdr:row>67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403B76-D3DC-47B2-99D9-AA603F19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69</xdr:row>
      <xdr:rowOff>4761</xdr:rowOff>
    </xdr:from>
    <xdr:to>
      <xdr:col>16</xdr:col>
      <xdr:colOff>9525</xdr:colOff>
      <xdr:row>105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22B589-25EB-4E1B-84A1-2EE05BE12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1306829</xdr:colOff>
      <xdr:row>12</xdr:row>
      <xdr:rowOff>172401</xdr:rowOff>
    </xdr:from>
    <xdr:to>
      <xdr:col>35</xdr:col>
      <xdr:colOff>619125</xdr:colOff>
      <xdr:row>58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151446</xdr:rowOff>
    </xdr:from>
    <xdr:to>
      <xdr:col>19</xdr:col>
      <xdr:colOff>0</xdr:colOff>
      <xdr:row>58</xdr:row>
      <xdr:rowOff>144779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29"/>
  <sheetViews>
    <sheetView workbookViewId="0">
      <selection activeCell="T11" sqref="T11"/>
    </sheetView>
  </sheetViews>
  <sheetFormatPr defaultRowHeight="14.4" x14ac:dyDescent="0.55000000000000004"/>
  <sheetData>
    <row r="1" spans="1:21" ht="18.3" x14ac:dyDescent="0.7">
      <c r="A1" s="6" t="s">
        <v>17</v>
      </c>
    </row>
    <row r="5" spans="1:21" x14ac:dyDescent="0.55000000000000004">
      <c r="B5" s="23" t="s">
        <v>6</v>
      </c>
      <c r="C5" s="23"/>
      <c r="D5" s="23"/>
      <c r="E5" s="23"/>
      <c r="F5" s="23"/>
      <c r="G5" s="23"/>
      <c r="H5" s="23"/>
      <c r="I5" s="23"/>
      <c r="J5" s="24" t="s">
        <v>7</v>
      </c>
      <c r="K5" s="24"/>
      <c r="L5" s="24"/>
      <c r="M5" s="24"/>
      <c r="N5" s="24"/>
      <c r="O5" s="24"/>
      <c r="P5" s="24"/>
      <c r="Q5" s="24"/>
      <c r="R5" s="24"/>
    </row>
    <row r="6" spans="1:21" x14ac:dyDescent="0.55000000000000004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55000000000000004">
      <c r="A7" s="7">
        <v>1915</v>
      </c>
      <c r="B7" s="1"/>
      <c r="C7" s="1">
        <v>35.9</v>
      </c>
      <c r="D7" s="1">
        <v>35.9</v>
      </c>
      <c r="E7" s="1">
        <v>37.4</v>
      </c>
      <c r="F7" s="1"/>
      <c r="G7" s="1">
        <v>39.700000000000003</v>
      </c>
      <c r="H7" s="1"/>
      <c r="I7" s="1"/>
      <c r="J7" s="1"/>
      <c r="K7" s="1">
        <v>28.8</v>
      </c>
      <c r="L7" s="1">
        <v>28.8</v>
      </c>
      <c r="M7" s="1">
        <v>42.6</v>
      </c>
      <c r="N7" s="1"/>
      <c r="O7" s="1">
        <v>35.4</v>
      </c>
      <c r="P7" s="1"/>
      <c r="Q7" s="1"/>
      <c r="R7" s="1"/>
    </row>
    <row r="8" spans="1:21" x14ac:dyDescent="0.55000000000000004">
      <c r="A8" s="7">
        <v>1916</v>
      </c>
      <c r="B8" s="1"/>
      <c r="C8" s="1">
        <v>27.1</v>
      </c>
      <c r="D8" s="1">
        <v>27.1</v>
      </c>
      <c r="E8" s="1">
        <v>32.5</v>
      </c>
      <c r="F8" s="1"/>
      <c r="G8" s="1">
        <v>29.9</v>
      </c>
      <c r="H8" s="1"/>
      <c r="I8" s="1"/>
      <c r="J8" s="1"/>
      <c r="K8" s="1">
        <v>25.4</v>
      </c>
      <c r="L8" s="1">
        <v>25.4</v>
      </c>
      <c r="M8" s="1">
        <v>39.200000000000003</v>
      </c>
      <c r="N8" s="1"/>
      <c r="O8" s="1">
        <v>33</v>
      </c>
      <c r="P8" s="1"/>
      <c r="Q8" s="1"/>
      <c r="R8" s="1"/>
    </row>
    <row r="9" spans="1:21" x14ac:dyDescent="0.55000000000000004">
      <c r="A9" s="7">
        <v>1917</v>
      </c>
      <c r="B9" s="1"/>
      <c r="C9" s="1">
        <v>26.3</v>
      </c>
      <c r="D9" s="1">
        <v>26.3</v>
      </c>
      <c r="E9" s="1">
        <v>28.8</v>
      </c>
      <c r="F9" s="1"/>
      <c r="G9" s="1">
        <v>23.9</v>
      </c>
      <c r="H9" s="1"/>
      <c r="I9" s="17">
        <v>27.4</v>
      </c>
      <c r="J9" s="1"/>
      <c r="K9" s="1">
        <v>29.1</v>
      </c>
      <c r="L9" s="1">
        <v>29.1</v>
      </c>
      <c r="M9" s="1">
        <v>47.1</v>
      </c>
      <c r="N9" s="1"/>
      <c r="O9" s="1">
        <v>28.2</v>
      </c>
      <c r="P9" s="17">
        <v>27.4</v>
      </c>
      <c r="Q9" s="17"/>
      <c r="R9" s="17"/>
      <c r="T9" s="29" t="s">
        <v>116</v>
      </c>
      <c r="U9" s="29"/>
    </row>
    <row r="10" spans="1:21" x14ac:dyDescent="0.55000000000000004">
      <c r="A10" s="7">
        <v>1918</v>
      </c>
      <c r="B10" s="1"/>
      <c r="C10" s="1">
        <v>34.700000000000003</v>
      </c>
      <c r="D10" s="1">
        <v>34.700000000000003</v>
      </c>
      <c r="E10" s="1">
        <v>32.4</v>
      </c>
      <c r="F10" s="1"/>
      <c r="G10" s="1">
        <v>32</v>
      </c>
      <c r="H10" s="1">
        <v>31.8</v>
      </c>
      <c r="I10" s="17">
        <v>33.1</v>
      </c>
      <c r="J10" s="1"/>
      <c r="K10" s="1">
        <v>44.2</v>
      </c>
      <c r="L10" s="1">
        <v>44.2</v>
      </c>
      <c r="M10" s="1">
        <v>53.9</v>
      </c>
      <c r="N10" s="1"/>
      <c r="O10" s="1"/>
      <c r="P10" s="17">
        <v>39.9</v>
      </c>
      <c r="Q10" s="1">
        <v>28.1</v>
      </c>
      <c r="R10" s="1">
        <v>30.2</v>
      </c>
      <c r="T10" s="2">
        <f>AVERAGE(P10,R10)</f>
        <v>35.049999999999997</v>
      </c>
      <c r="U10" s="2">
        <f>T10-27</f>
        <v>8.0499999999999972</v>
      </c>
    </row>
    <row r="11" spans="1:21" x14ac:dyDescent="0.55000000000000004">
      <c r="A11" s="7">
        <v>1919</v>
      </c>
      <c r="B11" s="1"/>
      <c r="C11" s="1">
        <v>31.7</v>
      </c>
      <c r="D11" s="1">
        <v>31.7</v>
      </c>
      <c r="E11" s="1">
        <v>30.6</v>
      </c>
      <c r="F11" s="1"/>
      <c r="G11" s="1">
        <v>31</v>
      </c>
      <c r="H11" s="1">
        <v>30.8</v>
      </c>
      <c r="I11" s="17">
        <v>30</v>
      </c>
      <c r="J11" s="1"/>
      <c r="K11" s="1">
        <v>46.7</v>
      </c>
      <c r="L11" s="1">
        <v>46.7</v>
      </c>
      <c r="M11" s="1">
        <v>41</v>
      </c>
      <c r="N11" s="1"/>
      <c r="O11" s="1"/>
      <c r="P11" s="17">
        <v>65.5</v>
      </c>
      <c r="Q11" s="1">
        <v>39.4</v>
      </c>
      <c r="R11" s="1">
        <v>64</v>
      </c>
      <c r="T11" s="2">
        <f t="shared" ref="T11:T17" si="0">AVERAGE(P11,R11)</f>
        <v>64.75</v>
      </c>
      <c r="U11" s="2">
        <f t="shared" ref="U11:U16" si="1">T11-27</f>
        <v>37.75</v>
      </c>
    </row>
    <row r="12" spans="1:21" x14ac:dyDescent="0.55000000000000004">
      <c r="A12" s="7">
        <v>1920</v>
      </c>
      <c r="B12" s="1">
        <v>30.9</v>
      </c>
      <c r="C12" s="1">
        <v>32.200000000000003</v>
      </c>
      <c r="D12" s="1">
        <v>32.200000000000003</v>
      </c>
      <c r="E12" s="1">
        <v>31.7</v>
      </c>
      <c r="F12" s="1">
        <v>39.299999999999997</v>
      </c>
      <c r="G12" s="1">
        <v>31.2</v>
      </c>
      <c r="H12" s="1">
        <v>31</v>
      </c>
      <c r="I12" s="17">
        <v>31.3</v>
      </c>
      <c r="J12" s="1">
        <v>35.299999999999997</v>
      </c>
      <c r="K12" s="1">
        <v>43.3</v>
      </c>
      <c r="L12" s="1">
        <v>43.3</v>
      </c>
      <c r="M12" s="1">
        <v>37.1</v>
      </c>
      <c r="N12" s="1">
        <v>45.4</v>
      </c>
      <c r="O12" s="1"/>
      <c r="P12" s="17">
        <v>79.5</v>
      </c>
      <c r="Q12" s="1">
        <v>49.9</v>
      </c>
      <c r="R12" s="1">
        <v>56.1</v>
      </c>
      <c r="T12" s="2">
        <f t="shared" si="0"/>
        <v>67.8</v>
      </c>
      <c r="U12" s="2">
        <f t="shared" si="1"/>
        <v>40.799999999999997</v>
      </c>
    </row>
    <row r="13" spans="1:21" x14ac:dyDescent="0.55000000000000004">
      <c r="A13" s="7">
        <v>1921</v>
      </c>
      <c r="B13" s="1">
        <v>32.6</v>
      </c>
      <c r="C13" s="1">
        <v>37.299999999999997</v>
      </c>
      <c r="D13" s="1">
        <v>37.299999999999997</v>
      </c>
      <c r="E13" s="1">
        <v>35</v>
      </c>
      <c r="F13" s="1">
        <v>40.6</v>
      </c>
      <c r="G13" s="1">
        <v>35.5</v>
      </c>
      <c r="H13" s="1">
        <v>35.299999999999997</v>
      </c>
      <c r="I13" s="17">
        <v>37.799999999999997</v>
      </c>
      <c r="J13" s="1">
        <v>29.2</v>
      </c>
      <c r="K13" s="1">
        <v>29.7</v>
      </c>
      <c r="L13" s="1">
        <v>40</v>
      </c>
      <c r="M13" s="1">
        <v>29.8</v>
      </c>
      <c r="N13" s="1">
        <v>39.799999999999997</v>
      </c>
      <c r="O13" s="1"/>
      <c r="P13" s="17">
        <v>40.4</v>
      </c>
      <c r="Q13" s="1">
        <v>42.6</v>
      </c>
      <c r="R13" s="1">
        <v>41.4</v>
      </c>
      <c r="T13" s="2">
        <f t="shared" si="0"/>
        <v>40.9</v>
      </c>
      <c r="U13" s="2">
        <f t="shared" si="1"/>
        <v>13.899999999999999</v>
      </c>
    </row>
    <row r="14" spans="1:21" x14ac:dyDescent="0.55000000000000004">
      <c r="A14" s="7">
        <v>1922</v>
      </c>
      <c r="B14" s="1">
        <v>33.4</v>
      </c>
      <c r="C14" s="1">
        <v>38.200000000000003</v>
      </c>
      <c r="D14" s="1">
        <v>38.200000000000003</v>
      </c>
      <c r="E14" s="1">
        <v>36.200000000000003</v>
      </c>
      <c r="F14" s="1">
        <v>43.7</v>
      </c>
      <c r="G14" s="1">
        <v>37.299999999999997</v>
      </c>
      <c r="H14" s="1">
        <v>36.799999999999997</v>
      </c>
      <c r="I14" s="17">
        <v>41.4</v>
      </c>
      <c r="J14" s="1">
        <v>32.1</v>
      </c>
      <c r="K14" s="1">
        <v>29.6</v>
      </c>
      <c r="L14" s="1">
        <v>29.6</v>
      </c>
      <c r="M14" s="1">
        <v>38</v>
      </c>
      <c r="N14" s="1">
        <v>38.799999999999997</v>
      </c>
      <c r="O14" s="1"/>
      <c r="P14" s="17">
        <v>55.3</v>
      </c>
      <c r="Q14" s="1">
        <v>43</v>
      </c>
      <c r="R14" s="1">
        <v>47.1</v>
      </c>
      <c r="T14" s="2">
        <f t="shared" si="0"/>
        <v>51.2</v>
      </c>
      <c r="U14" s="2">
        <f t="shared" si="1"/>
        <v>24.200000000000003</v>
      </c>
    </row>
    <row r="15" spans="1:21" x14ac:dyDescent="0.55000000000000004">
      <c r="A15" s="7">
        <v>1923</v>
      </c>
      <c r="B15" s="1">
        <v>42.8</v>
      </c>
      <c r="C15" s="1">
        <v>45.5</v>
      </c>
      <c r="D15" s="1">
        <v>45.5</v>
      </c>
      <c r="E15" s="1">
        <v>44</v>
      </c>
      <c r="F15" s="1">
        <v>47</v>
      </c>
      <c r="G15" s="1">
        <v>43.9</v>
      </c>
      <c r="H15" s="1">
        <v>42.8</v>
      </c>
      <c r="I15" s="17">
        <v>46.5</v>
      </c>
      <c r="J15" s="1">
        <v>23.1</v>
      </c>
      <c r="K15" s="1">
        <v>25.5</v>
      </c>
      <c r="L15" s="1">
        <v>25.5</v>
      </c>
      <c r="M15" s="1">
        <v>22.5</v>
      </c>
      <c r="N15" s="1">
        <v>29.1</v>
      </c>
      <c r="O15" s="1"/>
      <c r="P15" s="17">
        <v>22.3</v>
      </c>
      <c r="Q15" s="1">
        <v>28.1</v>
      </c>
      <c r="R15" s="1">
        <v>28.7</v>
      </c>
      <c r="T15" s="2">
        <f t="shared" si="0"/>
        <v>25.5</v>
      </c>
      <c r="U15" s="2">
        <f t="shared" si="1"/>
        <v>-1.5</v>
      </c>
    </row>
    <row r="16" spans="1:21" x14ac:dyDescent="0.55000000000000004">
      <c r="A16" s="7">
        <v>1924</v>
      </c>
      <c r="B16" s="1">
        <v>43.8</v>
      </c>
      <c r="C16" s="1">
        <v>42.2</v>
      </c>
      <c r="D16" s="1">
        <v>42.2</v>
      </c>
      <c r="E16" s="1">
        <v>42.3</v>
      </c>
      <c r="F16" s="1">
        <v>49</v>
      </c>
      <c r="G16" s="1">
        <v>42</v>
      </c>
      <c r="H16" s="1">
        <v>41</v>
      </c>
      <c r="I16" s="17">
        <v>43.6</v>
      </c>
      <c r="J16" s="1">
        <v>24.1</v>
      </c>
      <c r="K16" s="1">
        <v>23.5</v>
      </c>
      <c r="L16" s="1">
        <v>23.5</v>
      </c>
      <c r="M16" s="1">
        <v>21.7</v>
      </c>
      <c r="N16" s="1">
        <v>27.6</v>
      </c>
      <c r="O16" s="1"/>
      <c r="P16" s="17">
        <v>23.1</v>
      </c>
      <c r="Q16" s="1"/>
      <c r="R16" s="1">
        <v>22.4</v>
      </c>
      <c r="T16" s="2">
        <f t="shared" si="0"/>
        <v>22.75</v>
      </c>
      <c r="U16" s="2">
        <f t="shared" si="1"/>
        <v>-4.25</v>
      </c>
    </row>
    <row r="17" spans="1:20" x14ac:dyDescent="0.55000000000000004">
      <c r="A17" s="7">
        <v>1925</v>
      </c>
      <c r="B17" s="1">
        <v>45.9</v>
      </c>
      <c r="C17" s="1">
        <v>43.9</v>
      </c>
      <c r="D17" s="1">
        <v>43.9</v>
      </c>
      <c r="E17" s="1">
        <v>43.8</v>
      </c>
      <c r="F17" s="1">
        <v>47.3</v>
      </c>
      <c r="G17" s="1"/>
      <c r="H17" s="1"/>
      <c r="I17" s="17">
        <v>45.7</v>
      </c>
      <c r="J17" s="1">
        <v>25.2</v>
      </c>
      <c r="K17" s="1">
        <v>24.5</v>
      </c>
      <c r="L17" s="1">
        <v>24.5</v>
      </c>
      <c r="M17" s="1">
        <v>22.9</v>
      </c>
      <c r="N17" s="1">
        <v>28.7</v>
      </c>
      <c r="O17" s="1"/>
      <c r="P17" s="17">
        <v>23.3</v>
      </c>
      <c r="Q17" s="17"/>
      <c r="R17" s="1">
        <v>23.8</v>
      </c>
      <c r="T17" s="2">
        <f t="shared" si="0"/>
        <v>23.55</v>
      </c>
    </row>
    <row r="18" spans="1:20" x14ac:dyDescent="0.55000000000000004">
      <c r="A18" s="7">
        <v>1926</v>
      </c>
      <c r="B18" s="1">
        <v>44.7</v>
      </c>
      <c r="C18" s="1">
        <v>42.5</v>
      </c>
      <c r="D18" s="1">
        <v>42.5</v>
      </c>
      <c r="E18" s="1">
        <v>42.3</v>
      </c>
      <c r="F18" s="1">
        <v>45.6</v>
      </c>
      <c r="G18" s="1"/>
      <c r="H18" s="1"/>
      <c r="I18" s="17">
        <v>42.6</v>
      </c>
      <c r="J18" s="1">
        <v>21.3</v>
      </c>
      <c r="K18" s="1">
        <v>21.5</v>
      </c>
      <c r="L18" s="1">
        <v>21.5</v>
      </c>
      <c r="M18" s="1">
        <v>20</v>
      </c>
      <c r="N18" s="1">
        <v>25.5</v>
      </c>
      <c r="O18" s="1"/>
      <c r="P18" s="17">
        <v>19.899999999999999</v>
      </c>
      <c r="Q18" s="17"/>
      <c r="R18" s="1">
        <v>22.7</v>
      </c>
    </row>
    <row r="20" spans="1:20" x14ac:dyDescent="0.55000000000000004">
      <c r="A20" t="s">
        <v>8</v>
      </c>
      <c r="B20" t="s">
        <v>18</v>
      </c>
    </row>
    <row r="21" spans="1:20" x14ac:dyDescent="0.55000000000000004">
      <c r="A21" t="s">
        <v>9</v>
      </c>
      <c r="B21" t="s">
        <v>19</v>
      </c>
    </row>
    <row r="22" spans="1:20" x14ac:dyDescent="0.55000000000000004">
      <c r="A22" t="s">
        <v>10</v>
      </c>
      <c r="B22" t="s">
        <v>20</v>
      </c>
    </row>
    <row r="23" spans="1:20" x14ac:dyDescent="0.55000000000000004">
      <c r="A23" t="s">
        <v>11</v>
      </c>
      <c r="B23" t="s">
        <v>0</v>
      </c>
    </row>
    <row r="24" spans="1:20" x14ac:dyDescent="0.55000000000000004">
      <c r="A24" t="s">
        <v>12</v>
      </c>
      <c r="B24" t="s">
        <v>21</v>
      </c>
    </row>
    <row r="25" spans="1:20" x14ac:dyDescent="0.55000000000000004">
      <c r="A25" t="s">
        <v>13</v>
      </c>
      <c r="B25" t="s">
        <v>22</v>
      </c>
    </row>
    <row r="26" spans="1:20" x14ac:dyDescent="0.55000000000000004">
      <c r="A26" t="s">
        <v>14</v>
      </c>
      <c r="B26" t="s">
        <v>23</v>
      </c>
    </row>
    <row r="27" spans="1:20" x14ac:dyDescent="0.55000000000000004">
      <c r="A27" t="s">
        <v>5</v>
      </c>
      <c r="B27" t="s">
        <v>24</v>
      </c>
    </row>
    <row r="28" spans="1:20" x14ac:dyDescent="0.55000000000000004">
      <c r="A28" t="s">
        <v>15</v>
      </c>
      <c r="B28" t="s">
        <v>25</v>
      </c>
    </row>
    <row r="29" spans="1:20" x14ac:dyDescent="0.55000000000000004">
      <c r="A29" t="s">
        <v>16</v>
      </c>
      <c r="B29" t="s">
        <v>25</v>
      </c>
    </row>
  </sheetData>
  <mergeCells count="3">
    <mergeCell ref="B5:I5"/>
    <mergeCell ref="J5:R5"/>
    <mergeCell ref="T9:U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workbookViewId="0">
      <selection activeCell="A3" sqref="A3:J20"/>
    </sheetView>
  </sheetViews>
  <sheetFormatPr defaultRowHeight="14.4" x14ac:dyDescent="0.55000000000000004"/>
  <cols>
    <col min="7" max="7" width="16" customWidth="1"/>
    <col min="8" max="9" width="11.578125" bestFit="1" customWidth="1"/>
  </cols>
  <sheetData>
    <row r="1" spans="1:17" ht="18.3" x14ac:dyDescent="0.7">
      <c r="A1" s="6" t="s">
        <v>111</v>
      </c>
    </row>
    <row r="3" spans="1:17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55000000000000004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55000000000000004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55000000000000004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55000000000000004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55000000000000004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55000000000000004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55000000000000004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55000000000000004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55000000000000004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55000000000000004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55000000000000004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55000000000000004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55000000000000004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abSelected="1" workbookViewId="0">
      <selection activeCell="AR15" sqref="AR15"/>
    </sheetView>
  </sheetViews>
  <sheetFormatPr defaultRowHeight="14.4" x14ac:dyDescent="0.55000000000000004"/>
  <cols>
    <col min="10" max="10" width="14.20703125" customWidth="1"/>
    <col min="16" max="16" width="12.3125" customWidth="1"/>
    <col min="17" max="17" width="20.20703125" customWidth="1"/>
    <col min="20" max="20" width="12.15625" customWidth="1"/>
    <col min="21" max="21" width="18.20703125" customWidth="1"/>
  </cols>
  <sheetData>
    <row r="1" spans="1:21" ht="18.3" x14ac:dyDescent="0.7">
      <c r="A1" s="6" t="s">
        <v>115</v>
      </c>
      <c r="T1" s="31" t="s">
        <v>118</v>
      </c>
      <c r="U1">
        <v>2.614E-3</v>
      </c>
    </row>
    <row r="3" spans="1:21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2" t="s">
        <v>119</v>
      </c>
      <c r="F3" s="12" t="s">
        <v>120</v>
      </c>
      <c r="G3" s="12" t="s">
        <v>121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116</v>
      </c>
      <c r="Q3" s="12" t="s">
        <v>117</v>
      </c>
    </row>
    <row r="4" spans="1:21" x14ac:dyDescent="0.55000000000000004">
      <c r="A4" s="33">
        <v>1914</v>
      </c>
      <c r="B4" s="32"/>
      <c r="C4" s="32"/>
      <c r="D4" s="32"/>
      <c r="E4" s="33">
        <v>48.4</v>
      </c>
      <c r="F4" s="33">
        <v>31.5</v>
      </c>
      <c r="G4" s="32"/>
      <c r="H4" s="34"/>
      <c r="I4" s="36">
        <v>89296</v>
      </c>
      <c r="J4" s="32"/>
      <c r="K4" s="32"/>
      <c r="L4" s="32"/>
      <c r="M4" s="32"/>
      <c r="P4" s="32"/>
      <c r="Q4" s="32"/>
    </row>
    <row r="5" spans="1:21" x14ac:dyDescent="0.55000000000000004">
      <c r="A5" s="5">
        <v>1915</v>
      </c>
      <c r="B5" s="7">
        <v>35.9</v>
      </c>
      <c r="C5" s="7">
        <v>28.8</v>
      </c>
      <c r="D5" s="7">
        <f>B5-C5</f>
        <v>7.0999999999999979</v>
      </c>
      <c r="E5" s="35">
        <f>B5/Q5</f>
        <v>35.9</v>
      </c>
      <c r="F5" s="35">
        <f>C5*Q5</f>
        <v>28.8</v>
      </c>
      <c r="G5" s="30">
        <f>E5-F5</f>
        <v>7.0999999999999979</v>
      </c>
      <c r="H5" s="11">
        <v>-5</v>
      </c>
      <c r="I5" s="3">
        <v>90834</v>
      </c>
      <c r="J5" s="4">
        <f>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8">
        <f>P5*WEIGHT + 1</f>
        <v>1</v>
      </c>
    </row>
    <row r="6" spans="1:21" x14ac:dyDescent="0.55000000000000004">
      <c r="A6" s="5">
        <v>1916</v>
      </c>
      <c r="B6" s="7">
        <v>27.1</v>
      </c>
      <c r="C6" s="7">
        <v>25.4</v>
      </c>
      <c r="D6" s="7">
        <f t="shared" ref="D6:D16" si="0">B6-C6</f>
        <v>1.7000000000000028</v>
      </c>
      <c r="E6" s="35">
        <f t="shared" ref="E6:E16" si="1">B6/Q6</f>
        <v>27.1</v>
      </c>
      <c r="F6" s="35">
        <f t="shared" ref="F6:F16" si="2">C6*Q6</f>
        <v>25.4</v>
      </c>
      <c r="G6" s="30">
        <f t="shared" ref="G6:G16" si="3">E6-F6</f>
        <v>1.7000000000000028</v>
      </c>
      <c r="H6" s="11">
        <v>-5</v>
      </c>
      <c r="I6" s="4">
        <f>I5+M5+H5</f>
        <v>91464.705466725878</v>
      </c>
      <c r="J6" s="4">
        <f t="shared" ref="J6:J16" si="4">YearAveragePopulation(I6,D6,E6,H6)</f>
        <v>90310.397499466446</v>
      </c>
      <c r="K6" s="4">
        <f t="shared" ref="K6:K16" si="5">J6*E6/1000</f>
        <v>2447.4117722355409</v>
      </c>
      <c r="L6" s="4">
        <f t="shared" ref="L6:L16" si="6">J6*F6/1000</f>
        <v>2293.8840964864476</v>
      </c>
      <c r="M6" s="4">
        <f t="shared" ref="M6:M16" si="7">K6-L6</f>
        <v>153.52767574909331</v>
      </c>
      <c r="P6">
        <v>0</v>
      </c>
      <c r="Q6" s="28">
        <f>P6*WEIGHT + 1</f>
        <v>1</v>
      </c>
    </row>
    <row r="7" spans="1:21" x14ac:dyDescent="0.55000000000000004">
      <c r="A7" s="5">
        <v>1917</v>
      </c>
      <c r="B7" s="7">
        <v>26.3</v>
      </c>
      <c r="C7" s="7">
        <v>29.1</v>
      </c>
      <c r="D7" s="7">
        <f t="shared" si="0"/>
        <v>-2.8000000000000007</v>
      </c>
      <c r="E7" s="35">
        <f t="shared" si="1"/>
        <v>26.3</v>
      </c>
      <c r="F7" s="35">
        <f t="shared" si="2"/>
        <v>29.1</v>
      </c>
      <c r="G7" s="30">
        <f t="shared" si="3"/>
        <v>-2.8000000000000007</v>
      </c>
      <c r="H7" s="11">
        <v>-25</v>
      </c>
      <c r="I7" s="4">
        <f t="shared" ref="I7:I17" si="8">I6+M6+H6</f>
        <v>91613.233142474972</v>
      </c>
      <c r="J7" s="4">
        <f t="shared" si="4"/>
        <v>90280.717287198233</v>
      </c>
      <c r="K7" s="4">
        <f t="shared" si="5"/>
        <v>2374.3828646533134</v>
      </c>
      <c r="L7" s="4">
        <f t="shared" si="6"/>
        <v>2627.1688730574688</v>
      </c>
      <c r="M7" s="4">
        <f t="shared" si="7"/>
        <v>-252.78600840415538</v>
      </c>
      <c r="P7">
        <v>0</v>
      </c>
      <c r="Q7" s="28">
        <f>P7*WEIGHT + 1</f>
        <v>1</v>
      </c>
    </row>
    <row r="8" spans="1:21" x14ac:dyDescent="0.55000000000000004">
      <c r="A8" s="5">
        <v>1918</v>
      </c>
      <c r="B8" s="7">
        <v>34.700000000000003</v>
      </c>
      <c r="C8" s="7">
        <v>44.2</v>
      </c>
      <c r="D8" s="7">
        <f t="shared" si="0"/>
        <v>-9.5</v>
      </c>
      <c r="E8" s="35">
        <f t="shared" si="1"/>
        <v>33.984866646615274</v>
      </c>
      <c r="F8" s="35">
        <f t="shared" si="2"/>
        <v>45.130087340000003</v>
      </c>
      <c r="G8" s="30">
        <f t="shared" si="3"/>
        <v>-11.145220693384729</v>
      </c>
      <c r="H8" s="11">
        <v>-220</v>
      </c>
      <c r="I8" s="4">
        <f t="shared" si="8"/>
        <v>91335.447134070811</v>
      </c>
      <c r="J8" s="4">
        <f t="shared" si="4"/>
        <v>89269.644179243973</v>
      </c>
      <c r="K8" s="4">
        <f t="shared" si="5"/>
        <v>3033.8169530224018</v>
      </c>
      <c r="L8" s="4">
        <f t="shared" si="6"/>
        <v>4028.7468386200035</v>
      </c>
      <c r="M8" s="4">
        <f t="shared" si="7"/>
        <v>-994.9298855976017</v>
      </c>
      <c r="P8" s="2">
        <v>8.0499999999999972</v>
      </c>
      <c r="Q8" s="28">
        <f>P8*WEIGHT + 1</f>
        <v>1.0210427</v>
      </c>
    </row>
    <row r="9" spans="1:21" x14ac:dyDescent="0.55000000000000004">
      <c r="A9" s="5">
        <v>1919</v>
      </c>
      <c r="B9" s="7">
        <v>31.7</v>
      </c>
      <c r="C9" s="7">
        <v>46.7</v>
      </c>
      <c r="D9" s="7">
        <f t="shared" si="0"/>
        <v>-15.000000000000004</v>
      </c>
      <c r="E9" s="35">
        <f t="shared" si="1"/>
        <v>28.852844576461628</v>
      </c>
      <c r="F9" s="35">
        <f t="shared" si="2"/>
        <v>51.308285950000005</v>
      </c>
      <c r="G9" s="30">
        <f t="shared" si="3"/>
        <v>-22.455441373538378</v>
      </c>
      <c r="H9" s="11">
        <v>-270</v>
      </c>
      <c r="I9" s="4">
        <f t="shared" si="8"/>
        <v>90120.517248473203</v>
      </c>
      <c r="J9" s="4">
        <f t="shared" si="4"/>
        <v>88040.019457205737</v>
      </c>
      <c r="K9" s="4">
        <f t="shared" si="5"/>
        <v>2540.2049979074145</v>
      </c>
      <c r="L9" s="4">
        <f t="shared" si="6"/>
        <v>4517.1824933538765</v>
      </c>
      <c r="M9" s="4">
        <f t="shared" si="7"/>
        <v>-1976.9774954464619</v>
      </c>
      <c r="P9" s="2">
        <v>37.75</v>
      </c>
      <c r="Q9" s="28">
        <f>P9*WEIGHT + 1</f>
        <v>1.0986785000000001</v>
      </c>
    </row>
    <row r="10" spans="1:21" x14ac:dyDescent="0.55000000000000004">
      <c r="A10" s="5">
        <v>1920</v>
      </c>
      <c r="B10" s="7">
        <v>32.200000000000003</v>
      </c>
      <c r="C10" s="7">
        <v>43.3</v>
      </c>
      <c r="D10" s="7">
        <f t="shared" si="0"/>
        <v>-11.099999999999994</v>
      </c>
      <c r="E10" s="35">
        <f t="shared" si="1"/>
        <v>29.096792196131901</v>
      </c>
      <c r="F10" s="35">
        <f t="shared" si="2"/>
        <v>47.917996959999996</v>
      </c>
      <c r="G10" s="30">
        <f t="shared" si="3"/>
        <v>-18.821204763868096</v>
      </c>
      <c r="H10" s="11">
        <v>-390</v>
      </c>
      <c r="I10" s="4">
        <f t="shared" si="8"/>
        <v>87873.539753026736</v>
      </c>
      <c r="J10" s="4">
        <f t="shared" si="4"/>
        <v>85938.437465402298</v>
      </c>
      <c r="K10" s="4">
        <f t="shared" si="5"/>
        <v>2500.5328565910868</v>
      </c>
      <c r="L10" s="4">
        <f t="shared" si="6"/>
        <v>4117.9977852142974</v>
      </c>
      <c r="M10" s="4">
        <f t="shared" si="7"/>
        <v>-1617.4649286232107</v>
      </c>
      <c r="P10" s="2">
        <v>40.799999999999997</v>
      </c>
      <c r="Q10" s="28">
        <f>P10*WEIGHT + 1</f>
        <v>1.1066511999999999</v>
      </c>
    </row>
    <row r="11" spans="1:21" x14ac:dyDescent="0.55000000000000004">
      <c r="A11" s="5">
        <v>1921</v>
      </c>
      <c r="B11" s="7">
        <v>37.299999999999997</v>
      </c>
      <c r="C11" s="7">
        <v>29.7</v>
      </c>
      <c r="D11" s="7">
        <f t="shared" si="0"/>
        <v>7.5999999999999979</v>
      </c>
      <c r="E11" s="35">
        <f t="shared" si="1"/>
        <v>35.99223648423974</v>
      </c>
      <c r="F11" s="35">
        <f t="shared" si="2"/>
        <v>30.77913762</v>
      </c>
      <c r="G11" s="30">
        <f t="shared" si="3"/>
        <v>5.2130988642397398</v>
      </c>
      <c r="H11" s="11">
        <v>-150</v>
      </c>
      <c r="I11" s="4">
        <f t="shared" si="8"/>
        <v>85866.07482440352</v>
      </c>
      <c r="J11" s="4">
        <f t="shared" si="4"/>
        <v>84584.269626622117</v>
      </c>
      <c r="K11" s="4">
        <f t="shared" si="5"/>
        <v>3044.3770352480797</v>
      </c>
      <c r="L11" s="4">
        <f t="shared" si="6"/>
        <v>2603.4308753249884</v>
      </c>
      <c r="M11" s="4">
        <f t="shared" si="7"/>
        <v>440.94615992309127</v>
      </c>
      <c r="P11" s="2">
        <v>13.899999999999999</v>
      </c>
      <c r="Q11" s="28">
        <f>P11*WEIGHT + 1</f>
        <v>1.0363346</v>
      </c>
    </row>
    <row r="12" spans="1:21" x14ac:dyDescent="0.55000000000000004">
      <c r="A12" s="5">
        <v>1922</v>
      </c>
      <c r="B12" s="7">
        <v>38.200000000000003</v>
      </c>
      <c r="C12" s="7">
        <v>29.6</v>
      </c>
      <c r="D12" s="7">
        <f t="shared" si="0"/>
        <v>8.6000000000000014</v>
      </c>
      <c r="E12" s="35">
        <f t="shared" si="1"/>
        <v>35.927283178846018</v>
      </c>
      <c r="F12" s="35">
        <f t="shared" si="2"/>
        <v>31.472460480000002</v>
      </c>
      <c r="G12" s="30">
        <f t="shared" si="3"/>
        <v>4.4548226988460158</v>
      </c>
      <c r="H12" s="11">
        <v>-55</v>
      </c>
      <c r="I12" s="4">
        <f t="shared" si="8"/>
        <v>86157.020984326606</v>
      </c>
      <c r="J12" s="4">
        <f t="shared" si="4"/>
        <v>84963.201661335988</v>
      </c>
      <c r="K12" s="4">
        <f t="shared" si="5"/>
        <v>3052.4970058682184</v>
      </c>
      <c r="L12" s="4">
        <f t="shared" si="6"/>
        <v>2674.0010065406673</v>
      </c>
      <c r="M12" s="4">
        <f t="shared" si="7"/>
        <v>378.49599932755109</v>
      </c>
      <c r="P12" s="2">
        <v>24.200000000000003</v>
      </c>
      <c r="Q12" s="28">
        <f>P12*WEIGHT + 1</f>
        <v>1.0632588000000001</v>
      </c>
    </row>
    <row r="13" spans="1:21" x14ac:dyDescent="0.55000000000000004">
      <c r="A13" s="5">
        <v>1923</v>
      </c>
      <c r="B13" s="7">
        <v>45.5</v>
      </c>
      <c r="C13" s="7">
        <v>25.5</v>
      </c>
      <c r="D13" s="7">
        <f t="shared" si="0"/>
        <v>20</v>
      </c>
      <c r="E13" s="35">
        <f t="shared" si="1"/>
        <v>45.5</v>
      </c>
      <c r="F13" s="35">
        <f t="shared" si="2"/>
        <v>25.5</v>
      </c>
      <c r="G13" s="30">
        <f t="shared" si="3"/>
        <v>20</v>
      </c>
      <c r="H13" s="11">
        <v>-20</v>
      </c>
      <c r="I13" s="4">
        <f t="shared" si="8"/>
        <v>86480.516983654161</v>
      </c>
      <c r="J13" s="4">
        <f t="shared" si="4"/>
        <v>85377.287733866513</v>
      </c>
      <c r="K13" s="4">
        <f t="shared" si="5"/>
        <v>3884.6665918909266</v>
      </c>
      <c r="L13" s="4">
        <f t="shared" si="6"/>
        <v>2177.1208372135957</v>
      </c>
      <c r="M13" s="4">
        <f t="shared" si="7"/>
        <v>1707.5457546773309</v>
      </c>
      <c r="P13" s="2">
        <v>0</v>
      </c>
      <c r="Q13" s="28">
        <f>P13*WEIGHT + 1</f>
        <v>1</v>
      </c>
    </row>
    <row r="14" spans="1:21" x14ac:dyDescent="0.55000000000000004">
      <c r="A14" s="5">
        <v>1924</v>
      </c>
      <c r="B14" s="7">
        <v>42.2</v>
      </c>
      <c r="C14" s="7">
        <v>23.5</v>
      </c>
      <c r="D14" s="7">
        <f t="shared" si="0"/>
        <v>18.700000000000003</v>
      </c>
      <c r="E14" s="35">
        <f t="shared" si="1"/>
        <v>42.2</v>
      </c>
      <c r="F14" s="35">
        <f t="shared" si="2"/>
        <v>23.5</v>
      </c>
      <c r="G14" s="30">
        <f t="shared" si="3"/>
        <v>18.700000000000003</v>
      </c>
      <c r="H14" s="11">
        <v>-10</v>
      </c>
      <c r="I14" s="4">
        <f t="shared" si="8"/>
        <v>88168.062738331486</v>
      </c>
      <c r="J14" s="4">
        <f t="shared" si="4"/>
        <v>87135.194621020666</v>
      </c>
      <c r="K14" s="4">
        <f t="shared" si="5"/>
        <v>3677.1052130070725</v>
      </c>
      <c r="L14" s="4">
        <f t="shared" si="6"/>
        <v>2047.6770735939858</v>
      </c>
      <c r="M14" s="4">
        <f t="shared" si="7"/>
        <v>1629.4281394130867</v>
      </c>
      <c r="P14" s="2">
        <v>0</v>
      </c>
      <c r="Q14" s="28">
        <f>P14*WEIGHT + 1</f>
        <v>1</v>
      </c>
    </row>
    <row r="15" spans="1:21" x14ac:dyDescent="0.55000000000000004">
      <c r="A15" s="5">
        <v>1925</v>
      </c>
      <c r="B15" s="7">
        <v>43.9</v>
      </c>
      <c r="C15" s="7">
        <v>24.5</v>
      </c>
      <c r="D15" s="7">
        <f t="shared" si="0"/>
        <v>19.399999999999999</v>
      </c>
      <c r="E15" s="35">
        <f t="shared" si="1"/>
        <v>43.9</v>
      </c>
      <c r="F15" s="35">
        <f t="shared" si="2"/>
        <v>24.5</v>
      </c>
      <c r="G15" s="30">
        <f t="shared" si="3"/>
        <v>19.399999999999999</v>
      </c>
      <c r="H15" s="11">
        <v>-5</v>
      </c>
      <c r="I15" s="4">
        <f t="shared" si="8"/>
        <v>89787.490877744567</v>
      </c>
      <c r="J15" s="4">
        <f t="shared" si="4"/>
        <v>88694.042147687564</v>
      </c>
      <c r="K15" s="4">
        <f t="shared" si="5"/>
        <v>3893.6684502834842</v>
      </c>
      <c r="L15" s="4">
        <f t="shared" si="6"/>
        <v>2173.0040326183453</v>
      </c>
      <c r="M15" s="4">
        <f t="shared" si="7"/>
        <v>1720.6644176651389</v>
      </c>
      <c r="P15" s="2">
        <v>0</v>
      </c>
      <c r="Q15" s="28">
        <f>P15*WEIGHT + 1</f>
        <v>1</v>
      </c>
    </row>
    <row r="16" spans="1:21" x14ac:dyDescent="0.55000000000000004">
      <c r="A16" s="5">
        <v>1926</v>
      </c>
      <c r="B16" s="7">
        <v>42.5</v>
      </c>
      <c r="C16" s="7">
        <v>21.5</v>
      </c>
      <c r="D16" s="7">
        <f t="shared" si="0"/>
        <v>21</v>
      </c>
      <c r="E16" s="35">
        <f t="shared" si="1"/>
        <v>42.5</v>
      </c>
      <c r="F16" s="35">
        <f t="shared" si="2"/>
        <v>21.5</v>
      </c>
      <c r="G16" s="30">
        <f t="shared" si="3"/>
        <v>21</v>
      </c>
      <c r="H16" s="7">
        <v>0</v>
      </c>
      <c r="I16" s="4">
        <f t="shared" si="8"/>
        <v>91503.155295409699</v>
      </c>
      <c r="J16" s="4">
        <f t="shared" si="4"/>
        <v>90526.508202562603</v>
      </c>
      <c r="K16" s="4">
        <f t="shared" si="5"/>
        <v>3847.3765986089106</v>
      </c>
      <c r="L16" s="4">
        <f t="shared" si="6"/>
        <v>1946.319926355096</v>
      </c>
      <c r="M16" s="4">
        <f t="shared" si="7"/>
        <v>1901.0566722538147</v>
      </c>
      <c r="P16" s="2">
        <v>0</v>
      </c>
      <c r="Q16" s="28">
        <f>P16*WEIGHT + 1</f>
        <v>1</v>
      </c>
    </row>
    <row r="17" spans="1:9" x14ac:dyDescent="0.55000000000000004">
      <c r="A17" s="5">
        <v>1927</v>
      </c>
      <c r="I17" s="4">
        <f t="shared" si="8"/>
        <v>93404.211967663519</v>
      </c>
    </row>
    <row r="19" spans="1:9" x14ac:dyDescent="0.55000000000000004">
      <c r="A19" s="15" t="s">
        <v>31</v>
      </c>
      <c r="I19">
        <v>93604</v>
      </c>
    </row>
    <row r="20" spans="1:9" x14ac:dyDescent="0.55000000000000004">
      <c r="A20" s="15" t="s">
        <v>33</v>
      </c>
      <c r="I20">
        <v>200</v>
      </c>
    </row>
    <row r="21" spans="1:9" x14ac:dyDescent="0.55000000000000004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A2" sqref="A2"/>
    </sheetView>
  </sheetViews>
  <sheetFormatPr defaultRowHeight="14.4" x14ac:dyDescent="0.55000000000000004"/>
  <sheetData>
    <row r="1" spans="1:10" ht="18.3" x14ac:dyDescent="0.7">
      <c r="A1" s="6" t="s">
        <v>112</v>
      </c>
    </row>
    <row r="3" spans="1:10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55000000000000004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55000000000000004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55000000000000004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55000000000000004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55000000000000004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55000000000000004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55000000000000004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55000000000000004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55000000000000004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55000000000000004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55000000000000004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55000000000000004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55000000000000004">
      <c r="A16">
        <v>1927</v>
      </c>
      <c r="F16" s="4">
        <f t="shared" si="5"/>
        <v>94768.024461170964</v>
      </c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4.4" x14ac:dyDescent="0.55000000000000004"/>
  <sheetData>
    <row r="1" spans="1:10" ht="18.3" x14ac:dyDescent="0.7">
      <c r="A1" s="6" t="s">
        <v>113</v>
      </c>
    </row>
    <row r="3" spans="1:10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55000000000000004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55000000000000004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55000000000000004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55000000000000004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55000000000000004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55000000000000004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55000000000000004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55000000000000004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55000000000000004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55000000000000004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55000000000000004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55000000000000004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55000000000000004">
      <c r="A16">
        <v>1927</v>
      </c>
      <c r="F16" s="4">
        <f t="shared" si="5"/>
        <v>91532.221688388454</v>
      </c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4.4" x14ac:dyDescent="0.55000000000000004"/>
  <sheetData>
    <row r="1" spans="1:12" ht="18.3" x14ac:dyDescent="0.7">
      <c r="A1" s="6" t="s">
        <v>114</v>
      </c>
    </row>
    <row r="3" spans="1:12" x14ac:dyDescent="0.55000000000000004">
      <c r="A3" s="25" t="s">
        <v>3</v>
      </c>
      <c r="B3" s="23"/>
      <c r="C3" s="23"/>
      <c r="D3" s="23"/>
      <c r="E3" s="23"/>
      <c r="F3" s="24"/>
      <c r="G3" s="24"/>
      <c r="H3" s="24"/>
      <c r="I3" s="24"/>
      <c r="K3" s="26" t="s">
        <v>35</v>
      </c>
      <c r="L3" s="26"/>
    </row>
    <row r="4" spans="1:12" x14ac:dyDescent="0.55000000000000004">
      <c r="A4" s="2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55000000000000004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55000000000000004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55000000000000004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55000000000000004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55000000000000004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55000000000000004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55000000000000004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55000000000000004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55000000000000004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55000000000000004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55000000000000004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55000000000000004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55000000000000004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55000000000000004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55000000000000004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55000000000000004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55000000000000004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55000000000000004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55000000000000004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55000000000000004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55000000000000004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55000000000000004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55000000000000004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55000000000000004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55000000000000004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55000000000000004">
      <c r="A32">
        <v>1927</v>
      </c>
      <c r="F32" s="4">
        <f t="shared" si="7"/>
        <v>91068.722869060759</v>
      </c>
    </row>
    <row r="34" spans="1:6" x14ac:dyDescent="0.55000000000000004">
      <c r="A34" s="15" t="s">
        <v>31</v>
      </c>
      <c r="F34">
        <v>93604</v>
      </c>
    </row>
    <row r="35" spans="1:6" x14ac:dyDescent="0.55000000000000004">
      <c r="A35" s="15" t="s">
        <v>33</v>
      </c>
      <c r="F35">
        <v>200</v>
      </c>
    </row>
    <row r="36" spans="1:6" x14ac:dyDescent="0.55000000000000004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P18" sqref="P18"/>
    </sheetView>
  </sheetViews>
  <sheetFormatPr defaultRowHeight="14.4" x14ac:dyDescent="0.55000000000000004"/>
  <cols>
    <col min="14" max="14" width="14.83984375" customWidth="1"/>
  </cols>
  <sheetData>
    <row r="2" spans="1:17" x14ac:dyDescent="0.55000000000000004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55000000000000004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55000000000000004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55000000000000004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55000000000000004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55000000000000004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55000000000000004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55000000000000004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55000000000000004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55000000000000004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55000000000000004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55000000000000004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55000000000000004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55000000000000004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topLeftCell="A172" workbookViewId="0">
      <selection activeCell="A5" sqref="A5:B8"/>
    </sheetView>
  </sheetViews>
  <sheetFormatPr defaultRowHeight="14.4" x14ac:dyDescent="0.55000000000000004"/>
  <cols>
    <col min="1" max="1" width="21.1015625" customWidth="1"/>
  </cols>
  <sheetData>
    <row r="1" spans="1:14" x14ac:dyDescent="0.55000000000000004">
      <c r="A1" s="22" t="s">
        <v>92</v>
      </c>
    </row>
    <row r="2" spans="1:14" x14ac:dyDescent="0.55000000000000004">
      <c r="A2" t="s">
        <v>93</v>
      </c>
    </row>
    <row r="3" spans="1:14" x14ac:dyDescent="0.55000000000000004">
      <c r="A3" t="s">
        <v>94</v>
      </c>
    </row>
    <row r="5" spans="1:14" x14ac:dyDescent="0.55000000000000004">
      <c r="A5" t="s">
        <v>99</v>
      </c>
      <c r="B5" t="s">
        <v>95</v>
      </c>
    </row>
    <row r="6" spans="1:14" x14ac:dyDescent="0.55000000000000004">
      <c r="B6" t="s">
        <v>98</v>
      </c>
    </row>
    <row r="7" spans="1:14" x14ac:dyDescent="0.55000000000000004">
      <c r="B7" t="s">
        <v>96</v>
      </c>
    </row>
    <row r="8" spans="1:14" x14ac:dyDescent="0.55000000000000004">
      <c r="B8" t="s">
        <v>97</v>
      </c>
    </row>
    <row r="10" spans="1:14" x14ac:dyDescent="0.55000000000000004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55000000000000004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55000000000000004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55000000000000004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55000000000000004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55000000000000004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55000000000000004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55000000000000004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55000000000000004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55000000000000004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55000000000000004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55000000000000004">
      <c r="B21" s="3">
        <v>77431</v>
      </c>
      <c r="C21" s="3">
        <v>77745</v>
      </c>
      <c r="D21" s="3">
        <v>79202</v>
      </c>
    </row>
    <row r="22" spans="1:14" x14ac:dyDescent="0.55000000000000004">
      <c r="B22" s="3">
        <v>25223</v>
      </c>
      <c r="C22" s="3">
        <v>24652</v>
      </c>
      <c r="D22" s="3">
        <v>21669</v>
      </c>
    </row>
    <row r="23" spans="1:14" x14ac:dyDescent="0.55000000000000004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55000000000000004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55000000000000004">
      <c r="B25" s="3">
        <v>34870</v>
      </c>
      <c r="C25" s="3">
        <v>33490</v>
      </c>
      <c r="D25" s="3">
        <v>34087</v>
      </c>
    </row>
    <row r="26" spans="1:14" x14ac:dyDescent="0.55000000000000004">
      <c r="B26" s="3">
        <v>27635</v>
      </c>
      <c r="C26" s="3">
        <v>24182</v>
      </c>
      <c r="D26" s="3">
        <v>26422</v>
      </c>
    </row>
    <row r="27" spans="1:14" x14ac:dyDescent="0.55000000000000004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55000000000000004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55000000000000004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55000000000000004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55000000000000004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55000000000000004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55000000000000004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55000000000000004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55000000000000004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55000000000000004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55000000000000004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55000000000000004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55000000000000004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55000000000000004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55000000000000004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55000000000000004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55000000000000004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55000000000000004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55000000000000004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55000000000000004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55000000000000004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55000000000000004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55000000000000004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55000000000000004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55000000000000004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55000000000000004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55000000000000004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55000000000000004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55000000000000004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55000000000000004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55000000000000004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55000000000000004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55000000000000004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55000000000000004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55000000000000004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55000000000000004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55000000000000004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55000000000000004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55000000000000004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55000000000000004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55000000000000004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55000000000000004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55000000000000004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55000000000000004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55000000000000004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55000000000000004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55000000000000004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55000000000000004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55000000000000004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55000000000000004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55000000000000004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55000000000000004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55000000000000004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55000000000000004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55000000000000004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55000000000000004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55000000000000004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55000000000000004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55000000000000004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55000000000000004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55000000000000004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55000000000000004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55000000000000004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55000000000000004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55000000000000004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55000000000000004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55000000000000004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55000000000000004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55000000000000004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55000000000000004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55000000000000004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55000000000000004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55000000000000004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55000000000000004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55000000000000004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55000000000000004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55000000000000004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55000000000000004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55000000000000004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55000000000000004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55000000000000004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55000000000000004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55000000000000004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55000000000000004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55000000000000004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55000000000000004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55000000000000004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55000000000000004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55000000000000004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55000000000000004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55000000000000004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55000000000000004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55000000000000004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55000000000000004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55000000000000004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55000000000000004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55000000000000004">
      <c r="A123" t="s">
        <v>101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55000000000000004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55000000000000004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55000000000000004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55000000000000004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55000000000000004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55000000000000004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55000000000000004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55000000000000004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55000000000000004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55000000000000004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55000000000000004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55000000000000004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55000000000000004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55000000000000004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55000000000000004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55000000000000004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55000000000000004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55000000000000004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55000000000000004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55000000000000004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55000000000000004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55000000000000004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55000000000000004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55000000000000004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55000000000000004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55000000000000004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55000000000000004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55000000000000004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55000000000000004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55000000000000004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55000000000000004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55000000000000004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55000000000000004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55000000000000004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55000000000000004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55000000000000004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55000000000000004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55000000000000004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55000000000000004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55000000000000004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55000000000000004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55000000000000004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55000000000000004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55000000000000004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55000000000000004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55000000000000004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55000000000000004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55000000000000004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55000000000000004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55000000000000004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55000000000000004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55000000000000004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55000000000000004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55000000000000004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55000000000000004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55000000000000004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55000000000000004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55000000000000004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55000000000000004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55000000000000004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55000000000000004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55000000000000004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55000000000000004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55000000000000004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55000000000000004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55000000000000004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55000000000000004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55000000000000004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55000000000000004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55000000000000004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55000000000000004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55000000000000004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55000000000000004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55000000000000004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55000000000000004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55000000000000004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55000000000000004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55000000000000004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55000000000000004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55000000000000004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55000000000000004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55000000000000004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55000000000000004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55000000000000004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55000000000000004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55000000000000004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55000000000000004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55000000000000004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55000000000000004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55000000000000004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55000000000000004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55000000000000004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55000000000000004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55000000000000004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55000000000000004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55000000000000004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/>
  </sheetViews>
  <sheetFormatPr defaultRowHeight="14.4" x14ac:dyDescent="0.55000000000000004"/>
  <cols>
    <col min="1" max="1" width="16.47265625" customWidth="1"/>
  </cols>
  <sheetData>
    <row r="1" spans="1:7" ht="18.3" x14ac:dyDescent="0.7">
      <c r="A1" s="6" t="s">
        <v>100</v>
      </c>
    </row>
    <row r="2" spans="1:7" x14ac:dyDescent="0.55000000000000004">
      <c r="A2" s="20"/>
    </row>
    <row r="3" spans="1:7" x14ac:dyDescent="0.55000000000000004">
      <c r="A3" t="s">
        <v>99</v>
      </c>
      <c r="B3" t="s">
        <v>95</v>
      </c>
    </row>
    <row r="4" spans="1:7" x14ac:dyDescent="0.55000000000000004">
      <c r="B4" t="s">
        <v>98</v>
      </c>
    </row>
    <row r="5" spans="1:7" x14ac:dyDescent="0.55000000000000004">
      <c r="B5" t="s">
        <v>96</v>
      </c>
    </row>
    <row r="6" spans="1:7" x14ac:dyDescent="0.55000000000000004">
      <c r="B6" t="s">
        <v>97</v>
      </c>
    </row>
    <row r="8" spans="1:7" x14ac:dyDescent="0.55000000000000004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55000000000000004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55000000000000004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55000000000000004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55000000000000004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55000000000000004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55000000000000004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55000000000000004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55000000000000004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55000000000000004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55000000000000004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55000000000000004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55000000000000004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55000000000000004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55000000000000004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55000000000000004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55000000000000004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55000000000000004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55000000000000004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55000000000000004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55000000000000004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55000000000000004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55000000000000004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55000000000000004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55000000000000004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55000000000000004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55000000000000004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55000000000000004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55000000000000004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55000000000000004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55000000000000004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55000000000000004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55000000000000004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55000000000000004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55000000000000004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55000000000000004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55000000000000004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55000000000000004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55000000000000004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55000000000000004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55000000000000004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55000000000000004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55000000000000004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55000000000000004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55000000000000004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55000000000000004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55000000000000004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55000000000000004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55000000000000004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55000000000000004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55000000000000004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55000000000000004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55000000000000004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55000000000000004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55000000000000004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55000000000000004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55000000000000004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55000000000000004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55000000000000004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55000000000000004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55000000000000004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55000000000000004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55000000000000004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55000000000000004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55000000000000004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55000000000000004">
      <c r="A73" t="s">
        <v>101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55000000000000004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55000000000000004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55000000000000004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55000000000000004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55000000000000004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55000000000000004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55000000000000004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55000000000000004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55000000000000004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55000000000000004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55000000000000004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55000000000000004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55000000000000004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55000000000000004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55000000000000004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55000000000000004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55000000000000004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55000000000000004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55000000000000004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55000000000000004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55000000000000004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55000000000000004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55000000000000004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55000000000000004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55000000000000004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55000000000000004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55000000000000004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55000000000000004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55000000000000004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55000000000000004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55000000000000004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55000000000000004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55000000000000004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55000000000000004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55000000000000004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55000000000000004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55000000000000004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55000000000000004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55000000000000004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55000000000000004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55000000000000004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55000000000000004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55000000000000004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55000000000000004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55000000000000004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55000000000000004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55000000000000004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55000000000000004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55000000000000004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55000000000000004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55000000000000004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55000000000000004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55000000000000004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55000000000000004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55000000000000004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55000000000000004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55000000000000004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55000000000000004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55000000000000004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55000000000000004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55000000000000004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55000000000000004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55000000000000004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55000000000000004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55000000000000004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55000000000000004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55000000000000004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G44"/>
  <sheetViews>
    <sheetView workbookViewId="0">
      <selection activeCell="A3" sqref="A3:G12"/>
    </sheetView>
  </sheetViews>
  <sheetFormatPr defaultRowHeight="14.4" x14ac:dyDescent="0.55000000000000004"/>
  <cols>
    <col min="1" max="1" width="20.5234375" customWidth="1"/>
  </cols>
  <sheetData>
    <row r="1" spans="1:7" ht="18.3" x14ac:dyDescent="0.7">
      <c r="A1" s="6" t="s">
        <v>103</v>
      </c>
    </row>
    <row r="3" spans="1:7" x14ac:dyDescent="0.55000000000000004">
      <c r="A3" s="20" t="s">
        <v>102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55000000000000004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</row>
    <row r="5" spans="1:7" x14ac:dyDescent="0.55000000000000004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</row>
    <row r="6" spans="1:7" x14ac:dyDescent="0.55000000000000004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</row>
    <row r="7" spans="1:7" x14ac:dyDescent="0.55000000000000004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</row>
    <row r="8" spans="1:7" x14ac:dyDescent="0.55000000000000004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</row>
    <row r="9" spans="1:7" x14ac:dyDescent="0.55000000000000004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</row>
    <row r="10" spans="1:7" x14ac:dyDescent="0.55000000000000004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</row>
    <row r="11" spans="1:7" x14ac:dyDescent="0.55000000000000004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</row>
    <row r="12" spans="1:7" x14ac:dyDescent="0.55000000000000004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</row>
    <row r="13" spans="1:7" x14ac:dyDescent="0.55000000000000004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</row>
    <row r="14" spans="1:7" x14ac:dyDescent="0.55000000000000004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</row>
    <row r="15" spans="1:7" x14ac:dyDescent="0.55000000000000004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</row>
    <row r="16" spans="1:7" x14ac:dyDescent="0.55000000000000004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</row>
    <row r="17" spans="1:7" x14ac:dyDescent="0.55000000000000004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</row>
    <row r="18" spans="1:7" x14ac:dyDescent="0.55000000000000004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</row>
    <row r="19" spans="1:7" x14ac:dyDescent="0.55000000000000004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</row>
    <row r="20" spans="1:7" x14ac:dyDescent="0.55000000000000004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</row>
    <row r="21" spans="1:7" x14ac:dyDescent="0.55000000000000004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</row>
    <row r="22" spans="1:7" x14ac:dyDescent="0.55000000000000004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</row>
    <row r="23" spans="1:7" x14ac:dyDescent="0.55000000000000004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</row>
    <row r="24" spans="1:7" x14ac:dyDescent="0.55000000000000004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</row>
    <row r="25" spans="1:7" x14ac:dyDescent="0.55000000000000004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</row>
    <row r="26" spans="1:7" x14ac:dyDescent="0.55000000000000004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</row>
    <row r="27" spans="1:7" x14ac:dyDescent="0.55000000000000004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</row>
    <row r="28" spans="1:7" x14ac:dyDescent="0.55000000000000004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</row>
    <row r="29" spans="1:7" x14ac:dyDescent="0.55000000000000004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</row>
    <row r="30" spans="1:7" x14ac:dyDescent="0.55000000000000004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</row>
    <row r="31" spans="1:7" x14ac:dyDescent="0.55000000000000004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</row>
    <row r="32" spans="1:7" x14ac:dyDescent="0.55000000000000004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</row>
    <row r="33" spans="1:7" x14ac:dyDescent="0.55000000000000004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</row>
    <row r="34" spans="1:7" x14ac:dyDescent="0.55000000000000004">
      <c r="A34" t="s">
        <v>101</v>
      </c>
      <c r="B34" s="3">
        <v>113025</v>
      </c>
      <c r="C34" s="3">
        <v>120509</v>
      </c>
      <c r="D34" s="3">
        <v>119297</v>
      </c>
      <c r="E34" s="3"/>
      <c r="F34" s="3"/>
      <c r="G34" s="3"/>
    </row>
    <row r="35" spans="1:7" x14ac:dyDescent="0.55000000000000004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</row>
    <row r="36" spans="1:7" x14ac:dyDescent="0.55000000000000004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40" spans="1:7" x14ac:dyDescent="0.55000000000000004">
      <c r="A40" s="27" t="s">
        <v>3</v>
      </c>
      <c r="B40" s="20" t="s">
        <v>104</v>
      </c>
      <c r="C40" s="20" t="s">
        <v>105</v>
      </c>
      <c r="D40" s="20" t="s">
        <v>106</v>
      </c>
      <c r="F40" s="20" t="s">
        <v>107</v>
      </c>
    </row>
    <row r="41" spans="1:7" x14ac:dyDescent="0.55000000000000004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7" x14ac:dyDescent="0.55000000000000004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0">B42/C42*100</f>
        <v>86.958967191137276</v>
      </c>
      <c r="F42" s="2">
        <f t="shared" ref="F42:F44" si="1">D42*48.8/100</f>
        <v>42.435975989274986</v>
      </c>
    </row>
    <row r="43" spans="1:7" x14ac:dyDescent="0.55000000000000004">
      <c r="A43">
        <v>1916</v>
      </c>
      <c r="B43" s="3">
        <f>SUM(F4:F21)</f>
        <v>1154304</v>
      </c>
      <c r="C43" s="3">
        <f>SUM(C4:C21)</f>
        <v>1750427</v>
      </c>
      <c r="D43" s="2">
        <f t="shared" si="0"/>
        <v>65.944138201707361</v>
      </c>
      <c r="F43" s="2">
        <f t="shared" si="1"/>
        <v>32.180739442433193</v>
      </c>
    </row>
    <row r="44" spans="1:7" x14ac:dyDescent="0.55000000000000004">
      <c r="A44">
        <v>1917</v>
      </c>
      <c r="B44" s="3">
        <f>SUM(G4:G12)</f>
        <v>400369</v>
      </c>
      <c r="C44" s="3">
        <f>SUM(C4:C12)</f>
        <v>742806</v>
      </c>
      <c r="D44" s="2">
        <f t="shared" si="0"/>
        <v>53.899537698941579</v>
      </c>
      <c r="F44" s="2">
        <f t="shared" si="1"/>
        <v>26.302974397083489</v>
      </c>
    </row>
  </sheetData>
  <sortState xmlns:xlrd2="http://schemas.microsoft.com/office/spreadsheetml/2017/richdata2" ref="A23:E36">
    <sortCondition ref="E23:E3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44"/>
  <sheetViews>
    <sheetView workbookViewId="0">
      <selection activeCell="R36" sqref="R36"/>
    </sheetView>
  </sheetViews>
  <sheetFormatPr defaultRowHeight="14.4" x14ac:dyDescent="0.55000000000000004"/>
  <cols>
    <col min="1" max="1" width="19.89453125" customWidth="1"/>
  </cols>
  <sheetData>
    <row r="1" spans="1:7" ht="18.3" x14ac:dyDescent="0.7">
      <c r="A1" s="6" t="s">
        <v>108</v>
      </c>
    </row>
    <row r="3" spans="1:7" x14ac:dyDescent="0.55000000000000004">
      <c r="A3" s="20" t="s">
        <v>102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55000000000000004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55000000000000004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55000000000000004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55000000000000004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55000000000000004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55000000000000004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55000000000000004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55000000000000004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55000000000000004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55000000000000004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55000000000000004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55000000000000004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55000000000000004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55000000000000004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55000000000000004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55000000000000004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55000000000000004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55000000000000004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55000000000000004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55000000000000004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55000000000000004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55000000000000004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55000000000000004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55000000000000004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55000000000000004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55000000000000004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55000000000000004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55000000000000004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55000000000000004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55000000000000004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55000000000000004">
      <c r="A34" t="s">
        <v>101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55000000000000004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55000000000000004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40" spans="1:7" x14ac:dyDescent="0.55000000000000004">
      <c r="A40" s="27" t="s">
        <v>3</v>
      </c>
      <c r="B40" s="20" t="s">
        <v>104</v>
      </c>
      <c r="C40" s="20" t="s">
        <v>105</v>
      </c>
      <c r="D40" s="20" t="s">
        <v>106</v>
      </c>
    </row>
    <row r="41" spans="1:7" x14ac:dyDescent="0.55000000000000004">
      <c r="A41">
        <v>1914</v>
      </c>
      <c r="B41" s="3">
        <f>SUM(D4:D36)</f>
        <v>2189386</v>
      </c>
      <c r="C41" s="3">
        <f>SUM(C4:C36)</f>
        <v>2245542</v>
      </c>
      <c r="D41" s="2">
        <f>C41/B41*100</f>
        <v>102.56492002780688</v>
      </c>
    </row>
    <row r="42" spans="1:7" x14ac:dyDescent="0.55000000000000004">
      <c r="A42">
        <v>1915</v>
      </c>
      <c r="B42" s="3">
        <f>SUM(E4:E33)</f>
        <v>2079912</v>
      </c>
      <c r="C42" s="3">
        <f>SUM(C4:C33)</f>
        <v>2077769</v>
      </c>
      <c r="D42" s="2">
        <f t="shared" ref="D42:D44" si="0">C42/B42*100</f>
        <v>99.896966794749005</v>
      </c>
    </row>
    <row r="43" spans="1:7" x14ac:dyDescent="0.55000000000000004">
      <c r="A43">
        <v>1916</v>
      </c>
      <c r="B43" s="3">
        <f>SUM(F4:F18)</f>
        <v>748252</v>
      </c>
      <c r="C43" s="3">
        <f>SUM(C4:C18)</f>
        <v>849131</v>
      </c>
      <c r="D43" s="2">
        <f t="shared" si="0"/>
        <v>113.48195527709916</v>
      </c>
    </row>
    <row r="44" spans="1:7" x14ac:dyDescent="0.55000000000000004">
      <c r="A44">
        <v>1917</v>
      </c>
      <c r="B44" s="3">
        <f>SUM(G4:G11)</f>
        <v>364566</v>
      </c>
      <c r="C44" s="3">
        <f>SUM(C4:C11)</f>
        <v>426760</v>
      </c>
      <c r="D44" s="2">
        <f t="shared" si="0"/>
        <v>117.05973678291448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workbookViewId="0">
      <selection activeCell="AI31" sqref="AI31"/>
    </sheetView>
  </sheetViews>
  <sheetFormatPr defaultRowHeight="14.4" x14ac:dyDescent="0.55000000000000004"/>
  <sheetData>
    <row r="2" spans="1:11" x14ac:dyDescent="0.55000000000000004">
      <c r="A2" s="22" t="s">
        <v>110</v>
      </c>
    </row>
    <row r="4" spans="1:11" x14ac:dyDescent="0.55000000000000004">
      <c r="A4" s="20" t="s">
        <v>102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55000000000000004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55000000000000004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55000000000000004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55000000000000004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55000000000000004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55000000000000004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55000000000000004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55000000000000004">
      <c r="A13">
        <v>1913</v>
      </c>
      <c r="B13" s="28">
        <f>B6/B$6</f>
        <v>1</v>
      </c>
      <c r="C13" s="28">
        <f t="shared" ref="C13:J13" si="0">C6/C$6</f>
        <v>1</v>
      </c>
      <c r="D13" s="28">
        <f t="shared" si="0"/>
        <v>1</v>
      </c>
      <c r="E13" s="28">
        <f t="shared" si="0"/>
        <v>1</v>
      </c>
      <c r="F13" s="28">
        <f t="shared" si="0"/>
        <v>1</v>
      </c>
      <c r="G13" s="28">
        <f t="shared" si="0"/>
        <v>1</v>
      </c>
      <c r="H13" s="28">
        <f t="shared" si="0"/>
        <v>1</v>
      </c>
      <c r="I13" s="28">
        <f t="shared" si="0"/>
        <v>1</v>
      </c>
      <c r="J13" s="28">
        <f t="shared" si="0"/>
        <v>1</v>
      </c>
      <c r="K13" s="28">
        <f>AVERAGE(B13:J13)</f>
        <v>1</v>
      </c>
    </row>
    <row r="14" spans="1:11" x14ac:dyDescent="0.55000000000000004">
      <c r="A14">
        <v>1914</v>
      </c>
      <c r="B14" s="28">
        <f t="shared" ref="B14:J17" si="1">B7/B$6</f>
        <v>1.0426239124059047</v>
      </c>
      <c r="C14" s="28">
        <f t="shared" si="1"/>
        <v>1.0197501243526348</v>
      </c>
      <c r="D14" s="28">
        <f t="shared" si="1"/>
        <v>1.0259224760251497</v>
      </c>
      <c r="E14" s="28">
        <f t="shared" si="1"/>
        <v>0.99494958736664896</v>
      </c>
      <c r="F14" s="28">
        <f t="shared" si="1"/>
        <v>0.98585903327611979</v>
      </c>
      <c r="G14" s="28">
        <f t="shared" si="1"/>
        <v>0.98762354198201407</v>
      </c>
      <c r="H14" s="28">
        <f t="shared" si="1"/>
        <v>1.0507324578743229</v>
      </c>
      <c r="I14" s="28">
        <f t="shared" si="1"/>
        <v>1.0340034682614516</v>
      </c>
      <c r="J14" s="28">
        <f t="shared" si="1"/>
        <v>1.0178844241821665</v>
      </c>
      <c r="K14" s="28">
        <f t="shared" ref="K14:K17" si="2">AVERAGE(B14:J14)</f>
        <v>1.0177054473029348</v>
      </c>
    </row>
    <row r="15" spans="1:11" x14ac:dyDescent="0.55000000000000004">
      <c r="A15">
        <v>1915</v>
      </c>
      <c r="B15" s="28">
        <f t="shared" si="1"/>
        <v>0.8917391729396813</v>
      </c>
      <c r="C15" s="28">
        <f t="shared" si="1"/>
        <v>0.90082511630628781</v>
      </c>
      <c r="D15" s="28">
        <f t="shared" si="1"/>
        <v>0.84901666066854375</v>
      </c>
      <c r="E15" s="28">
        <f t="shared" si="1"/>
        <v>0.91013559260004762</v>
      </c>
      <c r="F15" s="28">
        <f t="shared" si="1"/>
        <v>0.87693926139194955</v>
      </c>
      <c r="G15" s="28">
        <f t="shared" si="1"/>
        <v>0.925224824147449</v>
      </c>
      <c r="H15" s="28">
        <f t="shared" si="1"/>
        <v>0.82709506459092419</v>
      </c>
      <c r="I15" s="28">
        <f t="shared" si="1"/>
        <v>0.91767824292336198</v>
      </c>
      <c r="J15" s="28">
        <f t="shared" si="1"/>
        <v>0.85567572810825232</v>
      </c>
      <c r="K15" s="28">
        <f t="shared" si="2"/>
        <v>0.88381440707516645</v>
      </c>
    </row>
    <row r="16" spans="1:11" x14ac:dyDescent="0.55000000000000004">
      <c r="A16">
        <v>1916</v>
      </c>
      <c r="B16" s="28">
        <f t="shared" si="1"/>
        <v>0.71612083292599471</v>
      </c>
      <c r="C16" s="28">
        <f t="shared" si="1"/>
        <v>0.61763759253299</v>
      </c>
      <c r="D16" s="28">
        <f t="shared" si="1"/>
        <v>0.60247263797446915</v>
      </c>
      <c r="E16" s="28">
        <f t="shared" si="1"/>
        <v>0.68391004409961753</v>
      </c>
      <c r="F16" s="28">
        <f t="shared" si="1"/>
        <v>0.65933226288688329</v>
      </c>
      <c r="G16" s="28">
        <f t="shared" si="1"/>
        <v>0.82250912652479746</v>
      </c>
      <c r="H16" s="28">
        <f t="shared" si="1"/>
        <v>0.75205419440318844</v>
      </c>
      <c r="I16" s="28">
        <f t="shared" si="1"/>
        <v>0.59964658020189765</v>
      </c>
      <c r="J16" s="28">
        <f t="shared" si="1"/>
        <v>0.86549700511676408</v>
      </c>
      <c r="K16" s="28">
        <f t="shared" si="2"/>
        <v>0.70213114185184489</v>
      </c>
    </row>
    <row r="17" spans="1:11" x14ac:dyDescent="0.55000000000000004">
      <c r="A17">
        <v>1917</v>
      </c>
      <c r="B17" s="28">
        <f t="shared" si="1"/>
        <v>0.58846417049564959</v>
      </c>
      <c r="C17" s="28">
        <f t="shared" si="1"/>
        <v>0.44541650817801448</v>
      </c>
      <c r="D17" s="28">
        <f t="shared" si="1"/>
        <v>0.36141160530939731</v>
      </c>
      <c r="E17" s="28">
        <f t="shared" si="1"/>
        <v>0.66394627532068295</v>
      </c>
      <c r="F17" s="28">
        <f t="shared" si="1"/>
        <v>0.41850395880626767</v>
      </c>
      <c r="G17" s="28">
        <f t="shared" si="1"/>
        <v>0.76767874632713029</v>
      </c>
      <c r="H17" s="28">
        <f t="shared" si="1"/>
        <v>0.57696951564820653</v>
      </c>
      <c r="I17" s="28">
        <f t="shared" si="1"/>
        <v>0.41082414068217932</v>
      </c>
      <c r="J17" s="28">
        <f t="shared" si="1"/>
        <v>0.87533040715861965</v>
      </c>
      <c r="K17" s="28">
        <f t="shared" si="2"/>
        <v>0.56761614754734979</v>
      </c>
    </row>
    <row r="24" spans="1:11" x14ac:dyDescent="0.55000000000000004">
      <c r="A24" s="22" t="s">
        <v>109</v>
      </c>
    </row>
    <row r="26" spans="1:11" x14ac:dyDescent="0.55000000000000004">
      <c r="A26" s="20" t="s">
        <v>102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55000000000000004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55000000000000004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55000000000000004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55000000000000004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55000000000000004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55000000000000004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55000000000000004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55000000000000004">
      <c r="A35">
        <v>1913</v>
      </c>
      <c r="B35" s="28">
        <f>B28/B$28</f>
        <v>1</v>
      </c>
      <c r="C35" s="28">
        <f t="shared" ref="C35:I35" si="3">C28/C$28</f>
        <v>1</v>
      </c>
      <c r="D35" s="28">
        <f t="shared" si="3"/>
        <v>1</v>
      </c>
      <c r="E35" s="28">
        <f t="shared" si="3"/>
        <v>1</v>
      </c>
      <c r="F35" s="28">
        <f t="shared" si="3"/>
        <v>1</v>
      </c>
      <c r="G35" s="28">
        <f t="shared" si="3"/>
        <v>1</v>
      </c>
      <c r="H35" s="28">
        <f t="shared" si="3"/>
        <v>1</v>
      </c>
      <c r="I35" s="28">
        <f t="shared" si="3"/>
        <v>1</v>
      </c>
      <c r="J35" s="28">
        <f>AVERAGE(B35:I35)</f>
        <v>1</v>
      </c>
    </row>
    <row r="36" spans="1:10" x14ac:dyDescent="0.55000000000000004">
      <c r="A36">
        <v>1914</v>
      </c>
      <c r="B36" s="28">
        <f t="shared" ref="B36:I39" si="4">B29/B$28</f>
        <v>1.0471902798871773</v>
      </c>
      <c r="C36" s="28">
        <f t="shared" si="4"/>
        <v>0.90666907753970405</v>
      </c>
      <c r="D36" s="28">
        <f t="shared" si="4"/>
        <v>0.90547067779702839</v>
      </c>
      <c r="E36" s="28">
        <f t="shared" si="4"/>
        <v>0.88300743414408001</v>
      </c>
      <c r="F36" s="28">
        <f t="shared" si="4"/>
        <v>1.0061516452074393</v>
      </c>
      <c r="G36" s="28">
        <f t="shared" si="4"/>
        <v>0.92440718131777477</v>
      </c>
      <c r="H36" s="28">
        <f t="shared" si="4"/>
        <v>0.93453055672507046</v>
      </c>
      <c r="I36" s="28">
        <f t="shared" si="4"/>
        <v>1.0473308982088632</v>
      </c>
      <c r="J36" s="28">
        <f t="shared" ref="J36:J39" si="5">AVERAGE(B36:I36)</f>
        <v>0.95684471885339217</v>
      </c>
    </row>
    <row r="37" spans="1:10" x14ac:dyDescent="0.55000000000000004">
      <c r="A37">
        <v>1915</v>
      </c>
      <c r="B37" s="28">
        <f t="shared" si="4"/>
        <v>0.9618789325233239</v>
      </c>
      <c r="C37" s="28">
        <f t="shared" si="4"/>
        <v>0.86151041195793021</v>
      </c>
      <c r="D37" s="28">
        <f t="shared" si="4"/>
        <v>0.81424896309130046</v>
      </c>
      <c r="E37" s="28">
        <f t="shared" si="4"/>
        <v>0.87489444839975494</v>
      </c>
      <c r="F37" s="28">
        <f t="shared" si="4"/>
        <v>1.2567954220314734</v>
      </c>
      <c r="G37" s="28">
        <f t="shared" si="4"/>
        <v>0.88776566226208509</v>
      </c>
      <c r="H37" s="28">
        <f t="shared" si="4"/>
        <v>0.77912361952262199</v>
      </c>
      <c r="I37" s="28">
        <f t="shared" si="4"/>
        <v>1.1632706948906395</v>
      </c>
      <c r="J37" s="28">
        <f t="shared" si="5"/>
        <v>0.94993601933489114</v>
      </c>
    </row>
    <row r="38" spans="1:10" x14ac:dyDescent="0.55000000000000004">
      <c r="A38">
        <v>1916</v>
      </c>
      <c r="B38" s="28">
        <f t="shared" si="4"/>
        <v>0.79804729876328917</v>
      </c>
      <c r="C38" s="28">
        <f t="shared" si="4"/>
        <v>0.67311575204170815</v>
      </c>
      <c r="D38" s="28">
        <f t="shared" si="4"/>
        <v>0.85097390665196615</v>
      </c>
      <c r="E38" s="28">
        <f t="shared" si="4"/>
        <v>0.79692699968541481</v>
      </c>
      <c r="F38" s="28">
        <f t="shared" si="4"/>
        <v>1.1853600381497378</v>
      </c>
      <c r="G38" s="28">
        <f t="shared" si="4"/>
        <v>0.97442742939420757</v>
      </c>
      <c r="H38" s="28">
        <f t="shared" si="4"/>
        <v>0.8435890792499271</v>
      </c>
      <c r="I38" s="28">
        <f t="shared" si="4"/>
        <v>1.2317915768164416</v>
      </c>
      <c r="J38" s="28">
        <f t="shared" si="5"/>
        <v>0.91927901009408663</v>
      </c>
    </row>
    <row r="39" spans="1:10" x14ac:dyDescent="0.55000000000000004">
      <c r="A39">
        <v>1917</v>
      </c>
      <c r="B39" s="28">
        <f t="shared" si="4"/>
        <v>0.7406378824039922</v>
      </c>
      <c r="C39" s="28">
        <f t="shared" si="4"/>
        <v>0.54497785010396893</v>
      </c>
      <c r="D39" s="28">
        <f t="shared" si="4"/>
        <v>0.96482385677534521</v>
      </c>
      <c r="E39" s="28">
        <f t="shared" si="4"/>
        <v>0.68695465006540057</v>
      </c>
      <c r="F39" s="28">
        <f t="shared" si="4"/>
        <v>1.0620410109680496</v>
      </c>
      <c r="G39" s="28">
        <f t="shared" si="4"/>
        <v>0.81590748878856512</v>
      </c>
      <c r="H39" s="28">
        <f t="shared" si="4"/>
        <v>0.90807073226025847</v>
      </c>
      <c r="I39" s="28">
        <f t="shared" si="4"/>
        <v>1.3422523434405669</v>
      </c>
      <c r="J39" s="28">
        <f t="shared" si="5"/>
        <v>0.88320822685076839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Oboguev, Sergey</cp:lastModifiedBy>
  <dcterms:created xsi:type="dcterms:W3CDTF">2026-05-31T23:49:13Z</dcterms:created>
  <dcterms:modified xsi:type="dcterms:W3CDTF">2026-06-19T00:54:41Z</dcterms:modified>
</cp:coreProperties>
</file>