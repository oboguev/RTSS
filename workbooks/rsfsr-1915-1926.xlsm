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Metadata/LabelInfo.xml" ContentType="application/vnd.ms-office.classificationlabel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microsoft.com/office/2020/02/relationships/classificationlabels" Target="docMetadata/LabelInfo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WINAPPS\SLOVO\UKR\github\RTSS\workbooks\"/>
    </mc:Choice>
  </mc:AlternateContent>
  <xr:revisionPtr revIDLastSave="0" documentId="13_ncr:1_{417EEF8C-9014-46B9-8411-2CA451CB54BE}" xr6:coauthVersionLast="45" xr6:coauthVersionMax="47" xr10:uidLastSave="{00000000-0000-0000-0000-000000000000}"/>
  <bookViews>
    <workbookView xWindow="1005" yWindow="795" windowWidth="19695" windowHeight="20295" firstSheet="3" activeTab="12" xr2:uid="{BAE639CB-DAB1-445C-9C5C-41417807C10A}"/>
  </bookViews>
  <sheets>
    <sheet name="Оценки" sheetId="6" r:id="rId1"/>
    <sheet name="Боярский" sheetId="2" r:id="rId2"/>
    <sheet name="Боярский-мод" sheetId="13" r:id="rId3"/>
    <sheet name="Максудов" sheetId="5" r:id="rId4"/>
    <sheet name="Бирабен" sheetId="3" r:id="rId5"/>
    <sheet name="смесь-1" sheetId="4" r:id="rId6"/>
    <sheet name="поля конверта" sheetId="7" r:id="rId7"/>
    <sheet name="Новосельский" sheetId="8" r:id="rId8"/>
    <sheet name="Новосельский-РСФСР" sheetId="9" r:id="rId9"/>
    <sheet name="Новосельский-РСФСР-рождения" sheetId="10" r:id="rId10"/>
    <sheet name="Новосельский-РСФСР-смерти" sheetId="11" r:id="rId11"/>
    <sheet name="Новосельский-РСФСР-графики" sheetId="12" r:id="rId12"/>
    <sheet name="итог" sheetId="14" r:id="rId13"/>
  </sheets>
  <functionGroups builtInGroupCount="19"/>
  <externalReferences>
    <externalReference r:id="rId14"/>
  </externalReferences>
  <definedNames>
    <definedName name="AT_EXTRA">итог!$E$89</definedName>
    <definedName name="AT_WEIGHT">итог!$E$89</definedName>
    <definedName name="EXTRA_WEIGHT">итог!$E$89</definedName>
    <definedName name="EXYRA_WEIGHT">итог!$K$79</definedName>
    <definedName name="RSFSR_MULT">итог!$E$88</definedName>
    <definedName name="VAR2_CDR_TONE_DOWN">итог!$D$184</definedName>
    <definedName name="WEIGHT">'Боярский-мод'!$U$1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22" i="14" l="1"/>
  <c r="F123" i="14"/>
  <c r="F21" i="4"/>
  <c r="F5" i="3"/>
  <c r="F5" i="5"/>
  <c r="I5" i="13"/>
  <c r="F5" i="2"/>
  <c r="K341" i="14" l="1"/>
  <c r="K340" i="14"/>
  <c r="K339" i="14"/>
  <c r="K338" i="14"/>
  <c r="K337" i="14"/>
  <c r="K332" i="14"/>
  <c r="K331" i="14"/>
  <c r="K330" i="14"/>
  <c r="K329" i="14"/>
  <c r="K328" i="14"/>
  <c r="K327" i="14"/>
  <c r="J298" i="14"/>
  <c r="J297" i="14"/>
  <c r="J296" i="14"/>
  <c r="J295" i="14"/>
  <c r="J294" i="14"/>
  <c r="J293" i="14"/>
  <c r="J292" i="14"/>
  <c r="J291" i="14"/>
  <c r="J290" i="14"/>
  <c r="J289" i="14"/>
  <c r="J288" i="14"/>
  <c r="J287" i="14"/>
  <c r="J286" i="14"/>
  <c r="J285" i="14"/>
  <c r="J284" i="14"/>
  <c r="J220" i="14"/>
  <c r="H221" i="14"/>
  <c r="I220" i="14"/>
  <c r="H220" i="14"/>
  <c r="D234" i="14" l="1"/>
  <c r="E105" i="14"/>
  <c r="E104" i="14"/>
  <c r="E103" i="14"/>
  <c r="E102" i="14"/>
  <c r="E101" i="14"/>
  <c r="E100" i="14"/>
  <c r="E99" i="14"/>
  <c r="E106" i="14"/>
  <c r="H106" i="14"/>
  <c r="C234" i="14"/>
  <c r="C233" i="14"/>
  <c r="D233" i="14" s="1"/>
  <c r="C232" i="14"/>
  <c r="C231" i="14"/>
  <c r="C230" i="14"/>
  <c r="D220" i="14"/>
  <c r="B233" i="14"/>
  <c r="B232" i="14"/>
  <c r="B231" i="14"/>
  <c r="B230" i="14"/>
  <c r="B229" i="14"/>
  <c r="B228" i="14"/>
  <c r="B227" i="14"/>
  <c r="B226" i="14"/>
  <c r="B225" i="14"/>
  <c r="B224" i="14"/>
  <c r="B223" i="14"/>
  <c r="B222" i="14"/>
  <c r="B221" i="14"/>
  <c r="D232" i="14"/>
  <c r="D231" i="14"/>
  <c r="D230" i="14"/>
  <c r="F197" i="14"/>
  <c r="E201" i="14"/>
  <c r="D200" i="14"/>
  <c r="E200" i="14" s="1"/>
  <c r="F200" i="14" s="1"/>
  <c r="D199" i="14"/>
  <c r="E199" i="14" s="1"/>
  <c r="F199" i="14" s="1"/>
  <c r="D198" i="14"/>
  <c r="E198" i="14" s="1"/>
  <c r="F198" i="14" s="1"/>
  <c r="D197" i="14"/>
  <c r="E197" i="14" s="1"/>
  <c r="D196" i="14"/>
  <c r="E196" i="14" s="1"/>
  <c r="D195" i="14"/>
  <c r="E195" i="14" s="1"/>
  <c r="D194" i="14"/>
  <c r="E194" i="14" s="1"/>
  <c r="D121" i="14" l="1"/>
  <c r="D122" i="14"/>
  <c r="E88" i="14"/>
  <c r="C15" i="14"/>
  <c r="C14" i="14"/>
  <c r="C13" i="14"/>
  <c r="C12" i="14"/>
  <c r="C11" i="14"/>
  <c r="C10" i="14"/>
  <c r="C9" i="14"/>
  <c r="C8" i="14"/>
  <c r="C7" i="14"/>
  <c r="C6" i="14"/>
  <c r="C5" i="14"/>
  <c r="C4" i="14"/>
  <c r="C196" i="14" l="1"/>
  <c r="F196" i="14" s="1"/>
  <c r="C229" i="14" s="1"/>
  <c r="C193" i="14"/>
  <c r="F193" i="14" s="1"/>
  <c r="C226" i="14" s="1"/>
  <c r="C192" i="14"/>
  <c r="F192" i="14" s="1"/>
  <c r="C225" i="14" s="1"/>
  <c r="D225" i="14" s="1"/>
  <c r="B191" i="14"/>
  <c r="F191" i="14" s="1"/>
  <c r="C224" i="14" s="1"/>
  <c r="D224" i="14" s="1"/>
  <c r="B190" i="14"/>
  <c r="F190" i="14" s="1"/>
  <c r="C223" i="14" s="1"/>
  <c r="D223" i="14" s="1"/>
  <c r="B189" i="14"/>
  <c r="F189" i="14" s="1"/>
  <c r="C222" i="14" s="1"/>
  <c r="B188" i="14"/>
  <c r="F188" i="14" s="1"/>
  <c r="C221" i="14" s="1"/>
  <c r="B187" i="14"/>
  <c r="F187" i="14" s="1"/>
  <c r="C197" i="14"/>
  <c r="C195" i="14"/>
  <c r="F195" i="14" s="1"/>
  <c r="C228" i="14" s="1"/>
  <c r="C194" i="14"/>
  <c r="F194" i="14" s="1"/>
  <c r="C227" i="14" s="1"/>
  <c r="B134" i="14"/>
  <c r="B133" i="14"/>
  <c r="D105" i="14"/>
  <c r="H105" i="14" s="1"/>
  <c r="C134" i="14" s="1"/>
  <c r="D104" i="14"/>
  <c r="H104" i="14" s="1"/>
  <c r="C133" i="14" s="1"/>
  <c r="D133" i="14" s="1"/>
  <c r="D103" i="14"/>
  <c r="H103" i="14" s="1"/>
  <c r="C132" i="14" s="1"/>
  <c r="D102" i="14"/>
  <c r="H102" i="14" s="1"/>
  <c r="C131" i="14" s="1"/>
  <c r="D101" i="14"/>
  <c r="D100" i="14"/>
  <c r="D99" i="14"/>
  <c r="F97" i="14"/>
  <c r="F103" i="14"/>
  <c r="L65" i="14"/>
  <c r="L64" i="14"/>
  <c r="M64" i="14" s="1"/>
  <c r="L63" i="14"/>
  <c r="M63" i="14" s="1"/>
  <c r="L62" i="14"/>
  <c r="M62" i="14" s="1"/>
  <c r="G101" i="14" s="1"/>
  <c r="L61" i="14"/>
  <c r="M61" i="14" s="1"/>
  <c r="G100" i="14" s="1"/>
  <c r="L60" i="14"/>
  <c r="M60" i="14" s="1"/>
  <c r="G99" i="14" s="1"/>
  <c r="L59" i="14"/>
  <c r="M59" i="14" s="1"/>
  <c r="G98" i="14" s="1"/>
  <c r="L58" i="14"/>
  <c r="M58" i="14" s="1"/>
  <c r="G97" i="14" s="1"/>
  <c r="G222" i="14"/>
  <c r="D229" i="14" l="1"/>
  <c r="K336" i="14"/>
  <c r="D227" i="14"/>
  <c r="K334" i="14"/>
  <c r="D226" i="14"/>
  <c r="K333" i="14"/>
  <c r="D228" i="14"/>
  <c r="K335" i="14"/>
  <c r="I222" i="14"/>
  <c r="H222" i="14"/>
  <c r="D222" i="14"/>
  <c r="D221" i="14"/>
  <c r="I221" i="14"/>
  <c r="J221" i="14" s="1"/>
  <c r="D134" i="14"/>
  <c r="F99" i="14"/>
  <c r="F101" i="14"/>
  <c r="F98" i="14"/>
  <c r="B95" i="14"/>
  <c r="H95" i="14" s="1"/>
  <c r="C124" i="14" s="1"/>
  <c r="B96" i="14"/>
  <c r="H96" i="14" s="1"/>
  <c r="C125" i="14" s="1"/>
  <c r="D125" i="14" s="1"/>
  <c r="F100" i="14"/>
  <c r="F104" i="14"/>
  <c r="C100" i="14"/>
  <c r="H100" i="14" s="1"/>
  <c r="C129" i="14" s="1"/>
  <c r="C101" i="14"/>
  <c r="H101" i="14" s="1"/>
  <c r="C130" i="14" s="1"/>
  <c r="F105" i="14"/>
  <c r="B93" i="14"/>
  <c r="H93" i="14" s="1"/>
  <c r="C98" i="14"/>
  <c r="H98" i="14" s="1"/>
  <c r="C127" i="14" s="1"/>
  <c r="B94" i="14"/>
  <c r="H94" i="14" s="1"/>
  <c r="C123" i="14" s="1"/>
  <c r="C99" i="14"/>
  <c r="H99" i="14" s="1"/>
  <c r="C128" i="14" s="1"/>
  <c r="C97" i="14"/>
  <c r="H97" i="14" s="1"/>
  <c r="C126" i="14" s="1"/>
  <c r="C102" i="14"/>
  <c r="F102" i="14"/>
  <c r="B92" i="14"/>
  <c r="H92" i="14" s="1"/>
  <c r="E14" i="14"/>
  <c r="B131" i="14" s="1"/>
  <c r="D131" i="14" s="1"/>
  <c r="E13" i="14"/>
  <c r="B130" i="14" s="1"/>
  <c r="E12" i="14"/>
  <c r="B129" i="14" s="1"/>
  <c r="E11" i="14"/>
  <c r="B128" i="14" s="1"/>
  <c r="E10" i="14"/>
  <c r="B127" i="14" s="1"/>
  <c r="E9" i="14"/>
  <c r="B126" i="14" s="1"/>
  <c r="E8" i="14"/>
  <c r="B125" i="14" s="1"/>
  <c r="E7" i="14"/>
  <c r="B124" i="14" s="1"/>
  <c r="E6" i="14"/>
  <c r="B123" i="14" s="1"/>
  <c r="E5" i="14"/>
  <c r="E4" i="14"/>
  <c r="E15" i="14"/>
  <c r="B132" i="14" s="1"/>
  <c r="D132" i="14" s="1"/>
  <c r="G123" i="14"/>
  <c r="J222" i="14" l="1"/>
  <c r="F223" i="14" s="1"/>
  <c r="D126" i="14"/>
  <c r="D129" i="14"/>
  <c r="D130" i="14"/>
  <c r="D124" i="14"/>
  <c r="D128" i="14"/>
  <c r="D127" i="14"/>
  <c r="I123" i="14"/>
  <c r="H123" i="14"/>
  <c r="D123" i="14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J133" i="10"/>
  <c r="J132" i="10"/>
  <c r="J131" i="10"/>
  <c r="J130" i="10"/>
  <c r="J129" i="10"/>
  <c r="J128" i="10"/>
  <c r="J127" i="10"/>
  <c r="J126" i="10"/>
  <c r="J125" i="10"/>
  <c r="J124" i="10"/>
  <c r="J123" i="10"/>
  <c r="J122" i="10"/>
  <c r="J121" i="10"/>
  <c r="J120" i="10"/>
  <c r="H131" i="10"/>
  <c r="H130" i="10"/>
  <c r="H129" i="10"/>
  <c r="H128" i="10"/>
  <c r="H127" i="10"/>
  <c r="H126" i="10"/>
  <c r="H125" i="10"/>
  <c r="H124" i="10"/>
  <c r="H123" i="10"/>
  <c r="H122" i="10"/>
  <c r="H121" i="10"/>
  <c r="H120" i="10"/>
  <c r="F133" i="10"/>
  <c r="F132" i="10"/>
  <c r="F131" i="10"/>
  <c r="F130" i="10"/>
  <c r="F129" i="10"/>
  <c r="F128" i="10"/>
  <c r="F127" i="10"/>
  <c r="F126" i="10"/>
  <c r="F125" i="10"/>
  <c r="F124" i="10"/>
  <c r="F123" i="10"/>
  <c r="F122" i="10"/>
  <c r="F121" i="10"/>
  <c r="F120" i="10"/>
  <c r="A126" i="10"/>
  <c r="A127" i="10" s="1"/>
  <c r="A128" i="10" s="1"/>
  <c r="A129" i="10" s="1"/>
  <c r="A130" i="10" s="1"/>
  <c r="A131" i="10" s="1"/>
  <c r="A132" i="10" s="1"/>
  <c r="A133" i="10" s="1"/>
  <c r="A125" i="10"/>
  <c r="G223" i="14"/>
  <c r="H223" i="14" l="1"/>
  <c r="I223" i="14"/>
  <c r="J223" i="14" s="1"/>
  <c r="F224" i="14" s="1"/>
  <c r="J123" i="14"/>
  <c r="F124" i="14" s="1"/>
  <c r="R39" i="10"/>
  <c r="R38" i="10"/>
  <c r="R35" i="10"/>
  <c r="R34" i="10"/>
  <c r="R32" i="10"/>
  <c r="R31" i="10"/>
  <c r="K12" i="10"/>
  <c r="K11" i="10"/>
  <c r="K10" i="10"/>
  <c r="K9" i="10"/>
  <c r="K8" i="10"/>
  <c r="K7" i="10"/>
  <c r="K6" i="10"/>
  <c r="K5" i="10"/>
  <c r="K4" i="10"/>
  <c r="J21" i="10"/>
  <c r="J20" i="10"/>
  <c r="J19" i="10"/>
  <c r="J18" i="10"/>
  <c r="J17" i="10"/>
  <c r="J16" i="10"/>
  <c r="J15" i="10"/>
  <c r="J14" i="10"/>
  <c r="J13" i="10"/>
  <c r="J12" i="10"/>
  <c r="J11" i="10"/>
  <c r="J10" i="10"/>
  <c r="J9" i="10"/>
  <c r="J8" i="10"/>
  <c r="J7" i="10"/>
  <c r="J6" i="10"/>
  <c r="J5" i="10"/>
  <c r="J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1" i="10"/>
  <c r="I10" i="10"/>
  <c r="I9" i="10"/>
  <c r="I8" i="10"/>
  <c r="I7" i="10"/>
  <c r="I6" i="10"/>
  <c r="I5" i="10"/>
  <c r="I4" i="10"/>
  <c r="C53" i="10"/>
  <c r="C52" i="10"/>
  <c r="C51" i="10"/>
  <c r="C50" i="10"/>
  <c r="C49" i="10"/>
  <c r="C74" i="10"/>
  <c r="C73" i="10"/>
  <c r="B74" i="10"/>
  <c r="B73" i="10"/>
  <c r="C68" i="10"/>
  <c r="C67" i="10"/>
  <c r="C66" i="10"/>
  <c r="B68" i="10"/>
  <c r="B67" i="10"/>
  <c r="B66" i="10"/>
  <c r="C61" i="10"/>
  <c r="C60" i="10"/>
  <c r="C59" i="10"/>
  <c r="C58" i="10"/>
  <c r="B61" i="10"/>
  <c r="B60" i="10"/>
  <c r="B59" i="10"/>
  <c r="B58" i="10"/>
  <c r="B53" i="10"/>
  <c r="B52" i="10"/>
  <c r="B51" i="10"/>
  <c r="B50" i="10"/>
  <c r="B49" i="10"/>
  <c r="C76" i="11"/>
  <c r="C75" i="11"/>
  <c r="B76" i="11"/>
  <c r="B75" i="11"/>
  <c r="C70" i="11"/>
  <c r="C69" i="11"/>
  <c r="C68" i="11"/>
  <c r="B70" i="11"/>
  <c r="B69" i="11"/>
  <c r="B68" i="11"/>
  <c r="C63" i="11"/>
  <c r="C62" i="11"/>
  <c r="C61" i="11"/>
  <c r="C60" i="11"/>
  <c r="B60" i="11"/>
  <c r="B61" i="11"/>
  <c r="B62" i="11"/>
  <c r="B63" i="11"/>
  <c r="C54" i="11"/>
  <c r="C53" i="11"/>
  <c r="C52" i="11"/>
  <c r="C51" i="11"/>
  <c r="C50" i="11"/>
  <c r="B50" i="11"/>
  <c r="B54" i="11"/>
  <c r="B53" i="11"/>
  <c r="B52" i="11"/>
  <c r="B51" i="11"/>
  <c r="G124" i="14"/>
  <c r="G224" i="14"/>
  <c r="I224" i="14" l="1"/>
  <c r="H224" i="14"/>
  <c r="J224" i="14" s="1"/>
  <c r="F225" i="14" s="1"/>
  <c r="I124" i="14"/>
  <c r="H124" i="14"/>
  <c r="J124" i="14" s="1"/>
  <c r="F125" i="14" s="1"/>
  <c r="Q16" i="13"/>
  <c r="F16" i="13" s="1"/>
  <c r="Q15" i="13"/>
  <c r="F15" i="13" s="1"/>
  <c r="Q14" i="13"/>
  <c r="F14" i="13" s="1"/>
  <c r="Q13" i="13"/>
  <c r="E13" i="13" s="1"/>
  <c r="Q12" i="13"/>
  <c r="E12" i="13" s="1"/>
  <c r="Q11" i="13"/>
  <c r="E11" i="13" s="1"/>
  <c r="Q10" i="13"/>
  <c r="E10" i="13" s="1"/>
  <c r="Q9" i="13"/>
  <c r="E9" i="13" s="1"/>
  <c r="Q8" i="13"/>
  <c r="F8" i="13" s="1"/>
  <c r="Q7" i="13"/>
  <c r="F7" i="13" s="1"/>
  <c r="Q6" i="13"/>
  <c r="F6" i="13" s="1"/>
  <c r="Q5" i="13"/>
  <c r="F5" i="13" s="1"/>
  <c r="U18" i="6"/>
  <c r="U17" i="6"/>
  <c r="U16" i="6"/>
  <c r="U15" i="6"/>
  <c r="U14" i="6"/>
  <c r="U13" i="6"/>
  <c r="U12" i="6"/>
  <c r="T19" i="6"/>
  <c r="T18" i="6"/>
  <c r="T17" i="6"/>
  <c r="T16" i="6"/>
  <c r="T15" i="6"/>
  <c r="T14" i="6"/>
  <c r="T13" i="6"/>
  <c r="T12" i="6"/>
  <c r="D16" i="13"/>
  <c r="D15" i="13"/>
  <c r="D14" i="13"/>
  <c r="D13" i="13"/>
  <c r="D12" i="13"/>
  <c r="D11" i="13"/>
  <c r="D10" i="13"/>
  <c r="D9" i="13"/>
  <c r="D8" i="13"/>
  <c r="D7" i="13"/>
  <c r="D6" i="13"/>
  <c r="D5" i="13"/>
  <c r="J39" i="12"/>
  <c r="J38" i="12"/>
  <c r="J37" i="12"/>
  <c r="J36" i="12"/>
  <c r="J35" i="12"/>
  <c r="K17" i="12"/>
  <c r="K16" i="12"/>
  <c r="K15" i="12"/>
  <c r="K14" i="12"/>
  <c r="K13" i="12"/>
  <c r="I39" i="12"/>
  <c r="H39" i="12"/>
  <c r="G39" i="12"/>
  <c r="F39" i="12"/>
  <c r="E39" i="12"/>
  <c r="D39" i="12"/>
  <c r="C39" i="12"/>
  <c r="I38" i="12"/>
  <c r="H38" i="12"/>
  <c r="G38" i="12"/>
  <c r="F38" i="12"/>
  <c r="E38" i="12"/>
  <c r="D38" i="12"/>
  <c r="C38" i="12"/>
  <c r="I37" i="12"/>
  <c r="H37" i="12"/>
  <c r="G37" i="12"/>
  <c r="F37" i="12"/>
  <c r="E37" i="12"/>
  <c r="D37" i="12"/>
  <c r="C37" i="12"/>
  <c r="I36" i="12"/>
  <c r="H36" i="12"/>
  <c r="G36" i="12"/>
  <c r="F36" i="12"/>
  <c r="E36" i="12"/>
  <c r="D36" i="12"/>
  <c r="C36" i="12"/>
  <c r="I35" i="12"/>
  <c r="H35" i="12"/>
  <c r="G35" i="12"/>
  <c r="F35" i="12"/>
  <c r="E35" i="12"/>
  <c r="D35" i="12"/>
  <c r="C35" i="12"/>
  <c r="B39" i="12"/>
  <c r="B38" i="12"/>
  <c r="B37" i="12"/>
  <c r="B36" i="12"/>
  <c r="B35" i="12"/>
  <c r="J17" i="12"/>
  <c r="I17" i="12"/>
  <c r="H17" i="12"/>
  <c r="G17" i="12"/>
  <c r="F17" i="12"/>
  <c r="E17" i="12"/>
  <c r="D17" i="12"/>
  <c r="C17" i="12"/>
  <c r="J16" i="12"/>
  <c r="I16" i="12"/>
  <c r="H16" i="12"/>
  <c r="G16" i="12"/>
  <c r="F16" i="12"/>
  <c r="E16" i="12"/>
  <c r="D16" i="12"/>
  <c r="C16" i="12"/>
  <c r="J15" i="12"/>
  <c r="I15" i="12"/>
  <c r="H15" i="12"/>
  <c r="G15" i="12"/>
  <c r="F15" i="12"/>
  <c r="E15" i="12"/>
  <c r="D15" i="12"/>
  <c r="C15" i="12"/>
  <c r="J14" i="12"/>
  <c r="I14" i="12"/>
  <c r="H14" i="12"/>
  <c r="G14" i="12"/>
  <c r="F14" i="12"/>
  <c r="E14" i="12"/>
  <c r="D14" i="12"/>
  <c r="C14" i="12"/>
  <c r="J13" i="12"/>
  <c r="I13" i="12"/>
  <c r="H13" i="12"/>
  <c r="G13" i="12"/>
  <c r="F13" i="12"/>
  <c r="E13" i="12"/>
  <c r="D13" i="12"/>
  <c r="C13" i="12"/>
  <c r="B17" i="12"/>
  <c r="B16" i="12"/>
  <c r="B15" i="12"/>
  <c r="B14" i="12"/>
  <c r="B13" i="12"/>
  <c r="F44" i="10"/>
  <c r="F43" i="10"/>
  <c r="F42" i="10"/>
  <c r="F41" i="10"/>
  <c r="D44" i="10"/>
  <c r="D43" i="10"/>
  <c r="D42" i="10"/>
  <c r="D41" i="10"/>
  <c r="C44" i="10"/>
  <c r="C43" i="10"/>
  <c r="C42" i="10"/>
  <c r="C41" i="10"/>
  <c r="B44" i="10"/>
  <c r="B43" i="10"/>
  <c r="B42" i="10"/>
  <c r="B41" i="10"/>
  <c r="D45" i="11"/>
  <c r="D44" i="11"/>
  <c r="D43" i="11"/>
  <c r="D42" i="11"/>
  <c r="C45" i="11"/>
  <c r="C44" i="11"/>
  <c r="B45" i="11"/>
  <c r="B44" i="11"/>
  <c r="C43" i="11"/>
  <c r="B43" i="11"/>
  <c r="C42" i="11"/>
  <c r="B42" i="11"/>
  <c r="N15" i="7"/>
  <c r="N14" i="7"/>
  <c r="N13" i="7"/>
  <c r="N12" i="7"/>
  <c r="N11" i="7"/>
  <c r="N10" i="7"/>
  <c r="N9" i="7"/>
  <c r="N8" i="7"/>
  <c r="N7" i="7"/>
  <c r="N6" i="7"/>
  <c r="N5" i="7"/>
  <c r="N4" i="7"/>
  <c r="J15" i="7"/>
  <c r="L15" i="7" s="1"/>
  <c r="J14" i="7"/>
  <c r="L14" i="7" s="1"/>
  <c r="J13" i="7"/>
  <c r="L13" i="7" s="1"/>
  <c r="J12" i="7"/>
  <c r="L12" i="7" s="1"/>
  <c r="J11" i="7"/>
  <c r="L11" i="7" s="1"/>
  <c r="J10" i="7"/>
  <c r="L10" i="7" s="1"/>
  <c r="J9" i="7"/>
  <c r="L9" i="7" s="1"/>
  <c r="J8" i="7"/>
  <c r="L8" i="7" s="1"/>
  <c r="M8" i="7" s="1"/>
  <c r="J7" i="7"/>
  <c r="L7" i="7" s="1"/>
  <c r="M7" i="7" s="1"/>
  <c r="J6" i="7"/>
  <c r="L6" i="7" s="1"/>
  <c r="M6" i="7" s="1"/>
  <c r="J5" i="7"/>
  <c r="L5" i="7" s="1"/>
  <c r="M5" i="7" s="1"/>
  <c r="J4" i="7"/>
  <c r="L4" i="7" s="1"/>
  <c r="M4" i="7" s="1"/>
  <c r="D32" i="4"/>
  <c r="D31" i="4"/>
  <c r="D30" i="4"/>
  <c r="D29" i="4"/>
  <c r="D28" i="4"/>
  <c r="D27" i="4"/>
  <c r="D26" i="4"/>
  <c r="D25" i="4"/>
  <c r="D24" i="4"/>
  <c r="D23" i="4"/>
  <c r="D22" i="4"/>
  <c r="D21" i="4"/>
  <c r="L16" i="4"/>
  <c r="L15" i="4"/>
  <c r="L14" i="4"/>
  <c r="L13" i="4"/>
  <c r="L12" i="4"/>
  <c r="L11" i="4"/>
  <c r="L10" i="4"/>
  <c r="L9" i="4"/>
  <c r="L8" i="4"/>
  <c r="L7" i="4"/>
  <c r="L6" i="4"/>
  <c r="L5" i="4"/>
  <c r="K16" i="4"/>
  <c r="K15" i="4"/>
  <c r="K14" i="4"/>
  <c r="K13" i="4"/>
  <c r="K12" i="4"/>
  <c r="K11" i="4"/>
  <c r="K10" i="4"/>
  <c r="K9" i="4"/>
  <c r="K8" i="4"/>
  <c r="K7" i="4"/>
  <c r="K6" i="4"/>
  <c r="K5" i="4"/>
  <c r="G125" i="14"/>
  <c r="G21" i="4"/>
  <c r="G225" i="14"/>
  <c r="I225" i="14" l="1"/>
  <c r="H225" i="14"/>
  <c r="H125" i="14"/>
  <c r="I125" i="14"/>
  <c r="E5" i="13"/>
  <c r="E6" i="13"/>
  <c r="E8" i="13"/>
  <c r="G8" i="13" s="1"/>
  <c r="F9" i="13"/>
  <c r="G9" i="13" s="1"/>
  <c r="F10" i="13"/>
  <c r="G10" i="13" s="1"/>
  <c r="F11" i="13"/>
  <c r="G11" i="13" s="1"/>
  <c r="F12" i="13"/>
  <c r="G12" i="13" s="1"/>
  <c r="F13" i="13"/>
  <c r="G13" i="13" s="1"/>
  <c r="E14" i="13"/>
  <c r="G14" i="13" s="1"/>
  <c r="E7" i="13"/>
  <c r="G7" i="13" s="1"/>
  <c r="E15" i="13"/>
  <c r="G15" i="13" s="1"/>
  <c r="E16" i="13"/>
  <c r="G16" i="13" s="1"/>
  <c r="M9" i="7"/>
  <c r="P9" i="7" s="1"/>
  <c r="Q9" i="7" s="1"/>
  <c r="M10" i="7"/>
  <c r="P10" i="7" s="1"/>
  <c r="Q10" i="7" s="1"/>
  <c r="P4" i="7"/>
  <c r="Q4" i="7" s="1"/>
  <c r="M11" i="7"/>
  <c r="P11" i="7" s="1"/>
  <c r="Q11" i="7" s="1"/>
  <c r="M12" i="7"/>
  <c r="P12" i="7" s="1"/>
  <c r="Q12" i="7" s="1"/>
  <c r="M13" i="7"/>
  <c r="P13" i="7" s="1"/>
  <c r="Q13" i="7" s="1"/>
  <c r="M14" i="7"/>
  <c r="P14" i="7" s="1"/>
  <c r="Q14" i="7" s="1"/>
  <c r="M15" i="7"/>
  <c r="P15" i="7" s="1"/>
  <c r="Q15" i="7" s="1"/>
  <c r="P7" i="7"/>
  <c r="Q7" i="7" s="1"/>
  <c r="P8" i="7"/>
  <c r="Q8" i="7" s="1"/>
  <c r="P5" i="7"/>
  <c r="Q5" i="7" s="1"/>
  <c r="P6" i="7"/>
  <c r="Q6" i="7" s="1"/>
  <c r="I21" i="4"/>
  <c r="H21" i="4"/>
  <c r="D16" i="3"/>
  <c r="D15" i="3"/>
  <c r="D14" i="3"/>
  <c r="D13" i="3"/>
  <c r="D12" i="3"/>
  <c r="D11" i="3"/>
  <c r="D10" i="3"/>
  <c r="D9" i="3"/>
  <c r="D8" i="3"/>
  <c r="D7" i="3"/>
  <c r="D6" i="3"/>
  <c r="D5" i="3"/>
  <c r="D16" i="5"/>
  <c r="D15" i="5"/>
  <c r="D14" i="5"/>
  <c r="D13" i="5"/>
  <c r="D12" i="5"/>
  <c r="D11" i="5"/>
  <c r="D10" i="5"/>
  <c r="D9" i="5"/>
  <c r="D8" i="5"/>
  <c r="D7" i="5"/>
  <c r="D6" i="5"/>
  <c r="D5" i="5"/>
  <c r="D16" i="2"/>
  <c r="D15" i="2"/>
  <c r="D14" i="2"/>
  <c r="D13" i="2"/>
  <c r="D12" i="2"/>
  <c r="D11" i="2"/>
  <c r="D10" i="2"/>
  <c r="D9" i="2"/>
  <c r="D8" i="2"/>
  <c r="D7" i="2"/>
  <c r="D6" i="2"/>
  <c r="D5" i="2"/>
  <c r="J5" i="13"/>
  <c r="G5" i="5"/>
  <c r="J225" i="14" l="1"/>
  <c r="F226" i="14" s="1"/>
  <c r="G6" i="13"/>
  <c r="G5" i="13"/>
  <c r="J125" i="14"/>
  <c r="F126" i="14" s="1"/>
  <c r="L5" i="13"/>
  <c r="K5" i="13"/>
  <c r="J21" i="4"/>
  <c r="F22" i="4" s="1"/>
  <c r="I5" i="3"/>
  <c r="H5" i="3"/>
  <c r="I5" i="5"/>
  <c r="H5" i="5"/>
  <c r="G226" i="14"/>
  <c r="G5" i="2"/>
  <c r="G22" i="4"/>
  <c r="I226" i="14" l="1"/>
  <c r="H226" i="14"/>
  <c r="J226" i="14"/>
  <c r="F227" i="14" s="1"/>
  <c r="J5" i="3"/>
  <c r="F6" i="3" s="1"/>
  <c r="M5" i="13"/>
  <c r="I6" i="13" s="1"/>
  <c r="H22" i="4"/>
  <c r="I22" i="4"/>
  <c r="H5" i="2"/>
  <c r="I5" i="2"/>
  <c r="J5" i="5"/>
  <c r="F6" i="5" s="1"/>
  <c r="J6" i="13"/>
  <c r="G126" i="14"/>
  <c r="G227" i="14"/>
  <c r="G6" i="5"/>
  <c r="G6" i="3"/>
  <c r="I227" i="14" l="1"/>
  <c r="H227" i="14"/>
  <c r="I126" i="14"/>
  <c r="H126" i="14"/>
  <c r="I6" i="3"/>
  <c r="H6" i="3"/>
  <c r="K6" i="13"/>
  <c r="L6" i="13"/>
  <c r="J22" i="4"/>
  <c r="F23" i="4" s="1"/>
  <c r="I6" i="5"/>
  <c r="H6" i="5"/>
  <c r="J5" i="2"/>
  <c r="F6" i="2" s="1"/>
  <c r="G23" i="4"/>
  <c r="G6" i="2"/>
  <c r="J227" i="14" l="1"/>
  <c r="F228" i="14" s="1"/>
  <c r="J126" i="14"/>
  <c r="F127" i="14" s="1"/>
  <c r="J6" i="3"/>
  <c r="F7" i="3" s="1"/>
  <c r="J6" i="5"/>
  <c r="F7" i="5" s="1"/>
  <c r="M6" i="13"/>
  <c r="I7" i="13" s="1"/>
  <c r="I23" i="4"/>
  <c r="H23" i="4"/>
  <c r="H6" i="2"/>
  <c r="I6" i="2"/>
  <c r="G7" i="3"/>
  <c r="G127" i="14"/>
  <c r="G7" i="5"/>
  <c r="J7" i="13"/>
  <c r="G228" i="14"/>
  <c r="I228" i="14" l="1"/>
  <c r="H228" i="14"/>
  <c r="J228" i="14" s="1"/>
  <c r="F229" i="14" s="1"/>
  <c r="H127" i="14"/>
  <c r="I127" i="14"/>
  <c r="I7" i="3"/>
  <c r="H7" i="3"/>
  <c r="I7" i="5"/>
  <c r="H7" i="5"/>
  <c r="L7" i="13"/>
  <c r="K7" i="13"/>
  <c r="J23" i="4"/>
  <c r="F24" i="4" s="1"/>
  <c r="J6" i="2"/>
  <c r="F7" i="2" s="1"/>
  <c r="G229" i="14"/>
  <c r="G7" i="2"/>
  <c r="G24" i="4"/>
  <c r="J7" i="3" l="1"/>
  <c r="F8" i="3" s="1"/>
  <c r="I229" i="14"/>
  <c r="H229" i="14"/>
  <c r="J7" i="5"/>
  <c r="F8" i="5" s="1"/>
  <c r="J127" i="14"/>
  <c r="F128" i="14" s="1"/>
  <c r="M7" i="13"/>
  <c r="I8" i="13" s="1"/>
  <c r="H24" i="4"/>
  <c r="I24" i="4"/>
  <c r="H7" i="2"/>
  <c r="I7" i="2"/>
  <c r="G128" i="14"/>
  <c r="G8" i="5"/>
  <c r="J8" i="13"/>
  <c r="G8" i="3"/>
  <c r="I8" i="3" l="1"/>
  <c r="H8" i="3"/>
  <c r="J229" i="14"/>
  <c r="F230" i="14" s="1"/>
  <c r="H8" i="5"/>
  <c r="I8" i="5"/>
  <c r="I128" i="14"/>
  <c r="H128" i="14"/>
  <c r="K8" i="13"/>
  <c r="L8" i="13"/>
  <c r="J24" i="4"/>
  <c r="F25" i="4" s="1"/>
  <c r="J7" i="2"/>
  <c r="F8" i="2" s="1"/>
  <c r="G8" i="2"/>
  <c r="G25" i="4"/>
  <c r="G230" i="14"/>
  <c r="J8" i="5" l="1"/>
  <c r="F9" i="5" s="1"/>
  <c r="J8" i="3"/>
  <c r="F9" i="3" s="1"/>
  <c r="H230" i="14"/>
  <c r="I230" i="14"/>
  <c r="J128" i="14"/>
  <c r="F129" i="14" s="1"/>
  <c r="M8" i="13"/>
  <c r="I9" i="13" s="1"/>
  <c r="H8" i="2"/>
  <c r="I8" i="2"/>
  <c r="H25" i="4"/>
  <c r="I25" i="4"/>
  <c r="G9" i="5"/>
  <c r="G129" i="14"/>
  <c r="G9" i="3"/>
  <c r="J9" i="13"/>
  <c r="I9" i="3" l="1"/>
  <c r="H9" i="3"/>
  <c r="I9" i="5"/>
  <c r="H9" i="5"/>
  <c r="J230" i="14"/>
  <c r="F231" i="14" s="1"/>
  <c r="I129" i="14"/>
  <c r="H129" i="14"/>
  <c r="J9" i="5"/>
  <c r="F10" i="5" s="1"/>
  <c r="J9" i="3"/>
  <c r="F10" i="3" s="1"/>
  <c r="J8" i="2"/>
  <c r="F9" i="2" s="1"/>
  <c r="J25" i="4"/>
  <c r="F26" i="4" s="1"/>
  <c r="K9" i="13"/>
  <c r="L9" i="13"/>
  <c r="G10" i="5"/>
  <c r="G26" i="4"/>
  <c r="G9" i="2"/>
  <c r="G231" i="14"/>
  <c r="G10" i="3"/>
  <c r="H231" i="14" l="1"/>
  <c r="I231" i="14"/>
  <c r="J129" i="14"/>
  <c r="F130" i="14" s="1"/>
  <c r="H10" i="5"/>
  <c r="I10" i="5"/>
  <c r="I10" i="3"/>
  <c r="H10" i="3"/>
  <c r="H26" i="4"/>
  <c r="I26" i="4"/>
  <c r="H9" i="2"/>
  <c r="I9" i="2"/>
  <c r="M9" i="13"/>
  <c r="I10" i="13" s="1"/>
  <c r="G130" i="14"/>
  <c r="J10" i="13"/>
  <c r="J231" i="14" l="1"/>
  <c r="F232" i="14" s="1"/>
  <c r="J10" i="3"/>
  <c r="F11" i="3" s="1"/>
  <c r="J26" i="4"/>
  <c r="F27" i="4" s="1"/>
  <c r="J10" i="5"/>
  <c r="F11" i="5" s="1"/>
  <c r="I130" i="14"/>
  <c r="H130" i="14"/>
  <c r="J9" i="2"/>
  <c r="F10" i="2" s="1"/>
  <c r="K10" i="13"/>
  <c r="L10" i="13"/>
  <c r="G27" i="4"/>
  <c r="G232" i="14"/>
  <c r="G10" i="2"/>
  <c r="G11" i="5"/>
  <c r="G11" i="3"/>
  <c r="H232" i="14" l="1"/>
  <c r="I232" i="14"/>
  <c r="H27" i="4"/>
  <c r="I27" i="4"/>
  <c r="I11" i="3"/>
  <c r="H11" i="3"/>
  <c r="J11" i="3" s="1"/>
  <c r="F12" i="3" s="1"/>
  <c r="J130" i="14"/>
  <c r="F131" i="14" s="1"/>
  <c r="I11" i="5"/>
  <c r="H11" i="5"/>
  <c r="J232" i="14"/>
  <c r="F233" i="14" s="1"/>
  <c r="H10" i="2"/>
  <c r="I10" i="2"/>
  <c r="M10" i="13"/>
  <c r="I11" i="13" s="1"/>
  <c r="G233" i="14"/>
  <c r="G131" i="14"/>
  <c r="G12" i="3"/>
  <c r="J11" i="13"/>
  <c r="J11" i="5" l="1"/>
  <c r="F12" i="5" s="1"/>
  <c r="J27" i="4"/>
  <c r="F28" i="4" s="1"/>
  <c r="J10" i="2"/>
  <c r="F11" i="2" s="1"/>
  <c r="I233" i="14"/>
  <c r="H233" i="14"/>
  <c r="I131" i="14"/>
  <c r="H131" i="14"/>
  <c r="I12" i="3"/>
  <c r="H12" i="3"/>
  <c r="K11" i="13"/>
  <c r="L11" i="13"/>
  <c r="G12" i="5"/>
  <c r="G28" i="4"/>
  <c r="G11" i="2"/>
  <c r="H12" i="5" l="1"/>
  <c r="I12" i="5"/>
  <c r="H28" i="4"/>
  <c r="I28" i="4"/>
  <c r="H11" i="2"/>
  <c r="I11" i="2"/>
  <c r="J12" i="3"/>
  <c r="F13" i="3" s="1"/>
  <c r="J233" i="14"/>
  <c r="F234" i="14" s="1"/>
  <c r="J131" i="14"/>
  <c r="F132" i="14" s="1"/>
  <c r="J12" i="5"/>
  <c r="F13" i="5" s="1"/>
  <c r="M11" i="13"/>
  <c r="I12" i="13" s="1"/>
  <c r="G132" i="14"/>
  <c r="G234" i="14"/>
  <c r="J12" i="13"/>
  <c r="G13" i="5"/>
  <c r="G13" i="3"/>
  <c r="J28" i="4" l="1"/>
  <c r="F29" i="4" s="1"/>
  <c r="J11" i="2"/>
  <c r="F12" i="2" s="1"/>
  <c r="H13" i="3"/>
  <c r="I13" i="3"/>
  <c r="J13" i="3" s="1"/>
  <c r="F14" i="3" s="1"/>
  <c r="I234" i="14"/>
  <c r="H234" i="14"/>
  <c r="J234" i="14" s="1"/>
  <c r="F238" i="14"/>
  <c r="H132" i="14"/>
  <c r="I132" i="14"/>
  <c r="H13" i="5"/>
  <c r="I13" i="5"/>
  <c r="K12" i="13"/>
  <c r="L12" i="13"/>
  <c r="G29" i="4"/>
  <c r="G14" i="3"/>
  <c r="G12" i="2"/>
  <c r="H29" i="4" l="1"/>
  <c r="I29" i="4"/>
  <c r="I12" i="2"/>
  <c r="H12" i="2"/>
  <c r="J132" i="14"/>
  <c r="F133" i="14" s="1"/>
  <c r="J13" i="5"/>
  <c r="F14" i="5" s="1"/>
  <c r="J29" i="4"/>
  <c r="F30" i="4" s="1"/>
  <c r="M12" i="13"/>
  <c r="I13" i="13" s="1"/>
  <c r="J12" i="2"/>
  <c r="F13" i="2" s="1"/>
  <c r="H14" i="3"/>
  <c r="I14" i="3"/>
  <c r="G30" i="4"/>
  <c r="J13" i="13"/>
  <c r="G13" i="2"/>
  <c r="G14" i="5"/>
  <c r="G133" i="14"/>
  <c r="H133" i="14" l="1"/>
  <c r="I133" i="14"/>
  <c r="I14" i="5"/>
  <c r="H14" i="5"/>
  <c r="H30" i="4"/>
  <c r="I30" i="4"/>
  <c r="L13" i="13"/>
  <c r="K13" i="13"/>
  <c r="I13" i="2"/>
  <c r="H13" i="2"/>
  <c r="J14" i="3"/>
  <c r="F15" i="3" s="1"/>
  <c r="G15" i="3"/>
  <c r="J14" i="5" l="1"/>
  <c r="F15" i="5" s="1"/>
  <c r="M13" i="13"/>
  <c r="I14" i="13" s="1"/>
  <c r="J30" i="4"/>
  <c r="F31" i="4" s="1"/>
  <c r="J133" i="14"/>
  <c r="F134" i="14" s="1"/>
  <c r="J13" i="2"/>
  <c r="F14" i="2" s="1"/>
  <c r="I15" i="3"/>
  <c r="H15" i="3"/>
  <c r="G14" i="2"/>
  <c r="J14" i="13"/>
  <c r="G15" i="5"/>
  <c r="G134" i="14"/>
  <c r="G31" i="4"/>
  <c r="I15" i="5" l="1"/>
  <c r="H15" i="5"/>
  <c r="L14" i="13"/>
  <c r="K14" i="13"/>
  <c r="I31" i="4"/>
  <c r="H31" i="4"/>
  <c r="J31" i="4" s="1"/>
  <c r="F32" i="4" s="1"/>
  <c r="H134" i="14"/>
  <c r="I134" i="14"/>
  <c r="J15" i="5"/>
  <c r="F16" i="5" s="1"/>
  <c r="J15" i="3"/>
  <c r="F16" i="3" s="1"/>
  <c r="H14" i="2"/>
  <c r="I14" i="2"/>
  <c r="G16" i="5"/>
  <c r="G32" i="4"/>
  <c r="G16" i="3"/>
  <c r="M14" i="13" l="1"/>
  <c r="I15" i="13" s="1"/>
  <c r="J134" i="14"/>
  <c r="F135" i="14" s="1"/>
  <c r="F139" i="14" s="1"/>
  <c r="I16" i="5"/>
  <c r="H16" i="5"/>
  <c r="J16" i="5" s="1"/>
  <c r="F17" i="5" s="1"/>
  <c r="F21" i="5" s="1"/>
  <c r="H16" i="3"/>
  <c r="I16" i="3"/>
  <c r="J14" i="2"/>
  <c r="F15" i="2" s="1"/>
  <c r="I32" i="4"/>
  <c r="H32" i="4"/>
  <c r="J15" i="13"/>
  <c r="G15" i="2"/>
  <c r="J16" i="3" l="1"/>
  <c r="F17" i="3" s="1"/>
  <c r="F21" i="3" s="1"/>
  <c r="L15" i="13"/>
  <c r="K15" i="13"/>
  <c r="J32" i="4"/>
  <c r="F33" i="4" s="1"/>
  <c r="F37" i="4" s="1"/>
  <c r="I15" i="2"/>
  <c r="H15" i="2"/>
  <c r="M15" i="13" l="1"/>
  <c r="I16" i="13" s="1"/>
  <c r="J15" i="2"/>
  <c r="F16" i="2" s="1"/>
  <c r="J16" i="13"/>
  <c r="G16" i="2"/>
  <c r="K16" i="13" l="1"/>
  <c r="L16" i="13"/>
  <c r="I16" i="2"/>
  <c r="H16" i="2"/>
  <c r="M16" i="13" l="1"/>
  <c r="I17" i="13" s="1"/>
  <c r="I21" i="13" s="1"/>
  <c r="J16" i="2"/>
  <c r="F17" i="2" s="1"/>
  <c r="F21" i="2" s="1"/>
</calcChain>
</file>

<file path=xl/sharedStrings.xml><?xml version="1.0" encoding="utf-8"?>
<sst xmlns="http://schemas.openxmlformats.org/spreadsheetml/2006/main" count="539" uniqueCount="171">
  <si>
    <t>Бирабен</t>
  </si>
  <si>
    <t>р</t>
  </si>
  <si>
    <t>с</t>
  </si>
  <si>
    <t>год</t>
  </si>
  <si>
    <t>еп</t>
  </si>
  <si>
    <t>ПК</t>
  </si>
  <si>
    <t>рождаемость</t>
  </si>
  <si>
    <t>смертность</t>
  </si>
  <si>
    <t>УЧ</t>
  </si>
  <si>
    <t>БОЯ</t>
  </si>
  <si>
    <t>М</t>
  </si>
  <si>
    <t>БИР</t>
  </si>
  <si>
    <t>АДХ</t>
  </si>
  <si>
    <t>У1</t>
  </si>
  <si>
    <t>У2</t>
  </si>
  <si>
    <t>АО</t>
  </si>
  <si>
    <t>АТ</t>
  </si>
  <si>
    <t>Реконструкции рождаемости и смертности для 1915-1926</t>
  </si>
  <si>
    <t>учёт</t>
  </si>
  <si>
    <t>Боярский</t>
  </si>
  <si>
    <t>Боярский с поправкой Максудова</t>
  </si>
  <si>
    <t>Андреев, Дарский, Харькова</t>
  </si>
  <si>
    <t>Урланис</t>
  </si>
  <si>
    <t>Урлания</t>
  </si>
  <si>
    <t>Поляков, Киселёв</t>
  </si>
  <si>
    <t>Адамец</t>
  </si>
  <si>
    <t>мигр</t>
  </si>
  <si>
    <t>чн-сред</t>
  </si>
  <si>
    <t>чр</t>
  </si>
  <si>
    <t>чс</t>
  </si>
  <si>
    <t>чн-1 янв</t>
  </si>
  <si>
    <t>1927-АДХ</t>
  </si>
  <si>
    <t>еп-чел</t>
  </si>
  <si>
    <t>разница (избыток)</t>
  </si>
  <si>
    <t>среднее</t>
  </si>
  <si>
    <t>тыс</t>
  </si>
  <si>
    <t>чс-детск</t>
  </si>
  <si>
    <t>чс-взросл-мирн</t>
  </si>
  <si>
    <t>чс-воен</t>
  </si>
  <si>
    <t>чс-все</t>
  </si>
  <si>
    <t>Архангельская</t>
  </si>
  <si>
    <t>Астраханская</t>
  </si>
  <si>
    <t>Бессарабская</t>
  </si>
  <si>
    <t>Виленская</t>
  </si>
  <si>
    <t>Витебская</t>
  </si>
  <si>
    <t>Владимирская</t>
  </si>
  <si>
    <t>Волынская</t>
  </si>
  <si>
    <t>Воронежская</t>
  </si>
  <si>
    <t>Вятская</t>
  </si>
  <si>
    <t>Гродненская</t>
  </si>
  <si>
    <t>Вологодская</t>
  </si>
  <si>
    <t>Обл. Войска Донского</t>
  </si>
  <si>
    <t>Екатеринославская</t>
  </si>
  <si>
    <t>Казанская</t>
  </si>
  <si>
    <t>Калужская</t>
  </si>
  <si>
    <t>Киевская</t>
  </si>
  <si>
    <t>Ковенская</t>
  </si>
  <si>
    <t>Костромская</t>
  </si>
  <si>
    <t>Курляндская</t>
  </si>
  <si>
    <t>Курская</t>
  </si>
  <si>
    <t>Лифляндская</t>
  </si>
  <si>
    <t>Минская</t>
  </si>
  <si>
    <t>Могилевская</t>
  </si>
  <si>
    <t>Московская</t>
  </si>
  <si>
    <t>гор. Москва</t>
  </si>
  <si>
    <t>Нижегородская</t>
  </si>
  <si>
    <t>Новгородская</t>
  </si>
  <si>
    <t>Олонецкая</t>
  </si>
  <si>
    <t>Орловская</t>
  </si>
  <si>
    <t>Пензенская</t>
  </si>
  <si>
    <t>Пермская</t>
  </si>
  <si>
    <t>Тамбовская</t>
  </si>
  <si>
    <t>Тверская</t>
  </si>
  <si>
    <t>Петроградская</t>
  </si>
  <si>
    <t>г. Петроград</t>
  </si>
  <si>
    <t>Подольская</t>
  </si>
  <si>
    <t>Полтавская</t>
  </si>
  <si>
    <t>Псковская</t>
  </si>
  <si>
    <t>Рязанская</t>
  </si>
  <si>
    <t>Самарская</t>
  </si>
  <si>
    <t>Саратовская</t>
  </si>
  <si>
    <t>Симбирская</t>
  </si>
  <si>
    <t>Смоленская</t>
  </si>
  <si>
    <t>Таврическая</t>
  </si>
  <si>
    <t>Тульская</t>
  </si>
  <si>
    <t>Уфимская</t>
  </si>
  <si>
    <t>Харьковская</t>
  </si>
  <si>
    <t>Херсонская</t>
  </si>
  <si>
    <t>Черниговская</t>
  </si>
  <si>
    <t>Эстляндская</t>
  </si>
  <si>
    <t>Ярославская</t>
  </si>
  <si>
    <t>С.А. Новосельский, "Влияние войны на естественное движение населения" //</t>
  </si>
  <si>
    <t>приложение</t>
  </si>
  <si>
    <t>браки</t>
  </si>
  <si>
    <t>смерти</t>
  </si>
  <si>
    <t>прирост</t>
  </si>
  <si>
    <t>рождения</t>
  </si>
  <si>
    <t>Строки:</t>
  </si>
  <si>
    <t>Строки для территорий вошедших в состав РСФСР-1991</t>
  </si>
  <si>
    <t>Оренбургская</t>
  </si>
  <si>
    <t>губерния</t>
  </si>
  <si>
    <t>Числа рождений</t>
  </si>
  <si>
    <t>YY-sum</t>
  </si>
  <si>
    <t>1913-sum</t>
  </si>
  <si>
    <t>% YY vs 1913</t>
  </si>
  <si>
    <t>примерный cbr</t>
  </si>
  <si>
    <t>Число смертей</t>
  </si>
  <si>
    <t>Смерти</t>
  </si>
  <si>
    <t>Рождения</t>
  </si>
  <si>
    <t>Баланс по реконструкции Боярского</t>
  </si>
  <si>
    <t>Баланс по реконструкции Максудова (модификация Боярского)</t>
  </si>
  <si>
    <t>Баланс по реконструкции Бирабена</t>
  </si>
  <si>
    <t>Среднее четырёх оценок и баланс по нему</t>
  </si>
  <si>
    <t>Баланс по модифицированной реконструкции Боярского</t>
  </si>
  <si>
    <t>тяжесть года</t>
  </si>
  <si>
    <t>множитель тяжести</t>
  </si>
  <si>
    <t>вес тяжести:</t>
  </si>
  <si>
    <t>По всем имеющимся на 1916 год</t>
  </si>
  <si>
    <t>По всем имеющимся на 1917 год</t>
  </si>
  <si>
    <t>По всем имеющимся на 1915 год</t>
  </si>
  <si>
    <t>По всем имеющимся на 1914 год</t>
  </si>
  <si>
    <t>По всем совокупностям</t>
  </si>
  <si>
    <t>календарный год</t>
  </si>
  <si>
    <t>все-1914</t>
  </si>
  <si>
    <t>все-1915</t>
  </si>
  <si>
    <t>все-1916</t>
  </si>
  <si>
    <t>все-1917</t>
  </si>
  <si>
    <t>По всем имеющимся на текущий календарный год</t>
  </si>
  <si>
    <t>1916 vs 1913</t>
  </si>
  <si>
    <t>1915 vs 1913</t>
  </si>
  <si>
    <t>1917vs 1913</t>
  </si>
  <si>
    <t>среднее за 1915 оставшихся в 1917</t>
  </si>
  <si>
    <t>среднее за 1915 выпавших в 1917</t>
  </si>
  <si>
    <t>среднее за 1916 оставшихся в 1917</t>
  </si>
  <si>
    <t>среднее за 1916 выпавших в 1917</t>
  </si>
  <si>
    <t>среднее за 1915 оставшихся в 1916</t>
  </si>
  <si>
    <t>среднее за 1915 выпавших в 1916</t>
  </si>
  <si>
    <t>Труды комиссии по обследованию санитарных последствий войны 1914-1920 гг., вып. 1, М.-Пг. : Наркомздрав, 1923, стр. 204-208</t>
  </si>
  <si>
    <t>естественный прирост</t>
  </si>
  <si>
    <t>Боряский</t>
  </si>
  <si>
    <t>промилле</t>
  </si>
  <si>
    <t>проценты</t>
  </si>
  <si>
    <t>Новосельский (чр)</t>
  </si>
  <si>
    <t>Урланис (‰)</t>
  </si>
  <si>
    <t>Боряский (‰)</t>
  </si>
  <si>
    <t>Бирабен (‰)</t>
  </si>
  <si>
    <t>Вятская губ. (чр)</t>
  </si>
  <si>
    <t>У1-РСФСР</t>
  </si>
  <si>
    <t>мн.</t>
  </si>
  <si>
    <t>У1 + УЧ</t>
  </si>
  <si>
    <t>У1-УЧ-мод</t>
  </si>
  <si>
    <t>множитель для РСФСР</t>
  </si>
  <si>
    <t>тяжесть
года</t>
  </si>
  <si>
    <t>вес тяжести</t>
  </si>
  <si>
    <t>АДХ СССР</t>
  </si>
  <si>
    <t>АО перебаз. РСФСР</t>
  </si>
  <si>
    <t>У1 перебаз. РСФСР</t>
  </si>
  <si>
    <t>АДХ
перебаз.
РСФСР</t>
  </si>
  <si>
    <t>АТ
перебаз.
РСФСР</t>
  </si>
  <si>
    <t xml:space="preserve">итог </t>
  </si>
  <si>
    <t>Андреев, Дарский, Харькова для СССР</t>
  </si>
  <si>
    <t>Рождаемость: привязка Урланиса У1 к РСФСР, соединение с УЧ и поднятие правой части к уровням АДХ-РСФСР 1927</t>
  </si>
  <si>
    <t>ослабить смертность в 1919-1922 до:</t>
  </si>
  <si>
    <t>YearAveragePopulation(YearStartPopulation,CBR,CDR,Migration)</t>
  </si>
  <si>
    <t>Баланс: вариант 1 (предварительный)</t>
  </si>
  <si>
    <t>Смертность: вариант 1 (предварительный)</t>
  </si>
  <si>
    <t>Смертность: вариант 2 (окончательный)</t>
  </si>
  <si>
    <t>Баланс: вариант 2 (окончательный)</t>
  </si>
  <si>
    <t>Сравнение оценок смертности</t>
  </si>
  <si>
    <t>Сравнение оценок рождаемости</t>
  </si>
  <si>
    <t>наша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</si>
</sst>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#,##0.0"/>
    <numFmt numFmtId="166" formatCode="0.000"/>
    <numFmt numFmtId="167" formatCode="0.000000"/>
    <numFmt numFmtId="168" formatCode="0.000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6"/>
      <color rgb="FF0070C0"/>
      <name val="Calibri"/>
      <family val="2"/>
      <scheme val="minor"/>
    </font>
    <font>
      <b/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EEECE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7">
    <xf numFmtId="0" fontId="0" fillId="0" borderId="0" xfId="0"/>
    <xf numFmtId="164" fontId="0" fillId="0" borderId="0" xfId="0" applyNumberFormat="1" applyAlignment="1">
      <alignment vertical="center" wrapText="1"/>
    </xf>
    <xf numFmtId="164" fontId="0" fillId="0" borderId="0" xfId="0" applyNumberFormat="1"/>
    <xf numFmtId="3" fontId="0" fillId="0" borderId="0" xfId="0" applyNumberFormat="1"/>
    <xf numFmtId="3" fontId="0" fillId="0" borderId="0" xfId="0" applyNumberFormat="1" applyAlignment="1">
      <alignment vertical="center" wrapText="1"/>
    </xf>
    <xf numFmtId="0" fontId="0" fillId="0" borderId="0" xfId="0" applyAlignment="1">
      <alignment horizontal="center"/>
    </xf>
    <xf numFmtId="0" fontId="3" fillId="0" borderId="0" xfId="0" applyFont="1"/>
    <xf numFmtId="0" fontId="0" fillId="0" borderId="0" xfId="0" applyAlignment="1">
      <alignment vertical="center" wrapText="1"/>
    </xf>
    <xf numFmtId="0" fontId="4" fillId="4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2" fillId="4" borderId="0" xfId="0" applyFont="1" applyFill="1" applyAlignment="1">
      <alignment horizontal="center"/>
    </xf>
    <xf numFmtId="0" fontId="2" fillId="4" borderId="0" xfId="0" applyFont="1" applyFill="1" applyAlignment="1">
      <alignment horizontal="center" vertical="center" wrapText="1"/>
    </xf>
    <xf numFmtId="0" fontId="0" fillId="4" borderId="0" xfId="0" applyFill="1"/>
    <xf numFmtId="0" fontId="2" fillId="4" borderId="0" xfId="0" applyFont="1" applyFill="1"/>
    <xf numFmtId="0" fontId="2" fillId="2" borderId="0" xfId="0" applyFont="1" applyFill="1" applyAlignment="1">
      <alignment horizontal="center" wrapText="1"/>
    </xf>
    <xf numFmtId="164" fontId="1" fillId="0" borderId="0" xfId="0" applyNumberFormat="1" applyFont="1" applyAlignment="1">
      <alignment horizontal="right" vertical="center" wrapText="1"/>
    </xf>
    <xf numFmtId="0" fontId="4" fillId="3" borderId="0" xfId="0" applyFont="1" applyFill="1" applyAlignment="1">
      <alignment horizontal="center" vertical="center" wrapText="1"/>
    </xf>
    <xf numFmtId="49" fontId="0" fillId="0" borderId="0" xfId="0" applyNumberFormat="1"/>
    <xf numFmtId="0" fontId="2" fillId="0" borderId="0" xfId="0" applyFont="1"/>
    <xf numFmtId="3" fontId="5" fillId="3" borderId="0" xfId="0" applyNumberFormat="1" applyFont="1" applyFill="1"/>
    <xf numFmtId="0" fontId="6" fillId="0" borderId="0" xfId="0" applyFont="1"/>
    <xf numFmtId="0" fontId="2" fillId="0" borderId="0" xfId="0" applyFont="1" applyAlignment="1">
      <alignment horizontal="right"/>
    </xf>
    <xf numFmtId="2" fontId="0" fillId="0" borderId="0" xfId="0" applyNumberFormat="1"/>
    <xf numFmtId="2" fontId="0" fillId="0" borderId="0" xfId="0" applyNumberFormat="1" applyAlignment="1">
      <alignment vertical="center" wrapText="1"/>
    </xf>
    <xf numFmtId="0" fontId="5" fillId="4" borderId="0" xfId="0" applyFont="1" applyFill="1"/>
    <xf numFmtId="0" fontId="2" fillId="0" borderId="0" xfId="0" applyFont="1" applyFill="1" applyAlignment="1">
      <alignment horizontal="center"/>
    </xf>
    <xf numFmtId="0" fontId="0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3" fontId="0" fillId="0" borderId="0" xfId="0" applyNumberFormat="1" applyFont="1" applyFill="1" applyAlignment="1">
      <alignment horizontal="right"/>
    </xf>
    <xf numFmtId="0" fontId="0" fillId="0" borderId="0" xfId="0" applyFont="1" applyAlignment="1">
      <alignment horizontal="right"/>
    </xf>
    <xf numFmtId="3" fontId="0" fillId="0" borderId="0" xfId="0" applyNumberFormat="1" applyFont="1"/>
    <xf numFmtId="164" fontId="0" fillId="0" borderId="0" xfId="0" applyNumberFormat="1" applyFont="1" applyAlignment="1">
      <alignment horizontal="right"/>
    </xf>
    <xf numFmtId="165" fontId="0" fillId="0" borderId="0" xfId="0" applyNumberFormat="1"/>
    <xf numFmtId="164" fontId="0" fillId="6" borderId="0" xfId="0" applyNumberFormat="1" applyFont="1" applyFill="1"/>
    <xf numFmtId="0" fontId="0" fillId="0" borderId="0" xfId="0" applyAlignment="1">
      <alignment horizontal="center"/>
    </xf>
    <xf numFmtId="164" fontId="0" fillId="0" borderId="0" xfId="0" applyNumberFormat="1" applyFont="1" applyBorder="1" applyAlignment="1">
      <alignment vertical="center" wrapText="1"/>
    </xf>
    <xf numFmtId="164" fontId="1" fillId="0" borderId="0" xfId="0" applyNumberFormat="1" applyFont="1" applyBorder="1" applyAlignment="1">
      <alignment horizontal="right" vertical="center" wrapText="1"/>
    </xf>
    <xf numFmtId="164" fontId="1" fillId="0" borderId="0" xfId="0" applyNumberFormat="1" applyFont="1" applyFill="1" applyBorder="1" applyAlignment="1">
      <alignment horizontal="center" vertical="center" wrapText="1"/>
    </xf>
    <xf numFmtId="164" fontId="0" fillId="0" borderId="0" xfId="0" applyNumberFormat="1" applyFont="1" applyFill="1" applyBorder="1" applyAlignment="1">
      <alignment vertical="center" wrapText="1"/>
    </xf>
    <xf numFmtId="1" fontId="0" fillId="0" borderId="0" xfId="0" applyNumberFormat="1" applyFont="1" applyFill="1" applyBorder="1" applyAlignment="1">
      <alignment horizontal="center" wrapText="1"/>
    </xf>
    <xf numFmtId="1" fontId="0" fillId="0" borderId="0" xfId="0" applyNumberFormat="1" applyFont="1" applyBorder="1" applyAlignment="1">
      <alignment horizontal="center" vertical="center" wrapText="1"/>
    </xf>
    <xf numFmtId="1" fontId="0" fillId="0" borderId="0" xfId="0" applyNumberFormat="1" applyFont="1" applyFill="1" applyBorder="1" applyAlignment="1">
      <alignment horizontal="center" vertical="center" wrapText="1"/>
    </xf>
    <xf numFmtId="164" fontId="0" fillId="3" borderId="0" xfId="0" applyNumberFormat="1" applyFont="1" applyFill="1" applyBorder="1" applyAlignment="1">
      <alignment vertical="center" wrapText="1"/>
    </xf>
    <xf numFmtId="164" fontId="0" fillId="7" borderId="0" xfId="0" applyNumberFormat="1" applyFont="1" applyFill="1" applyBorder="1" applyAlignment="1">
      <alignment vertical="center" wrapText="1"/>
    </xf>
    <xf numFmtId="0" fontId="7" fillId="0" borderId="0" xfId="0" applyFont="1"/>
    <xf numFmtId="0" fontId="4" fillId="5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/>
    <xf numFmtId="164" fontId="0" fillId="0" borderId="0" xfId="0" applyNumberFormat="1" applyFill="1"/>
    <xf numFmtId="166" fontId="0" fillId="0" borderId="0" xfId="0" applyNumberFormat="1" applyFill="1"/>
    <xf numFmtId="0" fontId="2" fillId="0" borderId="0" xfId="0" applyFont="1" applyFill="1"/>
    <xf numFmtId="0" fontId="2" fillId="2" borderId="0" xfId="0" applyFont="1" applyFill="1" applyAlignment="1">
      <alignment horizontal="center" vertical="center" wrapText="1"/>
    </xf>
    <xf numFmtId="0" fontId="2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 wrapText="1"/>
    </xf>
    <xf numFmtId="0" fontId="0" fillId="0" borderId="0" xfId="0" applyFill="1" applyAlignment="1">
      <alignment vertical="center"/>
    </xf>
    <xf numFmtId="0" fontId="0" fillId="0" borderId="0" xfId="0" applyAlignment="1">
      <alignment vertical="center"/>
    </xf>
    <xf numFmtId="0" fontId="2" fillId="0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64" fontId="1" fillId="0" borderId="0" xfId="0" applyNumberFormat="1" applyFont="1" applyFill="1" applyBorder="1" applyAlignment="1">
      <alignment horizontal="right" vertical="center" wrapText="1"/>
    </xf>
    <xf numFmtId="164" fontId="0" fillId="0" borderId="0" xfId="0" applyNumberFormat="1" applyFont="1" applyFill="1" applyAlignment="1">
      <alignment horizontal="right" vertical="center"/>
    </xf>
    <xf numFmtId="3" fontId="0" fillId="0" borderId="0" xfId="0" applyNumberFormat="1" applyFont="1" applyFill="1" applyAlignment="1">
      <alignment horizontal="right" vertical="center"/>
    </xf>
    <xf numFmtId="167" fontId="0" fillId="0" borderId="0" xfId="0" applyNumberFormat="1" applyFill="1"/>
    <xf numFmtId="0" fontId="7" fillId="8" borderId="0" xfId="0" applyFont="1" applyFill="1"/>
    <xf numFmtId="0" fontId="0" fillId="8" borderId="0" xfId="0" applyFill="1"/>
    <xf numFmtId="0" fontId="8" fillId="0" borderId="0" xfId="0" applyFont="1"/>
    <xf numFmtId="168" fontId="0" fillId="0" borderId="0" xfId="0" applyNumberFormat="1"/>
    <xf numFmtId="0" fontId="4" fillId="4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wrapText="1"/>
    </xf>
    <xf numFmtId="0" fontId="2" fillId="3" borderId="0" xfId="0" applyFont="1" applyFill="1"/>
    <xf numFmtId="0" fontId="0" fillId="3" borderId="0" xfId="0" applyFill="1"/>
    <xf numFmtId="2" fontId="0" fillId="0" borderId="0" xfId="0" applyNumberFormat="1" applyFont="1" applyFill="1" applyAlignment="1">
      <alignment horizontal="center"/>
    </xf>
    <xf numFmtId="1" fontId="0" fillId="0" borderId="0" xfId="0" applyNumberFormat="1" applyAlignment="1">
      <alignment horizontal="center" wrapText="1"/>
    </xf>
    <xf numFmtId="164" fontId="1" fillId="0" borderId="0" xfId="0" applyNumberFormat="1" applyFont="1" applyAlignment="1">
      <alignment horizontal="center" vertical="center" wrapText="1"/>
    </xf>
    <xf numFmtId="1" fontId="0" fillId="0" borderId="0" xfId="0" applyNumberFormat="1" applyAlignment="1">
      <alignment horizontal="center" vertical="center" wrapText="1"/>
    </xf>
    <xf numFmtId="0" fontId="0" fillId="0" borderId="0" xfId="0" applyFont="1" applyFill="1" applyAlignment="1">
      <alignment horizontal="right" vertical="center" wrapText="1"/>
    </xf>
    <xf numFmtId="0" fontId="0" fillId="0" borderId="0" xfId="0" applyFont="1" applyFill="1" applyAlignment="1">
      <alignment horizontal="right"/>
    </xf>
    <xf numFmtId="0" fontId="4" fillId="4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2" fillId="2" borderId="0" xfId="0" applyFont="1" applyFill="1" applyAlignment="1">
      <alignment horizont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7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оценки рождаемости</a:t>
            </a:r>
            <a:r>
              <a:rPr lang="en-US" sz="1800" b="1" i="0" baseline="0">
                <a:effectLst/>
              </a:rPr>
              <a:t> (</a:t>
            </a:r>
            <a:r>
              <a:rPr lang="ru-RU" sz="1800" b="1" i="0" baseline="0">
                <a:effectLst/>
              </a:rPr>
              <a:t>‰)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Оценки!$B$6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Оценки!$B$7:$B$20</c:f>
              <c:numCache>
                <c:formatCode>0.0</c:formatCode>
                <c:ptCount val="14"/>
                <c:pt idx="7">
                  <c:v>30.9</c:v>
                </c:pt>
                <c:pt idx="8">
                  <c:v>32.6</c:v>
                </c:pt>
                <c:pt idx="9">
                  <c:v>33.4</c:v>
                </c:pt>
                <c:pt idx="10">
                  <c:v>42.8</c:v>
                </c:pt>
                <c:pt idx="11">
                  <c:v>43.8</c:v>
                </c:pt>
                <c:pt idx="12">
                  <c:v>45.9</c:v>
                </c:pt>
                <c:pt idx="13">
                  <c:v>44.7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25-4EF6-8C55-1A01A644EACB}"/>
            </c:ext>
          </c:extLst>
        </c:ser>
        <c:ser>
          <c:idx val="1"/>
          <c:order val="1"/>
          <c:tx>
            <c:strRef>
              <c:f>Оценки!$C$6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Оценки!$C$7:$C$20</c:f>
              <c:numCache>
                <c:formatCode>0.0</c:formatCode>
                <c:ptCount val="14"/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F25-4EF6-8C55-1A01A644EACB}"/>
            </c:ext>
          </c:extLst>
        </c:ser>
        <c:ser>
          <c:idx val="2"/>
          <c:order val="2"/>
          <c:tx>
            <c:strRef>
              <c:f>Оценки!$D$6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Оценки!$D$7:$D$20</c:f>
              <c:numCache>
                <c:formatCode>0.0</c:formatCode>
                <c:ptCount val="14"/>
                <c:pt idx="0">
                  <c:v>47</c:v>
                </c:pt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F25-4EF6-8C55-1A01A644EACB}"/>
            </c:ext>
          </c:extLst>
        </c:ser>
        <c:ser>
          <c:idx val="3"/>
          <c:order val="3"/>
          <c:tx>
            <c:strRef>
              <c:f>Оценки!$E$6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Оценки!$E$7:$E$20</c:f>
              <c:numCache>
                <c:formatCode>0.0</c:formatCode>
                <c:ptCount val="14"/>
                <c:pt idx="0">
                  <c:v>44.1</c:v>
                </c:pt>
                <c:pt idx="1">
                  <c:v>45.4</c:v>
                </c:pt>
                <c:pt idx="2">
                  <c:v>43.1</c:v>
                </c:pt>
                <c:pt idx="3">
                  <c:v>37.4</c:v>
                </c:pt>
                <c:pt idx="4">
                  <c:v>32.5</c:v>
                </c:pt>
                <c:pt idx="5">
                  <c:v>28.8</c:v>
                </c:pt>
                <c:pt idx="6">
                  <c:v>32.4</c:v>
                </c:pt>
                <c:pt idx="7">
                  <c:v>30.6</c:v>
                </c:pt>
                <c:pt idx="8">
                  <c:v>31.7</c:v>
                </c:pt>
                <c:pt idx="9">
                  <c:v>35</c:v>
                </c:pt>
                <c:pt idx="10">
                  <c:v>36.200000000000003</c:v>
                </c:pt>
                <c:pt idx="11">
                  <c:v>44</c:v>
                </c:pt>
                <c:pt idx="12">
                  <c:v>42.3</c:v>
                </c:pt>
                <c:pt idx="13">
                  <c:v>43.8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F25-4EF6-8C55-1A01A644EACB}"/>
            </c:ext>
          </c:extLst>
        </c:ser>
        <c:ser>
          <c:idx val="4"/>
          <c:order val="4"/>
          <c:tx>
            <c:strRef>
              <c:f>Оценки!$F$6</c:f>
              <c:strCache>
                <c:ptCount val="1"/>
                <c:pt idx="0">
                  <c:v>АДХ СССР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Оценки!$F$7:$F$20</c:f>
              <c:numCache>
                <c:formatCode>0.0</c:formatCode>
                <c:ptCount val="14"/>
                <c:pt idx="7">
                  <c:v>39.299999999999997</c:v>
                </c:pt>
                <c:pt idx="8">
                  <c:v>40.6</c:v>
                </c:pt>
                <c:pt idx="9">
                  <c:v>43.7</c:v>
                </c:pt>
                <c:pt idx="10">
                  <c:v>47</c:v>
                </c:pt>
                <c:pt idx="11">
                  <c:v>49</c:v>
                </c:pt>
                <c:pt idx="12">
                  <c:v>47.3</c:v>
                </c:pt>
                <c:pt idx="13">
                  <c:v>45.6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F25-4EF6-8C55-1A01A644EACB}"/>
            </c:ext>
          </c:extLst>
        </c:ser>
        <c:ser>
          <c:idx val="5"/>
          <c:order val="5"/>
          <c:tx>
            <c:strRef>
              <c:f>Оценки!$G$6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Оценки!$G$7:$G$20</c:f>
              <c:numCache>
                <c:formatCode>0.0</c:formatCode>
                <c:ptCount val="14"/>
                <c:pt idx="0">
                  <c:v>47</c:v>
                </c:pt>
                <c:pt idx="1">
                  <c:v>46.9</c:v>
                </c:pt>
                <c:pt idx="2">
                  <c:v>39.700000000000003</c:v>
                </c:pt>
                <c:pt idx="3">
                  <c:v>29.9</c:v>
                </c:pt>
                <c:pt idx="4">
                  <c:v>23.9</c:v>
                </c:pt>
                <c:pt idx="5">
                  <c:v>32</c:v>
                </c:pt>
                <c:pt idx="6">
                  <c:v>31</c:v>
                </c:pt>
                <c:pt idx="7">
                  <c:v>31.2</c:v>
                </c:pt>
                <c:pt idx="8">
                  <c:v>35.5</c:v>
                </c:pt>
                <c:pt idx="9">
                  <c:v>37.299999999999997</c:v>
                </c:pt>
                <c:pt idx="10">
                  <c:v>43.9</c:v>
                </c:pt>
                <c:pt idx="11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F25-4EF6-8C55-1A01A644EACB}"/>
            </c:ext>
          </c:extLst>
        </c:ser>
        <c:ser>
          <c:idx val="6"/>
          <c:order val="6"/>
          <c:tx>
            <c:strRef>
              <c:f>Оценки!$H$6</c:f>
              <c:strCache>
                <c:ptCount val="1"/>
                <c:pt idx="0">
                  <c:v>У2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Оценки!$H$7:$H$20</c:f>
              <c:numCache>
                <c:formatCode>0.0</c:formatCode>
                <c:ptCount val="14"/>
                <c:pt idx="5">
                  <c:v>31.8</c:v>
                </c:pt>
                <c:pt idx="6">
                  <c:v>30.8</c:v>
                </c:pt>
                <c:pt idx="7">
                  <c:v>31</c:v>
                </c:pt>
                <c:pt idx="8">
                  <c:v>35.299999999999997</c:v>
                </c:pt>
                <c:pt idx="9">
                  <c:v>36.799999999999997</c:v>
                </c:pt>
                <c:pt idx="10">
                  <c:v>42.8</c:v>
                </c:pt>
                <c:pt idx="11">
                  <c:v>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F25-4EF6-8C55-1A01A644EACB}"/>
            </c:ext>
          </c:extLst>
        </c:ser>
        <c:ser>
          <c:idx val="7"/>
          <c:order val="7"/>
          <c:tx>
            <c:strRef>
              <c:f>Оценки!$I$6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Оценки!$I$7:$I$20</c:f>
              <c:numCache>
                <c:formatCode>0.0</c:formatCode>
                <c:ptCount val="14"/>
                <c:pt idx="4">
                  <c:v>27.4</c:v>
                </c:pt>
                <c:pt idx="5">
                  <c:v>33.1</c:v>
                </c:pt>
                <c:pt idx="6">
                  <c:v>30</c:v>
                </c:pt>
                <c:pt idx="7">
                  <c:v>31.3</c:v>
                </c:pt>
                <c:pt idx="8">
                  <c:v>37.799999999999997</c:v>
                </c:pt>
                <c:pt idx="9">
                  <c:v>41.4</c:v>
                </c:pt>
                <c:pt idx="10">
                  <c:v>46.5</c:v>
                </c:pt>
                <c:pt idx="11">
                  <c:v>43.6</c:v>
                </c:pt>
                <c:pt idx="12">
                  <c:v>45.7</c:v>
                </c:pt>
                <c:pt idx="13">
                  <c:v>42.6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F25-4EF6-8C55-1A01A644E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313744"/>
        <c:axId val="258315384"/>
      </c:scatterChart>
      <c:valAx>
        <c:axId val="258313744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315384"/>
        <c:crosses val="autoZero"/>
        <c:crossBetween val="midCat"/>
        <c:majorUnit val="1"/>
      </c:valAx>
      <c:valAx>
        <c:axId val="258315384"/>
        <c:scaling>
          <c:orientation val="minMax"/>
          <c:max val="5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313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оценки смертности </a:t>
            </a:r>
            <a:r>
              <a:rPr lang="en-US" sz="1800" b="1" i="0" baseline="0">
                <a:effectLst/>
              </a:rPr>
              <a:t> (</a:t>
            </a:r>
            <a:r>
              <a:rPr lang="ru-RU" sz="1800" b="1" i="0" baseline="0">
                <a:effectLst/>
              </a:rPr>
              <a:t>‰)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Оценки!$J$6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Оценки!$J$7:$J$20</c:f>
              <c:numCache>
                <c:formatCode>0.0</c:formatCode>
                <c:ptCount val="14"/>
                <c:pt idx="7">
                  <c:v>35.299999999999997</c:v>
                </c:pt>
                <c:pt idx="8">
                  <c:v>29.2</c:v>
                </c:pt>
                <c:pt idx="9">
                  <c:v>32.1</c:v>
                </c:pt>
                <c:pt idx="10">
                  <c:v>23.1</c:v>
                </c:pt>
                <c:pt idx="11">
                  <c:v>24.1</c:v>
                </c:pt>
                <c:pt idx="12">
                  <c:v>25.2</c:v>
                </c:pt>
                <c:pt idx="13">
                  <c:v>21.3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A3-4E85-B7B0-96115104B83D}"/>
            </c:ext>
          </c:extLst>
        </c:ser>
        <c:ser>
          <c:idx val="1"/>
          <c:order val="1"/>
          <c:tx>
            <c:strRef>
              <c:f>Оценки!$K$6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Оценки!$K$7:$K$20</c:f>
              <c:numCache>
                <c:formatCode>0.0</c:formatCode>
                <c:ptCount val="14"/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29.7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A3-4E85-B7B0-96115104B83D}"/>
            </c:ext>
          </c:extLst>
        </c:ser>
        <c:ser>
          <c:idx val="2"/>
          <c:order val="2"/>
          <c:tx>
            <c:strRef>
              <c:f>Оценки!$L$6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Оценки!$L$7:$L$20</c:f>
              <c:numCache>
                <c:formatCode>0.0</c:formatCode>
                <c:ptCount val="14"/>
                <c:pt idx="0">
                  <c:v>30.2</c:v>
                </c:pt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40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0A3-4E85-B7B0-96115104B83D}"/>
            </c:ext>
          </c:extLst>
        </c:ser>
        <c:ser>
          <c:idx val="3"/>
          <c:order val="3"/>
          <c:tx>
            <c:strRef>
              <c:f>Оценки!$M$6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Оценки!$M$7:$M$20</c:f>
              <c:numCache>
                <c:formatCode>0.0</c:formatCode>
                <c:ptCount val="14"/>
                <c:pt idx="0">
                  <c:v>24.7</c:v>
                </c:pt>
                <c:pt idx="1">
                  <c:v>26.6</c:v>
                </c:pt>
                <c:pt idx="2">
                  <c:v>25.6</c:v>
                </c:pt>
                <c:pt idx="3">
                  <c:v>42.6</c:v>
                </c:pt>
                <c:pt idx="4">
                  <c:v>39.200000000000003</c:v>
                </c:pt>
                <c:pt idx="5">
                  <c:v>47.1</c:v>
                </c:pt>
                <c:pt idx="6">
                  <c:v>53.9</c:v>
                </c:pt>
                <c:pt idx="7">
                  <c:v>41</c:v>
                </c:pt>
                <c:pt idx="8">
                  <c:v>37.1</c:v>
                </c:pt>
                <c:pt idx="9">
                  <c:v>29.8</c:v>
                </c:pt>
                <c:pt idx="10">
                  <c:v>38</c:v>
                </c:pt>
                <c:pt idx="11">
                  <c:v>22.5</c:v>
                </c:pt>
                <c:pt idx="12">
                  <c:v>21.7</c:v>
                </c:pt>
                <c:pt idx="13">
                  <c:v>22.9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0A3-4E85-B7B0-96115104B83D}"/>
            </c:ext>
          </c:extLst>
        </c:ser>
        <c:ser>
          <c:idx val="4"/>
          <c:order val="4"/>
          <c:tx>
            <c:strRef>
              <c:f>Оценки!$N$6</c:f>
              <c:strCache>
                <c:ptCount val="1"/>
                <c:pt idx="0">
                  <c:v>АДХ СССР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Оценки!$N$7:$N$20</c:f>
              <c:numCache>
                <c:formatCode>0.0</c:formatCode>
                <c:ptCount val="14"/>
                <c:pt idx="7">
                  <c:v>45.4</c:v>
                </c:pt>
                <c:pt idx="8">
                  <c:v>39.799999999999997</c:v>
                </c:pt>
                <c:pt idx="9">
                  <c:v>38.799999999999997</c:v>
                </c:pt>
                <c:pt idx="10">
                  <c:v>29.1</c:v>
                </c:pt>
                <c:pt idx="11">
                  <c:v>27.6</c:v>
                </c:pt>
                <c:pt idx="12">
                  <c:v>28.7</c:v>
                </c:pt>
                <c:pt idx="13">
                  <c:v>25.5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0A3-4E85-B7B0-96115104B83D}"/>
            </c:ext>
          </c:extLst>
        </c:ser>
        <c:ser>
          <c:idx val="5"/>
          <c:order val="5"/>
          <c:tx>
            <c:strRef>
              <c:f>Оценки!$O$6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Оценки!$O$7:$O$20</c:f>
              <c:numCache>
                <c:formatCode>0.0</c:formatCode>
                <c:ptCount val="14"/>
                <c:pt idx="0">
                  <c:v>30.2</c:v>
                </c:pt>
                <c:pt idx="1">
                  <c:v>29.6</c:v>
                </c:pt>
                <c:pt idx="2">
                  <c:v>35.4</c:v>
                </c:pt>
                <c:pt idx="3">
                  <c:v>33</c:v>
                </c:pt>
                <c:pt idx="4">
                  <c:v>28.2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0A3-4E85-B7B0-96115104B83D}"/>
            </c:ext>
          </c:extLst>
        </c:ser>
        <c:ser>
          <c:idx val="6"/>
          <c:order val="6"/>
          <c:tx>
            <c:strRef>
              <c:f>Оценки!$P$6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Оценки!$P$7:$P$20</c:f>
              <c:numCache>
                <c:formatCode>0.0</c:formatCode>
                <c:ptCount val="14"/>
                <c:pt idx="4">
                  <c:v>27.4</c:v>
                </c:pt>
                <c:pt idx="5">
                  <c:v>39.9</c:v>
                </c:pt>
                <c:pt idx="6">
                  <c:v>65.5</c:v>
                </c:pt>
                <c:pt idx="7">
                  <c:v>79.5</c:v>
                </c:pt>
                <c:pt idx="8">
                  <c:v>40.4</c:v>
                </c:pt>
                <c:pt idx="9">
                  <c:v>55.3</c:v>
                </c:pt>
                <c:pt idx="10">
                  <c:v>22.3</c:v>
                </c:pt>
                <c:pt idx="11">
                  <c:v>23.1</c:v>
                </c:pt>
                <c:pt idx="12">
                  <c:v>23.3</c:v>
                </c:pt>
                <c:pt idx="13">
                  <c:v>19.899999999999999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0A3-4E85-B7B0-96115104B83D}"/>
            </c:ext>
          </c:extLst>
        </c:ser>
        <c:ser>
          <c:idx val="7"/>
          <c:order val="7"/>
          <c:tx>
            <c:strRef>
              <c:f>Оценки!$Q$6</c:f>
              <c:strCache>
                <c:ptCount val="1"/>
                <c:pt idx="0">
                  <c:v>АО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Оценки!$Q$7:$Q$20</c:f>
              <c:numCache>
                <c:formatCode>0.0</c:formatCode>
                <c:ptCount val="14"/>
                <c:pt idx="5">
                  <c:v>28.1</c:v>
                </c:pt>
                <c:pt idx="6">
                  <c:v>39.4</c:v>
                </c:pt>
                <c:pt idx="7">
                  <c:v>49.9</c:v>
                </c:pt>
                <c:pt idx="8">
                  <c:v>42.6</c:v>
                </c:pt>
                <c:pt idx="9">
                  <c:v>43</c:v>
                </c:pt>
                <c:pt idx="10">
                  <c:v>28.1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0A3-4E85-B7B0-96115104B83D}"/>
            </c:ext>
          </c:extLst>
        </c:ser>
        <c:ser>
          <c:idx val="8"/>
          <c:order val="8"/>
          <c:tx>
            <c:strRef>
              <c:f>Оценки!$R$6</c:f>
              <c:strCache>
                <c:ptCount val="1"/>
                <c:pt idx="0">
                  <c:v>АТ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Оценки!$R$7:$R$20</c:f>
              <c:numCache>
                <c:formatCode>0.0</c:formatCode>
                <c:ptCount val="14"/>
                <c:pt idx="5">
                  <c:v>30.2</c:v>
                </c:pt>
                <c:pt idx="6">
                  <c:v>64</c:v>
                </c:pt>
                <c:pt idx="7">
                  <c:v>56.1</c:v>
                </c:pt>
                <c:pt idx="8">
                  <c:v>41.4</c:v>
                </c:pt>
                <c:pt idx="9">
                  <c:v>47.1</c:v>
                </c:pt>
                <c:pt idx="10">
                  <c:v>28.7</c:v>
                </c:pt>
                <c:pt idx="11">
                  <c:v>22.4</c:v>
                </c:pt>
                <c:pt idx="12">
                  <c:v>23.8</c:v>
                </c:pt>
                <c:pt idx="13">
                  <c:v>22.7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0A3-4E85-B7B0-96115104B8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0224776"/>
        <c:axId val="700225104"/>
      </c:scatterChart>
      <c:valAx>
        <c:axId val="700224776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0225104"/>
        <c:crosses val="autoZero"/>
        <c:crossBetween val="midCat"/>
        <c:majorUnit val="1"/>
      </c:valAx>
      <c:valAx>
        <c:axId val="700225104"/>
        <c:scaling>
          <c:orientation val="minMax"/>
          <c:max val="85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0224776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Численность населения в границах территории РСФСР-1991 </a:t>
            </a:r>
          </a:p>
          <a:p>
            <a:pPr>
              <a:defRPr/>
            </a:pPr>
            <a:r>
              <a:rPr lang="ru-RU"/>
              <a:t>на начало календарного</a:t>
            </a:r>
            <a:r>
              <a:rPr lang="ru-RU" baseline="0"/>
              <a:t> </a:t>
            </a:r>
            <a:r>
              <a:rPr lang="ru-RU"/>
              <a:t>года </a:t>
            </a:r>
            <a:r>
              <a:rPr lang="en-US"/>
              <a:t>(</a:t>
            </a:r>
            <a:r>
              <a:rPr lang="ru-RU"/>
              <a:t>тыс.</a:t>
            </a:r>
            <a:r>
              <a:rPr lang="ru-RU" baseline="0"/>
              <a:t> чел.)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'Боярский-мод'!$I$3</c:f>
              <c:strCache>
                <c:ptCount val="1"/>
                <c:pt idx="0">
                  <c:v>чн-1 янв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'Боярский-мод'!$A$4:$A$17</c:f>
              <c:numCache>
                <c:formatCode>General</c:formatCode>
                <c:ptCount val="14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  <c:pt idx="13">
                  <c:v>1927</c:v>
                </c:pt>
              </c:numCache>
            </c:numRef>
          </c:xVal>
          <c:yVal>
            <c:numRef>
              <c:f>'Боярский-мод'!$I$4:$I$17</c:f>
              <c:numCache>
                <c:formatCode>#,##0</c:formatCode>
                <c:ptCount val="14"/>
                <c:pt idx="0">
                  <c:v>89489</c:v>
                </c:pt>
                <c:pt idx="1">
                  <c:v>91047</c:v>
                </c:pt>
                <c:pt idx="2">
                  <c:v>91781.036445820486</c:v>
                </c:pt>
                <c:pt idx="3">
                  <c:v>91962.21816860816</c:v>
                </c:pt>
                <c:pt idx="4">
                  <c:v>91700.091106878797</c:v>
                </c:pt>
                <c:pt idx="5">
                  <c:v>90444.657481269096</c:v>
                </c:pt>
                <c:pt idx="6">
                  <c:v>88082.196511082919</c:v>
                </c:pt>
                <c:pt idx="7">
                  <c:v>85965.855178106809</c:v>
                </c:pt>
                <c:pt idx="8">
                  <c:v>86237.021946348599</c:v>
                </c:pt>
                <c:pt idx="9">
                  <c:v>86519.325188879739</c:v>
                </c:pt>
                <c:pt idx="10">
                  <c:v>88246.930155879003</c:v>
                </c:pt>
                <c:pt idx="11">
                  <c:v>89902.579827493581</c:v>
                </c:pt>
                <c:pt idx="12">
                  <c:v>91658.668863334286</c:v>
                </c:pt>
                <c:pt idx="13">
                  <c:v>93603.853866979101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F4-4403-BDE3-EC361BCB4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210048"/>
        <c:axId val="1712460032"/>
      </c:scatterChart>
      <c:valAx>
        <c:axId val="742210048"/>
        <c:scaling>
          <c:orientation val="minMax"/>
          <c:max val="1926"/>
          <c:min val="191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12460032"/>
        <c:crosses val="autoZero"/>
        <c:crossBetween val="midCat"/>
        <c:majorUnit val="1"/>
      </c:valAx>
      <c:valAx>
        <c:axId val="171246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42210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Рождаемость, смертность и естественный прирост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3"/>
          <c:order val="3"/>
          <c:tx>
            <c:strRef>
              <c:f>'Боярский-мод'!$E$3</c:f>
              <c:strCache>
                <c:ptCount val="1"/>
                <c:pt idx="0">
                  <c:v>рождаемость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'Боярский-мод'!$A$4:$A$16</c:f>
              <c:numCache>
                <c:formatCode>General</c:formatCode>
                <c:ptCount val="13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</c:numCache>
            </c:numRef>
          </c:xVal>
          <c:yVal>
            <c:numRef>
              <c:f>'Боярский-мод'!$E$4:$E$16</c:f>
              <c:numCache>
                <c:formatCode>0.00</c:formatCode>
                <c:ptCount val="13"/>
                <c:pt idx="0">
                  <c:v>48.4</c:v>
                </c:pt>
                <c:pt idx="1">
                  <c:v>35.9</c:v>
                </c:pt>
                <c:pt idx="2">
                  <c:v>27.1</c:v>
                </c:pt>
                <c:pt idx="3">
                  <c:v>26.3</c:v>
                </c:pt>
                <c:pt idx="4">
                  <c:v>33.888681248826231</c:v>
                </c:pt>
                <c:pt idx="5">
                  <c:v>28.500312649328823</c:v>
                </c:pt>
                <c:pt idx="6">
                  <c:v>28.715664270008578</c:v>
                </c:pt>
                <c:pt idx="7">
                  <c:v>35.819281067656568</c:v>
                </c:pt>
                <c:pt idx="8">
                  <c:v>35.635299021204681</c:v>
                </c:pt>
                <c:pt idx="9">
                  <c:v>45.5</c:v>
                </c:pt>
                <c:pt idx="10">
                  <c:v>42.2</c:v>
                </c:pt>
                <c:pt idx="11">
                  <c:v>43.9</c:v>
                </c:pt>
                <c:pt idx="12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3C8-4795-A2E6-961E87DC537C}"/>
            </c:ext>
          </c:extLst>
        </c:ser>
        <c:ser>
          <c:idx val="4"/>
          <c:order val="4"/>
          <c:tx>
            <c:strRef>
              <c:f>'Боярский-мод'!$F$3</c:f>
              <c:strCache>
                <c:ptCount val="1"/>
                <c:pt idx="0">
                  <c:v>смертность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'Боярский-мод'!$A$4:$A$16</c:f>
              <c:numCache>
                <c:formatCode>General</c:formatCode>
                <c:ptCount val="13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</c:numCache>
            </c:numRef>
          </c:xVal>
          <c:yVal>
            <c:numRef>
              <c:f>'Боярский-мод'!$F$4:$F$16</c:f>
              <c:numCache>
                <c:formatCode>0.00</c:formatCode>
                <c:ptCount val="13"/>
                <c:pt idx="0">
                  <c:v>31.5</c:v>
                </c:pt>
                <c:pt idx="1">
                  <c:v>28.8</c:v>
                </c:pt>
                <c:pt idx="2">
                  <c:v>25.4</c:v>
                </c:pt>
                <c:pt idx="3">
                  <c:v>29.1</c:v>
                </c:pt>
                <c:pt idx="4">
                  <c:v>45.258178940000008</c:v>
                </c:pt>
                <c:pt idx="5">
                  <c:v>51.942938950000006</c:v>
                </c:pt>
                <c:pt idx="6">
                  <c:v>48.553987359999994</c:v>
                </c:pt>
                <c:pt idx="7">
                  <c:v>30.927756419999998</c:v>
                </c:pt>
                <c:pt idx="8">
                  <c:v>31.730335680000003</c:v>
                </c:pt>
                <c:pt idx="9">
                  <c:v>25.5</c:v>
                </c:pt>
                <c:pt idx="10">
                  <c:v>23.5</c:v>
                </c:pt>
                <c:pt idx="11">
                  <c:v>24.5</c:v>
                </c:pt>
                <c:pt idx="12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3C8-4795-A2E6-961E87DC537C}"/>
            </c:ext>
          </c:extLst>
        </c:ser>
        <c:ser>
          <c:idx val="5"/>
          <c:order val="5"/>
          <c:tx>
            <c:strRef>
              <c:f>'Боярский-мод'!$G$3</c:f>
              <c:strCache>
                <c:ptCount val="1"/>
                <c:pt idx="0">
                  <c:v>естественный прирост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'Боярский-мод'!$A$4:$A$16</c:f>
              <c:numCache>
                <c:formatCode>General</c:formatCode>
                <c:ptCount val="13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</c:numCache>
            </c:numRef>
          </c:xVal>
          <c:yVal>
            <c:numRef>
              <c:f>'Боярский-мод'!$G$4:$G$16</c:f>
              <c:numCache>
                <c:formatCode>0.00</c:formatCode>
                <c:ptCount val="13"/>
                <c:pt idx="1">
                  <c:v>7.0999999999999979</c:v>
                </c:pt>
                <c:pt idx="2">
                  <c:v>1.7000000000000028</c:v>
                </c:pt>
                <c:pt idx="3">
                  <c:v>-2.8000000000000007</c:v>
                </c:pt>
                <c:pt idx="4">
                  <c:v>-11.369497691173777</c:v>
                </c:pt>
                <c:pt idx="5">
                  <c:v>-23.442626300671183</c:v>
                </c:pt>
                <c:pt idx="6">
                  <c:v>-19.838323089991416</c:v>
                </c:pt>
                <c:pt idx="7">
                  <c:v>4.8915246476565706</c:v>
                </c:pt>
                <c:pt idx="8">
                  <c:v>3.9049633412046774</c:v>
                </c:pt>
                <c:pt idx="9">
                  <c:v>20</c:v>
                </c:pt>
                <c:pt idx="10">
                  <c:v>18.700000000000003</c:v>
                </c:pt>
                <c:pt idx="11">
                  <c:v>19.399999999999999</c:v>
                </c:pt>
                <c:pt idx="12">
                  <c:v>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3C8-4795-A2E6-961E87DC5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6172592"/>
        <c:axId val="186617979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'Боярский-мод'!$B$3</c15:sqref>
                        </c15:formulaRef>
                      </c:ext>
                    </c:extLst>
                    <c:strCache>
                      <c:ptCount val="1"/>
                      <c:pt idx="0">
                        <c:v>р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'Боярский-мод'!$A$4:$A$16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1914</c:v>
                      </c:pt>
                      <c:pt idx="1">
                        <c:v>1915</c:v>
                      </c:pt>
                      <c:pt idx="2">
                        <c:v>1916</c:v>
                      </c:pt>
                      <c:pt idx="3">
                        <c:v>1917</c:v>
                      </c:pt>
                      <c:pt idx="4">
                        <c:v>1918</c:v>
                      </c:pt>
                      <c:pt idx="5">
                        <c:v>1919</c:v>
                      </c:pt>
                      <c:pt idx="6">
                        <c:v>1920</c:v>
                      </c:pt>
                      <c:pt idx="7">
                        <c:v>1921</c:v>
                      </c:pt>
                      <c:pt idx="8">
                        <c:v>1922</c:v>
                      </c:pt>
                      <c:pt idx="9">
                        <c:v>1923</c:v>
                      </c:pt>
                      <c:pt idx="10">
                        <c:v>1924</c:v>
                      </c:pt>
                      <c:pt idx="11">
                        <c:v>1925</c:v>
                      </c:pt>
                      <c:pt idx="12">
                        <c:v>1926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'Боярский-мод'!$B$4:$B$16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1">
                        <c:v>35.9</c:v>
                      </c:pt>
                      <c:pt idx="2">
                        <c:v>27.1</c:v>
                      </c:pt>
                      <c:pt idx="3">
                        <c:v>26.3</c:v>
                      </c:pt>
                      <c:pt idx="4">
                        <c:v>34.700000000000003</c:v>
                      </c:pt>
                      <c:pt idx="5">
                        <c:v>31.7</c:v>
                      </c:pt>
                      <c:pt idx="6">
                        <c:v>32.200000000000003</c:v>
                      </c:pt>
                      <c:pt idx="7">
                        <c:v>37.299999999999997</c:v>
                      </c:pt>
                      <c:pt idx="8">
                        <c:v>38.200000000000003</c:v>
                      </c:pt>
                      <c:pt idx="9">
                        <c:v>45.5</c:v>
                      </c:pt>
                      <c:pt idx="10">
                        <c:v>42.2</c:v>
                      </c:pt>
                      <c:pt idx="11">
                        <c:v>43.9</c:v>
                      </c:pt>
                      <c:pt idx="12">
                        <c:v>42.5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13C8-4795-A2E6-961E87DC537C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'Боярский-мод'!$C$3</c15:sqref>
                        </c15:formulaRef>
                      </c:ext>
                    </c:extLst>
                    <c:strCache>
                      <c:ptCount val="1"/>
                      <c:pt idx="0">
                        <c:v>с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'Боярский-мод'!$A$4:$A$16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1914</c:v>
                      </c:pt>
                      <c:pt idx="1">
                        <c:v>1915</c:v>
                      </c:pt>
                      <c:pt idx="2">
                        <c:v>1916</c:v>
                      </c:pt>
                      <c:pt idx="3">
                        <c:v>1917</c:v>
                      </c:pt>
                      <c:pt idx="4">
                        <c:v>1918</c:v>
                      </c:pt>
                      <c:pt idx="5">
                        <c:v>1919</c:v>
                      </c:pt>
                      <c:pt idx="6">
                        <c:v>1920</c:v>
                      </c:pt>
                      <c:pt idx="7">
                        <c:v>1921</c:v>
                      </c:pt>
                      <c:pt idx="8">
                        <c:v>1922</c:v>
                      </c:pt>
                      <c:pt idx="9">
                        <c:v>1923</c:v>
                      </c:pt>
                      <c:pt idx="10">
                        <c:v>1924</c:v>
                      </c:pt>
                      <c:pt idx="11">
                        <c:v>1925</c:v>
                      </c:pt>
                      <c:pt idx="12">
                        <c:v>1926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'Боярский-мод'!$C$4:$C$16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1">
                        <c:v>28.8</c:v>
                      </c:pt>
                      <c:pt idx="2">
                        <c:v>25.4</c:v>
                      </c:pt>
                      <c:pt idx="3">
                        <c:v>29.1</c:v>
                      </c:pt>
                      <c:pt idx="4">
                        <c:v>44.2</c:v>
                      </c:pt>
                      <c:pt idx="5">
                        <c:v>46.7</c:v>
                      </c:pt>
                      <c:pt idx="6">
                        <c:v>43.3</c:v>
                      </c:pt>
                      <c:pt idx="7">
                        <c:v>29.7</c:v>
                      </c:pt>
                      <c:pt idx="8">
                        <c:v>29.6</c:v>
                      </c:pt>
                      <c:pt idx="9">
                        <c:v>25.5</c:v>
                      </c:pt>
                      <c:pt idx="10">
                        <c:v>23.5</c:v>
                      </c:pt>
                      <c:pt idx="11">
                        <c:v>24.5</c:v>
                      </c:pt>
                      <c:pt idx="12">
                        <c:v>21.5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13C8-4795-A2E6-961E87DC537C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'Боярский-мод'!$D$3</c15:sqref>
                        </c15:formulaRef>
                      </c:ext>
                    </c:extLst>
                    <c:strCache>
                      <c:ptCount val="1"/>
                      <c:pt idx="0">
                        <c:v>еп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'Боярский-мод'!$A$4:$A$16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1914</c:v>
                      </c:pt>
                      <c:pt idx="1">
                        <c:v>1915</c:v>
                      </c:pt>
                      <c:pt idx="2">
                        <c:v>1916</c:v>
                      </c:pt>
                      <c:pt idx="3">
                        <c:v>1917</c:v>
                      </c:pt>
                      <c:pt idx="4">
                        <c:v>1918</c:v>
                      </c:pt>
                      <c:pt idx="5">
                        <c:v>1919</c:v>
                      </c:pt>
                      <c:pt idx="6">
                        <c:v>1920</c:v>
                      </c:pt>
                      <c:pt idx="7">
                        <c:v>1921</c:v>
                      </c:pt>
                      <c:pt idx="8">
                        <c:v>1922</c:v>
                      </c:pt>
                      <c:pt idx="9">
                        <c:v>1923</c:v>
                      </c:pt>
                      <c:pt idx="10">
                        <c:v>1924</c:v>
                      </c:pt>
                      <c:pt idx="11">
                        <c:v>1925</c:v>
                      </c:pt>
                      <c:pt idx="12">
                        <c:v>1926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'Боярский-мод'!$D$4:$D$16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1">
                        <c:v>7.0999999999999979</c:v>
                      </c:pt>
                      <c:pt idx="2">
                        <c:v>1.7000000000000028</c:v>
                      </c:pt>
                      <c:pt idx="3">
                        <c:v>-2.8000000000000007</c:v>
                      </c:pt>
                      <c:pt idx="4">
                        <c:v>-9.5</c:v>
                      </c:pt>
                      <c:pt idx="5">
                        <c:v>-15.000000000000004</c:v>
                      </c:pt>
                      <c:pt idx="6">
                        <c:v>-11.099999999999994</c:v>
                      </c:pt>
                      <c:pt idx="7">
                        <c:v>7.5999999999999979</c:v>
                      </c:pt>
                      <c:pt idx="8">
                        <c:v>8.6000000000000014</c:v>
                      </c:pt>
                      <c:pt idx="9">
                        <c:v>20</c:v>
                      </c:pt>
                      <c:pt idx="10">
                        <c:v>18.700000000000003</c:v>
                      </c:pt>
                      <c:pt idx="11">
                        <c:v>19.399999999999999</c:v>
                      </c:pt>
                      <c:pt idx="12">
                        <c:v>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13C8-4795-A2E6-961E87DC537C}"/>
                  </c:ext>
                </c:extLst>
              </c15:ser>
            </c15:filteredScatterSeries>
          </c:ext>
        </c:extLst>
      </c:scatterChart>
      <c:valAx>
        <c:axId val="1866172592"/>
        <c:scaling>
          <c:orientation val="minMax"/>
          <c:max val="1926"/>
          <c:min val="191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66179792"/>
        <c:crosses val="autoZero"/>
        <c:crossBetween val="midCat"/>
        <c:majorUnit val="1"/>
      </c:valAx>
      <c:valAx>
        <c:axId val="186617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промилле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66172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число рождений по совокупностям губерний</a:t>
            </a:r>
            <a:br>
              <a:rPr lang="ru-RU"/>
            </a:br>
            <a:r>
              <a:rPr lang="ru-RU"/>
              <a:t>относительно 1913</a:t>
            </a:r>
            <a:r>
              <a:rPr lang="ru-RU" baseline="0"/>
              <a:t> года (100%)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'Новосельский-РСФСР-рождения'!$B$78</c:f>
              <c:strCache>
                <c:ptCount val="1"/>
                <c:pt idx="0">
                  <c:v>все-1914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'Новосельский-РСФСР-рождения'!$A$79:$A$83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'Новосельский-РСФСР-рождения'!$B$79:$B$83</c:f>
              <c:numCache>
                <c:formatCode>0.0</c:formatCode>
                <c:ptCount val="5"/>
                <c:pt idx="0">
                  <c:v>100</c:v>
                </c:pt>
                <c:pt idx="1">
                  <c:v>101.17315119930537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40-49B0-AC07-6884B2056211}"/>
            </c:ext>
          </c:extLst>
        </c:ser>
        <c:ser>
          <c:idx val="1"/>
          <c:order val="1"/>
          <c:tx>
            <c:strRef>
              <c:f>'Новосельский-РСФСР-рождения'!$C$78</c:f>
              <c:strCache>
                <c:ptCount val="1"/>
                <c:pt idx="0">
                  <c:v>все-1915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'Новосельский-РСФСР-рождения'!$A$79:$A$83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'Новосельский-РСФСР-рождения'!$C$79:$C$83</c:f>
              <c:numCache>
                <c:formatCode>0.0</c:formatCode>
                <c:ptCount val="5"/>
                <c:pt idx="0">
                  <c:v>100</c:v>
                </c:pt>
                <c:pt idx="1">
                  <c:v>101.39151046646562</c:v>
                </c:pt>
                <c:pt idx="2">
                  <c:v>86.958967191137276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40-49B0-AC07-6884B2056211}"/>
            </c:ext>
          </c:extLst>
        </c:ser>
        <c:ser>
          <c:idx val="2"/>
          <c:order val="2"/>
          <c:tx>
            <c:strRef>
              <c:f>'Новосельский-РСФСР-рождения'!$D$78</c:f>
              <c:strCache>
                <c:ptCount val="1"/>
                <c:pt idx="0">
                  <c:v>все-1916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'Новосельский-РСФСР-рождения'!$A$79:$A$83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'Новосельский-РСФСР-рождения'!$D$79:$D$83</c:f>
              <c:numCache>
                <c:formatCode>0.0</c:formatCode>
                <c:ptCount val="5"/>
                <c:pt idx="0">
                  <c:v>100</c:v>
                </c:pt>
                <c:pt idx="1">
                  <c:v>102.01533682924224</c:v>
                </c:pt>
                <c:pt idx="2">
                  <c:v>87.611479941751355</c:v>
                </c:pt>
                <c:pt idx="3">
                  <c:v>65.944138201707361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40-49B0-AC07-6884B2056211}"/>
            </c:ext>
          </c:extLst>
        </c:ser>
        <c:ser>
          <c:idx val="3"/>
          <c:order val="3"/>
          <c:tx>
            <c:strRef>
              <c:f>'Новосельский-РСФСР-рождения'!$E$78</c:f>
              <c:strCache>
                <c:ptCount val="1"/>
                <c:pt idx="0">
                  <c:v>все-1917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'Новосельский-РСФСР-рождения'!$A$79:$A$83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'Новосельский-РСФСР-рождения'!$E$79:$E$83</c:f>
              <c:numCache>
                <c:formatCode>#,##0.0</c:formatCode>
                <c:ptCount val="5"/>
                <c:pt idx="0">
                  <c:v>100</c:v>
                </c:pt>
                <c:pt idx="1">
                  <c:v>102.03431313155791</c:v>
                </c:pt>
                <c:pt idx="2">
                  <c:v>88.237440192997909</c:v>
                </c:pt>
                <c:pt idx="3">
                  <c:v>68.870472236357813</c:v>
                </c:pt>
                <c:pt idx="4">
                  <c:v>53.899537698941579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840-49B0-AC07-6884B20562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1184480"/>
        <c:axId val="871184152"/>
      </c:scatterChart>
      <c:valAx>
        <c:axId val="871184480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184152"/>
        <c:crosses val="autoZero"/>
        <c:crossBetween val="midCat"/>
        <c:majorUnit val="1"/>
      </c:valAx>
      <c:valAx>
        <c:axId val="871184152"/>
        <c:scaling>
          <c:orientation val="minMax"/>
          <c:max val="105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184480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рождаемость</a:t>
            </a:r>
            <a:r>
              <a:rPr lang="ru-RU" baseline="0"/>
              <a:t> – </a:t>
            </a:r>
            <a:r>
              <a:rPr lang="ru-RU"/>
              <a:t>промилле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'Новосельский-РСФСР-рождения'!$B$119</c:f>
              <c:strCache>
                <c:ptCount val="1"/>
                <c:pt idx="0">
                  <c:v>Урланис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'Новосельский-РСФСР-рождения'!$A$120:$A$133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'Новосельский-РСФСР-рождения'!$B$120:$B$133</c:f>
              <c:numCache>
                <c:formatCode>0.0</c:formatCode>
                <c:ptCount val="14"/>
                <c:pt idx="0">
                  <c:v>47</c:v>
                </c:pt>
                <c:pt idx="1">
                  <c:v>46.9</c:v>
                </c:pt>
                <c:pt idx="2">
                  <c:v>39.700000000000003</c:v>
                </c:pt>
                <c:pt idx="3">
                  <c:v>29.9</c:v>
                </c:pt>
                <c:pt idx="4">
                  <c:v>23.9</c:v>
                </c:pt>
                <c:pt idx="5">
                  <c:v>32</c:v>
                </c:pt>
                <c:pt idx="6">
                  <c:v>31</c:v>
                </c:pt>
                <c:pt idx="7">
                  <c:v>31.2</c:v>
                </c:pt>
                <c:pt idx="8">
                  <c:v>35.5</c:v>
                </c:pt>
                <c:pt idx="9">
                  <c:v>37.299999999999997</c:v>
                </c:pt>
                <c:pt idx="10">
                  <c:v>43.9</c:v>
                </c:pt>
                <c:pt idx="11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2C-45B4-9859-5C694CB79C32}"/>
            </c:ext>
          </c:extLst>
        </c:ser>
        <c:ser>
          <c:idx val="1"/>
          <c:order val="1"/>
          <c:tx>
            <c:strRef>
              <c:f>'Новосельский-РСФСР-рождения'!$C$119</c:f>
              <c:strCache>
                <c:ptCount val="1"/>
                <c:pt idx="0">
                  <c:v>Боряский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'Новосельский-РСФСР-рождения'!$A$120:$A$133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'Новосельский-РСФСР-рождения'!$C$120:$C$133</c:f>
              <c:numCache>
                <c:formatCode>0.0</c:formatCode>
                <c:ptCount val="14"/>
                <c:pt idx="0">
                  <c:v>43.7</c:v>
                </c:pt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2C-45B4-9859-5C694CB79C32}"/>
            </c:ext>
          </c:extLst>
        </c:ser>
        <c:ser>
          <c:idx val="2"/>
          <c:order val="2"/>
          <c:tx>
            <c:strRef>
              <c:f>'Новосельский-РСФСР-рождения'!$D$119</c:f>
              <c:strCache>
                <c:ptCount val="1"/>
                <c:pt idx="0">
                  <c:v>Бирабен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'Новосельский-РСФСР-рождения'!$A$120:$A$133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'Новосельский-РСФСР-рождения'!$D$120:$D$133</c:f>
              <c:numCache>
                <c:formatCode>0.0</c:formatCode>
                <c:ptCount val="14"/>
                <c:pt idx="0">
                  <c:v>44.1</c:v>
                </c:pt>
                <c:pt idx="1">
                  <c:v>45.4</c:v>
                </c:pt>
                <c:pt idx="2">
                  <c:v>43.1</c:v>
                </c:pt>
                <c:pt idx="3">
                  <c:v>37.4</c:v>
                </c:pt>
                <c:pt idx="4">
                  <c:v>32.5</c:v>
                </c:pt>
                <c:pt idx="5">
                  <c:v>28.8</c:v>
                </c:pt>
                <c:pt idx="6">
                  <c:v>32.4</c:v>
                </c:pt>
                <c:pt idx="7">
                  <c:v>30.6</c:v>
                </c:pt>
                <c:pt idx="8">
                  <c:v>31.7</c:v>
                </c:pt>
                <c:pt idx="9">
                  <c:v>35</c:v>
                </c:pt>
                <c:pt idx="10">
                  <c:v>36.200000000000003</c:v>
                </c:pt>
                <c:pt idx="11">
                  <c:v>44</c:v>
                </c:pt>
                <c:pt idx="12">
                  <c:v>42.3</c:v>
                </c:pt>
                <c:pt idx="13">
                  <c:v>43.8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2C-45B4-9859-5C694CB79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6653288"/>
        <c:axId val="917089784"/>
      </c:scatterChart>
      <c:valAx>
        <c:axId val="916653288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17089784"/>
        <c:crosses val="autoZero"/>
        <c:crossBetween val="midCat"/>
        <c:majorUnit val="1"/>
      </c:valAx>
      <c:valAx>
        <c:axId val="9170897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16653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920" b="1" i="0" u="none" strike="noStrike" baseline="0">
                <a:effectLst/>
              </a:rPr>
              <a:t>рождаемость – </a:t>
            </a:r>
            <a:r>
              <a:rPr lang="ru-RU"/>
              <a:t>проценты от 1913 года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'Новосельский-РСФСР-рождения'!$G$119</c:f>
              <c:strCache>
                <c:ptCount val="1"/>
                <c:pt idx="0">
                  <c:v>Новосельский (чр)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'Новосельский-РСФСР-рождения'!$G$120:$G$133</c:f>
              <c:numCache>
                <c:formatCode>#,##0.0</c:formatCode>
                <c:ptCount val="14"/>
                <c:pt idx="0">
                  <c:v>100</c:v>
                </c:pt>
                <c:pt idx="1">
                  <c:v>102.03431313155791</c:v>
                </c:pt>
                <c:pt idx="2">
                  <c:v>88.237440192997909</c:v>
                </c:pt>
                <c:pt idx="3">
                  <c:v>68.870472236357813</c:v>
                </c:pt>
                <c:pt idx="4">
                  <c:v>53.899537698941579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1A-4C2D-A021-769DC442BB17}"/>
            </c:ext>
          </c:extLst>
        </c:ser>
        <c:ser>
          <c:idx val="1"/>
          <c:order val="1"/>
          <c:tx>
            <c:strRef>
              <c:f>'Новосельский-РСФСР-рождения'!$H$119</c:f>
              <c:strCache>
                <c:ptCount val="1"/>
                <c:pt idx="0">
                  <c:v>Урланис (‰)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'Новосельский-РСФСР-рождения'!$H$120:$H$133</c:f>
              <c:numCache>
                <c:formatCode>0.0</c:formatCode>
                <c:ptCount val="14"/>
                <c:pt idx="0">
                  <c:v>100</c:v>
                </c:pt>
                <c:pt idx="1">
                  <c:v>99.78723404255318</c:v>
                </c:pt>
                <c:pt idx="2">
                  <c:v>84.468085106382986</c:v>
                </c:pt>
                <c:pt idx="3">
                  <c:v>63.617021276595743</c:v>
                </c:pt>
                <c:pt idx="4">
                  <c:v>50.851063829787236</c:v>
                </c:pt>
                <c:pt idx="5">
                  <c:v>68.085106382978722</c:v>
                </c:pt>
                <c:pt idx="6">
                  <c:v>65.957446808510639</c:v>
                </c:pt>
                <c:pt idx="7">
                  <c:v>66.38297872340425</c:v>
                </c:pt>
                <c:pt idx="8">
                  <c:v>75.531914893617028</c:v>
                </c:pt>
                <c:pt idx="9">
                  <c:v>79.361702127659569</c:v>
                </c:pt>
                <c:pt idx="10">
                  <c:v>93.40425531914893</c:v>
                </c:pt>
                <c:pt idx="11">
                  <c:v>89.361702127659569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1A-4C2D-A021-769DC442BB17}"/>
            </c:ext>
          </c:extLst>
        </c:ser>
        <c:ser>
          <c:idx val="2"/>
          <c:order val="2"/>
          <c:tx>
            <c:strRef>
              <c:f>'Новосельский-РСФСР-рождения'!$I$119</c:f>
              <c:strCache>
                <c:ptCount val="1"/>
                <c:pt idx="0">
                  <c:v>Боряский (‰)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'Новосельский-РСФСР-рождения'!$I$120:$I$133</c:f>
              <c:numCache>
                <c:formatCode>0.0</c:formatCode>
                <c:ptCount val="14"/>
                <c:pt idx="0">
                  <c:v>100</c:v>
                </c:pt>
                <c:pt idx="1">
                  <c:v>100</c:v>
                </c:pt>
                <c:pt idx="2">
                  <c:v>82.151029748283747</c:v>
                </c:pt>
                <c:pt idx="3">
                  <c:v>62.013729977116704</c:v>
                </c:pt>
                <c:pt idx="4">
                  <c:v>60.183066361556058</c:v>
                </c:pt>
                <c:pt idx="5">
                  <c:v>79.40503432494279</c:v>
                </c:pt>
                <c:pt idx="6">
                  <c:v>72.540045766590382</c:v>
                </c:pt>
                <c:pt idx="7">
                  <c:v>73.684210526315795</c:v>
                </c:pt>
                <c:pt idx="8">
                  <c:v>85.354691075514864</c:v>
                </c:pt>
                <c:pt idx="9">
                  <c:v>87.414187643020597</c:v>
                </c:pt>
                <c:pt idx="10">
                  <c:v>104.11899313501142</c:v>
                </c:pt>
                <c:pt idx="11">
                  <c:v>96.567505720823803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1A-4C2D-A021-769DC442BB17}"/>
            </c:ext>
          </c:extLst>
        </c:ser>
        <c:ser>
          <c:idx val="3"/>
          <c:order val="3"/>
          <c:tx>
            <c:strRef>
              <c:f>'Новосельский-РСФСР-рождения'!$J$119</c:f>
              <c:strCache>
                <c:ptCount val="1"/>
                <c:pt idx="0">
                  <c:v>Бирабен (‰)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'Новосельский-РСФСР-рождения'!$J$120:$J$133</c:f>
              <c:numCache>
                <c:formatCode>0.0</c:formatCode>
                <c:ptCount val="14"/>
                <c:pt idx="0">
                  <c:v>100</c:v>
                </c:pt>
                <c:pt idx="1">
                  <c:v>102.94784580498866</c:v>
                </c:pt>
                <c:pt idx="2">
                  <c:v>97.732426303854879</c:v>
                </c:pt>
                <c:pt idx="3">
                  <c:v>84.807256235827651</c:v>
                </c:pt>
                <c:pt idx="4">
                  <c:v>73.696145124716551</c:v>
                </c:pt>
                <c:pt idx="5">
                  <c:v>65.306122448979593</c:v>
                </c:pt>
                <c:pt idx="6">
                  <c:v>73.469387755102034</c:v>
                </c:pt>
                <c:pt idx="7">
                  <c:v>69.387755102040813</c:v>
                </c:pt>
                <c:pt idx="8">
                  <c:v>71.882086167800452</c:v>
                </c:pt>
                <c:pt idx="9">
                  <c:v>79.365079365079367</c:v>
                </c:pt>
                <c:pt idx="10">
                  <c:v>82.086167800453509</c:v>
                </c:pt>
                <c:pt idx="11">
                  <c:v>99.773242630385482</c:v>
                </c:pt>
                <c:pt idx="12">
                  <c:v>95.918367346938766</c:v>
                </c:pt>
                <c:pt idx="13">
                  <c:v>99.319727891156447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61A-4C2D-A021-769DC442BB17}"/>
            </c:ext>
          </c:extLst>
        </c:ser>
        <c:ser>
          <c:idx val="4"/>
          <c:order val="4"/>
          <c:tx>
            <c:strRef>
              <c:f>'Новосельский-РСФСР-рождения'!$K$119</c:f>
              <c:strCache>
                <c:ptCount val="1"/>
                <c:pt idx="0">
                  <c:v>Вятская губ. (чр)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'Новосельский-РСФСР-рождения'!$K$120:$K$133</c:f>
              <c:numCache>
                <c:formatCode>0.0</c:formatCode>
                <c:ptCount val="14"/>
                <c:pt idx="0">
                  <c:v>100</c:v>
                </c:pt>
                <c:pt idx="1">
                  <c:v>100</c:v>
                </c:pt>
                <c:pt idx="2">
                  <c:v>89</c:v>
                </c:pt>
                <c:pt idx="3">
                  <c:v>76</c:v>
                </c:pt>
                <c:pt idx="4">
                  <c:v>60</c:v>
                </c:pt>
                <c:pt idx="6">
                  <c:v>81</c:v>
                </c:pt>
                <c:pt idx="7">
                  <c:v>79</c:v>
                </c:pt>
                <c:pt idx="8">
                  <c:v>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61A-4C2D-A021-769DC442BB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471024"/>
        <c:axId val="927470696"/>
      </c:scatterChart>
      <c:valAx>
        <c:axId val="927471024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27470696"/>
        <c:crosses val="autoZero"/>
        <c:crossBetween val="midCat"/>
        <c:majorUnit val="1"/>
      </c:valAx>
      <c:valAx>
        <c:axId val="927470696"/>
        <c:scaling>
          <c:orientation val="minMax"/>
          <c:max val="105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27471024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2160" b="1" i="0" u="none" strike="noStrike" baseline="0">
                <a:effectLst/>
              </a:rPr>
              <a:t>число смертей по совокупностям губерний</a:t>
            </a:r>
            <a:br>
              <a:rPr lang="ru-RU" sz="2160" b="1" i="0" u="none" strike="noStrike" baseline="0">
                <a:effectLst/>
              </a:rPr>
            </a:br>
            <a:r>
              <a:rPr lang="ru-RU" sz="2160" b="1" i="0" u="none" strike="noStrike" baseline="0">
                <a:effectLst/>
              </a:rPr>
              <a:t>относительно 1913 года (100%)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'Новосельский-РСФСР-смерти'!$B$80</c:f>
              <c:strCache>
                <c:ptCount val="1"/>
                <c:pt idx="0">
                  <c:v>все-1914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'Новосельский-РСФСР-смерти'!$A$81:$A$85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'Новосельский-РСФСР-смерти'!$B$81:$B$85</c:f>
              <c:numCache>
                <c:formatCode>0.0</c:formatCode>
                <c:ptCount val="5"/>
                <c:pt idx="0">
                  <c:v>100</c:v>
                </c:pt>
                <c:pt idx="1">
                  <c:v>97.499222904759748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D2-4F80-985D-1D69F574B673}"/>
            </c:ext>
          </c:extLst>
        </c:ser>
        <c:ser>
          <c:idx val="1"/>
          <c:order val="1"/>
          <c:tx>
            <c:strRef>
              <c:f>'Новосельский-РСФСР-смерти'!$C$80</c:f>
              <c:strCache>
                <c:ptCount val="1"/>
                <c:pt idx="0">
                  <c:v>все-1915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'Новосельский-РСФСР-смерти'!$A$81:$A$85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'Новосельский-РСФСР-смерти'!$C$81:$C$85</c:f>
              <c:numCache>
                <c:formatCode>0.0</c:formatCode>
                <c:ptCount val="5"/>
                <c:pt idx="0">
                  <c:v>100</c:v>
                </c:pt>
                <c:pt idx="1">
                  <c:v>97.920173031747041</c:v>
                </c:pt>
                <c:pt idx="2">
                  <c:v>100.10313947315606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D2-4F80-985D-1D69F574B673}"/>
            </c:ext>
          </c:extLst>
        </c:ser>
        <c:ser>
          <c:idx val="2"/>
          <c:order val="2"/>
          <c:tx>
            <c:strRef>
              <c:f>'Новосельский-РСФСР-смерти'!$D$80</c:f>
              <c:strCache>
                <c:ptCount val="1"/>
                <c:pt idx="0">
                  <c:v>все-1916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'Новосельский-РСФСР-смерти'!$A$81:$A$85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'Новосельский-РСФСР-смерти'!$D$81:$D$85</c:f>
              <c:numCache>
                <c:formatCode>0.0</c:formatCode>
                <c:ptCount val="5"/>
                <c:pt idx="0">
                  <c:v>100</c:v>
                </c:pt>
                <c:pt idx="1">
                  <c:v>97.464348846055557</c:v>
                </c:pt>
                <c:pt idx="2">
                  <c:v>94.637812069044699</c:v>
                </c:pt>
                <c:pt idx="3">
                  <c:v>88.119736530641319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D2-4F80-985D-1D69F574B673}"/>
            </c:ext>
          </c:extLst>
        </c:ser>
        <c:ser>
          <c:idx val="3"/>
          <c:order val="3"/>
          <c:tx>
            <c:strRef>
              <c:f>'Новосельский-РСФСР-смерти'!$E$80</c:f>
              <c:strCache>
                <c:ptCount val="1"/>
                <c:pt idx="0">
                  <c:v>все-1917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'Новосельский-РСФСР-смерти'!$A$81:$A$85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'Новосельский-РСФСР-смерти'!$E$81:$E$85</c:f>
              <c:numCache>
                <c:formatCode>0.0</c:formatCode>
                <c:ptCount val="5"/>
                <c:pt idx="0">
                  <c:v>100</c:v>
                </c:pt>
                <c:pt idx="1">
                  <c:v>94.994844877683008</c:v>
                </c:pt>
                <c:pt idx="2">
                  <c:v>93.318727153435191</c:v>
                </c:pt>
                <c:pt idx="3">
                  <c:v>90.158402849376699</c:v>
                </c:pt>
                <c:pt idx="4">
                  <c:v>85.426469209860343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D2-4F80-985D-1D69F574B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1170376"/>
        <c:axId val="871142824"/>
      </c:scatterChart>
      <c:valAx>
        <c:axId val="871170376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142824"/>
        <c:crosses val="autoZero"/>
        <c:crossBetween val="midCat"/>
        <c:majorUnit val="1"/>
      </c:valAx>
      <c:valAx>
        <c:axId val="871142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170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Рождения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'Новосельский-РСФСР-графики'!$B$12</c:f>
              <c:strCache>
                <c:ptCount val="1"/>
                <c:pt idx="0">
                  <c:v>Ярославская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'Новосельский-РСФСР-графики'!$B$13:$B$17</c:f>
              <c:numCache>
                <c:formatCode>0.00</c:formatCode>
                <c:ptCount val="5"/>
                <c:pt idx="0">
                  <c:v>1</c:v>
                </c:pt>
                <c:pt idx="1">
                  <c:v>1.0426239124059047</c:v>
                </c:pt>
                <c:pt idx="2">
                  <c:v>0.8917391729396813</c:v>
                </c:pt>
                <c:pt idx="3">
                  <c:v>0.71612083292599471</c:v>
                </c:pt>
                <c:pt idx="4">
                  <c:v>0.58846417049564959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B5-4BF8-8D03-31BDA2E59F17}"/>
            </c:ext>
          </c:extLst>
        </c:ser>
        <c:ser>
          <c:idx val="1"/>
          <c:order val="1"/>
          <c:tx>
            <c:strRef>
              <c:f>'Новосельский-РСФСР-графики'!$C$12</c:f>
              <c:strCache>
                <c:ptCount val="1"/>
                <c:pt idx="0">
                  <c:v>Калужская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'Новосельский-РСФСР-графики'!$C$13:$C$17</c:f>
              <c:numCache>
                <c:formatCode>0.00</c:formatCode>
                <c:ptCount val="5"/>
                <c:pt idx="0">
                  <c:v>1</c:v>
                </c:pt>
                <c:pt idx="1">
                  <c:v>1.0197501243526348</c:v>
                </c:pt>
                <c:pt idx="2">
                  <c:v>0.90082511630628781</c:v>
                </c:pt>
                <c:pt idx="3">
                  <c:v>0.61763759253299</c:v>
                </c:pt>
                <c:pt idx="4">
                  <c:v>0.44541650817801448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B5-4BF8-8D03-31BDA2E59F17}"/>
            </c:ext>
          </c:extLst>
        </c:ser>
        <c:ser>
          <c:idx val="2"/>
          <c:order val="2"/>
          <c:tx>
            <c:strRef>
              <c:f>'Новосельский-РСФСР-графики'!$D$12</c:f>
              <c:strCache>
                <c:ptCount val="1"/>
                <c:pt idx="0">
                  <c:v>Нижегородская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'Новосельский-РСФСР-графики'!$D$13:$D$17</c:f>
              <c:numCache>
                <c:formatCode>0.00</c:formatCode>
                <c:ptCount val="5"/>
                <c:pt idx="0">
                  <c:v>1</c:v>
                </c:pt>
                <c:pt idx="1">
                  <c:v>1.0259224760251497</c:v>
                </c:pt>
                <c:pt idx="2">
                  <c:v>0.84901666066854375</c:v>
                </c:pt>
                <c:pt idx="3">
                  <c:v>0.60247263797446915</c:v>
                </c:pt>
                <c:pt idx="4">
                  <c:v>0.36141160530939731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B5-4BF8-8D03-31BDA2E59F17}"/>
            </c:ext>
          </c:extLst>
        </c:ser>
        <c:ser>
          <c:idx val="3"/>
          <c:order val="3"/>
          <c:tx>
            <c:strRef>
              <c:f>'Новосельский-РСФСР-графики'!$E$12</c:f>
              <c:strCache>
                <c:ptCount val="1"/>
                <c:pt idx="0">
                  <c:v>гор. Москва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'Новосельский-РСФСР-графики'!$E$13:$E$17</c:f>
              <c:numCache>
                <c:formatCode>0.00</c:formatCode>
                <c:ptCount val="5"/>
                <c:pt idx="0">
                  <c:v>1</c:v>
                </c:pt>
                <c:pt idx="1">
                  <c:v>0.99494958736664896</c:v>
                </c:pt>
                <c:pt idx="2">
                  <c:v>0.91013559260004762</c:v>
                </c:pt>
                <c:pt idx="3">
                  <c:v>0.68391004409961753</c:v>
                </c:pt>
                <c:pt idx="4">
                  <c:v>0.66394627532068295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B5-4BF8-8D03-31BDA2E59F17}"/>
            </c:ext>
          </c:extLst>
        </c:ser>
        <c:ser>
          <c:idx val="4"/>
          <c:order val="4"/>
          <c:tx>
            <c:strRef>
              <c:f>'Новосельский-РСФСР-графики'!$F$12</c:f>
              <c:strCache>
                <c:ptCount val="1"/>
                <c:pt idx="0">
                  <c:v>Владимирская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'Новосельский-РСФСР-графики'!$F$13:$F$17</c:f>
              <c:numCache>
                <c:formatCode>0.00</c:formatCode>
                <c:ptCount val="5"/>
                <c:pt idx="0">
                  <c:v>1</c:v>
                </c:pt>
                <c:pt idx="1">
                  <c:v>0.98585903327611979</c:v>
                </c:pt>
                <c:pt idx="2">
                  <c:v>0.87693926139194955</c:v>
                </c:pt>
                <c:pt idx="3">
                  <c:v>0.65933226288688329</c:v>
                </c:pt>
                <c:pt idx="4">
                  <c:v>0.41850395880626767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B5-4BF8-8D03-31BDA2E59F17}"/>
            </c:ext>
          </c:extLst>
        </c:ser>
        <c:ser>
          <c:idx val="5"/>
          <c:order val="5"/>
          <c:tx>
            <c:strRef>
              <c:f>'Новосельский-РСФСР-графики'!$G$12</c:f>
              <c:strCache>
                <c:ptCount val="1"/>
                <c:pt idx="0">
                  <c:v>г. Петроград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'Новосельский-РСФСР-графики'!$G$13:$G$17</c:f>
              <c:numCache>
                <c:formatCode>0.00</c:formatCode>
                <c:ptCount val="5"/>
                <c:pt idx="0">
                  <c:v>1</c:v>
                </c:pt>
                <c:pt idx="1">
                  <c:v>0.98762354198201407</c:v>
                </c:pt>
                <c:pt idx="2">
                  <c:v>0.925224824147449</c:v>
                </c:pt>
                <c:pt idx="3">
                  <c:v>0.82250912652479746</c:v>
                </c:pt>
                <c:pt idx="4">
                  <c:v>0.76767874632713029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B5-4BF8-8D03-31BDA2E59F17}"/>
            </c:ext>
          </c:extLst>
        </c:ser>
        <c:ser>
          <c:idx val="6"/>
          <c:order val="6"/>
          <c:tx>
            <c:strRef>
              <c:f>'Новосельский-РСФСР-графики'!$H$12</c:f>
              <c:strCache>
                <c:ptCount val="1"/>
                <c:pt idx="0">
                  <c:v>Тверская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'Новосельский-РСФСР-графики'!$H$13:$H$17</c:f>
              <c:numCache>
                <c:formatCode>0.00</c:formatCode>
                <c:ptCount val="5"/>
                <c:pt idx="0">
                  <c:v>1</c:v>
                </c:pt>
                <c:pt idx="1">
                  <c:v>1.0507324578743229</c:v>
                </c:pt>
                <c:pt idx="2">
                  <c:v>0.82709506459092419</c:v>
                </c:pt>
                <c:pt idx="3">
                  <c:v>0.75205419440318844</c:v>
                </c:pt>
                <c:pt idx="4">
                  <c:v>0.57696951564820653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B5-4BF8-8D03-31BDA2E59F17}"/>
            </c:ext>
          </c:extLst>
        </c:ser>
        <c:ser>
          <c:idx val="7"/>
          <c:order val="7"/>
          <c:tx>
            <c:strRef>
              <c:f>'Новосельский-РСФСР-графики'!$I$12</c:f>
              <c:strCache>
                <c:ptCount val="1"/>
                <c:pt idx="0">
                  <c:v>Саратовская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'Новосельский-РСФСР-графики'!$I$13:$I$17</c:f>
              <c:numCache>
                <c:formatCode>0.00</c:formatCode>
                <c:ptCount val="5"/>
                <c:pt idx="0">
                  <c:v>1</c:v>
                </c:pt>
                <c:pt idx="1">
                  <c:v>1.0340034682614516</c:v>
                </c:pt>
                <c:pt idx="2">
                  <c:v>0.91767824292336198</c:v>
                </c:pt>
                <c:pt idx="3">
                  <c:v>0.59964658020189765</c:v>
                </c:pt>
                <c:pt idx="4">
                  <c:v>0.41082414068217932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8B5-4BF8-8D03-31BDA2E59F17}"/>
            </c:ext>
          </c:extLst>
        </c:ser>
        <c:ser>
          <c:idx val="8"/>
          <c:order val="8"/>
          <c:tx>
            <c:strRef>
              <c:f>'Новосельский-РСФСР-графики'!$J$12</c:f>
              <c:strCache>
                <c:ptCount val="1"/>
                <c:pt idx="0">
                  <c:v>Тульская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'Новосельский-РСФСР-графики'!$J$13:$J$17</c:f>
              <c:numCache>
                <c:formatCode>0.00</c:formatCode>
                <c:ptCount val="5"/>
                <c:pt idx="0">
                  <c:v>1</c:v>
                </c:pt>
                <c:pt idx="1">
                  <c:v>1.0178844241821665</c:v>
                </c:pt>
                <c:pt idx="2">
                  <c:v>0.85567572810825232</c:v>
                </c:pt>
                <c:pt idx="3">
                  <c:v>0.86549700511676408</c:v>
                </c:pt>
                <c:pt idx="4">
                  <c:v>0.87533040715861965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B5-4BF8-8D03-31BDA2E59F17}"/>
            </c:ext>
          </c:extLst>
        </c:ser>
        <c:ser>
          <c:idx val="9"/>
          <c:order val="9"/>
          <c:tx>
            <c:strRef>
              <c:f>'Новосельский-РСФСР-графики'!$K$12</c:f>
              <c:strCache>
                <c:ptCount val="1"/>
                <c:pt idx="0">
                  <c:v>среднее</c:v>
                </c:pt>
              </c:strCache>
            </c:strRef>
          </c:tx>
          <c:spPr>
            <a:ln w="571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57150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'Новосельский-РСФСР-графики'!$K$13:$K$17</c:f>
              <c:numCache>
                <c:formatCode>0.00</c:formatCode>
                <c:ptCount val="5"/>
                <c:pt idx="0">
                  <c:v>1</c:v>
                </c:pt>
                <c:pt idx="1">
                  <c:v>1.0177054473029348</c:v>
                </c:pt>
                <c:pt idx="2">
                  <c:v>0.88381440707516645</c:v>
                </c:pt>
                <c:pt idx="3">
                  <c:v>0.70213114185184489</c:v>
                </c:pt>
                <c:pt idx="4">
                  <c:v>0.56761614754734979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8B5-4BF8-8D03-31BDA2E59F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6328432"/>
        <c:axId val="1796327472"/>
      </c:scatterChart>
      <c:valAx>
        <c:axId val="1796328432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6327472"/>
        <c:crosses val="autoZero"/>
        <c:crossBetween val="midCat"/>
        <c:majorUnit val="1"/>
      </c:valAx>
      <c:valAx>
        <c:axId val="1796327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6328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Смерти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'Новосельский-РСФСР-графики'!$B$34</c:f>
              <c:strCache>
                <c:ptCount val="1"/>
                <c:pt idx="0">
                  <c:v>Калужская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'Новосельский-РСФСР-графики'!$B$35:$B$39</c:f>
              <c:numCache>
                <c:formatCode>0.00</c:formatCode>
                <c:ptCount val="5"/>
                <c:pt idx="0">
                  <c:v>1</c:v>
                </c:pt>
                <c:pt idx="1">
                  <c:v>1.0471902798871773</c:v>
                </c:pt>
                <c:pt idx="2">
                  <c:v>0.9618789325233239</c:v>
                </c:pt>
                <c:pt idx="3">
                  <c:v>0.79804729876328917</c:v>
                </c:pt>
                <c:pt idx="4">
                  <c:v>0.7406378824039922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00-40EC-A083-8FA2D52D28A0}"/>
            </c:ext>
          </c:extLst>
        </c:ser>
        <c:ser>
          <c:idx val="1"/>
          <c:order val="1"/>
          <c:tx>
            <c:strRef>
              <c:f>'Новосельский-РСФСР-графики'!$C$34</c:f>
              <c:strCache>
                <c:ptCount val="1"/>
                <c:pt idx="0">
                  <c:v>Нижегородская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'Новосельский-РСФСР-графики'!$C$35:$C$39</c:f>
              <c:numCache>
                <c:formatCode>0.00</c:formatCode>
                <c:ptCount val="5"/>
                <c:pt idx="0">
                  <c:v>1</c:v>
                </c:pt>
                <c:pt idx="1">
                  <c:v>0.90666907753970405</c:v>
                </c:pt>
                <c:pt idx="2">
                  <c:v>0.86151041195793021</c:v>
                </c:pt>
                <c:pt idx="3">
                  <c:v>0.67311575204170815</c:v>
                </c:pt>
                <c:pt idx="4">
                  <c:v>0.54497785010396893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00-40EC-A083-8FA2D52D28A0}"/>
            </c:ext>
          </c:extLst>
        </c:ser>
        <c:ser>
          <c:idx val="2"/>
          <c:order val="2"/>
          <c:tx>
            <c:strRef>
              <c:f>'Новосельский-РСФСР-графики'!$D$34</c:f>
              <c:strCache>
                <c:ptCount val="1"/>
                <c:pt idx="0">
                  <c:v>Ярославская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'Новосельский-РСФСР-графики'!$D$35:$D$39</c:f>
              <c:numCache>
                <c:formatCode>0.00</c:formatCode>
                <c:ptCount val="5"/>
                <c:pt idx="0">
                  <c:v>1</c:v>
                </c:pt>
                <c:pt idx="1">
                  <c:v>0.90547067779702839</c:v>
                </c:pt>
                <c:pt idx="2">
                  <c:v>0.81424896309130046</c:v>
                </c:pt>
                <c:pt idx="3">
                  <c:v>0.85097390665196615</c:v>
                </c:pt>
                <c:pt idx="4">
                  <c:v>0.96482385677534521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00-40EC-A083-8FA2D52D28A0}"/>
            </c:ext>
          </c:extLst>
        </c:ser>
        <c:ser>
          <c:idx val="3"/>
          <c:order val="3"/>
          <c:tx>
            <c:strRef>
              <c:f>'Новосельский-РСФСР-графики'!$E$34</c:f>
              <c:strCache>
                <c:ptCount val="1"/>
                <c:pt idx="0">
                  <c:v>Владимирская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'Новосельский-РСФСР-графики'!$E$35:$E$39</c:f>
              <c:numCache>
                <c:formatCode>0.00</c:formatCode>
                <c:ptCount val="5"/>
                <c:pt idx="0">
                  <c:v>1</c:v>
                </c:pt>
                <c:pt idx="1">
                  <c:v>0.88300743414408001</c:v>
                </c:pt>
                <c:pt idx="2">
                  <c:v>0.87489444839975494</c:v>
                </c:pt>
                <c:pt idx="3">
                  <c:v>0.79692699968541481</c:v>
                </c:pt>
                <c:pt idx="4">
                  <c:v>0.68695465006540057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700-40EC-A083-8FA2D52D28A0}"/>
            </c:ext>
          </c:extLst>
        </c:ser>
        <c:ser>
          <c:idx val="4"/>
          <c:order val="4"/>
          <c:tx>
            <c:strRef>
              <c:f>'Новосельский-РСФСР-графики'!$F$34</c:f>
              <c:strCache>
                <c:ptCount val="1"/>
                <c:pt idx="0">
                  <c:v>гор. Москва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'Новосельский-РСФСР-графики'!$F$35:$F$39</c:f>
              <c:numCache>
                <c:formatCode>0.00</c:formatCode>
                <c:ptCount val="5"/>
                <c:pt idx="0">
                  <c:v>1</c:v>
                </c:pt>
                <c:pt idx="1">
                  <c:v>1.0061516452074393</c:v>
                </c:pt>
                <c:pt idx="2">
                  <c:v>1.2567954220314734</c:v>
                </c:pt>
                <c:pt idx="3">
                  <c:v>1.1853600381497378</c:v>
                </c:pt>
                <c:pt idx="4">
                  <c:v>1.0620410109680496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700-40EC-A083-8FA2D52D28A0}"/>
            </c:ext>
          </c:extLst>
        </c:ser>
        <c:ser>
          <c:idx val="5"/>
          <c:order val="5"/>
          <c:tx>
            <c:strRef>
              <c:f>'Новосельский-РСФСР-графики'!$G$34</c:f>
              <c:strCache>
                <c:ptCount val="1"/>
                <c:pt idx="0">
                  <c:v>Тверская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'Новосельский-РСФСР-графики'!$G$35:$G$39</c:f>
              <c:numCache>
                <c:formatCode>0.00</c:formatCode>
                <c:ptCount val="5"/>
                <c:pt idx="0">
                  <c:v>1</c:v>
                </c:pt>
                <c:pt idx="1">
                  <c:v>0.92440718131777477</c:v>
                </c:pt>
                <c:pt idx="2">
                  <c:v>0.88776566226208509</c:v>
                </c:pt>
                <c:pt idx="3">
                  <c:v>0.97442742939420757</c:v>
                </c:pt>
                <c:pt idx="4">
                  <c:v>0.81590748878856512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700-40EC-A083-8FA2D52D28A0}"/>
            </c:ext>
          </c:extLst>
        </c:ser>
        <c:ser>
          <c:idx val="6"/>
          <c:order val="6"/>
          <c:tx>
            <c:strRef>
              <c:f>'Новосельский-РСФСР-графики'!$H$34</c:f>
              <c:strCache>
                <c:ptCount val="1"/>
                <c:pt idx="0">
                  <c:v>Тульская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'Новосельский-РСФСР-графики'!$H$35:$H$39</c:f>
              <c:numCache>
                <c:formatCode>0.00</c:formatCode>
                <c:ptCount val="5"/>
                <c:pt idx="0">
                  <c:v>1</c:v>
                </c:pt>
                <c:pt idx="1">
                  <c:v>0.93453055672507046</c:v>
                </c:pt>
                <c:pt idx="2">
                  <c:v>0.77912361952262199</c:v>
                </c:pt>
                <c:pt idx="3">
                  <c:v>0.8435890792499271</c:v>
                </c:pt>
                <c:pt idx="4">
                  <c:v>0.90807073226025847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700-40EC-A083-8FA2D52D28A0}"/>
            </c:ext>
          </c:extLst>
        </c:ser>
        <c:ser>
          <c:idx val="7"/>
          <c:order val="7"/>
          <c:tx>
            <c:strRef>
              <c:f>'Новосельский-РСФСР-графики'!$I$34</c:f>
              <c:strCache>
                <c:ptCount val="1"/>
                <c:pt idx="0">
                  <c:v>г. Петроград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'Новосельский-РСФСР-графики'!$I$35:$I$39</c:f>
              <c:numCache>
                <c:formatCode>0.00</c:formatCode>
                <c:ptCount val="5"/>
                <c:pt idx="0">
                  <c:v>1</c:v>
                </c:pt>
                <c:pt idx="1">
                  <c:v>1.0473308982088632</c:v>
                </c:pt>
                <c:pt idx="2">
                  <c:v>1.1632706948906395</c:v>
                </c:pt>
                <c:pt idx="3">
                  <c:v>1.2317915768164416</c:v>
                </c:pt>
                <c:pt idx="4">
                  <c:v>1.3422523434405669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700-40EC-A083-8FA2D52D28A0}"/>
            </c:ext>
          </c:extLst>
        </c:ser>
        <c:ser>
          <c:idx val="8"/>
          <c:order val="8"/>
          <c:tx>
            <c:strRef>
              <c:f>'Новосельский-РСФСР-графики'!$J$34</c:f>
              <c:strCache>
                <c:ptCount val="1"/>
                <c:pt idx="0">
                  <c:v>среднее</c:v>
                </c:pt>
              </c:strCache>
            </c:strRef>
          </c:tx>
          <c:spPr>
            <a:ln w="571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57150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'Новосельский-РСФСР-графики'!$J$35:$J$39</c:f>
              <c:numCache>
                <c:formatCode>0.00</c:formatCode>
                <c:ptCount val="5"/>
                <c:pt idx="0">
                  <c:v>1</c:v>
                </c:pt>
                <c:pt idx="1">
                  <c:v>0.95684471885339217</c:v>
                </c:pt>
                <c:pt idx="2">
                  <c:v>0.94993601933489114</c:v>
                </c:pt>
                <c:pt idx="3">
                  <c:v>0.91927901009408663</c:v>
                </c:pt>
                <c:pt idx="4">
                  <c:v>0.88320822685076839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700-40EC-A083-8FA2D52D28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4434832"/>
        <c:axId val="1824435312"/>
      </c:scatterChart>
      <c:valAx>
        <c:axId val="1824434832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4435312"/>
        <c:crosses val="autoZero"/>
        <c:crossBetween val="midCat"/>
        <c:majorUnit val="1"/>
      </c:valAx>
      <c:valAx>
        <c:axId val="182443531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4434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итог!$E$3</c:f>
              <c:strCache>
                <c:ptCount val="1"/>
                <c:pt idx="0">
                  <c:v>У1-УЧ-мод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итог!$A$4:$A$18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итог!$E$4:$E$18</c:f>
              <c:numCache>
                <c:formatCode>0.0</c:formatCode>
                <c:ptCount val="15"/>
                <c:pt idx="0">
                  <c:v>48.102345415778252</c:v>
                </c:pt>
                <c:pt idx="1">
                  <c:v>48</c:v>
                </c:pt>
                <c:pt idx="2">
                  <c:v>40.631130063965891</c:v>
                </c:pt>
                <c:pt idx="3">
                  <c:v>30.601279317697227</c:v>
                </c:pt>
                <c:pt idx="4">
                  <c:v>24.460554371002129</c:v>
                </c:pt>
                <c:pt idx="5">
                  <c:v>32.750533049040513</c:v>
                </c:pt>
                <c:pt idx="6">
                  <c:v>31.727078891257996</c:v>
                </c:pt>
                <c:pt idx="7">
                  <c:v>31.931769722814497</c:v>
                </c:pt>
                <c:pt idx="8">
                  <c:v>36.332622601279319</c:v>
                </c:pt>
                <c:pt idx="9">
                  <c:v>38.938336886993604</c:v>
                </c:pt>
                <c:pt idx="10">
                  <c:v>48.524008528784648</c:v>
                </c:pt>
                <c:pt idx="11">
                  <c:v>46.17211087420042</c:v>
                </c:pt>
                <c:pt idx="12">
                  <c:v>48.7</c:v>
                </c:pt>
                <c:pt idx="13">
                  <c:v>47</c:v>
                </c:pt>
                <c:pt idx="14">
                  <c:v>49.6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FC2-4A48-91EA-4B8A3E76A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6443728"/>
        <c:axId val="726443072"/>
      </c:scatterChart>
      <c:valAx>
        <c:axId val="726443728"/>
        <c:scaling>
          <c:orientation val="minMax"/>
          <c:max val="1927"/>
          <c:min val="191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6443072"/>
        <c:crosses val="autoZero"/>
        <c:crossBetween val="midCat"/>
        <c:majorUnit val="1"/>
      </c:valAx>
      <c:valAx>
        <c:axId val="726443072"/>
        <c:scaling>
          <c:orientation val="minMax"/>
          <c:max val="55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6443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оценки рождаемости</a:t>
            </a:r>
            <a:r>
              <a:rPr lang="en-US" sz="1800" b="1" i="0" baseline="0">
                <a:effectLst/>
              </a:rPr>
              <a:t> (</a:t>
            </a:r>
            <a:r>
              <a:rPr lang="ru-RU" sz="1800" b="1" i="0" baseline="0">
                <a:effectLst/>
              </a:rPr>
              <a:t>‰)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Оценки!$B$6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Оценки!$B$7:$B$20</c:f>
              <c:numCache>
                <c:formatCode>0.0</c:formatCode>
                <c:ptCount val="14"/>
                <c:pt idx="7">
                  <c:v>30.9</c:v>
                </c:pt>
                <c:pt idx="8">
                  <c:v>32.6</c:v>
                </c:pt>
                <c:pt idx="9">
                  <c:v>33.4</c:v>
                </c:pt>
                <c:pt idx="10">
                  <c:v>42.8</c:v>
                </c:pt>
                <c:pt idx="11">
                  <c:v>43.8</c:v>
                </c:pt>
                <c:pt idx="12">
                  <c:v>45.9</c:v>
                </c:pt>
                <c:pt idx="13">
                  <c:v>44.7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23-41B5-915F-182EF856E89A}"/>
            </c:ext>
          </c:extLst>
        </c:ser>
        <c:ser>
          <c:idx val="1"/>
          <c:order val="1"/>
          <c:tx>
            <c:strRef>
              <c:f>Оценки!$C$6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Оценки!$C$7:$C$20</c:f>
              <c:numCache>
                <c:formatCode>0.0</c:formatCode>
                <c:ptCount val="14"/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923-41B5-915F-182EF856E89A}"/>
            </c:ext>
          </c:extLst>
        </c:ser>
        <c:ser>
          <c:idx val="2"/>
          <c:order val="2"/>
          <c:tx>
            <c:strRef>
              <c:f>Оценки!$D$6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Оценки!$D$7:$D$20</c:f>
              <c:numCache>
                <c:formatCode>0.0</c:formatCode>
                <c:ptCount val="14"/>
                <c:pt idx="0">
                  <c:v>47</c:v>
                </c:pt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923-41B5-915F-182EF856E89A}"/>
            </c:ext>
          </c:extLst>
        </c:ser>
        <c:ser>
          <c:idx val="3"/>
          <c:order val="3"/>
          <c:tx>
            <c:strRef>
              <c:f>Оценки!$E$6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Оценки!$E$7:$E$20</c:f>
              <c:numCache>
                <c:formatCode>0.0</c:formatCode>
                <c:ptCount val="14"/>
                <c:pt idx="0">
                  <c:v>44.1</c:v>
                </c:pt>
                <c:pt idx="1">
                  <c:v>45.4</c:v>
                </c:pt>
                <c:pt idx="2">
                  <c:v>43.1</c:v>
                </c:pt>
                <c:pt idx="3">
                  <c:v>37.4</c:v>
                </c:pt>
                <c:pt idx="4">
                  <c:v>32.5</c:v>
                </c:pt>
                <c:pt idx="5">
                  <c:v>28.8</c:v>
                </c:pt>
                <c:pt idx="6">
                  <c:v>32.4</c:v>
                </c:pt>
                <c:pt idx="7">
                  <c:v>30.6</c:v>
                </c:pt>
                <c:pt idx="8">
                  <c:v>31.7</c:v>
                </c:pt>
                <c:pt idx="9">
                  <c:v>35</c:v>
                </c:pt>
                <c:pt idx="10">
                  <c:v>36.200000000000003</c:v>
                </c:pt>
                <c:pt idx="11">
                  <c:v>44</c:v>
                </c:pt>
                <c:pt idx="12">
                  <c:v>42.3</c:v>
                </c:pt>
                <c:pt idx="13">
                  <c:v>43.8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923-41B5-915F-182EF856E89A}"/>
            </c:ext>
          </c:extLst>
        </c:ser>
        <c:ser>
          <c:idx val="4"/>
          <c:order val="4"/>
          <c:tx>
            <c:strRef>
              <c:f>Оценки!$F$6</c:f>
              <c:strCache>
                <c:ptCount val="1"/>
                <c:pt idx="0">
                  <c:v>АДХ СССР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Оценки!$F$7:$F$20</c:f>
              <c:numCache>
                <c:formatCode>0.0</c:formatCode>
                <c:ptCount val="14"/>
                <c:pt idx="7">
                  <c:v>39.299999999999997</c:v>
                </c:pt>
                <c:pt idx="8">
                  <c:v>40.6</c:v>
                </c:pt>
                <c:pt idx="9">
                  <c:v>43.7</c:v>
                </c:pt>
                <c:pt idx="10">
                  <c:v>47</c:v>
                </c:pt>
                <c:pt idx="11">
                  <c:v>49</c:v>
                </c:pt>
                <c:pt idx="12">
                  <c:v>47.3</c:v>
                </c:pt>
                <c:pt idx="13">
                  <c:v>45.6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923-41B5-915F-182EF856E89A}"/>
            </c:ext>
          </c:extLst>
        </c:ser>
        <c:ser>
          <c:idx val="5"/>
          <c:order val="5"/>
          <c:tx>
            <c:strRef>
              <c:f>Оценки!$G$6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Оценки!$G$7:$G$20</c:f>
              <c:numCache>
                <c:formatCode>0.0</c:formatCode>
                <c:ptCount val="14"/>
                <c:pt idx="0">
                  <c:v>47</c:v>
                </c:pt>
                <c:pt idx="1">
                  <c:v>46.9</c:v>
                </c:pt>
                <c:pt idx="2">
                  <c:v>39.700000000000003</c:v>
                </c:pt>
                <c:pt idx="3">
                  <c:v>29.9</c:v>
                </c:pt>
                <c:pt idx="4">
                  <c:v>23.9</c:v>
                </c:pt>
                <c:pt idx="5">
                  <c:v>32</c:v>
                </c:pt>
                <c:pt idx="6">
                  <c:v>31</c:v>
                </c:pt>
                <c:pt idx="7">
                  <c:v>31.2</c:v>
                </c:pt>
                <c:pt idx="8">
                  <c:v>35.5</c:v>
                </c:pt>
                <c:pt idx="9">
                  <c:v>37.299999999999997</c:v>
                </c:pt>
                <c:pt idx="10">
                  <c:v>43.9</c:v>
                </c:pt>
                <c:pt idx="11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923-41B5-915F-182EF856E89A}"/>
            </c:ext>
          </c:extLst>
        </c:ser>
        <c:ser>
          <c:idx val="6"/>
          <c:order val="6"/>
          <c:tx>
            <c:strRef>
              <c:f>Оценки!$H$6</c:f>
              <c:strCache>
                <c:ptCount val="1"/>
                <c:pt idx="0">
                  <c:v>У2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Оценки!$H$7:$H$20</c:f>
              <c:numCache>
                <c:formatCode>0.0</c:formatCode>
                <c:ptCount val="14"/>
                <c:pt idx="5">
                  <c:v>31.8</c:v>
                </c:pt>
                <c:pt idx="6">
                  <c:v>30.8</c:v>
                </c:pt>
                <c:pt idx="7">
                  <c:v>31</c:v>
                </c:pt>
                <c:pt idx="8">
                  <c:v>35.299999999999997</c:v>
                </c:pt>
                <c:pt idx="9">
                  <c:v>36.799999999999997</c:v>
                </c:pt>
                <c:pt idx="10">
                  <c:v>42.8</c:v>
                </c:pt>
                <c:pt idx="11">
                  <c:v>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923-41B5-915F-182EF856E89A}"/>
            </c:ext>
          </c:extLst>
        </c:ser>
        <c:ser>
          <c:idx val="7"/>
          <c:order val="7"/>
          <c:tx>
            <c:strRef>
              <c:f>Оценки!$I$6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Оценки!$I$7:$I$20</c:f>
              <c:numCache>
                <c:formatCode>0.0</c:formatCode>
                <c:ptCount val="14"/>
                <c:pt idx="4">
                  <c:v>27.4</c:v>
                </c:pt>
                <c:pt idx="5">
                  <c:v>33.1</c:v>
                </c:pt>
                <c:pt idx="6">
                  <c:v>30</c:v>
                </c:pt>
                <c:pt idx="7">
                  <c:v>31.3</c:v>
                </c:pt>
                <c:pt idx="8">
                  <c:v>37.799999999999997</c:v>
                </c:pt>
                <c:pt idx="9">
                  <c:v>41.4</c:v>
                </c:pt>
                <c:pt idx="10">
                  <c:v>46.5</c:v>
                </c:pt>
                <c:pt idx="11">
                  <c:v>43.6</c:v>
                </c:pt>
                <c:pt idx="12">
                  <c:v>45.7</c:v>
                </c:pt>
                <c:pt idx="13">
                  <c:v>42.6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923-41B5-915F-182EF856E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313744"/>
        <c:axId val="258315384"/>
      </c:scatterChart>
      <c:valAx>
        <c:axId val="258313744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315384"/>
        <c:crosses val="autoZero"/>
        <c:crossBetween val="midCat"/>
        <c:majorUnit val="1"/>
      </c:valAx>
      <c:valAx>
        <c:axId val="258315384"/>
        <c:scaling>
          <c:orientation val="minMax"/>
          <c:max val="5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313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оценки смертности </a:t>
            </a:r>
            <a:r>
              <a:rPr lang="en-US" sz="1800" b="1" i="0" baseline="0">
                <a:effectLst/>
              </a:rPr>
              <a:t> (</a:t>
            </a:r>
            <a:r>
              <a:rPr lang="ru-RU" sz="1800" b="1" i="0" baseline="0">
                <a:effectLst/>
              </a:rPr>
              <a:t>‰)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Оценки!$J$6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Оценки!$J$7:$J$20</c:f>
              <c:numCache>
                <c:formatCode>0.0</c:formatCode>
                <c:ptCount val="14"/>
                <c:pt idx="7">
                  <c:v>35.299999999999997</c:v>
                </c:pt>
                <c:pt idx="8">
                  <c:v>29.2</c:v>
                </c:pt>
                <c:pt idx="9">
                  <c:v>32.1</c:v>
                </c:pt>
                <c:pt idx="10">
                  <c:v>23.1</c:v>
                </c:pt>
                <c:pt idx="11">
                  <c:v>24.1</c:v>
                </c:pt>
                <c:pt idx="12">
                  <c:v>25.2</c:v>
                </c:pt>
                <c:pt idx="13">
                  <c:v>21.3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0C-4A61-9AAF-B2DE5C2145BA}"/>
            </c:ext>
          </c:extLst>
        </c:ser>
        <c:ser>
          <c:idx val="1"/>
          <c:order val="1"/>
          <c:tx>
            <c:strRef>
              <c:f>Оценки!$K$6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Оценки!$K$7:$K$20</c:f>
              <c:numCache>
                <c:formatCode>0.0</c:formatCode>
                <c:ptCount val="14"/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29.7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40C-4A61-9AAF-B2DE5C2145BA}"/>
            </c:ext>
          </c:extLst>
        </c:ser>
        <c:ser>
          <c:idx val="2"/>
          <c:order val="2"/>
          <c:tx>
            <c:strRef>
              <c:f>Оценки!$L$6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Оценки!$L$7:$L$20</c:f>
              <c:numCache>
                <c:formatCode>0.0</c:formatCode>
                <c:ptCount val="14"/>
                <c:pt idx="0">
                  <c:v>30.2</c:v>
                </c:pt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40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40C-4A61-9AAF-B2DE5C2145BA}"/>
            </c:ext>
          </c:extLst>
        </c:ser>
        <c:ser>
          <c:idx val="3"/>
          <c:order val="3"/>
          <c:tx>
            <c:strRef>
              <c:f>Оценки!$M$6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Оценки!$M$7:$M$20</c:f>
              <c:numCache>
                <c:formatCode>0.0</c:formatCode>
                <c:ptCount val="14"/>
                <c:pt idx="0">
                  <c:v>24.7</c:v>
                </c:pt>
                <c:pt idx="1">
                  <c:v>26.6</c:v>
                </c:pt>
                <c:pt idx="2">
                  <c:v>25.6</c:v>
                </c:pt>
                <c:pt idx="3">
                  <c:v>42.6</c:v>
                </c:pt>
                <c:pt idx="4">
                  <c:v>39.200000000000003</c:v>
                </c:pt>
                <c:pt idx="5">
                  <c:v>47.1</c:v>
                </c:pt>
                <c:pt idx="6">
                  <c:v>53.9</c:v>
                </c:pt>
                <c:pt idx="7">
                  <c:v>41</c:v>
                </c:pt>
                <c:pt idx="8">
                  <c:v>37.1</c:v>
                </c:pt>
                <c:pt idx="9">
                  <c:v>29.8</c:v>
                </c:pt>
                <c:pt idx="10">
                  <c:v>38</c:v>
                </c:pt>
                <c:pt idx="11">
                  <c:v>22.5</c:v>
                </c:pt>
                <c:pt idx="12">
                  <c:v>21.7</c:v>
                </c:pt>
                <c:pt idx="13">
                  <c:v>22.9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40C-4A61-9AAF-B2DE5C2145BA}"/>
            </c:ext>
          </c:extLst>
        </c:ser>
        <c:ser>
          <c:idx val="4"/>
          <c:order val="4"/>
          <c:tx>
            <c:strRef>
              <c:f>Оценки!$N$6</c:f>
              <c:strCache>
                <c:ptCount val="1"/>
                <c:pt idx="0">
                  <c:v>АДХ СССР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Оценки!$N$7:$N$20</c:f>
              <c:numCache>
                <c:formatCode>0.0</c:formatCode>
                <c:ptCount val="14"/>
                <c:pt idx="7">
                  <c:v>45.4</c:v>
                </c:pt>
                <c:pt idx="8">
                  <c:v>39.799999999999997</c:v>
                </c:pt>
                <c:pt idx="9">
                  <c:v>38.799999999999997</c:v>
                </c:pt>
                <c:pt idx="10">
                  <c:v>29.1</c:v>
                </c:pt>
                <c:pt idx="11">
                  <c:v>27.6</c:v>
                </c:pt>
                <c:pt idx="12">
                  <c:v>28.7</c:v>
                </c:pt>
                <c:pt idx="13">
                  <c:v>25.5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40C-4A61-9AAF-B2DE5C2145BA}"/>
            </c:ext>
          </c:extLst>
        </c:ser>
        <c:ser>
          <c:idx val="5"/>
          <c:order val="5"/>
          <c:tx>
            <c:strRef>
              <c:f>Оценки!$O$6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Оценки!$O$7:$O$20</c:f>
              <c:numCache>
                <c:formatCode>0.0</c:formatCode>
                <c:ptCount val="14"/>
                <c:pt idx="0">
                  <c:v>30.2</c:v>
                </c:pt>
                <c:pt idx="1">
                  <c:v>29.6</c:v>
                </c:pt>
                <c:pt idx="2">
                  <c:v>35.4</c:v>
                </c:pt>
                <c:pt idx="3">
                  <c:v>33</c:v>
                </c:pt>
                <c:pt idx="4">
                  <c:v>28.2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40C-4A61-9AAF-B2DE5C2145BA}"/>
            </c:ext>
          </c:extLst>
        </c:ser>
        <c:ser>
          <c:idx val="6"/>
          <c:order val="6"/>
          <c:tx>
            <c:strRef>
              <c:f>Оценки!$P$6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Оценки!$P$7:$P$20</c:f>
              <c:numCache>
                <c:formatCode>0.0</c:formatCode>
                <c:ptCount val="14"/>
                <c:pt idx="4">
                  <c:v>27.4</c:v>
                </c:pt>
                <c:pt idx="5">
                  <c:v>39.9</c:v>
                </c:pt>
                <c:pt idx="6">
                  <c:v>65.5</c:v>
                </c:pt>
                <c:pt idx="7">
                  <c:v>79.5</c:v>
                </c:pt>
                <c:pt idx="8">
                  <c:v>40.4</c:v>
                </c:pt>
                <c:pt idx="9">
                  <c:v>55.3</c:v>
                </c:pt>
                <c:pt idx="10">
                  <c:v>22.3</c:v>
                </c:pt>
                <c:pt idx="11">
                  <c:v>23.1</c:v>
                </c:pt>
                <c:pt idx="12">
                  <c:v>23.3</c:v>
                </c:pt>
                <c:pt idx="13">
                  <c:v>19.899999999999999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40C-4A61-9AAF-B2DE5C2145BA}"/>
            </c:ext>
          </c:extLst>
        </c:ser>
        <c:ser>
          <c:idx val="7"/>
          <c:order val="7"/>
          <c:tx>
            <c:strRef>
              <c:f>Оценки!$Q$6</c:f>
              <c:strCache>
                <c:ptCount val="1"/>
                <c:pt idx="0">
                  <c:v>АО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Оценки!$Q$7:$Q$20</c:f>
              <c:numCache>
                <c:formatCode>0.0</c:formatCode>
                <c:ptCount val="14"/>
                <c:pt idx="5">
                  <c:v>28.1</c:v>
                </c:pt>
                <c:pt idx="6">
                  <c:v>39.4</c:v>
                </c:pt>
                <c:pt idx="7">
                  <c:v>49.9</c:v>
                </c:pt>
                <c:pt idx="8">
                  <c:v>42.6</c:v>
                </c:pt>
                <c:pt idx="9">
                  <c:v>43</c:v>
                </c:pt>
                <c:pt idx="10">
                  <c:v>28.1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40C-4A61-9AAF-B2DE5C2145BA}"/>
            </c:ext>
          </c:extLst>
        </c:ser>
        <c:ser>
          <c:idx val="8"/>
          <c:order val="8"/>
          <c:tx>
            <c:strRef>
              <c:f>Оценки!$R$6</c:f>
              <c:strCache>
                <c:ptCount val="1"/>
                <c:pt idx="0">
                  <c:v>АТ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Оценки!$R$7:$R$20</c:f>
              <c:numCache>
                <c:formatCode>0.0</c:formatCode>
                <c:ptCount val="14"/>
                <c:pt idx="5">
                  <c:v>30.2</c:v>
                </c:pt>
                <c:pt idx="6">
                  <c:v>64</c:v>
                </c:pt>
                <c:pt idx="7">
                  <c:v>56.1</c:v>
                </c:pt>
                <c:pt idx="8">
                  <c:v>41.4</c:v>
                </c:pt>
                <c:pt idx="9">
                  <c:v>47.1</c:v>
                </c:pt>
                <c:pt idx="10">
                  <c:v>28.7</c:v>
                </c:pt>
                <c:pt idx="11">
                  <c:v>22.4</c:v>
                </c:pt>
                <c:pt idx="12">
                  <c:v>23.8</c:v>
                </c:pt>
                <c:pt idx="13">
                  <c:v>22.7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40C-4A61-9AAF-B2DE5C2145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0224776"/>
        <c:axId val="700225104"/>
      </c:scatterChart>
      <c:valAx>
        <c:axId val="700224776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0225104"/>
        <c:crosses val="autoZero"/>
        <c:crossBetween val="midCat"/>
        <c:majorUnit val="1"/>
      </c:valAx>
      <c:valAx>
        <c:axId val="700225104"/>
        <c:scaling>
          <c:orientation val="minMax"/>
          <c:max val="85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0224776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смертность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итог!$B$91</c:f>
              <c:strCache>
                <c:ptCount val="1"/>
                <c:pt idx="0">
                  <c:v>У1 перебаз. РСФСР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итог!$A$92:$A$105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итог!$B$92:$B$105</c:f>
              <c:numCache>
                <c:formatCode>0.0</c:formatCode>
                <c:ptCount val="14"/>
                <c:pt idx="0">
                  <c:v>31.83243243243243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A6-4C28-BCA2-ECA4398F9600}"/>
            </c:ext>
          </c:extLst>
        </c:ser>
        <c:ser>
          <c:idx val="1"/>
          <c:order val="1"/>
          <c:tx>
            <c:strRef>
              <c:f>итог!$C$91</c:f>
              <c:strCache>
                <c:ptCount val="1"/>
                <c:pt idx="0">
                  <c:v>АО перебаз. РСФСР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итог!$A$92:$A$105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итог!$C$92:$C$105</c:f>
              <c:numCache>
                <c:formatCode>General</c:formatCode>
                <c:ptCount val="14"/>
                <c:pt idx="5" formatCode="0.0">
                  <c:v>29.618918918918919</c:v>
                </c:pt>
                <c:pt idx="6" formatCode="0.0">
                  <c:v>41.529729729729723</c:v>
                </c:pt>
                <c:pt idx="7" formatCode="0.0">
                  <c:v>52.597297297297288</c:v>
                </c:pt>
                <c:pt idx="8" formatCode="0.0">
                  <c:v>44.902702702702697</c:v>
                </c:pt>
                <c:pt idx="9" formatCode="0.0">
                  <c:v>45.324324324324323</c:v>
                </c:pt>
                <c:pt idx="10" formatCode="0.0">
                  <c:v>29.618918918918919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A6-4C28-BCA2-ECA4398F9600}"/>
            </c:ext>
          </c:extLst>
        </c:ser>
        <c:ser>
          <c:idx val="2"/>
          <c:order val="2"/>
          <c:tx>
            <c:strRef>
              <c:f>итог!$H$91</c:f>
              <c:strCache>
                <c:ptCount val="1"/>
                <c:pt idx="0">
                  <c:v>итог 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итог!$A$92:$A$105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итог!$H$92:$H$105</c:f>
              <c:numCache>
                <c:formatCode>0.0</c:formatCode>
                <c:ptCount val="14"/>
                <c:pt idx="0">
                  <c:v>31.83243243243243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  <c:pt idx="5">
                  <c:v>28.913874615810812</c:v>
                </c:pt>
                <c:pt idx="6">
                  <c:v>36.893900971621619</c:v>
                </c:pt>
                <c:pt idx="7">
                  <c:v>46.251664806486481</c:v>
                </c:pt>
                <c:pt idx="8">
                  <c:v>43.0570983454054</c:v>
                </c:pt>
                <c:pt idx="9">
                  <c:v>42.080942870270263</c:v>
                </c:pt>
                <c:pt idx="10">
                  <c:v>31.406037735849061</c:v>
                </c:pt>
                <c:pt idx="11">
                  <c:v>29.787169811320759</c:v>
                </c:pt>
                <c:pt idx="12">
                  <c:v>30.974339622641512</c:v>
                </c:pt>
                <c:pt idx="13">
                  <c:v>27.520754716981134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A6-4C28-BCA2-ECA4398F96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7411080"/>
        <c:axId val="907411408"/>
      </c:scatterChart>
      <c:valAx>
        <c:axId val="907411080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07411408"/>
        <c:crosses val="autoZero"/>
        <c:crossBetween val="midCat"/>
        <c:majorUnit val="1"/>
      </c:valAx>
      <c:valAx>
        <c:axId val="90741140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074110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Рождаемость, смертность и естественный прирост</a:t>
            </a:r>
            <a:r>
              <a:rPr lang="ru-RU" baseline="0"/>
              <a:t>  </a:t>
            </a:r>
            <a:br>
              <a:rPr lang="ru-RU" baseline="0"/>
            </a:br>
            <a:r>
              <a:rPr lang="ru-RU" baseline="0"/>
              <a:t>населения в границах территории РСФСР-1991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итог!$B$120</c:f>
              <c:strCache>
                <c:ptCount val="1"/>
                <c:pt idx="0">
                  <c:v>рождаемость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итог!$A$121:$A$134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итог!$B$121:$B$134</c:f>
              <c:numCache>
                <c:formatCode>0.0</c:formatCode>
                <c:ptCount val="14"/>
                <c:pt idx="0">
                  <c:v>48.4</c:v>
                </c:pt>
                <c:pt idx="1">
                  <c:v>48</c:v>
                </c:pt>
                <c:pt idx="2">
                  <c:v>40.631130063965891</c:v>
                </c:pt>
                <c:pt idx="3">
                  <c:v>30.601279317697227</c:v>
                </c:pt>
                <c:pt idx="4">
                  <c:v>24.460554371002129</c:v>
                </c:pt>
                <c:pt idx="5">
                  <c:v>32.750533049040513</c:v>
                </c:pt>
                <c:pt idx="6">
                  <c:v>31.727078891257996</c:v>
                </c:pt>
                <c:pt idx="7">
                  <c:v>31.931769722814497</c:v>
                </c:pt>
                <c:pt idx="8">
                  <c:v>36.332622601279319</c:v>
                </c:pt>
                <c:pt idx="9">
                  <c:v>38.938336886993604</c:v>
                </c:pt>
                <c:pt idx="10">
                  <c:v>48.524008528784648</c:v>
                </c:pt>
                <c:pt idx="11">
                  <c:v>46.17211087420042</c:v>
                </c:pt>
                <c:pt idx="12">
                  <c:v>48.7</c:v>
                </c:pt>
                <c:pt idx="13">
                  <c:v>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C3-46A6-AAB1-D1D60061716E}"/>
            </c:ext>
          </c:extLst>
        </c:ser>
        <c:ser>
          <c:idx val="1"/>
          <c:order val="1"/>
          <c:tx>
            <c:strRef>
              <c:f>итог!$C$120</c:f>
              <c:strCache>
                <c:ptCount val="1"/>
                <c:pt idx="0">
                  <c:v>смертность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итог!$A$121:$A$134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итог!$C$121:$C$134</c:f>
              <c:numCache>
                <c:formatCode>0.0</c:formatCode>
                <c:ptCount val="14"/>
                <c:pt idx="0">
                  <c:v>31.6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  <c:pt idx="5">
                  <c:v>28.913874615810812</c:v>
                </c:pt>
                <c:pt idx="6">
                  <c:v>36.893900971621619</c:v>
                </c:pt>
                <c:pt idx="7">
                  <c:v>46.251664806486481</c:v>
                </c:pt>
                <c:pt idx="8">
                  <c:v>43.0570983454054</c:v>
                </c:pt>
                <c:pt idx="9">
                  <c:v>42.080942870270263</c:v>
                </c:pt>
                <c:pt idx="10">
                  <c:v>31.406037735849061</c:v>
                </c:pt>
                <c:pt idx="11">
                  <c:v>29.787169811320759</c:v>
                </c:pt>
                <c:pt idx="12">
                  <c:v>30.974339622641512</c:v>
                </c:pt>
                <c:pt idx="13">
                  <c:v>27.520754716981134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C3-46A6-AAB1-D1D60061716E}"/>
            </c:ext>
          </c:extLst>
        </c:ser>
        <c:ser>
          <c:idx val="2"/>
          <c:order val="2"/>
          <c:tx>
            <c:strRef>
              <c:f>итог!$D$120</c:f>
              <c:strCache>
                <c:ptCount val="1"/>
                <c:pt idx="0">
                  <c:v>естественный прирост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итог!$A$121:$A$134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итог!$D$121:$D$134</c:f>
              <c:numCache>
                <c:formatCode>0.0</c:formatCode>
                <c:ptCount val="14"/>
                <c:pt idx="0">
                  <c:v>16.799999999999997</c:v>
                </c:pt>
                <c:pt idx="1">
                  <c:v>16.8</c:v>
                </c:pt>
                <c:pt idx="2">
                  <c:v>3.3176165504523851</c:v>
                </c:pt>
                <c:pt idx="3">
                  <c:v>-4.1825044660865558</c:v>
                </c:pt>
                <c:pt idx="4">
                  <c:v>-5.2637699533221927</c:v>
                </c:pt>
                <c:pt idx="5">
                  <c:v>3.8366584332297009</c:v>
                </c:pt>
                <c:pt idx="6">
                  <c:v>-5.1668220803636231</c:v>
                </c:pt>
                <c:pt idx="7">
                  <c:v>-14.319895083671984</c:v>
                </c:pt>
                <c:pt idx="8">
                  <c:v>-6.7244757441260816</c:v>
                </c:pt>
                <c:pt idx="9">
                  <c:v>-3.1426059832766597</c:v>
                </c:pt>
                <c:pt idx="10">
                  <c:v>17.117970792935587</c:v>
                </c:pt>
                <c:pt idx="11">
                  <c:v>16.384941062879662</c:v>
                </c:pt>
                <c:pt idx="12">
                  <c:v>17.725660377358491</c:v>
                </c:pt>
                <c:pt idx="13">
                  <c:v>19.479245283018866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C3-46A6-AAB1-D1D6006171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6366496"/>
        <c:axId val="726367480"/>
      </c:scatterChart>
      <c:valAx>
        <c:axId val="726366496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6367480"/>
        <c:crosses val="autoZero"/>
        <c:crossBetween val="midCat"/>
        <c:majorUnit val="1"/>
      </c:valAx>
      <c:valAx>
        <c:axId val="726367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6366496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Численность населения в границах территории РСФСР-1991 </a:t>
            </a:r>
          </a:p>
          <a:p>
            <a:pPr>
              <a:defRPr/>
            </a:pPr>
            <a:r>
              <a:rPr lang="ru-RU"/>
              <a:t>на начало календарного года </a:t>
            </a:r>
            <a:r>
              <a:rPr lang="en-US"/>
              <a:t>(</a:t>
            </a:r>
            <a:r>
              <a:rPr lang="ru-RU"/>
              <a:t>тыс. чел.)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итог!$F$120</c:f>
              <c:strCache>
                <c:ptCount val="1"/>
                <c:pt idx="0">
                  <c:v>чн-1 янв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итог!$A$121:$A$134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итог!$F$121:$F$134</c:f>
              <c:numCache>
                <c:formatCode>#,##0</c:formatCode>
                <c:ptCount val="14"/>
                <c:pt idx="0">
                  <c:v>87749</c:v>
                </c:pt>
                <c:pt idx="1">
                  <c:v>89296</c:v>
                </c:pt>
                <c:pt idx="2">
                  <c:v>91047</c:v>
                </c:pt>
                <c:pt idx="3">
                  <c:v>91434.701801419738</c:v>
                </c:pt>
                <c:pt idx="4">
                  <c:v>91078.022179794993</c:v>
                </c:pt>
                <c:pt idx="5">
                  <c:v>90594.881110501839</c:v>
                </c:pt>
                <c:pt idx="6">
                  <c:v>90722.707781960286</c:v>
                </c:pt>
                <c:pt idx="7">
                  <c:v>89985.864899471751</c:v>
                </c:pt>
                <c:pt idx="8">
                  <c:v>88319.238194568112</c:v>
                </c:pt>
                <c:pt idx="9">
                  <c:v>87577.833193333703</c:v>
                </c:pt>
                <c:pt idx="10">
                  <c:v>87248.128907414575</c:v>
                </c:pt>
                <c:pt idx="11">
                  <c:v>88734.323859847791</c:v>
                </c:pt>
                <c:pt idx="12">
                  <c:v>90190.124561588716</c:v>
                </c:pt>
                <c:pt idx="13">
                  <c:v>91798.012416465295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4E-4AEE-8B43-810F5BF8A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049608"/>
        <c:axId val="1024053872"/>
      </c:scatterChart>
      <c:valAx>
        <c:axId val="1024049608"/>
        <c:scaling>
          <c:orientation val="minMax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24053872"/>
        <c:crosses val="autoZero"/>
        <c:crossBetween val="midCat"/>
        <c:majorUnit val="1"/>
      </c:valAx>
      <c:valAx>
        <c:axId val="1024053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24049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смертность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итог!$B$186</c:f>
              <c:strCache>
                <c:ptCount val="1"/>
                <c:pt idx="0">
                  <c:v>У1 перебаз. РСФСР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итог!$A$187:$A$201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итог!$B$187:$B$201</c:f>
              <c:numCache>
                <c:formatCode>0.0</c:formatCode>
                <c:ptCount val="15"/>
                <c:pt idx="0">
                  <c:v>31.83243243243243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124-4401-9ED7-B824E3E9C033}"/>
            </c:ext>
          </c:extLst>
        </c:ser>
        <c:ser>
          <c:idx val="1"/>
          <c:order val="1"/>
          <c:tx>
            <c:strRef>
              <c:f>итог!$C$186</c:f>
              <c:strCache>
                <c:ptCount val="1"/>
                <c:pt idx="0">
                  <c:v>АО перебаз. РСФСР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итог!$A$187:$A$201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итог!$C$187:$C$201</c:f>
              <c:numCache>
                <c:formatCode>General</c:formatCode>
                <c:ptCount val="15"/>
                <c:pt idx="5" formatCode="0.0">
                  <c:v>29.618918918918919</c:v>
                </c:pt>
                <c:pt idx="6" formatCode="0.0">
                  <c:v>41.529729729729723</c:v>
                </c:pt>
                <c:pt idx="7" formatCode="0.0">
                  <c:v>52.597297297297288</c:v>
                </c:pt>
                <c:pt idx="8" formatCode="0.0">
                  <c:v>44.902702702702697</c:v>
                </c:pt>
                <c:pt idx="9" formatCode="0.0">
                  <c:v>45.324324324324323</c:v>
                </c:pt>
                <c:pt idx="10" formatCode="0.0">
                  <c:v>29.618918918918919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124-4401-9ED7-B824E3E9C033}"/>
            </c:ext>
          </c:extLst>
        </c:ser>
        <c:ser>
          <c:idx val="2"/>
          <c:order val="2"/>
          <c:tx>
            <c:strRef>
              <c:f>итог!$E$186</c:f>
              <c:strCache>
                <c:ptCount val="1"/>
                <c:pt idx="0">
                  <c:v>АДХ
перебаз.
РСФСР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итог!$A$187:$A$201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итог!$E$187:$E$201</c:f>
              <c:numCache>
                <c:formatCode>General</c:formatCode>
                <c:ptCount val="15"/>
                <c:pt idx="7" formatCode="0.0">
                  <c:v>48.997735849056603</c:v>
                </c:pt>
                <c:pt idx="8" formatCode="0.0">
                  <c:v>42.953962264150945</c:v>
                </c:pt>
                <c:pt idx="9" formatCode="0.0">
                  <c:v>41.874716981132075</c:v>
                </c:pt>
                <c:pt idx="10" formatCode="0.0">
                  <c:v>31.406037735849061</c:v>
                </c:pt>
                <c:pt idx="11" formatCode="0.0">
                  <c:v>29.787169811320759</c:v>
                </c:pt>
                <c:pt idx="12" formatCode="0.0">
                  <c:v>30.974339622641512</c:v>
                </c:pt>
                <c:pt idx="13" formatCode="0.0">
                  <c:v>27.520754716981134</c:v>
                </c:pt>
                <c:pt idx="14" formatCode="0.0">
                  <c:v>28.600000000000005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124-4401-9ED7-B824E3E9C033}"/>
            </c:ext>
          </c:extLst>
        </c:ser>
        <c:ser>
          <c:idx val="3"/>
          <c:order val="3"/>
          <c:tx>
            <c:strRef>
              <c:f>итог!$F$186</c:f>
              <c:strCache>
                <c:ptCount val="1"/>
                <c:pt idx="0">
                  <c:v>итог 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итог!$A$187:$A$201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итог!$F$187:$F$201</c:f>
              <c:numCache>
                <c:formatCode>0.0</c:formatCode>
                <c:ptCount val="15"/>
                <c:pt idx="0">
                  <c:v>31.83243243243243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  <c:pt idx="5">
                  <c:v>29.618918918918919</c:v>
                </c:pt>
                <c:pt idx="6">
                  <c:v>37.74637135135135</c:v>
                </c:pt>
                <c:pt idx="7">
                  <c:v>47.805683513513507</c:v>
                </c:pt>
                <c:pt idx="8">
                  <c:v>40.812066486486486</c:v>
                </c:pt>
                <c:pt idx="9">
                  <c:v>41.195278378378376</c:v>
                </c:pt>
                <c:pt idx="10">
                  <c:v>31.406037735849061</c:v>
                </c:pt>
                <c:pt idx="11">
                  <c:v>29.787169811320759</c:v>
                </c:pt>
                <c:pt idx="12">
                  <c:v>30.974339622641512</c:v>
                </c:pt>
                <c:pt idx="13">
                  <c:v>27.520754716981134</c:v>
                </c:pt>
                <c:pt idx="14" formatCode="General">
                  <c:v>28.6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124-4401-9ED7-B824E3E9C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4741416"/>
        <c:axId val="864747320"/>
      </c:scatterChart>
      <c:valAx>
        <c:axId val="864741416"/>
        <c:scaling>
          <c:orientation val="minMax"/>
          <c:max val="192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64747320"/>
        <c:crosses val="autoZero"/>
        <c:crossBetween val="midCat"/>
        <c:majorUnit val="1"/>
      </c:valAx>
      <c:valAx>
        <c:axId val="86474732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64741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Рождаемость, смертность и естественный прирост  </a:t>
            </a:r>
            <a:br>
              <a:rPr lang="ru-RU"/>
            </a:br>
            <a:r>
              <a:rPr lang="ru-RU"/>
              <a:t>населения в границах территории РСФСР-1991</a:t>
            </a:r>
            <a:r>
              <a:rPr lang="en-US"/>
              <a:t> (</a:t>
            </a:r>
            <a:r>
              <a:rPr lang="ru-RU"/>
              <a:t>‰)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итог!$B$219</c:f>
              <c:strCache>
                <c:ptCount val="1"/>
                <c:pt idx="0">
                  <c:v>рождаемость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итог!$A$220:$A$234</c:f>
              <c:numCache>
                <c:formatCode>General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итог!$B$220:$B$234</c:f>
              <c:numCache>
                <c:formatCode>0.0</c:formatCode>
                <c:ptCount val="15"/>
                <c:pt idx="0">
                  <c:v>48.4</c:v>
                </c:pt>
                <c:pt idx="1">
                  <c:v>48</c:v>
                </c:pt>
                <c:pt idx="2">
                  <c:v>40.631130063965891</c:v>
                </c:pt>
                <c:pt idx="3">
                  <c:v>30.601279317697227</c:v>
                </c:pt>
                <c:pt idx="4">
                  <c:v>24.460554371002129</c:v>
                </c:pt>
                <c:pt idx="5">
                  <c:v>32.750533049040513</c:v>
                </c:pt>
                <c:pt idx="6">
                  <c:v>31.727078891257996</c:v>
                </c:pt>
                <c:pt idx="7">
                  <c:v>31.931769722814497</c:v>
                </c:pt>
                <c:pt idx="8">
                  <c:v>36.332622601279319</c:v>
                </c:pt>
                <c:pt idx="9">
                  <c:v>38.938336886993604</c:v>
                </c:pt>
                <c:pt idx="10">
                  <c:v>48.524008528784648</c:v>
                </c:pt>
                <c:pt idx="11">
                  <c:v>46.17211087420042</c:v>
                </c:pt>
                <c:pt idx="12">
                  <c:v>48.7</c:v>
                </c:pt>
                <c:pt idx="13">
                  <c:v>47</c:v>
                </c:pt>
                <c:pt idx="14">
                  <c:v>49.6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9C-4977-B74B-86F49040D377}"/>
            </c:ext>
          </c:extLst>
        </c:ser>
        <c:ser>
          <c:idx val="1"/>
          <c:order val="1"/>
          <c:tx>
            <c:strRef>
              <c:f>итог!$C$219</c:f>
              <c:strCache>
                <c:ptCount val="1"/>
                <c:pt idx="0">
                  <c:v>смертность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итог!$A$220:$A$234</c:f>
              <c:numCache>
                <c:formatCode>General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итог!$C$220:$C$234</c:f>
              <c:numCache>
                <c:formatCode>0.0</c:formatCode>
                <c:ptCount val="15"/>
                <c:pt idx="0">
                  <c:v>31.6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  <c:pt idx="5">
                  <c:v>29.618918918918919</c:v>
                </c:pt>
                <c:pt idx="6">
                  <c:v>37.74637135135135</c:v>
                </c:pt>
                <c:pt idx="7">
                  <c:v>47.805683513513507</c:v>
                </c:pt>
                <c:pt idx="8">
                  <c:v>40.812066486486486</c:v>
                </c:pt>
                <c:pt idx="9">
                  <c:v>41.195278378378376</c:v>
                </c:pt>
                <c:pt idx="10">
                  <c:v>31.406037735849061</c:v>
                </c:pt>
                <c:pt idx="11">
                  <c:v>29.787169811320759</c:v>
                </c:pt>
                <c:pt idx="12">
                  <c:v>30.974339622641512</c:v>
                </c:pt>
                <c:pt idx="13">
                  <c:v>27.520754716981134</c:v>
                </c:pt>
                <c:pt idx="14">
                  <c:v>28.6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9C-4977-B74B-86F49040D377}"/>
            </c:ext>
          </c:extLst>
        </c:ser>
        <c:ser>
          <c:idx val="2"/>
          <c:order val="2"/>
          <c:tx>
            <c:strRef>
              <c:f>итог!$D$219</c:f>
              <c:strCache>
                <c:ptCount val="1"/>
                <c:pt idx="0">
                  <c:v>естественный прирост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итог!$A$220:$A$234</c:f>
              <c:numCache>
                <c:formatCode>General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итог!$D$220:$D$234</c:f>
              <c:numCache>
                <c:formatCode>0.0</c:formatCode>
                <c:ptCount val="15"/>
                <c:pt idx="0">
                  <c:v>16.799999999999997</c:v>
                </c:pt>
                <c:pt idx="1">
                  <c:v>16.8</c:v>
                </c:pt>
                <c:pt idx="2">
                  <c:v>3.3176165504523851</c:v>
                </c:pt>
                <c:pt idx="3">
                  <c:v>-4.1825044660865558</c:v>
                </c:pt>
                <c:pt idx="4">
                  <c:v>-5.2637699533221927</c:v>
                </c:pt>
                <c:pt idx="5">
                  <c:v>3.1316141301215943</c:v>
                </c:pt>
                <c:pt idx="6">
                  <c:v>-6.0192924600933537</c:v>
                </c:pt>
                <c:pt idx="7">
                  <c:v>-15.87391379069901</c:v>
                </c:pt>
                <c:pt idx="8">
                  <c:v>-4.4794438852071679</c:v>
                </c:pt>
                <c:pt idx="9">
                  <c:v>-2.2569414913847723</c:v>
                </c:pt>
                <c:pt idx="10">
                  <c:v>17.117970792935587</c:v>
                </c:pt>
                <c:pt idx="11">
                  <c:v>16.384941062879662</c:v>
                </c:pt>
                <c:pt idx="12">
                  <c:v>17.725660377358491</c:v>
                </c:pt>
                <c:pt idx="13">
                  <c:v>19.479245283018866</c:v>
                </c:pt>
                <c:pt idx="14">
                  <c:v>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B9C-4977-B74B-86F49040D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5833728"/>
        <c:axId val="735829792"/>
      </c:scatterChart>
      <c:valAx>
        <c:axId val="735833728"/>
        <c:scaling>
          <c:orientation val="minMax"/>
          <c:max val="192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35829792"/>
        <c:crosses val="autoZero"/>
        <c:crossBetween val="midCat"/>
        <c:majorUnit val="1"/>
      </c:valAx>
      <c:valAx>
        <c:axId val="73582979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35833728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Численность населения в границах территории РСФСР-1991 </a:t>
            </a:r>
            <a:endParaRPr lang="ru-RU">
              <a:effectLst/>
            </a:endParaRPr>
          </a:p>
          <a:p>
            <a:pPr>
              <a:defRPr/>
            </a:pPr>
            <a:r>
              <a:rPr lang="ru-RU" sz="1800" b="1" i="0" baseline="0">
                <a:effectLst/>
              </a:rPr>
              <a:t>на начало календарного года </a:t>
            </a:r>
            <a:r>
              <a:rPr lang="en-US" sz="1800" b="1" i="0" baseline="0">
                <a:effectLst/>
              </a:rPr>
              <a:t>(</a:t>
            </a:r>
            <a:r>
              <a:rPr lang="ru-RU" sz="1800" b="1" i="0" baseline="0">
                <a:effectLst/>
              </a:rPr>
              <a:t>тыс. чел.)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итог!$F$219</c:f>
              <c:strCache>
                <c:ptCount val="1"/>
                <c:pt idx="0">
                  <c:v>чн-1 янв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8575">
                <a:solidFill>
                  <a:schemeClr val="accent1"/>
                </a:solidFill>
              </a:ln>
              <a:effectLst/>
            </c:spPr>
          </c:marker>
          <c:xVal>
            <c:numRef>
              <c:f>итог!$A$220:$A$234</c:f>
              <c:numCache>
                <c:formatCode>General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итог!$F$220:$F$234</c:f>
              <c:numCache>
                <c:formatCode>#,##0</c:formatCode>
                <c:ptCount val="15"/>
                <c:pt idx="0">
                  <c:v>87934.812999999995</c:v>
                </c:pt>
                <c:pt idx="1">
                  <c:v>89488.86</c:v>
                </c:pt>
                <c:pt idx="2">
                  <c:v>91047</c:v>
                </c:pt>
                <c:pt idx="3">
                  <c:v>91434.701801419738</c:v>
                </c:pt>
                <c:pt idx="4">
                  <c:v>91078.022179794993</c:v>
                </c:pt>
                <c:pt idx="5">
                  <c:v>90594.881110501839</c:v>
                </c:pt>
                <c:pt idx="6">
                  <c:v>90658.689179281908</c:v>
                </c:pt>
                <c:pt idx="7">
                  <c:v>89845.43806866894</c:v>
                </c:pt>
                <c:pt idx="8">
                  <c:v>88043.578448477288</c:v>
                </c:pt>
                <c:pt idx="9">
                  <c:v>87500.409634717333</c:v>
                </c:pt>
                <c:pt idx="10">
                  <c:v>87248.211035494678</c:v>
                </c:pt>
                <c:pt idx="11">
                  <c:v>88734.407405895719</c:v>
                </c:pt>
                <c:pt idx="12">
                  <c:v>90190.209487809872</c:v>
                </c:pt>
                <c:pt idx="13">
                  <c:v>91798.098861480845</c:v>
                </c:pt>
                <c:pt idx="14">
                  <c:v>93603.786163022625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BDF-40FB-8D04-1E35CF50F0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4747648"/>
        <c:axId val="864743056"/>
      </c:scatterChart>
      <c:valAx>
        <c:axId val="864747648"/>
        <c:scaling>
          <c:orientation val="minMax"/>
          <c:max val="192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64743056"/>
        <c:crosses val="autoZero"/>
        <c:crossBetween val="midCat"/>
        <c:majorUnit val="1"/>
      </c:valAx>
      <c:valAx>
        <c:axId val="864743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64747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оценки рождаемости (</a:t>
            </a:r>
            <a:r>
              <a:rPr lang="ru-RU" sz="2160" b="1" i="0" u="none" strike="noStrike" baseline="0">
                <a:effectLst/>
              </a:rPr>
              <a:t>‰</a:t>
            </a:r>
            <a:r>
              <a:rPr lang="ru-RU"/>
              <a:t>)</a:t>
            </a:r>
          </a:p>
        </c:rich>
      </c:tx>
      <c:layout>
        <c:manualLayout>
          <c:xMode val="edge"/>
          <c:yMode val="edge"/>
          <c:x val="0.32023617417629208"/>
          <c:y val="1.051939440867957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итог!$B$283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итог!$B$284:$B$298</c:f>
              <c:numCache>
                <c:formatCode>0.0</c:formatCode>
                <c:ptCount val="15"/>
                <c:pt idx="7">
                  <c:v>30.9</c:v>
                </c:pt>
                <c:pt idx="8">
                  <c:v>32.6</c:v>
                </c:pt>
                <c:pt idx="9">
                  <c:v>33.4</c:v>
                </c:pt>
                <c:pt idx="10">
                  <c:v>42.8</c:v>
                </c:pt>
                <c:pt idx="11">
                  <c:v>43.8</c:v>
                </c:pt>
                <c:pt idx="12">
                  <c:v>45.9</c:v>
                </c:pt>
                <c:pt idx="13">
                  <c:v>44.7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F0-447C-852A-96673488744C}"/>
            </c:ext>
          </c:extLst>
        </c:ser>
        <c:ser>
          <c:idx val="1"/>
          <c:order val="1"/>
          <c:tx>
            <c:strRef>
              <c:f>итог!$C$283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итог!$C$284:$C$298</c:f>
              <c:numCache>
                <c:formatCode>0.0</c:formatCode>
                <c:ptCount val="15"/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FF0-447C-852A-96673488744C}"/>
            </c:ext>
          </c:extLst>
        </c:ser>
        <c:ser>
          <c:idx val="2"/>
          <c:order val="2"/>
          <c:tx>
            <c:strRef>
              <c:f>итог!$D$283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итог!$D$284:$D$298</c:f>
              <c:numCache>
                <c:formatCode>0.0</c:formatCode>
                <c:ptCount val="15"/>
                <c:pt idx="0">
                  <c:v>47</c:v>
                </c:pt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FF0-447C-852A-96673488744C}"/>
            </c:ext>
          </c:extLst>
        </c:ser>
        <c:ser>
          <c:idx val="3"/>
          <c:order val="3"/>
          <c:tx>
            <c:strRef>
              <c:f>итог!$E$283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итог!$E$284:$E$298</c:f>
              <c:numCache>
                <c:formatCode>0.0</c:formatCode>
                <c:ptCount val="15"/>
                <c:pt idx="0">
                  <c:v>44.1</c:v>
                </c:pt>
                <c:pt idx="1">
                  <c:v>45.4</c:v>
                </c:pt>
                <c:pt idx="2">
                  <c:v>43.1</c:v>
                </c:pt>
                <c:pt idx="3">
                  <c:v>37.4</c:v>
                </c:pt>
                <c:pt idx="4">
                  <c:v>32.5</c:v>
                </c:pt>
                <c:pt idx="5">
                  <c:v>28.8</c:v>
                </c:pt>
                <c:pt idx="6">
                  <c:v>32.4</c:v>
                </c:pt>
                <c:pt idx="7">
                  <c:v>30.6</c:v>
                </c:pt>
                <c:pt idx="8">
                  <c:v>31.7</c:v>
                </c:pt>
                <c:pt idx="9">
                  <c:v>35</c:v>
                </c:pt>
                <c:pt idx="10">
                  <c:v>36.200000000000003</c:v>
                </c:pt>
                <c:pt idx="11">
                  <c:v>44</c:v>
                </c:pt>
                <c:pt idx="12">
                  <c:v>42.3</c:v>
                </c:pt>
                <c:pt idx="13">
                  <c:v>43.8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FF0-447C-852A-96673488744C}"/>
            </c:ext>
          </c:extLst>
        </c:ser>
        <c:ser>
          <c:idx val="4"/>
          <c:order val="4"/>
          <c:tx>
            <c:strRef>
              <c:f>итог!$F$283</c:f>
              <c:strCache>
                <c:ptCount val="1"/>
                <c:pt idx="0">
                  <c:v>АДХ СССР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итог!$F$284:$F$298</c:f>
              <c:numCache>
                <c:formatCode>0.0</c:formatCode>
                <c:ptCount val="15"/>
                <c:pt idx="7">
                  <c:v>39.299999999999997</c:v>
                </c:pt>
                <c:pt idx="8">
                  <c:v>40.6</c:v>
                </c:pt>
                <c:pt idx="9">
                  <c:v>43.7</c:v>
                </c:pt>
                <c:pt idx="10">
                  <c:v>47</c:v>
                </c:pt>
                <c:pt idx="11">
                  <c:v>49</c:v>
                </c:pt>
                <c:pt idx="12">
                  <c:v>47.3</c:v>
                </c:pt>
                <c:pt idx="13">
                  <c:v>45.6</c:v>
                </c:pt>
                <c:pt idx="14">
                  <c:v>46.3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FF0-447C-852A-96673488744C}"/>
            </c:ext>
          </c:extLst>
        </c:ser>
        <c:ser>
          <c:idx val="5"/>
          <c:order val="5"/>
          <c:tx>
            <c:strRef>
              <c:f>итог!$G$283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итог!$G$284:$G$298</c:f>
              <c:numCache>
                <c:formatCode>0.0</c:formatCode>
                <c:ptCount val="15"/>
                <c:pt idx="0">
                  <c:v>47</c:v>
                </c:pt>
                <c:pt idx="1">
                  <c:v>46.9</c:v>
                </c:pt>
                <c:pt idx="2">
                  <c:v>39.700000000000003</c:v>
                </c:pt>
                <c:pt idx="3">
                  <c:v>29.9</c:v>
                </c:pt>
                <c:pt idx="4">
                  <c:v>23.9</c:v>
                </c:pt>
                <c:pt idx="5">
                  <c:v>32</c:v>
                </c:pt>
                <c:pt idx="6">
                  <c:v>31</c:v>
                </c:pt>
                <c:pt idx="7">
                  <c:v>31.2</c:v>
                </c:pt>
                <c:pt idx="8">
                  <c:v>35.5</c:v>
                </c:pt>
                <c:pt idx="9">
                  <c:v>37.299999999999997</c:v>
                </c:pt>
                <c:pt idx="10">
                  <c:v>43.9</c:v>
                </c:pt>
                <c:pt idx="11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FF0-447C-852A-96673488744C}"/>
            </c:ext>
          </c:extLst>
        </c:ser>
        <c:ser>
          <c:idx val="6"/>
          <c:order val="6"/>
          <c:tx>
            <c:strRef>
              <c:f>итог!$H$283</c:f>
              <c:strCache>
                <c:ptCount val="1"/>
                <c:pt idx="0">
                  <c:v>У2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итог!$H$284:$H$298</c:f>
              <c:numCache>
                <c:formatCode>0.0</c:formatCode>
                <c:ptCount val="15"/>
                <c:pt idx="5">
                  <c:v>31.8</c:v>
                </c:pt>
                <c:pt idx="6">
                  <c:v>30.8</c:v>
                </c:pt>
                <c:pt idx="7">
                  <c:v>31</c:v>
                </c:pt>
                <c:pt idx="8">
                  <c:v>35.299999999999997</c:v>
                </c:pt>
                <c:pt idx="9">
                  <c:v>36.799999999999997</c:v>
                </c:pt>
                <c:pt idx="10">
                  <c:v>42.8</c:v>
                </c:pt>
                <c:pt idx="11">
                  <c:v>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FF0-447C-852A-96673488744C}"/>
            </c:ext>
          </c:extLst>
        </c:ser>
        <c:ser>
          <c:idx val="7"/>
          <c:order val="7"/>
          <c:tx>
            <c:strRef>
              <c:f>итог!$I$283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итог!$I$284:$I$298</c:f>
              <c:numCache>
                <c:formatCode>0.0</c:formatCode>
                <c:ptCount val="15"/>
                <c:pt idx="4">
                  <c:v>27.4</c:v>
                </c:pt>
                <c:pt idx="5">
                  <c:v>33.1</c:v>
                </c:pt>
                <c:pt idx="6">
                  <c:v>30</c:v>
                </c:pt>
                <c:pt idx="7">
                  <c:v>31.3</c:v>
                </c:pt>
                <c:pt idx="8">
                  <c:v>37.799999999999997</c:v>
                </c:pt>
                <c:pt idx="9">
                  <c:v>41.4</c:v>
                </c:pt>
                <c:pt idx="10">
                  <c:v>46.5</c:v>
                </c:pt>
                <c:pt idx="11">
                  <c:v>43.6</c:v>
                </c:pt>
                <c:pt idx="12">
                  <c:v>45.7</c:v>
                </c:pt>
                <c:pt idx="13">
                  <c:v>42.6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6FF0-447C-852A-96673488744C}"/>
            </c:ext>
          </c:extLst>
        </c:ser>
        <c:ser>
          <c:idx val="8"/>
          <c:order val="8"/>
          <c:tx>
            <c:strRef>
              <c:f>итог!$J$283</c:f>
              <c:strCache>
                <c:ptCount val="1"/>
                <c:pt idx="0">
                  <c:v>наша</c:v>
                </c:pt>
              </c:strCache>
            </c:strRef>
          </c:tx>
          <c:spPr>
            <a:ln w="57150" cap="rnd">
              <a:solidFill>
                <a:srgbClr val="9973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57150">
                <a:solidFill>
                  <a:srgbClr val="997300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итог!$J$284:$J$298</c:f>
              <c:numCache>
                <c:formatCode>0.0</c:formatCode>
                <c:ptCount val="15"/>
                <c:pt idx="0">
                  <c:v>48.4</c:v>
                </c:pt>
                <c:pt idx="1">
                  <c:v>48</c:v>
                </c:pt>
                <c:pt idx="2">
                  <c:v>40.631130063965891</c:v>
                </c:pt>
                <c:pt idx="3">
                  <c:v>30.601279317697227</c:v>
                </c:pt>
                <c:pt idx="4">
                  <c:v>24.460554371002129</c:v>
                </c:pt>
                <c:pt idx="5">
                  <c:v>32.750533049040513</c:v>
                </c:pt>
                <c:pt idx="6">
                  <c:v>31.727078891257996</c:v>
                </c:pt>
                <c:pt idx="7">
                  <c:v>31.931769722814497</c:v>
                </c:pt>
                <c:pt idx="8">
                  <c:v>36.332622601279319</c:v>
                </c:pt>
                <c:pt idx="9">
                  <c:v>38.938336886993604</c:v>
                </c:pt>
                <c:pt idx="10">
                  <c:v>48.524008528784648</c:v>
                </c:pt>
                <c:pt idx="11">
                  <c:v>46.17211087420042</c:v>
                </c:pt>
                <c:pt idx="12">
                  <c:v>48.7</c:v>
                </c:pt>
                <c:pt idx="13">
                  <c:v>47</c:v>
                </c:pt>
                <c:pt idx="14">
                  <c:v>49.6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FF0-447C-852A-9667348874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313800"/>
        <c:axId val="342314128"/>
      </c:scatterChart>
      <c:valAx>
        <c:axId val="342313800"/>
        <c:scaling>
          <c:orientation val="minMax"/>
          <c:max val="192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2314128"/>
        <c:crosses val="autoZero"/>
        <c:crossBetween val="midCat"/>
        <c:majorUnit val="1"/>
      </c:valAx>
      <c:valAx>
        <c:axId val="342314128"/>
        <c:scaling>
          <c:orientation val="minMax"/>
          <c:max val="5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23138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2160" b="1" i="0" baseline="0">
                <a:effectLst/>
              </a:rPr>
              <a:t>оценки смертности (‰)</a:t>
            </a:r>
            <a:endParaRPr lang="ru-RU" sz="2160" b="1" baseline="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итог!$B$326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итог!$B$327:$B$341</c:f>
              <c:numCache>
                <c:formatCode>0.0</c:formatCode>
                <c:ptCount val="15"/>
                <c:pt idx="7">
                  <c:v>35.299999999999997</c:v>
                </c:pt>
                <c:pt idx="8">
                  <c:v>29.2</c:v>
                </c:pt>
                <c:pt idx="9">
                  <c:v>32.1</c:v>
                </c:pt>
                <c:pt idx="10">
                  <c:v>23.1</c:v>
                </c:pt>
                <c:pt idx="11">
                  <c:v>24.1</c:v>
                </c:pt>
                <c:pt idx="12">
                  <c:v>25.2</c:v>
                </c:pt>
                <c:pt idx="13">
                  <c:v>21.3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53-47DA-AA06-3A7CADBA1236}"/>
            </c:ext>
          </c:extLst>
        </c:ser>
        <c:ser>
          <c:idx val="1"/>
          <c:order val="1"/>
          <c:tx>
            <c:strRef>
              <c:f>итог!$C$326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итог!$C$327:$C$341</c:f>
              <c:numCache>
                <c:formatCode>0.0</c:formatCode>
                <c:ptCount val="15"/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29.7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53-47DA-AA06-3A7CADBA1236}"/>
            </c:ext>
          </c:extLst>
        </c:ser>
        <c:ser>
          <c:idx val="2"/>
          <c:order val="2"/>
          <c:tx>
            <c:strRef>
              <c:f>итог!$D$326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итог!$D$327:$D$341</c:f>
              <c:numCache>
                <c:formatCode>0.0</c:formatCode>
                <c:ptCount val="15"/>
                <c:pt idx="0">
                  <c:v>30.2</c:v>
                </c:pt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40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53-47DA-AA06-3A7CADBA1236}"/>
            </c:ext>
          </c:extLst>
        </c:ser>
        <c:ser>
          <c:idx val="3"/>
          <c:order val="3"/>
          <c:tx>
            <c:strRef>
              <c:f>итог!$E$326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итог!$E$327:$E$341</c:f>
              <c:numCache>
                <c:formatCode>0.0</c:formatCode>
                <c:ptCount val="15"/>
                <c:pt idx="0">
                  <c:v>24.7</c:v>
                </c:pt>
                <c:pt idx="1">
                  <c:v>26.6</c:v>
                </c:pt>
                <c:pt idx="2">
                  <c:v>25.6</c:v>
                </c:pt>
                <c:pt idx="3">
                  <c:v>42.6</c:v>
                </c:pt>
                <c:pt idx="4">
                  <c:v>39.200000000000003</c:v>
                </c:pt>
                <c:pt idx="5">
                  <c:v>47.1</c:v>
                </c:pt>
                <c:pt idx="6">
                  <c:v>53.9</c:v>
                </c:pt>
                <c:pt idx="7">
                  <c:v>41</c:v>
                </c:pt>
                <c:pt idx="8">
                  <c:v>37.1</c:v>
                </c:pt>
                <c:pt idx="9">
                  <c:v>29.8</c:v>
                </c:pt>
                <c:pt idx="10">
                  <c:v>38</c:v>
                </c:pt>
                <c:pt idx="11">
                  <c:v>22.5</c:v>
                </c:pt>
                <c:pt idx="12">
                  <c:v>21.7</c:v>
                </c:pt>
                <c:pt idx="13">
                  <c:v>22.9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653-47DA-AA06-3A7CADBA1236}"/>
            </c:ext>
          </c:extLst>
        </c:ser>
        <c:ser>
          <c:idx val="4"/>
          <c:order val="4"/>
          <c:tx>
            <c:strRef>
              <c:f>итог!$F$326</c:f>
              <c:strCache>
                <c:ptCount val="1"/>
                <c:pt idx="0">
                  <c:v>АДХ СССР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итог!$F$327:$F$341</c:f>
              <c:numCache>
                <c:formatCode>0.0</c:formatCode>
                <c:ptCount val="15"/>
                <c:pt idx="7">
                  <c:v>45.4</c:v>
                </c:pt>
                <c:pt idx="8">
                  <c:v>39.799999999999997</c:v>
                </c:pt>
                <c:pt idx="9">
                  <c:v>38.799999999999997</c:v>
                </c:pt>
                <c:pt idx="10">
                  <c:v>29.1</c:v>
                </c:pt>
                <c:pt idx="11">
                  <c:v>27.6</c:v>
                </c:pt>
                <c:pt idx="12">
                  <c:v>28.7</c:v>
                </c:pt>
                <c:pt idx="13">
                  <c:v>25.5</c:v>
                </c:pt>
                <c:pt idx="14">
                  <c:v>26.5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653-47DA-AA06-3A7CADBA1236}"/>
            </c:ext>
          </c:extLst>
        </c:ser>
        <c:ser>
          <c:idx val="5"/>
          <c:order val="5"/>
          <c:tx>
            <c:strRef>
              <c:f>итог!$G$326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итог!$G$327:$G$341</c:f>
              <c:numCache>
                <c:formatCode>0.0</c:formatCode>
                <c:ptCount val="15"/>
                <c:pt idx="0">
                  <c:v>30.2</c:v>
                </c:pt>
                <c:pt idx="1">
                  <c:v>29.6</c:v>
                </c:pt>
                <c:pt idx="2">
                  <c:v>35.4</c:v>
                </c:pt>
                <c:pt idx="3">
                  <c:v>33</c:v>
                </c:pt>
                <c:pt idx="4">
                  <c:v>28.2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653-47DA-AA06-3A7CADBA1236}"/>
            </c:ext>
          </c:extLst>
        </c:ser>
        <c:ser>
          <c:idx val="6"/>
          <c:order val="6"/>
          <c:tx>
            <c:strRef>
              <c:f>итог!$H$326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итог!$H$327:$H$341</c:f>
              <c:numCache>
                <c:formatCode>0.0</c:formatCode>
                <c:ptCount val="15"/>
                <c:pt idx="4">
                  <c:v>27.4</c:v>
                </c:pt>
                <c:pt idx="5">
                  <c:v>39.9</c:v>
                </c:pt>
                <c:pt idx="6">
                  <c:v>65.5</c:v>
                </c:pt>
                <c:pt idx="7">
                  <c:v>79.5</c:v>
                </c:pt>
                <c:pt idx="8">
                  <c:v>40.4</c:v>
                </c:pt>
                <c:pt idx="9">
                  <c:v>55.3</c:v>
                </c:pt>
                <c:pt idx="10">
                  <c:v>22.3</c:v>
                </c:pt>
                <c:pt idx="11">
                  <c:v>23.1</c:v>
                </c:pt>
                <c:pt idx="12">
                  <c:v>23.3</c:v>
                </c:pt>
                <c:pt idx="13">
                  <c:v>19.899999999999999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653-47DA-AA06-3A7CADBA1236}"/>
            </c:ext>
          </c:extLst>
        </c:ser>
        <c:ser>
          <c:idx val="7"/>
          <c:order val="7"/>
          <c:tx>
            <c:strRef>
              <c:f>итог!$I$326</c:f>
              <c:strCache>
                <c:ptCount val="1"/>
                <c:pt idx="0">
                  <c:v>АО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итог!$I$327:$I$341</c:f>
              <c:numCache>
                <c:formatCode>0.0</c:formatCode>
                <c:ptCount val="15"/>
                <c:pt idx="5">
                  <c:v>28.1</c:v>
                </c:pt>
                <c:pt idx="6">
                  <c:v>39.4</c:v>
                </c:pt>
                <c:pt idx="7">
                  <c:v>49.9</c:v>
                </c:pt>
                <c:pt idx="8">
                  <c:v>42.6</c:v>
                </c:pt>
                <c:pt idx="9">
                  <c:v>43</c:v>
                </c:pt>
                <c:pt idx="10">
                  <c:v>28.1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653-47DA-AA06-3A7CADBA1236}"/>
            </c:ext>
          </c:extLst>
        </c:ser>
        <c:ser>
          <c:idx val="8"/>
          <c:order val="8"/>
          <c:tx>
            <c:strRef>
              <c:f>итог!$J$326</c:f>
              <c:strCache>
                <c:ptCount val="1"/>
                <c:pt idx="0">
                  <c:v>АТ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итог!$J$327:$J$341</c:f>
              <c:numCache>
                <c:formatCode>0.0</c:formatCode>
                <c:ptCount val="15"/>
                <c:pt idx="5">
                  <c:v>30.2</c:v>
                </c:pt>
                <c:pt idx="6">
                  <c:v>64</c:v>
                </c:pt>
                <c:pt idx="7">
                  <c:v>56.1</c:v>
                </c:pt>
                <c:pt idx="8">
                  <c:v>41.4</c:v>
                </c:pt>
                <c:pt idx="9">
                  <c:v>47.1</c:v>
                </c:pt>
                <c:pt idx="10">
                  <c:v>28.7</c:v>
                </c:pt>
                <c:pt idx="11">
                  <c:v>22.4</c:v>
                </c:pt>
                <c:pt idx="12">
                  <c:v>23.8</c:v>
                </c:pt>
                <c:pt idx="13">
                  <c:v>22.7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653-47DA-AA06-3A7CADBA1236}"/>
            </c:ext>
          </c:extLst>
        </c:ser>
        <c:ser>
          <c:idx val="9"/>
          <c:order val="9"/>
          <c:tx>
            <c:strRef>
              <c:f>итог!$K$326</c:f>
              <c:strCache>
                <c:ptCount val="1"/>
                <c:pt idx="0">
                  <c:v>наша</c:v>
                </c:pt>
              </c:strCache>
            </c:strRef>
          </c:tx>
          <c:spPr>
            <a:ln w="571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57150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итог!$K$327:$K$341</c:f>
              <c:numCache>
                <c:formatCode>0.0</c:formatCode>
                <c:ptCount val="15"/>
                <c:pt idx="0">
                  <c:v>31.6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  <c:pt idx="5">
                  <c:v>29.618918918918919</c:v>
                </c:pt>
                <c:pt idx="6">
                  <c:v>37.74637135135135</c:v>
                </c:pt>
                <c:pt idx="7">
                  <c:v>47.805683513513507</c:v>
                </c:pt>
                <c:pt idx="8">
                  <c:v>40.812066486486486</c:v>
                </c:pt>
                <c:pt idx="9">
                  <c:v>41.195278378378376</c:v>
                </c:pt>
                <c:pt idx="10">
                  <c:v>31.406037735849061</c:v>
                </c:pt>
                <c:pt idx="11">
                  <c:v>29.787169811320759</c:v>
                </c:pt>
                <c:pt idx="12">
                  <c:v>30.974339622641512</c:v>
                </c:pt>
                <c:pt idx="13">
                  <c:v>27.520754716981134</c:v>
                </c:pt>
                <c:pt idx="14">
                  <c:v>28.6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653-47DA-AA06-3A7CADBA12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68608"/>
        <c:axId val="505969592"/>
      </c:scatterChart>
      <c:valAx>
        <c:axId val="505968608"/>
        <c:scaling>
          <c:orientation val="minMax"/>
          <c:max val="192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05969592"/>
        <c:crosses val="autoZero"/>
        <c:crossBetween val="midCat"/>
      </c:valAx>
      <c:valAx>
        <c:axId val="505969592"/>
        <c:scaling>
          <c:orientation val="minMax"/>
          <c:max val="85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05968608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1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31</xdr:row>
      <xdr:rowOff>185737</xdr:rowOff>
    </xdr:from>
    <xdr:to>
      <xdr:col>16</xdr:col>
      <xdr:colOff>600075</xdr:colOff>
      <xdr:row>68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1AA8490-AFF6-4FE6-890F-3D90305A15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14287</xdr:colOff>
      <xdr:row>71</xdr:row>
      <xdr:rowOff>14286</xdr:rowOff>
    </xdr:from>
    <xdr:to>
      <xdr:col>17</xdr:col>
      <xdr:colOff>28575</xdr:colOff>
      <xdr:row>106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EFD26A6-13D8-4665-BD9F-B302B4A99F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802004</xdr:colOff>
      <xdr:row>21</xdr:row>
      <xdr:rowOff>181926</xdr:rowOff>
    </xdr:from>
    <xdr:to>
      <xdr:col>34</xdr:col>
      <xdr:colOff>0</xdr:colOff>
      <xdr:row>67</xdr:row>
      <xdr:rowOff>19049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C0E1108-496B-9D01-3C4D-F22E7BF02E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21</xdr:row>
      <xdr:rowOff>151445</xdr:rowOff>
    </xdr:from>
    <xdr:to>
      <xdr:col>19</xdr:col>
      <xdr:colOff>0</xdr:colOff>
      <xdr:row>63</xdr:row>
      <xdr:rowOff>9524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74186E0-9CBD-6604-B573-1781377685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23812</xdr:colOff>
      <xdr:row>77</xdr:row>
      <xdr:rowOff>14286</xdr:rowOff>
    </xdr:from>
    <xdr:to>
      <xdr:col>19</xdr:col>
      <xdr:colOff>0</xdr:colOff>
      <xdr:row>114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F98DE59-9D80-4214-840B-7756413B7A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14287</xdr:colOff>
      <xdr:row>118</xdr:row>
      <xdr:rowOff>14286</xdr:rowOff>
    </xdr:from>
    <xdr:to>
      <xdr:col>23</xdr:col>
      <xdr:colOff>28575</xdr:colOff>
      <xdr:row>144</xdr:row>
      <xdr:rowOff>171449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CB20500-FA8B-4E33-82A5-968CA38E7C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609599</xdr:colOff>
      <xdr:row>145</xdr:row>
      <xdr:rowOff>176211</xdr:rowOff>
    </xdr:from>
    <xdr:to>
      <xdr:col>24</xdr:col>
      <xdr:colOff>9524</xdr:colOff>
      <xdr:row>179</xdr:row>
      <xdr:rowOff>171450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4571901-B57D-4A0A-B020-9368F22ED3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604837</xdr:colOff>
      <xdr:row>78</xdr:row>
      <xdr:rowOff>176211</xdr:rowOff>
    </xdr:from>
    <xdr:to>
      <xdr:col>20</xdr:col>
      <xdr:colOff>9525</xdr:colOff>
      <xdr:row>114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579A21D-17F4-4AE0-8851-B33684873B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952</xdr:rowOff>
    </xdr:from>
    <xdr:to>
      <xdr:col>29</xdr:col>
      <xdr:colOff>600075</xdr:colOff>
      <xdr:row>36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BE562EC-6069-134D-D431-EC44472B16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638174</xdr:colOff>
      <xdr:row>40</xdr:row>
      <xdr:rowOff>8572</xdr:rowOff>
    </xdr:from>
    <xdr:to>
      <xdr:col>30</xdr:col>
      <xdr:colOff>9524</xdr:colOff>
      <xdr:row>75</xdr:row>
      <xdr:rowOff>47625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9F6264B-D99E-6DC6-1A13-C984E11ADC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</xdr:colOff>
      <xdr:row>2</xdr:row>
      <xdr:rowOff>23812</xdr:rowOff>
    </xdr:from>
    <xdr:to>
      <xdr:col>21</xdr:col>
      <xdr:colOff>28575</xdr:colOff>
      <xdr:row>44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25ECECB-EA4A-4D56-83E7-C5C24C5163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19050</xdr:colOff>
      <xdr:row>1</xdr:row>
      <xdr:rowOff>180975</xdr:rowOff>
    </xdr:from>
    <xdr:to>
      <xdr:col>38</xdr:col>
      <xdr:colOff>1</xdr:colOff>
      <xdr:row>38</xdr:row>
      <xdr:rowOff>176213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6E2809E-D589-454C-AC66-677798E43F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604837</xdr:colOff>
      <xdr:row>50</xdr:row>
      <xdr:rowOff>14286</xdr:rowOff>
    </xdr:from>
    <xdr:to>
      <xdr:col>30</xdr:col>
      <xdr:colOff>9525</xdr:colOff>
      <xdr:row>85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4A06492-4703-4543-81D8-2608945F7B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604837</xdr:colOff>
      <xdr:row>89</xdr:row>
      <xdr:rowOff>14287</xdr:rowOff>
    </xdr:from>
    <xdr:to>
      <xdr:col>30</xdr:col>
      <xdr:colOff>9525</xdr:colOff>
      <xdr:row>114</xdr:row>
      <xdr:rowOff>9525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9F6F1A4-4493-473C-BE6D-7D680BDE27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14286</xdr:colOff>
      <xdr:row>142</xdr:row>
      <xdr:rowOff>14286</xdr:rowOff>
    </xdr:from>
    <xdr:to>
      <xdr:col>17</xdr:col>
      <xdr:colOff>600074</xdr:colOff>
      <xdr:row>178</xdr:row>
      <xdr:rowOff>171449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996DE26-E4BC-4103-ABE0-AA311D2CE8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4761</xdr:colOff>
      <xdr:row>141</xdr:row>
      <xdr:rowOff>185736</xdr:rowOff>
    </xdr:from>
    <xdr:to>
      <xdr:col>35</xdr:col>
      <xdr:colOff>28574</xdr:colOff>
      <xdr:row>178</xdr:row>
      <xdr:rowOff>171449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5485749-06ED-48B4-880A-1C1615FDDB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223837</xdr:colOff>
      <xdr:row>183</xdr:row>
      <xdr:rowOff>166686</xdr:rowOff>
    </xdr:from>
    <xdr:to>
      <xdr:col>29</xdr:col>
      <xdr:colOff>9525</xdr:colOff>
      <xdr:row>212</xdr:row>
      <xdr:rowOff>171449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E736ABCE-2401-4ECD-8060-F8A769BCA9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23812</xdr:colOff>
      <xdr:row>238</xdr:row>
      <xdr:rowOff>157162</xdr:rowOff>
    </xdr:from>
    <xdr:to>
      <xdr:col>13</xdr:col>
      <xdr:colOff>1</xdr:colOff>
      <xdr:row>275</xdr:row>
      <xdr:rowOff>133350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8ECEE87D-87C5-469F-9DBB-90E6CA5966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604837</xdr:colOff>
      <xdr:row>239</xdr:row>
      <xdr:rowOff>4762</xdr:rowOff>
    </xdr:from>
    <xdr:to>
      <xdr:col>30</xdr:col>
      <xdr:colOff>561975</xdr:colOff>
      <xdr:row>275</xdr:row>
      <xdr:rowOff>19050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391E6DD-4828-4525-A432-1A7404F502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14287</xdr:colOff>
      <xdr:row>281</xdr:row>
      <xdr:rowOff>14286</xdr:rowOff>
    </xdr:from>
    <xdr:to>
      <xdr:col>29</xdr:col>
      <xdr:colOff>600075</xdr:colOff>
      <xdr:row>319</xdr:row>
      <xdr:rowOff>19049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3EB5F6EE-8868-4438-8780-5D16F4A834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14286</xdr:colOff>
      <xdr:row>324</xdr:row>
      <xdr:rowOff>23811</xdr:rowOff>
    </xdr:from>
    <xdr:to>
      <xdr:col>30</xdr:col>
      <xdr:colOff>609599</xdr:colOff>
      <xdr:row>362</xdr:row>
      <xdr:rowOff>180974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53BBE06A-81BD-40DB-A1B7-4C2A85A6A9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INAPPS/ExcelOSR/Osier00_Win32_20220524/ExcelOSR/OSR/OSR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YearAveragePopulation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28229-44D1-4DD2-9CCC-1A2F3690299E}">
  <sheetPr codeName="Sheet1"/>
  <dimension ref="A1:U31"/>
  <sheetViews>
    <sheetView workbookViewId="0">
      <selection activeCell="A5" sqref="A5:R20"/>
    </sheetView>
  </sheetViews>
  <sheetFormatPr defaultRowHeight="15" x14ac:dyDescent="0.25"/>
  <cols>
    <col min="1" max="1" width="10.28515625" customWidth="1"/>
  </cols>
  <sheetData>
    <row r="1" spans="1:21" ht="18.75" x14ac:dyDescent="0.3">
      <c r="A1" s="6" t="s">
        <v>17</v>
      </c>
    </row>
    <row r="5" spans="1:21" x14ac:dyDescent="0.25">
      <c r="B5" s="82" t="s">
        <v>6</v>
      </c>
      <c r="C5" s="82"/>
      <c r="D5" s="82"/>
      <c r="E5" s="82"/>
      <c r="F5" s="82"/>
      <c r="G5" s="82"/>
      <c r="H5" s="82"/>
      <c r="I5" s="82"/>
      <c r="J5" s="83" t="s">
        <v>7</v>
      </c>
      <c r="K5" s="83"/>
      <c r="L5" s="83"/>
      <c r="M5" s="83"/>
      <c r="N5" s="83"/>
      <c r="O5" s="83"/>
      <c r="P5" s="83"/>
      <c r="Q5" s="83"/>
      <c r="R5" s="83"/>
    </row>
    <row r="6" spans="1:21" ht="30" x14ac:dyDescent="0.25">
      <c r="A6" s="15" t="s">
        <v>3</v>
      </c>
      <c r="B6" s="8" t="s">
        <v>8</v>
      </c>
      <c r="C6" s="8" t="s">
        <v>9</v>
      </c>
      <c r="D6" s="8" t="s">
        <v>10</v>
      </c>
      <c r="E6" s="8" t="s">
        <v>11</v>
      </c>
      <c r="F6" s="8" t="s">
        <v>154</v>
      </c>
      <c r="G6" s="8" t="s">
        <v>13</v>
      </c>
      <c r="H6" s="8" t="s">
        <v>14</v>
      </c>
      <c r="I6" s="8" t="s">
        <v>5</v>
      </c>
      <c r="J6" s="9" t="s">
        <v>8</v>
      </c>
      <c r="K6" s="9" t="s">
        <v>9</v>
      </c>
      <c r="L6" s="9" t="s">
        <v>10</v>
      </c>
      <c r="M6" s="9" t="s">
        <v>11</v>
      </c>
      <c r="N6" s="9" t="s">
        <v>154</v>
      </c>
      <c r="O6" s="9" t="s">
        <v>13</v>
      </c>
      <c r="P6" s="9" t="s">
        <v>5</v>
      </c>
      <c r="Q6" s="9" t="s">
        <v>15</v>
      </c>
      <c r="R6" s="9" t="s">
        <v>16</v>
      </c>
    </row>
    <row r="7" spans="1:21" x14ac:dyDescent="0.25">
      <c r="A7" s="41">
        <v>1913</v>
      </c>
      <c r="B7" s="39"/>
      <c r="C7" s="39"/>
      <c r="D7" s="40">
        <v>47</v>
      </c>
      <c r="E7" s="40">
        <v>44.1</v>
      </c>
      <c r="F7" s="39"/>
      <c r="G7" s="40">
        <v>47</v>
      </c>
      <c r="H7" s="39"/>
      <c r="I7" s="39"/>
      <c r="J7" s="39"/>
      <c r="K7" s="39"/>
      <c r="L7" s="40">
        <v>30.2</v>
      </c>
      <c r="M7" s="40">
        <v>24.7</v>
      </c>
      <c r="N7" s="39"/>
      <c r="O7" s="40">
        <v>30.2</v>
      </c>
      <c r="P7" s="39"/>
      <c r="Q7" s="39"/>
      <c r="R7" s="39"/>
    </row>
    <row r="8" spans="1:21" x14ac:dyDescent="0.25">
      <c r="A8" s="41">
        <v>1914</v>
      </c>
      <c r="B8" s="39"/>
      <c r="C8" s="39">
        <v>43.7</v>
      </c>
      <c r="D8" s="40">
        <v>43.7</v>
      </c>
      <c r="E8" s="40">
        <v>45.4</v>
      </c>
      <c r="F8" s="39"/>
      <c r="G8" s="40">
        <v>46.9</v>
      </c>
      <c r="H8" s="39"/>
      <c r="I8" s="39"/>
      <c r="J8" s="39"/>
      <c r="K8" s="39">
        <v>27.2</v>
      </c>
      <c r="L8" s="40">
        <v>27.2</v>
      </c>
      <c r="M8" s="40">
        <v>26.6</v>
      </c>
      <c r="N8" s="39"/>
      <c r="O8" s="40">
        <v>29.6</v>
      </c>
      <c r="P8" s="39"/>
      <c r="Q8" s="39"/>
      <c r="R8" s="39"/>
    </row>
    <row r="9" spans="1:21" x14ac:dyDescent="0.25">
      <c r="A9" s="42">
        <v>1915</v>
      </c>
      <c r="B9" s="37"/>
      <c r="C9" s="37">
        <v>35.9</v>
      </c>
      <c r="D9" s="37">
        <v>35.9</v>
      </c>
      <c r="E9" s="37">
        <v>43.1</v>
      </c>
      <c r="F9" s="37"/>
      <c r="G9" s="37">
        <v>39.700000000000003</v>
      </c>
      <c r="H9" s="37"/>
      <c r="I9" s="37"/>
      <c r="J9" s="37"/>
      <c r="K9" s="37">
        <v>28.8</v>
      </c>
      <c r="L9" s="37">
        <v>28.8</v>
      </c>
      <c r="M9" s="37">
        <v>25.6</v>
      </c>
      <c r="N9" s="37"/>
      <c r="O9" s="37">
        <v>35.4</v>
      </c>
      <c r="P9" s="37"/>
      <c r="Q9" s="37"/>
      <c r="R9" s="37"/>
    </row>
    <row r="10" spans="1:21" x14ac:dyDescent="0.25">
      <c r="A10" s="42">
        <v>1916</v>
      </c>
      <c r="B10" s="37"/>
      <c r="C10" s="37">
        <v>27.1</v>
      </c>
      <c r="D10" s="37">
        <v>27.1</v>
      </c>
      <c r="E10" s="37">
        <v>37.4</v>
      </c>
      <c r="F10" s="37"/>
      <c r="G10" s="37">
        <v>29.9</v>
      </c>
      <c r="H10" s="37"/>
      <c r="I10" s="37"/>
      <c r="J10" s="37"/>
      <c r="K10" s="37">
        <v>25.4</v>
      </c>
      <c r="L10" s="37">
        <v>25.4</v>
      </c>
      <c r="M10" s="37">
        <v>42.6</v>
      </c>
      <c r="N10" s="37"/>
      <c r="O10" s="37">
        <v>33</v>
      </c>
      <c r="P10" s="37"/>
      <c r="Q10" s="37"/>
      <c r="R10" s="37"/>
    </row>
    <row r="11" spans="1:21" x14ac:dyDescent="0.25">
      <c r="A11" s="42">
        <v>1917</v>
      </c>
      <c r="B11" s="37"/>
      <c r="C11" s="37">
        <v>26.3</v>
      </c>
      <c r="D11" s="37">
        <v>26.3</v>
      </c>
      <c r="E11" s="37">
        <v>32.5</v>
      </c>
      <c r="F11" s="37"/>
      <c r="G11" s="37">
        <v>23.9</v>
      </c>
      <c r="H11" s="37"/>
      <c r="I11" s="38">
        <v>27.4</v>
      </c>
      <c r="J11" s="37"/>
      <c r="K11" s="37">
        <v>29.1</v>
      </c>
      <c r="L11" s="37">
        <v>29.1</v>
      </c>
      <c r="M11" s="37">
        <v>39.200000000000003</v>
      </c>
      <c r="N11" s="37"/>
      <c r="O11" s="37">
        <v>28.2</v>
      </c>
      <c r="P11" s="38">
        <v>27.4</v>
      </c>
      <c r="Q11" s="38"/>
      <c r="R11" s="38"/>
      <c r="T11" s="84" t="s">
        <v>114</v>
      </c>
      <c r="U11" s="84"/>
    </row>
    <row r="12" spans="1:21" x14ac:dyDescent="0.25">
      <c r="A12" s="42">
        <v>1918</v>
      </c>
      <c r="B12" s="37"/>
      <c r="C12" s="37">
        <v>34.700000000000003</v>
      </c>
      <c r="D12" s="37">
        <v>34.700000000000003</v>
      </c>
      <c r="E12" s="37">
        <v>28.8</v>
      </c>
      <c r="F12" s="37"/>
      <c r="G12" s="37">
        <v>32</v>
      </c>
      <c r="H12" s="37">
        <v>31.8</v>
      </c>
      <c r="I12" s="38">
        <v>33.1</v>
      </c>
      <c r="J12" s="37"/>
      <c r="K12" s="37">
        <v>44.2</v>
      </c>
      <c r="L12" s="37">
        <v>44.2</v>
      </c>
      <c r="M12" s="37">
        <v>47.1</v>
      </c>
      <c r="N12" s="37"/>
      <c r="O12" s="37"/>
      <c r="P12" s="38">
        <v>39.9</v>
      </c>
      <c r="Q12" s="37">
        <v>28.1</v>
      </c>
      <c r="R12" s="37">
        <v>30.2</v>
      </c>
      <c r="T12" s="2">
        <f>AVERAGE(P12,R12)</f>
        <v>35.049999999999997</v>
      </c>
      <c r="U12" s="2">
        <f>T12-27</f>
        <v>8.0499999999999972</v>
      </c>
    </row>
    <row r="13" spans="1:21" x14ac:dyDescent="0.25">
      <c r="A13" s="42">
        <v>1919</v>
      </c>
      <c r="B13" s="37"/>
      <c r="C13" s="37">
        <v>31.7</v>
      </c>
      <c r="D13" s="37">
        <v>31.7</v>
      </c>
      <c r="E13" s="37">
        <v>32.4</v>
      </c>
      <c r="F13" s="37"/>
      <c r="G13" s="37">
        <v>31</v>
      </c>
      <c r="H13" s="37">
        <v>30.8</v>
      </c>
      <c r="I13" s="38">
        <v>30</v>
      </c>
      <c r="J13" s="37"/>
      <c r="K13" s="37">
        <v>46.7</v>
      </c>
      <c r="L13" s="37">
        <v>46.7</v>
      </c>
      <c r="M13" s="37">
        <v>53.9</v>
      </c>
      <c r="N13" s="37"/>
      <c r="O13" s="37"/>
      <c r="P13" s="38">
        <v>65.5</v>
      </c>
      <c r="Q13" s="37">
        <v>39.4</v>
      </c>
      <c r="R13" s="37">
        <v>64</v>
      </c>
      <c r="T13" s="2">
        <f t="shared" ref="T13:T19" si="0">AVERAGE(P13,R13)</f>
        <v>64.75</v>
      </c>
      <c r="U13" s="2">
        <f t="shared" ref="U13:U18" si="1">T13-27</f>
        <v>37.75</v>
      </c>
    </row>
    <row r="14" spans="1:21" x14ac:dyDescent="0.25">
      <c r="A14" s="42">
        <v>1920</v>
      </c>
      <c r="B14" s="37">
        <v>30.9</v>
      </c>
      <c r="C14" s="37">
        <v>32.200000000000003</v>
      </c>
      <c r="D14" s="37">
        <v>32.200000000000003</v>
      </c>
      <c r="E14" s="37">
        <v>30.6</v>
      </c>
      <c r="F14" s="37">
        <v>39.299999999999997</v>
      </c>
      <c r="G14" s="37">
        <v>31.2</v>
      </c>
      <c r="H14" s="37">
        <v>31</v>
      </c>
      <c r="I14" s="38">
        <v>31.3</v>
      </c>
      <c r="J14" s="37">
        <v>35.299999999999997</v>
      </c>
      <c r="K14" s="37">
        <v>43.3</v>
      </c>
      <c r="L14" s="37">
        <v>43.3</v>
      </c>
      <c r="M14" s="37">
        <v>41</v>
      </c>
      <c r="N14" s="37">
        <v>45.4</v>
      </c>
      <c r="O14" s="37"/>
      <c r="P14" s="38">
        <v>79.5</v>
      </c>
      <c r="Q14" s="37">
        <v>49.9</v>
      </c>
      <c r="R14" s="37">
        <v>56.1</v>
      </c>
      <c r="T14" s="2">
        <f t="shared" si="0"/>
        <v>67.8</v>
      </c>
      <c r="U14" s="2">
        <f t="shared" si="1"/>
        <v>40.799999999999997</v>
      </c>
    </row>
    <row r="15" spans="1:21" x14ac:dyDescent="0.25">
      <c r="A15" s="42">
        <v>1921</v>
      </c>
      <c r="B15" s="37">
        <v>32.6</v>
      </c>
      <c r="C15" s="37">
        <v>37.299999999999997</v>
      </c>
      <c r="D15" s="37">
        <v>37.299999999999997</v>
      </c>
      <c r="E15" s="37">
        <v>31.7</v>
      </c>
      <c r="F15" s="37">
        <v>40.6</v>
      </c>
      <c r="G15" s="37">
        <v>35.5</v>
      </c>
      <c r="H15" s="37">
        <v>35.299999999999997</v>
      </c>
      <c r="I15" s="38">
        <v>37.799999999999997</v>
      </c>
      <c r="J15" s="37">
        <v>29.2</v>
      </c>
      <c r="K15" s="37">
        <v>29.7</v>
      </c>
      <c r="L15" s="37">
        <v>40</v>
      </c>
      <c r="M15" s="37">
        <v>37.1</v>
      </c>
      <c r="N15" s="37">
        <v>39.799999999999997</v>
      </c>
      <c r="O15" s="37"/>
      <c r="P15" s="38">
        <v>40.4</v>
      </c>
      <c r="Q15" s="37">
        <v>42.6</v>
      </c>
      <c r="R15" s="37">
        <v>41.4</v>
      </c>
      <c r="T15" s="2">
        <f t="shared" si="0"/>
        <v>40.9</v>
      </c>
      <c r="U15" s="2">
        <f t="shared" si="1"/>
        <v>13.899999999999999</v>
      </c>
    </row>
    <row r="16" spans="1:21" x14ac:dyDescent="0.25">
      <c r="A16" s="42">
        <v>1922</v>
      </c>
      <c r="B16" s="37">
        <v>33.4</v>
      </c>
      <c r="C16" s="37">
        <v>38.200000000000003</v>
      </c>
      <c r="D16" s="37">
        <v>38.200000000000003</v>
      </c>
      <c r="E16" s="37">
        <v>35</v>
      </c>
      <c r="F16" s="37">
        <v>43.7</v>
      </c>
      <c r="G16" s="37">
        <v>37.299999999999997</v>
      </c>
      <c r="H16" s="37">
        <v>36.799999999999997</v>
      </c>
      <c r="I16" s="38">
        <v>41.4</v>
      </c>
      <c r="J16" s="37">
        <v>32.1</v>
      </c>
      <c r="K16" s="37">
        <v>29.6</v>
      </c>
      <c r="L16" s="37">
        <v>29.6</v>
      </c>
      <c r="M16" s="37">
        <v>29.8</v>
      </c>
      <c r="N16" s="37">
        <v>38.799999999999997</v>
      </c>
      <c r="O16" s="37"/>
      <c r="P16" s="38">
        <v>55.3</v>
      </c>
      <c r="Q16" s="37">
        <v>43</v>
      </c>
      <c r="R16" s="37">
        <v>47.1</v>
      </c>
      <c r="T16" s="2">
        <f t="shared" si="0"/>
        <v>51.2</v>
      </c>
      <c r="U16" s="2">
        <f t="shared" si="1"/>
        <v>24.200000000000003</v>
      </c>
    </row>
    <row r="17" spans="1:21" x14ac:dyDescent="0.25">
      <c r="A17" s="42">
        <v>1923</v>
      </c>
      <c r="B17" s="37">
        <v>42.8</v>
      </c>
      <c r="C17" s="37">
        <v>45.5</v>
      </c>
      <c r="D17" s="37">
        <v>45.5</v>
      </c>
      <c r="E17" s="37">
        <v>36.200000000000003</v>
      </c>
      <c r="F17" s="37">
        <v>47</v>
      </c>
      <c r="G17" s="37">
        <v>43.9</v>
      </c>
      <c r="H17" s="37">
        <v>42.8</v>
      </c>
      <c r="I17" s="38">
        <v>46.5</v>
      </c>
      <c r="J17" s="37">
        <v>23.1</v>
      </c>
      <c r="K17" s="37">
        <v>25.5</v>
      </c>
      <c r="L17" s="37">
        <v>25.5</v>
      </c>
      <c r="M17" s="37">
        <v>38</v>
      </c>
      <c r="N17" s="37">
        <v>29.1</v>
      </c>
      <c r="O17" s="37"/>
      <c r="P17" s="38">
        <v>22.3</v>
      </c>
      <c r="Q17" s="37">
        <v>28.1</v>
      </c>
      <c r="R17" s="37">
        <v>28.7</v>
      </c>
      <c r="T17" s="2">
        <f t="shared" si="0"/>
        <v>25.5</v>
      </c>
      <c r="U17" s="2">
        <f t="shared" si="1"/>
        <v>-1.5</v>
      </c>
    </row>
    <row r="18" spans="1:21" x14ac:dyDescent="0.25">
      <c r="A18" s="42">
        <v>1924</v>
      </c>
      <c r="B18" s="37">
        <v>43.8</v>
      </c>
      <c r="C18" s="37">
        <v>42.2</v>
      </c>
      <c r="D18" s="37">
        <v>42.2</v>
      </c>
      <c r="E18" s="37">
        <v>44</v>
      </c>
      <c r="F18" s="37">
        <v>49</v>
      </c>
      <c r="G18" s="37">
        <v>42</v>
      </c>
      <c r="H18" s="37">
        <v>41</v>
      </c>
      <c r="I18" s="38">
        <v>43.6</v>
      </c>
      <c r="J18" s="37">
        <v>24.1</v>
      </c>
      <c r="K18" s="37">
        <v>23.5</v>
      </c>
      <c r="L18" s="37">
        <v>23.5</v>
      </c>
      <c r="M18" s="37">
        <v>22.5</v>
      </c>
      <c r="N18" s="37">
        <v>27.6</v>
      </c>
      <c r="O18" s="37"/>
      <c r="P18" s="38">
        <v>23.1</v>
      </c>
      <c r="Q18" s="37"/>
      <c r="R18" s="37">
        <v>22.4</v>
      </c>
      <c r="T18" s="2">
        <f t="shared" si="0"/>
        <v>22.75</v>
      </c>
      <c r="U18" s="2">
        <f t="shared" si="1"/>
        <v>-4.25</v>
      </c>
    </row>
    <row r="19" spans="1:21" x14ac:dyDescent="0.25">
      <c r="A19" s="42">
        <v>1925</v>
      </c>
      <c r="B19" s="37">
        <v>45.9</v>
      </c>
      <c r="C19" s="37">
        <v>43.9</v>
      </c>
      <c r="D19" s="37">
        <v>43.9</v>
      </c>
      <c r="E19" s="37">
        <v>42.3</v>
      </c>
      <c r="F19" s="37">
        <v>47.3</v>
      </c>
      <c r="G19" s="37"/>
      <c r="H19" s="37"/>
      <c r="I19" s="38">
        <v>45.7</v>
      </c>
      <c r="J19" s="37">
        <v>25.2</v>
      </c>
      <c r="K19" s="37">
        <v>24.5</v>
      </c>
      <c r="L19" s="37">
        <v>24.5</v>
      </c>
      <c r="M19" s="37">
        <v>21.7</v>
      </c>
      <c r="N19" s="37">
        <v>28.7</v>
      </c>
      <c r="O19" s="37"/>
      <c r="P19" s="38">
        <v>23.3</v>
      </c>
      <c r="Q19" s="38"/>
      <c r="R19" s="37">
        <v>23.8</v>
      </c>
      <c r="T19" s="2">
        <f t="shared" si="0"/>
        <v>23.55</v>
      </c>
    </row>
    <row r="20" spans="1:21" x14ac:dyDescent="0.25">
      <c r="A20" s="42">
        <v>1926</v>
      </c>
      <c r="B20" s="37">
        <v>44.7</v>
      </c>
      <c r="C20" s="37">
        <v>42.5</v>
      </c>
      <c r="D20" s="37">
        <v>42.5</v>
      </c>
      <c r="E20" s="37">
        <v>43.8</v>
      </c>
      <c r="F20" s="37">
        <v>45.6</v>
      </c>
      <c r="G20" s="37"/>
      <c r="H20" s="37"/>
      <c r="I20" s="38">
        <v>42.6</v>
      </c>
      <c r="J20" s="37">
        <v>21.3</v>
      </c>
      <c r="K20" s="37">
        <v>21.5</v>
      </c>
      <c r="L20" s="37">
        <v>21.5</v>
      </c>
      <c r="M20" s="37">
        <v>22.9</v>
      </c>
      <c r="N20" s="37">
        <v>25.5</v>
      </c>
      <c r="O20" s="37"/>
      <c r="P20" s="38">
        <v>19.899999999999999</v>
      </c>
      <c r="Q20" s="38"/>
      <c r="R20" s="37">
        <v>22.7</v>
      </c>
    </row>
    <row r="22" spans="1:21" x14ac:dyDescent="0.25">
      <c r="A22" t="s">
        <v>8</v>
      </c>
      <c r="B22" t="s">
        <v>18</v>
      </c>
    </row>
    <row r="23" spans="1:21" x14ac:dyDescent="0.25">
      <c r="A23" t="s">
        <v>9</v>
      </c>
      <c r="B23" t="s">
        <v>19</v>
      </c>
    </row>
    <row r="24" spans="1:21" x14ac:dyDescent="0.25">
      <c r="A24" t="s">
        <v>10</v>
      </c>
      <c r="B24" t="s">
        <v>20</v>
      </c>
    </row>
    <row r="25" spans="1:21" x14ac:dyDescent="0.25">
      <c r="A25" t="s">
        <v>11</v>
      </c>
      <c r="B25" t="s">
        <v>0</v>
      </c>
    </row>
    <row r="26" spans="1:21" x14ac:dyDescent="0.25">
      <c r="A26" t="s">
        <v>154</v>
      </c>
      <c r="B26" t="s">
        <v>160</v>
      </c>
    </row>
    <row r="27" spans="1:21" x14ac:dyDescent="0.25">
      <c r="A27" t="s">
        <v>13</v>
      </c>
      <c r="B27" t="s">
        <v>22</v>
      </c>
    </row>
    <row r="28" spans="1:21" x14ac:dyDescent="0.25">
      <c r="A28" t="s">
        <v>14</v>
      </c>
      <c r="B28" t="s">
        <v>23</v>
      </c>
    </row>
    <row r="29" spans="1:21" x14ac:dyDescent="0.25">
      <c r="A29" t="s">
        <v>5</v>
      </c>
      <c r="B29" t="s">
        <v>24</v>
      </c>
    </row>
    <row r="30" spans="1:21" x14ac:dyDescent="0.25">
      <c r="A30" t="s">
        <v>15</v>
      </c>
      <c r="B30" t="s">
        <v>25</v>
      </c>
    </row>
    <row r="31" spans="1:21" x14ac:dyDescent="0.25">
      <c r="A31" t="s">
        <v>16</v>
      </c>
      <c r="B31" t="s">
        <v>25</v>
      </c>
    </row>
  </sheetData>
  <mergeCells count="3">
    <mergeCell ref="B5:I5"/>
    <mergeCell ref="J5:R5"/>
    <mergeCell ref="T11:U1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1878B-4C6A-4A41-8450-F0C8CBD0F660}">
  <sheetPr codeName="Sheet2"/>
  <dimension ref="A1:Q24"/>
  <sheetViews>
    <sheetView workbookViewId="0">
      <selection activeCell="F19" sqref="F19"/>
    </sheetView>
  </sheetViews>
  <sheetFormatPr defaultRowHeight="15" x14ac:dyDescent="0.25"/>
  <cols>
    <col min="7" max="7" width="16" customWidth="1"/>
    <col min="8" max="9" width="11.5703125" bestFit="1" customWidth="1"/>
  </cols>
  <sheetData>
    <row r="1" spans="1:17" ht="18.75" x14ac:dyDescent="0.3">
      <c r="A1" s="6" t="s">
        <v>109</v>
      </c>
    </row>
    <row r="3" spans="1:17" x14ac:dyDescent="0.25">
      <c r="A3" s="11" t="s">
        <v>3</v>
      </c>
      <c r="B3" s="11" t="s">
        <v>1</v>
      </c>
      <c r="C3" s="11" t="s">
        <v>2</v>
      </c>
      <c r="D3" s="11" t="s">
        <v>4</v>
      </c>
      <c r="E3" s="12" t="s">
        <v>26</v>
      </c>
      <c r="F3" s="11" t="s">
        <v>30</v>
      </c>
      <c r="G3" s="11" t="s">
        <v>27</v>
      </c>
      <c r="H3" s="11" t="s">
        <v>28</v>
      </c>
      <c r="I3" s="11" t="s">
        <v>29</v>
      </c>
      <c r="J3" s="11" t="s">
        <v>32</v>
      </c>
    </row>
    <row r="4" spans="1:17" x14ac:dyDescent="0.25">
      <c r="A4" s="81">
        <v>1914</v>
      </c>
      <c r="B4" s="26"/>
      <c r="C4" s="26"/>
      <c r="D4" s="26"/>
      <c r="E4" s="80">
        <v>10</v>
      </c>
      <c r="F4" s="26"/>
      <c r="G4" s="26"/>
      <c r="H4" s="26"/>
      <c r="I4" s="26"/>
      <c r="J4" s="26"/>
    </row>
    <row r="5" spans="1:17" x14ac:dyDescent="0.25">
      <c r="A5">
        <v>1915</v>
      </c>
      <c r="B5" s="7">
        <v>35.9</v>
      </c>
      <c r="C5" s="7">
        <v>28.8</v>
      </c>
      <c r="D5" s="7">
        <f>B5-C5</f>
        <v>7.0999999999999979</v>
      </c>
      <c r="E5">
        <v>85</v>
      </c>
      <c r="F5" s="3">
        <f>91037+E4</f>
        <v>91047</v>
      </c>
      <c r="G5" s="4">
        <f>[1]!YearAveragePopulation(F5,B5,C5,E5)</f>
        <v>91413.583918378543</v>
      </c>
      <c r="H5" s="4">
        <f>G5*B5/1000</f>
        <v>3281.7476626697894</v>
      </c>
      <c r="I5" s="4">
        <f>G5*C5/1000</f>
        <v>2632.7112168493018</v>
      </c>
      <c r="J5" s="4">
        <f>H5-I5</f>
        <v>649.03644582048764</v>
      </c>
      <c r="L5" s="2"/>
      <c r="O5" s="3"/>
      <c r="P5" s="3"/>
      <c r="Q5" s="3"/>
    </row>
    <row r="6" spans="1:17" x14ac:dyDescent="0.25">
      <c r="A6">
        <v>1916</v>
      </c>
      <c r="B6" s="7">
        <v>27.1</v>
      </c>
      <c r="C6" s="7">
        <v>25.4</v>
      </c>
      <c r="D6" s="7">
        <f t="shared" ref="D6:D16" si="0">B6-C6</f>
        <v>1.7000000000000028</v>
      </c>
      <c r="E6">
        <v>25</v>
      </c>
      <c r="F6" s="4">
        <f>F5+J5+E5</f>
        <v>91781.036445820486</v>
      </c>
      <c r="G6" s="4">
        <f t="shared" ref="G6:G16" si="1">[1]!YearAveragePopulation(F6,B6,C6,E6)</f>
        <v>91871.601639808912</v>
      </c>
      <c r="H6" s="4">
        <f t="shared" ref="H6:H16" si="2">G6*B6/1000</f>
        <v>2489.7204044388218</v>
      </c>
      <c r="I6" s="4">
        <f t="shared" ref="I6:I16" si="3">G6*C6/1000</f>
        <v>2333.5386816511464</v>
      </c>
      <c r="J6" s="4">
        <f t="shared" ref="J6:J16" si="4">H6-I6</f>
        <v>156.18172278767543</v>
      </c>
      <c r="L6" s="2"/>
      <c r="O6" s="3"/>
      <c r="P6" s="3"/>
    </row>
    <row r="7" spans="1:17" x14ac:dyDescent="0.25">
      <c r="A7">
        <v>1917</v>
      </c>
      <c r="B7" s="7">
        <v>26.3</v>
      </c>
      <c r="C7" s="7">
        <v>29.1</v>
      </c>
      <c r="D7" s="7">
        <f t="shared" si="0"/>
        <v>-2.8000000000000007</v>
      </c>
      <c r="E7">
        <v>-5</v>
      </c>
      <c r="F7" s="4">
        <f t="shared" ref="F7:F17" si="5">F6+J6+E6</f>
        <v>91962.21816860816</v>
      </c>
      <c r="G7" s="4">
        <f t="shared" si="1"/>
        <v>91831.093474771333</v>
      </c>
      <c r="H7" s="4">
        <f t="shared" si="2"/>
        <v>2415.1577583864864</v>
      </c>
      <c r="I7" s="4">
        <f t="shared" si="3"/>
        <v>2672.2848201158463</v>
      </c>
      <c r="J7" s="4">
        <f t="shared" si="4"/>
        <v>-257.12706172935987</v>
      </c>
      <c r="L7" s="2"/>
      <c r="O7" s="3"/>
      <c r="P7" s="4"/>
      <c r="Q7" s="3"/>
    </row>
    <row r="8" spans="1:17" x14ac:dyDescent="0.25">
      <c r="A8">
        <v>1918</v>
      </c>
      <c r="B8" s="7">
        <v>34.700000000000003</v>
      </c>
      <c r="C8" s="7">
        <v>44.2</v>
      </c>
      <c r="D8" s="7">
        <f t="shared" si="0"/>
        <v>-9.5</v>
      </c>
      <c r="E8">
        <v>-220</v>
      </c>
      <c r="F8" s="4">
        <f t="shared" si="5"/>
        <v>91700.091106878797</v>
      </c>
      <c r="G8" s="4">
        <f t="shared" si="1"/>
        <v>91156.239234260211</v>
      </c>
      <c r="H8" s="4">
        <f t="shared" si="2"/>
        <v>3163.1215014288296</v>
      </c>
      <c r="I8" s="4">
        <f t="shared" si="3"/>
        <v>4029.1057741543018</v>
      </c>
      <c r="J8" s="4">
        <f t="shared" si="4"/>
        <v>-865.98427272547224</v>
      </c>
      <c r="L8" s="2"/>
      <c r="O8" s="3"/>
      <c r="P8" s="3"/>
    </row>
    <row r="9" spans="1:17" x14ac:dyDescent="0.25">
      <c r="A9">
        <v>1919</v>
      </c>
      <c r="B9" s="7">
        <v>31.7</v>
      </c>
      <c r="C9" s="7">
        <v>46.7</v>
      </c>
      <c r="D9" s="7">
        <f t="shared" si="0"/>
        <v>-15.000000000000004</v>
      </c>
      <c r="E9">
        <v>-270</v>
      </c>
      <c r="F9" s="4">
        <f t="shared" si="5"/>
        <v>90614.106834153325</v>
      </c>
      <c r="G9" s="4">
        <f t="shared" si="1"/>
        <v>89803.558833752031</v>
      </c>
      <c r="H9" s="4">
        <f t="shared" si="2"/>
        <v>2846.772815029939</v>
      </c>
      <c r="I9" s="4">
        <f t="shared" si="3"/>
        <v>4193.8261975362202</v>
      </c>
      <c r="J9" s="4">
        <f t="shared" si="4"/>
        <v>-1347.0533825062812</v>
      </c>
      <c r="L9" s="2"/>
      <c r="O9" s="3"/>
      <c r="P9" s="3"/>
    </row>
    <row r="10" spans="1:17" x14ac:dyDescent="0.25">
      <c r="A10">
        <v>1920</v>
      </c>
      <c r="B10" s="7">
        <v>32.200000000000003</v>
      </c>
      <c r="C10" s="7">
        <v>43.3</v>
      </c>
      <c r="D10" s="7">
        <f t="shared" si="0"/>
        <v>-11.099999999999994</v>
      </c>
      <c r="E10">
        <v>-390</v>
      </c>
      <c r="F10" s="4">
        <f t="shared" si="5"/>
        <v>88997.053451647051</v>
      </c>
      <c r="G10" s="4">
        <f t="shared" si="1"/>
        <v>88310.661801531431</v>
      </c>
      <c r="H10" s="4">
        <f t="shared" si="2"/>
        <v>2843.6033100093123</v>
      </c>
      <c r="I10" s="4">
        <f t="shared" si="3"/>
        <v>3823.8516560063108</v>
      </c>
      <c r="J10" s="4">
        <f t="shared" si="4"/>
        <v>-980.24834599699852</v>
      </c>
      <c r="L10" s="2"/>
      <c r="O10" s="3"/>
      <c r="P10" s="3"/>
      <c r="Q10" s="3"/>
    </row>
    <row r="11" spans="1:17" x14ac:dyDescent="0.25">
      <c r="A11">
        <v>1921</v>
      </c>
      <c r="B11" s="7">
        <v>37.299999999999997</v>
      </c>
      <c r="C11" s="7">
        <v>29.7</v>
      </c>
      <c r="D11" s="7">
        <f t="shared" si="0"/>
        <v>7.5999999999999979</v>
      </c>
      <c r="E11">
        <v>-150</v>
      </c>
      <c r="F11" s="4">
        <f t="shared" si="5"/>
        <v>87626.805105650055</v>
      </c>
      <c r="G11" s="4">
        <f t="shared" si="1"/>
        <v>87885.441762738817</v>
      </c>
      <c r="H11" s="4">
        <f t="shared" si="2"/>
        <v>3278.1269777501575</v>
      </c>
      <c r="I11" s="4">
        <f t="shared" si="3"/>
        <v>2610.1976203533432</v>
      </c>
      <c r="J11" s="4">
        <f t="shared" si="4"/>
        <v>667.92935739681434</v>
      </c>
      <c r="L11" s="2"/>
      <c r="O11" s="3"/>
      <c r="P11" s="3"/>
    </row>
    <row r="12" spans="1:17" x14ac:dyDescent="0.25">
      <c r="A12">
        <v>1922</v>
      </c>
      <c r="B12" s="7">
        <v>38.200000000000003</v>
      </c>
      <c r="C12" s="7">
        <v>29.6</v>
      </c>
      <c r="D12" s="7">
        <f t="shared" si="0"/>
        <v>8.6000000000000014</v>
      </c>
      <c r="E12">
        <v>-55</v>
      </c>
      <c r="F12" s="4">
        <f t="shared" si="5"/>
        <v>88144.734463046872</v>
      </c>
      <c r="G12" s="4">
        <f t="shared" si="1"/>
        <v>88497.266688945427</v>
      </c>
      <c r="H12" s="4">
        <f t="shared" si="2"/>
        <v>3380.5955875177156</v>
      </c>
      <c r="I12" s="4">
        <f t="shared" si="3"/>
        <v>2619.5190939927847</v>
      </c>
      <c r="J12" s="4">
        <f t="shared" si="4"/>
        <v>761.07649352493081</v>
      </c>
      <c r="L12" s="2"/>
      <c r="O12" s="3"/>
      <c r="P12" s="3"/>
    </row>
    <row r="13" spans="1:17" x14ac:dyDescent="0.25">
      <c r="A13">
        <v>1923</v>
      </c>
      <c r="B13" s="7">
        <v>45.5</v>
      </c>
      <c r="C13" s="7">
        <v>25.5</v>
      </c>
      <c r="D13" s="7">
        <f t="shared" si="0"/>
        <v>20</v>
      </c>
      <c r="E13">
        <v>-20</v>
      </c>
      <c r="F13" s="4">
        <f t="shared" si="5"/>
        <v>88850.810956571804</v>
      </c>
      <c r="G13" s="4">
        <f t="shared" si="1"/>
        <v>89735.205187997446</v>
      </c>
      <c r="H13" s="4">
        <f t="shared" si="2"/>
        <v>4082.9518360538837</v>
      </c>
      <c r="I13" s="4">
        <f t="shared" si="3"/>
        <v>2288.2477322939349</v>
      </c>
      <c r="J13" s="4">
        <f t="shared" si="4"/>
        <v>1794.7041037599488</v>
      </c>
      <c r="L13" s="2"/>
      <c r="O13" s="3"/>
      <c r="P13" s="3"/>
      <c r="Q13" s="3"/>
    </row>
    <row r="14" spans="1:17" x14ac:dyDescent="0.25">
      <c r="A14">
        <v>1924</v>
      </c>
      <c r="B14" s="7">
        <v>42.2</v>
      </c>
      <c r="C14" s="7">
        <v>23.5</v>
      </c>
      <c r="D14" s="7">
        <f t="shared" si="0"/>
        <v>18.700000000000003</v>
      </c>
      <c r="E14">
        <v>-10</v>
      </c>
      <c r="F14" s="4">
        <f t="shared" si="5"/>
        <v>90625.51506033176</v>
      </c>
      <c r="G14" s="4">
        <f t="shared" si="1"/>
        <v>91473.138904369815</v>
      </c>
      <c r="H14" s="4">
        <f t="shared" si="2"/>
        <v>3860.1664617644064</v>
      </c>
      <c r="I14" s="4">
        <f t="shared" si="3"/>
        <v>2149.6187642526907</v>
      </c>
      <c r="J14" s="4">
        <f t="shared" si="4"/>
        <v>1710.5476975117158</v>
      </c>
      <c r="L14" s="2"/>
      <c r="O14" s="3"/>
      <c r="P14" s="3"/>
    </row>
    <row r="15" spans="1:17" x14ac:dyDescent="0.25">
      <c r="A15">
        <v>1925</v>
      </c>
      <c r="B15" s="7">
        <v>43.9</v>
      </c>
      <c r="C15" s="7">
        <v>24.5</v>
      </c>
      <c r="D15" s="7">
        <f t="shared" si="0"/>
        <v>19.399999999999999</v>
      </c>
      <c r="E15">
        <v>-5</v>
      </c>
      <c r="F15" s="4">
        <f t="shared" si="5"/>
        <v>92326.06275784348</v>
      </c>
      <c r="G15" s="4">
        <f t="shared" si="1"/>
        <v>93224.928824546485</v>
      </c>
      <c r="H15" s="4">
        <f t="shared" si="2"/>
        <v>4092.5743753975903</v>
      </c>
      <c r="I15" s="4">
        <f t="shared" si="3"/>
        <v>2284.0107562013886</v>
      </c>
      <c r="J15" s="4">
        <f t="shared" si="4"/>
        <v>1808.5636191962017</v>
      </c>
      <c r="L15" s="2"/>
      <c r="O15" s="3"/>
      <c r="P15" s="3"/>
    </row>
    <row r="16" spans="1:17" x14ac:dyDescent="0.25">
      <c r="A16">
        <v>1926</v>
      </c>
      <c r="B16" s="7">
        <v>42.5</v>
      </c>
      <c r="C16" s="7">
        <v>21.5</v>
      </c>
      <c r="D16" s="7">
        <f t="shared" si="0"/>
        <v>21</v>
      </c>
      <c r="E16">
        <v>0</v>
      </c>
      <c r="F16" s="4">
        <f t="shared" si="5"/>
        <v>94129.626377039676</v>
      </c>
      <c r="G16" s="4">
        <f t="shared" si="1"/>
        <v>95124.942456895486</v>
      </c>
      <c r="H16" s="4">
        <f t="shared" si="2"/>
        <v>4042.8100544180579</v>
      </c>
      <c r="I16" s="4">
        <f t="shared" si="3"/>
        <v>2045.1862628232529</v>
      </c>
      <c r="J16" s="4">
        <f t="shared" si="4"/>
        <v>1997.623791594805</v>
      </c>
      <c r="L16" s="2"/>
      <c r="O16" s="3"/>
      <c r="P16" s="3"/>
      <c r="Q16" s="3"/>
    </row>
    <row r="17" spans="1:17" x14ac:dyDescent="0.25">
      <c r="A17">
        <v>1927</v>
      </c>
      <c r="F17" s="4">
        <f t="shared" si="5"/>
        <v>96127.250168634477</v>
      </c>
      <c r="O17" s="3"/>
      <c r="P17" s="3"/>
      <c r="Q17" s="3"/>
    </row>
    <row r="19" spans="1:17" x14ac:dyDescent="0.25">
      <c r="A19" s="14" t="s">
        <v>31</v>
      </c>
      <c r="F19" s="3">
        <v>93604</v>
      </c>
    </row>
    <row r="20" spans="1:17" x14ac:dyDescent="0.25">
      <c r="A20" s="14"/>
    </row>
    <row r="21" spans="1:17" x14ac:dyDescent="0.25">
      <c r="A21" s="14" t="s">
        <v>33</v>
      </c>
      <c r="B21" s="13"/>
      <c r="F21" s="3">
        <f>F17+F20-F19</f>
        <v>2523.2501686344767</v>
      </c>
    </row>
    <row r="24" spans="1:17" x14ac:dyDescent="0.25">
      <c r="A24" s="74" t="s">
        <v>163</v>
      </c>
      <c r="B24" s="75"/>
      <c r="C24" s="75"/>
      <c r="D24" s="75"/>
      <c r="E24" s="75"/>
      <c r="F24" s="75"/>
      <c r="G24" s="75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C3AE3-145B-44E3-B5B1-D80D4E673F68}">
  <dimension ref="A1:U21"/>
  <sheetViews>
    <sheetView workbookViewId="0">
      <selection activeCell="P18" sqref="P18"/>
    </sheetView>
  </sheetViews>
  <sheetFormatPr defaultRowHeight="15" x14ac:dyDescent="0.25"/>
  <cols>
    <col min="5" max="5" width="13.7109375" customWidth="1"/>
    <col min="6" max="6" width="12.5703125" customWidth="1"/>
    <col min="7" max="7" width="24.5703125" customWidth="1"/>
    <col min="10" max="10" width="14.140625" customWidth="1"/>
    <col min="16" max="16" width="12.28515625" customWidth="1"/>
    <col min="17" max="17" width="20.140625" customWidth="1"/>
    <col min="20" max="20" width="12.140625" customWidth="1"/>
    <col min="21" max="21" width="11" customWidth="1"/>
  </cols>
  <sheetData>
    <row r="1" spans="1:21" ht="18.75" x14ac:dyDescent="0.3">
      <c r="A1" s="6" t="s">
        <v>113</v>
      </c>
      <c r="T1" s="25" t="s">
        <v>116</v>
      </c>
      <c r="U1">
        <v>2.9740000000000001E-3</v>
      </c>
    </row>
    <row r="3" spans="1:21" x14ac:dyDescent="0.25">
      <c r="A3" s="11" t="s">
        <v>3</v>
      </c>
      <c r="B3" s="11" t="s">
        <v>1</v>
      </c>
      <c r="C3" s="11" t="s">
        <v>2</v>
      </c>
      <c r="D3" s="11" t="s">
        <v>4</v>
      </c>
      <c r="E3" s="11" t="s">
        <v>6</v>
      </c>
      <c r="F3" s="11" t="s">
        <v>7</v>
      </c>
      <c r="G3" s="11" t="s">
        <v>138</v>
      </c>
      <c r="H3" s="12" t="s">
        <v>26</v>
      </c>
      <c r="I3" s="11" t="s">
        <v>30</v>
      </c>
      <c r="J3" s="11" t="s">
        <v>27</v>
      </c>
      <c r="K3" s="11" t="s">
        <v>28</v>
      </c>
      <c r="L3" s="11" t="s">
        <v>29</v>
      </c>
      <c r="M3" s="11" t="s">
        <v>32</v>
      </c>
      <c r="P3" s="11" t="s">
        <v>114</v>
      </c>
      <c r="Q3" s="11" t="s">
        <v>115</v>
      </c>
    </row>
    <row r="4" spans="1:21" x14ac:dyDescent="0.25">
      <c r="A4" s="27">
        <v>1914</v>
      </c>
      <c r="B4" s="26"/>
      <c r="C4" s="26"/>
      <c r="D4" s="26"/>
      <c r="E4" s="76">
        <v>48.4</v>
      </c>
      <c r="F4" s="76">
        <v>31.5</v>
      </c>
      <c r="G4" s="26"/>
      <c r="H4">
        <v>10</v>
      </c>
      <c r="I4" s="30">
        <v>89489</v>
      </c>
      <c r="J4" s="30">
        <v>90260</v>
      </c>
      <c r="K4" s="26"/>
      <c r="L4" s="26"/>
      <c r="M4" s="26"/>
      <c r="P4" s="26"/>
      <c r="Q4" s="26"/>
    </row>
    <row r="5" spans="1:21" x14ac:dyDescent="0.25">
      <c r="A5" s="5">
        <v>1915</v>
      </c>
      <c r="B5" s="7">
        <v>35.9</v>
      </c>
      <c r="C5" s="7">
        <v>28.8</v>
      </c>
      <c r="D5" s="7">
        <f>B5-C5</f>
        <v>7.0999999999999979</v>
      </c>
      <c r="E5" s="29">
        <f>B5/Q5</f>
        <v>35.9</v>
      </c>
      <c r="F5" s="29">
        <f>C5*Q5</f>
        <v>28.8</v>
      </c>
      <c r="G5" s="24">
        <f>E5-F5</f>
        <v>7.0999999999999979</v>
      </c>
      <c r="H5">
        <v>85</v>
      </c>
      <c r="I5" s="3">
        <f>91037+H4</f>
        <v>91047</v>
      </c>
      <c r="J5" s="4">
        <f>[1]!YearAveragePopulation(I5,E5,F5,H5)</f>
        <v>91413.583918378543</v>
      </c>
      <c r="K5" s="4">
        <f>J5*E5/1000</f>
        <v>3281.7476626697894</v>
      </c>
      <c r="L5" s="4">
        <f>J5*F5/1000</f>
        <v>2632.7112168493018</v>
      </c>
      <c r="M5" s="4">
        <f>K5-L5</f>
        <v>649.03644582048764</v>
      </c>
      <c r="P5">
        <v>0</v>
      </c>
      <c r="Q5" s="23">
        <f t="shared" ref="Q5:Q16" si="0">P5*WEIGHT + 1</f>
        <v>1</v>
      </c>
    </row>
    <row r="6" spans="1:21" x14ac:dyDescent="0.25">
      <c r="A6" s="5">
        <v>1916</v>
      </c>
      <c r="B6" s="7">
        <v>27.1</v>
      </c>
      <c r="C6" s="7">
        <v>25.4</v>
      </c>
      <c r="D6" s="7">
        <f t="shared" ref="D6:D16" si="1">B6-C6</f>
        <v>1.7000000000000028</v>
      </c>
      <c r="E6" s="29">
        <f t="shared" ref="E6:E16" si="2">B6/Q6</f>
        <v>27.1</v>
      </c>
      <c r="F6" s="29">
        <f t="shared" ref="F6:F16" si="3">C6*Q6</f>
        <v>25.4</v>
      </c>
      <c r="G6" s="24">
        <f t="shared" ref="G6:G16" si="4">E6-F6</f>
        <v>1.7000000000000028</v>
      </c>
      <c r="H6">
        <v>25</v>
      </c>
      <c r="I6" s="4">
        <f>I5+M5+H5</f>
        <v>91781.036445820486</v>
      </c>
      <c r="J6" s="4">
        <f t="shared" ref="J6:J16" si="5">[1]!YearAveragePopulation(I6,E6,F6,H6)</f>
        <v>91871.601639808912</v>
      </c>
      <c r="K6" s="4">
        <f t="shared" ref="K6:K16" si="6">J6*E6/1000</f>
        <v>2489.7204044388218</v>
      </c>
      <c r="L6" s="4">
        <f t="shared" ref="L6:L16" si="7">J6*F6/1000</f>
        <v>2333.5386816511464</v>
      </c>
      <c r="M6" s="4">
        <f t="shared" ref="M6:M16" si="8">K6-L6</f>
        <v>156.18172278767543</v>
      </c>
      <c r="P6">
        <v>0</v>
      </c>
      <c r="Q6" s="23">
        <f t="shared" si="0"/>
        <v>1</v>
      </c>
    </row>
    <row r="7" spans="1:21" x14ac:dyDescent="0.25">
      <c r="A7" s="5">
        <v>1917</v>
      </c>
      <c r="B7" s="7">
        <v>26.3</v>
      </c>
      <c r="C7" s="7">
        <v>29.1</v>
      </c>
      <c r="D7" s="7">
        <f t="shared" si="1"/>
        <v>-2.8000000000000007</v>
      </c>
      <c r="E7" s="29">
        <f t="shared" si="2"/>
        <v>26.3</v>
      </c>
      <c r="F7" s="29">
        <f t="shared" si="3"/>
        <v>29.1</v>
      </c>
      <c r="G7" s="24">
        <f t="shared" si="4"/>
        <v>-2.8000000000000007</v>
      </c>
      <c r="H7">
        <v>-5</v>
      </c>
      <c r="I7" s="4">
        <f t="shared" ref="I7:I17" si="9">I6+M6+H6</f>
        <v>91962.21816860816</v>
      </c>
      <c r="J7" s="4">
        <f t="shared" si="5"/>
        <v>91831.093474771333</v>
      </c>
      <c r="K7" s="4">
        <f t="shared" si="6"/>
        <v>2415.1577583864864</v>
      </c>
      <c r="L7" s="4">
        <f t="shared" si="7"/>
        <v>2672.2848201158463</v>
      </c>
      <c r="M7" s="4">
        <f t="shared" si="8"/>
        <v>-257.12706172935987</v>
      </c>
      <c r="P7">
        <v>0</v>
      </c>
      <c r="Q7" s="23">
        <f t="shared" si="0"/>
        <v>1</v>
      </c>
    </row>
    <row r="8" spans="1:21" x14ac:dyDescent="0.25">
      <c r="A8" s="5">
        <v>1918</v>
      </c>
      <c r="B8" s="7">
        <v>34.700000000000003</v>
      </c>
      <c r="C8" s="7">
        <v>44.2</v>
      </c>
      <c r="D8" s="7">
        <f t="shared" si="1"/>
        <v>-9.5</v>
      </c>
      <c r="E8" s="29">
        <f t="shared" si="2"/>
        <v>33.888681248826231</v>
      </c>
      <c r="F8" s="29">
        <f t="shared" si="3"/>
        <v>45.258178940000008</v>
      </c>
      <c r="G8" s="24">
        <f t="shared" si="4"/>
        <v>-11.369497691173777</v>
      </c>
      <c r="H8">
        <v>-220</v>
      </c>
      <c r="I8" s="4">
        <f t="shared" si="9"/>
        <v>91700.091106878797</v>
      </c>
      <c r="J8" s="4">
        <f t="shared" si="5"/>
        <v>91071.18482582763</v>
      </c>
      <c r="K8" s="4">
        <f t="shared" si="6"/>
        <v>3086.2823535154125</v>
      </c>
      <c r="L8" s="4">
        <f t="shared" si="7"/>
        <v>4121.7159791251206</v>
      </c>
      <c r="M8" s="4">
        <f t="shared" si="8"/>
        <v>-1035.4336256097081</v>
      </c>
      <c r="P8" s="2">
        <v>8.0499999999999972</v>
      </c>
      <c r="Q8" s="23">
        <f t="shared" si="0"/>
        <v>1.0239407</v>
      </c>
    </row>
    <row r="9" spans="1:21" x14ac:dyDescent="0.25">
      <c r="A9" s="5">
        <v>1919</v>
      </c>
      <c r="B9" s="7">
        <v>31.7</v>
      </c>
      <c r="C9" s="7">
        <v>46.7</v>
      </c>
      <c r="D9" s="7">
        <f t="shared" si="1"/>
        <v>-15.000000000000004</v>
      </c>
      <c r="E9" s="29">
        <f t="shared" si="2"/>
        <v>28.500312649328823</v>
      </c>
      <c r="F9" s="29">
        <f t="shared" si="3"/>
        <v>51.942938950000006</v>
      </c>
      <c r="G9" s="24">
        <f t="shared" si="4"/>
        <v>-23.442626300671183</v>
      </c>
      <c r="H9">
        <v>-270</v>
      </c>
      <c r="I9" s="4">
        <f t="shared" si="9"/>
        <v>90444.657481269096</v>
      </c>
      <c r="J9" s="4">
        <f t="shared" si="5"/>
        <v>89258.811847641351</v>
      </c>
      <c r="K9" s="4">
        <f t="shared" si="6"/>
        <v>2543.9040443653944</v>
      </c>
      <c r="L9" s="4">
        <f t="shared" si="7"/>
        <v>4636.3650145515712</v>
      </c>
      <c r="M9" s="4">
        <f t="shared" si="8"/>
        <v>-2092.4609701861768</v>
      </c>
      <c r="P9" s="2">
        <v>37.75</v>
      </c>
      <c r="Q9" s="23">
        <f t="shared" si="0"/>
        <v>1.1122685000000001</v>
      </c>
    </row>
    <row r="10" spans="1:21" x14ac:dyDescent="0.25">
      <c r="A10" s="5">
        <v>1920</v>
      </c>
      <c r="B10" s="7">
        <v>32.200000000000003</v>
      </c>
      <c r="C10" s="7">
        <v>43.3</v>
      </c>
      <c r="D10" s="7">
        <f t="shared" si="1"/>
        <v>-11.099999999999994</v>
      </c>
      <c r="E10" s="29">
        <f t="shared" si="2"/>
        <v>28.715664270008578</v>
      </c>
      <c r="F10" s="29">
        <f t="shared" si="3"/>
        <v>48.553987359999994</v>
      </c>
      <c r="G10" s="24">
        <f t="shared" si="4"/>
        <v>-19.838323089991416</v>
      </c>
      <c r="H10">
        <v>-390</v>
      </c>
      <c r="I10" s="4">
        <f t="shared" si="9"/>
        <v>88082.196511082919</v>
      </c>
      <c r="J10" s="4">
        <f t="shared" si="5"/>
        <v>87020.527145616259</v>
      </c>
      <c r="K10" s="4">
        <f t="shared" si="6"/>
        <v>2498.8522421126845</v>
      </c>
      <c r="L10" s="4">
        <f t="shared" si="7"/>
        <v>4225.1935750887878</v>
      </c>
      <c r="M10" s="4">
        <f t="shared" si="8"/>
        <v>-1726.3413329761033</v>
      </c>
      <c r="P10" s="2">
        <v>40.799999999999997</v>
      </c>
      <c r="Q10" s="23">
        <f t="shared" si="0"/>
        <v>1.1213392</v>
      </c>
    </row>
    <row r="11" spans="1:21" x14ac:dyDescent="0.25">
      <c r="A11" s="5">
        <v>1921</v>
      </c>
      <c r="B11" s="7">
        <v>37.299999999999997</v>
      </c>
      <c r="C11" s="7">
        <v>29.7</v>
      </c>
      <c r="D11" s="7">
        <f t="shared" si="1"/>
        <v>7.5999999999999979</v>
      </c>
      <c r="E11" s="29">
        <f t="shared" si="2"/>
        <v>35.819281067656568</v>
      </c>
      <c r="F11" s="29">
        <f t="shared" si="3"/>
        <v>30.927756419999998</v>
      </c>
      <c r="G11" s="24">
        <f t="shared" si="4"/>
        <v>4.8915246476565706</v>
      </c>
      <c r="H11">
        <v>-150</v>
      </c>
      <c r="I11" s="4">
        <f t="shared" si="9"/>
        <v>85965.855178106809</v>
      </c>
      <c r="J11" s="4">
        <f t="shared" si="5"/>
        <v>86101.328027360447</v>
      </c>
      <c r="K11" s="4">
        <f t="shared" si="6"/>
        <v>3084.0876689105203</v>
      </c>
      <c r="L11" s="4">
        <f t="shared" si="7"/>
        <v>2662.9209006687229</v>
      </c>
      <c r="M11" s="4">
        <f t="shared" si="8"/>
        <v>421.1667682417974</v>
      </c>
      <c r="P11" s="2">
        <v>13.899999999999999</v>
      </c>
      <c r="Q11" s="23">
        <f t="shared" si="0"/>
        <v>1.0413386</v>
      </c>
    </row>
    <row r="12" spans="1:21" x14ac:dyDescent="0.25">
      <c r="A12" s="5">
        <v>1922</v>
      </c>
      <c r="B12" s="7">
        <v>38.200000000000003</v>
      </c>
      <c r="C12" s="7">
        <v>29.6</v>
      </c>
      <c r="D12" s="7">
        <f t="shared" si="1"/>
        <v>8.6000000000000014</v>
      </c>
      <c r="E12" s="29">
        <f t="shared" si="2"/>
        <v>35.635299021204681</v>
      </c>
      <c r="F12" s="29">
        <f t="shared" si="3"/>
        <v>31.730335680000003</v>
      </c>
      <c r="G12" s="24">
        <f t="shared" si="4"/>
        <v>3.9049633412046774</v>
      </c>
      <c r="H12">
        <v>-55</v>
      </c>
      <c r="I12" s="4">
        <f t="shared" si="9"/>
        <v>86237.021946348599</v>
      </c>
      <c r="J12" s="4">
        <f t="shared" si="5"/>
        <v>86378.081702319905</v>
      </c>
      <c r="K12" s="4">
        <f t="shared" si="6"/>
        <v>3078.1087703402181</v>
      </c>
      <c r="L12" s="4">
        <f t="shared" si="7"/>
        <v>2740.8055278090765</v>
      </c>
      <c r="M12" s="4">
        <f t="shared" si="8"/>
        <v>337.30324253114168</v>
      </c>
      <c r="P12" s="2">
        <v>24.200000000000003</v>
      </c>
      <c r="Q12" s="23">
        <f t="shared" si="0"/>
        <v>1.0719708000000001</v>
      </c>
    </row>
    <row r="13" spans="1:21" x14ac:dyDescent="0.25">
      <c r="A13" s="5">
        <v>1923</v>
      </c>
      <c r="B13" s="7">
        <v>45.5</v>
      </c>
      <c r="C13" s="7">
        <v>25.5</v>
      </c>
      <c r="D13" s="7">
        <f t="shared" si="1"/>
        <v>20</v>
      </c>
      <c r="E13" s="29">
        <f t="shared" si="2"/>
        <v>45.5</v>
      </c>
      <c r="F13" s="29">
        <f t="shared" si="3"/>
        <v>25.5</v>
      </c>
      <c r="G13" s="24">
        <f t="shared" si="4"/>
        <v>20</v>
      </c>
      <c r="H13">
        <v>-20</v>
      </c>
      <c r="I13" s="4">
        <f t="shared" si="9"/>
        <v>86519.325188879739</v>
      </c>
      <c r="J13" s="4">
        <f t="shared" si="5"/>
        <v>87380.248349962989</v>
      </c>
      <c r="K13" s="4">
        <f t="shared" si="6"/>
        <v>3975.801299923316</v>
      </c>
      <c r="L13" s="4">
        <f t="shared" si="7"/>
        <v>2228.1963329240562</v>
      </c>
      <c r="M13" s="4">
        <f t="shared" si="8"/>
        <v>1747.6049669992599</v>
      </c>
      <c r="P13" s="2">
        <v>0</v>
      </c>
      <c r="Q13" s="23">
        <f t="shared" si="0"/>
        <v>1</v>
      </c>
    </row>
    <row r="14" spans="1:21" x14ac:dyDescent="0.25">
      <c r="A14" s="5">
        <v>1924</v>
      </c>
      <c r="B14" s="7">
        <v>42.2</v>
      </c>
      <c r="C14" s="7">
        <v>23.5</v>
      </c>
      <c r="D14" s="7">
        <f t="shared" si="1"/>
        <v>18.700000000000003</v>
      </c>
      <c r="E14" s="29">
        <f t="shared" si="2"/>
        <v>42.2</v>
      </c>
      <c r="F14" s="29">
        <f t="shared" si="3"/>
        <v>23.5</v>
      </c>
      <c r="G14" s="24">
        <f t="shared" si="4"/>
        <v>18.700000000000003</v>
      </c>
      <c r="H14">
        <v>-10</v>
      </c>
      <c r="I14" s="4">
        <f t="shared" si="9"/>
        <v>88246.930155879003</v>
      </c>
      <c r="J14" s="4">
        <f t="shared" si="5"/>
        <v>89072.174952651098</v>
      </c>
      <c r="K14" s="4">
        <f t="shared" si="6"/>
        <v>3758.8457830018765</v>
      </c>
      <c r="L14" s="4">
        <f t="shared" si="7"/>
        <v>2093.1961113873008</v>
      </c>
      <c r="M14" s="4">
        <f t="shared" si="8"/>
        <v>1665.6496716145757</v>
      </c>
      <c r="P14" s="2">
        <v>0</v>
      </c>
      <c r="Q14" s="23">
        <f t="shared" si="0"/>
        <v>1</v>
      </c>
    </row>
    <row r="15" spans="1:21" x14ac:dyDescent="0.25">
      <c r="A15" s="5">
        <v>1925</v>
      </c>
      <c r="B15" s="7">
        <v>43.9</v>
      </c>
      <c r="C15" s="7">
        <v>24.5</v>
      </c>
      <c r="D15" s="7">
        <f t="shared" si="1"/>
        <v>19.399999999999999</v>
      </c>
      <c r="E15" s="29">
        <f t="shared" si="2"/>
        <v>43.9</v>
      </c>
      <c r="F15" s="29">
        <f t="shared" si="3"/>
        <v>24.5</v>
      </c>
      <c r="G15" s="24">
        <f t="shared" si="4"/>
        <v>19.399999999999999</v>
      </c>
      <c r="H15">
        <v>-5</v>
      </c>
      <c r="I15" s="4">
        <f t="shared" si="9"/>
        <v>89902.579827493581</v>
      </c>
      <c r="J15" s="4">
        <f t="shared" si="5"/>
        <v>90777.785352613835</v>
      </c>
      <c r="K15" s="4">
        <f t="shared" si="6"/>
        <v>3985.1447769797473</v>
      </c>
      <c r="L15" s="4">
        <f t="shared" si="7"/>
        <v>2224.0557411390391</v>
      </c>
      <c r="M15" s="4">
        <f t="shared" si="8"/>
        <v>1761.0890358407082</v>
      </c>
      <c r="P15" s="2">
        <v>0</v>
      </c>
      <c r="Q15" s="23">
        <f t="shared" si="0"/>
        <v>1</v>
      </c>
    </row>
    <row r="16" spans="1:21" x14ac:dyDescent="0.25">
      <c r="A16" s="5">
        <v>1926</v>
      </c>
      <c r="B16" s="7">
        <v>42.5</v>
      </c>
      <c r="C16" s="7">
        <v>21.5</v>
      </c>
      <c r="D16" s="7">
        <f t="shared" si="1"/>
        <v>21</v>
      </c>
      <c r="E16" s="29">
        <f t="shared" si="2"/>
        <v>42.5</v>
      </c>
      <c r="F16" s="29">
        <f t="shared" si="3"/>
        <v>21.5</v>
      </c>
      <c r="G16" s="24">
        <f t="shared" si="4"/>
        <v>21</v>
      </c>
      <c r="H16">
        <v>0</v>
      </c>
      <c r="I16" s="4">
        <f t="shared" si="9"/>
        <v>91658.668863334286</v>
      </c>
      <c r="J16" s="4">
        <f t="shared" si="5"/>
        <v>92627.85731641954</v>
      </c>
      <c r="K16" s="4">
        <f t="shared" si="6"/>
        <v>3936.6839359478304</v>
      </c>
      <c r="L16" s="4">
        <f t="shared" si="7"/>
        <v>1991.49893230302</v>
      </c>
      <c r="M16" s="4">
        <f t="shared" si="8"/>
        <v>1945.1850036448104</v>
      </c>
      <c r="P16" s="2">
        <v>0</v>
      </c>
      <c r="Q16" s="23">
        <f t="shared" si="0"/>
        <v>1</v>
      </c>
    </row>
    <row r="17" spans="1:9" x14ac:dyDescent="0.25">
      <c r="A17" s="5">
        <v>1927</v>
      </c>
      <c r="I17" s="4">
        <f t="shared" si="9"/>
        <v>93603.853866979101</v>
      </c>
    </row>
    <row r="19" spans="1:9" x14ac:dyDescent="0.25">
      <c r="A19" s="14" t="s">
        <v>31</v>
      </c>
      <c r="I19">
        <v>93604</v>
      </c>
    </row>
    <row r="20" spans="1:9" x14ac:dyDescent="0.25">
      <c r="A20" s="14"/>
    </row>
    <row r="21" spans="1:9" x14ac:dyDescent="0.25">
      <c r="A21" s="14" t="s">
        <v>33</v>
      </c>
      <c r="B21" s="13"/>
      <c r="I21" s="3">
        <f>I17+I20-I19</f>
        <v>-0.14613302089856006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3937D-04B0-4CBE-BD7E-BB3F4204ACA6}">
  <sheetPr codeName="Sheet3"/>
  <dimension ref="A1:J21"/>
  <sheetViews>
    <sheetView workbookViewId="0">
      <selection activeCell="A20" sqref="A20:F20"/>
    </sheetView>
  </sheetViews>
  <sheetFormatPr defaultRowHeight="15" x14ac:dyDescent="0.25"/>
  <sheetData>
    <row r="1" spans="1:10" ht="18.75" x14ac:dyDescent="0.3">
      <c r="A1" s="6" t="s">
        <v>110</v>
      </c>
    </row>
    <row r="3" spans="1:10" x14ac:dyDescent="0.25">
      <c r="A3" s="11" t="s">
        <v>3</v>
      </c>
      <c r="B3" s="11" t="s">
        <v>1</v>
      </c>
      <c r="C3" s="11" t="s">
        <v>2</v>
      </c>
      <c r="D3" s="11" t="s">
        <v>4</v>
      </c>
      <c r="E3" s="12" t="s">
        <v>26</v>
      </c>
      <c r="F3" s="11" t="s">
        <v>30</v>
      </c>
      <c r="G3" s="11" t="s">
        <v>27</v>
      </c>
      <c r="H3" s="11" t="s">
        <v>28</v>
      </c>
      <c r="I3" s="11" t="s">
        <v>29</v>
      </c>
      <c r="J3" s="11" t="s">
        <v>32</v>
      </c>
    </row>
    <row r="4" spans="1:10" x14ac:dyDescent="0.25">
      <c r="A4" s="81">
        <v>1914</v>
      </c>
      <c r="B4" s="81"/>
      <c r="C4" s="81"/>
      <c r="D4" s="81"/>
      <c r="E4">
        <v>10</v>
      </c>
      <c r="F4" s="81"/>
      <c r="G4" s="81"/>
      <c r="H4" s="81"/>
      <c r="I4" s="81"/>
      <c r="J4" s="81"/>
    </row>
    <row r="5" spans="1:10" x14ac:dyDescent="0.25">
      <c r="A5">
        <v>1915</v>
      </c>
      <c r="B5" s="1">
        <v>35.9</v>
      </c>
      <c r="C5" s="1">
        <v>28.8</v>
      </c>
      <c r="D5" s="7">
        <f>B5-C5</f>
        <v>7.0999999999999979</v>
      </c>
      <c r="E5">
        <v>85</v>
      </c>
      <c r="F5" s="3">
        <f>91037+E4</f>
        <v>91047</v>
      </c>
      <c r="G5" s="4">
        <f>[1]!YearAveragePopulation(F5,B5,C5,E5)</f>
        <v>91413.583918378543</v>
      </c>
      <c r="H5" s="4">
        <f>G5*B5/1000</f>
        <v>3281.7476626697894</v>
      </c>
      <c r="I5" s="4">
        <f>G5*C5/1000</f>
        <v>2632.7112168493018</v>
      </c>
      <c r="J5" s="4">
        <f>H5-I5</f>
        <v>649.03644582048764</v>
      </c>
    </row>
    <row r="6" spans="1:10" x14ac:dyDescent="0.25">
      <c r="A6">
        <v>1916</v>
      </c>
      <c r="B6" s="1">
        <v>27.1</v>
      </c>
      <c r="C6" s="1">
        <v>25.4</v>
      </c>
      <c r="D6" s="7">
        <f t="shared" ref="D6:D16" si="0">B6-C6</f>
        <v>1.7000000000000028</v>
      </c>
      <c r="E6">
        <v>25</v>
      </c>
      <c r="F6" s="4">
        <f>F5+J5+E5</f>
        <v>91781.036445820486</v>
      </c>
      <c r="G6" s="4">
        <f t="shared" ref="G6:G16" si="1">[1]!YearAveragePopulation(F6,B6,C6,E6)</f>
        <v>91871.601639808912</v>
      </c>
      <c r="H6" s="4">
        <f t="shared" ref="H6:H16" si="2">G6*B6/1000</f>
        <v>2489.7204044388218</v>
      </c>
      <c r="I6" s="4">
        <f t="shared" ref="I6:I16" si="3">G6*C6/1000</f>
        <v>2333.5386816511464</v>
      </c>
      <c r="J6" s="4">
        <f t="shared" ref="J6:J16" si="4">H6-I6</f>
        <v>156.18172278767543</v>
      </c>
    </row>
    <row r="7" spans="1:10" x14ac:dyDescent="0.25">
      <c r="A7">
        <v>1917</v>
      </c>
      <c r="B7" s="1">
        <v>26.3</v>
      </c>
      <c r="C7" s="1">
        <v>29.1</v>
      </c>
      <c r="D7" s="7">
        <f t="shared" si="0"/>
        <v>-2.8000000000000007</v>
      </c>
      <c r="E7">
        <v>-5</v>
      </c>
      <c r="F7" s="4">
        <f t="shared" ref="F7:F17" si="5">F6+J6+E6</f>
        <v>91962.21816860816</v>
      </c>
      <c r="G7" s="4">
        <f t="shared" si="1"/>
        <v>91831.093474771333</v>
      </c>
      <c r="H7" s="4">
        <f t="shared" si="2"/>
        <v>2415.1577583864864</v>
      </c>
      <c r="I7" s="4">
        <f t="shared" si="3"/>
        <v>2672.2848201158463</v>
      </c>
      <c r="J7" s="4">
        <f t="shared" si="4"/>
        <v>-257.12706172935987</v>
      </c>
    </row>
    <row r="8" spans="1:10" x14ac:dyDescent="0.25">
      <c r="A8">
        <v>1918</v>
      </c>
      <c r="B8" s="1">
        <v>34.700000000000003</v>
      </c>
      <c r="C8" s="1">
        <v>44.2</v>
      </c>
      <c r="D8" s="7">
        <f t="shared" si="0"/>
        <v>-9.5</v>
      </c>
      <c r="E8">
        <v>-220</v>
      </c>
      <c r="F8" s="4">
        <f t="shared" si="5"/>
        <v>91700.091106878797</v>
      </c>
      <c r="G8" s="4">
        <f t="shared" si="1"/>
        <v>91156.239234260211</v>
      </c>
      <c r="H8" s="4">
        <f t="shared" si="2"/>
        <v>3163.1215014288296</v>
      </c>
      <c r="I8" s="4">
        <f t="shared" si="3"/>
        <v>4029.1057741543018</v>
      </c>
      <c r="J8" s="4">
        <f t="shared" si="4"/>
        <v>-865.98427272547224</v>
      </c>
    </row>
    <row r="9" spans="1:10" x14ac:dyDescent="0.25">
      <c r="A9">
        <v>1919</v>
      </c>
      <c r="B9" s="1">
        <v>31.7</v>
      </c>
      <c r="C9" s="1">
        <v>46.7</v>
      </c>
      <c r="D9" s="7">
        <f t="shared" si="0"/>
        <v>-15.000000000000004</v>
      </c>
      <c r="E9">
        <v>-270</v>
      </c>
      <c r="F9" s="4">
        <f t="shared" si="5"/>
        <v>90614.106834153325</v>
      </c>
      <c r="G9" s="4">
        <f t="shared" si="1"/>
        <v>89803.558833752031</v>
      </c>
      <c r="H9" s="4">
        <f t="shared" si="2"/>
        <v>2846.772815029939</v>
      </c>
      <c r="I9" s="4">
        <f t="shared" si="3"/>
        <v>4193.8261975362202</v>
      </c>
      <c r="J9" s="4">
        <f t="shared" si="4"/>
        <v>-1347.0533825062812</v>
      </c>
    </row>
    <row r="10" spans="1:10" x14ac:dyDescent="0.25">
      <c r="A10">
        <v>1920</v>
      </c>
      <c r="B10" s="1">
        <v>32.200000000000003</v>
      </c>
      <c r="C10" s="1">
        <v>43.3</v>
      </c>
      <c r="D10" s="7">
        <f t="shared" si="0"/>
        <v>-11.099999999999994</v>
      </c>
      <c r="E10">
        <v>-390</v>
      </c>
      <c r="F10" s="4">
        <f t="shared" si="5"/>
        <v>88997.053451647051</v>
      </c>
      <c r="G10" s="4">
        <f t="shared" si="1"/>
        <v>88310.661801531431</v>
      </c>
      <c r="H10" s="4">
        <f t="shared" si="2"/>
        <v>2843.6033100093123</v>
      </c>
      <c r="I10" s="4">
        <f t="shared" si="3"/>
        <v>3823.8516560063108</v>
      </c>
      <c r="J10" s="4">
        <f t="shared" si="4"/>
        <v>-980.24834599699852</v>
      </c>
    </row>
    <row r="11" spans="1:10" x14ac:dyDescent="0.25">
      <c r="A11">
        <v>1921</v>
      </c>
      <c r="B11" s="1">
        <v>37.299999999999997</v>
      </c>
      <c r="C11" s="1">
        <v>40</v>
      </c>
      <c r="D11" s="7">
        <f t="shared" si="0"/>
        <v>-2.7000000000000028</v>
      </c>
      <c r="E11">
        <v>-150</v>
      </c>
      <c r="F11" s="4">
        <f t="shared" si="5"/>
        <v>87626.805105650055</v>
      </c>
      <c r="G11" s="4">
        <f t="shared" si="1"/>
        <v>87433.682767960912</v>
      </c>
      <c r="H11" s="4">
        <f t="shared" si="2"/>
        <v>3261.2763672449419</v>
      </c>
      <c r="I11" s="4">
        <f t="shared" si="3"/>
        <v>3497.3473107184368</v>
      </c>
      <c r="J11" s="4">
        <f t="shared" si="4"/>
        <v>-236.07094347349494</v>
      </c>
    </row>
    <row r="12" spans="1:10" x14ac:dyDescent="0.25">
      <c r="A12">
        <v>1922</v>
      </c>
      <c r="B12" s="1">
        <v>38.200000000000003</v>
      </c>
      <c r="C12" s="1">
        <v>29.6</v>
      </c>
      <c r="D12" s="7">
        <f t="shared" si="0"/>
        <v>8.6000000000000014</v>
      </c>
      <c r="E12">
        <v>-55</v>
      </c>
      <c r="F12" s="4">
        <f t="shared" si="5"/>
        <v>87240.734162176566</v>
      </c>
      <c r="G12" s="4">
        <f t="shared" si="1"/>
        <v>87589.368019471629</v>
      </c>
      <c r="H12" s="4">
        <f t="shared" si="2"/>
        <v>3345.9138583438162</v>
      </c>
      <c r="I12" s="4">
        <f t="shared" si="3"/>
        <v>2592.6452933763608</v>
      </c>
      <c r="J12" s="4">
        <f t="shared" si="4"/>
        <v>753.2685649674554</v>
      </c>
    </row>
    <row r="13" spans="1:10" x14ac:dyDescent="0.25">
      <c r="A13">
        <v>1923</v>
      </c>
      <c r="B13" s="1">
        <v>45.5</v>
      </c>
      <c r="C13" s="1">
        <v>25.5</v>
      </c>
      <c r="D13" s="7">
        <f t="shared" si="0"/>
        <v>20</v>
      </c>
      <c r="E13">
        <v>-20</v>
      </c>
      <c r="F13" s="4">
        <f t="shared" si="5"/>
        <v>87939.002727144019</v>
      </c>
      <c r="G13" s="4">
        <f t="shared" si="1"/>
        <v>88814.217783904198</v>
      </c>
      <c r="H13" s="4">
        <f t="shared" si="2"/>
        <v>4041.0469091676409</v>
      </c>
      <c r="I13" s="4">
        <f t="shared" si="3"/>
        <v>2264.7625534895569</v>
      </c>
      <c r="J13" s="4">
        <f t="shared" si="4"/>
        <v>1776.284355678084</v>
      </c>
    </row>
    <row r="14" spans="1:10" x14ac:dyDescent="0.25">
      <c r="A14">
        <v>1924</v>
      </c>
      <c r="B14" s="1">
        <v>42.2</v>
      </c>
      <c r="C14" s="1">
        <v>23.5</v>
      </c>
      <c r="D14" s="7">
        <f t="shared" si="0"/>
        <v>18.700000000000003</v>
      </c>
      <c r="E14">
        <v>-10</v>
      </c>
      <c r="F14" s="4">
        <f t="shared" si="5"/>
        <v>89695.287082822106</v>
      </c>
      <c r="G14" s="4">
        <f t="shared" si="1"/>
        <v>90534.158825626422</v>
      </c>
      <c r="H14" s="4">
        <f t="shared" si="2"/>
        <v>3820.5415024414351</v>
      </c>
      <c r="I14" s="4">
        <f t="shared" si="3"/>
        <v>2127.552732402221</v>
      </c>
      <c r="J14" s="4">
        <f t="shared" si="4"/>
        <v>1692.9887700392142</v>
      </c>
    </row>
    <row r="15" spans="1:10" x14ac:dyDescent="0.25">
      <c r="A15">
        <v>1925</v>
      </c>
      <c r="B15" s="1">
        <v>43.9</v>
      </c>
      <c r="C15" s="1">
        <v>24.5</v>
      </c>
      <c r="D15" s="7">
        <f t="shared" si="0"/>
        <v>19.399999999999999</v>
      </c>
      <c r="E15">
        <v>-5</v>
      </c>
      <c r="F15" s="4">
        <f t="shared" si="5"/>
        <v>91378.275852861319</v>
      </c>
      <c r="G15" s="4">
        <f t="shared" si="1"/>
        <v>92267.88864561051</v>
      </c>
      <c r="H15" s="4">
        <f t="shared" si="2"/>
        <v>4050.5603115423014</v>
      </c>
      <c r="I15" s="4">
        <f t="shared" si="3"/>
        <v>2260.5632718174575</v>
      </c>
      <c r="J15" s="4">
        <f t="shared" si="4"/>
        <v>1789.9970397248439</v>
      </c>
    </row>
    <row r="16" spans="1:10" x14ac:dyDescent="0.25">
      <c r="A16">
        <v>1926</v>
      </c>
      <c r="B16" s="1">
        <v>42.5</v>
      </c>
      <c r="C16" s="1">
        <v>21.5</v>
      </c>
      <c r="D16" s="7">
        <f t="shared" si="0"/>
        <v>21</v>
      </c>
      <c r="E16">
        <v>0</v>
      </c>
      <c r="F16" s="4">
        <f t="shared" si="5"/>
        <v>93163.272892586159</v>
      </c>
      <c r="G16" s="4">
        <f t="shared" si="1"/>
        <v>94148.370859410818</v>
      </c>
      <c r="H16" s="4">
        <f t="shared" si="2"/>
        <v>4001.30576152496</v>
      </c>
      <c r="I16" s="4">
        <f t="shared" si="3"/>
        <v>2024.1899734773326</v>
      </c>
      <c r="J16" s="4">
        <f t="shared" si="4"/>
        <v>1977.1157880476273</v>
      </c>
    </row>
    <row r="17" spans="1:6" x14ac:dyDescent="0.25">
      <c r="A17">
        <v>1927</v>
      </c>
      <c r="F17" s="4">
        <f t="shared" si="5"/>
        <v>95140.388680633783</v>
      </c>
    </row>
    <row r="19" spans="1:6" x14ac:dyDescent="0.25">
      <c r="A19" s="14" t="s">
        <v>31</v>
      </c>
      <c r="F19">
        <v>93604</v>
      </c>
    </row>
    <row r="20" spans="1:6" x14ac:dyDescent="0.25">
      <c r="A20" s="14"/>
    </row>
    <row r="21" spans="1:6" x14ac:dyDescent="0.25">
      <c r="A21" s="14" t="s">
        <v>33</v>
      </c>
      <c r="B21" s="13"/>
      <c r="F21" s="3">
        <f>F17+F20-F19</f>
        <v>1536.3886806337832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BB2B9-3EBA-4FC7-BED4-56062D0A5218}">
  <sheetPr codeName="Sheet4"/>
  <dimension ref="A1:J21"/>
  <sheetViews>
    <sheetView workbookViewId="0">
      <selection activeCell="A20" sqref="A20:F20"/>
    </sheetView>
  </sheetViews>
  <sheetFormatPr defaultRowHeight="15" x14ac:dyDescent="0.25"/>
  <sheetData>
    <row r="1" spans="1:10" ht="18.75" x14ac:dyDescent="0.3">
      <c r="A1" s="6" t="s">
        <v>111</v>
      </c>
    </row>
    <row r="3" spans="1:10" x14ac:dyDescent="0.25">
      <c r="A3" s="11" t="s">
        <v>3</v>
      </c>
      <c r="B3" s="11" t="s">
        <v>1</v>
      </c>
      <c r="C3" s="11" t="s">
        <v>2</v>
      </c>
      <c r="D3" s="11" t="s">
        <v>4</v>
      </c>
      <c r="E3" s="12" t="s">
        <v>26</v>
      </c>
      <c r="F3" s="11" t="s">
        <v>30</v>
      </c>
      <c r="G3" s="11" t="s">
        <v>27</v>
      </c>
      <c r="H3" s="11" t="s">
        <v>28</v>
      </c>
      <c r="I3" s="11" t="s">
        <v>29</v>
      </c>
      <c r="J3" s="11" t="s">
        <v>32</v>
      </c>
    </row>
    <row r="4" spans="1:10" x14ac:dyDescent="0.25">
      <c r="A4" s="81">
        <v>1914</v>
      </c>
      <c r="B4" s="26"/>
      <c r="C4" s="26"/>
      <c r="D4" s="26"/>
      <c r="E4">
        <v>10</v>
      </c>
      <c r="F4" s="26"/>
      <c r="G4" s="26"/>
      <c r="H4" s="26"/>
      <c r="I4" s="26"/>
      <c r="J4" s="26"/>
    </row>
    <row r="5" spans="1:10" x14ac:dyDescent="0.25">
      <c r="A5">
        <v>1915</v>
      </c>
      <c r="B5" s="1">
        <v>37.4</v>
      </c>
      <c r="C5" s="1">
        <v>42.6</v>
      </c>
      <c r="D5" s="7">
        <f>B5-C5</f>
        <v>-5.2000000000000028</v>
      </c>
      <c r="E5">
        <v>85</v>
      </c>
      <c r="F5" s="3">
        <f>91037+E4</f>
        <v>91047</v>
      </c>
      <c r="G5" s="4">
        <v>91037</v>
      </c>
      <c r="H5" s="4">
        <f>G5*B5/1000</f>
        <v>3404.7837999999997</v>
      </c>
      <c r="I5" s="4">
        <f>G5*C5/1000</f>
        <v>3878.1762000000003</v>
      </c>
      <c r="J5" s="4">
        <f>H5-I5</f>
        <v>-473.39240000000063</v>
      </c>
    </row>
    <row r="6" spans="1:10" x14ac:dyDescent="0.25">
      <c r="A6">
        <v>1916</v>
      </c>
      <c r="B6" s="1">
        <v>32.5</v>
      </c>
      <c r="C6" s="1">
        <v>39.200000000000003</v>
      </c>
      <c r="D6" s="7">
        <f t="shared" ref="D6:D16" si="0">B6-C6</f>
        <v>-6.7000000000000028</v>
      </c>
      <c r="E6">
        <v>25</v>
      </c>
      <c r="F6" s="4">
        <f>F5+J5+E5</f>
        <v>90658.607600000003</v>
      </c>
      <c r="G6" s="4">
        <f t="shared" ref="G6:G16" si="1">[1]!YearAveragePopulation(F6,B6,C6,E6)</f>
        <v>90368.050537459581</v>
      </c>
      <c r="H6" s="4">
        <f t="shared" ref="H6:H16" si="2">G6*B6/1000</f>
        <v>2936.9616424674364</v>
      </c>
      <c r="I6" s="4">
        <f t="shared" ref="I6:I16" si="3">G6*C6/1000</f>
        <v>3542.4275810684157</v>
      </c>
      <c r="J6" s="4">
        <f t="shared" ref="J6:J16" si="4">H6-I6</f>
        <v>-605.46593860097937</v>
      </c>
    </row>
    <row r="7" spans="1:10" x14ac:dyDescent="0.25">
      <c r="A7">
        <v>1917</v>
      </c>
      <c r="B7" s="1">
        <v>28.8</v>
      </c>
      <c r="C7" s="1">
        <v>47.1</v>
      </c>
      <c r="D7" s="7">
        <f t="shared" si="0"/>
        <v>-18.3</v>
      </c>
      <c r="E7">
        <v>-5</v>
      </c>
      <c r="F7" s="4">
        <f t="shared" ref="F7:F17" si="5">F6+J6+E6</f>
        <v>90078.14166139903</v>
      </c>
      <c r="G7" s="4">
        <f t="shared" si="1"/>
        <v>89256.446639310045</v>
      </c>
      <c r="H7" s="4">
        <f t="shared" si="2"/>
        <v>2570.5856632121295</v>
      </c>
      <c r="I7" s="4">
        <f t="shared" si="3"/>
        <v>4203.978636711503</v>
      </c>
      <c r="J7" s="4">
        <f t="shared" si="4"/>
        <v>-1633.3929734993735</v>
      </c>
    </row>
    <row r="8" spans="1:10" x14ac:dyDescent="0.25">
      <c r="A8">
        <v>1918</v>
      </c>
      <c r="B8" s="1">
        <v>32.4</v>
      </c>
      <c r="C8" s="1">
        <v>53.9</v>
      </c>
      <c r="D8" s="7">
        <f t="shared" si="0"/>
        <v>-21.5</v>
      </c>
      <c r="E8">
        <v>-220</v>
      </c>
      <c r="F8" s="4">
        <f t="shared" si="5"/>
        <v>88439.748687899657</v>
      </c>
      <c r="G8" s="4">
        <f t="shared" si="1"/>
        <v>87386.582583447685</v>
      </c>
      <c r="H8" s="4">
        <f t="shared" si="2"/>
        <v>2831.3252757037048</v>
      </c>
      <c r="I8" s="4">
        <f t="shared" si="3"/>
        <v>4710.1368012478306</v>
      </c>
      <c r="J8" s="4">
        <f t="shared" si="4"/>
        <v>-1878.8115255441257</v>
      </c>
    </row>
    <row r="9" spans="1:10" x14ac:dyDescent="0.25">
      <c r="A9">
        <v>1919</v>
      </c>
      <c r="B9" s="1">
        <v>30.6</v>
      </c>
      <c r="C9" s="1">
        <v>41</v>
      </c>
      <c r="D9" s="7">
        <f t="shared" si="0"/>
        <v>-10.399999999999999</v>
      </c>
      <c r="E9">
        <v>-270</v>
      </c>
      <c r="F9" s="4">
        <f t="shared" si="5"/>
        <v>86340.937162355534</v>
      </c>
      <c r="G9" s="4">
        <f t="shared" si="1"/>
        <v>85758.983475792775</v>
      </c>
      <c r="H9" s="4">
        <f t="shared" si="2"/>
        <v>2624.224894359259</v>
      </c>
      <c r="I9" s="4">
        <f t="shared" si="3"/>
        <v>3516.1183225075038</v>
      </c>
      <c r="J9" s="4">
        <f t="shared" si="4"/>
        <v>-891.89342814824477</v>
      </c>
    </row>
    <row r="10" spans="1:10" x14ac:dyDescent="0.25">
      <c r="A10">
        <v>1920</v>
      </c>
      <c r="B10" s="1">
        <v>31.7</v>
      </c>
      <c r="C10" s="1">
        <v>37.1</v>
      </c>
      <c r="D10" s="7">
        <f t="shared" si="0"/>
        <v>-5.4000000000000021</v>
      </c>
      <c r="E10">
        <v>-390</v>
      </c>
      <c r="F10" s="4">
        <f t="shared" si="5"/>
        <v>85179.043734207284</v>
      </c>
      <c r="G10" s="4">
        <f t="shared" si="1"/>
        <v>84754.82425468156</v>
      </c>
      <c r="H10" s="4">
        <f t="shared" si="2"/>
        <v>2686.7279288734053</v>
      </c>
      <c r="I10" s="4">
        <f t="shared" si="3"/>
        <v>3144.403979848686</v>
      </c>
      <c r="J10" s="4">
        <f t="shared" si="4"/>
        <v>-457.67605097528076</v>
      </c>
    </row>
    <row r="11" spans="1:10" x14ac:dyDescent="0.25">
      <c r="A11">
        <v>1921</v>
      </c>
      <c r="B11" s="1">
        <v>35</v>
      </c>
      <c r="C11" s="1">
        <v>29.8</v>
      </c>
      <c r="D11" s="7">
        <f t="shared" si="0"/>
        <v>5.1999999999999993</v>
      </c>
      <c r="E11">
        <v>-150</v>
      </c>
      <c r="F11" s="4">
        <f t="shared" si="5"/>
        <v>84331.367683232005</v>
      </c>
      <c r="G11" s="4">
        <f t="shared" si="1"/>
        <v>84475.87961797991</v>
      </c>
      <c r="H11" s="4">
        <f t="shared" si="2"/>
        <v>2956.6557866292969</v>
      </c>
      <c r="I11" s="4">
        <f t="shared" si="3"/>
        <v>2517.3812126158014</v>
      </c>
      <c r="J11" s="4">
        <f t="shared" si="4"/>
        <v>439.27457401349557</v>
      </c>
    </row>
    <row r="12" spans="1:10" x14ac:dyDescent="0.25">
      <c r="A12">
        <v>1922</v>
      </c>
      <c r="B12" s="1">
        <v>36.200000000000003</v>
      </c>
      <c r="C12" s="1">
        <v>38</v>
      </c>
      <c r="D12" s="7">
        <f t="shared" si="0"/>
        <v>-1.7999999999999972</v>
      </c>
      <c r="E12">
        <v>-55</v>
      </c>
      <c r="F12" s="4">
        <f t="shared" si="5"/>
        <v>84620.642257245505</v>
      </c>
      <c r="G12" s="4">
        <f t="shared" si="1"/>
        <v>84517.045846380046</v>
      </c>
      <c r="H12" s="4">
        <f t="shared" si="2"/>
        <v>3059.517059638958</v>
      </c>
      <c r="I12" s="4">
        <f t="shared" si="3"/>
        <v>3211.6477421624418</v>
      </c>
      <c r="J12" s="4">
        <f t="shared" si="4"/>
        <v>-152.13068252348376</v>
      </c>
    </row>
    <row r="13" spans="1:10" x14ac:dyDescent="0.25">
      <c r="A13">
        <v>1923</v>
      </c>
      <c r="B13" s="1">
        <v>44</v>
      </c>
      <c r="C13" s="1">
        <v>22.5</v>
      </c>
      <c r="D13" s="7">
        <f t="shared" si="0"/>
        <v>21.5</v>
      </c>
      <c r="E13">
        <v>-20</v>
      </c>
      <c r="F13" s="4">
        <f t="shared" si="5"/>
        <v>84413.511574722026</v>
      </c>
      <c r="G13" s="4">
        <f t="shared" si="1"/>
        <v>85317.423234630478</v>
      </c>
      <c r="H13" s="4">
        <f t="shared" si="2"/>
        <v>3753.9666223237414</v>
      </c>
      <c r="I13" s="4">
        <f t="shared" si="3"/>
        <v>1919.6420227791857</v>
      </c>
      <c r="J13" s="4">
        <f t="shared" si="4"/>
        <v>1834.3245995445557</v>
      </c>
    </row>
    <row r="14" spans="1:10" x14ac:dyDescent="0.25">
      <c r="A14">
        <v>1924</v>
      </c>
      <c r="B14" s="1">
        <v>42.3</v>
      </c>
      <c r="C14" s="1">
        <v>21.7</v>
      </c>
      <c r="D14" s="7">
        <f t="shared" si="0"/>
        <v>20.599999999999998</v>
      </c>
      <c r="E14">
        <v>-10</v>
      </c>
      <c r="F14" s="4">
        <f t="shared" si="5"/>
        <v>86227.836174266587</v>
      </c>
      <c r="G14" s="4">
        <f t="shared" si="1"/>
        <v>87117.078521081436</v>
      </c>
      <c r="H14" s="4">
        <f t="shared" si="2"/>
        <v>3685.0524214417446</v>
      </c>
      <c r="I14" s="4">
        <f t="shared" si="3"/>
        <v>1890.440603907467</v>
      </c>
      <c r="J14" s="4">
        <f t="shared" si="4"/>
        <v>1794.6118175342776</v>
      </c>
    </row>
    <row r="15" spans="1:10" x14ac:dyDescent="0.25">
      <c r="A15">
        <v>1925</v>
      </c>
      <c r="B15" s="1">
        <v>43.8</v>
      </c>
      <c r="C15" s="1">
        <v>22.9</v>
      </c>
      <c r="D15" s="7">
        <f t="shared" si="0"/>
        <v>20.9</v>
      </c>
      <c r="E15">
        <v>-5</v>
      </c>
      <c r="F15" s="4">
        <f t="shared" si="5"/>
        <v>88012.447991800858</v>
      </c>
      <c r="G15" s="4">
        <f t="shared" si="1"/>
        <v>88936.10163753778</v>
      </c>
      <c r="H15" s="4">
        <f t="shared" si="2"/>
        <v>3895.4012517241545</v>
      </c>
      <c r="I15" s="4">
        <f t="shared" si="3"/>
        <v>2036.6367274996148</v>
      </c>
      <c r="J15" s="4">
        <f t="shared" si="4"/>
        <v>1858.7645242245396</v>
      </c>
    </row>
    <row r="16" spans="1:10" x14ac:dyDescent="0.25">
      <c r="A16">
        <v>1926</v>
      </c>
      <c r="B16" s="1">
        <v>42.3</v>
      </c>
      <c r="C16" s="1">
        <v>20</v>
      </c>
      <c r="D16" s="7">
        <f t="shared" si="0"/>
        <v>22.299999999999997</v>
      </c>
      <c r="E16">
        <v>0</v>
      </c>
      <c r="F16" s="4">
        <f t="shared" si="5"/>
        <v>89866.212516025393</v>
      </c>
      <c r="G16" s="4">
        <f t="shared" si="1"/>
        <v>90875.710756994609</v>
      </c>
      <c r="H16" s="4">
        <f t="shared" si="2"/>
        <v>3844.0425650208717</v>
      </c>
      <c r="I16" s="4">
        <f t="shared" si="3"/>
        <v>1817.5142151398923</v>
      </c>
      <c r="J16" s="4">
        <f t="shared" si="4"/>
        <v>2026.5283498809795</v>
      </c>
    </row>
    <row r="17" spans="1:6" x14ac:dyDescent="0.25">
      <c r="A17">
        <v>1927</v>
      </c>
      <c r="F17" s="4">
        <f t="shared" si="5"/>
        <v>91892.740865906366</v>
      </c>
    </row>
    <row r="19" spans="1:6" x14ac:dyDescent="0.25">
      <c r="A19" s="14" t="s">
        <v>31</v>
      </c>
      <c r="F19">
        <v>93604</v>
      </c>
    </row>
    <row r="20" spans="1:6" x14ac:dyDescent="0.25">
      <c r="A20" s="14"/>
    </row>
    <row r="21" spans="1:6" x14ac:dyDescent="0.25">
      <c r="A21" s="14" t="s">
        <v>33</v>
      </c>
      <c r="B21" s="13"/>
      <c r="F21" s="3">
        <f>F17+F20-F19</f>
        <v>-1711.2591340936342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B7E7C-5A5A-4CF2-A7FD-BE3D99500761}">
  <sheetPr codeName="Sheet5"/>
  <dimension ref="A1:L37"/>
  <sheetViews>
    <sheetView workbookViewId="0">
      <selection activeCell="F22" sqref="F22"/>
    </sheetView>
  </sheetViews>
  <sheetFormatPr defaultRowHeight="15" x14ac:dyDescent="0.25"/>
  <sheetData>
    <row r="1" spans="1:12" ht="18.75" x14ac:dyDescent="0.3">
      <c r="A1" s="6" t="s">
        <v>112</v>
      </c>
    </row>
    <row r="3" spans="1:12" x14ac:dyDescent="0.25">
      <c r="A3" s="85" t="s">
        <v>3</v>
      </c>
      <c r="B3" s="82"/>
      <c r="C3" s="82"/>
      <c r="D3" s="82"/>
      <c r="E3" s="82"/>
      <c r="F3" s="83"/>
      <c r="G3" s="83"/>
      <c r="H3" s="83"/>
      <c r="I3" s="83"/>
      <c r="K3" s="86" t="s">
        <v>34</v>
      </c>
      <c r="L3" s="86"/>
    </row>
    <row r="4" spans="1:12" x14ac:dyDescent="0.25">
      <c r="A4" s="85"/>
      <c r="B4" s="8" t="s">
        <v>9</v>
      </c>
      <c r="C4" s="8" t="s">
        <v>11</v>
      </c>
      <c r="D4" s="8" t="s">
        <v>13</v>
      </c>
      <c r="E4" s="8" t="s">
        <v>5</v>
      </c>
      <c r="F4" s="9" t="s">
        <v>9</v>
      </c>
      <c r="G4" s="9" t="s">
        <v>11</v>
      </c>
      <c r="H4" s="9" t="s">
        <v>5</v>
      </c>
      <c r="I4" s="9" t="s">
        <v>16</v>
      </c>
      <c r="K4" s="17" t="s">
        <v>1</v>
      </c>
      <c r="L4" s="17" t="s">
        <v>2</v>
      </c>
    </row>
    <row r="5" spans="1:12" x14ac:dyDescent="0.25">
      <c r="A5" s="7">
        <v>1915</v>
      </c>
      <c r="B5" s="1">
        <v>35.9</v>
      </c>
      <c r="C5" s="1">
        <v>37.4</v>
      </c>
      <c r="D5" s="1">
        <v>39.700000000000003</v>
      </c>
      <c r="E5" s="1"/>
      <c r="F5" s="1">
        <v>28.8</v>
      </c>
      <c r="G5" s="1">
        <v>42.6</v>
      </c>
      <c r="H5" s="1"/>
      <c r="I5" s="1"/>
      <c r="K5" s="2">
        <f>AVERAGE(B5:E5)</f>
        <v>37.666666666666664</v>
      </c>
      <c r="L5" s="2">
        <f>AVERAGE(F5:I5)</f>
        <v>35.700000000000003</v>
      </c>
    </row>
    <row r="6" spans="1:12" x14ac:dyDescent="0.25">
      <c r="A6" s="7">
        <v>1916</v>
      </c>
      <c r="B6" s="1">
        <v>27.1</v>
      </c>
      <c r="C6" s="1">
        <v>32.5</v>
      </c>
      <c r="D6" s="1">
        <v>29.9</v>
      </c>
      <c r="E6" s="1"/>
      <c r="F6" s="1">
        <v>25.4</v>
      </c>
      <c r="G6" s="1">
        <v>39.200000000000003</v>
      </c>
      <c r="H6" s="1"/>
      <c r="I6" s="1"/>
      <c r="K6" s="2">
        <f t="shared" ref="K6:K16" si="0">AVERAGE(B6:E6)</f>
        <v>29.833333333333332</v>
      </c>
      <c r="L6" s="2">
        <f t="shared" ref="L6:L16" si="1">AVERAGE(F6:I6)</f>
        <v>32.299999999999997</v>
      </c>
    </row>
    <row r="7" spans="1:12" x14ac:dyDescent="0.25">
      <c r="A7" s="7">
        <v>1917</v>
      </c>
      <c r="B7" s="1">
        <v>26.3</v>
      </c>
      <c r="C7" s="1">
        <v>28.8</v>
      </c>
      <c r="D7" s="1">
        <v>23.9</v>
      </c>
      <c r="E7" s="16">
        <v>27.4</v>
      </c>
      <c r="F7" s="1">
        <v>29.1</v>
      </c>
      <c r="G7" s="1">
        <v>47.1</v>
      </c>
      <c r="H7" s="16">
        <v>27.4</v>
      </c>
      <c r="I7" s="16"/>
      <c r="K7" s="2">
        <f t="shared" si="0"/>
        <v>26.6</v>
      </c>
      <c r="L7" s="2">
        <f t="shared" si="1"/>
        <v>34.533333333333331</v>
      </c>
    </row>
    <row r="8" spans="1:12" x14ac:dyDescent="0.25">
      <c r="A8" s="7">
        <v>1918</v>
      </c>
      <c r="B8" s="1">
        <v>34.700000000000003</v>
      </c>
      <c r="C8" s="1">
        <v>32.4</v>
      </c>
      <c r="D8" s="1">
        <v>32</v>
      </c>
      <c r="E8" s="16">
        <v>33.1</v>
      </c>
      <c r="F8" s="1">
        <v>44.2</v>
      </c>
      <c r="G8" s="1">
        <v>53.9</v>
      </c>
      <c r="H8" s="16">
        <v>39.9</v>
      </c>
      <c r="I8" s="1">
        <v>30.2</v>
      </c>
      <c r="K8" s="2">
        <f t="shared" si="0"/>
        <v>33.049999999999997</v>
      </c>
      <c r="L8" s="2">
        <f t="shared" si="1"/>
        <v>42.05</v>
      </c>
    </row>
    <row r="9" spans="1:12" x14ac:dyDescent="0.25">
      <c r="A9" s="7">
        <v>1919</v>
      </c>
      <c r="B9" s="1">
        <v>31.7</v>
      </c>
      <c r="C9" s="1">
        <v>30.6</v>
      </c>
      <c r="D9" s="1">
        <v>31</v>
      </c>
      <c r="E9" s="16">
        <v>30</v>
      </c>
      <c r="F9" s="1">
        <v>46.7</v>
      </c>
      <c r="G9" s="1">
        <v>41</v>
      </c>
      <c r="H9" s="16">
        <v>65.5</v>
      </c>
      <c r="I9" s="1">
        <v>64</v>
      </c>
      <c r="K9" s="2">
        <f t="shared" si="0"/>
        <v>30.824999999999999</v>
      </c>
      <c r="L9" s="2">
        <f t="shared" si="1"/>
        <v>54.3</v>
      </c>
    </row>
    <row r="10" spans="1:12" x14ac:dyDescent="0.25">
      <c r="A10" s="7">
        <v>1920</v>
      </c>
      <c r="B10" s="1">
        <v>32.200000000000003</v>
      </c>
      <c r="C10" s="1">
        <v>31.7</v>
      </c>
      <c r="D10" s="1">
        <v>31.2</v>
      </c>
      <c r="E10" s="16">
        <v>31.3</v>
      </c>
      <c r="F10" s="1">
        <v>43.3</v>
      </c>
      <c r="G10" s="1">
        <v>37.1</v>
      </c>
      <c r="H10" s="16">
        <v>79.5</v>
      </c>
      <c r="I10" s="1">
        <v>56.1</v>
      </c>
      <c r="K10" s="2">
        <f t="shared" si="0"/>
        <v>31.6</v>
      </c>
      <c r="L10" s="2">
        <f t="shared" si="1"/>
        <v>54</v>
      </c>
    </row>
    <row r="11" spans="1:12" x14ac:dyDescent="0.25">
      <c r="A11" s="7">
        <v>1921</v>
      </c>
      <c r="B11" s="1">
        <v>37.299999999999997</v>
      </c>
      <c r="C11" s="1">
        <v>35</v>
      </c>
      <c r="D11" s="1">
        <v>35.5</v>
      </c>
      <c r="E11" s="16">
        <v>37.799999999999997</v>
      </c>
      <c r="F11" s="1">
        <v>29.7</v>
      </c>
      <c r="G11" s="1">
        <v>29.8</v>
      </c>
      <c r="H11" s="16">
        <v>40.4</v>
      </c>
      <c r="I11" s="1">
        <v>41.4</v>
      </c>
      <c r="K11" s="2">
        <f t="shared" si="0"/>
        <v>36.4</v>
      </c>
      <c r="L11" s="2">
        <f t="shared" si="1"/>
        <v>35.325000000000003</v>
      </c>
    </row>
    <row r="12" spans="1:12" x14ac:dyDescent="0.25">
      <c r="A12" s="7">
        <v>1922</v>
      </c>
      <c r="B12" s="1">
        <v>38.200000000000003</v>
      </c>
      <c r="C12" s="1">
        <v>36.200000000000003</v>
      </c>
      <c r="D12" s="1">
        <v>37.299999999999997</v>
      </c>
      <c r="E12" s="16">
        <v>41.4</v>
      </c>
      <c r="F12" s="1">
        <v>29.6</v>
      </c>
      <c r="G12" s="1">
        <v>38</v>
      </c>
      <c r="H12" s="16">
        <v>55.3</v>
      </c>
      <c r="I12" s="1">
        <v>47.1</v>
      </c>
      <c r="K12" s="2">
        <f t="shared" si="0"/>
        <v>38.274999999999999</v>
      </c>
      <c r="L12" s="2">
        <f t="shared" si="1"/>
        <v>42.5</v>
      </c>
    </row>
    <row r="13" spans="1:12" x14ac:dyDescent="0.25">
      <c r="A13" s="7">
        <v>1923</v>
      </c>
      <c r="B13" s="1">
        <v>45.5</v>
      </c>
      <c r="C13" s="1">
        <v>44</v>
      </c>
      <c r="D13" s="1">
        <v>43.9</v>
      </c>
      <c r="E13" s="16">
        <v>46.5</v>
      </c>
      <c r="F13" s="1">
        <v>25.5</v>
      </c>
      <c r="G13" s="1">
        <v>22.5</v>
      </c>
      <c r="H13" s="16">
        <v>22.3</v>
      </c>
      <c r="I13" s="1">
        <v>28.7</v>
      </c>
      <c r="K13" s="2">
        <f t="shared" si="0"/>
        <v>44.975000000000001</v>
      </c>
      <c r="L13" s="2">
        <f t="shared" si="1"/>
        <v>24.75</v>
      </c>
    </row>
    <row r="14" spans="1:12" x14ac:dyDescent="0.25">
      <c r="A14" s="7">
        <v>1924</v>
      </c>
      <c r="B14" s="1">
        <v>42.2</v>
      </c>
      <c r="C14" s="1">
        <v>42.3</v>
      </c>
      <c r="D14" s="1">
        <v>42</v>
      </c>
      <c r="E14" s="16">
        <v>43.6</v>
      </c>
      <c r="F14" s="1">
        <v>23.5</v>
      </c>
      <c r="G14" s="1">
        <v>21.7</v>
      </c>
      <c r="H14" s="16">
        <v>23.1</v>
      </c>
      <c r="I14" s="1">
        <v>22.4</v>
      </c>
      <c r="K14" s="2">
        <f t="shared" si="0"/>
        <v>42.524999999999999</v>
      </c>
      <c r="L14" s="2">
        <f t="shared" si="1"/>
        <v>22.675000000000004</v>
      </c>
    </row>
    <row r="15" spans="1:12" x14ac:dyDescent="0.25">
      <c r="A15" s="7">
        <v>1925</v>
      </c>
      <c r="B15" s="1">
        <v>43.9</v>
      </c>
      <c r="C15" s="1">
        <v>43.8</v>
      </c>
      <c r="D15" s="1"/>
      <c r="E15" s="16">
        <v>45.7</v>
      </c>
      <c r="F15" s="1">
        <v>24.5</v>
      </c>
      <c r="G15" s="1">
        <v>22.9</v>
      </c>
      <c r="H15" s="16">
        <v>23.3</v>
      </c>
      <c r="I15" s="1">
        <v>23.8</v>
      </c>
      <c r="K15" s="2">
        <f t="shared" si="0"/>
        <v>44.466666666666661</v>
      </c>
      <c r="L15" s="2">
        <f t="shared" si="1"/>
        <v>23.625</v>
      </c>
    </row>
    <row r="16" spans="1:12" x14ac:dyDescent="0.25">
      <c r="A16" s="7">
        <v>1926</v>
      </c>
      <c r="B16" s="1">
        <v>42.5</v>
      </c>
      <c r="C16" s="1">
        <v>42.3</v>
      </c>
      <c r="D16" s="1"/>
      <c r="E16" s="16">
        <v>42.6</v>
      </c>
      <c r="F16" s="1">
        <v>21.5</v>
      </c>
      <c r="G16" s="1">
        <v>20</v>
      </c>
      <c r="H16" s="16">
        <v>19.899999999999999</v>
      </c>
      <c r="I16" s="1">
        <v>22.7</v>
      </c>
      <c r="K16" s="2">
        <f t="shared" si="0"/>
        <v>42.466666666666669</v>
      </c>
      <c r="L16" s="2">
        <f t="shared" si="1"/>
        <v>21.024999999999999</v>
      </c>
    </row>
    <row r="19" spans="1:10" x14ac:dyDescent="0.25">
      <c r="A19" s="11" t="s">
        <v>3</v>
      </c>
      <c r="B19" s="11" t="s">
        <v>1</v>
      </c>
      <c r="C19" s="11" t="s">
        <v>2</v>
      </c>
      <c r="D19" s="11" t="s">
        <v>4</v>
      </c>
      <c r="E19" s="12" t="s">
        <v>26</v>
      </c>
      <c r="F19" s="11" t="s">
        <v>30</v>
      </c>
      <c r="G19" s="11" t="s">
        <v>27</v>
      </c>
      <c r="H19" s="11" t="s">
        <v>28</v>
      </c>
      <c r="I19" s="11" t="s">
        <v>29</v>
      </c>
      <c r="J19" s="11" t="s">
        <v>32</v>
      </c>
    </row>
    <row r="20" spans="1:10" x14ac:dyDescent="0.25">
      <c r="A20" s="81">
        <v>1914</v>
      </c>
      <c r="B20" s="81"/>
      <c r="C20" s="81"/>
      <c r="D20" s="81"/>
      <c r="E20">
        <v>10</v>
      </c>
      <c r="F20" s="81"/>
      <c r="G20" s="81"/>
      <c r="H20" s="81"/>
      <c r="I20" s="81"/>
      <c r="J20" s="81"/>
    </row>
    <row r="21" spans="1:10" x14ac:dyDescent="0.25">
      <c r="A21">
        <v>1915</v>
      </c>
      <c r="B21" s="1">
        <v>37.666666666666664</v>
      </c>
      <c r="C21" s="1">
        <v>35.700000000000003</v>
      </c>
      <c r="D21" s="1">
        <f>B21-C21</f>
        <v>1.9666666666666615</v>
      </c>
      <c r="E21">
        <v>85</v>
      </c>
      <c r="F21" s="3">
        <f>91037+E20</f>
        <v>91047</v>
      </c>
      <c r="G21" s="4">
        <f>[1]!YearAveragePopulation(F21,B21,C21,E21)</f>
        <v>91179.116145271561</v>
      </c>
      <c r="H21" s="4">
        <f>G21*B21/1000</f>
        <v>3434.4133748052286</v>
      </c>
      <c r="I21" s="4">
        <f>G21*C21/1000</f>
        <v>3255.0944463861947</v>
      </c>
      <c r="J21" s="4">
        <f>H21-I21</f>
        <v>179.31892841903391</v>
      </c>
    </row>
    <row r="22" spans="1:10" x14ac:dyDescent="0.25">
      <c r="A22">
        <v>1916</v>
      </c>
      <c r="B22" s="1">
        <v>29.833333333333332</v>
      </c>
      <c r="C22" s="1">
        <v>32.299999999999997</v>
      </c>
      <c r="D22" s="1">
        <f t="shared" ref="D22:D32" si="2">B22-C22</f>
        <v>-2.466666666666665</v>
      </c>
      <c r="E22">
        <v>25</v>
      </c>
      <c r="F22" s="4">
        <f>F21+J21+E21</f>
        <v>91311.31892841903</v>
      </c>
      <c r="G22" s="4">
        <f t="shared" ref="G22:G32" si="3">[1]!YearAveragePopulation(F22,B22,C22,E22)</f>
        <v>91211.283902998213</v>
      </c>
      <c r="H22" s="4">
        <f t="shared" ref="H22:H32" si="4">G22*B22/1000</f>
        <v>2721.1366364394462</v>
      </c>
      <c r="I22" s="4">
        <f t="shared" ref="I22:I32" si="5">G22*C22/1000</f>
        <v>2946.1244700668422</v>
      </c>
      <c r="J22" s="4">
        <f t="shared" ref="J22:J32" si="6">H22-I22</f>
        <v>-224.98783362739596</v>
      </c>
    </row>
    <row r="23" spans="1:10" x14ac:dyDescent="0.25">
      <c r="A23">
        <v>1917</v>
      </c>
      <c r="B23" s="1">
        <v>26.6</v>
      </c>
      <c r="C23" s="1">
        <v>34.533333333333331</v>
      </c>
      <c r="D23" s="1">
        <f t="shared" si="2"/>
        <v>-7.93333333333333</v>
      </c>
      <c r="E23">
        <v>-5</v>
      </c>
      <c r="F23" s="4">
        <f t="shared" ref="F23:F33" si="7">F22+J22+E22</f>
        <v>91111.331094791632</v>
      </c>
      <c r="G23" s="4">
        <f t="shared" si="3"/>
        <v>90748.383244403856</v>
      </c>
      <c r="H23" s="4">
        <f t="shared" si="4"/>
        <v>2413.9069943011427</v>
      </c>
      <c r="I23" s="4">
        <f t="shared" si="5"/>
        <v>3133.8441680400797</v>
      </c>
      <c r="J23" s="4">
        <f t="shared" si="6"/>
        <v>-719.93717373893696</v>
      </c>
    </row>
    <row r="24" spans="1:10" x14ac:dyDescent="0.25">
      <c r="A24">
        <v>1918</v>
      </c>
      <c r="B24" s="1">
        <v>33.049999999999997</v>
      </c>
      <c r="C24" s="1">
        <v>42.05</v>
      </c>
      <c r="D24" s="1">
        <f t="shared" si="2"/>
        <v>-9</v>
      </c>
      <c r="E24">
        <v>-220</v>
      </c>
      <c r="F24" s="4">
        <f t="shared" si="7"/>
        <v>90386.393921052702</v>
      </c>
      <c r="G24" s="4">
        <f t="shared" si="3"/>
        <v>89871.201883008369</v>
      </c>
      <c r="H24" s="4">
        <f t="shared" si="4"/>
        <v>2970.2432222334264</v>
      </c>
      <c r="I24" s="4">
        <f t="shared" si="5"/>
        <v>3779.0840391805018</v>
      </c>
      <c r="J24" s="4">
        <f t="shared" si="6"/>
        <v>-808.84081694707538</v>
      </c>
    </row>
    <row r="25" spans="1:10" x14ac:dyDescent="0.25">
      <c r="A25">
        <v>1919</v>
      </c>
      <c r="B25" s="1">
        <v>30.824999999999999</v>
      </c>
      <c r="C25" s="1">
        <v>54.3</v>
      </c>
      <c r="D25" s="1">
        <f t="shared" si="2"/>
        <v>-23.474999999999998</v>
      </c>
      <c r="E25">
        <v>-270</v>
      </c>
      <c r="F25" s="4">
        <f t="shared" si="7"/>
        <v>89357.553104105624</v>
      </c>
      <c r="G25" s="4">
        <f t="shared" si="3"/>
        <v>88182.928216848362</v>
      </c>
      <c r="H25" s="4">
        <f t="shared" si="4"/>
        <v>2718.2387622843507</v>
      </c>
      <c r="I25" s="4">
        <f t="shared" si="5"/>
        <v>4788.3330021748652</v>
      </c>
      <c r="J25" s="4">
        <f t="shared" si="6"/>
        <v>-2070.0942398905145</v>
      </c>
    </row>
    <row r="26" spans="1:10" x14ac:dyDescent="0.25">
      <c r="A26">
        <v>1920</v>
      </c>
      <c r="B26" s="1">
        <v>31.6</v>
      </c>
      <c r="C26" s="1">
        <v>54</v>
      </c>
      <c r="D26" s="1">
        <f t="shared" si="2"/>
        <v>-22.4</v>
      </c>
      <c r="E26">
        <v>-390</v>
      </c>
      <c r="F26" s="4">
        <f t="shared" si="7"/>
        <v>87017.458864215107</v>
      </c>
      <c r="G26" s="4">
        <f t="shared" si="3"/>
        <v>85856.547618552082</v>
      </c>
      <c r="H26" s="4">
        <f t="shared" si="4"/>
        <v>2713.0669047462461</v>
      </c>
      <c r="I26" s="4">
        <f t="shared" si="5"/>
        <v>4636.2535714018122</v>
      </c>
      <c r="J26" s="4">
        <f t="shared" si="6"/>
        <v>-1923.1866666555661</v>
      </c>
    </row>
    <row r="27" spans="1:10" x14ac:dyDescent="0.25">
      <c r="A27">
        <v>1921</v>
      </c>
      <c r="B27" s="1">
        <v>36.4</v>
      </c>
      <c r="C27" s="1">
        <v>35.325000000000003</v>
      </c>
      <c r="D27" s="1">
        <f t="shared" si="2"/>
        <v>1.0749999999999957</v>
      </c>
      <c r="E27">
        <v>-150</v>
      </c>
      <c r="F27" s="4">
        <f t="shared" si="7"/>
        <v>84704.272197559534</v>
      </c>
      <c r="G27" s="4">
        <f t="shared" si="3"/>
        <v>84674.790180417796</v>
      </c>
      <c r="H27" s="4">
        <f t="shared" si="4"/>
        <v>3082.1623625672078</v>
      </c>
      <c r="I27" s="4">
        <f t="shared" si="5"/>
        <v>2991.1369631232587</v>
      </c>
      <c r="J27" s="4">
        <f t="shared" si="6"/>
        <v>91.025399443949027</v>
      </c>
    </row>
    <row r="28" spans="1:10" x14ac:dyDescent="0.25">
      <c r="A28">
        <v>1922</v>
      </c>
      <c r="B28" s="1">
        <v>38.274999999999999</v>
      </c>
      <c r="C28" s="1">
        <v>42.5</v>
      </c>
      <c r="D28" s="1">
        <f t="shared" si="2"/>
        <v>-4.2250000000000014</v>
      </c>
      <c r="E28">
        <v>-55</v>
      </c>
      <c r="F28" s="4">
        <f t="shared" si="7"/>
        <v>84645.297597003489</v>
      </c>
      <c r="G28" s="4">
        <f t="shared" si="3"/>
        <v>84439.274656931069</v>
      </c>
      <c r="H28" s="4">
        <f t="shared" si="4"/>
        <v>3231.9132374940364</v>
      </c>
      <c r="I28" s="4">
        <f t="shared" si="5"/>
        <v>3588.6691729195704</v>
      </c>
      <c r="J28" s="4">
        <f t="shared" si="6"/>
        <v>-356.75593542553406</v>
      </c>
    </row>
    <row r="29" spans="1:10" x14ac:dyDescent="0.25">
      <c r="A29">
        <v>1923</v>
      </c>
      <c r="B29" s="1">
        <v>44.975000000000001</v>
      </c>
      <c r="C29" s="1">
        <v>24.75</v>
      </c>
      <c r="D29" s="1">
        <f t="shared" si="2"/>
        <v>20.225000000000001</v>
      </c>
      <c r="E29">
        <v>-20</v>
      </c>
      <c r="F29" s="4">
        <f t="shared" si="7"/>
        <v>84233.541661577954</v>
      </c>
      <c r="G29" s="4">
        <f t="shared" si="3"/>
        <v>85081.057377205419</v>
      </c>
      <c r="H29" s="4">
        <f t="shared" si="4"/>
        <v>3826.5205555398138</v>
      </c>
      <c r="I29" s="4">
        <f t="shared" si="5"/>
        <v>2105.7561700858341</v>
      </c>
      <c r="J29" s="4">
        <f t="shared" si="6"/>
        <v>1720.7643854539797</v>
      </c>
    </row>
    <row r="30" spans="1:10" x14ac:dyDescent="0.25">
      <c r="A30">
        <v>1924</v>
      </c>
      <c r="B30" s="1">
        <v>42.524999999999999</v>
      </c>
      <c r="C30" s="1">
        <v>22.675000000000004</v>
      </c>
      <c r="D30" s="1">
        <f t="shared" si="2"/>
        <v>19.849999999999994</v>
      </c>
      <c r="E30">
        <v>-10</v>
      </c>
      <c r="F30" s="4">
        <f t="shared" si="7"/>
        <v>85934.306047031932</v>
      </c>
      <c r="G30" s="4">
        <f t="shared" si="3"/>
        <v>86787.842244701285</v>
      </c>
      <c r="H30" s="4">
        <f t="shared" si="4"/>
        <v>3690.6529914559219</v>
      </c>
      <c r="I30" s="4">
        <f t="shared" si="5"/>
        <v>1967.9143228986022</v>
      </c>
      <c r="J30" s="4">
        <f t="shared" si="6"/>
        <v>1722.7386685573197</v>
      </c>
    </row>
    <row r="31" spans="1:10" x14ac:dyDescent="0.25">
      <c r="A31">
        <v>1925</v>
      </c>
      <c r="B31" s="1">
        <v>44.466666666666661</v>
      </c>
      <c r="C31" s="1">
        <v>23.625</v>
      </c>
      <c r="D31" s="1">
        <f t="shared" si="2"/>
        <v>20.841666666666661</v>
      </c>
      <c r="E31">
        <v>-5</v>
      </c>
      <c r="F31" s="4">
        <f t="shared" si="7"/>
        <v>87647.044715589247</v>
      </c>
      <c r="G31" s="4">
        <f t="shared" si="3"/>
        <v>88564.260983510845</v>
      </c>
      <c r="H31" s="4">
        <f t="shared" si="4"/>
        <v>3938.1574717334483</v>
      </c>
      <c r="I31" s="4">
        <f t="shared" si="5"/>
        <v>2092.3306657354437</v>
      </c>
      <c r="J31" s="4">
        <f t="shared" si="6"/>
        <v>1845.8268059980046</v>
      </c>
    </row>
    <row r="32" spans="1:10" x14ac:dyDescent="0.25">
      <c r="A32">
        <v>1926</v>
      </c>
      <c r="B32" s="1">
        <v>42.466666666666669</v>
      </c>
      <c r="C32" s="1">
        <v>21.024999999999999</v>
      </c>
      <c r="D32" s="1">
        <f t="shared" si="2"/>
        <v>21.44166666666667</v>
      </c>
      <c r="E32">
        <v>0</v>
      </c>
      <c r="F32" s="4">
        <f t="shared" si="7"/>
        <v>89487.871521587251</v>
      </c>
      <c r="G32" s="4">
        <f t="shared" si="3"/>
        <v>90454.149926356346</v>
      </c>
      <c r="H32" s="4">
        <f t="shared" si="4"/>
        <v>3841.2862335392665</v>
      </c>
      <c r="I32" s="4">
        <f t="shared" si="5"/>
        <v>1901.7985022016421</v>
      </c>
      <c r="J32" s="4">
        <f t="shared" si="6"/>
        <v>1939.4877313376244</v>
      </c>
    </row>
    <row r="33" spans="1:6" x14ac:dyDescent="0.25">
      <c r="A33">
        <v>1927</v>
      </c>
      <c r="F33" s="4">
        <f t="shared" si="7"/>
        <v>91427.359252924871</v>
      </c>
    </row>
    <row r="35" spans="1:6" x14ac:dyDescent="0.25">
      <c r="A35" s="14" t="s">
        <v>31</v>
      </c>
      <c r="F35">
        <v>93604</v>
      </c>
    </row>
    <row r="36" spans="1:6" x14ac:dyDescent="0.25">
      <c r="A36" s="14"/>
    </row>
    <row r="37" spans="1:6" x14ac:dyDescent="0.25">
      <c r="A37" s="14" t="s">
        <v>33</v>
      </c>
      <c r="B37" s="13"/>
      <c r="F37" s="3">
        <f>F33+F36-F35</f>
        <v>-2176.6407470751292</v>
      </c>
    </row>
  </sheetData>
  <mergeCells count="4">
    <mergeCell ref="A3:A4"/>
    <mergeCell ref="B3:E3"/>
    <mergeCell ref="F3:I3"/>
    <mergeCell ref="K3:L3"/>
  </mergeCells>
  <pageMargins left="0.7" right="0.7" top="0.75" bottom="0.75" header="0.3" footer="0.3"/>
  <ignoredErrors>
    <ignoredError sqref="K5:L16" formulaRange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15099-DB09-478A-9647-39027422EDA5}">
  <dimension ref="A2:Q15"/>
  <sheetViews>
    <sheetView workbookViewId="0">
      <selection activeCell="A20" sqref="A20"/>
    </sheetView>
  </sheetViews>
  <sheetFormatPr defaultRowHeight="15" x14ac:dyDescent="0.25"/>
  <cols>
    <col min="14" max="14" width="14.85546875" customWidth="1"/>
  </cols>
  <sheetData>
    <row r="2" spans="1:17" x14ac:dyDescent="0.25">
      <c r="L2" s="5" t="s">
        <v>35</v>
      </c>
      <c r="M2" s="5" t="s">
        <v>35</v>
      </c>
      <c r="N2" s="5" t="s">
        <v>35</v>
      </c>
      <c r="O2" s="5" t="s">
        <v>35</v>
      </c>
      <c r="P2" s="5" t="s">
        <v>35</v>
      </c>
      <c r="Q2" s="5"/>
    </row>
    <row r="3" spans="1:17" x14ac:dyDescent="0.25">
      <c r="A3" s="15" t="s">
        <v>3</v>
      </c>
      <c r="B3" s="8" t="s">
        <v>8</v>
      </c>
      <c r="C3" s="8" t="s">
        <v>9</v>
      </c>
      <c r="D3" s="8" t="s">
        <v>10</v>
      </c>
      <c r="E3" s="8" t="s">
        <v>11</v>
      </c>
      <c r="F3" s="8" t="s">
        <v>13</v>
      </c>
      <c r="G3" s="8" t="s">
        <v>14</v>
      </c>
      <c r="H3" s="8" t="s">
        <v>5</v>
      </c>
      <c r="J3" s="8" t="s">
        <v>1</v>
      </c>
      <c r="L3" s="8" t="s">
        <v>28</v>
      </c>
      <c r="M3" s="10" t="s">
        <v>36</v>
      </c>
      <c r="N3" s="10" t="s">
        <v>37</v>
      </c>
      <c r="O3" s="10" t="s">
        <v>38</v>
      </c>
      <c r="P3" s="10" t="s">
        <v>39</v>
      </c>
      <c r="Q3" s="10" t="s">
        <v>2</v>
      </c>
    </row>
    <row r="4" spans="1:17" x14ac:dyDescent="0.25">
      <c r="A4" s="7">
        <v>1915</v>
      </c>
      <c r="B4" s="1"/>
      <c r="C4" s="1">
        <v>35.9</v>
      </c>
      <c r="D4" s="1"/>
      <c r="E4" s="1"/>
      <c r="F4" s="1">
        <v>39.700000000000003</v>
      </c>
      <c r="G4" s="1"/>
      <c r="H4" s="1"/>
      <c r="J4" s="2">
        <f>AVERAGE(B4:H4)</f>
        <v>37.799999999999997</v>
      </c>
      <c r="L4" s="3">
        <f>91000*J4/1000</f>
        <v>3439.7999999999997</v>
      </c>
      <c r="M4" s="3">
        <f>L4*28.3/100</f>
        <v>973.46339999999998</v>
      </c>
      <c r="N4" s="3">
        <f>91000*15.3/1000</f>
        <v>1392.3</v>
      </c>
      <c r="O4">
        <v>450</v>
      </c>
      <c r="P4" s="3">
        <f>SUM(M4:O4)</f>
        <v>2815.7633999999998</v>
      </c>
      <c r="Q4">
        <f>P4/91000*1000</f>
        <v>30.942454945054941</v>
      </c>
    </row>
    <row r="5" spans="1:17" x14ac:dyDescent="0.25">
      <c r="A5" s="7">
        <v>1916</v>
      </c>
      <c r="B5" s="1"/>
      <c r="C5" s="1">
        <v>27.1</v>
      </c>
      <c r="D5" s="1"/>
      <c r="E5" s="1"/>
      <c r="F5" s="1">
        <v>29.9</v>
      </c>
      <c r="G5" s="1"/>
      <c r="H5" s="1"/>
      <c r="J5" s="2">
        <f t="shared" ref="J5:J15" si="0">AVERAGE(B5:H5)</f>
        <v>28.5</v>
      </c>
      <c r="L5" s="3">
        <f t="shared" ref="L5:L15" si="1">91000*J5/1000</f>
        <v>2593.5</v>
      </c>
      <c r="M5" s="3">
        <f t="shared" ref="M5:M15" si="2">L5*28.3/100</f>
        <v>733.96050000000002</v>
      </c>
      <c r="N5" s="3">
        <f t="shared" ref="N5:N15" si="3">91000*15.3/1000</f>
        <v>1392.3</v>
      </c>
      <c r="O5">
        <v>450</v>
      </c>
      <c r="P5" s="3">
        <f>SUM(M5:O5)</f>
        <v>2576.2604999999999</v>
      </c>
      <c r="Q5">
        <f>P5/91000*1000</f>
        <v>28.310554945054943</v>
      </c>
    </row>
    <row r="6" spans="1:17" x14ac:dyDescent="0.25">
      <c r="A6" s="7">
        <v>1917</v>
      </c>
      <c r="B6" s="1"/>
      <c r="C6" s="1">
        <v>26.3</v>
      </c>
      <c r="D6" s="1"/>
      <c r="E6" s="1"/>
      <c r="F6" s="1">
        <v>23.9</v>
      </c>
      <c r="G6" s="1"/>
      <c r="H6" s="16">
        <v>27.4</v>
      </c>
      <c r="J6" s="2">
        <f t="shared" si="0"/>
        <v>25.866666666666664</v>
      </c>
      <c r="L6" s="3">
        <f t="shared" si="1"/>
        <v>2353.8666666666663</v>
      </c>
      <c r="M6" s="3">
        <f t="shared" si="2"/>
        <v>666.14426666666657</v>
      </c>
      <c r="N6" s="3">
        <f t="shared" si="3"/>
        <v>1392.3</v>
      </c>
      <c r="P6" s="3">
        <f t="shared" ref="P6:P15" si="4">SUM(M6:O6)</f>
        <v>2058.4442666666664</v>
      </c>
      <c r="Q6">
        <f t="shared" ref="Q6:Q15" si="5">P6/91000*1000</f>
        <v>22.620266666666662</v>
      </c>
    </row>
    <row r="7" spans="1:17" x14ac:dyDescent="0.25">
      <c r="A7" s="7">
        <v>1918</v>
      </c>
      <c r="B7" s="1"/>
      <c r="C7" s="1">
        <v>34.700000000000003</v>
      </c>
      <c r="D7" s="1"/>
      <c r="E7" s="1"/>
      <c r="F7" s="1">
        <v>32</v>
      </c>
      <c r="G7" s="1">
        <v>31.8</v>
      </c>
      <c r="H7" s="16">
        <v>33.1</v>
      </c>
      <c r="J7" s="2">
        <f t="shared" si="0"/>
        <v>32.9</v>
      </c>
      <c r="L7" s="3">
        <f t="shared" si="1"/>
        <v>2993.9</v>
      </c>
      <c r="M7" s="3">
        <f t="shared" si="2"/>
        <v>847.27370000000008</v>
      </c>
      <c r="N7" s="3">
        <f t="shared" si="3"/>
        <v>1392.3</v>
      </c>
      <c r="P7" s="3">
        <f t="shared" si="4"/>
        <v>2239.5736999999999</v>
      </c>
      <c r="Q7">
        <f t="shared" si="5"/>
        <v>24.610699999999998</v>
      </c>
    </row>
    <row r="8" spans="1:17" x14ac:dyDescent="0.25">
      <c r="A8" s="7">
        <v>1919</v>
      </c>
      <c r="B8" s="1"/>
      <c r="C8" s="1">
        <v>31.7</v>
      </c>
      <c r="D8" s="1"/>
      <c r="E8" s="1"/>
      <c r="F8" s="1">
        <v>31</v>
      </c>
      <c r="G8" s="1">
        <v>30.8</v>
      </c>
      <c r="H8" s="16">
        <v>30</v>
      </c>
      <c r="J8" s="2">
        <f t="shared" si="0"/>
        <v>30.875</v>
      </c>
      <c r="L8" s="3">
        <f t="shared" si="1"/>
        <v>2809.625</v>
      </c>
      <c r="M8" s="3">
        <f t="shared" si="2"/>
        <v>795.123875</v>
      </c>
      <c r="N8" s="3">
        <f t="shared" si="3"/>
        <v>1392.3</v>
      </c>
      <c r="P8" s="3">
        <f t="shared" si="4"/>
        <v>2187.423875</v>
      </c>
      <c r="Q8">
        <f t="shared" si="5"/>
        <v>24.037624999999998</v>
      </c>
    </row>
    <row r="9" spans="1:17" x14ac:dyDescent="0.25">
      <c r="A9" s="7">
        <v>1920</v>
      </c>
      <c r="B9" s="1">
        <v>30.9</v>
      </c>
      <c r="C9" s="1">
        <v>32.200000000000003</v>
      </c>
      <c r="D9" s="1"/>
      <c r="E9" s="1"/>
      <c r="F9" s="1">
        <v>31.2</v>
      </c>
      <c r="G9" s="1">
        <v>31</v>
      </c>
      <c r="H9" s="16">
        <v>31.3</v>
      </c>
      <c r="J9" s="2">
        <f t="shared" si="0"/>
        <v>31.32</v>
      </c>
      <c r="L9" s="3">
        <f t="shared" si="1"/>
        <v>2850.12</v>
      </c>
      <c r="M9" s="3">
        <f t="shared" si="2"/>
        <v>806.58395999999993</v>
      </c>
      <c r="N9" s="3">
        <f t="shared" si="3"/>
        <v>1392.3</v>
      </c>
      <c r="P9" s="3">
        <f t="shared" si="4"/>
        <v>2198.8839600000001</v>
      </c>
      <c r="Q9">
        <f t="shared" si="5"/>
        <v>24.16356</v>
      </c>
    </row>
    <row r="10" spans="1:17" x14ac:dyDescent="0.25">
      <c r="A10" s="7">
        <v>1921</v>
      </c>
      <c r="B10" s="1">
        <v>32.6</v>
      </c>
      <c r="C10" s="1">
        <v>37.299999999999997</v>
      </c>
      <c r="D10" s="1"/>
      <c r="E10" s="1"/>
      <c r="F10" s="1">
        <v>35.5</v>
      </c>
      <c r="G10" s="1">
        <v>35.299999999999997</v>
      </c>
      <c r="H10" s="16">
        <v>37.799999999999997</v>
      </c>
      <c r="J10" s="2">
        <f t="shared" si="0"/>
        <v>35.700000000000003</v>
      </c>
      <c r="L10" s="3">
        <f t="shared" si="1"/>
        <v>3248.7000000000003</v>
      </c>
      <c r="M10" s="3">
        <f t="shared" si="2"/>
        <v>919.38210000000004</v>
      </c>
      <c r="N10" s="3">
        <f t="shared" si="3"/>
        <v>1392.3</v>
      </c>
      <c r="P10" s="3">
        <f t="shared" si="4"/>
        <v>2311.6821</v>
      </c>
      <c r="Q10">
        <f t="shared" si="5"/>
        <v>25.403100000000002</v>
      </c>
    </row>
    <row r="11" spans="1:17" x14ac:dyDescent="0.25">
      <c r="A11" s="7">
        <v>1922</v>
      </c>
      <c r="B11" s="1">
        <v>33.4</v>
      </c>
      <c r="C11" s="1">
        <v>38.200000000000003</v>
      </c>
      <c r="D11" s="1"/>
      <c r="E11" s="1"/>
      <c r="F11" s="1">
        <v>37.299999999999997</v>
      </c>
      <c r="G11" s="1">
        <v>36.799999999999997</v>
      </c>
      <c r="H11" s="16">
        <v>41.4</v>
      </c>
      <c r="J11" s="2">
        <f t="shared" si="0"/>
        <v>37.42</v>
      </c>
      <c r="L11" s="3">
        <f t="shared" si="1"/>
        <v>3405.22</v>
      </c>
      <c r="M11" s="3">
        <f t="shared" si="2"/>
        <v>963.67725999999993</v>
      </c>
      <c r="N11" s="3">
        <f t="shared" si="3"/>
        <v>1392.3</v>
      </c>
      <c r="P11" s="3">
        <f t="shared" si="4"/>
        <v>2355.9772599999997</v>
      </c>
      <c r="Q11">
        <f t="shared" si="5"/>
        <v>25.889859999999999</v>
      </c>
    </row>
    <row r="12" spans="1:17" x14ac:dyDescent="0.25">
      <c r="A12" s="7">
        <v>1923</v>
      </c>
      <c r="B12" s="1">
        <v>42.8</v>
      </c>
      <c r="C12" s="1">
        <v>45.5</v>
      </c>
      <c r="D12" s="1"/>
      <c r="E12" s="1"/>
      <c r="F12" s="1">
        <v>43.9</v>
      </c>
      <c r="G12" s="1">
        <v>42.8</v>
      </c>
      <c r="H12" s="16">
        <v>46.5</v>
      </c>
      <c r="J12" s="2">
        <f t="shared" si="0"/>
        <v>44.3</v>
      </c>
      <c r="L12" s="3">
        <f t="shared" si="1"/>
        <v>4031.2999999999997</v>
      </c>
      <c r="M12" s="3">
        <f t="shared" si="2"/>
        <v>1140.8579</v>
      </c>
      <c r="N12" s="3">
        <f t="shared" si="3"/>
        <v>1392.3</v>
      </c>
      <c r="P12" s="3">
        <f t="shared" si="4"/>
        <v>2533.1579000000002</v>
      </c>
      <c r="Q12">
        <f t="shared" si="5"/>
        <v>27.8369</v>
      </c>
    </row>
    <row r="13" spans="1:17" x14ac:dyDescent="0.25">
      <c r="A13" s="7">
        <v>1924</v>
      </c>
      <c r="B13" s="1">
        <v>43.8</v>
      </c>
      <c r="C13" s="1">
        <v>42.2</v>
      </c>
      <c r="D13" s="1"/>
      <c r="E13" s="1"/>
      <c r="F13" s="1">
        <v>42</v>
      </c>
      <c r="G13" s="1">
        <v>41</v>
      </c>
      <c r="H13" s="16">
        <v>43.6</v>
      </c>
      <c r="J13" s="2">
        <f t="shared" si="0"/>
        <v>42.519999999999996</v>
      </c>
      <c r="L13" s="3">
        <f t="shared" si="1"/>
        <v>3869.3199999999997</v>
      </c>
      <c r="M13" s="3">
        <f t="shared" si="2"/>
        <v>1095.01756</v>
      </c>
      <c r="N13" s="3">
        <f t="shared" si="3"/>
        <v>1392.3</v>
      </c>
      <c r="P13" s="3">
        <f t="shared" si="4"/>
        <v>2487.31756</v>
      </c>
      <c r="Q13">
        <f t="shared" si="5"/>
        <v>27.333159999999999</v>
      </c>
    </row>
    <row r="14" spans="1:17" x14ac:dyDescent="0.25">
      <c r="A14" s="7">
        <v>1925</v>
      </c>
      <c r="B14" s="1">
        <v>45.9</v>
      </c>
      <c r="C14" s="1">
        <v>43.9</v>
      </c>
      <c r="D14" s="1"/>
      <c r="E14" s="1"/>
      <c r="F14" s="1"/>
      <c r="G14" s="1"/>
      <c r="H14" s="16">
        <v>45.7</v>
      </c>
      <c r="J14" s="2">
        <f t="shared" si="0"/>
        <v>45.166666666666664</v>
      </c>
      <c r="L14" s="3">
        <f t="shared" si="1"/>
        <v>4110.1666666666661</v>
      </c>
      <c r="M14" s="3">
        <f t="shared" si="2"/>
        <v>1163.1771666666664</v>
      </c>
      <c r="N14" s="3">
        <f t="shared" si="3"/>
        <v>1392.3</v>
      </c>
      <c r="P14" s="3">
        <f t="shared" si="4"/>
        <v>2555.4771666666666</v>
      </c>
      <c r="Q14">
        <f t="shared" si="5"/>
        <v>28.082166666666666</v>
      </c>
    </row>
    <row r="15" spans="1:17" x14ac:dyDescent="0.25">
      <c r="A15" s="7">
        <v>1926</v>
      </c>
      <c r="B15" s="1">
        <v>44.7</v>
      </c>
      <c r="C15" s="1">
        <v>42.5</v>
      </c>
      <c r="D15" s="1"/>
      <c r="E15" s="1"/>
      <c r="F15" s="1"/>
      <c r="G15" s="1"/>
      <c r="H15" s="16">
        <v>42.6</v>
      </c>
      <c r="J15" s="2">
        <f t="shared" si="0"/>
        <v>43.266666666666673</v>
      </c>
      <c r="L15" s="3">
        <f t="shared" si="1"/>
        <v>3937.2666666666673</v>
      </c>
      <c r="M15" s="3">
        <f t="shared" si="2"/>
        <v>1114.2464666666667</v>
      </c>
      <c r="N15" s="3">
        <f t="shared" si="3"/>
        <v>1392.3</v>
      </c>
      <c r="P15" s="3">
        <f t="shared" si="4"/>
        <v>2506.5464666666667</v>
      </c>
      <c r="Q15">
        <f t="shared" si="5"/>
        <v>27.544466666666665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B20F-C47E-44E4-954C-277D60C2E30E}">
  <dimension ref="A1:N219"/>
  <sheetViews>
    <sheetView workbookViewId="0">
      <selection activeCell="A3" sqref="A3"/>
    </sheetView>
  </sheetViews>
  <sheetFormatPr defaultRowHeight="15" x14ac:dyDescent="0.25"/>
  <cols>
    <col min="1" max="1" width="21.140625" customWidth="1"/>
  </cols>
  <sheetData>
    <row r="1" spans="1:14" x14ac:dyDescent="0.25">
      <c r="A1" s="21" t="s">
        <v>91</v>
      </c>
    </row>
    <row r="2" spans="1:14" x14ac:dyDescent="0.25">
      <c r="A2" t="s">
        <v>137</v>
      </c>
    </row>
    <row r="3" spans="1:14" x14ac:dyDescent="0.25">
      <c r="A3" t="s">
        <v>92</v>
      </c>
    </row>
    <row r="5" spans="1:14" x14ac:dyDescent="0.25">
      <c r="A5" t="s">
        <v>97</v>
      </c>
      <c r="B5" t="s">
        <v>93</v>
      </c>
    </row>
    <row r="6" spans="1:14" x14ac:dyDescent="0.25">
      <c r="B6" t="s">
        <v>96</v>
      </c>
    </row>
    <row r="7" spans="1:14" x14ac:dyDescent="0.25">
      <c r="B7" t="s">
        <v>94</v>
      </c>
    </row>
    <row r="8" spans="1:14" x14ac:dyDescent="0.25">
      <c r="B8" t="s">
        <v>95</v>
      </c>
    </row>
    <row r="10" spans="1:14" x14ac:dyDescent="0.25">
      <c r="B10" s="19">
        <v>1912</v>
      </c>
      <c r="C10" s="19">
        <v>1913</v>
      </c>
      <c r="D10" s="19">
        <v>1914</v>
      </c>
      <c r="E10" s="19">
        <v>1915</v>
      </c>
      <c r="F10" s="19">
        <v>1916</v>
      </c>
      <c r="G10" s="19">
        <v>1917</v>
      </c>
      <c r="I10" s="19"/>
      <c r="J10" s="19"/>
      <c r="K10" s="19"/>
      <c r="L10" s="19"/>
      <c r="M10" s="19"/>
      <c r="N10" s="19"/>
    </row>
    <row r="11" spans="1:14" x14ac:dyDescent="0.25">
      <c r="A11" t="s">
        <v>40</v>
      </c>
      <c r="B11" s="3">
        <v>3750</v>
      </c>
      <c r="C11" s="3">
        <v>3883</v>
      </c>
      <c r="D11" s="3">
        <v>3598</v>
      </c>
      <c r="E11" s="3">
        <v>2027</v>
      </c>
    </row>
    <row r="12" spans="1:14" x14ac:dyDescent="0.25">
      <c r="B12" s="3">
        <v>20220</v>
      </c>
      <c r="C12" s="3">
        <v>20694</v>
      </c>
      <c r="D12" s="3">
        <v>20696</v>
      </c>
      <c r="E12" s="3">
        <v>18439</v>
      </c>
      <c r="F12" s="3">
        <v>15749</v>
      </c>
      <c r="I12" s="3"/>
      <c r="J12" s="3"/>
      <c r="K12" s="3"/>
      <c r="L12" s="3"/>
      <c r="M12" s="3"/>
      <c r="N12" s="3"/>
    </row>
    <row r="13" spans="1:14" x14ac:dyDescent="0.25">
      <c r="B13" s="3">
        <v>12003</v>
      </c>
      <c r="C13" s="3">
        <v>12272</v>
      </c>
      <c r="D13" s="3">
        <v>13587</v>
      </c>
      <c r="E13" s="3">
        <v>12709</v>
      </c>
      <c r="F13" s="3">
        <v>12694</v>
      </c>
    </row>
    <row r="14" spans="1:14" x14ac:dyDescent="0.25">
      <c r="B14" s="3">
        <v>8217</v>
      </c>
      <c r="C14" s="3">
        <v>8422</v>
      </c>
      <c r="D14" s="3">
        <v>7109</v>
      </c>
      <c r="E14" s="3">
        <v>5730</v>
      </c>
      <c r="F14" s="3">
        <v>3055</v>
      </c>
    </row>
    <row r="15" spans="1:14" x14ac:dyDescent="0.25">
      <c r="A15" t="s">
        <v>41</v>
      </c>
      <c r="B15" s="3">
        <v>8205</v>
      </c>
      <c r="C15" s="3">
        <v>9579</v>
      </c>
      <c r="D15" s="3">
        <v>8421</v>
      </c>
      <c r="F15" s="3"/>
    </row>
    <row r="16" spans="1:14" x14ac:dyDescent="0.25">
      <c r="B16" s="3">
        <v>48755</v>
      </c>
      <c r="C16" s="3">
        <v>50086</v>
      </c>
      <c r="D16" s="3">
        <v>52352</v>
      </c>
      <c r="E16" s="3">
        <v>43931</v>
      </c>
      <c r="F16" s="3"/>
      <c r="I16" s="3"/>
      <c r="J16" s="3"/>
      <c r="K16" s="3"/>
      <c r="L16" s="3"/>
      <c r="M16" s="3"/>
      <c r="N16" s="3"/>
    </row>
    <row r="17" spans="1:14" x14ac:dyDescent="0.25">
      <c r="B17" s="3">
        <v>28647</v>
      </c>
      <c r="C17" s="3">
        <v>30059</v>
      </c>
      <c r="D17" s="3">
        <v>29166</v>
      </c>
      <c r="E17" s="3">
        <v>33060</v>
      </c>
    </row>
    <row r="18" spans="1:14" x14ac:dyDescent="0.25">
      <c r="B18" s="3">
        <v>20108</v>
      </c>
      <c r="C18" s="3">
        <v>20027</v>
      </c>
      <c r="D18" s="3">
        <v>23186</v>
      </c>
      <c r="E18" s="3">
        <v>10871</v>
      </c>
    </row>
    <row r="19" spans="1:14" x14ac:dyDescent="0.25">
      <c r="A19" t="s">
        <v>42</v>
      </c>
      <c r="B19" s="3">
        <v>20918</v>
      </c>
      <c r="C19" s="3">
        <v>20069</v>
      </c>
      <c r="D19" s="3">
        <v>21110</v>
      </c>
      <c r="E19" s="3"/>
    </row>
    <row r="20" spans="1:14" x14ac:dyDescent="0.25">
      <c r="B20" s="3">
        <v>102654</v>
      </c>
      <c r="C20" s="3">
        <v>102397</v>
      </c>
      <c r="D20" s="3">
        <v>100871</v>
      </c>
      <c r="E20" s="3"/>
      <c r="I20" s="3"/>
      <c r="J20" s="3"/>
      <c r="K20" s="3"/>
      <c r="L20" s="3"/>
      <c r="M20" s="3"/>
      <c r="N20" s="3"/>
    </row>
    <row r="21" spans="1:14" x14ac:dyDescent="0.25">
      <c r="B21" s="3">
        <v>77431</v>
      </c>
      <c r="C21" s="3">
        <v>77745</v>
      </c>
      <c r="D21" s="3">
        <v>79202</v>
      </c>
    </row>
    <row r="22" spans="1:14" x14ac:dyDescent="0.25">
      <c r="B22" s="3">
        <v>25223</v>
      </c>
      <c r="C22" s="3">
        <v>24652</v>
      </c>
      <c r="D22" s="3">
        <v>21669</v>
      </c>
    </row>
    <row r="23" spans="1:14" x14ac:dyDescent="0.25">
      <c r="A23" t="s">
        <v>43</v>
      </c>
      <c r="B23" s="3">
        <v>11999</v>
      </c>
      <c r="C23" s="3">
        <v>12500</v>
      </c>
      <c r="D23" s="3">
        <v>12065</v>
      </c>
    </row>
    <row r="24" spans="1:14" x14ac:dyDescent="0.25">
      <c r="B24" s="3">
        <v>62505</v>
      </c>
      <c r="C24" s="3">
        <v>57672</v>
      </c>
      <c r="D24" s="3">
        <v>60509</v>
      </c>
      <c r="I24" s="3"/>
      <c r="J24" s="3"/>
      <c r="K24" s="3"/>
      <c r="L24" s="3"/>
      <c r="M24" s="3"/>
      <c r="N24" s="3"/>
    </row>
    <row r="25" spans="1:14" x14ac:dyDescent="0.25">
      <c r="B25" s="3">
        <v>34870</v>
      </c>
      <c r="C25" s="3">
        <v>33490</v>
      </c>
      <c r="D25" s="3">
        <v>34087</v>
      </c>
    </row>
    <row r="26" spans="1:14" x14ac:dyDescent="0.25">
      <c r="B26" s="3">
        <v>27635</v>
      </c>
      <c r="C26" s="3">
        <v>24182</v>
      </c>
      <c r="D26" s="3">
        <v>26422</v>
      </c>
    </row>
    <row r="27" spans="1:14" x14ac:dyDescent="0.25">
      <c r="A27" t="s">
        <v>44</v>
      </c>
      <c r="B27" s="3">
        <v>11915</v>
      </c>
      <c r="C27" s="3">
        <v>10256</v>
      </c>
      <c r="D27" s="3">
        <v>10068</v>
      </c>
      <c r="E27" s="3">
        <v>5235</v>
      </c>
      <c r="F27" s="3">
        <v>5082</v>
      </c>
      <c r="G27" s="3">
        <v>4998</v>
      </c>
    </row>
    <row r="28" spans="1:14" x14ac:dyDescent="0.25">
      <c r="B28" s="3">
        <v>63281</v>
      </c>
      <c r="C28" s="3">
        <v>57334</v>
      </c>
      <c r="D28" s="3">
        <v>63639</v>
      </c>
      <c r="E28" s="3">
        <v>52005</v>
      </c>
      <c r="F28" s="3">
        <v>45340</v>
      </c>
      <c r="I28" s="3"/>
      <c r="J28" s="3"/>
      <c r="K28" s="3"/>
      <c r="L28" s="3"/>
      <c r="M28" s="3"/>
      <c r="N28" s="3"/>
    </row>
    <row r="29" spans="1:14" x14ac:dyDescent="0.25">
      <c r="B29" s="3">
        <v>32981</v>
      </c>
      <c r="C29" s="3">
        <v>34425</v>
      </c>
      <c r="D29" s="3">
        <v>34049</v>
      </c>
      <c r="E29" s="3">
        <v>42016</v>
      </c>
      <c r="F29" s="3">
        <v>38073</v>
      </c>
    </row>
    <row r="30" spans="1:14" x14ac:dyDescent="0.25">
      <c r="B30" s="3">
        <v>30300</v>
      </c>
      <c r="C30" s="3">
        <v>22909</v>
      </c>
      <c r="D30" s="3">
        <v>29590</v>
      </c>
      <c r="E30" s="3">
        <v>9989</v>
      </c>
      <c r="F30" s="3">
        <v>7267</v>
      </c>
    </row>
    <row r="31" spans="1:14" x14ac:dyDescent="0.25">
      <c r="A31" t="s">
        <v>45</v>
      </c>
      <c r="B31" s="3">
        <v>13902</v>
      </c>
      <c r="C31" s="3">
        <v>15683</v>
      </c>
      <c r="D31" s="3">
        <v>11609</v>
      </c>
      <c r="E31" s="3">
        <v>3943</v>
      </c>
      <c r="F31" s="3">
        <v>3926</v>
      </c>
      <c r="G31" s="3">
        <v>4896</v>
      </c>
    </row>
    <row r="32" spans="1:14" x14ac:dyDescent="0.25">
      <c r="B32" s="3">
        <v>84963</v>
      </c>
      <c r="C32" s="3">
        <v>90305</v>
      </c>
      <c r="D32" s="3">
        <v>89028</v>
      </c>
      <c r="E32" s="3">
        <v>79192</v>
      </c>
      <c r="F32" s="3">
        <v>59541</v>
      </c>
      <c r="G32" s="3">
        <v>37793</v>
      </c>
      <c r="I32" s="3"/>
      <c r="J32" s="3"/>
      <c r="K32" s="3"/>
      <c r="L32" s="3"/>
      <c r="M32" s="3"/>
      <c r="N32" s="3"/>
    </row>
    <row r="33" spans="1:14" x14ac:dyDescent="0.25">
      <c r="B33" s="3">
        <v>57098</v>
      </c>
      <c r="C33" s="3">
        <v>60397</v>
      </c>
      <c r="D33" s="3">
        <v>53331</v>
      </c>
      <c r="E33" s="3">
        <v>52841</v>
      </c>
      <c r="F33" s="3">
        <v>48132</v>
      </c>
      <c r="G33" s="3">
        <v>41490</v>
      </c>
    </row>
    <row r="34" spans="1:14" x14ac:dyDescent="0.25">
      <c r="B34" s="3">
        <v>27865</v>
      </c>
      <c r="C34" s="3">
        <v>29908</v>
      </c>
      <c r="D34" s="3">
        <v>35697</v>
      </c>
      <c r="E34" s="3">
        <v>26351</v>
      </c>
      <c r="F34" s="3">
        <v>11409</v>
      </c>
      <c r="G34" s="3">
        <v>-3697</v>
      </c>
    </row>
    <row r="35" spans="1:14" x14ac:dyDescent="0.25">
      <c r="A35" t="s">
        <v>50</v>
      </c>
      <c r="B35" s="3">
        <v>13744</v>
      </c>
      <c r="C35" s="3">
        <v>15388</v>
      </c>
      <c r="D35" s="3">
        <v>12289</v>
      </c>
      <c r="E35" s="3">
        <v>5010</v>
      </c>
      <c r="F35" s="3"/>
    </row>
    <row r="36" spans="1:14" x14ac:dyDescent="0.25">
      <c r="B36" s="3">
        <v>75606</v>
      </c>
      <c r="C36" s="3">
        <v>77732</v>
      </c>
      <c r="D36" s="3">
        <v>80204</v>
      </c>
      <c r="E36" s="3">
        <v>63389</v>
      </c>
      <c r="F36" s="3"/>
      <c r="I36" s="3"/>
      <c r="J36" s="3"/>
      <c r="K36" s="3"/>
      <c r="L36" s="3"/>
      <c r="M36" s="3"/>
      <c r="N36" s="3"/>
    </row>
    <row r="37" spans="1:14" x14ac:dyDescent="0.25">
      <c r="B37" s="3">
        <v>51131</v>
      </c>
      <c r="C37" s="3">
        <v>52557</v>
      </c>
      <c r="D37" s="3">
        <v>49964</v>
      </c>
      <c r="E37" s="3">
        <v>45126</v>
      </c>
      <c r="F37" s="3"/>
    </row>
    <row r="38" spans="1:14" x14ac:dyDescent="0.25">
      <c r="B38" s="3">
        <v>24475</v>
      </c>
      <c r="C38" s="3">
        <v>25175</v>
      </c>
      <c r="D38" s="3">
        <v>30240</v>
      </c>
      <c r="E38" s="3">
        <v>18263</v>
      </c>
      <c r="F38" s="3"/>
    </row>
    <row r="39" spans="1:14" x14ac:dyDescent="0.25">
      <c r="A39" t="s">
        <v>46</v>
      </c>
      <c r="B39" s="3">
        <v>28948</v>
      </c>
      <c r="C39" s="3">
        <v>28599</v>
      </c>
      <c r="D39" s="3">
        <v>20300</v>
      </c>
      <c r="F39" s="3"/>
    </row>
    <row r="40" spans="1:14" x14ac:dyDescent="0.25">
      <c r="B40" s="3">
        <v>154685</v>
      </c>
      <c r="C40" s="3">
        <v>145796</v>
      </c>
      <c r="D40" s="3">
        <v>142238</v>
      </c>
      <c r="E40" s="3">
        <v>100032</v>
      </c>
      <c r="F40" s="3"/>
      <c r="I40" s="3"/>
      <c r="J40" s="3"/>
      <c r="K40" s="3"/>
      <c r="L40" s="3"/>
      <c r="M40" s="3"/>
      <c r="N40" s="3"/>
    </row>
    <row r="41" spans="1:14" x14ac:dyDescent="0.25">
      <c r="B41" s="3">
        <v>72287</v>
      </c>
      <c r="C41" s="3">
        <v>84511</v>
      </c>
      <c r="D41" s="3">
        <v>90733</v>
      </c>
      <c r="E41" s="3">
        <v>74702</v>
      </c>
      <c r="F41" s="3"/>
    </row>
    <row r="42" spans="1:14" x14ac:dyDescent="0.25">
      <c r="B42" s="3">
        <v>82398</v>
      </c>
      <c r="C42" s="3">
        <v>61285</v>
      </c>
      <c r="D42" s="3">
        <v>51505</v>
      </c>
      <c r="E42" s="3">
        <v>25330</v>
      </c>
      <c r="F42" s="3"/>
    </row>
    <row r="43" spans="1:14" x14ac:dyDescent="0.25">
      <c r="A43" t="s">
        <v>47</v>
      </c>
      <c r="B43" s="3">
        <v>27753</v>
      </c>
      <c r="C43" s="3">
        <v>31950</v>
      </c>
      <c r="D43" s="3">
        <v>23168</v>
      </c>
      <c r="E43" s="3">
        <v>10591</v>
      </c>
      <c r="F43" s="3">
        <v>13920</v>
      </c>
    </row>
    <row r="44" spans="1:14" x14ac:dyDescent="0.25">
      <c r="B44" s="3">
        <v>176717</v>
      </c>
      <c r="C44" s="3">
        <v>175310</v>
      </c>
      <c r="D44" s="3">
        <v>179175</v>
      </c>
      <c r="E44" s="3">
        <v>153298</v>
      </c>
      <c r="F44" s="3">
        <v>116108</v>
      </c>
      <c r="I44" s="3"/>
      <c r="J44" s="3"/>
      <c r="K44" s="3"/>
      <c r="L44" s="3"/>
      <c r="M44" s="3"/>
      <c r="N44" s="3"/>
    </row>
    <row r="45" spans="1:14" x14ac:dyDescent="0.25">
      <c r="B45" s="3">
        <v>96620</v>
      </c>
      <c r="C45" s="3">
        <v>109194</v>
      </c>
      <c r="D45" s="3">
        <v>110219</v>
      </c>
      <c r="E45" s="3">
        <v>102033</v>
      </c>
      <c r="F45" s="3">
        <v>87704</v>
      </c>
    </row>
    <row r="46" spans="1:14" x14ac:dyDescent="0.25">
      <c r="B46" s="3">
        <v>80097</v>
      </c>
      <c r="C46" s="3">
        <v>66116</v>
      </c>
      <c r="D46" s="3">
        <v>68956</v>
      </c>
      <c r="E46" s="3">
        <v>51265</v>
      </c>
      <c r="F46" s="3">
        <v>28404</v>
      </c>
    </row>
    <row r="47" spans="1:14" x14ac:dyDescent="0.25">
      <c r="A47" t="s">
        <v>48</v>
      </c>
      <c r="B47" s="3">
        <v>29387</v>
      </c>
      <c r="C47" s="3">
        <v>34827</v>
      </c>
      <c r="D47" s="3">
        <v>31300</v>
      </c>
      <c r="E47" s="3">
        <v>16814</v>
      </c>
      <c r="F47" s="3"/>
    </row>
    <row r="48" spans="1:14" x14ac:dyDescent="0.25">
      <c r="B48" s="3">
        <v>188286</v>
      </c>
      <c r="C48" s="3">
        <v>188367</v>
      </c>
      <c r="D48" s="3">
        <v>190574</v>
      </c>
      <c r="E48" s="3">
        <v>160915</v>
      </c>
      <c r="F48" s="3"/>
      <c r="I48" s="3"/>
      <c r="J48" s="3"/>
      <c r="K48" s="3"/>
      <c r="L48" s="3"/>
      <c r="M48" s="3"/>
      <c r="N48" s="3"/>
    </row>
    <row r="49" spans="1:14" x14ac:dyDescent="0.25">
      <c r="B49" s="3">
        <v>139451</v>
      </c>
      <c r="C49" s="3">
        <v>136613</v>
      </c>
      <c r="D49" s="3">
        <v>142545</v>
      </c>
      <c r="E49" s="3">
        <v>149781</v>
      </c>
      <c r="F49" s="3"/>
    </row>
    <row r="50" spans="1:14" x14ac:dyDescent="0.25">
      <c r="B50" s="3">
        <v>48835</v>
      </c>
      <c r="C50" s="3">
        <v>51754</v>
      </c>
      <c r="D50" s="3">
        <v>48029</v>
      </c>
      <c r="E50" s="3">
        <v>11134</v>
      </c>
      <c r="F50" s="3"/>
    </row>
    <row r="51" spans="1:14" x14ac:dyDescent="0.25">
      <c r="A51" t="s">
        <v>49</v>
      </c>
      <c r="B51" s="3">
        <v>12429</v>
      </c>
      <c r="C51" s="3">
        <v>13631</v>
      </c>
      <c r="D51" s="3">
        <v>13911</v>
      </c>
      <c r="E51" s="3"/>
      <c r="F51" s="3"/>
      <c r="G51" s="3"/>
      <c r="H51" s="18"/>
    </row>
    <row r="52" spans="1:14" x14ac:dyDescent="0.25">
      <c r="B52" s="3">
        <v>63247</v>
      </c>
      <c r="C52" s="3">
        <v>60854</v>
      </c>
      <c r="D52" s="3">
        <v>62023</v>
      </c>
      <c r="E52" s="3"/>
      <c r="F52" s="3"/>
      <c r="G52" s="3"/>
      <c r="H52" s="18"/>
      <c r="I52" s="3"/>
      <c r="J52" s="3"/>
      <c r="K52" s="3"/>
      <c r="L52" s="3"/>
      <c r="M52" s="3"/>
      <c r="N52" s="3"/>
    </row>
    <row r="53" spans="1:14" x14ac:dyDescent="0.25">
      <c r="B53" s="3">
        <v>26625</v>
      </c>
      <c r="C53" s="3">
        <v>36942</v>
      </c>
      <c r="D53" s="3">
        <v>35541</v>
      </c>
      <c r="E53" s="3"/>
      <c r="F53" s="3"/>
      <c r="G53" s="3"/>
      <c r="H53" s="18"/>
    </row>
    <row r="54" spans="1:14" x14ac:dyDescent="0.25">
      <c r="B54" s="3">
        <v>36622</v>
      </c>
      <c r="C54" s="3">
        <v>23912</v>
      </c>
      <c r="D54" s="3">
        <v>26482</v>
      </c>
      <c r="E54" s="3"/>
      <c r="F54" s="3"/>
      <c r="G54" s="3"/>
      <c r="H54" s="18"/>
    </row>
    <row r="55" spans="1:14" x14ac:dyDescent="0.25">
      <c r="A55" t="s">
        <v>51</v>
      </c>
      <c r="B55" s="3">
        <v>24527</v>
      </c>
      <c r="C55" s="3">
        <v>32391</v>
      </c>
      <c r="D55" s="3">
        <v>25923</v>
      </c>
      <c r="E55" s="3">
        <v>15632</v>
      </c>
      <c r="F55" s="3"/>
      <c r="G55" s="3"/>
      <c r="H55" s="18"/>
    </row>
    <row r="56" spans="1:14" x14ac:dyDescent="0.25">
      <c r="B56" s="3">
        <v>174732</v>
      </c>
      <c r="C56" s="3">
        <v>172187</v>
      </c>
      <c r="D56" s="3">
        <v>174809</v>
      </c>
      <c r="E56" s="3">
        <v>154072</v>
      </c>
      <c r="F56" s="3">
        <v>104927</v>
      </c>
      <c r="G56" s="3"/>
      <c r="H56" s="18"/>
      <c r="I56" s="3"/>
      <c r="J56" s="3"/>
      <c r="K56" s="3"/>
      <c r="L56" s="3"/>
      <c r="M56" s="3"/>
      <c r="N56" s="3"/>
    </row>
    <row r="57" spans="1:14" x14ac:dyDescent="0.25">
      <c r="B57" s="3">
        <v>87175</v>
      </c>
      <c r="C57" s="3">
        <v>99138</v>
      </c>
      <c r="D57" s="3">
        <v>102833</v>
      </c>
      <c r="E57" s="3">
        <v>101041</v>
      </c>
      <c r="F57" s="3">
        <v>89192</v>
      </c>
      <c r="G57" s="3"/>
      <c r="H57" s="18"/>
    </row>
    <row r="58" spans="1:14" x14ac:dyDescent="0.25">
      <c r="B58" s="3">
        <v>87557</v>
      </c>
      <c r="C58" s="3">
        <v>73049</v>
      </c>
      <c r="D58" s="3">
        <v>71976</v>
      </c>
      <c r="E58" s="3">
        <v>53031</v>
      </c>
      <c r="F58" s="3">
        <v>15735</v>
      </c>
      <c r="G58" s="3"/>
      <c r="H58" s="18"/>
    </row>
    <row r="59" spans="1:14" x14ac:dyDescent="0.25">
      <c r="A59" t="s">
        <v>52</v>
      </c>
      <c r="B59" s="3">
        <v>24638</v>
      </c>
      <c r="C59" s="3">
        <v>30299</v>
      </c>
      <c r="D59" s="3">
        <v>20399</v>
      </c>
      <c r="E59" s="3">
        <v>12114</v>
      </c>
      <c r="F59" s="3"/>
      <c r="G59" s="3"/>
      <c r="H59" s="18"/>
    </row>
    <row r="60" spans="1:14" x14ac:dyDescent="0.25">
      <c r="B60" s="3">
        <v>159233</v>
      </c>
      <c r="C60" s="3">
        <v>160551</v>
      </c>
      <c r="D60" s="3">
        <v>163654</v>
      </c>
      <c r="E60" s="3">
        <v>137188</v>
      </c>
      <c r="F60" s="3"/>
      <c r="G60" s="3"/>
      <c r="H60" s="18"/>
      <c r="I60" s="3"/>
      <c r="J60" s="3"/>
      <c r="K60" s="3"/>
      <c r="L60" s="3"/>
      <c r="M60" s="3"/>
      <c r="N60" s="3"/>
    </row>
    <row r="61" spans="1:14" x14ac:dyDescent="0.25">
      <c r="B61" s="3">
        <v>72995</v>
      </c>
      <c r="C61" s="3">
        <v>78283</v>
      </c>
      <c r="D61" s="3">
        <v>76676</v>
      </c>
      <c r="E61" s="3">
        <v>89582</v>
      </c>
      <c r="F61" s="3"/>
      <c r="G61" s="3"/>
      <c r="H61" s="18"/>
    </row>
    <row r="62" spans="1:14" x14ac:dyDescent="0.25">
      <c r="B62" s="3">
        <v>86238</v>
      </c>
      <c r="C62" s="3">
        <v>82268</v>
      </c>
      <c r="D62" s="3">
        <v>86978</v>
      </c>
      <c r="E62" s="3">
        <v>47606</v>
      </c>
      <c r="F62" s="3"/>
      <c r="G62" s="3"/>
      <c r="H62" s="18"/>
    </row>
    <row r="63" spans="1:14" x14ac:dyDescent="0.25">
      <c r="A63" t="s">
        <v>53</v>
      </c>
      <c r="B63" s="3">
        <v>23923</v>
      </c>
      <c r="C63" s="3">
        <v>24366</v>
      </c>
      <c r="D63" s="3">
        <v>24220</v>
      </c>
      <c r="E63" s="3">
        <v>12568</v>
      </c>
      <c r="F63" s="3"/>
      <c r="G63" s="3"/>
      <c r="H63" s="18"/>
    </row>
    <row r="64" spans="1:14" x14ac:dyDescent="0.25">
      <c r="B64" s="3">
        <v>123200</v>
      </c>
      <c r="C64" s="3">
        <v>125067</v>
      </c>
      <c r="D64" s="3">
        <v>126363</v>
      </c>
      <c r="E64" s="3">
        <v>108493</v>
      </c>
      <c r="F64" s="3"/>
      <c r="G64" s="3"/>
      <c r="H64" s="18"/>
      <c r="I64" s="3"/>
      <c r="J64" s="3"/>
      <c r="K64" s="3"/>
      <c r="L64" s="3"/>
      <c r="M64" s="3"/>
      <c r="N64" s="3"/>
    </row>
    <row r="65" spans="1:14" x14ac:dyDescent="0.25">
      <c r="B65" s="3">
        <v>84070</v>
      </c>
      <c r="C65" s="3">
        <v>85265</v>
      </c>
      <c r="D65" s="3">
        <v>86173</v>
      </c>
      <c r="E65" s="3">
        <v>84471</v>
      </c>
      <c r="F65" s="3"/>
      <c r="G65" s="3"/>
      <c r="H65" s="18"/>
    </row>
    <row r="66" spans="1:14" x14ac:dyDescent="0.25">
      <c r="B66" s="3">
        <v>39130</v>
      </c>
      <c r="C66" s="3">
        <v>39802</v>
      </c>
      <c r="D66" s="3">
        <v>40190</v>
      </c>
      <c r="E66" s="3">
        <v>24022</v>
      </c>
      <c r="F66" s="3"/>
      <c r="G66" s="3"/>
      <c r="H66" s="18"/>
    </row>
    <row r="67" spans="1:14" x14ac:dyDescent="0.25">
      <c r="A67" t="s">
        <v>54</v>
      </c>
      <c r="B67" s="3">
        <v>12591</v>
      </c>
      <c r="C67" s="3">
        <v>18089</v>
      </c>
      <c r="D67" s="3">
        <v>9840</v>
      </c>
      <c r="E67" s="3">
        <v>4814</v>
      </c>
      <c r="F67" s="3">
        <v>4719</v>
      </c>
      <c r="G67" s="3">
        <v>6290</v>
      </c>
      <c r="H67" s="18"/>
    </row>
    <row r="68" spans="1:14" x14ac:dyDescent="0.25">
      <c r="B68" s="3">
        <v>69276</v>
      </c>
      <c r="C68" s="3">
        <v>68354</v>
      </c>
      <c r="D68" s="3">
        <v>69704</v>
      </c>
      <c r="E68" s="3">
        <v>61575</v>
      </c>
      <c r="F68" s="3">
        <v>42218</v>
      </c>
      <c r="G68" s="3">
        <v>30446</v>
      </c>
      <c r="H68" s="18"/>
      <c r="I68" s="3"/>
      <c r="J68" s="3"/>
      <c r="K68" s="3"/>
      <c r="L68" s="3"/>
      <c r="M68" s="3"/>
      <c r="N68" s="3"/>
    </row>
    <row r="69" spans="1:14" x14ac:dyDescent="0.25">
      <c r="B69" s="3">
        <v>44029</v>
      </c>
      <c r="C69" s="3">
        <v>46090</v>
      </c>
      <c r="D69" s="3">
        <v>48265</v>
      </c>
      <c r="E69" s="3">
        <v>44333</v>
      </c>
      <c r="F69" s="3">
        <v>36782</v>
      </c>
      <c r="G69" s="3">
        <v>34136</v>
      </c>
      <c r="H69" s="18"/>
    </row>
    <row r="70" spans="1:14" x14ac:dyDescent="0.25">
      <c r="B70" s="3">
        <v>25247</v>
      </c>
      <c r="C70" s="3">
        <v>22264</v>
      </c>
      <c r="D70" s="3">
        <v>21439</v>
      </c>
      <c r="E70" s="3">
        <v>17242</v>
      </c>
      <c r="F70" s="3">
        <v>5436</v>
      </c>
      <c r="G70" s="3">
        <v>-3690</v>
      </c>
      <c r="H70" s="18"/>
    </row>
    <row r="71" spans="1:14" x14ac:dyDescent="0.25">
      <c r="A71" t="s">
        <v>55</v>
      </c>
      <c r="B71" s="3">
        <v>35767</v>
      </c>
      <c r="C71" s="3">
        <v>37535</v>
      </c>
      <c r="D71" s="3">
        <v>29496</v>
      </c>
      <c r="E71" s="3"/>
      <c r="F71" s="3"/>
      <c r="G71" s="3"/>
      <c r="H71" s="18"/>
    </row>
    <row r="72" spans="1:14" x14ac:dyDescent="0.25">
      <c r="B72" s="3">
        <v>182024</v>
      </c>
      <c r="C72" s="3">
        <v>175110</v>
      </c>
      <c r="D72" s="3">
        <v>183123</v>
      </c>
      <c r="E72" s="3">
        <v>152405</v>
      </c>
      <c r="F72" s="3"/>
      <c r="G72" s="3"/>
      <c r="H72" s="18"/>
      <c r="I72" s="3"/>
      <c r="J72" s="3"/>
      <c r="K72" s="3"/>
      <c r="L72" s="3"/>
      <c r="M72" s="3"/>
      <c r="N72" s="3"/>
    </row>
    <row r="73" spans="1:14" x14ac:dyDescent="0.25">
      <c r="B73" s="3">
        <v>92109</v>
      </c>
      <c r="C73" s="3">
        <v>104327</v>
      </c>
      <c r="D73" s="3">
        <v>107838</v>
      </c>
      <c r="E73" s="3">
        <v>116408</v>
      </c>
      <c r="F73" s="3"/>
      <c r="G73" s="3"/>
      <c r="H73" s="18"/>
    </row>
    <row r="74" spans="1:14" x14ac:dyDescent="0.25">
      <c r="B74" s="3">
        <v>89915</v>
      </c>
      <c r="C74" s="3">
        <v>70783</v>
      </c>
      <c r="D74" s="3">
        <v>75285</v>
      </c>
      <c r="E74" s="3">
        <v>35997</v>
      </c>
      <c r="F74" s="3"/>
      <c r="G74" s="3"/>
      <c r="H74" s="18"/>
    </row>
    <row r="75" spans="1:14" x14ac:dyDescent="0.25">
      <c r="A75" t="s">
        <v>56</v>
      </c>
      <c r="B75" s="3">
        <v>9220</v>
      </c>
      <c r="C75" s="3">
        <v>9393</v>
      </c>
      <c r="D75" s="3">
        <v>9110</v>
      </c>
      <c r="E75" s="3"/>
      <c r="F75" s="3"/>
      <c r="G75" s="3"/>
      <c r="H75" s="18"/>
    </row>
    <row r="76" spans="1:14" x14ac:dyDescent="0.25">
      <c r="B76" s="3">
        <v>49780</v>
      </c>
      <c r="C76" s="3">
        <v>50344</v>
      </c>
      <c r="D76" s="3">
        <v>51346</v>
      </c>
      <c r="E76" s="3"/>
      <c r="F76" s="3"/>
      <c r="G76" s="3"/>
      <c r="H76" s="18"/>
      <c r="I76" s="3"/>
      <c r="J76" s="3"/>
      <c r="K76" s="3"/>
      <c r="L76" s="3"/>
      <c r="M76" s="3"/>
      <c r="N76" s="3"/>
    </row>
    <row r="77" spans="1:14" x14ac:dyDescent="0.25">
      <c r="B77" s="3">
        <v>30322</v>
      </c>
      <c r="C77" s="3">
        <v>30733</v>
      </c>
      <c r="D77" s="3">
        <v>31414</v>
      </c>
      <c r="E77" s="3"/>
      <c r="F77" s="3"/>
      <c r="G77" s="3"/>
      <c r="H77" s="18"/>
    </row>
    <row r="78" spans="1:14" x14ac:dyDescent="0.25">
      <c r="B78" s="3">
        <v>19458</v>
      </c>
      <c r="C78" s="3">
        <v>19611</v>
      </c>
      <c r="D78" s="3">
        <v>19932</v>
      </c>
      <c r="E78" s="3"/>
      <c r="F78" s="3"/>
      <c r="G78" s="3"/>
      <c r="H78" s="18"/>
    </row>
    <row r="79" spans="1:14" x14ac:dyDescent="0.25">
      <c r="A79" t="s">
        <v>57</v>
      </c>
      <c r="B79" s="3">
        <v>13290</v>
      </c>
      <c r="C79" s="3">
        <v>16116</v>
      </c>
      <c r="D79" s="3">
        <v>13655</v>
      </c>
      <c r="E79" s="3">
        <v>5705</v>
      </c>
      <c r="F79" s="3"/>
      <c r="G79" s="3"/>
      <c r="H79" s="18"/>
    </row>
    <row r="80" spans="1:14" x14ac:dyDescent="0.25">
      <c r="B80" s="3">
        <v>76670</v>
      </c>
      <c r="C80" s="3">
        <v>80394</v>
      </c>
      <c r="D80" s="3">
        <v>84144</v>
      </c>
      <c r="E80" s="3">
        <v>70008</v>
      </c>
      <c r="F80" s="3"/>
      <c r="G80" s="3"/>
      <c r="H80" s="18"/>
      <c r="I80" s="3"/>
      <c r="J80" s="3"/>
      <c r="K80" s="3"/>
      <c r="L80" s="3"/>
      <c r="M80" s="3"/>
      <c r="N80" s="3"/>
    </row>
    <row r="81" spans="1:14" x14ac:dyDescent="0.25">
      <c r="B81" s="3">
        <v>53047</v>
      </c>
      <c r="C81" s="3">
        <v>54758</v>
      </c>
      <c r="D81" s="3">
        <v>50241</v>
      </c>
      <c r="E81" s="3">
        <v>47501</v>
      </c>
      <c r="F81" s="3"/>
      <c r="G81" s="3"/>
      <c r="H81" s="18"/>
    </row>
    <row r="82" spans="1:14" x14ac:dyDescent="0.25">
      <c r="B82" s="3">
        <v>23623</v>
      </c>
      <c r="C82" s="3">
        <v>25636</v>
      </c>
      <c r="D82" s="3">
        <v>33903</v>
      </c>
      <c r="E82" s="3">
        <v>22507</v>
      </c>
      <c r="F82" s="3"/>
      <c r="G82" s="3"/>
      <c r="H82" s="18"/>
    </row>
    <row r="83" spans="1:14" x14ac:dyDescent="0.25">
      <c r="A83" t="s">
        <v>58</v>
      </c>
      <c r="B83" s="3">
        <v>4183</v>
      </c>
      <c r="C83" s="3">
        <v>4531</v>
      </c>
      <c r="D83" s="3">
        <v>4612</v>
      </c>
      <c r="E83" s="3"/>
      <c r="F83" s="3"/>
      <c r="G83" s="3"/>
      <c r="H83" s="18"/>
    </row>
    <row r="84" spans="1:14" x14ac:dyDescent="0.25">
      <c r="B84" s="3">
        <v>14467</v>
      </c>
      <c r="C84" s="3">
        <v>14629</v>
      </c>
      <c r="D84" s="3">
        <v>14341</v>
      </c>
      <c r="E84" s="3"/>
      <c r="F84" s="3"/>
      <c r="G84" s="3"/>
      <c r="H84" s="18"/>
      <c r="I84" s="3"/>
      <c r="J84" s="3"/>
      <c r="K84" s="3"/>
      <c r="L84" s="3"/>
      <c r="M84" s="3"/>
      <c r="N84" s="3"/>
    </row>
    <row r="85" spans="1:14" x14ac:dyDescent="0.25">
      <c r="B85" s="3">
        <v>10830</v>
      </c>
      <c r="C85" s="3">
        <v>11848</v>
      </c>
      <c r="D85" s="3">
        <v>11957</v>
      </c>
      <c r="E85" s="3"/>
      <c r="F85" s="3"/>
      <c r="G85" s="3"/>
      <c r="H85" s="18"/>
    </row>
    <row r="86" spans="1:14" x14ac:dyDescent="0.25">
      <c r="B86" s="3">
        <v>3637</v>
      </c>
      <c r="C86" s="3">
        <v>2781</v>
      </c>
      <c r="D86" s="3">
        <v>2384</v>
      </c>
      <c r="E86" s="3"/>
      <c r="F86" s="3"/>
      <c r="G86" s="3"/>
      <c r="H86" s="18"/>
    </row>
    <row r="87" spans="1:14" x14ac:dyDescent="0.25">
      <c r="A87" t="s">
        <v>59</v>
      </c>
      <c r="B87" s="3">
        <v>23708</v>
      </c>
      <c r="C87" s="3">
        <v>23574</v>
      </c>
      <c r="D87" s="3">
        <v>18207</v>
      </c>
      <c r="E87" s="3">
        <v>11585</v>
      </c>
      <c r="F87" s="3"/>
      <c r="G87" s="3"/>
      <c r="H87" s="18"/>
    </row>
    <row r="88" spans="1:14" x14ac:dyDescent="0.25">
      <c r="B88" s="3">
        <v>145050</v>
      </c>
      <c r="C88" s="3">
        <v>144236</v>
      </c>
      <c r="D88" s="3">
        <v>138965</v>
      </c>
      <c r="E88" s="3">
        <v>125864</v>
      </c>
      <c r="F88" s="3"/>
      <c r="G88" s="3"/>
      <c r="H88" s="18"/>
      <c r="I88" s="3"/>
      <c r="J88" s="3"/>
      <c r="K88" s="3"/>
      <c r="L88" s="3"/>
      <c r="M88" s="3"/>
      <c r="N88" s="3"/>
    </row>
    <row r="89" spans="1:14" x14ac:dyDescent="0.25">
      <c r="B89" s="3">
        <v>88041</v>
      </c>
      <c r="C89" s="3">
        <v>87667</v>
      </c>
      <c r="D89" s="3">
        <v>81912</v>
      </c>
      <c r="E89" s="3">
        <v>81346</v>
      </c>
      <c r="F89" s="3"/>
      <c r="G89" s="3"/>
      <c r="H89" s="18"/>
    </row>
    <row r="90" spans="1:14" x14ac:dyDescent="0.25">
      <c r="B90" s="3">
        <v>57009</v>
      </c>
      <c r="C90" s="3">
        <v>56569</v>
      </c>
      <c r="D90" s="3">
        <v>57053</v>
      </c>
      <c r="E90" s="3">
        <v>44518</v>
      </c>
      <c r="F90" s="3"/>
      <c r="G90" s="3"/>
      <c r="H90" s="18"/>
    </row>
    <row r="91" spans="1:14" x14ac:dyDescent="0.25">
      <c r="A91" t="s">
        <v>60</v>
      </c>
      <c r="B91" s="3">
        <v>11031</v>
      </c>
      <c r="C91" s="3">
        <v>11196</v>
      </c>
      <c r="D91" s="3">
        <v>9615</v>
      </c>
      <c r="E91" s="3"/>
      <c r="F91" s="3"/>
      <c r="G91" s="3"/>
      <c r="H91" s="18"/>
    </row>
    <row r="92" spans="1:14" x14ac:dyDescent="0.25">
      <c r="B92" s="3">
        <v>34481</v>
      </c>
      <c r="C92" s="3">
        <v>34803</v>
      </c>
      <c r="D92" s="3">
        <v>31160</v>
      </c>
      <c r="E92" s="3">
        <v>22197</v>
      </c>
      <c r="F92" s="3"/>
      <c r="G92" s="3"/>
      <c r="H92" s="18"/>
      <c r="I92" s="3"/>
      <c r="J92" s="3"/>
      <c r="K92" s="3"/>
      <c r="L92" s="3"/>
      <c r="M92" s="3"/>
      <c r="N92" s="3"/>
    </row>
    <row r="93" spans="1:14" x14ac:dyDescent="0.25">
      <c r="B93" s="3">
        <v>26888</v>
      </c>
      <c r="C93" s="3">
        <v>27110</v>
      </c>
      <c r="D93" s="3">
        <v>25155</v>
      </c>
      <c r="E93" s="3">
        <v>25256</v>
      </c>
      <c r="F93" s="3"/>
      <c r="G93" s="3"/>
      <c r="H93" s="18"/>
    </row>
    <row r="94" spans="1:14" x14ac:dyDescent="0.25">
      <c r="B94" s="3">
        <v>7593</v>
      </c>
      <c r="C94" s="3">
        <v>7693</v>
      </c>
      <c r="D94" s="3">
        <v>6005</v>
      </c>
      <c r="E94" s="3">
        <v>-3059</v>
      </c>
      <c r="F94" s="3"/>
      <c r="G94" s="3"/>
      <c r="H94" s="18"/>
    </row>
    <row r="95" spans="1:14" x14ac:dyDescent="0.25">
      <c r="A95" t="s">
        <v>61</v>
      </c>
      <c r="B95" s="3">
        <v>20563</v>
      </c>
      <c r="C95" s="3">
        <v>22316</v>
      </c>
      <c r="D95" s="3">
        <v>16003</v>
      </c>
      <c r="E95" s="3"/>
      <c r="F95" s="3"/>
      <c r="G95" s="3"/>
      <c r="H95" s="18"/>
    </row>
    <row r="96" spans="1:14" x14ac:dyDescent="0.25">
      <c r="B96" s="3">
        <v>112310</v>
      </c>
      <c r="C96" s="3">
        <v>109690</v>
      </c>
      <c r="D96" s="3">
        <v>110416</v>
      </c>
      <c r="E96" s="3">
        <v>89808</v>
      </c>
      <c r="F96" s="3"/>
      <c r="G96" s="3"/>
      <c r="H96" s="18"/>
      <c r="I96" s="3"/>
      <c r="J96" s="3"/>
      <c r="K96" s="3"/>
      <c r="L96" s="3"/>
      <c r="M96" s="3"/>
      <c r="N96" s="3"/>
    </row>
    <row r="97" spans="1:14" x14ac:dyDescent="0.25">
      <c r="B97" s="3">
        <v>52331</v>
      </c>
      <c r="C97" s="3">
        <v>55376</v>
      </c>
      <c r="D97" s="3">
        <v>60057</v>
      </c>
      <c r="E97" s="3">
        <v>69862</v>
      </c>
      <c r="F97" s="3"/>
      <c r="G97" s="3"/>
      <c r="H97" s="18"/>
    </row>
    <row r="98" spans="1:14" x14ac:dyDescent="0.25">
      <c r="B98" s="3">
        <v>59979</v>
      </c>
      <c r="C98" s="3">
        <v>54314</v>
      </c>
      <c r="D98" s="3">
        <v>50359</v>
      </c>
      <c r="E98" s="3">
        <v>19946</v>
      </c>
      <c r="F98" s="3"/>
      <c r="G98" s="3"/>
      <c r="H98" s="18"/>
    </row>
    <row r="99" spans="1:14" x14ac:dyDescent="0.25">
      <c r="A99" t="s">
        <v>62</v>
      </c>
      <c r="B99" s="3">
        <v>15670</v>
      </c>
      <c r="C99" s="3">
        <v>18841</v>
      </c>
      <c r="D99" s="3">
        <v>17910</v>
      </c>
      <c r="E99" s="3"/>
      <c r="F99" s="3"/>
      <c r="G99" s="3"/>
      <c r="H99" s="18"/>
    </row>
    <row r="100" spans="1:14" x14ac:dyDescent="0.25">
      <c r="B100" s="3">
        <v>86251</v>
      </c>
      <c r="C100" s="3">
        <v>86679</v>
      </c>
      <c r="D100" s="3">
        <v>88095</v>
      </c>
      <c r="E100" s="3">
        <v>87608</v>
      </c>
      <c r="F100" s="3"/>
      <c r="G100" s="3"/>
      <c r="H100" s="18"/>
      <c r="I100" s="3"/>
      <c r="J100" s="3"/>
      <c r="K100" s="3"/>
      <c r="L100" s="3"/>
      <c r="M100" s="3"/>
      <c r="N100" s="3"/>
    </row>
    <row r="101" spans="1:14" x14ac:dyDescent="0.25">
      <c r="B101" s="3">
        <v>41627</v>
      </c>
      <c r="C101" s="3">
        <v>44621</v>
      </c>
      <c r="D101" s="3">
        <v>46781</v>
      </c>
      <c r="E101" s="3">
        <v>46164</v>
      </c>
      <c r="F101" s="3"/>
      <c r="G101" s="3"/>
      <c r="H101" s="18"/>
    </row>
    <row r="102" spans="1:14" x14ac:dyDescent="0.25">
      <c r="B102" s="3">
        <v>44624</v>
      </c>
      <c r="C102" s="3">
        <v>42058</v>
      </c>
      <c r="D102" s="3">
        <v>41314</v>
      </c>
      <c r="E102" s="3">
        <v>41444</v>
      </c>
      <c r="F102" s="3"/>
      <c r="G102" s="3"/>
      <c r="H102" s="18"/>
    </row>
    <row r="103" spans="1:14" x14ac:dyDescent="0.25">
      <c r="A103" t="s">
        <v>63</v>
      </c>
      <c r="B103" s="3">
        <v>12403</v>
      </c>
      <c r="C103" s="3">
        <v>13432</v>
      </c>
      <c r="D103" s="3">
        <v>10194</v>
      </c>
      <c r="E103" s="3">
        <v>4036</v>
      </c>
      <c r="F103" s="3">
        <v>4193</v>
      </c>
      <c r="G103" s="3"/>
      <c r="H103" s="18"/>
    </row>
    <row r="104" spans="1:14" x14ac:dyDescent="0.25">
      <c r="B104" s="3">
        <v>81101</v>
      </c>
      <c r="C104" s="3">
        <v>79333</v>
      </c>
      <c r="D104" s="3">
        <v>81710</v>
      </c>
      <c r="E104" s="3">
        <v>69324</v>
      </c>
      <c r="F104" s="3">
        <v>55901</v>
      </c>
      <c r="G104" s="3"/>
      <c r="H104" s="18"/>
      <c r="I104" s="3"/>
      <c r="J104" s="3"/>
      <c r="K104" s="3"/>
      <c r="L104" s="3"/>
      <c r="M104" s="3"/>
      <c r="N104" s="3"/>
    </row>
    <row r="105" spans="1:14" x14ac:dyDescent="0.25">
      <c r="B105" s="3">
        <v>53911</v>
      </c>
      <c r="C105" s="3">
        <v>57392</v>
      </c>
      <c r="D105" s="3">
        <v>54159</v>
      </c>
      <c r="E105" s="3">
        <v>50067</v>
      </c>
      <c r="F105" s="3">
        <v>45451</v>
      </c>
      <c r="G105" s="3"/>
      <c r="H105" s="18"/>
    </row>
    <row r="106" spans="1:14" x14ac:dyDescent="0.25">
      <c r="B106" s="3">
        <v>27190</v>
      </c>
      <c r="C106" s="3">
        <v>21941</v>
      </c>
      <c r="D106" s="3">
        <v>27551</v>
      </c>
      <c r="E106" s="3">
        <v>19257</v>
      </c>
      <c r="F106" s="3">
        <v>10450</v>
      </c>
      <c r="G106" s="3"/>
      <c r="H106" s="18"/>
    </row>
    <row r="107" spans="1:14" x14ac:dyDescent="0.25">
      <c r="A107" t="s">
        <v>64</v>
      </c>
      <c r="B107" s="3">
        <v>9564</v>
      </c>
      <c r="C107" s="3">
        <v>10093</v>
      </c>
      <c r="D107" s="3">
        <v>9679</v>
      </c>
      <c r="E107" s="3">
        <v>7478</v>
      </c>
      <c r="F107" s="3">
        <v>7623</v>
      </c>
      <c r="G107" s="3">
        <v>9900</v>
      </c>
      <c r="H107" s="18"/>
    </row>
    <row r="108" spans="1:14" x14ac:dyDescent="0.25">
      <c r="B108" s="3">
        <v>54831</v>
      </c>
      <c r="C108" s="3">
        <v>54649</v>
      </c>
      <c r="D108" s="3">
        <v>54373</v>
      </c>
      <c r="E108" s="3">
        <v>49738</v>
      </c>
      <c r="F108" s="3">
        <v>37375</v>
      </c>
      <c r="G108" s="3">
        <v>36284</v>
      </c>
      <c r="H108" s="18"/>
      <c r="I108" s="3"/>
      <c r="J108" s="3"/>
      <c r="K108" s="3"/>
      <c r="L108" s="3"/>
      <c r="M108" s="3"/>
      <c r="N108" s="3"/>
    </row>
    <row r="109" spans="1:14" x14ac:dyDescent="0.25">
      <c r="B109" s="3">
        <v>39881</v>
      </c>
      <c r="C109" s="3">
        <v>41940</v>
      </c>
      <c r="D109" s="3">
        <v>42198</v>
      </c>
      <c r="E109" s="3">
        <v>52710</v>
      </c>
      <c r="F109" s="3">
        <v>49714</v>
      </c>
      <c r="G109" s="3">
        <v>44542</v>
      </c>
      <c r="H109" s="18"/>
    </row>
    <row r="110" spans="1:14" x14ac:dyDescent="0.25">
      <c r="B110" s="3">
        <v>14950</v>
      </c>
      <c r="C110" s="3">
        <v>12709</v>
      </c>
      <c r="D110" s="3">
        <v>12175</v>
      </c>
      <c r="E110" s="3">
        <v>-2972</v>
      </c>
      <c r="F110" s="3">
        <v>-12339</v>
      </c>
      <c r="G110" s="3">
        <v>-8258</v>
      </c>
      <c r="H110" s="18"/>
    </row>
    <row r="111" spans="1:14" x14ac:dyDescent="0.25">
      <c r="A111" t="s">
        <v>65</v>
      </c>
      <c r="B111" s="3">
        <v>14713</v>
      </c>
      <c r="C111" s="3">
        <v>16625</v>
      </c>
      <c r="D111" s="3">
        <v>12607</v>
      </c>
      <c r="E111" s="3">
        <v>5715</v>
      </c>
      <c r="F111" s="3"/>
      <c r="G111" s="3"/>
      <c r="H111" s="18"/>
    </row>
    <row r="112" spans="1:14" x14ac:dyDescent="0.25">
      <c r="B112" s="3">
        <v>95763</v>
      </c>
      <c r="C112" s="3">
        <v>94474</v>
      </c>
      <c r="D112" s="3">
        <v>96923</v>
      </c>
      <c r="E112" s="3">
        <v>80210</v>
      </c>
      <c r="F112" s="3">
        <v>56918</v>
      </c>
      <c r="G112" s="3">
        <v>34144</v>
      </c>
      <c r="H112" s="18"/>
      <c r="I112" s="3"/>
      <c r="J112" s="3"/>
      <c r="K112" s="3"/>
      <c r="L112" s="3"/>
      <c r="M112" s="3"/>
      <c r="N112" s="3"/>
    </row>
    <row r="113" spans="1:14" x14ac:dyDescent="0.25">
      <c r="B113" s="3">
        <v>60734</v>
      </c>
      <c r="C113" s="3">
        <v>66366</v>
      </c>
      <c r="D113" s="3">
        <v>60172</v>
      </c>
      <c r="E113" s="3">
        <v>57175</v>
      </c>
      <c r="F113" s="3">
        <v>44672</v>
      </c>
      <c r="G113" s="3">
        <v>36168</v>
      </c>
      <c r="H113" s="18"/>
    </row>
    <row r="114" spans="1:14" x14ac:dyDescent="0.25">
      <c r="B114" s="3">
        <v>35029</v>
      </c>
      <c r="C114" s="3">
        <v>28108</v>
      </c>
      <c r="D114" s="3">
        <v>36751</v>
      </c>
      <c r="E114" s="3">
        <v>23035</v>
      </c>
      <c r="F114" s="3">
        <v>12246</v>
      </c>
      <c r="G114" s="3">
        <v>-2024</v>
      </c>
      <c r="H114" s="18"/>
    </row>
    <row r="115" spans="1:14" x14ac:dyDescent="0.25">
      <c r="A115" t="s">
        <v>66</v>
      </c>
      <c r="B115" s="3">
        <v>11911</v>
      </c>
      <c r="C115" s="3">
        <v>14932</v>
      </c>
      <c r="D115" s="3">
        <v>11806</v>
      </c>
      <c r="E115" s="3">
        <v>4791</v>
      </c>
      <c r="F115" s="3"/>
      <c r="G115" s="3"/>
      <c r="H115" s="18"/>
    </row>
    <row r="116" spans="1:14" x14ac:dyDescent="0.25">
      <c r="B116" s="3">
        <v>68794</v>
      </c>
      <c r="C116" s="3">
        <v>70780</v>
      </c>
      <c r="D116" s="3">
        <v>74673</v>
      </c>
      <c r="E116" s="3">
        <v>61757</v>
      </c>
      <c r="F116" s="3">
        <v>49022</v>
      </c>
      <c r="G116" s="3"/>
      <c r="H116" s="18"/>
      <c r="I116" s="3"/>
      <c r="J116" s="3"/>
      <c r="K116" s="3"/>
      <c r="L116" s="3"/>
      <c r="M116" s="3"/>
      <c r="N116" s="3"/>
    </row>
    <row r="117" spans="1:14" x14ac:dyDescent="0.25">
      <c r="B117" s="3">
        <v>46661</v>
      </c>
      <c r="C117" s="3">
        <v>48320</v>
      </c>
      <c r="D117" s="3">
        <v>43554</v>
      </c>
      <c r="E117" s="3">
        <v>43517</v>
      </c>
      <c r="F117" s="3">
        <v>42109</v>
      </c>
      <c r="G117" s="3"/>
      <c r="H117" s="18"/>
    </row>
    <row r="118" spans="1:14" x14ac:dyDescent="0.25">
      <c r="B118" s="3">
        <v>22133</v>
      </c>
      <c r="C118" s="3">
        <v>22460</v>
      </c>
      <c r="D118" s="3">
        <v>31119</v>
      </c>
      <c r="E118" s="3">
        <v>18240</v>
      </c>
      <c r="F118" s="3">
        <v>6913</v>
      </c>
      <c r="G118" s="3"/>
      <c r="H118" s="18"/>
    </row>
    <row r="119" spans="1:14" x14ac:dyDescent="0.25">
      <c r="A119" t="s">
        <v>67</v>
      </c>
      <c r="B119" s="3">
        <v>3889</v>
      </c>
      <c r="C119" s="3">
        <v>4205</v>
      </c>
      <c r="D119" s="3">
        <v>3514</v>
      </c>
      <c r="E119" s="3"/>
      <c r="F119" s="3"/>
      <c r="G119" s="3"/>
      <c r="H119" s="18"/>
    </row>
    <row r="120" spans="1:14" x14ac:dyDescent="0.25">
      <c r="B120" s="3">
        <v>20725</v>
      </c>
      <c r="C120" s="3">
        <v>20638</v>
      </c>
      <c r="D120" s="3">
        <v>22794</v>
      </c>
      <c r="E120" s="3">
        <v>18049</v>
      </c>
      <c r="F120" s="3"/>
      <c r="G120" s="3"/>
      <c r="H120" s="18"/>
      <c r="I120" s="3"/>
      <c r="J120" s="3"/>
      <c r="K120" s="3"/>
      <c r="L120" s="3"/>
      <c r="M120" s="3"/>
      <c r="N120" s="3"/>
    </row>
    <row r="121" spans="1:14" x14ac:dyDescent="0.25">
      <c r="B121" s="3">
        <v>15446</v>
      </c>
      <c r="C121" s="3">
        <v>16927</v>
      </c>
      <c r="D121" s="3">
        <v>14625</v>
      </c>
      <c r="E121" s="3">
        <v>13788</v>
      </c>
      <c r="F121" s="3"/>
      <c r="G121" s="3"/>
      <c r="H121" s="18"/>
    </row>
    <row r="122" spans="1:14" x14ac:dyDescent="0.25">
      <c r="B122" s="3">
        <v>5279</v>
      </c>
      <c r="C122" s="3">
        <v>3711</v>
      </c>
      <c r="D122" s="3">
        <v>8169</v>
      </c>
      <c r="E122" s="3">
        <v>4261</v>
      </c>
      <c r="F122" s="3"/>
      <c r="G122" s="3"/>
      <c r="H122" s="18"/>
    </row>
    <row r="123" spans="1:14" x14ac:dyDescent="0.25">
      <c r="A123" t="s">
        <v>99</v>
      </c>
      <c r="B123" s="3">
        <v>19538</v>
      </c>
      <c r="C123" s="3">
        <v>21093</v>
      </c>
      <c r="D123" s="3">
        <v>19890</v>
      </c>
      <c r="E123" s="3"/>
      <c r="F123" s="3"/>
      <c r="G123" s="3"/>
      <c r="H123" s="18"/>
    </row>
    <row r="124" spans="1:14" x14ac:dyDescent="0.25">
      <c r="B124" s="3">
        <v>113025</v>
      </c>
      <c r="C124" s="3">
        <v>120509</v>
      </c>
      <c r="D124" s="3">
        <v>119297</v>
      </c>
      <c r="E124" s="3"/>
      <c r="F124" s="3"/>
      <c r="G124" s="3"/>
      <c r="H124" s="18"/>
      <c r="I124" s="3"/>
      <c r="J124" s="3"/>
      <c r="K124" s="3"/>
      <c r="L124" s="3"/>
      <c r="M124" s="3"/>
      <c r="N124" s="3"/>
    </row>
    <row r="125" spans="1:14" x14ac:dyDescent="0.25">
      <c r="B125" s="3">
        <v>84277</v>
      </c>
      <c r="C125" s="3">
        <v>81318</v>
      </c>
      <c r="D125" s="3">
        <v>68502</v>
      </c>
      <c r="E125" s="3"/>
      <c r="F125" s="3"/>
      <c r="G125" s="3"/>
      <c r="H125" s="18"/>
    </row>
    <row r="126" spans="1:14" x14ac:dyDescent="0.25">
      <c r="B126" s="3">
        <v>28748</v>
      </c>
      <c r="C126" s="3">
        <v>39191</v>
      </c>
      <c r="D126" s="3">
        <v>50795</v>
      </c>
      <c r="E126" s="3"/>
      <c r="F126" s="3"/>
      <c r="G126" s="3"/>
      <c r="H126" s="18"/>
    </row>
    <row r="127" spans="1:14" x14ac:dyDescent="0.25">
      <c r="A127" t="s">
        <v>68</v>
      </c>
      <c r="B127" s="3">
        <v>20231</v>
      </c>
      <c r="C127" s="3">
        <v>21321</v>
      </c>
      <c r="D127" s="3">
        <v>13984</v>
      </c>
      <c r="E127" s="3">
        <v>7417</v>
      </c>
      <c r="F127" s="3">
        <v>7963</v>
      </c>
      <c r="G127" s="3"/>
      <c r="H127" s="18"/>
    </row>
    <row r="128" spans="1:14" x14ac:dyDescent="0.25">
      <c r="B128" s="3">
        <v>121291</v>
      </c>
      <c r="C128" s="3">
        <v>119071</v>
      </c>
      <c r="D128" s="3">
        <v>114874</v>
      </c>
      <c r="E128" s="3">
        <v>97515</v>
      </c>
      <c r="F128" s="3">
        <v>75411</v>
      </c>
      <c r="G128" s="3"/>
      <c r="H128" s="18"/>
      <c r="I128" s="3"/>
      <c r="J128" s="3"/>
      <c r="K128" s="3"/>
      <c r="L128" s="3"/>
      <c r="M128" s="3"/>
      <c r="N128" s="3"/>
    </row>
    <row r="129" spans="1:14" x14ac:dyDescent="0.25">
      <c r="B129" s="3">
        <v>76162</v>
      </c>
      <c r="C129" s="3">
        <v>73443</v>
      </c>
      <c r="D129" s="3">
        <v>74196</v>
      </c>
      <c r="E129" s="3">
        <v>74155</v>
      </c>
      <c r="F129" s="3"/>
      <c r="G129" s="3"/>
      <c r="H129" s="18"/>
    </row>
    <row r="130" spans="1:14" x14ac:dyDescent="0.25">
      <c r="B130" s="3">
        <v>45129</v>
      </c>
      <c r="C130" s="3">
        <v>45628</v>
      </c>
      <c r="D130" s="3">
        <v>40678</v>
      </c>
      <c r="E130" s="3">
        <v>23360</v>
      </c>
      <c r="F130" s="3"/>
      <c r="G130" s="3"/>
      <c r="H130" s="18"/>
    </row>
    <row r="131" spans="1:14" x14ac:dyDescent="0.25">
      <c r="A131" t="s">
        <v>69</v>
      </c>
      <c r="B131" s="3">
        <v>14913</v>
      </c>
      <c r="C131" s="3">
        <v>16441</v>
      </c>
      <c r="D131" s="3">
        <v>11166</v>
      </c>
      <c r="E131" s="3"/>
      <c r="F131" s="3"/>
      <c r="G131" s="3"/>
      <c r="H131" s="18"/>
    </row>
    <row r="132" spans="1:14" x14ac:dyDescent="0.25">
      <c r="B132" s="3">
        <v>96963</v>
      </c>
      <c r="C132" s="3">
        <v>96895</v>
      </c>
      <c r="D132" s="3">
        <v>93557</v>
      </c>
      <c r="E132" s="3">
        <v>81039</v>
      </c>
      <c r="F132" s="3"/>
      <c r="G132" s="3"/>
      <c r="H132" s="18"/>
      <c r="I132" s="3"/>
      <c r="J132" s="3"/>
      <c r="K132" s="3"/>
      <c r="L132" s="3"/>
      <c r="M132" s="3"/>
      <c r="N132" s="3"/>
    </row>
    <row r="133" spans="1:14" x14ac:dyDescent="0.25">
      <c r="B133" s="3">
        <v>60431</v>
      </c>
      <c r="C133" s="3">
        <v>64251</v>
      </c>
      <c r="D133" s="3">
        <v>57353</v>
      </c>
      <c r="E133" s="3">
        <v>61725</v>
      </c>
      <c r="F133" s="3"/>
      <c r="G133" s="3"/>
      <c r="H133" s="18"/>
    </row>
    <row r="134" spans="1:14" x14ac:dyDescent="0.25">
      <c r="B134" s="3">
        <v>36532</v>
      </c>
      <c r="C134" s="3">
        <v>32644</v>
      </c>
      <c r="D134" s="3">
        <v>36204</v>
      </c>
      <c r="E134" s="3">
        <v>19314</v>
      </c>
      <c r="F134" s="3"/>
      <c r="G134" s="3"/>
      <c r="H134" s="18"/>
    </row>
    <row r="135" spans="1:14" x14ac:dyDescent="0.25">
      <c r="A135" t="s">
        <v>70</v>
      </c>
      <c r="B135" s="3">
        <v>29037</v>
      </c>
      <c r="C135" s="3">
        <v>30440</v>
      </c>
      <c r="D135" s="3">
        <v>28408</v>
      </c>
      <c r="E135" s="3">
        <v>18543</v>
      </c>
      <c r="F135" s="3"/>
      <c r="G135" s="3"/>
      <c r="H135" s="18"/>
    </row>
    <row r="136" spans="1:14" x14ac:dyDescent="0.25">
      <c r="B136" s="3">
        <v>205475</v>
      </c>
      <c r="C136" s="3">
        <v>199434</v>
      </c>
      <c r="D136" s="3">
        <v>202078</v>
      </c>
      <c r="E136" s="3">
        <v>188876</v>
      </c>
      <c r="F136" s="3"/>
      <c r="G136" s="3"/>
      <c r="H136" s="18"/>
      <c r="I136" s="3"/>
      <c r="J136" s="3"/>
      <c r="K136" s="3"/>
      <c r="L136" s="3"/>
      <c r="M136" s="3"/>
      <c r="N136" s="3"/>
    </row>
    <row r="137" spans="1:14" x14ac:dyDescent="0.25">
      <c r="B137" s="3">
        <v>165471</v>
      </c>
      <c r="C137" s="3">
        <v>153457</v>
      </c>
      <c r="D137" s="3">
        <v>149547</v>
      </c>
      <c r="E137" s="3">
        <v>163115</v>
      </c>
      <c r="F137" s="3"/>
      <c r="G137" s="3"/>
      <c r="H137" s="18"/>
    </row>
    <row r="138" spans="1:14" x14ac:dyDescent="0.25">
      <c r="B138" s="3">
        <v>40004</v>
      </c>
      <c r="C138" s="3">
        <v>45977</v>
      </c>
      <c r="D138" s="3">
        <v>52531</v>
      </c>
      <c r="E138" s="3">
        <v>25761</v>
      </c>
      <c r="F138" s="3"/>
      <c r="G138" s="3"/>
      <c r="H138" s="18"/>
    </row>
    <row r="139" spans="1:14" x14ac:dyDescent="0.25">
      <c r="A139" t="s">
        <v>73</v>
      </c>
      <c r="B139" s="3">
        <v>7061</v>
      </c>
      <c r="C139" s="3">
        <v>7937</v>
      </c>
      <c r="D139" s="3">
        <v>6061</v>
      </c>
      <c r="E139" s="3"/>
      <c r="F139" s="3"/>
      <c r="G139" s="3"/>
    </row>
    <row r="140" spans="1:14" x14ac:dyDescent="0.25">
      <c r="B140" s="3">
        <v>36906</v>
      </c>
      <c r="C140" s="3">
        <v>37354</v>
      </c>
      <c r="D140" s="3">
        <v>35638</v>
      </c>
      <c r="E140" s="3"/>
      <c r="F140" s="3"/>
      <c r="G140" s="3"/>
      <c r="I140" s="3"/>
      <c r="J140" s="3"/>
      <c r="K140" s="3"/>
      <c r="L140" s="3"/>
      <c r="M140" s="3"/>
      <c r="N140" s="3"/>
    </row>
    <row r="141" spans="1:14" x14ac:dyDescent="0.25">
      <c r="B141" s="3">
        <v>27927</v>
      </c>
      <c r="C141" s="3">
        <v>26517</v>
      </c>
      <c r="D141" s="3">
        <v>25149</v>
      </c>
      <c r="E141" s="3"/>
      <c r="F141" s="3"/>
      <c r="G141" s="3"/>
    </row>
    <row r="142" spans="1:14" x14ac:dyDescent="0.25">
      <c r="B142" s="3">
        <v>8979</v>
      </c>
      <c r="C142" s="3">
        <v>10837</v>
      </c>
      <c r="D142" s="3">
        <v>10489</v>
      </c>
      <c r="E142" s="3"/>
      <c r="F142" s="3"/>
      <c r="G142" s="3"/>
    </row>
    <row r="143" spans="1:14" x14ac:dyDescent="0.25">
      <c r="A143" t="s">
        <v>74</v>
      </c>
      <c r="B143" s="3">
        <v>13192</v>
      </c>
      <c r="C143" s="3">
        <v>13403</v>
      </c>
      <c r="D143" s="3">
        <v>13202</v>
      </c>
      <c r="E143" s="3">
        <v>11569</v>
      </c>
      <c r="F143" s="3">
        <v>11299</v>
      </c>
      <c r="G143" s="3">
        <v>20559</v>
      </c>
    </row>
    <row r="144" spans="1:14" x14ac:dyDescent="0.25">
      <c r="B144" s="3">
        <v>56099</v>
      </c>
      <c r="C144" s="3">
        <v>56155</v>
      </c>
      <c r="D144" s="3">
        <v>55460</v>
      </c>
      <c r="E144" s="3">
        <v>51956</v>
      </c>
      <c r="F144" s="3">
        <v>46188</v>
      </c>
      <c r="G144" s="3">
        <v>43109</v>
      </c>
      <c r="I144" s="3"/>
      <c r="J144" s="3"/>
      <c r="K144" s="3"/>
      <c r="L144" s="3"/>
      <c r="M144" s="3"/>
      <c r="N144" s="3"/>
    </row>
    <row r="145" spans="1:14" x14ac:dyDescent="0.25">
      <c r="B145" s="3">
        <v>45957</v>
      </c>
      <c r="C145" s="3">
        <v>45446</v>
      </c>
      <c r="D145" s="3">
        <v>47597</v>
      </c>
      <c r="E145" s="3">
        <v>52866</v>
      </c>
      <c r="F145" s="3">
        <v>55980</v>
      </c>
      <c r="G145" s="3">
        <v>61000</v>
      </c>
    </row>
    <row r="146" spans="1:14" x14ac:dyDescent="0.25">
      <c r="B146" s="3">
        <v>10142</v>
      </c>
      <c r="C146" s="3">
        <v>10709</v>
      </c>
      <c r="D146" s="3">
        <v>7863</v>
      </c>
      <c r="E146" s="3">
        <v>-910</v>
      </c>
      <c r="F146" s="3">
        <v>-9792</v>
      </c>
      <c r="G146" s="3">
        <v>-17891</v>
      </c>
    </row>
    <row r="147" spans="1:14" x14ac:dyDescent="0.25">
      <c r="A147" t="s">
        <v>75</v>
      </c>
      <c r="B147" s="3">
        <v>30161</v>
      </c>
      <c r="C147" s="3">
        <v>30066</v>
      </c>
      <c r="D147" s="3">
        <v>30053</v>
      </c>
      <c r="E147" s="3"/>
      <c r="F147" s="3"/>
      <c r="G147" s="3"/>
    </row>
    <row r="148" spans="1:14" x14ac:dyDescent="0.25">
      <c r="B148" s="3">
        <v>145401</v>
      </c>
      <c r="C148" s="3">
        <v>136054</v>
      </c>
      <c r="D148" s="3">
        <v>142692</v>
      </c>
      <c r="E148" s="3"/>
      <c r="F148" s="3"/>
      <c r="G148" s="3"/>
      <c r="I148" s="3"/>
      <c r="J148" s="3"/>
      <c r="K148" s="3"/>
      <c r="L148" s="3"/>
      <c r="M148" s="3"/>
      <c r="N148" s="3"/>
    </row>
    <row r="149" spans="1:14" x14ac:dyDescent="0.25">
      <c r="B149" s="3">
        <v>73254</v>
      </c>
      <c r="C149" s="3">
        <v>87272</v>
      </c>
      <c r="D149" s="3">
        <v>82123</v>
      </c>
      <c r="E149" s="3"/>
      <c r="F149" s="3"/>
      <c r="G149" s="3"/>
    </row>
    <row r="150" spans="1:14" x14ac:dyDescent="0.25">
      <c r="B150" s="3">
        <v>72147</v>
      </c>
      <c r="C150" s="3">
        <v>48782</v>
      </c>
      <c r="D150" s="3">
        <v>60569</v>
      </c>
      <c r="E150" s="3"/>
      <c r="F150" s="3"/>
      <c r="G150" s="3"/>
    </row>
    <row r="151" spans="1:14" x14ac:dyDescent="0.25">
      <c r="A151" t="s">
        <v>76</v>
      </c>
      <c r="B151" s="3">
        <v>24859</v>
      </c>
      <c r="C151" s="3">
        <v>28450</v>
      </c>
      <c r="D151" s="3">
        <v>22228</v>
      </c>
      <c r="F151" s="3"/>
      <c r="G151" s="3"/>
    </row>
    <row r="152" spans="1:14" x14ac:dyDescent="0.25">
      <c r="B152" s="3">
        <v>136951</v>
      </c>
      <c r="C152" s="3">
        <v>131704</v>
      </c>
      <c r="D152" s="3">
        <v>135195</v>
      </c>
      <c r="E152" s="3">
        <v>110912</v>
      </c>
      <c r="F152" s="3"/>
      <c r="G152" s="3"/>
      <c r="I152" s="3"/>
      <c r="J152" s="3"/>
      <c r="K152" s="3"/>
      <c r="L152" s="3"/>
      <c r="M152" s="3"/>
      <c r="N152" s="3"/>
    </row>
    <row r="153" spans="1:14" x14ac:dyDescent="0.25">
      <c r="B153" s="3">
        <v>64801</v>
      </c>
      <c r="C153" s="3">
        <v>72148</v>
      </c>
      <c r="D153" s="3">
        <v>70064</v>
      </c>
      <c r="E153" s="3">
        <v>74190</v>
      </c>
      <c r="F153" s="3"/>
      <c r="G153" s="3"/>
    </row>
    <row r="154" spans="1:14" x14ac:dyDescent="0.25">
      <c r="B154" s="3">
        <v>72150</v>
      </c>
      <c r="C154" s="3">
        <v>59556</v>
      </c>
      <c r="D154" s="3">
        <v>65131</v>
      </c>
      <c r="E154" s="3">
        <v>36722</v>
      </c>
      <c r="F154" s="3"/>
      <c r="G154" s="3"/>
    </row>
    <row r="155" spans="1:14" x14ac:dyDescent="0.25">
      <c r="A155" t="s">
        <v>77</v>
      </c>
      <c r="B155" s="3">
        <v>9797</v>
      </c>
      <c r="C155" s="3">
        <v>10549</v>
      </c>
      <c r="D155" s="3">
        <v>10275</v>
      </c>
      <c r="E155" s="3"/>
      <c r="F155" s="3"/>
      <c r="G155" s="3"/>
    </row>
    <row r="156" spans="1:14" x14ac:dyDescent="0.25">
      <c r="B156" s="3">
        <v>56272</v>
      </c>
      <c r="C156" s="3">
        <v>56921</v>
      </c>
      <c r="D156" s="3">
        <v>57976</v>
      </c>
      <c r="E156" s="3">
        <v>48441</v>
      </c>
      <c r="F156" s="3">
        <v>40697</v>
      </c>
      <c r="G156" s="3"/>
      <c r="I156" s="3"/>
      <c r="J156" s="3"/>
      <c r="K156" s="3"/>
      <c r="L156" s="3"/>
      <c r="M156" s="3"/>
      <c r="N156" s="3"/>
    </row>
    <row r="157" spans="1:14" x14ac:dyDescent="0.25">
      <c r="B157" s="3">
        <v>34585</v>
      </c>
      <c r="C157" s="3">
        <v>35044</v>
      </c>
      <c r="D157" s="3">
        <v>35971</v>
      </c>
      <c r="E157" s="3">
        <v>34657</v>
      </c>
      <c r="F157" s="3">
        <v>32893</v>
      </c>
      <c r="G157" s="3"/>
    </row>
    <row r="158" spans="1:14" x14ac:dyDescent="0.25">
      <c r="B158" s="3">
        <v>21687</v>
      </c>
      <c r="C158" s="3">
        <v>21877</v>
      </c>
      <c r="D158" s="3">
        <v>22005</v>
      </c>
      <c r="E158" s="3">
        <v>13784</v>
      </c>
      <c r="F158" s="3">
        <v>7804</v>
      </c>
      <c r="G158" s="3"/>
    </row>
    <row r="159" spans="1:14" x14ac:dyDescent="0.25">
      <c r="A159" t="s">
        <v>78</v>
      </c>
      <c r="B159" s="3">
        <v>17120</v>
      </c>
      <c r="C159" s="3">
        <v>17786</v>
      </c>
      <c r="D159" s="3">
        <v>16981</v>
      </c>
      <c r="E159" s="3"/>
      <c r="F159" s="3"/>
      <c r="G159" s="3"/>
    </row>
    <row r="160" spans="1:14" x14ac:dyDescent="0.25">
      <c r="B160" s="3">
        <v>106229</v>
      </c>
      <c r="C160" s="3">
        <v>109780</v>
      </c>
      <c r="D160" s="3">
        <v>110140</v>
      </c>
      <c r="E160" s="3">
        <v>92004</v>
      </c>
      <c r="F160" s="3">
        <v>69039</v>
      </c>
      <c r="G160" s="3"/>
      <c r="I160" s="3"/>
      <c r="J160" s="3"/>
      <c r="K160" s="3"/>
      <c r="L160" s="3"/>
      <c r="M160" s="3"/>
      <c r="N160" s="3"/>
    </row>
    <row r="161" spans="1:14" x14ac:dyDescent="0.25">
      <c r="B161" s="3">
        <v>59079</v>
      </c>
      <c r="C161" s="3">
        <v>61011</v>
      </c>
      <c r="D161" s="3">
        <v>61877</v>
      </c>
      <c r="E161" s="3">
        <v>61328</v>
      </c>
      <c r="F161" s="3">
        <v>53449</v>
      </c>
      <c r="G161" s="3"/>
    </row>
    <row r="162" spans="1:14" x14ac:dyDescent="0.25">
      <c r="B162" s="3">
        <v>47150</v>
      </c>
      <c r="C162" s="3">
        <v>48769</v>
      </c>
      <c r="D162" s="3">
        <v>48263</v>
      </c>
      <c r="E162" s="3">
        <v>30676</v>
      </c>
      <c r="F162" s="3">
        <v>15590</v>
      </c>
      <c r="G162" s="3"/>
    </row>
    <row r="163" spans="1:14" x14ac:dyDescent="0.25">
      <c r="A163" t="s">
        <v>79</v>
      </c>
      <c r="B163" s="3">
        <v>34075</v>
      </c>
      <c r="C163" s="3">
        <v>34932</v>
      </c>
      <c r="D163" s="3">
        <v>30819</v>
      </c>
      <c r="E163" s="3">
        <v>16016</v>
      </c>
      <c r="F163" s="3">
        <v>15836</v>
      </c>
      <c r="G163" s="3"/>
    </row>
    <row r="164" spans="1:14" x14ac:dyDescent="0.25">
      <c r="B164" s="3">
        <v>197355</v>
      </c>
      <c r="C164" s="3">
        <v>203545</v>
      </c>
      <c r="D164" s="3">
        <v>213734</v>
      </c>
      <c r="E164" s="3">
        <v>183292</v>
      </c>
      <c r="F164" s="3">
        <v>115876</v>
      </c>
      <c r="G164" s="3"/>
      <c r="I164" s="3"/>
      <c r="J164" s="3"/>
      <c r="K164" s="3"/>
      <c r="L164" s="3"/>
      <c r="M164" s="3"/>
      <c r="N164" s="3"/>
    </row>
    <row r="165" spans="1:14" x14ac:dyDescent="0.25">
      <c r="B165" s="3">
        <v>131248</v>
      </c>
      <c r="C165" s="3">
        <v>117661</v>
      </c>
      <c r="D165" s="3">
        <v>124676</v>
      </c>
      <c r="E165" s="3">
        <v>159291</v>
      </c>
      <c r="F165" s="3"/>
      <c r="G165" s="3"/>
    </row>
    <row r="166" spans="1:14" x14ac:dyDescent="0.25">
      <c r="B166" s="3">
        <v>66107</v>
      </c>
      <c r="C166" s="3">
        <v>85884</v>
      </c>
      <c r="D166" s="3">
        <v>89058</v>
      </c>
      <c r="E166" s="3">
        <v>24001</v>
      </c>
      <c r="F166" s="3"/>
      <c r="G166" s="3"/>
    </row>
    <row r="167" spans="1:14" x14ac:dyDescent="0.25">
      <c r="A167" t="s">
        <v>80</v>
      </c>
      <c r="B167" s="3">
        <v>25186</v>
      </c>
      <c r="C167" s="3">
        <v>26025</v>
      </c>
      <c r="D167" s="3">
        <v>22061</v>
      </c>
      <c r="E167" s="3">
        <v>11399</v>
      </c>
      <c r="F167" s="3">
        <v>11868</v>
      </c>
      <c r="G167" s="3">
        <v>19124</v>
      </c>
    </row>
    <row r="168" spans="1:14" x14ac:dyDescent="0.25">
      <c r="B168" s="3">
        <v>150477</v>
      </c>
      <c r="C168" s="3">
        <v>151661</v>
      </c>
      <c r="D168" s="3">
        <v>156818</v>
      </c>
      <c r="E168" s="3">
        <v>139176</v>
      </c>
      <c r="F168" s="3">
        <v>90943</v>
      </c>
      <c r="G168" s="3">
        <v>62306</v>
      </c>
      <c r="I168" s="3"/>
      <c r="J168" s="3"/>
      <c r="K168" s="3"/>
      <c r="L168" s="3"/>
      <c r="M168" s="3"/>
      <c r="N168" s="3"/>
    </row>
    <row r="169" spans="1:14" x14ac:dyDescent="0.25">
      <c r="B169" s="3">
        <v>99268</v>
      </c>
      <c r="C169" s="3">
        <v>93825</v>
      </c>
      <c r="D169" s="3">
        <v>95470</v>
      </c>
      <c r="E169" s="3">
        <v>108505</v>
      </c>
      <c r="F169" s="3"/>
      <c r="G169" s="3"/>
    </row>
    <row r="170" spans="1:14" x14ac:dyDescent="0.25">
      <c r="B170" s="3">
        <v>51209</v>
      </c>
      <c r="C170" s="3">
        <v>57836</v>
      </c>
      <c r="D170" s="3">
        <v>61348</v>
      </c>
      <c r="E170" s="3">
        <v>30671</v>
      </c>
      <c r="F170" s="3"/>
      <c r="G170" s="3"/>
    </row>
    <row r="171" spans="1:14" x14ac:dyDescent="0.25">
      <c r="A171" t="s">
        <v>81</v>
      </c>
      <c r="B171" s="3">
        <v>15616</v>
      </c>
      <c r="C171" s="3">
        <v>18960</v>
      </c>
      <c r="D171" s="3">
        <v>14420</v>
      </c>
      <c r="E171" s="3"/>
      <c r="F171" s="3"/>
      <c r="G171" s="3"/>
    </row>
    <row r="172" spans="1:14" x14ac:dyDescent="0.25">
      <c r="B172" s="3">
        <v>94605</v>
      </c>
      <c r="C172" s="3">
        <v>100861</v>
      </c>
      <c r="D172" s="3">
        <v>98843</v>
      </c>
      <c r="E172" s="3">
        <v>84276</v>
      </c>
      <c r="F172" s="3"/>
      <c r="G172" s="3"/>
      <c r="I172" s="3"/>
      <c r="J172" s="3"/>
      <c r="K172" s="3"/>
      <c r="L172" s="3"/>
      <c r="M172" s="3"/>
      <c r="N172" s="3"/>
    </row>
    <row r="173" spans="1:14" x14ac:dyDescent="0.25">
      <c r="B173" s="3">
        <v>64693</v>
      </c>
      <c r="C173" s="3">
        <v>64187</v>
      </c>
      <c r="D173" s="3">
        <v>60247</v>
      </c>
      <c r="E173" s="3">
        <v>62248</v>
      </c>
      <c r="F173" s="3"/>
      <c r="G173" s="3"/>
    </row>
    <row r="174" spans="1:14" x14ac:dyDescent="0.25">
      <c r="B174" s="3">
        <v>29912</v>
      </c>
      <c r="C174" s="3">
        <v>36674</v>
      </c>
      <c r="D174" s="3">
        <v>38596</v>
      </c>
      <c r="E174" s="3">
        <v>22028</v>
      </c>
      <c r="F174" s="3"/>
      <c r="G174" s="3"/>
    </row>
    <row r="175" spans="1:14" x14ac:dyDescent="0.25">
      <c r="A175" t="s">
        <v>82</v>
      </c>
      <c r="B175" s="3">
        <v>17370</v>
      </c>
      <c r="C175" s="3">
        <v>19472</v>
      </c>
      <c r="D175" s="3">
        <v>18873</v>
      </c>
      <c r="E175" s="3"/>
      <c r="F175" s="3"/>
      <c r="G175" s="3"/>
    </row>
    <row r="176" spans="1:14" x14ac:dyDescent="0.25">
      <c r="B176" s="3">
        <v>91056</v>
      </c>
      <c r="C176" s="3">
        <v>96601</v>
      </c>
      <c r="D176" s="3">
        <v>95631</v>
      </c>
      <c r="E176" s="3"/>
      <c r="F176" s="3"/>
      <c r="G176" s="3"/>
      <c r="I176" s="3"/>
      <c r="J176" s="3"/>
      <c r="K176" s="3"/>
      <c r="L176" s="3"/>
      <c r="M176" s="3"/>
      <c r="N176" s="3"/>
    </row>
    <row r="177" spans="1:14" x14ac:dyDescent="0.25">
      <c r="B177" s="3">
        <v>55555</v>
      </c>
      <c r="C177" s="3">
        <v>59938</v>
      </c>
      <c r="D177" s="3">
        <v>61180</v>
      </c>
      <c r="E177" s="3"/>
      <c r="F177" s="3"/>
      <c r="G177" s="3"/>
    </row>
    <row r="178" spans="1:14" x14ac:dyDescent="0.25">
      <c r="B178" s="3">
        <v>35501</v>
      </c>
      <c r="C178" s="3">
        <v>36663</v>
      </c>
      <c r="D178" s="3">
        <v>34451</v>
      </c>
      <c r="E178" s="3"/>
      <c r="F178" s="3"/>
      <c r="G178" s="3"/>
    </row>
    <row r="179" spans="1:14" x14ac:dyDescent="0.25">
      <c r="A179" t="s">
        <v>83</v>
      </c>
      <c r="B179" s="3">
        <v>13604</v>
      </c>
      <c r="C179" s="3">
        <v>17194</v>
      </c>
      <c r="D179" s="3">
        <v>11015</v>
      </c>
      <c r="E179" s="3">
        <v>6393</v>
      </c>
      <c r="F179" s="3"/>
      <c r="G179" s="3"/>
    </row>
    <row r="180" spans="1:14" x14ac:dyDescent="0.25">
      <c r="B180" s="3">
        <v>85913</v>
      </c>
      <c r="C180" s="3">
        <v>87591</v>
      </c>
      <c r="D180" s="3">
        <v>85729</v>
      </c>
      <c r="E180" s="3">
        <v>69761</v>
      </c>
      <c r="F180" s="3"/>
      <c r="G180" s="3"/>
      <c r="I180" s="3"/>
      <c r="J180" s="3"/>
      <c r="K180" s="3"/>
      <c r="L180" s="3"/>
      <c r="M180" s="3"/>
      <c r="N180" s="3"/>
    </row>
    <row r="181" spans="1:14" x14ac:dyDescent="0.25">
      <c r="B181" s="3">
        <v>44080</v>
      </c>
      <c r="C181" s="20">
        <v>48382</v>
      </c>
      <c r="D181" s="3">
        <v>46327</v>
      </c>
      <c r="E181" s="3">
        <v>44084</v>
      </c>
      <c r="F181" s="3"/>
      <c r="G181" s="3"/>
    </row>
    <row r="182" spans="1:14" x14ac:dyDescent="0.25">
      <c r="B182" s="3">
        <v>41833</v>
      </c>
      <c r="C182" s="3">
        <v>39209</v>
      </c>
      <c r="D182" s="3">
        <v>39402</v>
      </c>
      <c r="E182" s="3">
        <v>25677</v>
      </c>
      <c r="F182" s="3"/>
      <c r="G182" s="3"/>
    </row>
    <row r="183" spans="1:14" x14ac:dyDescent="0.25">
      <c r="A183" t="s">
        <v>71</v>
      </c>
      <c r="B183" s="3">
        <v>37101</v>
      </c>
      <c r="C183" s="3">
        <v>37479</v>
      </c>
      <c r="D183" s="3">
        <v>20048</v>
      </c>
      <c r="E183" s="3">
        <v>9625</v>
      </c>
      <c r="F183" s="3"/>
      <c r="G183" s="3"/>
    </row>
    <row r="184" spans="1:14" x14ac:dyDescent="0.25">
      <c r="B184" s="3">
        <v>169439</v>
      </c>
      <c r="C184" s="3">
        <v>170846</v>
      </c>
      <c r="D184" s="3">
        <v>172847</v>
      </c>
      <c r="E184" s="3">
        <v>141295</v>
      </c>
      <c r="F184" s="3"/>
      <c r="G184" s="3"/>
      <c r="I184" s="3"/>
      <c r="J184" s="3"/>
      <c r="K184" s="3"/>
      <c r="L184" s="3"/>
      <c r="M184" s="3"/>
      <c r="N184" s="3"/>
    </row>
    <row r="185" spans="1:14" x14ac:dyDescent="0.25">
      <c r="B185" s="3">
        <v>104358</v>
      </c>
      <c r="C185" s="3">
        <v>105183</v>
      </c>
      <c r="D185" s="3">
        <v>106199</v>
      </c>
      <c r="E185" s="3">
        <v>101655</v>
      </c>
      <c r="F185" s="3"/>
      <c r="G185" s="3"/>
    </row>
    <row r="186" spans="1:14" x14ac:dyDescent="0.25">
      <c r="B186" s="3">
        <v>65081</v>
      </c>
      <c r="C186" s="3">
        <v>65663</v>
      </c>
      <c r="D186" s="3">
        <v>66648</v>
      </c>
      <c r="E186" s="3">
        <v>39640</v>
      </c>
      <c r="F186" s="3"/>
      <c r="G186" s="3"/>
    </row>
    <row r="187" spans="1:14" x14ac:dyDescent="0.25">
      <c r="A187" t="s">
        <v>72</v>
      </c>
      <c r="B187" s="3">
        <v>14364</v>
      </c>
      <c r="C187" s="3">
        <v>19058</v>
      </c>
      <c r="D187" s="3">
        <v>15464</v>
      </c>
      <c r="E187" s="3">
        <v>5595</v>
      </c>
      <c r="F187" s="3">
        <v>3869</v>
      </c>
      <c r="G187" s="3">
        <v>6341</v>
      </c>
    </row>
    <row r="188" spans="1:14" x14ac:dyDescent="0.25">
      <c r="B188" s="3">
        <v>84196</v>
      </c>
      <c r="C188" s="3">
        <v>93589</v>
      </c>
      <c r="D188" s="3">
        <v>98337</v>
      </c>
      <c r="E188" s="3">
        <v>77407</v>
      </c>
      <c r="F188" s="3">
        <v>70384</v>
      </c>
      <c r="G188" s="3">
        <v>53998</v>
      </c>
      <c r="I188" s="3"/>
      <c r="J188" s="3"/>
      <c r="K188" s="3"/>
      <c r="L188" s="3"/>
      <c r="M188" s="3"/>
      <c r="N188" s="3"/>
    </row>
    <row r="189" spans="1:14" x14ac:dyDescent="0.25">
      <c r="B189" s="3">
        <v>55147</v>
      </c>
      <c r="C189" s="3">
        <v>66673</v>
      </c>
      <c r="D189" s="3">
        <v>61633</v>
      </c>
      <c r="E189" s="3">
        <v>59190</v>
      </c>
      <c r="F189" s="3">
        <v>64968</v>
      </c>
      <c r="G189" s="3">
        <v>54399</v>
      </c>
    </row>
    <row r="190" spans="1:14" x14ac:dyDescent="0.25">
      <c r="B190" s="3">
        <v>29049</v>
      </c>
      <c r="C190" s="3">
        <v>26916</v>
      </c>
      <c r="D190" s="3">
        <v>36704</v>
      </c>
      <c r="E190" s="3">
        <v>18217</v>
      </c>
      <c r="F190" s="3">
        <v>5416</v>
      </c>
      <c r="G190" s="3">
        <v>-401</v>
      </c>
    </row>
    <row r="191" spans="1:14" x14ac:dyDescent="0.25">
      <c r="A191" t="s">
        <v>84</v>
      </c>
      <c r="B191" s="3">
        <v>11286</v>
      </c>
      <c r="C191" s="3">
        <v>12796</v>
      </c>
      <c r="D191" s="3">
        <v>9281</v>
      </c>
      <c r="E191" s="3">
        <v>4245</v>
      </c>
      <c r="F191" s="3"/>
      <c r="G191" s="3"/>
    </row>
    <row r="192" spans="1:14" x14ac:dyDescent="0.25">
      <c r="B192" s="3">
        <v>84147</v>
      </c>
      <c r="C192" s="3">
        <v>82474</v>
      </c>
      <c r="D192" s="3">
        <v>83949</v>
      </c>
      <c r="E192" s="3">
        <v>70571</v>
      </c>
      <c r="F192" s="3">
        <v>71381</v>
      </c>
      <c r="G192" s="3">
        <v>72192</v>
      </c>
      <c r="I192" s="3"/>
      <c r="J192" s="3"/>
      <c r="K192" s="3"/>
      <c r="L192" s="3"/>
      <c r="M192" s="3"/>
      <c r="N192" s="3"/>
    </row>
    <row r="193" spans="1:14" x14ac:dyDescent="0.25">
      <c r="B193" s="3">
        <v>55908</v>
      </c>
      <c r="C193" s="3">
        <v>61754</v>
      </c>
      <c r="D193" s="3">
        <v>57711</v>
      </c>
      <c r="E193" s="3">
        <v>48114</v>
      </c>
      <c r="F193" s="3">
        <v>52095</v>
      </c>
      <c r="G193" s="3">
        <v>56077</v>
      </c>
    </row>
    <row r="194" spans="1:14" x14ac:dyDescent="0.25">
      <c r="B194" s="3">
        <v>28239</v>
      </c>
      <c r="C194" s="3">
        <v>20720</v>
      </c>
      <c r="D194" s="3">
        <v>26238</v>
      </c>
      <c r="E194" s="3">
        <v>22457</v>
      </c>
      <c r="F194" s="3">
        <v>19286</v>
      </c>
      <c r="G194" s="3">
        <v>16115</v>
      </c>
    </row>
    <row r="195" spans="1:14" x14ac:dyDescent="0.25">
      <c r="A195" t="s">
        <v>85</v>
      </c>
      <c r="B195" s="3">
        <v>30105</v>
      </c>
      <c r="C195" s="3">
        <v>31323</v>
      </c>
      <c r="D195" s="3">
        <v>27262</v>
      </c>
      <c r="F195" s="3"/>
      <c r="G195" s="3"/>
    </row>
    <row r="196" spans="1:14" x14ac:dyDescent="0.25">
      <c r="B196" s="3">
        <v>137674</v>
      </c>
      <c r="C196" s="3">
        <v>147275</v>
      </c>
      <c r="D196" s="3">
        <v>147697</v>
      </c>
      <c r="E196" s="3">
        <v>121461</v>
      </c>
      <c r="F196" s="3"/>
      <c r="G196" s="3"/>
      <c r="I196" s="3"/>
      <c r="J196" s="3"/>
      <c r="K196" s="3"/>
      <c r="L196" s="3"/>
      <c r="M196" s="3"/>
      <c r="N196" s="3"/>
    </row>
    <row r="197" spans="1:14" x14ac:dyDescent="0.25">
      <c r="B197" s="3">
        <v>91418</v>
      </c>
      <c r="C197" s="3">
        <v>92785</v>
      </c>
      <c r="D197" s="3">
        <v>84641</v>
      </c>
      <c r="E197" s="3">
        <v>90546</v>
      </c>
      <c r="F197" s="3"/>
      <c r="G197" s="3"/>
    </row>
    <row r="198" spans="1:14" x14ac:dyDescent="0.25">
      <c r="B198" s="3">
        <v>46256</v>
      </c>
      <c r="C198" s="3">
        <v>54490</v>
      </c>
      <c r="D198" s="3">
        <v>63056</v>
      </c>
      <c r="E198" s="3">
        <v>30915</v>
      </c>
      <c r="F198" s="3"/>
      <c r="G198" s="3"/>
    </row>
    <row r="199" spans="1:14" x14ac:dyDescent="0.25">
      <c r="A199" t="s">
        <v>86</v>
      </c>
      <c r="B199" s="3">
        <v>28095</v>
      </c>
      <c r="C199" s="3">
        <v>31725</v>
      </c>
      <c r="D199" s="3">
        <v>25481</v>
      </c>
      <c r="E199" s="3">
        <v>12298</v>
      </c>
      <c r="F199" s="3"/>
      <c r="G199" s="3"/>
    </row>
    <row r="200" spans="1:14" x14ac:dyDescent="0.25">
      <c r="B200" s="3">
        <v>151064</v>
      </c>
      <c r="C200" s="3">
        <v>151958</v>
      </c>
      <c r="D200" s="3">
        <v>150710</v>
      </c>
      <c r="E200" s="3">
        <v>153117</v>
      </c>
      <c r="F200" s="3"/>
      <c r="G200" s="3"/>
      <c r="I200" s="3"/>
      <c r="J200" s="3"/>
      <c r="K200" s="3"/>
      <c r="L200" s="3"/>
      <c r="M200" s="3"/>
      <c r="N200" s="3"/>
    </row>
    <row r="201" spans="1:14" x14ac:dyDescent="0.25">
      <c r="B201" s="3">
        <v>73349</v>
      </c>
      <c r="C201" s="3">
        <v>85419</v>
      </c>
      <c r="D201" s="3">
        <v>80364</v>
      </c>
      <c r="E201" s="3">
        <v>82072</v>
      </c>
      <c r="F201" s="3"/>
      <c r="G201" s="3"/>
    </row>
    <row r="202" spans="1:14" x14ac:dyDescent="0.25">
      <c r="B202" s="3">
        <v>77715</v>
      </c>
      <c r="C202" s="3">
        <v>66539</v>
      </c>
      <c r="D202" s="3">
        <v>70346</v>
      </c>
      <c r="E202" s="3">
        <v>71045</v>
      </c>
      <c r="F202" s="3"/>
      <c r="G202" s="3"/>
    </row>
    <row r="203" spans="1:14" x14ac:dyDescent="0.25">
      <c r="A203" t="s">
        <v>87</v>
      </c>
      <c r="B203" s="3">
        <v>24337</v>
      </c>
      <c r="C203" s="3">
        <v>24965</v>
      </c>
      <c r="D203" s="3">
        <v>15970</v>
      </c>
      <c r="E203" s="3">
        <v>7752</v>
      </c>
      <c r="F203" s="3"/>
      <c r="G203" s="3"/>
    </row>
    <row r="204" spans="1:14" x14ac:dyDescent="0.25">
      <c r="B204" s="3">
        <v>130344</v>
      </c>
      <c r="C204" s="3">
        <v>126623</v>
      </c>
      <c r="D204" s="3">
        <v>128170</v>
      </c>
      <c r="E204" s="3">
        <v>106517</v>
      </c>
      <c r="F204" s="3">
        <v>82004</v>
      </c>
      <c r="G204" s="3"/>
      <c r="I204" s="3"/>
      <c r="J204" s="3"/>
      <c r="K204" s="3"/>
      <c r="L204" s="3"/>
      <c r="M204" s="3"/>
      <c r="N204" s="3"/>
    </row>
    <row r="205" spans="1:14" x14ac:dyDescent="0.25">
      <c r="B205" s="3">
        <v>60257</v>
      </c>
      <c r="C205" s="3">
        <v>72117</v>
      </c>
      <c r="D205" s="3">
        <v>68866</v>
      </c>
      <c r="E205" s="3">
        <v>82072</v>
      </c>
      <c r="F205" s="3"/>
      <c r="G205" s="3"/>
    </row>
    <row r="206" spans="1:14" x14ac:dyDescent="0.25">
      <c r="B206" s="3">
        <v>70087</v>
      </c>
      <c r="C206" s="3">
        <v>54506</v>
      </c>
      <c r="D206" s="3">
        <v>59304</v>
      </c>
      <c r="E206" s="3">
        <v>24445</v>
      </c>
      <c r="F206" s="3"/>
      <c r="G206" s="3"/>
    </row>
    <row r="207" spans="1:14" x14ac:dyDescent="0.25">
      <c r="A207" t="s">
        <v>88</v>
      </c>
      <c r="B207" s="3">
        <v>23338</v>
      </c>
      <c r="C207" s="3">
        <v>24583</v>
      </c>
      <c r="D207" s="3">
        <v>19040</v>
      </c>
      <c r="F207" s="3"/>
      <c r="G207" s="3"/>
    </row>
    <row r="208" spans="1:14" x14ac:dyDescent="0.25">
      <c r="B208" s="3">
        <v>116411</v>
      </c>
      <c r="C208" s="3">
        <v>110948</v>
      </c>
      <c r="D208" s="3">
        <v>114546</v>
      </c>
      <c r="E208" s="3">
        <v>97141</v>
      </c>
      <c r="F208" s="3"/>
      <c r="G208" s="3"/>
      <c r="I208" s="3"/>
      <c r="J208" s="3"/>
      <c r="K208" s="3"/>
      <c r="L208" s="3"/>
      <c r="M208" s="3"/>
      <c r="N208" s="3"/>
    </row>
    <row r="209" spans="1:14" x14ac:dyDescent="0.25">
      <c r="B209" s="3">
        <v>59972</v>
      </c>
      <c r="C209" s="3">
        <v>61706</v>
      </c>
      <c r="D209" s="3">
        <v>65334</v>
      </c>
      <c r="E209" s="3">
        <v>69130</v>
      </c>
      <c r="F209" s="3"/>
      <c r="G209" s="3"/>
    </row>
    <row r="210" spans="1:14" x14ac:dyDescent="0.25">
      <c r="B210" s="3">
        <v>56439</v>
      </c>
      <c r="C210" s="3">
        <v>49242</v>
      </c>
      <c r="D210" s="3">
        <v>49212</v>
      </c>
      <c r="E210" s="3">
        <v>28011</v>
      </c>
      <c r="F210" s="3"/>
      <c r="G210" s="3"/>
    </row>
    <row r="211" spans="1:14" x14ac:dyDescent="0.25">
      <c r="A211" t="s">
        <v>89</v>
      </c>
      <c r="B211" s="3">
        <v>3407</v>
      </c>
      <c r="C211" s="3">
        <v>3546</v>
      </c>
      <c r="D211" s="3">
        <v>3151</v>
      </c>
      <c r="E211" s="3">
        <v>2483</v>
      </c>
      <c r="F211" s="3"/>
      <c r="G211" s="3"/>
    </row>
    <row r="212" spans="1:14" x14ac:dyDescent="0.25">
      <c r="B212" s="3">
        <v>11900</v>
      </c>
      <c r="C212" s="3">
        <v>11653</v>
      </c>
      <c r="D212" s="3">
        <v>11854</v>
      </c>
      <c r="E212" s="3">
        <v>10239</v>
      </c>
      <c r="F212" s="3"/>
      <c r="G212" s="3"/>
      <c r="I212" s="3"/>
      <c r="J212" s="3"/>
      <c r="K212" s="3"/>
      <c r="L212" s="3"/>
      <c r="M212" s="3"/>
      <c r="N212" s="3"/>
    </row>
    <row r="213" spans="1:14" x14ac:dyDescent="0.25">
      <c r="B213" s="3">
        <v>8431</v>
      </c>
      <c r="C213" s="3">
        <v>9089</v>
      </c>
      <c r="D213" s="3">
        <v>9212</v>
      </c>
      <c r="E213" s="3">
        <v>8780</v>
      </c>
      <c r="F213" s="3"/>
      <c r="G213" s="3"/>
    </row>
    <row r="214" spans="1:14" x14ac:dyDescent="0.25">
      <c r="B214" s="3">
        <v>3469</v>
      </c>
      <c r="C214" s="3">
        <v>2564</v>
      </c>
      <c r="D214" s="3">
        <v>2642</v>
      </c>
      <c r="E214" s="3">
        <v>1459</v>
      </c>
      <c r="F214" s="3"/>
      <c r="G214" s="3"/>
    </row>
    <row r="215" spans="1:14" x14ac:dyDescent="0.25">
      <c r="A215" t="s">
        <v>90</v>
      </c>
      <c r="B215" s="3">
        <v>9036</v>
      </c>
      <c r="C215" s="3">
        <v>10799</v>
      </c>
      <c r="D215" s="3">
        <v>9063</v>
      </c>
      <c r="E215" s="3">
        <v>3967</v>
      </c>
      <c r="F215" s="3">
        <v>3205</v>
      </c>
      <c r="G215" s="3">
        <v>4579</v>
      </c>
    </row>
    <row r="216" spans="1:14" x14ac:dyDescent="0.25">
      <c r="B216" s="3">
        <v>49543</v>
      </c>
      <c r="C216" s="3">
        <v>51145</v>
      </c>
      <c r="D216" s="3">
        <v>53325</v>
      </c>
      <c r="E216" s="3">
        <v>45608</v>
      </c>
      <c r="F216" s="3">
        <v>36626</v>
      </c>
      <c r="G216" s="3">
        <v>30097</v>
      </c>
      <c r="I216" s="3"/>
      <c r="J216" s="3"/>
      <c r="K216" s="3"/>
      <c r="L216" s="3"/>
      <c r="M216" s="3"/>
      <c r="N216" s="3"/>
    </row>
    <row r="217" spans="1:14" x14ac:dyDescent="0.25">
      <c r="B217" s="3">
        <v>34775</v>
      </c>
      <c r="C217" s="3">
        <v>38094</v>
      </c>
      <c r="D217" s="3">
        <v>34493</v>
      </c>
      <c r="E217" s="3">
        <v>31018</v>
      </c>
      <c r="F217" s="3">
        <v>32417</v>
      </c>
      <c r="G217" s="3">
        <v>36754</v>
      </c>
    </row>
    <row r="218" spans="1:14" x14ac:dyDescent="0.25">
      <c r="B218" s="3">
        <v>14768</v>
      </c>
      <c r="C218" s="3">
        <v>13051</v>
      </c>
      <c r="D218" s="3">
        <v>18832</v>
      </c>
      <c r="E218" s="3">
        <v>14590</v>
      </c>
      <c r="F218" s="3">
        <v>4209</v>
      </c>
      <c r="G218" s="3">
        <v>-6657</v>
      </c>
    </row>
    <row r="219" spans="1:14" x14ac:dyDescent="0.25">
      <c r="B219" s="18"/>
      <c r="C219" s="18"/>
      <c r="D219" s="18"/>
      <c r="E219" s="18"/>
      <c r="F219" s="18"/>
      <c r="G219" s="1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EE8AA-8738-4438-85A5-3791D113DFDD}">
  <dimension ref="A1:G140"/>
  <sheetViews>
    <sheetView workbookViewId="0">
      <selection activeCell="G44" sqref="G44"/>
    </sheetView>
  </sheetViews>
  <sheetFormatPr defaultRowHeight="15" x14ac:dyDescent="0.25"/>
  <cols>
    <col min="1" max="1" width="16.42578125" customWidth="1"/>
  </cols>
  <sheetData>
    <row r="1" spans="1:7" ht="18.75" x14ac:dyDescent="0.3">
      <c r="A1" s="6" t="s">
        <v>98</v>
      </c>
    </row>
    <row r="2" spans="1:7" x14ac:dyDescent="0.25">
      <c r="A2" s="19"/>
    </row>
    <row r="3" spans="1:7" x14ac:dyDescent="0.25">
      <c r="A3" t="s">
        <v>97</v>
      </c>
      <c r="B3" t="s">
        <v>93</v>
      </c>
    </row>
    <row r="4" spans="1:7" x14ac:dyDescent="0.25">
      <c r="B4" t="s">
        <v>96</v>
      </c>
    </row>
    <row r="5" spans="1:7" x14ac:dyDescent="0.25">
      <c r="B5" t="s">
        <v>94</v>
      </c>
    </row>
    <row r="6" spans="1:7" x14ac:dyDescent="0.25">
      <c r="B6" t="s">
        <v>95</v>
      </c>
    </row>
    <row r="8" spans="1:7" x14ac:dyDescent="0.25">
      <c r="B8" s="19">
        <v>1912</v>
      </c>
      <c r="C8" s="19">
        <v>1913</v>
      </c>
      <c r="D8" s="19">
        <v>1914</v>
      </c>
      <c r="E8" s="19">
        <v>1915</v>
      </c>
      <c r="F8" s="19">
        <v>1916</v>
      </c>
      <c r="G8" s="19">
        <v>1917</v>
      </c>
    </row>
    <row r="9" spans="1:7" x14ac:dyDescent="0.25">
      <c r="A9" t="s">
        <v>40</v>
      </c>
      <c r="B9" s="3">
        <v>3750</v>
      </c>
      <c r="C9" s="3">
        <v>3883</v>
      </c>
      <c r="D9" s="3">
        <v>3598</v>
      </c>
      <c r="E9" s="3">
        <v>2027</v>
      </c>
    </row>
    <row r="10" spans="1:7" x14ac:dyDescent="0.25">
      <c r="B10" s="3">
        <v>20220</v>
      </c>
      <c r="C10" s="3">
        <v>20694</v>
      </c>
      <c r="D10" s="3">
        <v>20696</v>
      </c>
      <c r="E10" s="3">
        <v>18439</v>
      </c>
      <c r="F10" s="3">
        <v>15749</v>
      </c>
    </row>
    <row r="11" spans="1:7" x14ac:dyDescent="0.25">
      <c r="B11" s="3">
        <v>12003</v>
      </c>
      <c r="C11" s="3">
        <v>12272</v>
      </c>
      <c r="D11" s="3">
        <v>13587</v>
      </c>
      <c r="E11" s="3">
        <v>12709</v>
      </c>
      <c r="F11" s="3">
        <v>12694</v>
      </c>
    </row>
    <row r="12" spans="1:7" x14ac:dyDescent="0.25">
      <c r="B12" s="3">
        <v>8217</v>
      </c>
      <c r="C12" s="3">
        <v>8422</v>
      </c>
      <c r="D12" s="3">
        <v>7109</v>
      </c>
      <c r="E12" s="3">
        <v>5730</v>
      </c>
      <c r="F12" s="3">
        <v>3055</v>
      </c>
    </row>
    <row r="13" spans="1:7" x14ac:dyDescent="0.25">
      <c r="A13" t="s">
        <v>41</v>
      </c>
      <c r="B13" s="3">
        <v>8205</v>
      </c>
      <c r="C13" s="3">
        <v>9579</v>
      </c>
      <c r="D13" s="3">
        <v>8421</v>
      </c>
      <c r="F13" s="3"/>
    </row>
    <row r="14" spans="1:7" x14ac:dyDescent="0.25">
      <c r="B14" s="3">
        <v>48755</v>
      </c>
      <c r="C14" s="3">
        <v>50086</v>
      </c>
      <c r="D14" s="3">
        <v>52352</v>
      </c>
      <c r="E14" s="3">
        <v>43931</v>
      </c>
      <c r="F14" s="3"/>
    </row>
    <row r="15" spans="1:7" x14ac:dyDescent="0.25">
      <c r="B15" s="3">
        <v>28647</v>
      </c>
      <c r="C15" s="3">
        <v>30059</v>
      </c>
      <c r="D15" s="3">
        <v>29166</v>
      </c>
      <c r="E15" s="3">
        <v>33060</v>
      </c>
    </row>
    <row r="16" spans="1:7" x14ac:dyDescent="0.25">
      <c r="B16" s="3">
        <v>20108</v>
      </c>
      <c r="C16" s="3">
        <v>20027</v>
      </c>
      <c r="D16" s="3">
        <v>23186</v>
      </c>
      <c r="E16" s="3">
        <v>10871</v>
      </c>
    </row>
    <row r="17" spans="1:7" x14ac:dyDescent="0.25">
      <c r="A17" t="s">
        <v>45</v>
      </c>
      <c r="B17" s="3">
        <v>13902</v>
      </c>
      <c r="C17" s="3">
        <v>15683</v>
      </c>
      <c r="D17" s="3">
        <v>11609</v>
      </c>
      <c r="E17" s="3">
        <v>3943</v>
      </c>
      <c r="F17" s="3">
        <v>3926</v>
      </c>
      <c r="G17" s="3">
        <v>4896</v>
      </c>
    </row>
    <row r="18" spans="1:7" x14ac:dyDescent="0.25">
      <c r="B18" s="3">
        <v>84963</v>
      </c>
      <c r="C18" s="3">
        <v>90305</v>
      </c>
      <c r="D18" s="3">
        <v>89028</v>
      </c>
      <c r="E18" s="3">
        <v>79192</v>
      </c>
      <c r="F18" s="3">
        <v>59541</v>
      </c>
      <c r="G18" s="3">
        <v>37793</v>
      </c>
    </row>
    <row r="19" spans="1:7" x14ac:dyDescent="0.25">
      <c r="B19" s="3">
        <v>57098</v>
      </c>
      <c r="C19" s="3">
        <v>60397</v>
      </c>
      <c r="D19" s="3">
        <v>53331</v>
      </c>
      <c r="E19" s="3">
        <v>52841</v>
      </c>
      <c r="F19" s="3">
        <v>48132</v>
      </c>
      <c r="G19" s="3">
        <v>41490</v>
      </c>
    </row>
    <row r="20" spans="1:7" x14ac:dyDescent="0.25">
      <c r="B20" s="3">
        <v>27865</v>
      </c>
      <c r="C20" s="3">
        <v>29908</v>
      </c>
      <c r="D20" s="3">
        <v>35697</v>
      </c>
      <c r="E20" s="3">
        <v>26351</v>
      </c>
      <c r="F20" s="3">
        <v>11409</v>
      </c>
      <c r="G20" s="3">
        <v>-3697</v>
      </c>
    </row>
    <row r="21" spans="1:7" x14ac:dyDescent="0.25">
      <c r="A21" t="s">
        <v>50</v>
      </c>
      <c r="B21" s="3">
        <v>13744</v>
      </c>
      <c r="C21" s="3">
        <v>15388</v>
      </c>
      <c r="D21" s="3">
        <v>12289</v>
      </c>
      <c r="E21" s="3">
        <v>5010</v>
      </c>
      <c r="F21" s="3"/>
    </row>
    <row r="22" spans="1:7" x14ac:dyDescent="0.25">
      <c r="B22" s="3">
        <v>75606</v>
      </c>
      <c r="C22" s="3">
        <v>77732</v>
      </c>
      <c r="D22" s="3">
        <v>80204</v>
      </c>
      <c r="E22" s="3">
        <v>63389</v>
      </c>
      <c r="F22" s="3"/>
    </row>
    <row r="23" spans="1:7" x14ac:dyDescent="0.25">
      <c r="B23" s="3">
        <v>51131</v>
      </c>
      <c r="C23" s="3">
        <v>52557</v>
      </c>
      <c r="D23" s="3">
        <v>49964</v>
      </c>
      <c r="E23" s="3">
        <v>45126</v>
      </c>
      <c r="F23" s="3"/>
    </row>
    <row r="24" spans="1:7" x14ac:dyDescent="0.25">
      <c r="B24" s="3">
        <v>24475</v>
      </c>
      <c r="C24" s="3">
        <v>25175</v>
      </c>
      <c r="D24" s="3">
        <v>30240</v>
      </c>
      <c r="E24" s="3">
        <v>18263</v>
      </c>
      <c r="F24" s="3"/>
    </row>
    <row r="25" spans="1:7" x14ac:dyDescent="0.25">
      <c r="A25" t="s">
        <v>47</v>
      </c>
      <c r="B25" s="3">
        <v>27753</v>
      </c>
      <c r="C25" s="3">
        <v>31950</v>
      </c>
      <c r="D25" s="3">
        <v>23168</v>
      </c>
      <c r="E25" s="3">
        <v>10591</v>
      </c>
      <c r="F25" s="3">
        <v>13920</v>
      </c>
    </row>
    <row r="26" spans="1:7" x14ac:dyDescent="0.25">
      <c r="B26" s="3">
        <v>176717</v>
      </c>
      <c r="C26" s="3">
        <v>175310</v>
      </c>
      <c r="D26" s="3">
        <v>179175</v>
      </c>
      <c r="E26" s="3">
        <v>153298</v>
      </c>
      <c r="F26" s="3">
        <v>116108</v>
      </c>
    </row>
    <row r="27" spans="1:7" x14ac:dyDescent="0.25">
      <c r="B27" s="3">
        <v>96620</v>
      </c>
      <c r="C27" s="3">
        <v>109194</v>
      </c>
      <c r="D27" s="3">
        <v>110219</v>
      </c>
      <c r="E27" s="3">
        <v>102033</v>
      </c>
      <c r="F27" s="3">
        <v>87704</v>
      </c>
    </row>
    <row r="28" spans="1:7" x14ac:dyDescent="0.25">
      <c r="B28" s="3">
        <v>80097</v>
      </c>
      <c r="C28" s="3">
        <v>66116</v>
      </c>
      <c r="D28" s="3">
        <v>68956</v>
      </c>
      <c r="E28" s="3">
        <v>51265</v>
      </c>
      <c r="F28" s="3">
        <v>28404</v>
      </c>
    </row>
    <row r="29" spans="1:7" x14ac:dyDescent="0.25">
      <c r="A29" t="s">
        <v>48</v>
      </c>
      <c r="B29" s="3">
        <v>29387</v>
      </c>
      <c r="C29" s="3">
        <v>34827</v>
      </c>
      <c r="D29" s="3">
        <v>31300</v>
      </c>
      <c r="E29" s="3">
        <v>16814</v>
      </c>
      <c r="F29" s="3"/>
    </row>
    <row r="30" spans="1:7" x14ac:dyDescent="0.25">
      <c r="B30" s="3">
        <v>188286</v>
      </c>
      <c r="C30" s="3">
        <v>188367</v>
      </c>
      <c r="D30" s="3">
        <v>190574</v>
      </c>
      <c r="E30" s="3">
        <v>160915</v>
      </c>
      <c r="F30" s="3"/>
    </row>
    <row r="31" spans="1:7" x14ac:dyDescent="0.25">
      <c r="B31" s="3">
        <v>139451</v>
      </c>
      <c r="C31" s="3">
        <v>136613</v>
      </c>
      <c r="D31" s="3">
        <v>142545</v>
      </c>
      <c r="E31" s="3">
        <v>149781</v>
      </c>
      <c r="F31" s="3"/>
    </row>
    <row r="32" spans="1:7" x14ac:dyDescent="0.25">
      <c r="B32" s="3">
        <v>48835</v>
      </c>
      <c r="C32" s="3">
        <v>51754</v>
      </c>
      <c r="D32" s="3">
        <v>48029</v>
      </c>
      <c r="E32" s="3">
        <v>11134</v>
      </c>
      <c r="F32" s="3"/>
    </row>
    <row r="33" spans="1:7" x14ac:dyDescent="0.25">
      <c r="A33" t="s">
        <v>51</v>
      </c>
      <c r="B33" s="3">
        <v>24527</v>
      </c>
      <c r="C33" s="3">
        <v>32391</v>
      </c>
      <c r="D33" s="3">
        <v>25923</v>
      </c>
      <c r="E33" s="3">
        <v>15632</v>
      </c>
      <c r="F33" s="3"/>
      <c r="G33" s="3"/>
    </row>
    <row r="34" spans="1:7" x14ac:dyDescent="0.25">
      <c r="B34" s="3">
        <v>174732</v>
      </c>
      <c r="C34" s="3">
        <v>172187</v>
      </c>
      <c r="D34" s="3">
        <v>174809</v>
      </c>
      <c r="E34" s="3">
        <v>154072</v>
      </c>
      <c r="F34" s="3">
        <v>104927</v>
      </c>
      <c r="G34" s="3"/>
    </row>
    <row r="35" spans="1:7" x14ac:dyDescent="0.25">
      <c r="B35" s="3">
        <v>87175</v>
      </c>
      <c r="C35" s="3">
        <v>99138</v>
      </c>
      <c r="D35" s="3">
        <v>102833</v>
      </c>
      <c r="E35" s="3">
        <v>101041</v>
      </c>
      <c r="F35" s="3">
        <v>89192</v>
      </c>
      <c r="G35" s="3"/>
    </row>
    <row r="36" spans="1:7" x14ac:dyDescent="0.25">
      <c r="B36" s="3">
        <v>87557</v>
      </c>
      <c r="C36" s="3">
        <v>73049</v>
      </c>
      <c r="D36" s="3">
        <v>71976</v>
      </c>
      <c r="E36" s="3">
        <v>53031</v>
      </c>
      <c r="F36" s="3">
        <v>15735</v>
      </c>
      <c r="G36" s="3"/>
    </row>
    <row r="37" spans="1:7" x14ac:dyDescent="0.25">
      <c r="A37" t="s">
        <v>53</v>
      </c>
      <c r="B37" s="3">
        <v>23923</v>
      </c>
      <c r="C37" s="3">
        <v>24366</v>
      </c>
      <c r="D37" s="3">
        <v>24220</v>
      </c>
      <c r="E37" s="3">
        <v>12568</v>
      </c>
      <c r="F37" s="3"/>
      <c r="G37" s="3"/>
    </row>
    <row r="38" spans="1:7" x14ac:dyDescent="0.25">
      <c r="B38" s="3">
        <v>123200</v>
      </c>
      <c r="C38" s="3">
        <v>125067</v>
      </c>
      <c r="D38" s="3">
        <v>126363</v>
      </c>
      <c r="E38" s="3">
        <v>108493</v>
      </c>
      <c r="F38" s="3"/>
      <c r="G38" s="3"/>
    </row>
    <row r="39" spans="1:7" x14ac:dyDescent="0.25">
      <c r="B39" s="3">
        <v>84070</v>
      </c>
      <c r="C39" s="3">
        <v>85265</v>
      </c>
      <c r="D39" s="3">
        <v>86173</v>
      </c>
      <c r="E39" s="3">
        <v>84471</v>
      </c>
      <c r="F39" s="3"/>
      <c r="G39" s="3"/>
    </row>
    <row r="40" spans="1:7" x14ac:dyDescent="0.25">
      <c r="B40" s="3">
        <v>39130</v>
      </c>
      <c r="C40" s="3">
        <v>39802</v>
      </c>
      <c r="D40" s="3">
        <v>40190</v>
      </c>
      <c r="E40" s="3">
        <v>24022</v>
      </c>
      <c r="F40" s="3"/>
      <c r="G40" s="3"/>
    </row>
    <row r="41" spans="1:7" x14ac:dyDescent="0.25">
      <c r="A41" t="s">
        <v>54</v>
      </c>
      <c r="B41" s="3">
        <v>12591</v>
      </c>
      <c r="C41" s="3">
        <v>18089</v>
      </c>
      <c r="D41" s="3">
        <v>9840</v>
      </c>
      <c r="E41" s="3">
        <v>4814</v>
      </c>
      <c r="F41" s="3">
        <v>4719</v>
      </c>
      <c r="G41" s="3">
        <v>6290</v>
      </c>
    </row>
    <row r="42" spans="1:7" x14ac:dyDescent="0.25">
      <c r="B42" s="3">
        <v>69276</v>
      </c>
      <c r="C42" s="3">
        <v>68354</v>
      </c>
      <c r="D42" s="3">
        <v>69704</v>
      </c>
      <c r="E42" s="3">
        <v>61575</v>
      </c>
      <c r="F42" s="3">
        <v>42218</v>
      </c>
      <c r="G42" s="3">
        <v>30446</v>
      </c>
    </row>
    <row r="43" spans="1:7" x14ac:dyDescent="0.25">
      <c r="B43" s="3">
        <v>44029</v>
      </c>
      <c r="C43" s="3">
        <v>46090</v>
      </c>
      <c r="D43" s="3">
        <v>48265</v>
      </c>
      <c r="E43" s="3">
        <v>44333</v>
      </c>
      <c r="F43" s="3">
        <v>36782</v>
      </c>
      <c r="G43" s="3">
        <v>34136</v>
      </c>
    </row>
    <row r="44" spans="1:7" x14ac:dyDescent="0.25">
      <c r="B44" s="3">
        <v>25247</v>
      </c>
      <c r="C44" s="3">
        <v>22264</v>
      </c>
      <c r="D44" s="3">
        <v>21439</v>
      </c>
      <c r="E44" s="3">
        <v>17242</v>
      </c>
      <c r="F44" s="3">
        <v>5436</v>
      </c>
      <c r="G44" s="3">
        <v>-3690</v>
      </c>
    </row>
    <row r="45" spans="1:7" x14ac:dyDescent="0.25">
      <c r="A45" t="s">
        <v>57</v>
      </c>
      <c r="B45" s="3">
        <v>13290</v>
      </c>
      <c r="C45" s="3">
        <v>16116</v>
      </c>
      <c r="D45" s="3">
        <v>13655</v>
      </c>
      <c r="E45" s="3">
        <v>5705</v>
      </c>
      <c r="F45" s="3"/>
      <c r="G45" s="3"/>
    </row>
    <row r="46" spans="1:7" x14ac:dyDescent="0.25">
      <c r="B46" s="3">
        <v>76670</v>
      </c>
      <c r="C46" s="3">
        <v>80394</v>
      </c>
      <c r="D46" s="3">
        <v>84144</v>
      </c>
      <c r="E46" s="3">
        <v>70008</v>
      </c>
      <c r="F46" s="3"/>
      <c r="G46" s="3"/>
    </row>
    <row r="47" spans="1:7" x14ac:dyDescent="0.25">
      <c r="B47" s="3">
        <v>53047</v>
      </c>
      <c r="C47" s="3">
        <v>54758</v>
      </c>
      <c r="D47" s="3">
        <v>50241</v>
      </c>
      <c r="E47" s="3">
        <v>47501</v>
      </c>
      <c r="F47" s="3"/>
      <c r="G47" s="3"/>
    </row>
    <row r="48" spans="1:7" x14ac:dyDescent="0.25">
      <c r="B48" s="3">
        <v>23623</v>
      </c>
      <c r="C48" s="3">
        <v>25636</v>
      </c>
      <c r="D48" s="3">
        <v>33903</v>
      </c>
      <c r="E48" s="3">
        <v>22507</v>
      </c>
      <c r="F48" s="3"/>
      <c r="G48" s="3"/>
    </row>
    <row r="49" spans="1:7" x14ac:dyDescent="0.25">
      <c r="A49" t="s">
        <v>59</v>
      </c>
      <c r="B49" s="3">
        <v>23708</v>
      </c>
      <c r="C49" s="3">
        <v>23574</v>
      </c>
      <c r="D49" s="3">
        <v>18207</v>
      </c>
      <c r="E49" s="3">
        <v>11585</v>
      </c>
      <c r="F49" s="3"/>
      <c r="G49" s="3"/>
    </row>
    <row r="50" spans="1:7" x14ac:dyDescent="0.25">
      <c r="B50" s="3">
        <v>145050</v>
      </c>
      <c r="C50" s="3">
        <v>144236</v>
      </c>
      <c r="D50" s="3">
        <v>138965</v>
      </c>
      <c r="E50" s="3">
        <v>125864</v>
      </c>
      <c r="F50" s="3"/>
      <c r="G50" s="3"/>
    </row>
    <row r="51" spans="1:7" x14ac:dyDescent="0.25">
      <c r="B51" s="3">
        <v>88041</v>
      </c>
      <c r="C51" s="3">
        <v>87667</v>
      </c>
      <c r="D51" s="3">
        <v>81912</v>
      </c>
      <c r="E51" s="3">
        <v>81346</v>
      </c>
      <c r="F51" s="3"/>
      <c r="G51" s="3"/>
    </row>
    <row r="52" spans="1:7" x14ac:dyDescent="0.25">
      <c r="B52" s="3">
        <v>57009</v>
      </c>
      <c r="C52" s="3">
        <v>56569</v>
      </c>
      <c r="D52" s="3">
        <v>57053</v>
      </c>
      <c r="E52" s="3">
        <v>44518</v>
      </c>
      <c r="F52" s="3"/>
      <c r="G52" s="3"/>
    </row>
    <row r="53" spans="1:7" x14ac:dyDescent="0.25">
      <c r="A53" t="s">
        <v>63</v>
      </c>
      <c r="B53" s="3">
        <v>12403</v>
      </c>
      <c r="C53" s="3">
        <v>13432</v>
      </c>
      <c r="D53" s="3">
        <v>10194</v>
      </c>
      <c r="E53" s="3">
        <v>4036</v>
      </c>
      <c r="F53" s="3">
        <v>4193</v>
      </c>
      <c r="G53" s="3"/>
    </row>
    <row r="54" spans="1:7" x14ac:dyDescent="0.25">
      <c r="B54" s="3">
        <v>81101</v>
      </c>
      <c r="C54" s="3">
        <v>79333</v>
      </c>
      <c r="D54" s="3">
        <v>81710</v>
      </c>
      <c r="E54" s="3">
        <v>69324</v>
      </c>
      <c r="F54" s="3">
        <v>55901</v>
      </c>
      <c r="G54" s="3"/>
    </row>
    <row r="55" spans="1:7" x14ac:dyDescent="0.25">
      <c r="B55" s="3">
        <v>53911</v>
      </c>
      <c r="C55" s="3">
        <v>57392</v>
      </c>
      <c r="D55" s="3">
        <v>54159</v>
      </c>
      <c r="E55" s="3">
        <v>50067</v>
      </c>
      <c r="F55" s="3">
        <v>45451</v>
      </c>
      <c r="G55" s="3"/>
    </row>
    <row r="56" spans="1:7" x14ac:dyDescent="0.25">
      <c r="B56" s="3">
        <v>27190</v>
      </c>
      <c r="C56" s="3">
        <v>21941</v>
      </c>
      <c r="D56" s="3">
        <v>27551</v>
      </c>
      <c r="E56" s="3">
        <v>19257</v>
      </c>
      <c r="F56" s="3">
        <v>10450</v>
      </c>
      <c r="G56" s="3"/>
    </row>
    <row r="57" spans="1:7" x14ac:dyDescent="0.25">
      <c r="A57" t="s">
        <v>64</v>
      </c>
      <c r="B57" s="3">
        <v>9564</v>
      </c>
      <c r="C57" s="3">
        <v>10093</v>
      </c>
      <c r="D57" s="3">
        <v>9679</v>
      </c>
      <c r="E57" s="3">
        <v>7478</v>
      </c>
      <c r="F57" s="3">
        <v>7623</v>
      </c>
      <c r="G57" s="3">
        <v>9900</v>
      </c>
    </row>
    <row r="58" spans="1:7" x14ac:dyDescent="0.25">
      <c r="B58" s="3">
        <v>54831</v>
      </c>
      <c r="C58" s="3">
        <v>54649</v>
      </c>
      <c r="D58" s="3">
        <v>54373</v>
      </c>
      <c r="E58" s="3">
        <v>49738</v>
      </c>
      <c r="F58" s="3">
        <v>37375</v>
      </c>
      <c r="G58" s="3">
        <v>36284</v>
      </c>
    </row>
    <row r="59" spans="1:7" x14ac:dyDescent="0.25">
      <c r="B59" s="3">
        <v>39881</v>
      </c>
      <c r="C59" s="3">
        <v>41940</v>
      </c>
      <c r="D59" s="3">
        <v>42198</v>
      </c>
      <c r="E59" s="3">
        <v>52710</v>
      </c>
      <c r="F59" s="3">
        <v>49714</v>
      </c>
      <c r="G59" s="3">
        <v>44542</v>
      </c>
    </row>
    <row r="60" spans="1:7" x14ac:dyDescent="0.25">
      <c r="B60" s="3">
        <v>14950</v>
      </c>
      <c r="C60" s="3">
        <v>12709</v>
      </c>
      <c r="D60" s="3">
        <v>12175</v>
      </c>
      <c r="E60" s="3">
        <v>-2972</v>
      </c>
      <c r="F60" s="3">
        <v>-12339</v>
      </c>
      <c r="G60" s="3">
        <v>-8258</v>
      </c>
    </row>
    <row r="61" spans="1:7" x14ac:dyDescent="0.25">
      <c r="A61" t="s">
        <v>65</v>
      </c>
      <c r="B61" s="3">
        <v>14713</v>
      </c>
      <c r="C61" s="3">
        <v>16625</v>
      </c>
      <c r="D61" s="3">
        <v>12607</v>
      </c>
      <c r="E61" s="3">
        <v>5715</v>
      </c>
      <c r="F61" s="3"/>
      <c r="G61" s="3"/>
    </row>
    <row r="62" spans="1:7" x14ac:dyDescent="0.25">
      <c r="B62" s="3">
        <v>95763</v>
      </c>
      <c r="C62" s="3">
        <v>94474</v>
      </c>
      <c r="D62" s="3">
        <v>96923</v>
      </c>
      <c r="E62" s="3">
        <v>80210</v>
      </c>
      <c r="F62" s="3">
        <v>56918</v>
      </c>
      <c r="G62" s="3">
        <v>34144</v>
      </c>
    </row>
    <row r="63" spans="1:7" x14ac:dyDescent="0.25">
      <c r="B63" s="3">
        <v>60734</v>
      </c>
      <c r="C63" s="3">
        <v>66366</v>
      </c>
      <c r="D63" s="3">
        <v>60172</v>
      </c>
      <c r="E63" s="3">
        <v>57175</v>
      </c>
      <c r="F63" s="3">
        <v>44672</v>
      </c>
      <c r="G63" s="3">
        <v>36168</v>
      </c>
    </row>
    <row r="64" spans="1:7" x14ac:dyDescent="0.25">
      <c r="B64" s="3">
        <v>35029</v>
      </c>
      <c r="C64" s="3">
        <v>28108</v>
      </c>
      <c r="D64" s="3">
        <v>36751</v>
      </c>
      <c r="E64" s="3">
        <v>23035</v>
      </c>
      <c r="F64" s="3">
        <v>12246</v>
      </c>
      <c r="G64" s="3">
        <v>-2024</v>
      </c>
    </row>
    <row r="65" spans="1:7" x14ac:dyDescent="0.25">
      <c r="A65" t="s">
        <v>66</v>
      </c>
      <c r="B65" s="3">
        <v>11911</v>
      </c>
      <c r="C65" s="3">
        <v>14932</v>
      </c>
      <c r="D65" s="3">
        <v>11806</v>
      </c>
      <c r="E65" s="3">
        <v>4791</v>
      </c>
      <c r="F65" s="3"/>
      <c r="G65" s="3"/>
    </row>
    <row r="66" spans="1:7" x14ac:dyDescent="0.25">
      <c r="B66" s="3">
        <v>68794</v>
      </c>
      <c r="C66" s="3">
        <v>70780</v>
      </c>
      <c r="D66" s="3">
        <v>74673</v>
      </c>
      <c r="E66" s="3">
        <v>61757</v>
      </c>
      <c r="F66" s="3">
        <v>49022</v>
      </c>
      <c r="G66" s="3"/>
    </row>
    <row r="67" spans="1:7" x14ac:dyDescent="0.25">
      <c r="B67" s="3">
        <v>46661</v>
      </c>
      <c r="C67" s="3">
        <v>48320</v>
      </c>
      <c r="D67" s="3">
        <v>43554</v>
      </c>
      <c r="E67" s="3">
        <v>43517</v>
      </c>
      <c r="F67" s="3">
        <v>42109</v>
      </c>
      <c r="G67" s="3"/>
    </row>
    <row r="68" spans="1:7" x14ac:dyDescent="0.25">
      <c r="B68" s="3">
        <v>22133</v>
      </c>
      <c r="C68" s="3">
        <v>22460</v>
      </c>
      <c r="D68" s="3">
        <v>31119</v>
      </c>
      <c r="E68" s="3">
        <v>18240</v>
      </c>
      <c r="F68" s="3">
        <v>6913</v>
      </c>
      <c r="G68" s="3"/>
    </row>
    <row r="69" spans="1:7" x14ac:dyDescent="0.25">
      <c r="A69" t="s">
        <v>67</v>
      </c>
      <c r="B69" s="3">
        <v>3889</v>
      </c>
      <c r="C69" s="3">
        <v>4205</v>
      </c>
      <c r="D69" s="3">
        <v>3514</v>
      </c>
      <c r="E69" s="3"/>
      <c r="F69" s="3"/>
      <c r="G69" s="3"/>
    </row>
    <row r="70" spans="1:7" x14ac:dyDescent="0.25">
      <c r="B70" s="3">
        <v>20725</v>
      </c>
      <c r="C70" s="3">
        <v>20638</v>
      </c>
      <c r="D70" s="3">
        <v>22794</v>
      </c>
      <c r="E70" s="3">
        <v>18049</v>
      </c>
      <c r="F70" s="3"/>
      <c r="G70" s="3"/>
    </row>
    <row r="71" spans="1:7" x14ac:dyDescent="0.25">
      <c r="B71" s="3">
        <v>15446</v>
      </c>
      <c r="C71" s="3">
        <v>16927</v>
      </c>
      <c r="D71" s="3">
        <v>14625</v>
      </c>
      <c r="E71" s="3">
        <v>13788</v>
      </c>
      <c r="F71" s="3"/>
      <c r="G71" s="3"/>
    </row>
    <row r="72" spans="1:7" x14ac:dyDescent="0.25">
      <c r="B72" s="3">
        <v>5279</v>
      </c>
      <c r="C72" s="3">
        <v>3711</v>
      </c>
      <c r="D72" s="3">
        <v>8169</v>
      </c>
      <c r="E72" s="3">
        <v>4261</v>
      </c>
      <c r="F72" s="3"/>
      <c r="G72" s="3"/>
    </row>
    <row r="73" spans="1:7" x14ac:dyDescent="0.25">
      <c r="A73" t="s">
        <v>99</v>
      </c>
      <c r="B73" s="3">
        <v>19538</v>
      </c>
      <c r="C73" s="3">
        <v>21093</v>
      </c>
      <c r="D73" s="3">
        <v>19890</v>
      </c>
      <c r="E73" s="3"/>
      <c r="F73" s="3"/>
      <c r="G73" s="3"/>
    </row>
    <row r="74" spans="1:7" x14ac:dyDescent="0.25">
      <c r="B74" s="3">
        <v>113025</v>
      </c>
      <c r="C74" s="3">
        <v>120509</v>
      </c>
      <c r="D74" s="3">
        <v>119297</v>
      </c>
      <c r="E74" s="3"/>
      <c r="F74" s="3"/>
      <c r="G74" s="3"/>
    </row>
    <row r="75" spans="1:7" x14ac:dyDescent="0.25">
      <c r="B75" s="3">
        <v>84277</v>
      </c>
      <c r="C75" s="3">
        <v>81318</v>
      </c>
      <c r="D75" s="3">
        <v>68502</v>
      </c>
      <c r="E75" s="3"/>
      <c r="F75" s="3"/>
      <c r="G75" s="3"/>
    </row>
    <row r="76" spans="1:7" x14ac:dyDescent="0.25">
      <c r="B76" s="3">
        <v>28748</v>
      </c>
      <c r="C76" s="3">
        <v>39191</v>
      </c>
      <c r="D76" s="3">
        <v>50795</v>
      </c>
      <c r="E76" s="3"/>
      <c r="F76" s="3"/>
      <c r="G76" s="3"/>
    </row>
    <row r="77" spans="1:7" x14ac:dyDescent="0.25">
      <c r="A77" t="s">
        <v>68</v>
      </c>
      <c r="B77" s="3">
        <v>20231</v>
      </c>
      <c r="C77" s="3">
        <v>21321</v>
      </c>
      <c r="D77" s="3">
        <v>13984</v>
      </c>
      <c r="E77" s="3">
        <v>7417</v>
      </c>
      <c r="F77" s="3">
        <v>7963</v>
      </c>
      <c r="G77" s="3"/>
    </row>
    <row r="78" spans="1:7" x14ac:dyDescent="0.25">
      <c r="B78" s="3">
        <v>121291</v>
      </c>
      <c r="C78" s="3">
        <v>119071</v>
      </c>
      <c r="D78" s="3">
        <v>114874</v>
      </c>
      <c r="E78" s="3">
        <v>97515</v>
      </c>
      <c r="F78" s="3">
        <v>75411</v>
      </c>
      <c r="G78" s="3"/>
    </row>
    <row r="79" spans="1:7" x14ac:dyDescent="0.25">
      <c r="B79" s="3">
        <v>76162</v>
      </c>
      <c r="C79" s="3">
        <v>73443</v>
      </c>
      <c r="D79" s="3">
        <v>74196</v>
      </c>
      <c r="E79" s="3">
        <v>74155</v>
      </c>
      <c r="F79" s="3"/>
      <c r="G79" s="3"/>
    </row>
    <row r="80" spans="1:7" x14ac:dyDescent="0.25">
      <c r="B80" s="3">
        <v>45129</v>
      </c>
      <c r="C80" s="3">
        <v>45628</v>
      </c>
      <c r="D80" s="3">
        <v>40678</v>
      </c>
      <c r="E80" s="3">
        <v>23360</v>
      </c>
      <c r="F80" s="3"/>
      <c r="G80" s="3"/>
    </row>
    <row r="81" spans="1:7" x14ac:dyDescent="0.25">
      <c r="A81" t="s">
        <v>69</v>
      </c>
      <c r="B81" s="3">
        <v>14913</v>
      </c>
      <c r="C81" s="3">
        <v>16441</v>
      </c>
      <c r="D81" s="3">
        <v>11166</v>
      </c>
      <c r="E81" s="3"/>
      <c r="F81" s="3"/>
      <c r="G81" s="3"/>
    </row>
    <row r="82" spans="1:7" x14ac:dyDescent="0.25">
      <c r="B82" s="3">
        <v>96963</v>
      </c>
      <c r="C82" s="3">
        <v>96895</v>
      </c>
      <c r="D82" s="3">
        <v>93557</v>
      </c>
      <c r="E82" s="3">
        <v>81039</v>
      </c>
      <c r="F82" s="3"/>
      <c r="G82" s="3"/>
    </row>
    <row r="83" spans="1:7" x14ac:dyDescent="0.25">
      <c r="B83" s="3">
        <v>60431</v>
      </c>
      <c r="C83" s="3">
        <v>64251</v>
      </c>
      <c r="D83" s="3">
        <v>57353</v>
      </c>
      <c r="E83" s="3">
        <v>61725</v>
      </c>
      <c r="F83" s="3"/>
      <c r="G83" s="3"/>
    </row>
    <row r="84" spans="1:7" x14ac:dyDescent="0.25">
      <c r="B84" s="3">
        <v>36532</v>
      </c>
      <c r="C84" s="3">
        <v>32644</v>
      </c>
      <c r="D84" s="3">
        <v>36204</v>
      </c>
      <c r="E84" s="3">
        <v>19314</v>
      </c>
      <c r="F84" s="3"/>
      <c r="G84" s="3"/>
    </row>
    <row r="85" spans="1:7" x14ac:dyDescent="0.25">
      <c r="A85" t="s">
        <v>70</v>
      </c>
      <c r="B85" s="3">
        <v>29037</v>
      </c>
      <c r="C85" s="3">
        <v>30440</v>
      </c>
      <c r="D85" s="3">
        <v>28408</v>
      </c>
      <c r="E85" s="3">
        <v>18543</v>
      </c>
      <c r="F85" s="3"/>
      <c r="G85" s="3"/>
    </row>
    <row r="86" spans="1:7" x14ac:dyDescent="0.25">
      <c r="B86" s="3">
        <v>205475</v>
      </c>
      <c r="C86" s="3">
        <v>199434</v>
      </c>
      <c r="D86" s="3">
        <v>202078</v>
      </c>
      <c r="E86" s="3">
        <v>188876</v>
      </c>
      <c r="F86" s="3"/>
      <c r="G86" s="3"/>
    </row>
    <row r="87" spans="1:7" x14ac:dyDescent="0.25">
      <c r="B87" s="3">
        <v>165471</v>
      </c>
      <c r="C87" s="3">
        <v>153457</v>
      </c>
      <c r="D87" s="3">
        <v>149547</v>
      </c>
      <c r="E87" s="3">
        <v>163115</v>
      </c>
      <c r="F87" s="3"/>
      <c r="G87" s="3"/>
    </row>
    <row r="88" spans="1:7" x14ac:dyDescent="0.25">
      <c r="B88" s="3">
        <v>40004</v>
      </c>
      <c r="C88" s="3">
        <v>45977</v>
      </c>
      <c r="D88" s="3">
        <v>52531</v>
      </c>
      <c r="E88" s="3">
        <v>25761</v>
      </c>
      <c r="F88" s="3"/>
      <c r="G88" s="3"/>
    </row>
    <row r="89" spans="1:7" x14ac:dyDescent="0.25">
      <c r="A89" t="s">
        <v>73</v>
      </c>
      <c r="B89" s="3">
        <v>7061</v>
      </c>
      <c r="C89" s="3">
        <v>7937</v>
      </c>
      <c r="D89" s="3">
        <v>6061</v>
      </c>
      <c r="E89" s="3"/>
      <c r="F89" s="3"/>
      <c r="G89" s="3"/>
    </row>
    <row r="90" spans="1:7" x14ac:dyDescent="0.25">
      <c r="B90" s="3">
        <v>36906</v>
      </c>
      <c r="C90" s="3">
        <v>37354</v>
      </c>
      <c r="D90" s="3">
        <v>35638</v>
      </c>
      <c r="E90" s="3"/>
      <c r="F90" s="3"/>
      <c r="G90" s="3"/>
    </row>
    <row r="91" spans="1:7" x14ac:dyDescent="0.25">
      <c r="B91" s="3">
        <v>27927</v>
      </c>
      <c r="C91" s="3">
        <v>26517</v>
      </c>
      <c r="D91" s="3">
        <v>25149</v>
      </c>
      <c r="E91" s="3"/>
      <c r="F91" s="3"/>
      <c r="G91" s="3"/>
    </row>
    <row r="92" spans="1:7" x14ac:dyDescent="0.25">
      <c r="B92" s="3">
        <v>8979</v>
      </c>
      <c r="C92" s="3">
        <v>10837</v>
      </c>
      <c r="D92" s="3">
        <v>10489</v>
      </c>
      <c r="E92" s="3"/>
      <c r="F92" s="3"/>
      <c r="G92" s="3"/>
    </row>
    <row r="93" spans="1:7" x14ac:dyDescent="0.25">
      <c r="A93" t="s">
        <v>74</v>
      </c>
      <c r="B93" s="3">
        <v>13192</v>
      </c>
      <c r="C93" s="3">
        <v>13403</v>
      </c>
      <c r="D93" s="3">
        <v>13202</v>
      </c>
      <c r="E93" s="3">
        <v>11569</v>
      </c>
      <c r="F93" s="3">
        <v>11299</v>
      </c>
      <c r="G93" s="3">
        <v>20559</v>
      </c>
    </row>
    <row r="94" spans="1:7" x14ac:dyDescent="0.25">
      <c r="B94" s="3">
        <v>56099</v>
      </c>
      <c r="C94" s="3">
        <v>56155</v>
      </c>
      <c r="D94" s="3">
        <v>55460</v>
      </c>
      <c r="E94" s="3">
        <v>51956</v>
      </c>
      <c r="F94" s="3">
        <v>46188</v>
      </c>
      <c r="G94" s="3">
        <v>43109</v>
      </c>
    </row>
    <row r="95" spans="1:7" x14ac:dyDescent="0.25">
      <c r="B95" s="3">
        <v>45957</v>
      </c>
      <c r="C95" s="3">
        <v>45446</v>
      </c>
      <c r="D95" s="3">
        <v>47597</v>
      </c>
      <c r="E95" s="3">
        <v>52866</v>
      </c>
      <c r="F95" s="3">
        <v>55980</v>
      </c>
      <c r="G95" s="3">
        <v>61000</v>
      </c>
    </row>
    <row r="96" spans="1:7" x14ac:dyDescent="0.25">
      <c r="B96" s="3">
        <v>10142</v>
      </c>
      <c r="C96" s="3">
        <v>10709</v>
      </c>
      <c r="D96" s="3">
        <v>7863</v>
      </c>
      <c r="E96" s="3">
        <v>-910</v>
      </c>
      <c r="F96" s="3">
        <v>-9792</v>
      </c>
      <c r="G96" s="3">
        <v>-17891</v>
      </c>
    </row>
    <row r="97" spans="1:7" x14ac:dyDescent="0.25">
      <c r="A97" t="s">
        <v>77</v>
      </c>
      <c r="B97" s="3">
        <v>9797</v>
      </c>
      <c r="C97" s="3">
        <v>10549</v>
      </c>
      <c r="D97" s="3">
        <v>10275</v>
      </c>
      <c r="E97" s="3"/>
      <c r="F97" s="3"/>
      <c r="G97" s="3"/>
    </row>
    <row r="98" spans="1:7" x14ac:dyDescent="0.25">
      <c r="B98" s="3">
        <v>56272</v>
      </c>
      <c r="C98" s="3">
        <v>56921</v>
      </c>
      <c r="D98" s="3">
        <v>57976</v>
      </c>
      <c r="E98" s="3">
        <v>48441</v>
      </c>
      <c r="F98" s="3">
        <v>40697</v>
      </c>
      <c r="G98" s="3"/>
    </row>
    <row r="99" spans="1:7" x14ac:dyDescent="0.25">
      <c r="B99" s="3">
        <v>34585</v>
      </c>
      <c r="C99" s="3">
        <v>35044</v>
      </c>
      <c r="D99" s="3">
        <v>35971</v>
      </c>
      <c r="E99" s="3">
        <v>34657</v>
      </c>
      <c r="F99" s="3">
        <v>32893</v>
      </c>
      <c r="G99" s="3"/>
    </row>
    <row r="100" spans="1:7" x14ac:dyDescent="0.25">
      <c r="B100" s="3">
        <v>21687</v>
      </c>
      <c r="C100" s="3">
        <v>21877</v>
      </c>
      <c r="D100" s="3">
        <v>22005</v>
      </c>
      <c r="E100" s="3">
        <v>13784</v>
      </c>
      <c r="F100" s="3">
        <v>7804</v>
      </c>
      <c r="G100" s="3"/>
    </row>
    <row r="101" spans="1:7" x14ac:dyDescent="0.25">
      <c r="A101" t="s">
        <v>78</v>
      </c>
      <c r="B101" s="3">
        <v>17120</v>
      </c>
      <c r="C101" s="3">
        <v>17786</v>
      </c>
      <c r="D101" s="3">
        <v>16981</v>
      </c>
      <c r="E101" s="3"/>
      <c r="F101" s="3"/>
      <c r="G101" s="3"/>
    </row>
    <row r="102" spans="1:7" x14ac:dyDescent="0.25">
      <c r="B102" s="3">
        <v>106229</v>
      </c>
      <c r="C102" s="3">
        <v>109780</v>
      </c>
      <c r="D102" s="3">
        <v>110140</v>
      </c>
      <c r="E102" s="3">
        <v>92004</v>
      </c>
      <c r="F102" s="3">
        <v>69039</v>
      </c>
      <c r="G102" s="3"/>
    </row>
    <row r="103" spans="1:7" x14ac:dyDescent="0.25">
      <c r="B103" s="3">
        <v>59079</v>
      </c>
      <c r="C103" s="3">
        <v>61011</v>
      </c>
      <c r="D103" s="3">
        <v>61877</v>
      </c>
      <c r="E103" s="3">
        <v>61328</v>
      </c>
      <c r="F103" s="3">
        <v>53449</v>
      </c>
      <c r="G103" s="3"/>
    </row>
    <row r="104" spans="1:7" x14ac:dyDescent="0.25">
      <c r="B104" s="3">
        <v>47150</v>
      </c>
      <c r="C104" s="3">
        <v>48769</v>
      </c>
      <c r="D104" s="3">
        <v>48263</v>
      </c>
      <c r="E104" s="3">
        <v>30676</v>
      </c>
      <c r="F104" s="3">
        <v>15590</v>
      </c>
      <c r="G104" s="3"/>
    </row>
    <row r="105" spans="1:7" x14ac:dyDescent="0.25">
      <c r="A105" t="s">
        <v>79</v>
      </c>
      <c r="B105" s="3">
        <v>34075</v>
      </c>
      <c r="C105" s="3">
        <v>34932</v>
      </c>
      <c r="D105" s="3">
        <v>30819</v>
      </c>
      <c r="E105" s="3">
        <v>16016</v>
      </c>
      <c r="F105" s="3">
        <v>15836</v>
      </c>
      <c r="G105" s="3"/>
    </row>
    <row r="106" spans="1:7" x14ac:dyDescent="0.25">
      <c r="B106" s="3">
        <v>197355</v>
      </c>
      <c r="C106" s="3">
        <v>203545</v>
      </c>
      <c r="D106" s="3">
        <v>213734</v>
      </c>
      <c r="E106" s="3">
        <v>183292</v>
      </c>
      <c r="F106" s="3">
        <v>115876</v>
      </c>
      <c r="G106" s="3"/>
    </row>
    <row r="107" spans="1:7" x14ac:dyDescent="0.25">
      <c r="B107" s="3">
        <v>131248</v>
      </c>
      <c r="C107" s="3">
        <v>117661</v>
      </c>
      <c r="D107" s="3">
        <v>124676</v>
      </c>
      <c r="E107" s="3">
        <v>159291</v>
      </c>
      <c r="F107" s="3"/>
      <c r="G107" s="3"/>
    </row>
    <row r="108" spans="1:7" x14ac:dyDescent="0.25">
      <c r="B108" s="3">
        <v>66107</v>
      </c>
      <c r="C108" s="3">
        <v>85884</v>
      </c>
      <c r="D108" s="3">
        <v>89058</v>
      </c>
      <c r="E108" s="3">
        <v>24001</v>
      </c>
      <c r="F108" s="3"/>
      <c r="G108" s="3"/>
    </row>
    <row r="109" spans="1:7" x14ac:dyDescent="0.25">
      <c r="A109" t="s">
        <v>80</v>
      </c>
      <c r="B109" s="3">
        <v>25186</v>
      </c>
      <c r="C109" s="3">
        <v>26025</v>
      </c>
      <c r="D109" s="3">
        <v>22061</v>
      </c>
      <c r="E109" s="3">
        <v>11399</v>
      </c>
      <c r="F109" s="3">
        <v>11868</v>
      </c>
      <c r="G109" s="3">
        <v>19124</v>
      </c>
    </row>
    <row r="110" spans="1:7" x14ac:dyDescent="0.25">
      <c r="B110" s="3">
        <v>150477</v>
      </c>
      <c r="C110" s="3">
        <v>151661</v>
      </c>
      <c r="D110" s="3">
        <v>156818</v>
      </c>
      <c r="E110" s="3">
        <v>139176</v>
      </c>
      <c r="F110" s="3">
        <v>90943</v>
      </c>
      <c r="G110" s="3">
        <v>62306</v>
      </c>
    </row>
    <row r="111" spans="1:7" x14ac:dyDescent="0.25">
      <c r="B111" s="3">
        <v>99268</v>
      </c>
      <c r="C111" s="3">
        <v>93825</v>
      </c>
      <c r="D111" s="3">
        <v>95470</v>
      </c>
      <c r="E111" s="3">
        <v>108505</v>
      </c>
      <c r="F111" s="3"/>
      <c r="G111" s="3"/>
    </row>
    <row r="112" spans="1:7" x14ac:dyDescent="0.25">
      <c r="B112" s="3">
        <v>51209</v>
      </c>
      <c r="C112" s="3">
        <v>57836</v>
      </c>
      <c r="D112" s="3">
        <v>61348</v>
      </c>
      <c r="E112" s="3">
        <v>30671</v>
      </c>
      <c r="F112" s="3"/>
      <c r="G112" s="3"/>
    </row>
    <row r="113" spans="1:7" x14ac:dyDescent="0.25">
      <c r="A113" t="s">
        <v>81</v>
      </c>
      <c r="B113" s="3">
        <v>15616</v>
      </c>
      <c r="C113" s="3">
        <v>18960</v>
      </c>
      <c r="D113" s="3">
        <v>14420</v>
      </c>
      <c r="E113" s="3"/>
      <c r="F113" s="3"/>
      <c r="G113" s="3"/>
    </row>
    <row r="114" spans="1:7" x14ac:dyDescent="0.25">
      <c r="B114" s="3">
        <v>94605</v>
      </c>
      <c r="C114" s="3">
        <v>100861</v>
      </c>
      <c r="D114" s="3">
        <v>98843</v>
      </c>
      <c r="E114" s="3">
        <v>84276</v>
      </c>
      <c r="F114" s="3"/>
      <c r="G114" s="3"/>
    </row>
    <row r="115" spans="1:7" x14ac:dyDescent="0.25">
      <c r="B115" s="3">
        <v>64693</v>
      </c>
      <c r="C115" s="3">
        <v>64187</v>
      </c>
      <c r="D115" s="3">
        <v>60247</v>
      </c>
      <c r="E115" s="3">
        <v>62248</v>
      </c>
      <c r="F115" s="3"/>
      <c r="G115" s="3"/>
    </row>
    <row r="116" spans="1:7" x14ac:dyDescent="0.25">
      <c r="B116" s="3">
        <v>29912</v>
      </c>
      <c r="C116" s="3">
        <v>36674</v>
      </c>
      <c r="D116" s="3">
        <v>38596</v>
      </c>
      <c r="E116" s="3">
        <v>22028</v>
      </c>
      <c r="F116" s="3"/>
      <c r="G116" s="3"/>
    </row>
    <row r="117" spans="1:7" x14ac:dyDescent="0.25">
      <c r="A117" t="s">
        <v>82</v>
      </c>
      <c r="B117" s="3">
        <v>17370</v>
      </c>
      <c r="C117" s="3">
        <v>19472</v>
      </c>
      <c r="D117" s="3">
        <v>18873</v>
      </c>
      <c r="E117" s="3"/>
      <c r="F117" s="3"/>
      <c r="G117" s="3"/>
    </row>
    <row r="118" spans="1:7" x14ac:dyDescent="0.25">
      <c r="B118" s="3">
        <v>91056</v>
      </c>
      <c r="C118" s="3">
        <v>96601</v>
      </c>
      <c r="D118" s="3">
        <v>95631</v>
      </c>
      <c r="E118" s="3"/>
      <c r="F118" s="3"/>
      <c r="G118" s="3"/>
    </row>
    <row r="119" spans="1:7" x14ac:dyDescent="0.25">
      <c r="B119" s="3">
        <v>55555</v>
      </c>
      <c r="C119" s="3">
        <v>59938</v>
      </c>
      <c r="D119" s="3">
        <v>61180</v>
      </c>
      <c r="E119" s="3"/>
      <c r="F119" s="3"/>
      <c r="G119" s="3"/>
    </row>
    <row r="120" spans="1:7" x14ac:dyDescent="0.25">
      <c r="B120" s="3">
        <v>35501</v>
      </c>
      <c r="C120" s="3">
        <v>36663</v>
      </c>
      <c r="D120" s="3">
        <v>34451</v>
      </c>
      <c r="E120" s="3"/>
      <c r="F120" s="3"/>
      <c r="G120" s="3"/>
    </row>
    <row r="121" spans="1:7" x14ac:dyDescent="0.25">
      <c r="A121" t="s">
        <v>71</v>
      </c>
      <c r="B121" s="3">
        <v>37101</v>
      </c>
      <c r="C121" s="3">
        <v>37479</v>
      </c>
      <c r="D121" s="3">
        <v>20048</v>
      </c>
      <c r="E121" s="3">
        <v>9625</v>
      </c>
      <c r="F121" s="3"/>
      <c r="G121" s="3"/>
    </row>
    <row r="122" spans="1:7" x14ac:dyDescent="0.25">
      <c r="B122" s="3">
        <v>169439</v>
      </c>
      <c r="C122" s="3">
        <v>170846</v>
      </c>
      <c r="D122" s="3">
        <v>172847</v>
      </c>
      <c r="E122" s="3">
        <v>141295</v>
      </c>
      <c r="F122" s="3"/>
      <c r="G122" s="3"/>
    </row>
    <row r="123" spans="1:7" x14ac:dyDescent="0.25">
      <c r="B123" s="3">
        <v>104358</v>
      </c>
      <c r="C123" s="3">
        <v>105183</v>
      </c>
      <c r="D123" s="3">
        <v>106199</v>
      </c>
      <c r="E123" s="3">
        <v>101655</v>
      </c>
      <c r="F123" s="3"/>
      <c r="G123" s="3"/>
    </row>
    <row r="124" spans="1:7" x14ac:dyDescent="0.25">
      <c r="B124" s="3">
        <v>65081</v>
      </c>
      <c r="C124" s="3">
        <v>65663</v>
      </c>
      <c r="D124" s="3">
        <v>66648</v>
      </c>
      <c r="E124" s="3">
        <v>39640</v>
      </c>
      <c r="F124" s="3"/>
      <c r="G124" s="3"/>
    </row>
    <row r="125" spans="1:7" x14ac:dyDescent="0.25">
      <c r="A125" t="s">
        <v>72</v>
      </c>
      <c r="B125" s="3">
        <v>14364</v>
      </c>
      <c r="C125" s="3">
        <v>19058</v>
      </c>
      <c r="D125" s="3">
        <v>15464</v>
      </c>
      <c r="E125" s="3">
        <v>5595</v>
      </c>
      <c r="F125" s="3">
        <v>3869</v>
      </c>
      <c r="G125" s="3">
        <v>6341</v>
      </c>
    </row>
    <row r="126" spans="1:7" x14ac:dyDescent="0.25">
      <c r="B126" s="3">
        <v>84196</v>
      </c>
      <c r="C126" s="3">
        <v>93589</v>
      </c>
      <c r="D126" s="3">
        <v>98337</v>
      </c>
      <c r="E126" s="3">
        <v>77407</v>
      </c>
      <c r="F126" s="3">
        <v>70384</v>
      </c>
      <c r="G126" s="3">
        <v>53998</v>
      </c>
    </row>
    <row r="127" spans="1:7" x14ac:dyDescent="0.25">
      <c r="B127" s="3">
        <v>55147</v>
      </c>
      <c r="C127" s="3">
        <v>66673</v>
      </c>
      <c r="D127" s="3">
        <v>61633</v>
      </c>
      <c r="E127" s="3">
        <v>59190</v>
      </c>
      <c r="F127" s="3">
        <v>64968</v>
      </c>
      <c r="G127" s="3">
        <v>54399</v>
      </c>
    </row>
    <row r="128" spans="1:7" x14ac:dyDescent="0.25">
      <c r="B128" s="3">
        <v>29049</v>
      </c>
      <c r="C128" s="3">
        <v>26916</v>
      </c>
      <c r="D128" s="3">
        <v>36704</v>
      </c>
      <c r="E128" s="3">
        <v>18217</v>
      </c>
      <c r="F128" s="3">
        <v>5416</v>
      </c>
      <c r="G128" s="3">
        <v>-401</v>
      </c>
    </row>
    <row r="129" spans="1:7" x14ac:dyDescent="0.25">
      <c r="A129" t="s">
        <v>84</v>
      </c>
      <c r="B129" s="3">
        <v>11286</v>
      </c>
      <c r="C129" s="3">
        <v>12796</v>
      </c>
      <c r="D129" s="3">
        <v>9281</v>
      </c>
      <c r="E129" s="3">
        <v>4245</v>
      </c>
      <c r="F129" s="3"/>
      <c r="G129" s="3"/>
    </row>
    <row r="130" spans="1:7" x14ac:dyDescent="0.25">
      <c r="B130" s="3">
        <v>84147</v>
      </c>
      <c r="C130" s="3">
        <v>82474</v>
      </c>
      <c r="D130" s="3">
        <v>83949</v>
      </c>
      <c r="E130" s="3">
        <v>70571</v>
      </c>
      <c r="F130" s="3">
        <v>71381</v>
      </c>
      <c r="G130" s="3">
        <v>72192</v>
      </c>
    </row>
    <row r="131" spans="1:7" x14ac:dyDescent="0.25">
      <c r="B131" s="3">
        <v>55908</v>
      </c>
      <c r="C131" s="3">
        <v>61754</v>
      </c>
      <c r="D131" s="3">
        <v>57711</v>
      </c>
      <c r="E131" s="3">
        <v>48114</v>
      </c>
      <c r="F131" s="3">
        <v>52095</v>
      </c>
      <c r="G131" s="3">
        <v>56077</v>
      </c>
    </row>
    <row r="132" spans="1:7" x14ac:dyDescent="0.25">
      <c r="B132" s="3">
        <v>28239</v>
      </c>
      <c r="C132" s="3">
        <v>20720</v>
      </c>
      <c r="D132" s="3">
        <v>26238</v>
      </c>
      <c r="E132" s="3">
        <v>22457</v>
      </c>
      <c r="F132" s="3">
        <v>19286</v>
      </c>
      <c r="G132" s="3">
        <v>16115</v>
      </c>
    </row>
    <row r="133" spans="1:7" x14ac:dyDescent="0.25">
      <c r="A133" t="s">
        <v>85</v>
      </c>
      <c r="B133" s="3">
        <v>30105</v>
      </c>
      <c r="C133" s="3">
        <v>31323</v>
      </c>
      <c r="D133" s="3">
        <v>27262</v>
      </c>
      <c r="F133" s="3"/>
      <c r="G133" s="3"/>
    </row>
    <row r="134" spans="1:7" x14ac:dyDescent="0.25">
      <c r="B134" s="3">
        <v>137674</v>
      </c>
      <c r="C134" s="3">
        <v>147275</v>
      </c>
      <c r="D134" s="3">
        <v>147697</v>
      </c>
      <c r="E134" s="3">
        <v>121461</v>
      </c>
      <c r="F134" s="3"/>
      <c r="G134" s="3"/>
    </row>
    <row r="135" spans="1:7" x14ac:dyDescent="0.25">
      <c r="B135" s="3">
        <v>91418</v>
      </c>
      <c r="C135" s="3">
        <v>92785</v>
      </c>
      <c r="D135" s="3">
        <v>84641</v>
      </c>
      <c r="E135" s="3">
        <v>90546</v>
      </c>
      <c r="F135" s="3"/>
      <c r="G135" s="3"/>
    </row>
    <row r="136" spans="1:7" x14ac:dyDescent="0.25">
      <c r="B136" s="3">
        <v>46256</v>
      </c>
      <c r="C136" s="3">
        <v>54490</v>
      </c>
      <c r="D136" s="3">
        <v>63056</v>
      </c>
      <c r="E136" s="3">
        <v>30915</v>
      </c>
      <c r="F136" s="3"/>
      <c r="G136" s="3"/>
    </row>
    <row r="137" spans="1:7" x14ac:dyDescent="0.25">
      <c r="A137" t="s">
        <v>90</v>
      </c>
      <c r="B137" s="3">
        <v>9036</v>
      </c>
      <c r="C137" s="3">
        <v>10799</v>
      </c>
      <c r="D137" s="3">
        <v>9063</v>
      </c>
      <c r="E137" s="3">
        <v>3967</v>
      </c>
      <c r="F137" s="3">
        <v>3205</v>
      </c>
      <c r="G137" s="3">
        <v>4579</v>
      </c>
    </row>
    <row r="138" spans="1:7" x14ac:dyDescent="0.25">
      <c r="B138" s="3">
        <v>49543</v>
      </c>
      <c r="C138" s="3">
        <v>51145</v>
      </c>
      <c r="D138" s="3">
        <v>53325</v>
      </c>
      <c r="E138" s="3">
        <v>45608</v>
      </c>
      <c r="F138" s="3">
        <v>36626</v>
      </c>
      <c r="G138" s="3">
        <v>30097</v>
      </c>
    </row>
    <row r="139" spans="1:7" x14ac:dyDescent="0.25">
      <c r="B139" s="3">
        <v>34775</v>
      </c>
      <c r="C139" s="3">
        <v>38094</v>
      </c>
      <c r="D139" s="3">
        <v>34493</v>
      </c>
      <c r="E139" s="3">
        <v>31018</v>
      </c>
      <c r="F139" s="3">
        <v>32417</v>
      </c>
      <c r="G139" s="3">
        <v>36754</v>
      </c>
    </row>
    <row r="140" spans="1:7" x14ac:dyDescent="0.25">
      <c r="B140" s="3">
        <v>14768</v>
      </c>
      <c r="C140" s="3">
        <v>13051</v>
      </c>
      <c r="D140" s="3">
        <v>18832</v>
      </c>
      <c r="E140" s="3">
        <v>14590</v>
      </c>
      <c r="F140" s="3">
        <v>4209</v>
      </c>
      <c r="G140" s="3">
        <v>-6657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77F6B-4715-4019-BDD6-5F07600ED5CB}">
  <dimension ref="A1:R133"/>
  <sheetViews>
    <sheetView topLeftCell="A13" workbookViewId="0">
      <selection activeCell="D124" sqref="D124"/>
    </sheetView>
  </sheetViews>
  <sheetFormatPr defaultRowHeight="15" x14ac:dyDescent="0.25"/>
  <cols>
    <col min="1" max="1" width="20.5703125" customWidth="1"/>
    <col min="7" max="7" width="11.5703125" customWidth="1"/>
    <col min="9" max="9" width="11.42578125" customWidth="1"/>
    <col min="10" max="11" width="11.5703125" customWidth="1"/>
  </cols>
  <sheetData>
    <row r="1" spans="1:11" ht="18.75" x14ac:dyDescent="0.3">
      <c r="A1" s="6" t="s">
        <v>101</v>
      </c>
    </row>
    <row r="3" spans="1:11" x14ac:dyDescent="0.25">
      <c r="A3" s="19" t="s">
        <v>100</v>
      </c>
      <c r="B3" s="19">
        <v>1912</v>
      </c>
      <c r="C3" s="19">
        <v>1913</v>
      </c>
      <c r="D3" s="19">
        <v>1914</v>
      </c>
      <c r="E3" s="19">
        <v>1915</v>
      </c>
      <c r="F3" s="19">
        <v>1916</v>
      </c>
      <c r="G3" s="19">
        <v>1917</v>
      </c>
      <c r="I3" t="s">
        <v>129</v>
      </c>
      <c r="J3" t="s">
        <v>128</v>
      </c>
      <c r="K3" t="s">
        <v>130</v>
      </c>
    </row>
    <row r="4" spans="1:11" x14ac:dyDescent="0.25">
      <c r="A4" t="s">
        <v>90</v>
      </c>
      <c r="B4" s="3">
        <v>49543</v>
      </c>
      <c r="C4" s="3">
        <v>51145</v>
      </c>
      <c r="D4" s="3">
        <v>53325</v>
      </c>
      <c r="E4" s="3">
        <v>45608</v>
      </c>
      <c r="F4" s="3">
        <v>36626</v>
      </c>
      <c r="G4" s="3">
        <v>30097</v>
      </c>
      <c r="I4" s="2">
        <f>E4/C4*100</f>
        <v>89.173917293968131</v>
      </c>
      <c r="J4" s="2">
        <f>F4/C4*100</f>
        <v>71.612083292599465</v>
      </c>
      <c r="K4" s="2">
        <f>G4/C4*100</f>
        <v>58.846417049564955</v>
      </c>
    </row>
    <row r="5" spans="1:11" x14ac:dyDescent="0.25">
      <c r="A5" t="s">
        <v>54</v>
      </c>
      <c r="B5" s="3">
        <v>69276</v>
      </c>
      <c r="C5" s="3">
        <v>68354</v>
      </c>
      <c r="D5" s="3">
        <v>69704</v>
      </c>
      <c r="E5" s="3">
        <v>61575</v>
      </c>
      <c r="F5" s="3">
        <v>42218</v>
      </c>
      <c r="G5" s="3">
        <v>30446</v>
      </c>
      <c r="I5" s="2">
        <f t="shared" ref="I5:I33" si="0">E5/C5*100</f>
        <v>90.082511630628787</v>
      </c>
      <c r="J5" s="2">
        <f t="shared" ref="J5:J21" si="1">F5/C5*100</f>
        <v>61.763759253299</v>
      </c>
      <c r="K5" s="2">
        <f t="shared" ref="K5:K12" si="2">G5/C5*100</f>
        <v>44.541650817801447</v>
      </c>
    </row>
    <row r="6" spans="1:11" x14ac:dyDescent="0.25">
      <c r="A6" t="s">
        <v>65</v>
      </c>
      <c r="B6" s="3">
        <v>95763</v>
      </c>
      <c r="C6" s="3">
        <v>94474</v>
      </c>
      <c r="D6" s="3">
        <v>96923</v>
      </c>
      <c r="E6" s="3">
        <v>80210</v>
      </c>
      <c r="F6" s="3">
        <v>56918</v>
      </c>
      <c r="G6" s="3">
        <v>34144</v>
      </c>
      <c r="I6" s="2">
        <f t="shared" si="0"/>
        <v>84.901666066854375</v>
      </c>
      <c r="J6" s="2">
        <f t="shared" si="1"/>
        <v>60.247263797446912</v>
      </c>
      <c r="K6" s="2">
        <f t="shared" si="2"/>
        <v>36.141160530939729</v>
      </c>
    </row>
    <row r="7" spans="1:11" x14ac:dyDescent="0.25">
      <c r="A7" t="s">
        <v>64</v>
      </c>
      <c r="B7" s="3">
        <v>54831</v>
      </c>
      <c r="C7" s="3">
        <v>54649</v>
      </c>
      <c r="D7" s="3">
        <v>54373</v>
      </c>
      <c r="E7" s="3">
        <v>49738</v>
      </c>
      <c r="F7" s="3">
        <v>37375</v>
      </c>
      <c r="G7" s="3">
        <v>36284</v>
      </c>
      <c r="I7" s="2">
        <f t="shared" si="0"/>
        <v>91.013559260004769</v>
      </c>
      <c r="J7" s="2">
        <f t="shared" si="1"/>
        <v>68.391004409961752</v>
      </c>
      <c r="K7" s="2">
        <f t="shared" si="2"/>
        <v>66.394627532068299</v>
      </c>
    </row>
    <row r="8" spans="1:11" x14ac:dyDescent="0.25">
      <c r="A8" t="s">
        <v>45</v>
      </c>
      <c r="B8" s="3">
        <v>84963</v>
      </c>
      <c r="C8" s="3">
        <v>90305</v>
      </c>
      <c r="D8" s="3">
        <v>89028</v>
      </c>
      <c r="E8" s="3">
        <v>79192</v>
      </c>
      <c r="F8" s="3">
        <v>59541</v>
      </c>
      <c r="G8" s="3">
        <v>37793</v>
      </c>
      <c r="I8" s="2">
        <f t="shared" si="0"/>
        <v>87.693926139194957</v>
      </c>
      <c r="J8" s="2">
        <f t="shared" si="1"/>
        <v>65.933226288688331</v>
      </c>
      <c r="K8" s="2">
        <f t="shared" si="2"/>
        <v>41.85039588062677</v>
      </c>
    </row>
    <row r="9" spans="1:11" x14ac:dyDescent="0.25">
      <c r="A9" t="s">
        <v>74</v>
      </c>
      <c r="B9" s="3">
        <v>56099</v>
      </c>
      <c r="C9" s="3">
        <v>56155</v>
      </c>
      <c r="D9" s="3">
        <v>55460</v>
      </c>
      <c r="E9" s="3">
        <v>51956</v>
      </c>
      <c r="F9" s="3">
        <v>46188</v>
      </c>
      <c r="G9" s="3">
        <v>43109</v>
      </c>
      <c r="I9" s="2">
        <f t="shared" si="0"/>
        <v>92.5224824147449</v>
      </c>
      <c r="J9" s="2">
        <f t="shared" si="1"/>
        <v>82.250912652479741</v>
      </c>
      <c r="K9" s="2">
        <f t="shared" si="2"/>
        <v>76.767874632713031</v>
      </c>
    </row>
    <row r="10" spans="1:11" x14ac:dyDescent="0.25">
      <c r="A10" t="s">
        <v>72</v>
      </c>
      <c r="B10" s="3">
        <v>84196</v>
      </c>
      <c r="C10" s="3">
        <v>93589</v>
      </c>
      <c r="D10" s="3">
        <v>98337</v>
      </c>
      <c r="E10" s="3">
        <v>77407</v>
      </c>
      <c r="F10" s="3">
        <v>70384</v>
      </c>
      <c r="G10" s="3">
        <v>53998</v>
      </c>
      <c r="I10" s="2">
        <f t="shared" si="0"/>
        <v>82.709506459092424</v>
      </c>
      <c r="J10" s="2">
        <f t="shared" si="1"/>
        <v>75.205419440318849</v>
      </c>
      <c r="K10" s="2">
        <f t="shared" si="2"/>
        <v>57.696951564820651</v>
      </c>
    </row>
    <row r="11" spans="1:11" x14ac:dyDescent="0.25">
      <c r="A11" t="s">
        <v>80</v>
      </c>
      <c r="B11" s="3">
        <v>150477</v>
      </c>
      <c r="C11" s="3">
        <v>151661</v>
      </c>
      <c r="D11" s="3">
        <v>156818</v>
      </c>
      <c r="E11" s="3">
        <v>139176</v>
      </c>
      <c r="F11" s="3">
        <v>90943</v>
      </c>
      <c r="G11" s="3">
        <v>62306</v>
      </c>
      <c r="I11" s="2">
        <f t="shared" si="0"/>
        <v>91.767824292336201</v>
      </c>
      <c r="J11" s="2">
        <f t="shared" si="1"/>
        <v>59.964658020189766</v>
      </c>
      <c r="K11" s="2">
        <f t="shared" si="2"/>
        <v>41.082414068217929</v>
      </c>
    </row>
    <row r="12" spans="1:11" x14ac:dyDescent="0.25">
      <c r="A12" t="s">
        <v>84</v>
      </c>
      <c r="B12" s="3">
        <v>84147</v>
      </c>
      <c r="C12" s="3">
        <v>82474</v>
      </c>
      <c r="D12" s="3">
        <v>83949</v>
      </c>
      <c r="E12" s="3">
        <v>70571</v>
      </c>
      <c r="F12" s="3">
        <v>71381</v>
      </c>
      <c r="G12" s="3">
        <v>72192</v>
      </c>
      <c r="I12" s="2">
        <f t="shared" si="0"/>
        <v>85.567572810825226</v>
      </c>
      <c r="J12" s="2">
        <f t="shared" si="1"/>
        <v>86.549700511676406</v>
      </c>
      <c r="K12" s="2">
        <f t="shared" si="2"/>
        <v>87.533040715861972</v>
      </c>
    </row>
    <row r="13" spans="1:11" x14ac:dyDescent="0.25">
      <c r="A13" t="s">
        <v>40</v>
      </c>
      <c r="B13" s="3">
        <v>20220</v>
      </c>
      <c r="C13" s="3">
        <v>20694</v>
      </c>
      <c r="D13" s="3">
        <v>20696</v>
      </c>
      <c r="E13" s="3">
        <v>18439</v>
      </c>
      <c r="F13" s="3">
        <v>15749</v>
      </c>
      <c r="G13" s="3"/>
      <c r="I13" s="2">
        <f t="shared" si="0"/>
        <v>89.10312167778099</v>
      </c>
      <c r="J13" s="2">
        <f t="shared" si="1"/>
        <v>76.104184787861215</v>
      </c>
    </row>
    <row r="14" spans="1:11" x14ac:dyDescent="0.25">
      <c r="A14" t="s">
        <v>77</v>
      </c>
      <c r="B14" s="3">
        <v>56272</v>
      </c>
      <c r="C14" s="3">
        <v>56921</v>
      </c>
      <c r="D14" s="3">
        <v>57976</v>
      </c>
      <c r="E14" s="3">
        <v>48441</v>
      </c>
      <c r="F14" s="3">
        <v>40697</v>
      </c>
      <c r="G14" s="3"/>
      <c r="I14" s="2">
        <f t="shared" si="0"/>
        <v>85.102159132833222</v>
      </c>
      <c r="J14" s="2">
        <f t="shared" si="1"/>
        <v>71.497338416401675</v>
      </c>
    </row>
    <row r="15" spans="1:11" x14ac:dyDescent="0.25">
      <c r="A15" t="s">
        <v>66</v>
      </c>
      <c r="B15" s="3">
        <v>68794</v>
      </c>
      <c r="C15" s="3">
        <v>70780</v>
      </c>
      <c r="D15" s="3">
        <v>74673</v>
      </c>
      <c r="E15" s="3">
        <v>61757</v>
      </c>
      <c r="F15" s="3">
        <v>49022</v>
      </c>
      <c r="G15" s="3"/>
      <c r="I15" s="2">
        <f t="shared" si="0"/>
        <v>87.252048601299805</v>
      </c>
      <c r="J15" s="2">
        <f t="shared" si="1"/>
        <v>69.259677875105965</v>
      </c>
    </row>
    <row r="16" spans="1:11" x14ac:dyDescent="0.25">
      <c r="A16" t="s">
        <v>63</v>
      </c>
      <c r="B16" s="3">
        <v>81101</v>
      </c>
      <c r="C16" s="3">
        <v>79333</v>
      </c>
      <c r="D16" s="3">
        <v>81710</v>
      </c>
      <c r="E16" s="3">
        <v>69324</v>
      </c>
      <c r="F16" s="3">
        <v>55901</v>
      </c>
      <c r="G16" s="3"/>
      <c r="I16" s="2">
        <f t="shared" si="0"/>
        <v>87.383560435127876</v>
      </c>
      <c r="J16" s="2">
        <f t="shared" si="1"/>
        <v>70.463741444291784</v>
      </c>
    </row>
    <row r="17" spans="1:18" x14ac:dyDescent="0.25">
      <c r="A17" t="s">
        <v>78</v>
      </c>
      <c r="B17" s="3">
        <v>106229</v>
      </c>
      <c r="C17" s="3">
        <v>109780</v>
      </c>
      <c r="D17" s="3">
        <v>110140</v>
      </c>
      <c r="E17" s="3">
        <v>92004</v>
      </c>
      <c r="F17" s="3">
        <v>69039</v>
      </c>
      <c r="G17" s="3"/>
      <c r="I17" s="2">
        <f t="shared" si="0"/>
        <v>83.807615230460925</v>
      </c>
      <c r="J17" s="2">
        <f t="shared" si="1"/>
        <v>62.888504281289848</v>
      </c>
    </row>
    <row r="18" spans="1:18" x14ac:dyDescent="0.25">
      <c r="A18" t="s">
        <v>68</v>
      </c>
      <c r="B18" s="3">
        <v>121291</v>
      </c>
      <c r="C18" s="3">
        <v>119071</v>
      </c>
      <c r="D18" s="3">
        <v>114874</v>
      </c>
      <c r="E18" s="3">
        <v>97515</v>
      </c>
      <c r="F18" s="3">
        <v>75411</v>
      </c>
      <c r="G18" s="3"/>
      <c r="I18" s="2">
        <f t="shared" si="0"/>
        <v>81.896515524351017</v>
      </c>
      <c r="J18" s="2">
        <f t="shared" si="1"/>
        <v>63.332801437797613</v>
      </c>
    </row>
    <row r="19" spans="1:18" x14ac:dyDescent="0.25">
      <c r="A19" t="s">
        <v>51</v>
      </c>
      <c r="B19" s="3">
        <v>174732</v>
      </c>
      <c r="C19" s="3">
        <v>172187</v>
      </c>
      <c r="D19" s="3">
        <v>174809</v>
      </c>
      <c r="E19" s="3">
        <v>154072</v>
      </c>
      <c r="F19" s="3">
        <v>104927</v>
      </c>
      <c r="G19" s="3"/>
      <c r="I19" s="2">
        <f t="shared" si="0"/>
        <v>89.479461283372146</v>
      </c>
      <c r="J19" s="2">
        <f t="shared" si="1"/>
        <v>60.937817605277978</v>
      </c>
    </row>
    <row r="20" spans="1:18" x14ac:dyDescent="0.25">
      <c r="A20" t="s">
        <v>79</v>
      </c>
      <c r="B20" s="3">
        <v>197355</v>
      </c>
      <c r="C20" s="3">
        <v>203545</v>
      </c>
      <c r="D20" s="3">
        <v>213734</v>
      </c>
      <c r="E20" s="3">
        <v>183292</v>
      </c>
      <c r="F20" s="3">
        <v>115876</v>
      </c>
      <c r="G20" s="3"/>
      <c r="I20" s="2">
        <f t="shared" si="0"/>
        <v>90.049866122970343</v>
      </c>
      <c r="J20" s="2">
        <f t="shared" si="1"/>
        <v>56.9289346336191</v>
      </c>
    </row>
    <row r="21" spans="1:18" x14ac:dyDescent="0.25">
      <c r="A21" t="s">
        <v>47</v>
      </c>
      <c r="B21" s="3">
        <v>176717</v>
      </c>
      <c r="C21" s="3">
        <v>175310</v>
      </c>
      <c r="D21" s="3">
        <v>179175</v>
      </c>
      <c r="E21" s="3">
        <v>153298</v>
      </c>
      <c r="F21" s="3">
        <v>116108</v>
      </c>
      <c r="G21" s="3"/>
      <c r="I21" s="2">
        <f t="shared" si="0"/>
        <v>87.443956420055898</v>
      </c>
      <c r="J21" s="2">
        <f t="shared" si="1"/>
        <v>66.230106668187787</v>
      </c>
    </row>
    <row r="22" spans="1:18" x14ac:dyDescent="0.25">
      <c r="A22" t="s">
        <v>41</v>
      </c>
      <c r="B22" s="3">
        <v>48755</v>
      </c>
      <c r="C22" s="3">
        <v>50086</v>
      </c>
      <c r="D22" s="3">
        <v>52352</v>
      </c>
      <c r="E22" s="3">
        <v>43931</v>
      </c>
      <c r="F22" s="3"/>
      <c r="G22" s="3"/>
      <c r="I22" s="2">
        <f t="shared" si="0"/>
        <v>87.711136844627248</v>
      </c>
      <c r="J22" s="2"/>
    </row>
    <row r="23" spans="1:18" x14ac:dyDescent="0.25">
      <c r="A23" t="s">
        <v>67</v>
      </c>
      <c r="B23" s="3">
        <v>20725</v>
      </c>
      <c r="C23" s="3">
        <v>20638</v>
      </c>
      <c r="D23" s="3">
        <v>22794</v>
      </c>
      <c r="E23" s="3">
        <v>18049</v>
      </c>
      <c r="F23" s="3"/>
      <c r="G23" s="3"/>
      <c r="I23" s="2">
        <f t="shared" si="0"/>
        <v>87.455179765481148</v>
      </c>
      <c r="J23" s="2"/>
    </row>
    <row r="24" spans="1:18" x14ac:dyDescent="0.25">
      <c r="A24" t="s">
        <v>50</v>
      </c>
      <c r="B24" s="3">
        <v>75606</v>
      </c>
      <c r="C24" s="3">
        <v>77732</v>
      </c>
      <c r="D24" s="3">
        <v>80204</v>
      </c>
      <c r="E24" s="3">
        <v>63389</v>
      </c>
      <c r="F24" s="3"/>
      <c r="G24" s="3"/>
      <c r="I24" s="2">
        <f t="shared" si="0"/>
        <v>81.548139762260078</v>
      </c>
      <c r="J24" s="2"/>
    </row>
    <row r="25" spans="1:18" x14ac:dyDescent="0.25">
      <c r="A25" t="s">
        <v>57</v>
      </c>
      <c r="B25" s="3">
        <v>76670</v>
      </c>
      <c r="C25" s="3">
        <v>80394</v>
      </c>
      <c r="D25" s="3">
        <v>84144</v>
      </c>
      <c r="E25" s="3">
        <v>70008</v>
      </c>
      <c r="F25" s="3"/>
      <c r="G25" s="3"/>
      <c r="I25" s="2">
        <f t="shared" si="0"/>
        <v>87.081125457123662</v>
      </c>
      <c r="J25" s="2"/>
    </row>
    <row r="26" spans="1:18" x14ac:dyDescent="0.25">
      <c r="A26" t="s">
        <v>69</v>
      </c>
      <c r="B26" s="3">
        <v>96963</v>
      </c>
      <c r="C26" s="3">
        <v>96895</v>
      </c>
      <c r="D26" s="3">
        <v>93557</v>
      </c>
      <c r="E26" s="3">
        <v>81039</v>
      </c>
      <c r="F26" s="3"/>
      <c r="G26" s="3"/>
      <c r="I26" s="2">
        <f t="shared" si="0"/>
        <v>83.635894525001291</v>
      </c>
      <c r="J26" s="2"/>
    </row>
    <row r="27" spans="1:18" x14ac:dyDescent="0.25">
      <c r="A27" t="s">
        <v>81</v>
      </c>
      <c r="B27" s="3">
        <v>94605</v>
      </c>
      <c r="C27" s="3">
        <v>100861</v>
      </c>
      <c r="D27" s="3">
        <v>98843</v>
      </c>
      <c r="E27" s="3">
        <v>84276</v>
      </c>
      <c r="F27" s="3"/>
      <c r="G27" s="3"/>
      <c r="I27" s="2">
        <f t="shared" si="0"/>
        <v>83.556577864585918</v>
      </c>
      <c r="J27" s="2"/>
    </row>
    <row r="28" spans="1:18" x14ac:dyDescent="0.25">
      <c r="A28" t="s">
        <v>53</v>
      </c>
      <c r="B28" s="3">
        <v>123200</v>
      </c>
      <c r="C28" s="3">
        <v>125067</v>
      </c>
      <c r="D28" s="3">
        <v>126363</v>
      </c>
      <c r="E28" s="3">
        <v>108493</v>
      </c>
      <c r="F28" s="3"/>
      <c r="G28" s="3"/>
      <c r="I28" s="2">
        <f t="shared" si="0"/>
        <v>86.747903123925568</v>
      </c>
      <c r="J28" s="2"/>
    </row>
    <row r="29" spans="1:18" x14ac:dyDescent="0.25">
      <c r="A29" t="s">
        <v>85</v>
      </c>
      <c r="B29" s="3">
        <v>137674</v>
      </c>
      <c r="C29" s="3">
        <v>147275</v>
      </c>
      <c r="D29" s="3">
        <v>147697</v>
      </c>
      <c r="E29" s="3">
        <v>121461</v>
      </c>
      <c r="F29" s="3"/>
      <c r="G29" s="3"/>
      <c r="I29" s="2">
        <f t="shared" si="0"/>
        <v>82.472245798675942</v>
      </c>
      <c r="J29" s="2"/>
    </row>
    <row r="30" spans="1:18" x14ac:dyDescent="0.25">
      <c r="A30" t="s">
        <v>59</v>
      </c>
      <c r="B30" s="3">
        <v>145050</v>
      </c>
      <c r="C30" s="3">
        <v>144236</v>
      </c>
      <c r="D30" s="3">
        <v>138965</v>
      </c>
      <c r="E30" s="3">
        <v>125864</v>
      </c>
      <c r="F30" s="3"/>
      <c r="G30" s="3"/>
      <c r="I30" s="2">
        <f t="shared" si="0"/>
        <v>87.262541945145458</v>
      </c>
      <c r="J30" s="2"/>
    </row>
    <row r="31" spans="1:18" x14ac:dyDescent="0.25">
      <c r="A31" t="s">
        <v>71</v>
      </c>
      <c r="B31" s="3">
        <v>169439</v>
      </c>
      <c r="C31" s="3">
        <v>170846</v>
      </c>
      <c r="D31" s="3">
        <v>172847</v>
      </c>
      <c r="E31" s="3">
        <v>141295</v>
      </c>
      <c r="F31" s="3"/>
      <c r="G31" s="3"/>
      <c r="I31" s="2">
        <f t="shared" si="0"/>
        <v>82.703136157709281</v>
      </c>
      <c r="J31" s="2"/>
      <c r="M31" t="s">
        <v>135</v>
      </c>
      <c r="R31" s="2">
        <f>AVERAGE(I4:I21)</f>
        <v>87.608403933105663</v>
      </c>
    </row>
    <row r="32" spans="1:18" x14ac:dyDescent="0.25">
      <c r="A32" t="s">
        <v>48</v>
      </c>
      <c r="B32" s="3">
        <v>188286</v>
      </c>
      <c r="C32" s="3">
        <v>188367</v>
      </c>
      <c r="D32" s="3">
        <v>190574</v>
      </c>
      <c r="E32" s="3">
        <v>160915</v>
      </c>
      <c r="F32" s="3"/>
      <c r="G32" s="3"/>
      <c r="I32" s="2">
        <f t="shared" si="0"/>
        <v>85.426322020311417</v>
      </c>
      <c r="J32" s="2"/>
      <c r="M32" t="s">
        <v>136</v>
      </c>
      <c r="R32" s="2">
        <f>AVERAGE(I22:I33)</f>
        <v>85.85885177465623</v>
      </c>
    </row>
    <row r="33" spans="1:18" x14ac:dyDescent="0.25">
      <c r="A33" t="s">
        <v>70</v>
      </c>
      <c r="B33" s="3">
        <v>205475</v>
      </c>
      <c r="C33" s="3">
        <v>199434</v>
      </c>
      <c r="D33" s="3">
        <v>202078</v>
      </c>
      <c r="E33" s="3">
        <v>188876</v>
      </c>
      <c r="F33" s="3"/>
      <c r="G33" s="3"/>
      <c r="I33" s="2">
        <f t="shared" si="0"/>
        <v>94.70601803102781</v>
      </c>
      <c r="J33" s="2"/>
    </row>
    <row r="34" spans="1:18" x14ac:dyDescent="0.25">
      <c r="A34" t="s">
        <v>99</v>
      </c>
      <c r="B34" s="3">
        <v>113025</v>
      </c>
      <c r="C34" s="3">
        <v>120509</v>
      </c>
      <c r="D34" s="3">
        <v>119297</v>
      </c>
      <c r="E34" s="3"/>
      <c r="F34" s="3"/>
      <c r="G34" s="3"/>
      <c r="M34" t="s">
        <v>133</v>
      </c>
      <c r="R34" s="2">
        <f>AVERAGE(J4:J12)</f>
        <v>70.213114185184466</v>
      </c>
    </row>
    <row r="35" spans="1:18" x14ac:dyDescent="0.25">
      <c r="A35" t="s">
        <v>73</v>
      </c>
      <c r="B35" s="3">
        <v>36906</v>
      </c>
      <c r="C35" s="3">
        <v>37354</v>
      </c>
      <c r="D35" s="3">
        <v>35638</v>
      </c>
      <c r="E35" s="3"/>
      <c r="F35" s="3"/>
      <c r="G35" s="3"/>
      <c r="M35" t="s">
        <v>134</v>
      </c>
      <c r="R35" s="2">
        <f>AVERAGE(J13:J21)</f>
        <v>66.404789683314775</v>
      </c>
    </row>
    <row r="36" spans="1:18" x14ac:dyDescent="0.25">
      <c r="A36" t="s">
        <v>82</v>
      </c>
      <c r="B36" s="3">
        <v>91056</v>
      </c>
      <c r="C36" s="3">
        <v>96601</v>
      </c>
      <c r="D36" s="3">
        <v>95631</v>
      </c>
      <c r="E36" s="3"/>
      <c r="F36" s="3"/>
      <c r="G36" s="3"/>
    </row>
    <row r="38" spans="1:18" x14ac:dyDescent="0.25">
      <c r="A38" s="21" t="s">
        <v>127</v>
      </c>
      <c r="M38" t="s">
        <v>131</v>
      </c>
      <c r="R38" s="2">
        <f>AVERAGE(I4:I12)</f>
        <v>88.381440707516646</v>
      </c>
    </row>
    <row r="39" spans="1:18" x14ac:dyDescent="0.25">
      <c r="M39" t="s">
        <v>132</v>
      </c>
      <c r="R39" s="2">
        <f>AVERAGE(I13:I33)</f>
        <v>86.277358367815552</v>
      </c>
    </row>
    <row r="40" spans="1:18" x14ac:dyDescent="0.25">
      <c r="A40" s="22" t="s">
        <v>3</v>
      </c>
      <c r="B40" s="19" t="s">
        <v>102</v>
      </c>
      <c r="C40" s="19" t="s">
        <v>103</v>
      </c>
      <c r="D40" s="19" t="s">
        <v>104</v>
      </c>
      <c r="F40" s="19" t="s">
        <v>105</v>
      </c>
    </row>
    <row r="41" spans="1:18" x14ac:dyDescent="0.25">
      <c r="A41">
        <v>1914</v>
      </c>
      <c r="B41" s="3">
        <f>SUM(D4:D36)</f>
        <v>3446688</v>
      </c>
      <c r="C41" s="3">
        <f>SUM(C4:C36)</f>
        <v>3406722</v>
      </c>
      <c r="D41" s="2">
        <f>B41/C41*100</f>
        <v>101.17315119930537</v>
      </c>
      <c r="F41" s="2">
        <f>D41*48.8/100</f>
        <v>49.372497785261011</v>
      </c>
    </row>
    <row r="42" spans="1:18" x14ac:dyDescent="0.25">
      <c r="A42">
        <v>1915</v>
      </c>
      <c r="B42" s="3">
        <f>SUM(E4:E33)</f>
        <v>2741171</v>
      </c>
      <c r="C42" s="3">
        <f>SUM(C4:C33)</f>
        <v>3152258</v>
      </c>
      <c r="D42" s="2">
        <f t="shared" ref="D42:D44" si="3">B42/C42*100</f>
        <v>86.958967191137276</v>
      </c>
      <c r="F42" s="2">
        <f t="shared" ref="F42:F44" si="4">D42*48.8/100</f>
        <v>42.435975989274986</v>
      </c>
    </row>
    <row r="43" spans="1:18" x14ac:dyDescent="0.25">
      <c r="A43">
        <v>1916</v>
      </c>
      <c r="B43" s="3">
        <f>SUM(F4:F21)</f>
        <v>1154304</v>
      </c>
      <c r="C43" s="3">
        <f>SUM(C4:C21)</f>
        <v>1750427</v>
      </c>
      <c r="D43" s="2">
        <f t="shared" si="3"/>
        <v>65.944138201707361</v>
      </c>
      <c r="F43" s="2">
        <f t="shared" si="4"/>
        <v>32.180739442433193</v>
      </c>
    </row>
    <row r="44" spans="1:18" x14ac:dyDescent="0.25">
      <c r="A44">
        <v>1917</v>
      </c>
      <c r="B44" s="3">
        <f>SUM(G4:G12)</f>
        <v>400369</v>
      </c>
      <c r="C44" s="3">
        <f>SUM(C4:C12)</f>
        <v>742806</v>
      </c>
      <c r="D44" s="2">
        <f t="shared" si="3"/>
        <v>53.899537698941579</v>
      </c>
      <c r="F44" s="2">
        <f t="shared" si="4"/>
        <v>26.302974397083489</v>
      </c>
    </row>
    <row r="46" spans="1:18" x14ac:dyDescent="0.25">
      <c r="A46" s="21" t="s">
        <v>118</v>
      </c>
    </row>
    <row r="48" spans="1:18" x14ac:dyDescent="0.25">
      <c r="A48" s="22" t="s">
        <v>3</v>
      </c>
      <c r="B48" s="19" t="s">
        <v>102</v>
      </c>
      <c r="C48" s="19" t="s">
        <v>104</v>
      </c>
    </row>
    <row r="49" spans="1:4" x14ac:dyDescent="0.25">
      <c r="A49" s="31">
        <v>1913</v>
      </c>
      <c r="B49" s="3">
        <f>SUM(C4:C12)</f>
        <v>742806</v>
      </c>
      <c r="C49" s="34">
        <f>B49/B$49*100</f>
        <v>100</v>
      </c>
      <c r="D49" s="2"/>
    </row>
    <row r="50" spans="1:4" x14ac:dyDescent="0.25">
      <c r="A50">
        <v>1914</v>
      </c>
      <c r="B50" s="3">
        <f>SUM(D4:D12)</f>
        <v>757917</v>
      </c>
      <c r="C50" s="34">
        <f t="shared" ref="C50:C53" si="5">B50/B$49*100</f>
        <v>102.03431313155791</v>
      </c>
      <c r="D50" s="2"/>
    </row>
    <row r="51" spans="1:4" x14ac:dyDescent="0.25">
      <c r="A51">
        <v>1915</v>
      </c>
      <c r="B51" s="3">
        <f>SUM(E4:E12)</f>
        <v>655433</v>
      </c>
      <c r="C51" s="34">
        <f t="shared" si="5"/>
        <v>88.237440192997909</v>
      </c>
      <c r="D51" s="2"/>
    </row>
    <row r="52" spans="1:4" x14ac:dyDescent="0.25">
      <c r="A52">
        <v>1916</v>
      </c>
      <c r="B52" s="3">
        <f>SUM(F4:F12)</f>
        <v>511574</v>
      </c>
      <c r="C52" s="34">
        <f t="shared" si="5"/>
        <v>68.870472236357813</v>
      </c>
      <c r="D52" s="2"/>
    </row>
    <row r="53" spans="1:4" x14ac:dyDescent="0.25">
      <c r="A53">
        <v>1917</v>
      </c>
      <c r="B53" s="3">
        <f>SUM(G4:G12)</f>
        <v>400369</v>
      </c>
      <c r="C53" s="34">
        <f t="shared" si="5"/>
        <v>53.899537698941579</v>
      </c>
      <c r="D53" s="2"/>
    </row>
    <row r="55" spans="1:4" x14ac:dyDescent="0.25">
      <c r="A55" s="21" t="s">
        <v>117</v>
      </c>
    </row>
    <row r="57" spans="1:4" x14ac:dyDescent="0.25">
      <c r="A57" s="22" t="s">
        <v>3</v>
      </c>
      <c r="B57" s="19" t="s">
        <v>102</v>
      </c>
      <c r="C57" s="19" t="s">
        <v>104</v>
      </c>
    </row>
    <row r="58" spans="1:4" x14ac:dyDescent="0.25">
      <c r="A58" s="31">
        <v>1913</v>
      </c>
      <c r="B58" s="3">
        <f>SUM(C4:C21)</f>
        <v>1750427</v>
      </c>
      <c r="C58" s="2">
        <f>B58/B$58*100</f>
        <v>100</v>
      </c>
    </row>
    <row r="59" spans="1:4" x14ac:dyDescent="0.25">
      <c r="A59">
        <v>1914</v>
      </c>
      <c r="B59" s="3">
        <f>SUM(D4:D21)</f>
        <v>1785704</v>
      </c>
      <c r="C59" s="2">
        <f t="shared" ref="C59:C61" si="6">B59/B$58*100</f>
        <v>102.01533682924224</v>
      </c>
    </row>
    <row r="60" spans="1:4" x14ac:dyDescent="0.25">
      <c r="A60">
        <v>1915</v>
      </c>
      <c r="B60" s="3">
        <f>SUM(E4:E21)</f>
        <v>1533575</v>
      </c>
      <c r="C60" s="2">
        <f t="shared" si="6"/>
        <v>87.611479941751355</v>
      </c>
    </row>
    <row r="61" spans="1:4" x14ac:dyDescent="0.25">
      <c r="A61">
        <v>1916</v>
      </c>
      <c r="B61" s="3">
        <f>SUM(F4:F21)</f>
        <v>1154304</v>
      </c>
      <c r="C61" s="2">
        <f t="shared" si="6"/>
        <v>65.944138201707361</v>
      </c>
    </row>
    <row r="63" spans="1:4" x14ac:dyDescent="0.25">
      <c r="A63" s="21" t="s">
        <v>119</v>
      </c>
    </row>
    <row r="65" spans="1:5" x14ac:dyDescent="0.25">
      <c r="A65" s="22" t="s">
        <v>3</v>
      </c>
      <c r="B65" s="19" t="s">
        <v>102</v>
      </c>
      <c r="C65" s="19" t="s">
        <v>104</v>
      </c>
    </row>
    <row r="66" spans="1:5" x14ac:dyDescent="0.25">
      <c r="A66" s="31">
        <v>1913</v>
      </c>
      <c r="B66" s="3">
        <f>SUM(C4:C33)</f>
        <v>3152258</v>
      </c>
      <c r="C66" s="2">
        <f>B66/B$66*100</f>
        <v>100</v>
      </c>
    </row>
    <row r="67" spans="1:5" x14ac:dyDescent="0.25">
      <c r="A67">
        <v>1914</v>
      </c>
      <c r="B67" s="3">
        <f>SUM(D4:D33)</f>
        <v>3196122</v>
      </c>
      <c r="C67" s="2">
        <f t="shared" ref="C67:C68" si="7">B67/B$66*100</f>
        <v>101.39151046646562</v>
      </c>
    </row>
    <row r="68" spans="1:5" x14ac:dyDescent="0.25">
      <c r="A68">
        <v>1915</v>
      </c>
      <c r="B68" s="3">
        <f>SUM(E4:E33)</f>
        <v>2741171</v>
      </c>
      <c r="C68" s="2">
        <f t="shared" si="7"/>
        <v>86.958967191137276</v>
      </c>
    </row>
    <row r="70" spans="1:5" x14ac:dyDescent="0.25">
      <c r="A70" s="21" t="s">
        <v>120</v>
      </c>
    </row>
    <row r="72" spans="1:5" x14ac:dyDescent="0.25">
      <c r="A72" s="22" t="s">
        <v>3</v>
      </c>
      <c r="B72" s="19" t="s">
        <v>102</v>
      </c>
      <c r="C72" s="19" t="s">
        <v>104</v>
      </c>
    </row>
    <row r="73" spans="1:5" x14ac:dyDescent="0.25">
      <c r="A73" s="31">
        <v>1913</v>
      </c>
      <c r="B73" s="3">
        <f>SUM(C4:C36)</f>
        <v>3406722</v>
      </c>
      <c r="C73" s="2">
        <f>B73/B$73*100</f>
        <v>100</v>
      </c>
    </row>
    <row r="74" spans="1:5" x14ac:dyDescent="0.25">
      <c r="A74">
        <v>1914</v>
      </c>
      <c r="B74" s="3">
        <f>SUM(D4:D36)</f>
        <v>3446688</v>
      </c>
      <c r="C74" s="2">
        <f>B74/B$73*100</f>
        <v>101.17315119930537</v>
      </c>
    </row>
    <row r="76" spans="1:5" x14ac:dyDescent="0.25">
      <c r="A76" s="21" t="s">
        <v>121</v>
      </c>
    </row>
    <row r="78" spans="1:5" x14ac:dyDescent="0.25">
      <c r="A78" s="19" t="s">
        <v>122</v>
      </c>
      <c r="B78" s="19" t="s">
        <v>123</v>
      </c>
      <c r="C78" s="19" t="s">
        <v>124</v>
      </c>
      <c r="D78" s="19" t="s">
        <v>125</v>
      </c>
      <c r="E78" s="19" t="s">
        <v>126</v>
      </c>
    </row>
    <row r="79" spans="1:5" x14ac:dyDescent="0.25">
      <c r="A79" s="31">
        <v>1913</v>
      </c>
      <c r="B79" s="2">
        <v>100</v>
      </c>
      <c r="C79" s="2">
        <v>100</v>
      </c>
      <c r="D79" s="2">
        <v>100</v>
      </c>
      <c r="E79" s="34">
        <v>100</v>
      </c>
    </row>
    <row r="80" spans="1:5" x14ac:dyDescent="0.25">
      <c r="A80">
        <v>1914</v>
      </c>
      <c r="B80" s="2">
        <v>101.17315119930537</v>
      </c>
      <c r="C80" s="2">
        <v>101.39151046646562</v>
      </c>
      <c r="D80" s="2">
        <v>102.01533682924224</v>
      </c>
      <c r="E80" s="34">
        <v>102.03431313155791</v>
      </c>
    </row>
    <row r="81" spans="1:5" x14ac:dyDescent="0.25">
      <c r="A81">
        <v>1915</v>
      </c>
      <c r="C81" s="2">
        <v>86.958967191137276</v>
      </c>
      <c r="D81" s="2">
        <v>87.611479941751355</v>
      </c>
      <c r="E81" s="34">
        <v>88.237440192997909</v>
      </c>
    </row>
    <row r="82" spans="1:5" x14ac:dyDescent="0.25">
      <c r="A82">
        <v>1916</v>
      </c>
      <c r="D82" s="2">
        <v>65.944138201707361</v>
      </c>
      <c r="E82" s="34">
        <v>68.870472236357813</v>
      </c>
    </row>
    <row r="83" spans="1:5" x14ac:dyDescent="0.25">
      <c r="A83">
        <v>1917</v>
      </c>
      <c r="E83" s="34">
        <v>53.899537698941579</v>
      </c>
    </row>
    <row r="118" spans="1:11" x14ac:dyDescent="0.25">
      <c r="B118" s="86" t="s">
        <v>140</v>
      </c>
      <c r="C118" s="86"/>
      <c r="D118" s="86"/>
      <c r="G118" s="86" t="s">
        <v>141</v>
      </c>
      <c r="H118" s="86"/>
      <c r="I118" s="86"/>
      <c r="J118" s="86"/>
      <c r="K118" s="86"/>
    </row>
    <row r="119" spans="1:11" x14ac:dyDescent="0.25">
      <c r="A119" s="19" t="s">
        <v>122</v>
      </c>
      <c r="B119" t="s">
        <v>22</v>
      </c>
      <c r="C119" t="s">
        <v>139</v>
      </c>
      <c r="D119" t="s">
        <v>0</v>
      </c>
      <c r="F119" t="s">
        <v>3</v>
      </c>
      <c r="G119" t="s">
        <v>142</v>
      </c>
      <c r="H119" t="s">
        <v>143</v>
      </c>
      <c r="I119" t="s">
        <v>144</v>
      </c>
      <c r="J119" t="s">
        <v>145</v>
      </c>
      <c r="K119" t="s">
        <v>146</v>
      </c>
    </row>
    <row r="120" spans="1:11" x14ac:dyDescent="0.25">
      <c r="A120" s="31">
        <v>1913</v>
      </c>
      <c r="B120" s="2">
        <v>47</v>
      </c>
      <c r="C120" s="35">
        <v>43.7</v>
      </c>
      <c r="D120" s="2">
        <v>44.1</v>
      </c>
      <c r="F120">
        <f>A120</f>
        <v>1913</v>
      </c>
      <c r="G120" s="34">
        <v>100</v>
      </c>
      <c r="H120" s="2">
        <f>B120/B$120*100</f>
        <v>100</v>
      </c>
      <c r="I120" s="2">
        <f>C120/C$120*100</f>
        <v>100</v>
      </c>
      <c r="J120" s="2">
        <f>D120/D$120*100</f>
        <v>100</v>
      </c>
      <c r="K120" s="2">
        <v>100</v>
      </c>
    </row>
    <row r="121" spans="1:11" x14ac:dyDescent="0.25">
      <c r="A121">
        <v>1914</v>
      </c>
      <c r="B121" s="2">
        <v>46.9</v>
      </c>
      <c r="C121" s="2">
        <v>43.7</v>
      </c>
      <c r="D121" s="2">
        <v>45.4</v>
      </c>
      <c r="F121">
        <f t="shared" ref="F121:F133" si="8">A121</f>
        <v>1914</v>
      </c>
      <c r="G121" s="34">
        <v>102.03431313155791</v>
      </c>
      <c r="H121" s="2">
        <f t="shared" ref="H121:H131" si="9">B121/B$120*100</f>
        <v>99.78723404255318</v>
      </c>
      <c r="I121" s="2">
        <f t="shared" ref="I121:I131" si="10">C121/C$120*100</f>
        <v>100</v>
      </c>
      <c r="J121" s="2">
        <f t="shared" ref="J121:J133" si="11">D121/D$120*100</f>
        <v>102.94784580498866</v>
      </c>
      <c r="K121" s="2">
        <v>100</v>
      </c>
    </row>
    <row r="122" spans="1:11" x14ac:dyDescent="0.25">
      <c r="A122">
        <v>1915</v>
      </c>
      <c r="B122" s="2">
        <v>39.700000000000003</v>
      </c>
      <c r="C122" s="2">
        <v>35.9</v>
      </c>
      <c r="D122" s="2">
        <v>43.1</v>
      </c>
      <c r="F122">
        <f t="shared" si="8"/>
        <v>1915</v>
      </c>
      <c r="G122" s="34">
        <v>88.237440192997909</v>
      </c>
      <c r="H122" s="2">
        <f t="shared" si="9"/>
        <v>84.468085106382986</v>
      </c>
      <c r="I122" s="2">
        <f t="shared" si="10"/>
        <v>82.151029748283747</v>
      </c>
      <c r="J122" s="2">
        <f t="shared" si="11"/>
        <v>97.732426303854879</v>
      </c>
      <c r="K122" s="2">
        <v>89</v>
      </c>
    </row>
    <row r="123" spans="1:11" x14ac:dyDescent="0.25">
      <c r="A123">
        <v>1916</v>
      </c>
      <c r="B123" s="2">
        <v>29.9</v>
      </c>
      <c r="C123" s="2">
        <v>27.1</v>
      </c>
      <c r="D123" s="2">
        <v>37.4</v>
      </c>
      <c r="F123">
        <f t="shared" si="8"/>
        <v>1916</v>
      </c>
      <c r="G123" s="34">
        <v>68.870472236357813</v>
      </c>
      <c r="H123" s="2">
        <f t="shared" si="9"/>
        <v>63.617021276595743</v>
      </c>
      <c r="I123" s="2">
        <f t="shared" si="10"/>
        <v>62.013729977116704</v>
      </c>
      <c r="J123" s="2">
        <f t="shared" si="11"/>
        <v>84.807256235827651</v>
      </c>
      <c r="K123" s="2">
        <v>76</v>
      </c>
    </row>
    <row r="124" spans="1:11" x14ac:dyDescent="0.25">
      <c r="A124">
        <v>1917</v>
      </c>
      <c r="B124" s="2">
        <v>23.9</v>
      </c>
      <c r="C124" s="2">
        <v>26.3</v>
      </c>
      <c r="D124" s="2">
        <v>32.5</v>
      </c>
      <c r="F124">
        <f t="shared" si="8"/>
        <v>1917</v>
      </c>
      <c r="G124" s="34">
        <v>53.899537698941579</v>
      </c>
      <c r="H124" s="2">
        <f t="shared" si="9"/>
        <v>50.851063829787236</v>
      </c>
      <c r="I124" s="2">
        <f t="shared" si="10"/>
        <v>60.183066361556058</v>
      </c>
      <c r="J124" s="2">
        <f t="shared" si="11"/>
        <v>73.696145124716551</v>
      </c>
      <c r="K124" s="2">
        <v>60</v>
      </c>
    </row>
    <row r="125" spans="1:11" x14ac:dyDescent="0.25">
      <c r="A125">
        <f>A124+1</f>
        <v>1918</v>
      </c>
      <c r="B125" s="2">
        <v>32</v>
      </c>
      <c r="C125" s="2">
        <v>34.700000000000003</v>
      </c>
      <c r="D125" s="2">
        <v>28.8</v>
      </c>
      <c r="F125">
        <f t="shared" si="8"/>
        <v>1918</v>
      </c>
      <c r="H125" s="2">
        <f t="shared" si="9"/>
        <v>68.085106382978722</v>
      </c>
      <c r="I125" s="2">
        <f t="shared" si="10"/>
        <v>79.40503432494279</v>
      </c>
      <c r="J125" s="2">
        <f t="shared" si="11"/>
        <v>65.306122448979593</v>
      </c>
    </row>
    <row r="126" spans="1:11" x14ac:dyDescent="0.25">
      <c r="A126">
        <f t="shared" ref="A126:A133" si="12">A125+1</f>
        <v>1919</v>
      </c>
      <c r="B126" s="2">
        <v>31</v>
      </c>
      <c r="C126" s="2">
        <v>31.7</v>
      </c>
      <c r="D126" s="2">
        <v>32.4</v>
      </c>
      <c r="F126">
        <f t="shared" si="8"/>
        <v>1919</v>
      </c>
      <c r="H126" s="2">
        <f t="shared" si="9"/>
        <v>65.957446808510639</v>
      </c>
      <c r="I126" s="2">
        <f t="shared" si="10"/>
        <v>72.540045766590382</v>
      </c>
      <c r="J126" s="2">
        <f t="shared" si="11"/>
        <v>73.469387755102034</v>
      </c>
      <c r="K126" s="2">
        <v>81</v>
      </c>
    </row>
    <row r="127" spans="1:11" x14ac:dyDescent="0.25">
      <c r="A127">
        <f t="shared" si="12"/>
        <v>1920</v>
      </c>
      <c r="B127" s="2">
        <v>31.2</v>
      </c>
      <c r="C127" s="2">
        <v>32.200000000000003</v>
      </c>
      <c r="D127" s="2">
        <v>30.6</v>
      </c>
      <c r="F127">
        <f t="shared" si="8"/>
        <v>1920</v>
      </c>
      <c r="H127" s="2">
        <f t="shared" si="9"/>
        <v>66.38297872340425</v>
      </c>
      <c r="I127" s="2">
        <f t="shared" si="10"/>
        <v>73.684210526315795</v>
      </c>
      <c r="J127" s="2">
        <f t="shared" si="11"/>
        <v>69.387755102040813</v>
      </c>
      <c r="K127" s="2">
        <v>79</v>
      </c>
    </row>
    <row r="128" spans="1:11" x14ac:dyDescent="0.25">
      <c r="A128">
        <f t="shared" si="12"/>
        <v>1921</v>
      </c>
      <c r="B128" s="2">
        <v>35.5</v>
      </c>
      <c r="C128" s="2">
        <v>37.299999999999997</v>
      </c>
      <c r="D128" s="2">
        <v>31.7</v>
      </c>
      <c r="F128">
        <f t="shared" si="8"/>
        <v>1921</v>
      </c>
      <c r="H128" s="2">
        <f t="shared" si="9"/>
        <v>75.531914893617028</v>
      </c>
      <c r="I128" s="2">
        <f t="shared" si="10"/>
        <v>85.354691075514864</v>
      </c>
      <c r="J128" s="2">
        <f t="shared" si="11"/>
        <v>71.882086167800452</v>
      </c>
      <c r="K128" s="2">
        <v>84</v>
      </c>
    </row>
    <row r="129" spans="1:11" x14ac:dyDescent="0.25">
      <c r="A129">
        <f t="shared" si="12"/>
        <v>1922</v>
      </c>
      <c r="B129" s="2">
        <v>37.299999999999997</v>
      </c>
      <c r="C129" s="2">
        <v>38.200000000000003</v>
      </c>
      <c r="D129" s="2">
        <v>35</v>
      </c>
      <c r="F129">
        <f t="shared" si="8"/>
        <v>1922</v>
      </c>
      <c r="H129" s="2">
        <f t="shared" si="9"/>
        <v>79.361702127659569</v>
      </c>
      <c r="I129" s="2">
        <f t="shared" si="10"/>
        <v>87.414187643020597</v>
      </c>
      <c r="J129" s="2">
        <f t="shared" si="11"/>
        <v>79.365079365079367</v>
      </c>
      <c r="K129" s="2"/>
    </row>
    <row r="130" spans="1:11" x14ac:dyDescent="0.25">
      <c r="A130">
        <f t="shared" si="12"/>
        <v>1923</v>
      </c>
      <c r="B130" s="2">
        <v>43.9</v>
      </c>
      <c r="C130" s="2">
        <v>45.5</v>
      </c>
      <c r="D130" s="2">
        <v>36.200000000000003</v>
      </c>
      <c r="F130">
        <f t="shared" si="8"/>
        <v>1923</v>
      </c>
      <c r="H130" s="2">
        <f t="shared" si="9"/>
        <v>93.40425531914893</v>
      </c>
      <c r="I130" s="2">
        <f t="shared" si="10"/>
        <v>104.11899313501142</v>
      </c>
      <c r="J130" s="2">
        <f t="shared" si="11"/>
        <v>82.086167800453509</v>
      </c>
      <c r="K130" s="2"/>
    </row>
    <row r="131" spans="1:11" x14ac:dyDescent="0.25">
      <c r="A131">
        <f t="shared" si="12"/>
        <v>1924</v>
      </c>
      <c r="B131" s="2">
        <v>42</v>
      </c>
      <c r="C131" s="2">
        <v>42.2</v>
      </c>
      <c r="D131" s="2">
        <v>44</v>
      </c>
      <c r="F131">
        <f t="shared" si="8"/>
        <v>1924</v>
      </c>
      <c r="H131" s="2">
        <f t="shared" si="9"/>
        <v>89.361702127659569</v>
      </c>
      <c r="I131" s="2">
        <f t="shared" si="10"/>
        <v>96.567505720823803</v>
      </c>
      <c r="J131" s="2">
        <f t="shared" si="11"/>
        <v>99.773242630385482</v>
      </c>
      <c r="K131" s="2"/>
    </row>
    <row r="132" spans="1:11" x14ac:dyDescent="0.25">
      <c r="A132">
        <f t="shared" si="12"/>
        <v>1925</v>
      </c>
      <c r="B132" s="2"/>
      <c r="C132" s="2">
        <v>43.9</v>
      </c>
      <c r="D132" s="2">
        <v>42.3</v>
      </c>
      <c r="F132">
        <f t="shared" si="8"/>
        <v>1925</v>
      </c>
      <c r="H132" s="2"/>
      <c r="I132" s="2"/>
      <c r="J132" s="2">
        <f t="shared" si="11"/>
        <v>95.918367346938766</v>
      </c>
      <c r="K132" s="2"/>
    </row>
    <row r="133" spans="1:11" x14ac:dyDescent="0.25">
      <c r="A133">
        <f t="shared" si="12"/>
        <v>1926</v>
      </c>
      <c r="B133" s="2"/>
      <c r="C133" s="2">
        <v>42.5</v>
      </c>
      <c r="D133" s="2">
        <v>43.8</v>
      </c>
      <c r="F133">
        <f t="shared" si="8"/>
        <v>1926</v>
      </c>
      <c r="H133" s="2"/>
      <c r="I133" s="2"/>
      <c r="J133" s="2">
        <f t="shared" si="11"/>
        <v>99.319727891156447</v>
      </c>
      <c r="K133" s="2"/>
    </row>
  </sheetData>
  <sortState xmlns:xlrd2="http://schemas.microsoft.com/office/spreadsheetml/2017/richdata2" ref="A23:E36">
    <sortCondition ref="E23:E36"/>
  </sortState>
  <mergeCells count="2">
    <mergeCell ref="B118:D118"/>
    <mergeCell ref="G118:K118"/>
  </mergeCell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ED61C-08E0-41B6-A575-FF3CAD71F6D5}">
  <dimension ref="A1:G85"/>
  <sheetViews>
    <sheetView topLeftCell="A76" workbookViewId="0">
      <selection activeCell="T29" sqref="T29"/>
    </sheetView>
  </sheetViews>
  <sheetFormatPr defaultRowHeight="15" x14ac:dyDescent="0.25"/>
  <cols>
    <col min="1" max="1" width="19.85546875" customWidth="1"/>
  </cols>
  <sheetData>
    <row r="1" spans="1:7" ht="18.75" x14ac:dyDescent="0.3">
      <c r="A1" s="6" t="s">
        <v>106</v>
      </c>
    </row>
    <row r="3" spans="1:7" x14ac:dyDescent="0.25">
      <c r="A3" s="19" t="s">
        <v>100</v>
      </c>
      <c r="B3" s="19">
        <v>1912</v>
      </c>
      <c r="C3" s="19">
        <v>1913</v>
      </c>
      <c r="D3" s="19">
        <v>1914</v>
      </c>
      <c r="E3" s="19">
        <v>1915</v>
      </c>
      <c r="F3" s="19">
        <v>1916</v>
      </c>
      <c r="G3" s="19">
        <v>1917</v>
      </c>
    </row>
    <row r="4" spans="1:7" x14ac:dyDescent="0.25">
      <c r="A4" t="s">
        <v>54</v>
      </c>
      <c r="B4" s="3">
        <v>44029</v>
      </c>
      <c r="C4" s="3">
        <v>46090</v>
      </c>
      <c r="D4" s="3">
        <v>48265</v>
      </c>
      <c r="E4" s="3">
        <v>44333</v>
      </c>
      <c r="F4" s="3">
        <v>36782</v>
      </c>
      <c r="G4" s="3">
        <v>34136</v>
      </c>
    </row>
    <row r="5" spans="1:7" x14ac:dyDescent="0.25">
      <c r="A5" t="s">
        <v>65</v>
      </c>
      <c r="B5" s="3">
        <v>60734</v>
      </c>
      <c r="C5" s="3">
        <v>66366</v>
      </c>
      <c r="D5" s="3">
        <v>60172</v>
      </c>
      <c r="E5" s="3">
        <v>57175</v>
      </c>
      <c r="F5" s="3">
        <v>44672</v>
      </c>
      <c r="G5" s="3">
        <v>36168</v>
      </c>
    </row>
    <row r="6" spans="1:7" x14ac:dyDescent="0.25">
      <c r="A6" t="s">
        <v>90</v>
      </c>
      <c r="B6" s="3">
        <v>34775</v>
      </c>
      <c r="C6" s="3">
        <v>38094</v>
      </c>
      <c r="D6" s="3">
        <v>34493</v>
      </c>
      <c r="E6" s="3">
        <v>31018</v>
      </c>
      <c r="F6" s="3">
        <v>32417</v>
      </c>
      <c r="G6" s="3">
        <v>36754</v>
      </c>
    </row>
    <row r="7" spans="1:7" x14ac:dyDescent="0.25">
      <c r="A7" t="s">
        <v>45</v>
      </c>
      <c r="B7" s="3">
        <v>57098</v>
      </c>
      <c r="C7" s="3">
        <v>60397</v>
      </c>
      <c r="D7" s="3">
        <v>53331</v>
      </c>
      <c r="E7" s="3">
        <v>52841</v>
      </c>
      <c r="F7" s="3">
        <v>48132</v>
      </c>
      <c r="G7" s="3">
        <v>41490</v>
      </c>
    </row>
    <row r="8" spans="1:7" x14ac:dyDescent="0.25">
      <c r="A8" t="s">
        <v>64</v>
      </c>
      <c r="B8" s="3">
        <v>39881</v>
      </c>
      <c r="C8" s="3">
        <v>41940</v>
      </c>
      <c r="D8" s="3">
        <v>42198</v>
      </c>
      <c r="E8" s="3">
        <v>52710</v>
      </c>
      <c r="F8" s="3">
        <v>49714</v>
      </c>
      <c r="G8" s="3">
        <v>44542</v>
      </c>
    </row>
    <row r="9" spans="1:7" x14ac:dyDescent="0.25">
      <c r="A9" t="s">
        <v>72</v>
      </c>
      <c r="B9" s="3">
        <v>55147</v>
      </c>
      <c r="C9" s="3">
        <v>66673</v>
      </c>
      <c r="D9" s="3">
        <v>61633</v>
      </c>
      <c r="E9" s="3">
        <v>59190</v>
      </c>
      <c r="F9" s="3">
        <v>64968</v>
      </c>
      <c r="G9" s="3">
        <v>54399</v>
      </c>
    </row>
    <row r="10" spans="1:7" x14ac:dyDescent="0.25">
      <c r="A10" t="s">
        <v>84</v>
      </c>
      <c r="B10" s="3">
        <v>55908</v>
      </c>
      <c r="C10" s="3">
        <v>61754</v>
      </c>
      <c r="D10" s="3">
        <v>57711</v>
      </c>
      <c r="E10" s="3">
        <v>48114</v>
      </c>
      <c r="F10" s="3">
        <v>52095</v>
      </c>
      <c r="G10" s="3">
        <v>56077</v>
      </c>
    </row>
    <row r="11" spans="1:7" x14ac:dyDescent="0.25">
      <c r="A11" t="s">
        <v>74</v>
      </c>
      <c r="B11" s="3">
        <v>45957</v>
      </c>
      <c r="C11" s="3">
        <v>45446</v>
      </c>
      <c r="D11" s="3">
        <v>47597</v>
      </c>
      <c r="E11" s="3">
        <v>52866</v>
      </c>
      <c r="F11" s="3">
        <v>55980</v>
      </c>
      <c r="G11" s="3">
        <v>61000</v>
      </c>
    </row>
    <row r="12" spans="1:7" x14ac:dyDescent="0.25">
      <c r="A12" t="s">
        <v>40</v>
      </c>
      <c r="B12" s="3">
        <v>12003</v>
      </c>
      <c r="C12" s="3">
        <v>12272</v>
      </c>
      <c r="D12" s="3">
        <v>13587</v>
      </c>
      <c r="E12" s="3">
        <v>12709</v>
      </c>
      <c r="F12" s="3">
        <v>12694</v>
      </c>
      <c r="G12" s="3"/>
    </row>
    <row r="13" spans="1:7" x14ac:dyDescent="0.25">
      <c r="A13" t="s">
        <v>77</v>
      </c>
      <c r="B13" s="3">
        <v>34585</v>
      </c>
      <c r="C13" s="3">
        <v>35044</v>
      </c>
      <c r="D13" s="3">
        <v>35971</v>
      </c>
      <c r="E13" s="3">
        <v>34657</v>
      </c>
      <c r="F13" s="3">
        <v>32893</v>
      </c>
      <c r="G13" s="3"/>
    </row>
    <row r="14" spans="1:7" x14ac:dyDescent="0.25">
      <c r="A14" t="s">
        <v>66</v>
      </c>
      <c r="B14" s="3">
        <v>46661</v>
      </c>
      <c r="C14" s="3">
        <v>48320</v>
      </c>
      <c r="D14" s="3">
        <v>43554</v>
      </c>
      <c r="E14" s="3">
        <v>43517</v>
      </c>
      <c r="F14" s="3">
        <v>42109</v>
      </c>
      <c r="G14" s="3"/>
    </row>
    <row r="15" spans="1:7" x14ac:dyDescent="0.25">
      <c r="A15" t="s">
        <v>63</v>
      </c>
      <c r="B15" s="3">
        <v>53911</v>
      </c>
      <c r="C15" s="3">
        <v>57392</v>
      </c>
      <c r="D15" s="3">
        <v>54159</v>
      </c>
      <c r="E15" s="3">
        <v>50067</v>
      </c>
      <c r="F15" s="3">
        <v>45451</v>
      </c>
      <c r="G15" s="3"/>
    </row>
    <row r="16" spans="1:7" x14ac:dyDescent="0.25">
      <c r="A16" t="s">
        <v>78</v>
      </c>
      <c r="B16" s="3">
        <v>59079</v>
      </c>
      <c r="C16" s="3">
        <v>61011</v>
      </c>
      <c r="D16" s="3">
        <v>61877</v>
      </c>
      <c r="E16" s="3">
        <v>61328</v>
      </c>
      <c r="F16" s="3">
        <v>53449</v>
      </c>
      <c r="G16" s="3"/>
    </row>
    <row r="17" spans="1:7" x14ac:dyDescent="0.25">
      <c r="A17" t="s">
        <v>47</v>
      </c>
      <c r="B17" s="3">
        <v>96620</v>
      </c>
      <c r="C17" s="3">
        <v>109194</v>
      </c>
      <c r="D17" s="3">
        <v>110219</v>
      </c>
      <c r="E17" s="3">
        <v>102033</v>
      </c>
      <c r="F17" s="3">
        <v>87704</v>
      </c>
      <c r="G17" s="3"/>
    </row>
    <row r="18" spans="1:7" x14ac:dyDescent="0.25">
      <c r="A18" t="s">
        <v>51</v>
      </c>
      <c r="B18" s="3">
        <v>87175</v>
      </c>
      <c r="C18" s="3">
        <v>99138</v>
      </c>
      <c r="D18" s="3">
        <v>102833</v>
      </c>
      <c r="E18" s="3">
        <v>101041</v>
      </c>
      <c r="F18" s="3">
        <v>89192</v>
      </c>
      <c r="G18" s="3"/>
    </row>
    <row r="19" spans="1:7" x14ac:dyDescent="0.25">
      <c r="A19" t="s">
        <v>41</v>
      </c>
      <c r="B19" s="3">
        <v>28647</v>
      </c>
      <c r="C19" s="3">
        <v>30059</v>
      </c>
      <c r="D19" s="3">
        <v>29166</v>
      </c>
      <c r="E19" s="3">
        <v>33060</v>
      </c>
      <c r="F19" s="3"/>
      <c r="G19" s="3"/>
    </row>
    <row r="20" spans="1:7" x14ac:dyDescent="0.25">
      <c r="A20" t="s">
        <v>67</v>
      </c>
      <c r="B20" s="3">
        <v>15446</v>
      </c>
      <c r="C20" s="3">
        <v>16927</v>
      </c>
      <c r="D20" s="3">
        <v>14625</v>
      </c>
      <c r="E20" s="3">
        <v>13788</v>
      </c>
      <c r="F20" s="3"/>
      <c r="G20" s="3"/>
    </row>
    <row r="21" spans="1:7" x14ac:dyDescent="0.25">
      <c r="A21" t="s">
        <v>50</v>
      </c>
      <c r="B21" s="3">
        <v>51131</v>
      </c>
      <c r="C21" s="3">
        <v>52557</v>
      </c>
      <c r="D21" s="3">
        <v>49964</v>
      </c>
      <c r="E21" s="3">
        <v>45126</v>
      </c>
      <c r="F21" s="3"/>
      <c r="G21" s="3"/>
    </row>
    <row r="22" spans="1:7" x14ac:dyDescent="0.25">
      <c r="A22" t="s">
        <v>57</v>
      </c>
      <c r="B22" s="3">
        <v>53047</v>
      </c>
      <c r="C22" s="3">
        <v>54758</v>
      </c>
      <c r="D22" s="3">
        <v>50241</v>
      </c>
      <c r="E22" s="3">
        <v>47501</v>
      </c>
      <c r="F22" s="3"/>
      <c r="G22" s="3"/>
    </row>
    <row r="23" spans="1:7" x14ac:dyDescent="0.25">
      <c r="A23" t="s">
        <v>69</v>
      </c>
      <c r="B23" s="3">
        <v>60431</v>
      </c>
      <c r="C23" s="3">
        <v>64251</v>
      </c>
      <c r="D23" s="3">
        <v>57353</v>
      </c>
      <c r="E23" s="3">
        <v>61725</v>
      </c>
      <c r="F23" s="3"/>
      <c r="G23" s="3"/>
    </row>
    <row r="24" spans="1:7" x14ac:dyDescent="0.25">
      <c r="A24" t="s">
        <v>81</v>
      </c>
      <c r="B24" s="3">
        <v>64693</v>
      </c>
      <c r="C24" s="3">
        <v>64187</v>
      </c>
      <c r="D24" s="3">
        <v>60247</v>
      </c>
      <c r="E24" s="3">
        <v>62248</v>
      </c>
      <c r="F24" s="3"/>
      <c r="G24" s="3"/>
    </row>
    <row r="25" spans="1:7" x14ac:dyDescent="0.25">
      <c r="A25" t="s">
        <v>68</v>
      </c>
      <c r="B25" s="3">
        <v>76162</v>
      </c>
      <c r="C25" s="3">
        <v>73443</v>
      </c>
      <c r="D25" s="3">
        <v>74196</v>
      </c>
      <c r="E25" s="3">
        <v>74155</v>
      </c>
      <c r="F25" s="3"/>
      <c r="G25" s="3"/>
    </row>
    <row r="26" spans="1:7" x14ac:dyDescent="0.25">
      <c r="A26" t="s">
        <v>59</v>
      </c>
      <c r="B26" s="3">
        <v>88041</v>
      </c>
      <c r="C26" s="3">
        <v>87667</v>
      </c>
      <c r="D26" s="3">
        <v>81912</v>
      </c>
      <c r="E26" s="3">
        <v>81346</v>
      </c>
      <c r="F26" s="3"/>
      <c r="G26" s="3"/>
    </row>
    <row r="27" spans="1:7" x14ac:dyDescent="0.25">
      <c r="A27" t="s">
        <v>53</v>
      </c>
      <c r="B27" s="3">
        <v>84070</v>
      </c>
      <c r="C27" s="3">
        <v>85265</v>
      </c>
      <c r="D27" s="3">
        <v>86173</v>
      </c>
      <c r="E27" s="3">
        <v>84471</v>
      </c>
      <c r="F27" s="3"/>
      <c r="G27" s="3"/>
    </row>
    <row r="28" spans="1:7" x14ac:dyDescent="0.25">
      <c r="A28" t="s">
        <v>85</v>
      </c>
      <c r="B28" s="3">
        <v>91418</v>
      </c>
      <c r="C28" s="3">
        <v>92785</v>
      </c>
      <c r="D28" s="3">
        <v>84641</v>
      </c>
      <c r="E28" s="3">
        <v>90546</v>
      </c>
      <c r="F28" s="3"/>
      <c r="G28" s="3"/>
    </row>
    <row r="29" spans="1:7" x14ac:dyDescent="0.25">
      <c r="A29" t="s">
        <v>71</v>
      </c>
      <c r="B29" s="3">
        <v>104358</v>
      </c>
      <c r="C29" s="3">
        <v>105183</v>
      </c>
      <c r="D29" s="3">
        <v>106199</v>
      </c>
      <c r="E29" s="3">
        <v>101655</v>
      </c>
      <c r="F29" s="3"/>
      <c r="G29" s="3"/>
    </row>
    <row r="30" spans="1:7" x14ac:dyDescent="0.25">
      <c r="A30" t="s">
        <v>80</v>
      </c>
      <c r="B30" s="3">
        <v>99268</v>
      </c>
      <c r="C30" s="3">
        <v>93825</v>
      </c>
      <c r="D30" s="3">
        <v>95470</v>
      </c>
      <c r="E30" s="3">
        <v>108505</v>
      </c>
      <c r="F30" s="3"/>
      <c r="G30" s="3"/>
    </row>
    <row r="31" spans="1:7" x14ac:dyDescent="0.25">
      <c r="A31" t="s">
        <v>48</v>
      </c>
      <c r="B31" s="3">
        <v>139451</v>
      </c>
      <c r="C31" s="3">
        <v>136613</v>
      </c>
      <c r="D31" s="3">
        <v>142545</v>
      </c>
      <c r="E31" s="3">
        <v>149781</v>
      </c>
      <c r="F31" s="3"/>
      <c r="G31" s="3"/>
    </row>
    <row r="32" spans="1:7" x14ac:dyDescent="0.25">
      <c r="A32" t="s">
        <v>79</v>
      </c>
      <c r="B32" s="3">
        <v>131248</v>
      </c>
      <c r="C32" s="3">
        <v>117661</v>
      </c>
      <c r="D32" s="3">
        <v>124676</v>
      </c>
      <c r="E32" s="3">
        <v>159291</v>
      </c>
      <c r="F32" s="3"/>
      <c r="G32" s="3"/>
    </row>
    <row r="33" spans="1:7" x14ac:dyDescent="0.25">
      <c r="A33" t="s">
        <v>70</v>
      </c>
      <c r="B33" s="3">
        <v>165471</v>
      </c>
      <c r="C33" s="3">
        <v>153457</v>
      </c>
      <c r="D33" s="3">
        <v>149547</v>
      </c>
      <c r="E33" s="3">
        <v>163115</v>
      </c>
      <c r="F33" s="3"/>
      <c r="G33" s="3"/>
    </row>
    <row r="34" spans="1:7" x14ac:dyDescent="0.25">
      <c r="A34" t="s">
        <v>99</v>
      </c>
      <c r="B34" s="3">
        <v>84277</v>
      </c>
      <c r="C34" s="3">
        <v>81318</v>
      </c>
      <c r="D34" s="3">
        <v>68502</v>
      </c>
      <c r="E34" s="3"/>
      <c r="F34" s="3"/>
      <c r="G34" s="3"/>
    </row>
    <row r="35" spans="1:7" x14ac:dyDescent="0.25">
      <c r="A35" t="s">
        <v>73</v>
      </c>
      <c r="B35" s="3">
        <v>27927</v>
      </c>
      <c r="C35" s="3">
        <v>26517</v>
      </c>
      <c r="D35" s="3">
        <v>25149</v>
      </c>
      <c r="E35" s="3"/>
      <c r="F35" s="3"/>
      <c r="G35" s="3"/>
    </row>
    <row r="36" spans="1:7" x14ac:dyDescent="0.25">
      <c r="A36" t="s">
        <v>82</v>
      </c>
      <c r="B36" s="3">
        <v>55555</v>
      </c>
      <c r="C36" s="3">
        <v>59938</v>
      </c>
      <c r="D36" s="3">
        <v>61180</v>
      </c>
      <c r="E36" s="3"/>
      <c r="F36" s="3"/>
      <c r="G36" s="3"/>
    </row>
    <row r="39" spans="1:7" x14ac:dyDescent="0.25">
      <c r="A39" s="21" t="s">
        <v>127</v>
      </c>
    </row>
    <row r="41" spans="1:7" x14ac:dyDescent="0.25">
      <c r="A41" s="22" t="s">
        <v>3</v>
      </c>
      <c r="B41" s="19" t="s">
        <v>102</v>
      </c>
      <c r="C41" s="19" t="s">
        <v>103</v>
      </c>
      <c r="D41" s="19" t="s">
        <v>104</v>
      </c>
    </row>
    <row r="42" spans="1:7" x14ac:dyDescent="0.25">
      <c r="A42">
        <v>1914</v>
      </c>
      <c r="B42" s="3">
        <f>SUM(D4:D36)</f>
        <v>2189386</v>
      </c>
      <c r="C42" s="3">
        <f>SUM(C4:C36)</f>
        <v>2245542</v>
      </c>
      <c r="D42" s="2">
        <f>C42/B42*100</f>
        <v>102.56492002780688</v>
      </c>
    </row>
    <row r="43" spans="1:7" x14ac:dyDescent="0.25">
      <c r="A43">
        <v>1915</v>
      </c>
      <c r="B43" s="3">
        <f>SUM(E4:E33)</f>
        <v>2079912</v>
      </c>
      <c r="C43" s="3">
        <f>SUM(C4:C33)</f>
        <v>2077769</v>
      </c>
      <c r="D43" s="2">
        <f t="shared" ref="D43:D45" si="0">C43/B43*100</f>
        <v>99.896966794749005</v>
      </c>
    </row>
    <row r="44" spans="1:7" x14ac:dyDescent="0.25">
      <c r="A44">
        <v>1916</v>
      </c>
      <c r="B44" s="3">
        <f>SUM(F4:F18)</f>
        <v>748252</v>
      </c>
      <c r="C44" s="3">
        <f>SUM(C4:C18)</f>
        <v>849131</v>
      </c>
      <c r="D44" s="2">
        <f t="shared" si="0"/>
        <v>113.48195527709916</v>
      </c>
    </row>
    <row r="45" spans="1:7" x14ac:dyDescent="0.25">
      <c r="A45">
        <v>1917</v>
      </c>
      <c r="B45" s="3">
        <f>SUM(G4:G11)</f>
        <v>364566</v>
      </c>
      <c r="C45" s="3">
        <f>SUM(C4:C11)</f>
        <v>426760</v>
      </c>
      <c r="D45" s="2">
        <f t="shared" si="0"/>
        <v>117.05973678291448</v>
      </c>
    </row>
    <row r="47" spans="1:7" x14ac:dyDescent="0.25">
      <c r="A47" s="21" t="s">
        <v>118</v>
      </c>
    </row>
    <row r="49" spans="1:4" x14ac:dyDescent="0.25">
      <c r="A49" s="22" t="s">
        <v>3</v>
      </c>
      <c r="B49" s="19" t="s">
        <v>102</v>
      </c>
      <c r="C49" s="19" t="s">
        <v>104</v>
      </c>
    </row>
    <row r="50" spans="1:4" x14ac:dyDescent="0.25">
      <c r="A50" s="31">
        <v>1913</v>
      </c>
      <c r="B50" s="32">
        <f>SUM(C4:C11)</f>
        <v>426760</v>
      </c>
      <c r="C50" s="33">
        <f>B50/B50*100</f>
        <v>100</v>
      </c>
      <c r="D50" s="19"/>
    </row>
    <row r="51" spans="1:4" x14ac:dyDescent="0.25">
      <c r="A51">
        <v>1914</v>
      </c>
      <c r="B51" s="3">
        <f>SUM(D4:D11)</f>
        <v>405400</v>
      </c>
      <c r="C51" s="33">
        <f>B51/B$50*100</f>
        <v>94.994844877683008</v>
      </c>
    </row>
    <row r="52" spans="1:4" x14ac:dyDescent="0.25">
      <c r="A52">
        <v>1915</v>
      </c>
      <c r="B52" s="3">
        <f>SUM(E4:E11)</f>
        <v>398247</v>
      </c>
      <c r="C52" s="33">
        <f t="shared" ref="C52:C54" si="1">B52/B$50*100</f>
        <v>93.318727153435191</v>
      </c>
    </row>
    <row r="53" spans="1:4" x14ac:dyDescent="0.25">
      <c r="A53">
        <v>1916</v>
      </c>
      <c r="B53" s="3">
        <f>SUM(F4:F11)</f>
        <v>384760</v>
      </c>
      <c r="C53" s="33">
        <f t="shared" si="1"/>
        <v>90.158402849376699</v>
      </c>
    </row>
    <row r="54" spans="1:4" x14ac:dyDescent="0.25">
      <c r="A54">
        <v>1917</v>
      </c>
      <c r="B54" s="3">
        <f>SUM(G4:G11)</f>
        <v>364566</v>
      </c>
      <c r="C54" s="33">
        <f t="shared" si="1"/>
        <v>85.426469209860343</v>
      </c>
    </row>
    <row r="57" spans="1:4" x14ac:dyDescent="0.25">
      <c r="A57" s="21" t="s">
        <v>117</v>
      </c>
    </row>
    <row r="59" spans="1:4" x14ac:dyDescent="0.25">
      <c r="A59" s="22" t="s">
        <v>3</v>
      </c>
      <c r="B59" s="19" t="s">
        <v>102</v>
      </c>
      <c r="C59" s="19" t="s">
        <v>104</v>
      </c>
    </row>
    <row r="60" spans="1:4" x14ac:dyDescent="0.25">
      <c r="A60">
        <v>1913</v>
      </c>
      <c r="B60" s="3">
        <f>SUM(C4:C18)</f>
        <v>849131</v>
      </c>
      <c r="C60" s="2">
        <f>B60/B$60*100</f>
        <v>100</v>
      </c>
    </row>
    <row r="61" spans="1:4" x14ac:dyDescent="0.25">
      <c r="A61">
        <v>1914</v>
      </c>
      <c r="B61" s="3">
        <f>SUM(D4:D18)</f>
        <v>827600</v>
      </c>
      <c r="C61" s="2">
        <f t="shared" ref="C61:C63" si="2">B61/B$60*100</f>
        <v>97.464348846055557</v>
      </c>
    </row>
    <row r="62" spans="1:4" x14ac:dyDescent="0.25">
      <c r="A62">
        <v>1915</v>
      </c>
      <c r="B62" s="3">
        <f>SUM(E4:E18)</f>
        <v>803599</v>
      </c>
      <c r="C62" s="2">
        <f t="shared" si="2"/>
        <v>94.637812069044699</v>
      </c>
    </row>
    <row r="63" spans="1:4" x14ac:dyDescent="0.25">
      <c r="A63">
        <v>1916</v>
      </c>
      <c r="B63" s="3">
        <f>SUM(F4:F18)</f>
        <v>748252</v>
      </c>
      <c r="C63" s="2">
        <f t="shared" si="2"/>
        <v>88.119736530641319</v>
      </c>
    </row>
    <row r="65" spans="1:5" x14ac:dyDescent="0.25">
      <c r="A65" s="21" t="s">
        <v>119</v>
      </c>
    </row>
    <row r="67" spans="1:5" x14ac:dyDescent="0.25">
      <c r="A67" s="22" t="s">
        <v>3</v>
      </c>
      <c r="B67" s="19" t="s">
        <v>102</v>
      </c>
      <c r="C67" s="19" t="s">
        <v>104</v>
      </c>
    </row>
    <row r="68" spans="1:5" x14ac:dyDescent="0.25">
      <c r="A68">
        <v>1913</v>
      </c>
      <c r="B68" s="3">
        <f>SUM(C4:C33)</f>
        <v>2077769</v>
      </c>
      <c r="C68" s="2">
        <f>B68/B$68*100</f>
        <v>100</v>
      </c>
    </row>
    <row r="69" spans="1:5" x14ac:dyDescent="0.25">
      <c r="A69">
        <v>1914</v>
      </c>
      <c r="B69" s="3">
        <f>SUM(D4:D33)</f>
        <v>2034555</v>
      </c>
      <c r="C69" s="2">
        <f>B69/B$68*100</f>
        <v>97.920173031747041</v>
      </c>
    </row>
    <row r="70" spans="1:5" x14ac:dyDescent="0.25">
      <c r="A70">
        <v>1915</v>
      </c>
      <c r="B70" s="3">
        <f>SUM(E4:E33)</f>
        <v>2079912</v>
      </c>
      <c r="C70" s="2">
        <f>B70/B$68*100</f>
        <v>100.10313947315606</v>
      </c>
    </row>
    <row r="72" spans="1:5" x14ac:dyDescent="0.25">
      <c r="A72" s="21" t="s">
        <v>120</v>
      </c>
    </row>
    <row r="74" spans="1:5" x14ac:dyDescent="0.25">
      <c r="A74" s="22" t="s">
        <v>3</v>
      </c>
      <c r="B74" s="19" t="s">
        <v>102</v>
      </c>
      <c r="C74" s="19" t="s">
        <v>104</v>
      </c>
    </row>
    <row r="75" spans="1:5" x14ac:dyDescent="0.25">
      <c r="A75">
        <v>1913</v>
      </c>
      <c r="B75" s="3">
        <f>SUM(C4:C36)</f>
        <v>2245542</v>
      </c>
      <c r="C75" s="2">
        <f>B75/B$75*100</f>
        <v>100</v>
      </c>
    </row>
    <row r="76" spans="1:5" x14ac:dyDescent="0.25">
      <c r="A76">
        <v>1914</v>
      </c>
      <c r="B76" s="3">
        <f>SUM(D4:D36)</f>
        <v>2189386</v>
      </c>
      <c r="C76" s="2">
        <f>B76/B$75*100</f>
        <v>97.499222904759748</v>
      </c>
    </row>
    <row r="78" spans="1:5" x14ac:dyDescent="0.25">
      <c r="A78" s="21" t="s">
        <v>121</v>
      </c>
    </row>
    <row r="80" spans="1:5" x14ac:dyDescent="0.25">
      <c r="A80" s="19" t="s">
        <v>122</v>
      </c>
      <c r="B80" s="19" t="s">
        <v>123</v>
      </c>
      <c r="C80" s="19" t="s">
        <v>124</v>
      </c>
      <c r="D80" s="19" t="s">
        <v>125</v>
      </c>
      <c r="E80" s="19" t="s">
        <v>126</v>
      </c>
    </row>
    <row r="81" spans="1:5" x14ac:dyDescent="0.25">
      <c r="A81">
        <v>1913</v>
      </c>
      <c r="B81" s="2">
        <v>100</v>
      </c>
      <c r="C81" s="2">
        <v>100</v>
      </c>
      <c r="D81" s="2">
        <v>100</v>
      </c>
      <c r="E81" s="2">
        <v>100</v>
      </c>
    </row>
    <row r="82" spans="1:5" x14ac:dyDescent="0.25">
      <c r="A82">
        <v>1914</v>
      </c>
      <c r="B82" s="2">
        <v>97.499222904759748</v>
      </c>
      <c r="C82" s="2">
        <v>97.920173031747041</v>
      </c>
      <c r="D82" s="2">
        <v>97.464348846055557</v>
      </c>
      <c r="E82" s="2">
        <v>94.994844877683008</v>
      </c>
    </row>
    <row r="83" spans="1:5" x14ac:dyDescent="0.25">
      <c r="A83">
        <v>1915</v>
      </c>
      <c r="C83" s="2">
        <v>100.10313947315606</v>
      </c>
      <c r="D83" s="2">
        <v>94.637812069044699</v>
      </c>
      <c r="E83" s="2">
        <v>93.318727153435191</v>
      </c>
    </row>
    <row r="84" spans="1:5" x14ac:dyDescent="0.25">
      <c r="A84">
        <v>1916</v>
      </c>
      <c r="D84" s="2">
        <v>88.119736530641319</v>
      </c>
      <c r="E84" s="2">
        <v>90.158402849376699</v>
      </c>
    </row>
    <row r="85" spans="1:5" x14ac:dyDescent="0.25">
      <c r="A85">
        <v>1917</v>
      </c>
      <c r="E85" s="2">
        <v>85.426469209860343</v>
      </c>
    </row>
  </sheetData>
  <sortState xmlns:xlrd2="http://schemas.microsoft.com/office/spreadsheetml/2017/richdata2" ref="A20:E36">
    <sortCondition ref="E20:E36"/>
  </sortState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91C76-6AA3-4B54-9A3D-81DAC63C51BF}">
  <dimension ref="A2:K39"/>
  <sheetViews>
    <sheetView topLeftCell="A13" workbookViewId="0">
      <selection activeCell="AF35" sqref="AF35"/>
    </sheetView>
  </sheetViews>
  <sheetFormatPr defaultRowHeight="15" x14ac:dyDescent="0.25"/>
  <sheetData>
    <row r="2" spans="1:11" x14ac:dyDescent="0.25">
      <c r="A2" s="21" t="s">
        <v>108</v>
      </c>
    </row>
    <row r="4" spans="1:11" x14ac:dyDescent="0.25">
      <c r="A4" s="19" t="s">
        <v>100</v>
      </c>
      <c r="B4" s="19" t="s">
        <v>90</v>
      </c>
      <c r="C4" s="19" t="s">
        <v>54</v>
      </c>
      <c r="D4" s="19" t="s">
        <v>65</v>
      </c>
      <c r="E4" s="19" t="s">
        <v>64</v>
      </c>
      <c r="F4" s="19" t="s">
        <v>45</v>
      </c>
      <c r="G4" s="19" t="s">
        <v>74</v>
      </c>
      <c r="H4" s="19" t="s">
        <v>72</v>
      </c>
      <c r="I4" s="19" t="s">
        <v>80</v>
      </c>
      <c r="J4" s="19" t="s">
        <v>84</v>
      </c>
    </row>
    <row r="5" spans="1:11" x14ac:dyDescent="0.25">
      <c r="A5">
        <v>1912</v>
      </c>
      <c r="B5" s="3">
        <v>49543</v>
      </c>
      <c r="C5" s="3">
        <v>69276</v>
      </c>
      <c r="D5" s="3">
        <v>95763</v>
      </c>
      <c r="E5" s="3">
        <v>54831</v>
      </c>
      <c r="F5" s="3">
        <v>84963</v>
      </c>
      <c r="G5" s="3">
        <v>56099</v>
      </c>
      <c r="H5" s="3">
        <v>84196</v>
      </c>
      <c r="I5" s="3">
        <v>150477</v>
      </c>
      <c r="J5" s="3">
        <v>84147</v>
      </c>
    </row>
    <row r="6" spans="1:11" x14ac:dyDescent="0.25">
      <c r="A6">
        <v>1913</v>
      </c>
      <c r="B6" s="3">
        <v>51145</v>
      </c>
      <c r="C6" s="3">
        <v>68354</v>
      </c>
      <c r="D6" s="3">
        <v>94474</v>
      </c>
      <c r="E6" s="3">
        <v>54649</v>
      </c>
      <c r="F6" s="3">
        <v>90305</v>
      </c>
      <c r="G6" s="3">
        <v>56155</v>
      </c>
      <c r="H6" s="3">
        <v>93589</v>
      </c>
      <c r="I6" s="3">
        <v>151661</v>
      </c>
      <c r="J6" s="3">
        <v>82474</v>
      </c>
    </row>
    <row r="7" spans="1:11" x14ac:dyDescent="0.25">
      <c r="A7">
        <v>1914</v>
      </c>
      <c r="B7" s="3">
        <v>53325</v>
      </c>
      <c r="C7" s="3">
        <v>69704</v>
      </c>
      <c r="D7" s="3">
        <v>96923</v>
      </c>
      <c r="E7" s="3">
        <v>54373</v>
      </c>
      <c r="F7" s="3">
        <v>89028</v>
      </c>
      <c r="G7" s="3">
        <v>55460</v>
      </c>
      <c r="H7" s="3">
        <v>98337</v>
      </c>
      <c r="I7" s="3">
        <v>156818</v>
      </c>
      <c r="J7" s="3">
        <v>83949</v>
      </c>
    </row>
    <row r="8" spans="1:11" x14ac:dyDescent="0.25">
      <c r="A8">
        <v>1915</v>
      </c>
      <c r="B8" s="3">
        <v>45608</v>
      </c>
      <c r="C8" s="3">
        <v>61575</v>
      </c>
      <c r="D8" s="3">
        <v>80210</v>
      </c>
      <c r="E8" s="3">
        <v>49738</v>
      </c>
      <c r="F8" s="3">
        <v>79192</v>
      </c>
      <c r="G8" s="3">
        <v>51956</v>
      </c>
      <c r="H8" s="3">
        <v>77407</v>
      </c>
      <c r="I8" s="3">
        <v>139176</v>
      </c>
      <c r="J8" s="3">
        <v>70571</v>
      </c>
    </row>
    <row r="9" spans="1:11" x14ac:dyDescent="0.25">
      <c r="A9">
        <v>1916</v>
      </c>
      <c r="B9" s="3">
        <v>36626</v>
      </c>
      <c r="C9" s="3">
        <v>42218</v>
      </c>
      <c r="D9" s="3">
        <v>56918</v>
      </c>
      <c r="E9" s="3">
        <v>37375</v>
      </c>
      <c r="F9" s="3">
        <v>59541</v>
      </c>
      <c r="G9" s="3">
        <v>46188</v>
      </c>
      <c r="H9" s="3">
        <v>70384</v>
      </c>
      <c r="I9" s="3">
        <v>90943</v>
      </c>
      <c r="J9" s="3">
        <v>71381</v>
      </c>
    </row>
    <row r="10" spans="1:11" x14ac:dyDescent="0.25">
      <c r="A10">
        <v>1917</v>
      </c>
      <c r="B10" s="3">
        <v>30097</v>
      </c>
      <c r="C10" s="3">
        <v>30446</v>
      </c>
      <c r="D10" s="3">
        <v>34144</v>
      </c>
      <c r="E10" s="3">
        <v>36284</v>
      </c>
      <c r="F10" s="3">
        <v>37793</v>
      </c>
      <c r="G10" s="3">
        <v>43109</v>
      </c>
      <c r="H10" s="3">
        <v>53998</v>
      </c>
      <c r="I10" s="3">
        <v>62306</v>
      </c>
      <c r="J10" s="3">
        <v>72192</v>
      </c>
    </row>
    <row r="12" spans="1:11" x14ac:dyDescent="0.25">
      <c r="A12" s="19"/>
      <c r="B12" s="19" t="s">
        <v>90</v>
      </c>
      <c r="C12" s="19" t="s">
        <v>54</v>
      </c>
      <c r="D12" s="19" t="s">
        <v>65</v>
      </c>
      <c r="E12" s="19" t="s">
        <v>64</v>
      </c>
      <c r="F12" s="19" t="s">
        <v>45</v>
      </c>
      <c r="G12" s="19" t="s">
        <v>74</v>
      </c>
      <c r="H12" s="19" t="s">
        <v>72</v>
      </c>
      <c r="I12" s="19" t="s">
        <v>80</v>
      </c>
      <c r="J12" s="19" t="s">
        <v>84</v>
      </c>
      <c r="K12" s="19" t="s">
        <v>34</v>
      </c>
    </row>
    <row r="13" spans="1:11" x14ac:dyDescent="0.25">
      <c r="A13">
        <v>1913</v>
      </c>
      <c r="B13" s="23">
        <f>B6/B$6</f>
        <v>1</v>
      </c>
      <c r="C13" s="23">
        <f t="shared" ref="C13:J13" si="0">C6/C$6</f>
        <v>1</v>
      </c>
      <c r="D13" s="23">
        <f t="shared" si="0"/>
        <v>1</v>
      </c>
      <c r="E13" s="23">
        <f t="shared" si="0"/>
        <v>1</v>
      </c>
      <c r="F13" s="23">
        <f t="shared" si="0"/>
        <v>1</v>
      </c>
      <c r="G13" s="23">
        <f t="shared" si="0"/>
        <v>1</v>
      </c>
      <c r="H13" s="23">
        <f t="shared" si="0"/>
        <v>1</v>
      </c>
      <c r="I13" s="23">
        <f t="shared" si="0"/>
        <v>1</v>
      </c>
      <c r="J13" s="23">
        <f t="shared" si="0"/>
        <v>1</v>
      </c>
      <c r="K13" s="23">
        <f>AVERAGE(B13:J13)</f>
        <v>1</v>
      </c>
    </row>
    <row r="14" spans="1:11" x14ac:dyDescent="0.25">
      <c r="A14">
        <v>1914</v>
      </c>
      <c r="B14" s="23">
        <f t="shared" ref="B14:J17" si="1">B7/B$6</f>
        <v>1.0426239124059047</v>
      </c>
      <c r="C14" s="23">
        <f t="shared" si="1"/>
        <v>1.0197501243526348</v>
      </c>
      <c r="D14" s="23">
        <f t="shared" si="1"/>
        <v>1.0259224760251497</v>
      </c>
      <c r="E14" s="23">
        <f t="shared" si="1"/>
        <v>0.99494958736664896</v>
      </c>
      <c r="F14" s="23">
        <f t="shared" si="1"/>
        <v>0.98585903327611979</v>
      </c>
      <c r="G14" s="23">
        <f t="shared" si="1"/>
        <v>0.98762354198201407</v>
      </c>
      <c r="H14" s="23">
        <f t="shared" si="1"/>
        <v>1.0507324578743229</v>
      </c>
      <c r="I14" s="23">
        <f t="shared" si="1"/>
        <v>1.0340034682614516</v>
      </c>
      <c r="J14" s="23">
        <f t="shared" si="1"/>
        <v>1.0178844241821665</v>
      </c>
      <c r="K14" s="23">
        <f t="shared" ref="K14:K17" si="2">AVERAGE(B14:J14)</f>
        <v>1.0177054473029348</v>
      </c>
    </row>
    <row r="15" spans="1:11" x14ac:dyDescent="0.25">
      <c r="A15">
        <v>1915</v>
      </c>
      <c r="B15" s="23">
        <f t="shared" si="1"/>
        <v>0.8917391729396813</v>
      </c>
      <c r="C15" s="23">
        <f t="shared" si="1"/>
        <v>0.90082511630628781</v>
      </c>
      <c r="D15" s="23">
        <f t="shared" si="1"/>
        <v>0.84901666066854375</v>
      </c>
      <c r="E15" s="23">
        <f t="shared" si="1"/>
        <v>0.91013559260004762</v>
      </c>
      <c r="F15" s="23">
        <f t="shared" si="1"/>
        <v>0.87693926139194955</v>
      </c>
      <c r="G15" s="23">
        <f t="shared" si="1"/>
        <v>0.925224824147449</v>
      </c>
      <c r="H15" s="23">
        <f t="shared" si="1"/>
        <v>0.82709506459092419</v>
      </c>
      <c r="I15" s="23">
        <f t="shared" si="1"/>
        <v>0.91767824292336198</v>
      </c>
      <c r="J15" s="23">
        <f t="shared" si="1"/>
        <v>0.85567572810825232</v>
      </c>
      <c r="K15" s="23">
        <f t="shared" si="2"/>
        <v>0.88381440707516645</v>
      </c>
    </row>
    <row r="16" spans="1:11" x14ac:dyDescent="0.25">
      <c r="A16">
        <v>1916</v>
      </c>
      <c r="B16" s="23">
        <f t="shared" si="1"/>
        <v>0.71612083292599471</v>
      </c>
      <c r="C16" s="23">
        <f t="shared" si="1"/>
        <v>0.61763759253299</v>
      </c>
      <c r="D16" s="23">
        <f t="shared" si="1"/>
        <v>0.60247263797446915</v>
      </c>
      <c r="E16" s="23">
        <f t="shared" si="1"/>
        <v>0.68391004409961753</v>
      </c>
      <c r="F16" s="23">
        <f t="shared" si="1"/>
        <v>0.65933226288688329</v>
      </c>
      <c r="G16" s="23">
        <f t="shared" si="1"/>
        <v>0.82250912652479746</v>
      </c>
      <c r="H16" s="23">
        <f t="shared" si="1"/>
        <v>0.75205419440318844</v>
      </c>
      <c r="I16" s="23">
        <f t="shared" si="1"/>
        <v>0.59964658020189765</v>
      </c>
      <c r="J16" s="23">
        <f t="shared" si="1"/>
        <v>0.86549700511676408</v>
      </c>
      <c r="K16" s="23">
        <f t="shared" si="2"/>
        <v>0.70213114185184489</v>
      </c>
    </row>
    <row r="17" spans="1:11" x14ac:dyDescent="0.25">
      <c r="A17">
        <v>1917</v>
      </c>
      <c r="B17" s="23">
        <f t="shared" si="1"/>
        <v>0.58846417049564959</v>
      </c>
      <c r="C17" s="23">
        <f t="shared" si="1"/>
        <v>0.44541650817801448</v>
      </c>
      <c r="D17" s="23">
        <f t="shared" si="1"/>
        <v>0.36141160530939731</v>
      </c>
      <c r="E17" s="23">
        <f t="shared" si="1"/>
        <v>0.66394627532068295</v>
      </c>
      <c r="F17" s="23">
        <f t="shared" si="1"/>
        <v>0.41850395880626767</v>
      </c>
      <c r="G17" s="23">
        <f t="shared" si="1"/>
        <v>0.76767874632713029</v>
      </c>
      <c r="H17" s="23">
        <f t="shared" si="1"/>
        <v>0.57696951564820653</v>
      </c>
      <c r="I17" s="23">
        <f t="shared" si="1"/>
        <v>0.41082414068217932</v>
      </c>
      <c r="J17" s="23">
        <f t="shared" si="1"/>
        <v>0.87533040715861965</v>
      </c>
      <c r="K17" s="23">
        <f t="shared" si="2"/>
        <v>0.56761614754734979</v>
      </c>
    </row>
    <row r="24" spans="1:11" x14ac:dyDescent="0.25">
      <c r="A24" s="21" t="s">
        <v>107</v>
      </c>
    </row>
    <row r="26" spans="1:11" x14ac:dyDescent="0.25">
      <c r="A26" s="19" t="s">
        <v>100</v>
      </c>
      <c r="B26" s="19" t="s">
        <v>54</v>
      </c>
      <c r="C26" s="19" t="s">
        <v>65</v>
      </c>
      <c r="D26" s="19" t="s">
        <v>90</v>
      </c>
      <c r="E26" s="19" t="s">
        <v>45</v>
      </c>
      <c r="F26" s="19" t="s">
        <v>64</v>
      </c>
      <c r="G26" s="19" t="s">
        <v>72</v>
      </c>
      <c r="H26" s="19" t="s">
        <v>84</v>
      </c>
      <c r="I26" s="19" t="s">
        <v>74</v>
      </c>
    </row>
    <row r="27" spans="1:11" x14ac:dyDescent="0.25">
      <c r="A27">
        <v>1912</v>
      </c>
      <c r="B27" s="3">
        <v>44029</v>
      </c>
      <c r="C27" s="3">
        <v>60734</v>
      </c>
      <c r="D27" s="3">
        <v>34775</v>
      </c>
      <c r="E27" s="3">
        <v>57098</v>
      </c>
      <c r="F27" s="3">
        <v>39881</v>
      </c>
      <c r="G27" s="3">
        <v>55147</v>
      </c>
      <c r="H27" s="3">
        <v>55908</v>
      </c>
      <c r="I27" s="3">
        <v>45957</v>
      </c>
    </row>
    <row r="28" spans="1:11" x14ac:dyDescent="0.25">
      <c r="A28">
        <v>1913</v>
      </c>
      <c r="B28" s="3">
        <v>46090</v>
      </c>
      <c r="C28" s="3">
        <v>66366</v>
      </c>
      <c r="D28" s="3">
        <v>38094</v>
      </c>
      <c r="E28" s="3">
        <v>60397</v>
      </c>
      <c r="F28" s="3">
        <v>41940</v>
      </c>
      <c r="G28" s="3">
        <v>66673</v>
      </c>
      <c r="H28" s="3">
        <v>61754</v>
      </c>
      <c r="I28" s="3">
        <v>45446</v>
      </c>
    </row>
    <row r="29" spans="1:11" x14ac:dyDescent="0.25">
      <c r="A29">
        <v>1914</v>
      </c>
      <c r="B29" s="3">
        <v>48265</v>
      </c>
      <c r="C29" s="3">
        <v>60172</v>
      </c>
      <c r="D29" s="3">
        <v>34493</v>
      </c>
      <c r="E29" s="3">
        <v>53331</v>
      </c>
      <c r="F29" s="3">
        <v>42198</v>
      </c>
      <c r="G29" s="3">
        <v>61633</v>
      </c>
      <c r="H29" s="3">
        <v>57711</v>
      </c>
      <c r="I29" s="3">
        <v>47597</v>
      </c>
    </row>
    <row r="30" spans="1:11" x14ac:dyDescent="0.25">
      <c r="A30">
        <v>1915</v>
      </c>
      <c r="B30" s="3">
        <v>44333</v>
      </c>
      <c r="C30" s="3">
        <v>57175</v>
      </c>
      <c r="D30" s="3">
        <v>31018</v>
      </c>
      <c r="E30" s="3">
        <v>52841</v>
      </c>
      <c r="F30" s="3">
        <v>52710</v>
      </c>
      <c r="G30" s="3">
        <v>59190</v>
      </c>
      <c r="H30" s="3">
        <v>48114</v>
      </c>
      <c r="I30" s="3">
        <v>52866</v>
      </c>
    </row>
    <row r="31" spans="1:11" x14ac:dyDescent="0.25">
      <c r="A31">
        <v>1916</v>
      </c>
      <c r="B31" s="3">
        <v>36782</v>
      </c>
      <c r="C31" s="3">
        <v>44672</v>
      </c>
      <c r="D31" s="3">
        <v>32417</v>
      </c>
      <c r="E31" s="3">
        <v>48132</v>
      </c>
      <c r="F31" s="3">
        <v>49714</v>
      </c>
      <c r="G31" s="3">
        <v>64968</v>
      </c>
      <c r="H31" s="3">
        <v>52095</v>
      </c>
      <c r="I31" s="3">
        <v>55980</v>
      </c>
    </row>
    <row r="32" spans="1:11" x14ac:dyDescent="0.25">
      <c r="A32">
        <v>1917</v>
      </c>
      <c r="B32" s="3">
        <v>34136</v>
      </c>
      <c r="C32" s="3">
        <v>36168</v>
      </c>
      <c r="D32" s="3">
        <v>36754</v>
      </c>
      <c r="E32" s="3">
        <v>41490</v>
      </c>
      <c r="F32" s="3">
        <v>44542</v>
      </c>
      <c r="G32" s="3">
        <v>54399</v>
      </c>
      <c r="H32" s="3">
        <v>56077</v>
      </c>
      <c r="I32" s="3">
        <v>61000</v>
      </c>
    </row>
    <row r="34" spans="1:10" x14ac:dyDescent="0.25">
      <c r="B34" s="19" t="s">
        <v>54</v>
      </c>
      <c r="C34" s="19" t="s">
        <v>65</v>
      </c>
      <c r="D34" s="19" t="s">
        <v>90</v>
      </c>
      <c r="E34" s="19" t="s">
        <v>45</v>
      </c>
      <c r="F34" s="19" t="s">
        <v>64</v>
      </c>
      <c r="G34" s="19" t="s">
        <v>72</v>
      </c>
      <c r="H34" s="19" t="s">
        <v>84</v>
      </c>
      <c r="I34" s="19" t="s">
        <v>74</v>
      </c>
      <c r="J34" s="19" t="s">
        <v>34</v>
      </c>
    </row>
    <row r="35" spans="1:10" x14ac:dyDescent="0.25">
      <c r="A35">
        <v>1913</v>
      </c>
      <c r="B35" s="23">
        <f>B28/B$28</f>
        <v>1</v>
      </c>
      <c r="C35" s="23">
        <f t="shared" ref="C35:I35" si="3">C28/C$28</f>
        <v>1</v>
      </c>
      <c r="D35" s="23">
        <f t="shared" si="3"/>
        <v>1</v>
      </c>
      <c r="E35" s="23">
        <f t="shared" si="3"/>
        <v>1</v>
      </c>
      <c r="F35" s="23">
        <f t="shared" si="3"/>
        <v>1</v>
      </c>
      <c r="G35" s="23">
        <f t="shared" si="3"/>
        <v>1</v>
      </c>
      <c r="H35" s="23">
        <f t="shared" si="3"/>
        <v>1</v>
      </c>
      <c r="I35" s="23">
        <f t="shared" si="3"/>
        <v>1</v>
      </c>
      <c r="J35" s="23">
        <f>AVERAGE(B35:I35)</f>
        <v>1</v>
      </c>
    </row>
    <row r="36" spans="1:10" x14ac:dyDescent="0.25">
      <c r="A36">
        <v>1914</v>
      </c>
      <c r="B36" s="23">
        <f t="shared" ref="B36:I39" si="4">B29/B$28</f>
        <v>1.0471902798871773</v>
      </c>
      <c r="C36" s="23">
        <f t="shared" si="4"/>
        <v>0.90666907753970405</v>
      </c>
      <c r="D36" s="23">
        <f t="shared" si="4"/>
        <v>0.90547067779702839</v>
      </c>
      <c r="E36" s="23">
        <f t="shared" si="4"/>
        <v>0.88300743414408001</v>
      </c>
      <c r="F36" s="23">
        <f t="shared" si="4"/>
        <v>1.0061516452074393</v>
      </c>
      <c r="G36" s="23">
        <f t="shared" si="4"/>
        <v>0.92440718131777477</v>
      </c>
      <c r="H36" s="23">
        <f t="shared" si="4"/>
        <v>0.93453055672507046</v>
      </c>
      <c r="I36" s="23">
        <f t="shared" si="4"/>
        <v>1.0473308982088632</v>
      </c>
      <c r="J36" s="23">
        <f t="shared" ref="J36:J39" si="5">AVERAGE(B36:I36)</f>
        <v>0.95684471885339217</v>
      </c>
    </row>
    <row r="37" spans="1:10" x14ac:dyDescent="0.25">
      <c r="A37">
        <v>1915</v>
      </c>
      <c r="B37" s="23">
        <f t="shared" si="4"/>
        <v>0.9618789325233239</v>
      </c>
      <c r="C37" s="23">
        <f t="shared" si="4"/>
        <v>0.86151041195793021</v>
      </c>
      <c r="D37" s="23">
        <f t="shared" si="4"/>
        <v>0.81424896309130046</v>
      </c>
      <c r="E37" s="23">
        <f t="shared" si="4"/>
        <v>0.87489444839975494</v>
      </c>
      <c r="F37" s="23">
        <f t="shared" si="4"/>
        <v>1.2567954220314734</v>
      </c>
      <c r="G37" s="23">
        <f t="shared" si="4"/>
        <v>0.88776566226208509</v>
      </c>
      <c r="H37" s="23">
        <f t="shared" si="4"/>
        <v>0.77912361952262199</v>
      </c>
      <c r="I37" s="23">
        <f t="shared" si="4"/>
        <v>1.1632706948906395</v>
      </c>
      <c r="J37" s="23">
        <f t="shared" si="5"/>
        <v>0.94993601933489114</v>
      </c>
    </row>
    <row r="38" spans="1:10" x14ac:dyDescent="0.25">
      <c r="A38">
        <v>1916</v>
      </c>
      <c r="B38" s="23">
        <f t="shared" si="4"/>
        <v>0.79804729876328917</v>
      </c>
      <c r="C38" s="23">
        <f t="shared" si="4"/>
        <v>0.67311575204170815</v>
      </c>
      <c r="D38" s="23">
        <f t="shared" si="4"/>
        <v>0.85097390665196615</v>
      </c>
      <c r="E38" s="23">
        <f t="shared" si="4"/>
        <v>0.79692699968541481</v>
      </c>
      <c r="F38" s="23">
        <f t="shared" si="4"/>
        <v>1.1853600381497378</v>
      </c>
      <c r="G38" s="23">
        <f t="shared" si="4"/>
        <v>0.97442742939420757</v>
      </c>
      <c r="H38" s="23">
        <f t="shared" si="4"/>
        <v>0.8435890792499271</v>
      </c>
      <c r="I38" s="23">
        <f t="shared" si="4"/>
        <v>1.2317915768164416</v>
      </c>
      <c r="J38" s="23">
        <f t="shared" si="5"/>
        <v>0.91927901009408663</v>
      </c>
    </row>
    <row r="39" spans="1:10" x14ac:dyDescent="0.25">
      <c r="A39">
        <v>1917</v>
      </c>
      <c r="B39" s="23">
        <f t="shared" si="4"/>
        <v>0.7406378824039922</v>
      </c>
      <c r="C39" s="23">
        <f t="shared" si="4"/>
        <v>0.54497785010396893</v>
      </c>
      <c r="D39" s="23">
        <f t="shared" si="4"/>
        <v>0.96482385677534521</v>
      </c>
      <c r="E39" s="23">
        <f t="shared" si="4"/>
        <v>0.68695465006540057</v>
      </c>
      <c r="F39" s="23">
        <f t="shared" si="4"/>
        <v>1.0620410109680496</v>
      </c>
      <c r="G39" s="23">
        <f t="shared" si="4"/>
        <v>0.81590748878856512</v>
      </c>
      <c r="H39" s="23">
        <f t="shared" si="4"/>
        <v>0.90807073226025847</v>
      </c>
      <c r="I39" s="23">
        <f t="shared" si="4"/>
        <v>1.3422523434405669</v>
      </c>
      <c r="J39" s="23">
        <f t="shared" si="5"/>
        <v>0.88320822685076839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30E18-E91C-487F-91B5-16C784069E00}">
  <dimension ref="A1:AN341"/>
  <sheetViews>
    <sheetView tabSelected="1" topLeftCell="P241" workbookViewId="0">
      <selection activeCell="AG273" sqref="AG273"/>
    </sheetView>
  </sheetViews>
  <sheetFormatPr defaultRowHeight="15" x14ac:dyDescent="0.25"/>
  <cols>
    <col min="2" max="2" width="13.5703125" customWidth="1"/>
    <col min="3" max="3" width="12" customWidth="1"/>
    <col min="4" max="4" width="14.140625" customWidth="1"/>
    <col min="6" max="6" width="10.7109375" customWidth="1"/>
  </cols>
  <sheetData>
    <row r="1" spans="1:6" ht="21" x14ac:dyDescent="0.35">
      <c r="A1" s="46" t="s">
        <v>161</v>
      </c>
    </row>
    <row r="3" spans="1:6" x14ac:dyDescent="0.25">
      <c r="A3" t="s">
        <v>3</v>
      </c>
      <c r="B3" s="36" t="s">
        <v>149</v>
      </c>
      <c r="C3" s="36" t="s">
        <v>147</v>
      </c>
      <c r="D3" s="36" t="s">
        <v>148</v>
      </c>
      <c r="E3" s="36" t="s">
        <v>150</v>
      </c>
    </row>
    <row r="4" spans="1:6" x14ac:dyDescent="0.25">
      <c r="A4" s="41">
        <v>1913</v>
      </c>
      <c r="B4" s="44">
        <v>47</v>
      </c>
      <c r="C4" s="2">
        <f>B4*48/46.9</f>
        <v>48.102345415778252</v>
      </c>
      <c r="D4">
        <v>1</v>
      </c>
      <c r="E4" s="2">
        <f>C4*D4</f>
        <v>48.102345415778252</v>
      </c>
    </row>
    <row r="5" spans="1:6" x14ac:dyDescent="0.25">
      <c r="A5" s="41">
        <v>1914</v>
      </c>
      <c r="B5" s="44">
        <v>46.9</v>
      </c>
      <c r="C5" s="2">
        <f t="shared" ref="C5:C15" si="0">B5*48/46.9</f>
        <v>48</v>
      </c>
      <c r="D5">
        <v>1</v>
      </c>
      <c r="E5" s="2">
        <f t="shared" ref="E5:E15" si="1">C5*D5</f>
        <v>48</v>
      </c>
      <c r="F5" s="40"/>
    </row>
    <row r="6" spans="1:6" x14ac:dyDescent="0.25">
      <c r="A6" s="42">
        <v>1915</v>
      </c>
      <c r="B6" s="44">
        <v>39.700000000000003</v>
      </c>
      <c r="C6" s="2">
        <f t="shared" si="0"/>
        <v>40.631130063965891</v>
      </c>
      <c r="D6">
        <v>1</v>
      </c>
      <c r="E6" s="2">
        <f t="shared" si="1"/>
        <v>40.631130063965891</v>
      </c>
      <c r="F6" s="37"/>
    </row>
    <row r="7" spans="1:6" x14ac:dyDescent="0.25">
      <c r="A7" s="42">
        <v>1916</v>
      </c>
      <c r="B7" s="44">
        <v>29.9</v>
      </c>
      <c r="C7" s="2">
        <f t="shared" si="0"/>
        <v>30.601279317697227</v>
      </c>
      <c r="D7">
        <v>1</v>
      </c>
      <c r="E7" s="2">
        <f t="shared" si="1"/>
        <v>30.601279317697227</v>
      </c>
      <c r="F7" s="37"/>
    </row>
    <row r="8" spans="1:6" x14ac:dyDescent="0.25">
      <c r="A8" s="42">
        <v>1917</v>
      </c>
      <c r="B8" s="44">
        <v>23.9</v>
      </c>
      <c r="C8" s="2">
        <f t="shared" si="0"/>
        <v>24.460554371002129</v>
      </c>
      <c r="D8">
        <v>1</v>
      </c>
      <c r="E8" s="2">
        <f t="shared" si="1"/>
        <v>24.460554371002129</v>
      </c>
      <c r="F8" s="37"/>
    </row>
    <row r="9" spans="1:6" x14ac:dyDescent="0.25">
      <c r="A9" s="42">
        <v>1918</v>
      </c>
      <c r="B9" s="44">
        <v>32</v>
      </c>
      <c r="C9" s="2">
        <f t="shared" si="0"/>
        <v>32.750533049040513</v>
      </c>
      <c r="D9">
        <v>1</v>
      </c>
      <c r="E9" s="2">
        <f t="shared" si="1"/>
        <v>32.750533049040513</v>
      </c>
      <c r="F9" s="37"/>
    </row>
    <row r="10" spans="1:6" x14ac:dyDescent="0.25">
      <c r="A10" s="42">
        <v>1919</v>
      </c>
      <c r="B10" s="44">
        <v>31</v>
      </c>
      <c r="C10" s="2">
        <f t="shared" si="0"/>
        <v>31.727078891257996</v>
      </c>
      <c r="D10">
        <v>1</v>
      </c>
      <c r="E10" s="2">
        <f t="shared" si="1"/>
        <v>31.727078891257996</v>
      </c>
      <c r="F10" s="37"/>
    </row>
    <row r="11" spans="1:6" x14ac:dyDescent="0.25">
      <c r="A11" s="42">
        <v>1920</v>
      </c>
      <c r="B11" s="44">
        <v>31.2</v>
      </c>
      <c r="C11" s="2">
        <f t="shared" si="0"/>
        <v>31.931769722814497</v>
      </c>
      <c r="D11">
        <v>1</v>
      </c>
      <c r="E11" s="2">
        <f t="shared" si="1"/>
        <v>31.931769722814497</v>
      </c>
      <c r="F11" s="37"/>
    </row>
    <row r="12" spans="1:6" x14ac:dyDescent="0.25">
      <c r="A12" s="42">
        <v>1921</v>
      </c>
      <c r="B12" s="44">
        <v>35.5</v>
      </c>
      <c r="C12" s="2">
        <f t="shared" si="0"/>
        <v>36.332622601279319</v>
      </c>
      <c r="D12">
        <v>1</v>
      </c>
      <c r="E12" s="2">
        <f t="shared" si="1"/>
        <v>36.332622601279319</v>
      </c>
      <c r="F12" s="37"/>
    </row>
    <row r="13" spans="1:6" x14ac:dyDescent="0.25">
      <c r="A13" s="42">
        <v>1922</v>
      </c>
      <c r="B13" s="44">
        <v>37.299999999999997</v>
      </c>
      <c r="C13" s="2">
        <f t="shared" si="0"/>
        <v>38.174840085287848</v>
      </c>
      <c r="D13">
        <v>1.02</v>
      </c>
      <c r="E13" s="2">
        <f t="shared" si="1"/>
        <v>38.938336886993604</v>
      </c>
      <c r="F13" s="37"/>
    </row>
    <row r="14" spans="1:6" x14ac:dyDescent="0.25">
      <c r="A14" s="42">
        <v>1923</v>
      </c>
      <c r="B14" s="44">
        <v>43.9</v>
      </c>
      <c r="C14" s="2">
        <f t="shared" si="0"/>
        <v>44.929637526652449</v>
      </c>
      <c r="D14">
        <v>1.08</v>
      </c>
      <c r="E14" s="2">
        <f t="shared" si="1"/>
        <v>48.524008528784648</v>
      </c>
      <c r="F14" s="37"/>
    </row>
    <row r="15" spans="1:6" x14ac:dyDescent="0.25">
      <c r="A15" s="42">
        <v>1924</v>
      </c>
      <c r="B15" s="45">
        <v>43.8</v>
      </c>
      <c r="C15" s="2">
        <f t="shared" si="0"/>
        <v>44.827292110874197</v>
      </c>
      <c r="D15">
        <v>1.03</v>
      </c>
      <c r="E15" s="2">
        <f t="shared" si="1"/>
        <v>46.17211087420042</v>
      </c>
      <c r="F15" s="37"/>
    </row>
    <row r="16" spans="1:6" x14ac:dyDescent="0.25">
      <c r="A16" s="42">
        <v>1925</v>
      </c>
      <c r="B16" s="45">
        <v>45.9</v>
      </c>
      <c r="D16">
        <v>1</v>
      </c>
      <c r="E16" s="2">
        <v>48.7</v>
      </c>
    </row>
    <row r="17" spans="1:5" x14ac:dyDescent="0.25">
      <c r="A17" s="42">
        <v>1926</v>
      </c>
      <c r="B17" s="45">
        <v>44.7</v>
      </c>
      <c r="D17">
        <v>1</v>
      </c>
      <c r="E17" s="2">
        <v>47</v>
      </c>
    </row>
    <row r="18" spans="1:5" x14ac:dyDescent="0.25">
      <c r="A18" s="43">
        <v>1927</v>
      </c>
      <c r="E18" s="2">
        <v>49.6</v>
      </c>
    </row>
    <row r="27" spans="1:5" x14ac:dyDescent="0.25">
      <c r="B27" s="40"/>
    </row>
    <row r="28" spans="1:5" x14ac:dyDescent="0.25">
      <c r="B28" s="37"/>
    </row>
    <row r="29" spans="1:5" x14ac:dyDescent="0.25">
      <c r="B29" s="37"/>
    </row>
    <row r="30" spans="1:5" x14ac:dyDescent="0.25">
      <c r="B30" s="37"/>
    </row>
    <row r="31" spans="1:5" x14ac:dyDescent="0.25">
      <c r="B31" s="37"/>
    </row>
    <row r="32" spans="1:5" x14ac:dyDescent="0.25">
      <c r="B32" s="37"/>
    </row>
    <row r="33" spans="2:2" x14ac:dyDescent="0.25">
      <c r="B33" s="37"/>
    </row>
    <row r="34" spans="2:2" x14ac:dyDescent="0.25">
      <c r="B34" s="37"/>
    </row>
    <row r="35" spans="2:2" x14ac:dyDescent="0.25">
      <c r="B35" s="37"/>
    </row>
    <row r="36" spans="2:2" x14ac:dyDescent="0.25">
      <c r="B36" s="37"/>
    </row>
    <row r="37" spans="2:2" x14ac:dyDescent="0.25">
      <c r="B37" s="37"/>
    </row>
    <row r="49" spans="1:38" ht="21" x14ac:dyDescent="0.35">
      <c r="A49" s="67" t="s">
        <v>165</v>
      </c>
      <c r="B49" s="68"/>
      <c r="C49" s="68"/>
      <c r="D49" s="68"/>
      <c r="E49" s="68"/>
      <c r="F49" s="68"/>
      <c r="G49" s="68"/>
      <c r="H49" s="68"/>
      <c r="I49" s="68"/>
      <c r="J49" s="68"/>
      <c r="K49" s="68"/>
      <c r="L49" s="68"/>
      <c r="M49" s="68"/>
      <c r="N49" s="68"/>
      <c r="O49" s="68"/>
      <c r="P49" s="68"/>
      <c r="Q49" s="68"/>
      <c r="R49" s="68"/>
      <c r="S49" s="68"/>
      <c r="T49" s="68"/>
      <c r="U49" s="68"/>
      <c r="V49" s="68"/>
      <c r="W49" s="68"/>
      <c r="X49" s="68"/>
      <c r="Y49" s="68"/>
      <c r="Z49" s="68"/>
      <c r="AA49" s="68"/>
      <c r="AB49" s="68"/>
      <c r="AC49" s="68"/>
      <c r="AD49" s="68"/>
      <c r="AE49" s="68"/>
      <c r="AF49" s="68"/>
      <c r="AG49" s="68"/>
      <c r="AH49" s="68"/>
      <c r="AI49" s="68"/>
      <c r="AJ49" s="68"/>
    </row>
    <row r="51" spans="1:38" x14ac:dyDescent="0.25">
      <c r="B51" s="83" t="s">
        <v>7</v>
      </c>
      <c r="C51" s="83"/>
      <c r="D51" s="83"/>
      <c r="E51" s="83"/>
      <c r="F51" s="83"/>
      <c r="G51" s="83"/>
      <c r="H51" s="83"/>
      <c r="I51" s="83"/>
      <c r="J51" s="83"/>
    </row>
    <row r="52" spans="1:38" x14ac:dyDescent="0.25">
      <c r="A52" s="48" t="s">
        <v>3</v>
      </c>
      <c r="B52" s="47" t="s">
        <v>8</v>
      </c>
      <c r="C52" s="47" t="s">
        <v>9</v>
      </c>
      <c r="D52" s="47" t="s">
        <v>10</v>
      </c>
      <c r="E52" s="47" t="s">
        <v>11</v>
      </c>
      <c r="F52" s="47" t="s">
        <v>154</v>
      </c>
      <c r="G52" s="47" t="s">
        <v>13</v>
      </c>
      <c r="H52" s="47" t="s">
        <v>5</v>
      </c>
      <c r="I52" s="47" t="s">
        <v>15</v>
      </c>
      <c r="J52" s="47" t="s">
        <v>16</v>
      </c>
      <c r="AF52" s="50"/>
      <c r="AG52" s="50"/>
      <c r="AH52" s="50"/>
      <c r="AI52" s="50"/>
      <c r="AJ52" s="50"/>
      <c r="AK52" s="50"/>
      <c r="AL52" s="50"/>
    </row>
    <row r="53" spans="1:38" x14ac:dyDescent="0.25">
      <c r="A53" s="41">
        <v>1913</v>
      </c>
      <c r="B53" s="39"/>
      <c r="C53" s="39"/>
      <c r="D53" s="40">
        <v>30.2</v>
      </c>
      <c r="E53" s="40">
        <v>24.7</v>
      </c>
      <c r="F53" s="39"/>
      <c r="G53" s="40">
        <v>30.2</v>
      </c>
      <c r="H53" s="39"/>
      <c r="I53" s="39"/>
      <c r="J53" s="39"/>
      <c r="AF53" s="50"/>
      <c r="AG53" s="50"/>
      <c r="AH53" s="50"/>
      <c r="AI53" s="50"/>
      <c r="AJ53" s="50"/>
      <c r="AK53" s="50"/>
      <c r="AL53" s="50"/>
    </row>
    <row r="54" spans="1:38" x14ac:dyDescent="0.25">
      <c r="A54" s="41">
        <v>1914</v>
      </c>
      <c r="B54" s="39"/>
      <c r="C54" s="63">
        <v>27.2</v>
      </c>
      <c r="D54" s="40">
        <v>27.2</v>
      </c>
      <c r="E54" s="40">
        <v>26.6</v>
      </c>
      <c r="F54" s="39"/>
      <c r="G54" s="40">
        <v>29.6</v>
      </c>
      <c r="H54" s="39"/>
      <c r="I54" s="39"/>
      <c r="J54" s="39"/>
      <c r="AF54" s="50"/>
      <c r="AG54" s="50"/>
      <c r="AH54" s="50"/>
      <c r="AI54" s="50"/>
      <c r="AJ54" s="50"/>
      <c r="AK54" s="50"/>
      <c r="AL54" s="50"/>
    </row>
    <row r="55" spans="1:38" x14ac:dyDescent="0.25">
      <c r="A55" s="42">
        <v>1915</v>
      </c>
      <c r="B55" s="37"/>
      <c r="C55" s="37">
        <v>28.8</v>
      </c>
      <c r="D55" s="37">
        <v>28.8</v>
      </c>
      <c r="E55" s="37">
        <v>25.6</v>
      </c>
      <c r="F55" s="37"/>
      <c r="G55" s="37">
        <v>35.4</v>
      </c>
      <c r="H55" s="37"/>
      <c r="I55" s="37"/>
      <c r="J55" s="37"/>
      <c r="AF55" s="50"/>
      <c r="AG55" s="50"/>
      <c r="AH55" s="50"/>
      <c r="AI55" s="50"/>
      <c r="AJ55" s="50"/>
      <c r="AK55" s="50"/>
      <c r="AL55" s="50"/>
    </row>
    <row r="56" spans="1:38" x14ac:dyDescent="0.25">
      <c r="A56" s="42">
        <v>1916</v>
      </c>
      <c r="B56" s="37"/>
      <c r="C56" s="37">
        <v>25.4</v>
      </c>
      <c r="D56" s="37">
        <v>25.4</v>
      </c>
      <c r="E56" s="37">
        <v>42.6</v>
      </c>
      <c r="F56" s="37"/>
      <c r="G56" s="37">
        <v>33</v>
      </c>
      <c r="H56" s="37"/>
      <c r="I56" s="37"/>
      <c r="J56" s="37"/>
      <c r="AF56" s="50"/>
      <c r="AG56" s="50"/>
      <c r="AH56" s="50"/>
      <c r="AI56" s="50"/>
      <c r="AJ56" s="50"/>
      <c r="AK56" s="50"/>
      <c r="AL56" s="50"/>
    </row>
    <row r="57" spans="1:38" x14ac:dyDescent="0.25">
      <c r="A57" s="42">
        <v>1917</v>
      </c>
      <c r="B57" s="37"/>
      <c r="C57" s="37">
        <v>29.1</v>
      </c>
      <c r="D57" s="37">
        <v>29.1</v>
      </c>
      <c r="E57" s="37">
        <v>39.200000000000003</v>
      </c>
      <c r="F57" s="37"/>
      <c r="G57" s="37">
        <v>28.2</v>
      </c>
      <c r="H57" s="38">
        <v>27.4</v>
      </c>
      <c r="I57" s="38"/>
      <c r="J57" s="38"/>
      <c r="L57" s="84" t="s">
        <v>114</v>
      </c>
      <c r="M57" s="84"/>
      <c r="AF57" s="50"/>
      <c r="AG57" s="50"/>
      <c r="AH57" s="50"/>
      <c r="AI57" s="50"/>
      <c r="AJ57" s="50"/>
      <c r="AK57" s="50"/>
      <c r="AL57" s="50"/>
    </row>
    <row r="58" spans="1:38" x14ac:dyDescent="0.25">
      <c r="A58" s="42">
        <v>1918</v>
      </c>
      <c r="B58" s="37"/>
      <c r="C58" s="37">
        <v>44.2</v>
      </c>
      <c r="D58" s="37">
        <v>44.2</v>
      </c>
      <c r="E58" s="37">
        <v>47.1</v>
      </c>
      <c r="F58" s="37"/>
      <c r="G58" s="37"/>
      <c r="H58" s="38">
        <v>39.9</v>
      </c>
      <c r="I58" s="37">
        <v>28.1</v>
      </c>
      <c r="J58" s="37">
        <v>30.2</v>
      </c>
      <c r="L58" s="2">
        <f>AVERAGE(H58,J58)</f>
        <v>35.049999999999997</v>
      </c>
      <c r="M58" s="2">
        <f>L58-27</f>
        <v>8.0499999999999972</v>
      </c>
      <c r="AF58" s="50"/>
      <c r="AG58" s="50"/>
      <c r="AH58" s="50"/>
      <c r="AI58" s="50"/>
      <c r="AJ58" s="50"/>
      <c r="AK58" s="50"/>
      <c r="AL58" s="50"/>
    </row>
    <row r="59" spans="1:38" x14ac:dyDescent="0.25">
      <c r="A59" s="42">
        <v>1919</v>
      </c>
      <c r="B59" s="37"/>
      <c r="C59" s="37">
        <v>46.7</v>
      </c>
      <c r="D59" s="37">
        <v>46.7</v>
      </c>
      <c r="E59" s="37">
        <v>53.9</v>
      </c>
      <c r="F59" s="37"/>
      <c r="G59" s="37"/>
      <c r="H59" s="38">
        <v>65.5</v>
      </c>
      <c r="I59" s="37">
        <v>39.4</v>
      </c>
      <c r="J59" s="37">
        <v>64</v>
      </c>
      <c r="L59" s="2">
        <f t="shared" ref="L59:L65" si="2">AVERAGE(H59,J59)</f>
        <v>64.75</v>
      </c>
      <c r="M59" s="2">
        <f t="shared" ref="M59:M64" si="3">L59-27</f>
        <v>37.75</v>
      </c>
      <c r="AF59" s="50"/>
      <c r="AG59" s="50"/>
      <c r="AH59" s="50"/>
      <c r="AI59" s="50"/>
      <c r="AJ59" s="50"/>
      <c r="AK59" s="50"/>
      <c r="AL59" s="50"/>
    </row>
    <row r="60" spans="1:38" x14ac:dyDescent="0.25">
      <c r="A60" s="42">
        <v>1920</v>
      </c>
      <c r="B60" s="37">
        <v>35.299999999999997</v>
      </c>
      <c r="C60" s="37">
        <v>43.3</v>
      </c>
      <c r="D60" s="37">
        <v>43.3</v>
      </c>
      <c r="E60" s="37">
        <v>41</v>
      </c>
      <c r="F60" s="37">
        <v>45.4</v>
      </c>
      <c r="G60" s="37"/>
      <c r="H60" s="38">
        <v>79.5</v>
      </c>
      <c r="I60" s="37">
        <v>49.9</v>
      </c>
      <c r="J60" s="37">
        <v>56.1</v>
      </c>
      <c r="L60" s="2">
        <f t="shared" si="2"/>
        <v>67.8</v>
      </c>
      <c r="M60" s="2">
        <f t="shared" si="3"/>
        <v>40.799999999999997</v>
      </c>
      <c r="AF60" s="50"/>
      <c r="AG60" s="50"/>
      <c r="AH60" s="50"/>
      <c r="AI60" s="50"/>
      <c r="AJ60" s="50"/>
      <c r="AK60" s="50"/>
      <c r="AL60" s="50"/>
    </row>
    <row r="61" spans="1:38" x14ac:dyDescent="0.25">
      <c r="A61" s="42">
        <v>1921</v>
      </c>
      <c r="B61" s="37">
        <v>29.2</v>
      </c>
      <c r="C61" s="37">
        <v>29.7</v>
      </c>
      <c r="D61" s="37">
        <v>40</v>
      </c>
      <c r="E61" s="37">
        <v>37.1</v>
      </c>
      <c r="F61" s="37">
        <v>39.799999999999997</v>
      </c>
      <c r="G61" s="37"/>
      <c r="H61" s="38">
        <v>40.4</v>
      </c>
      <c r="I61" s="37">
        <v>42.6</v>
      </c>
      <c r="J61" s="37">
        <v>41.4</v>
      </c>
      <c r="L61" s="2">
        <f t="shared" si="2"/>
        <v>40.9</v>
      </c>
      <c r="M61" s="2">
        <f t="shared" si="3"/>
        <v>13.899999999999999</v>
      </c>
      <c r="AF61" s="50"/>
      <c r="AG61" s="50"/>
      <c r="AH61" s="50"/>
      <c r="AI61" s="50"/>
      <c r="AJ61" s="50"/>
      <c r="AK61" s="50"/>
      <c r="AL61" s="50"/>
    </row>
    <row r="62" spans="1:38" x14ac:dyDescent="0.25">
      <c r="A62" s="42">
        <v>1922</v>
      </c>
      <c r="B62" s="37">
        <v>32.1</v>
      </c>
      <c r="C62" s="37">
        <v>29.6</v>
      </c>
      <c r="D62" s="37">
        <v>29.6</v>
      </c>
      <c r="E62" s="37">
        <v>29.8</v>
      </c>
      <c r="F62" s="37">
        <v>38.799999999999997</v>
      </c>
      <c r="G62" s="37"/>
      <c r="H62" s="38">
        <v>55.3</v>
      </c>
      <c r="I62" s="37">
        <v>43</v>
      </c>
      <c r="J62" s="37">
        <v>47.1</v>
      </c>
      <c r="L62" s="2">
        <f t="shared" si="2"/>
        <v>51.2</v>
      </c>
      <c r="M62" s="2">
        <f t="shared" si="3"/>
        <v>24.200000000000003</v>
      </c>
      <c r="AF62" s="50"/>
      <c r="AG62" s="50"/>
      <c r="AH62" s="50"/>
      <c r="AI62" s="50"/>
      <c r="AJ62" s="50"/>
      <c r="AK62" s="50"/>
      <c r="AL62" s="50"/>
    </row>
    <row r="63" spans="1:38" x14ac:dyDescent="0.25">
      <c r="A63" s="42">
        <v>1923</v>
      </c>
      <c r="B63" s="37">
        <v>23.1</v>
      </c>
      <c r="C63" s="37">
        <v>25.5</v>
      </c>
      <c r="D63" s="37">
        <v>25.5</v>
      </c>
      <c r="E63" s="37">
        <v>38</v>
      </c>
      <c r="F63" s="37">
        <v>29.1</v>
      </c>
      <c r="G63" s="37"/>
      <c r="H63" s="38">
        <v>22.3</v>
      </c>
      <c r="I63" s="37">
        <v>28.1</v>
      </c>
      <c r="J63" s="37">
        <v>28.7</v>
      </c>
      <c r="L63" s="2">
        <f t="shared" si="2"/>
        <v>25.5</v>
      </c>
      <c r="M63" s="2">
        <f t="shared" si="3"/>
        <v>-1.5</v>
      </c>
      <c r="AF63" s="50"/>
      <c r="AG63" s="50"/>
      <c r="AH63" s="50"/>
      <c r="AI63" s="50"/>
      <c r="AJ63" s="50"/>
      <c r="AK63" s="50"/>
      <c r="AL63" s="50"/>
    </row>
    <row r="64" spans="1:38" x14ac:dyDescent="0.25">
      <c r="A64" s="42">
        <v>1924</v>
      </c>
      <c r="B64" s="37">
        <v>24.1</v>
      </c>
      <c r="C64" s="37">
        <v>23.5</v>
      </c>
      <c r="D64" s="37">
        <v>23.5</v>
      </c>
      <c r="E64" s="37">
        <v>22.5</v>
      </c>
      <c r="F64" s="37">
        <v>27.6</v>
      </c>
      <c r="G64" s="37"/>
      <c r="H64" s="38">
        <v>23.1</v>
      </c>
      <c r="I64" s="37"/>
      <c r="J64" s="37">
        <v>22.4</v>
      </c>
      <c r="L64" s="2">
        <f t="shared" si="2"/>
        <v>22.75</v>
      </c>
      <c r="M64" s="2">
        <f t="shared" si="3"/>
        <v>-4.25</v>
      </c>
      <c r="AF64" s="50"/>
      <c r="AG64" s="50"/>
      <c r="AH64" s="50"/>
      <c r="AI64" s="50"/>
      <c r="AJ64" s="50"/>
      <c r="AK64" s="50"/>
      <c r="AL64" s="50"/>
    </row>
    <row r="65" spans="1:38" x14ac:dyDescent="0.25">
      <c r="A65" s="42">
        <v>1925</v>
      </c>
      <c r="B65" s="37">
        <v>25.2</v>
      </c>
      <c r="C65" s="37">
        <v>24.5</v>
      </c>
      <c r="D65" s="37">
        <v>24.5</v>
      </c>
      <c r="E65" s="37">
        <v>21.7</v>
      </c>
      <c r="F65" s="37">
        <v>28.7</v>
      </c>
      <c r="G65" s="37"/>
      <c r="H65" s="38">
        <v>23.3</v>
      </c>
      <c r="I65" s="38"/>
      <c r="J65" s="37">
        <v>23.8</v>
      </c>
      <c r="L65" s="2">
        <f t="shared" si="2"/>
        <v>23.55</v>
      </c>
      <c r="AF65" s="50"/>
      <c r="AG65" s="50"/>
      <c r="AH65" s="50"/>
      <c r="AI65" s="50"/>
      <c r="AJ65" s="50"/>
      <c r="AK65" s="50"/>
      <c r="AL65" s="50"/>
    </row>
    <row r="66" spans="1:38" x14ac:dyDescent="0.25">
      <c r="A66" s="42">
        <v>1926</v>
      </c>
      <c r="B66" s="37">
        <v>21.3</v>
      </c>
      <c r="C66" s="37">
        <v>21.5</v>
      </c>
      <c r="D66" s="37">
        <v>21.5</v>
      </c>
      <c r="E66" s="37">
        <v>22.9</v>
      </c>
      <c r="F66" s="37">
        <v>25.5</v>
      </c>
      <c r="G66" s="37"/>
      <c r="H66" s="38">
        <v>19.899999999999999</v>
      </c>
      <c r="I66" s="38"/>
      <c r="J66" s="37">
        <v>22.7</v>
      </c>
      <c r="AF66" s="50"/>
      <c r="AG66" s="50"/>
      <c r="AH66" s="50"/>
      <c r="AI66" s="50"/>
      <c r="AJ66" s="50"/>
      <c r="AK66" s="50"/>
      <c r="AL66" s="50"/>
    </row>
    <row r="67" spans="1:38" x14ac:dyDescent="0.25">
      <c r="AF67" s="50"/>
      <c r="AG67" s="50"/>
      <c r="AH67" s="50"/>
      <c r="AI67" s="50"/>
      <c r="AJ67" s="50"/>
      <c r="AK67" s="50"/>
      <c r="AL67" s="50"/>
    </row>
    <row r="68" spans="1:38" x14ac:dyDescent="0.25">
      <c r="A68" t="s">
        <v>8</v>
      </c>
      <c r="B68" t="s">
        <v>18</v>
      </c>
      <c r="AF68" s="50"/>
      <c r="AG68" s="50"/>
      <c r="AH68" s="50"/>
      <c r="AI68" s="50"/>
      <c r="AJ68" s="50"/>
      <c r="AK68" s="50"/>
      <c r="AL68" s="50"/>
    </row>
    <row r="69" spans="1:38" x14ac:dyDescent="0.25">
      <c r="A69" t="s">
        <v>9</v>
      </c>
      <c r="B69" t="s">
        <v>19</v>
      </c>
      <c r="AF69" s="50"/>
      <c r="AG69" s="50"/>
      <c r="AH69" s="50"/>
      <c r="AI69" s="50"/>
      <c r="AJ69" s="50"/>
      <c r="AK69" s="50"/>
      <c r="AL69" s="50"/>
    </row>
    <row r="70" spans="1:38" x14ac:dyDescent="0.25">
      <c r="A70" t="s">
        <v>10</v>
      </c>
      <c r="B70" t="s">
        <v>20</v>
      </c>
      <c r="AF70" s="50"/>
      <c r="AG70" s="50"/>
      <c r="AH70" s="50"/>
      <c r="AI70" s="50"/>
      <c r="AJ70" s="50"/>
      <c r="AK70" s="50"/>
      <c r="AL70" s="50"/>
    </row>
    <row r="71" spans="1:38" x14ac:dyDescent="0.25">
      <c r="A71" t="s">
        <v>11</v>
      </c>
      <c r="B71" t="s">
        <v>0</v>
      </c>
      <c r="AF71" s="50"/>
      <c r="AG71" s="50"/>
      <c r="AH71" s="50"/>
      <c r="AI71" s="50"/>
      <c r="AJ71" s="50"/>
      <c r="AK71" s="50"/>
      <c r="AL71" s="50"/>
    </row>
    <row r="72" spans="1:38" x14ac:dyDescent="0.25">
      <c r="A72" t="s">
        <v>12</v>
      </c>
      <c r="B72" t="s">
        <v>21</v>
      </c>
      <c r="AF72" s="50"/>
      <c r="AG72" s="50"/>
      <c r="AH72" s="50"/>
      <c r="AI72" s="50"/>
      <c r="AJ72" s="50"/>
      <c r="AK72" s="50"/>
      <c r="AL72" s="50"/>
    </row>
    <row r="73" spans="1:38" x14ac:dyDescent="0.25">
      <c r="A73" t="s">
        <v>13</v>
      </c>
      <c r="B73" t="s">
        <v>22</v>
      </c>
      <c r="AF73" s="50"/>
      <c r="AG73" s="50"/>
      <c r="AH73" s="50"/>
      <c r="AI73" s="50"/>
      <c r="AJ73" s="50"/>
      <c r="AK73" s="50"/>
      <c r="AL73" s="50"/>
    </row>
    <row r="74" spans="1:38" x14ac:dyDescent="0.25">
      <c r="A74" t="s">
        <v>14</v>
      </c>
      <c r="B74" t="s">
        <v>23</v>
      </c>
      <c r="AF74" s="50"/>
      <c r="AG74" s="50"/>
      <c r="AH74" s="50"/>
      <c r="AI74" s="50"/>
      <c r="AJ74" s="50"/>
      <c r="AK74" s="50"/>
      <c r="AL74" s="50"/>
    </row>
    <row r="75" spans="1:38" x14ac:dyDescent="0.25">
      <c r="A75" t="s">
        <v>5</v>
      </c>
      <c r="B75" t="s">
        <v>24</v>
      </c>
      <c r="AF75" s="50"/>
      <c r="AG75" s="50"/>
      <c r="AH75" s="50"/>
      <c r="AI75" s="50"/>
      <c r="AJ75" s="50"/>
      <c r="AK75" s="50"/>
      <c r="AL75" s="50"/>
    </row>
    <row r="76" spans="1:38" x14ac:dyDescent="0.25">
      <c r="A76" t="s">
        <v>15</v>
      </c>
      <c r="B76" t="s">
        <v>25</v>
      </c>
      <c r="AF76" s="50"/>
      <c r="AG76" s="50"/>
      <c r="AH76" s="50"/>
      <c r="AI76" s="50"/>
      <c r="AJ76" s="50"/>
      <c r="AK76" s="50"/>
      <c r="AL76" s="50"/>
    </row>
    <row r="77" spans="1:38" x14ac:dyDescent="0.25">
      <c r="A77" t="s">
        <v>16</v>
      </c>
      <c r="B77" t="s">
        <v>25</v>
      </c>
      <c r="AF77" s="50"/>
      <c r="AG77" s="50"/>
      <c r="AH77" s="50"/>
      <c r="AI77" s="50"/>
      <c r="AJ77" s="50"/>
      <c r="AK77" s="50"/>
      <c r="AL77" s="50"/>
    </row>
    <row r="78" spans="1:38" x14ac:dyDescent="0.25">
      <c r="AF78" s="50"/>
      <c r="AG78" s="50"/>
      <c r="AH78" s="50"/>
      <c r="AI78" s="50"/>
      <c r="AJ78" s="50"/>
      <c r="AK78" s="50"/>
      <c r="AL78" s="50"/>
    </row>
    <row r="79" spans="1:38" x14ac:dyDescent="0.25">
      <c r="AF79" s="50"/>
      <c r="AG79" s="50"/>
      <c r="AH79" s="50"/>
      <c r="AI79" s="50"/>
      <c r="AJ79" s="50"/>
      <c r="AK79" s="50"/>
      <c r="AL79" s="50"/>
    </row>
    <row r="80" spans="1:38" x14ac:dyDescent="0.25">
      <c r="AF80" s="50"/>
      <c r="AG80" s="50"/>
      <c r="AH80" s="50"/>
      <c r="AI80" s="50"/>
      <c r="AJ80" s="50"/>
      <c r="AK80" s="50"/>
      <c r="AL80" s="50"/>
    </row>
    <row r="81" spans="1:40" x14ac:dyDescent="0.25">
      <c r="AF81" s="50"/>
      <c r="AG81" s="50"/>
      <c r="AH81" s="50"/>
      <c r="AI81" s="50"/>
      <c r="AJ81" s="50"/>
      <c r="AK81" s="50"/>
      <c r="AL81" s="50"/>
    </row>
    <row r="82" spans="1:40" x14ac:dyDescent="0.25">
      <c r="AF82" s="50"/>
      <c r="AG82" s="50"/>
      <c r="AH82" s="50"/>
      <c r="AI82" s="50"/>
      <c r="AJ82" s="50"/>
      <c r="AK82" s="50"/>
      <c r="AL82" s="50"/>
    </row>
    <row r="83" spans="1:40" x14ac:dyDescent="0.25">
      <c r="AF83" s="50"/>
      <c r="AG83" s="50"/>
      <c r="AH83" s="50"/>
      <c r="AI83" s="50"/>
      <c r="AJ83" s="50"/>
      <c r="AK83" s="50"/>
      <c r="AL83" s="50"/>
    </row>
    <row r="84" spans="1:40" x14ac:dyDescent="0.25">
      <c r="AF84" s="50"/>
      <c r="AG84" s="50"/>
      <c r="AH84" s="50"/>
      <c r="AI84" s="50"/>
      <c r="AJ84" s="50"/>
      <c r="AK84" s="50"/>
      <c r="AL84" s="50"/>
    </row>
    <row r="85" spans="1:40" x14ac:dyDescent="0.25">
      <c r="AF85" s="50"/>
      <c r="AG85" s="50"/>
      <c r="AH85" s="50"/>
      <c r="AI85" s="50"/>
      <c r="AJ85" s="50"/>
      <c r="AK85" s="50"/>
      <c r="AL85" s="50"/>
    </row>
    <row r="86" spans="1:40" x14ac:dyDescent="0.25">
      <c r="AF86" s="50"/>
      <c r="AG86" s="50"/>
      <c r="AH86" s="50"/>
      <c r="AI86" s="50"/>
      <c r="AJ86" s="50"/>
      <c r="AK86" s="50"/>
      <c r="AL86" s="50"/>
    </row>
    <row r="87" spans="1:40" x14ac:dyDescent="0.25">
      <c r="AF87" s="50"/>
      <c r="AG87" s="50"/>
      <c r="AH87" s="50"/>
      <c r="AI87" s="50"/>
      <c r="AJ87" s="50"/>
      <c r="AK87" s="50"/>
      <c r="AL87" s="50"/>
    </row>
    <row r="88" spans="1:40" x14ac:dyDescent="0.25">
      <c r="A88" s="53" t="s">
        <v>151</v>
      </c>
      <c r="B88" s="50"/>
      <c r="C88" s="50"/>
      <c r="D88" s="50"/>
      <c r="E88" s="52">
        <f>31.2/29.6</f>
        <v>1.0540540540540539</v>
      </c>
      <c r="F88" s="50"/>
      <c r="G88" s="50"/>
      <c r="H88" s="50"/>
      <c r="I88" s="50"/>
      <c r="J88" s="50"/>
      <c r="K88" s="50"/>
      <c r="L88" s="50"/>
      <c r="M88" s="50"/>
      <c r="N88" s="50"/>
      <c r="O88" s="50"/>
      <c r="P88" s="50"/>
      <c r="Q88" s="50"/>
      <c r="R88" s="50"/>
      <c r="S88" s="50"/>
      <c r="T88" s="50"/>
      <c r="U88" s="50"/>
      <c r="V88" s="50"/>
      <c r="W88" s="50"/>
      <c r="X88" s="50"/>
      <c r="Y88" s="50"/>
      <c r="Z88" s="50"/>
      <c r="AA88" s="50"/>
      <c r="AB88" s="50"/>
      <c r="AC88" s="50"/>
      <c r="AD88" s="50"/>
      <c r="AE88" s="50"/>
      <c r="AF88" s="50"/>
      <c r="AG88" s="50"/>
      <c r="AH88" s="50"/>
      <c r="AI88" s="50"/>
      <c r="AJ88" s="50"/>
      <c r="AK88" s="50"/>
      <c r="AL88" s="50"/>
    </row>
    <row r="89" spans="1:40" x14ac:dyDescent="0.25">
      <c r="A89" s="53" t="s">
        <v>153</v>
      </c>
      <c r="B89" s="50"/>
      <c r="C89" s="50"/>
      <c r="D89" s="50"/>
      <c r="E89" s="66">
        <v>-2.957E-3</v>
      </c>
      <c r="F89" s="50"/>
      <c r="G89" s="50"/>
      <c r="H89" s="50"/>
      <c r="I89" s="50"/>
      <c r="J89" s="50"/>
      <c r="K89" s="50"/>
      <c r="L89" s="50"/>
      <c r="M89" s="50"/>
      <c r="N89" s="50"/>
      <c r="O89" s="50"/>
      <c r="P89" s="50"/>
      <c r="Q89" s="50"/>
      <c r="R89" s="50"/>
      <c r="S89" s="50"/>
      <c r="T89" s="50"/>
      <c r="U89" s="50"/>
      <c r="V89" s="50"/>
      <c r="W89" s="50"/>
      <c r="X89" s="50"/>
      <c r="Y89" s="50"/>
      <c r="Z89" s="50"/>
      <c r="AA89" s="50"/>
      <c r="AB89" s="50"/>
      <c r="AC89" s="50"/>
      <c r="AD89" s="50"/>
      <c r="AE89" s="50"/>
      <c r="AF89" s="50"/>
      <c r="AG89" s="50"/>
      <c r="AH89" s="50"/>
      <c r="AI89" s="50"/>
      <c r="AJ89" s="50"/>
      <c r="AK89" s="50"/>
      <c r="AL89" s="50"/>
    </row>
    <row r="90" spans="1:40" x14ac:dyDescent="0.25">
      <c r="A90" s="50"/>
      <c r="B90" s="50"/>
      <c r="C90" s="50"/>
      <c r="D90" s="50"/>
      <c r="E90" s="50"/>
      <c r="F90" s="50"/>
      <c r="G90" s="50"/>
      <c r="H90" s="50"/>
      <c r="I90" s="50"/>
      <c r="J90" s="50"/>
      <c r="K90" s="50"/>
      <c r="L90" s="50"/>
      <c r="M90" s="50"/>
      <c r="N90" s="50"/>
      <c r="O90" s="50"/>
      <c r="P90" s="50"/>
      <c r="Q90" s="50"/>
      <c r="R90" s="50"/>
      <c r="S90" s="50"/>
      <c r="T90" s="50"/>
      <c r="U90" s="50"/>
      <c r="V90" s="50"/>
      <c r="W90" s="50"/>
      <c r="X90" s="50"/>
      <c r="Y90" s="50"/>
      <c r="Z90" s="50"/>
      <c r="AA90" s="50"/>
      <c r="AB90" s="50"/>
      <c r="AC90" s="50"/>
      <c r="AD90" s="50"/>
      <c r="AE90" s="50"/>
      <c r="AF90" s="50"/>
      <c r="AG90" s="50"/>
      <c r="AH90" s="50"/>
      <c r="AI90" s="50"/>
      <c r="AJ90" s="50"/>
      <c r="AK90" s="50"/>
      <c r="AL90" s="50"/>
    </row>
    <row r="91" spans="1:40" s="58" customFormat="1" ht="45" x14ac:dyDescent="0.25">
      <c r="A91" s="54" t="s">
        <v>3</v>
      </c>
      <c r="B91" s="56" t="s">
        <v>156</v>
      </c>
      <c r="C91" s="56" t="s">
        <v>155</v>
      </c>
      <c r="D91" s="56" t="s">
        <v>154</v>
      </c>
      <c r="E91" s="56" t="s">
        <v>157</v>
      </c>
      <c r="F91" s="56" t="s">
        <v>158</v>
      </c>
      <c r="G91" s="56" t="s">
        <v>152</v>
      </c>
      <c r="H91" s="55" t="s">
        <v>159</v>
      </c>
      <c r="I91" s="28"/>
      <c r="J91" s="59"/>
      <c r="K91" s="57"/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  <c r="AK91" s="57"/>
      <c r="AL91" s="57"/>
      <c r="AM91" s="57"/>
      <c r="AN91" s="57"/>
    </row>
    <row r="92" spans="1:40" x14ac:dyDescent="0.25">
      <c r="A92" s="41">
        <v>1913</v>
      </c>
      <c r="B92" s="51">
        <f>G53*RSFSR_MULT</f>
        <v>31.83243243243243</v>
      </c>
      <c r="C92" s="50"/>
      <c r="D92" s="50"/>
      <c r="E92" s="50"/>
      <c r="F92" s="50"/>
      <c r="G92" s="50"/>
      <c r="H92" s="51">
        <f>B92</f>
        <v>31.83243243243243</v>
      </c>
      <c r="I92" s="50"/>
      <c r="J92" s="50"/>
      <c r="K92" s="50"/>
      <c r="L92" s="50"/>
      <c r="M92" s="50"/>
      <c r="N92" s="50"/>
      <c r="O92" s="50"/>
      <c r="P92" s="50"/>
      <c r="Q92" s="50"/>
      <c r="R92" s="50"/>
      <c r="S92" s="50"/>
      <c r="T92" s="50"/>
      <c r="U92" s="50"/>
      <c r="V92" s="50"/>
      <c r="W92" s="50"/>
      <c r="X92" s="50"/>
      <c r="Y92" s="50"/>
      <c r="Z92" s="50"/>
      <c r="AA92" s="50"/>
      <c r="AB92" s="50"/>
      <c r="AC92" s="50"/>
      <c r="AD92" s="50"/>
      <c r="AE92" s="50"/>
      <c r="AF92" s="50"/>
      <c r="AG92" s="50"/>
      <c r="AH92" s="50"/>
      <c r="AI92" s="50"/>
      <c r="AJ92" s="50"/>
      <c r="AK92" s="50"/>
      <c r="AL92" s="50"/>
      <c r="AM92" s="50"/>
      <c r="AN92" s="50"/>
    </row>
    <row r="93" spans="1:40" x14ac:dyDescent="0.25">
      <c r="A93" s="41">
        <v>1914</v>
      </c>
      <c r="B93" s="51">
        <f>G54*RSFSR_MULT</f>
        <v>31.2</v>
      </c>
      <c r="H93" s="51">
        <f>B93</f>
        <v>31.2</v>
      </c>
    </row>
    <row r="94" spans="1:40" x14ac:dyDescent="0.25">
      <c r="A94" s="42">
        <v>1915</v>
      </c>
      <c r="B94" s="51">
        <f>G55*RSFSR_MULT</f>
        <v>37.313513513513506</v>
      </c>
      <c r="H94" s="51">
        <f>B94</f>
        <v>37.313513513513506</v>
      </c>
    </row>
    <row r="95" spans="1:40" x14ac:dyDescent="0.25">
      <c r="A95" s="42">
        <v>1916</v>
      </c>
      <c r="B95" s="51">
        <f>G56*RSFSR_MULT</f>
        <v>34.783783783783782</v>
      </c>
      <c r="H95" s="51">
        <f>B95</f>
        <v>34.783783783783782</v>
      </c>
    </row>
    <row r="96" spans="1:40" x14ac:dyDescent="0.25">
      <c r="A96" s="42">
        <v>1917</v>
      </c>
      <c r="B96" s="51">
        <f>G57*RSFSR_MULT</f>
        <v>29.724324324324321</v>
      </c>
      <c r="C96" s="2"/>
      <c r="D96" s="2"/>
      <c r="E96" s="2"/>
      <c r="H96" s="51">
        <f>B96</f>
        <v>29.724324324324321</v>
      </c>
    </row>
    <row r="97" spans="1:8" x14ac:dyDescent="0.25">
      <c r="A97" s="42">
        <v>1918</v>
      </c>
      <c r="C97" s="2">
        <f t="shared" ref="C97:C102" si="4">I58*RSFSR_MULT</f>
        <v>29.618918918918919</v>
      </c>
      <c r="D97" s="2"/>
      <c r="E97" s="2"/>
      <c r="F97" s="2">
        <f t="shared" ref="F97:F105" si="5">J58*RSFSR_MULT</f>
        <v>31.83243243243243</v>
      </c>
      <c r="G97" s="2">
        <f>M58</f>
        <v>8.0499999999999972</v>
      </c>
      <c r="H97" s="51">
        <f>C97*(1 + G97 * EXTRA_WEIGHT)</f>
        <v>28.913874615810812</v>
      </c>
    </row>
    <row r="98" spans="1:8" x14ac:dyDescent="0.25">
      <c r="A98" s="42">
        <v>1919</v>
      </c>
      <c r="C98" s="2">
        <f t="shared" si="4"/>
        <v>41.529729729729723</v>
      </c>
      <c r="D98" s="2"/>
      <c r="E98" s="2"/>
      <c r="F98" s="2">
        <f t="shared" si="5"/>
        <v>67.459459459459453</v>
      </c>
      <c r="G98" s="2">
        <f>M59</f>
        <v>37.75</v>
      </c>
      <c r="H98" s="51">
        <f>C98*(1 + G98 * EXTRA_WEIGHT)</f>
        <v>36.893900971621619</v>
      </c>
    </row>
    <row r="99" spans="1:8" x14ac:dyDescent="0.25">
      <c r="A99" s="42">
        <v>1920</v>
      </c>
      <c r="C99" s="2">
        <f t="shared" si="4"/>
        <v>52.597297297297288</v>
      </c>
      <c r="D99" s="2">
        <f>F60</f>
        <v>45.4</v>
      </c>
      <c r="E99" s="2">
        <f t="shared" ref="E99:E105" si="6">D99*28.6/26.5</f>
        <v>48.997735849056603</v>
      </c>
      <c r="F99" s="2">
        <f t="shared" si="5"/>
        <v>59.132432432432431</v>
      </c>
      <c r="G99" s="2">
        <f>M60</f>
        <v>40.799999999999997</v>
      </c>
      <c r="H99" s="51">
        <f>C99*(1 + G99 * EXTRA_WEIGHT)</f>
        <v>46.251664806486481</v>
      </c>
    </row>
    <row r="100" spans="1:8" x14ac:dyDescent="0.25">
      <c r="A100" s="42">
        <v>1921</v>
      </c>
      <c r="C100" s="2">
        <f t="shared" si="4"/>
        <v>44.902702702702697</v>
      </c>
      <c r="D100" s="2">
        <f t="shared" ref="D100:D105" si="7">F61</f>
        <v>39.799999999999997</v>
      </c>
      <c r="E100" s="2">
        <f t="shared" si="6"/>
        <v>42.953962264150945</v>
      </c>
      <c r="F100" s="2">
        <f t="shared" si="5"/>
        <v>43.637837837837829</v>
      </c>
      <c r="G100" s="2">
        <f>M61</f>
        <v>13.899999999999999</v>
      </c>
      <c r="H100" s="51">
        <f>C100*(1 + G100 * EXTRA_WEIGHT)</f>
        <v>43.0570983454054</v>
      </c>
    </row>
    <row r="101" spans="1:8" x14ac:dyDescent="0.25">
      <c r="A101" s="42">
        <v>1922</v>
      </c>
      <c r="C101" s="2">
        <f t="shared" si="4"/>
        <v>45.324324324324323</v>
      </c>
      <c r="D101" s="2">
        <f t="shared" si="7"/>
        <v>38.799999999999997</v>
      </c>
      <c r="E101" s="2">
        <f t="shared" si="6"/>
        <v>41.874716981132075</v>
      </c>
      <c r="F101" s="2">
        <f t="shared" si="5"/>
        <v>49.64594594594594</v>
      </c>
      <c r="G101" s="2">
        <f>M62</f>
        <v>24.200000000000003</v>
      </c>
      <c r="H101" s="51">
        <f>C101*(1 + G101 * EXTRA_WEIGHT)</f>
        <v>42.080942870270263</v>
      </c>
    </row>
    <row r="102" spans="1:8" x14ac:dyDescent="0.25">
      <c r="A102" s="42">
        <v>1923</v>
      </c>
      <c r="C102" s="2">
        <f t="shared" si="4"/>
        <v>29.618918918918919</v>
      </c>
      <c r="D102" s="2">
        <f t="shared" si="7"/>
        <v>29.1</v>
      </c>
      <c r="E102" s="2">
        <f t="shared" si="6"/>
        <v>31.406037735849061</v>
      </c>
      <c r="F102" s="2">
        <f t="shared" si="5"/>
        <v>30.251351351351346</v>
      </c>
      <c r="G102" s="2"/>
      <c r="H102" s="51">
        <f>E102</f>
        <v>31.406037735849061</v>
      </c>
    </row>
    <row r="103" spans="1:8" x14ac:dyDescent="0.25">
      <c r="A103" s="42">
        <v>1924</v>
      </c>
      <c r="C103" s="2"/>
      <c r="D103" s="2">
        <f t="shared" si="7"/>
        <v>27.6</v>
      </c>
      <c r="E103" s="2">
        <f t="shared" si="6"/>
        <v>29.787169811320759</v>
      </c>
      <c r="F103" s="2">
        <f t="shared" si="5"/>
        <v>23.610810810810808</v>
      </c>
      <c r="H103" s="51">
        <f t="shared" ref="H103:H106" si="8">E103</f>
        <v>29.787169811320759</v>
      </c>
    </row>
    <row r="104" spans="1:8" x14ac:dyDescent="0.25">
      <c r="A104" s="42">
        <v>1925</v>
      </c>
      <c r="C104" s="2"/>
      <c r="D104" s="2">
        <f t="shared" si="7"/>
        <v>28.7</v>
      </c>
      <c r="E104" s="2">
        <f t="shared" si="6"/>
        <v>30.974339622641512</v>
      </c>
      <c r="F104" s="2">
        <f t="shared" si="5"/>
        <v>25.086486486486486</v>
      </c>
      <c r="H104" s="51">
        <f t="shared" si="8"/>
        <v>30.974339622641512</v>
      </c>
    </row>
    <row r="105" spans="1:8" x14ac:dyDescent="0.25">
      <c r="A105" s="42">
        <v>1926</v>
      </c>
      <c r="C105" s="2"/>
      <c r="D105" s="2">
        <f t="shared" si="7"/>
        <v>25.5</v>
      </c>
      <c r="E105" s="2">
        <f t="shared" si="6"/>
        <v>27.520754716981134</v>
      </c>
      <c r="F105" s="2">
        <f t="shared" si="5"/>
        <v>23.927027027027023</v>
      </c>
      <c r="H105" s="51">
        <f t="shared" si="8"/>
        <v>27.520754716981134</v>
      </c>
    </row>
    <row r="106" spans="1:8" x14ac:dyDescent="0.25">
      <c r="A106" s="43">
        <v>1927</v>
      </c>
      <c r="D106">
        <v>26.5</v>
      </c>
      <c r="E106" s="2">
        <f>D106*28.6/26.5</f>
        <v>28.600000000000005</v>
      </c>
      <c r="H106" s="51">
        <f t="shared" si="8"/>
        <v>28.600000000000005</v>
      </c>
    </row>
    <row r="118" spans="1:35" ht="21" x14ac:dyDescent="0.35">
      <c r="A118" s="67" t="s">
        <v>164</v>
      </c>
      <c r="B118" s="68"/>
      <c r="C118" s="68"/>
      <c r="D118" s="68"/>
      <c r="E118" s="68"/>
      <c r="F118" s="68"/>
      <c r="G118" s="68"/>
      <c r="H118" s="68"/>
      <c r="I118" s="68"/>
      <c r="J118" s="68"/>
      <c r="K118" s="68"/>
      <c r="L118" s="68"/>
      <c r="M118" s="68"/>
      <c r="N118" s="68"/>
      <c r="O118" s="68"/>
      <c r="P118" s="68"/>
      <c r="Q118" s="68"/>
      <c r="R118" s="68"/>
      <c r="S118" s="68"/>
      <c r="T118" s="68"/>
      <c r="U118" s="68"/>
      <c r="V118" s="68"/>
      <c r="W118" s="68"/>
      <c r="X118" s="68"/>
      <c r="Y118" s="68"/>
      <c r="Z118" s="68"/>
      <c r="AA118" s="68"/>
      <c r="AB118" s="68"/>
      <c r="AC118" s="68"/>
      <c r="AD118" s="68"/>
      <c r="AE118" s="68"/>
      <c r="AF118" s="68"/>
      <c r="AG118" s="68"/>
      <c r="AH118" s="68"/>
      <c r="AI118" s="68"/>
    </row>
    <row r="120" spans="1:35" ht="30" x14ac:dyDescent="0.25">
      <c r="A120" s="60" t="s">
        <v>3</v>
      </c>
      <c r="B120" s="60" t="s">
        <v>6</v>
      </c>
      <c r="C120" s="60" t="s">
        <v>7</v>
      </c>
      <c r="D120" s="12" t="s">
        <v>138</v>
      </c>
      <c r="E120" s="12" t="s">
        <v>26</v>
      </c>
      <c r="F120" s="60" t="s">
        <v>30</v>
      </c>
      <c r="G120" s="60" t="s">
        <v>27</v>
      </c>
      <c r="H120" s="60" t="s">
        <v>28</v>
      </c>
      <c r="I120" s="60" t="s">
        <v>29</v>
      </c>
      <c r="J120" s="60" t="s">
        <v>32</v>
      </c>
    </row>
    <row r="121" spans="1:35" x14ac:dyDescent="0.25">
      <c r="A121" s="61">
        <v>1913</v>
      </c>
      <c r="B121" s="64">
        <v>48.4</v>
      </c>
      <c r="C121" s="64">
        <v>31.6</v>
      </c>
      <c r="D121" s="1">
        <f>B121-C121</f>
        <v>16.799999999999997</v>
      </c>
      <c r="E121" s="28"/>
      <c r="F121" s="65">
        <v>87749</v>
      </c>
      <c r="G121" s="65">
        <v>88520</v>
      </c>
      <c r="H121" s="59"/>
      <c r="I121" s="59"/>
      <c r="J121" s="59"/>
    </row>
    <row r="122" spans="1:35" x14ac:dyDescent="0.25">
      <c r="A122" s="61">
        <v>1914</v>
      </c>
      <c r="B122" s="64">
        <v>48</v>
      </c>
      <c r="C122" s="64">
        <v>31.2</v>
      </c>
      <c r="D122" s="1">
        <f>B122-C122</f>
        <v>16.8</v>
      </c>
      <c r="E122">
        <v>10</v>
      </c>
      <c r="F122" s="65">
        <v>89296</v>
      </c>
      <c r="G122" s="65">
        <v>90063</v>
      </c>
      <c r="H122" s="59"/>
      <c r="I122" s="59"/>
      <c r="J122" s="59"/>
    </row>
    <row r="123" spans="1:35" x14ac:dyDescent="0.25">
      <c r="A123" s="49">
        <v>1915</v>
      </c>
      <c r="B123" s="1">
        <f>E6</f>
        <v>40.631130063965891</v>
      </c>
      <c r="C123" s="1">
        <f>H94</f>
        <v>37.313513513513506</v>
      </c>
      <c r="D123" s="1">
        <f>B123-C123</f>
        <v>3.3176165504523851</v>
      </c>
      <c r="E123">
        <v>85</v>
      </c>
      <c r="F123" s="3">
        <f>91037+E122</f>
        <v>91047</v>
      </c>
      <c r="G123" s="4">
        <f>[1]!YearAveragePopulation(F123,B123,C123,E123)</f>
        <v>91240.743713572738</v>
      </c>
      <c r="H123" s="4">
        <f>G123*B123/1000</f>
        <v>3707.2145249591522</v>
      </c>
      <c r="I123" s="4">
        <f>G123*C123/1000</f>
        <v>3404.5127235394189</v>
      </c>
      <c r="J123" s="4">
        <f>H123-I123</f>
        <v>302.70180141973333</v>
      </c>
    </row>
    <row r="124" spans="1:35" x14ac:dyDescent="0.25">
      <c r="A124" s="49">
        <v>1916</v>
      </c>
      <c r="B124" s="1">
        <f t="shared" ref="B124:B134" si="9">E7</f>
        <v>30.601279317697227</v>
      </c>
      <c r="C124" s="1">
        <f t="shared" ref="C124:C134" si="10">H95</f>
        <v>34.783783783783782</v>
      </c>
      <c r="D124" s="1">
        <f t="shared" ref="D124:D134" si="11">B124-C124</f>
        <v>-4.1825044660865558</v>
      </c>
      <c r="E124">
        <v>25</v>
      </c>
      <c r="F124" s="4">
        <f>F123+J123+E123</f>
        <v>91434.701801419738</v>
      </c>
      <c r="G124" s="4">
        <f>[1]!YearAveragePopulation(F124,B124,C124,E124)</f>
        <v>91256.237672800969</v>
      </c>
      <c r="H124" s="4">
        <f t="shared" ref="H124:H134" si="12">G124*B124/1000</f>
        <v>2792.557618507547</v>
      </c>
      <c r="I124" s="4">
        <f t="shared" ref="I124:I134" si="13">G124*C124/1000</f>
        <v>3174.2372401322932</v>
      </c>
      <c r="J124" s="4">
        <f t="shared" ref="J124:J134" si="14">H124-I124</f>
        <v>-381.67962162474623</v>
      </c>
    </row>
    <row r="125" spans="1:35" x14ac:dyDescent="0.25">
      <c r="A125" s="49">
        <v>1917</v>
      </c>
      <c r="B125" s="1">
        <f t="shared" si="9"/>
        <v>24.460554371002129</v>
      </c>
      <c r="C125" s="1">
        <f t="shared" si="10"/>
        <v>29.724324324324321</v>
      </c>
      <c r="D125" s="1">
        <f t="shared" si="11"/>
        <v>-5.2637699533221927</v>
      </c>
      <c r="E125">
        <v>-5</v>
      </c>
      <c r="F125" s="4">
        <f t="shared" ref="F125:F135" si="15">F124+J124+E124</f>
        <v>91078.022179794993</v>
      </c>
      <c r="G125" s="4">
        <f>[1]!YearAveragePopulation(F125,B125,C125,E125)</f>
        <v>90836.239716626776</v>
      </c>
      <c r="H125" s="4">
        <f t="shared" si="12"/>
        <v>2221.9047804459324</v>
      </c>
      <c r="I125" s="4">
        <f t="shared" si="13"/>
        <v>2700.0458497390846</v>
      </c>
      <c r="J125" s="4">
        <f t="shared" si="14"/>
        <v>-478.14106929315221</v>
      </c>
    </row>
    <row r="126" spans="1:35" x14ac:dyDescent="0.25">
      <c r="A126" s="49">
        <v>1918</v>
      </c>
      <c r="B126" s="1">
        <f t="shared" si="9"/>
        <v>32.750533049040513</v>
      </c>
      <c r="C126" s="1">
        <f t="shared" si="10"/>
        <v>28.913874615810812</v>
      </c>
      <c r="D126" s="1">
        <f t="shared" si="11"/>
        <v>3.8366584332297009</v>
      </c>
      <c r="E126">
        <v>-220</v>
      </c>
      <c r="F126" s="4">
        <f t="shared" si="15"/>
        <v>90594.881110501839</v>
      </c>
      <c r="G126" s="4">
        <f>[1]!YearAveragePopulation(F126,B126,C126,E126)</f>
        <v>90658.753577300551</v>
      </c>
      <c r="H126" s="4">
        <f t="shared" si="12"/>
        <v>2969.1225052182012</v>
      </c>
      <c r="I126" s="4">
        <f t="shared" si="13"/>
        <v>2621.2958337597584</v>
      </c>
      <c r="J126" s="4">
        <f t="shared" si="14"/>
        <v>347.82667145844289</v>
      </c>
    </row>
    <row r="127" spans="1:35" x14ac:dyDescent="0.25">
      <c r="A127" s="49">
        <v>1919</v>
      </c>
      <c r="B127" s="1">
        <f t="shared" si="9"/>
        <v>31.727078891257996</v>
      </c>
      <c r="C127" s="1">
        <f t="shared" si="10"/>
        <v>36.893900971621619</v>
      </c>
      <c r="D127" s="1">
        <f t="shared" si="11"/>
        <v>-5.1668220803636231</v>
      </c>
      <c r="E127">
        <v>-270</v>
      </c>
      <c r="F127" s="4">
        <f t="shared" si="15"/>
        <v>90722.707781960286</v>
      </c>
      <c r="G127" s="4">
        <f>[1]!YearAveragePopulation(F127,B127,C127,E127)</f>
        <v>90353.969079516566</v>
      </c>
      <c r="H127" s="4">
        <f t="shared" si="12"/>
        <v>2866.6675051241077</v>
      </c>
      <c r="I127" s="4">
        <f t="shared" si="13"/>
        <v>3333.5103876126459</v>
      </c>
      <c r="J127" s="4">
        <f t="shared" si="14"/>
        <v>-466.84288248853818</v>
      </c>
    </row>
    <row r="128" spans="1:35" x14ac:dyDescent="0.25">
      <c r="A128" s="49">
        <v>1920</v>
      </c>
      <c r="B128" s="1">
        <f t="shared" si="9"/>
        <v>31.931769722814497</v>
      </c>
      <c r="C128" s="1">
        <f t="shared" si="10"/>
        <v>46.251664806486481</v>
      </c>
      <c r="D128" s="1">
        <f t="shared" si="11"/>
        <v>-14.319895083671984</v>
      </c>
      <c r="E128">
        <v>-390</v>
      </c>
      <c r="F128" s="4">
        <f t="shared" si="15"/>
        <v>89985.864899471751</v>
      </c>
      <c r="G128" s="4">
        <f>[1]!YearAveragePopulation(F128,B128,C128,E128)</f>
        <v>89150.56272718712</v>
      </c>
      <c r="H128" s="4">
        <f t="shared" si="12"/>
        <v>2846.735239663868</v>
      </c>
      <c r="I128" s="4">
        <f t="shared" si="13"/>
        <v>4123.3619445675058</v>
      </c>
      <c r="J128" s="4">
        <f t="shared" si="14"/>
        <v>-1276.6267049036378</v>
      </c>
    </row>
    <row r="129" spans="1:10" x14ac:dyDescent="0.25">
      <c r="A129" s="49">
        <v>1921</v>
      </c>
      <c r="B129" s="1">
        <f t="shared" si="9"/>
        <v>36.332622601279319</v>
      </c>
      <c r="C129" s="1">
        <f t="shared" si="10"/>
        <v>43.0570983454054</v>
      </c>
      <c r="D129" s="1">
        <f t="shared" si="11"/>
        <v>-6.7244757441260816</v>
      </c>
      <c r="E129">
        <v>-150</v>
      </c>
      <c r="F129" s="4">
        <f t="shared" si="15"/>
        <v>88319.238194568112</v>
      </c>
      <c r="G129" s="4">
        <f>[1]!YearAveragePopulation(F129,B129,C129,E129)</f>
        <v>87948.120230934379</v>
      </c>
      <c r="H129" s="4">
        <f t="shared" si="12"/>
        <v>3195.3858608424771</v>
      </c>
      <c r="I129" s="4">
        <f t="shared" si="13"/>
        <v>3786.7908620768799</v>
      </c>
      <c r="J129" s="4">
        <f t="shared" si="14"/>
        <v>-591.40500123440279</v>
      </c>
    </row>
    <row r="130" spans="1:10" x14ac:dyDescent="0.25">
      <c r="A130" s="49">
        <v>1922</v>
      </c>
      <c r="B130" s="1">
        <f t="shared" si="9"/>
        <v>38.938336886993604</v>
      </c>
      <c r="C130" s="1">
        <f t="shared" si="10"/>
        <v>42.080942870270263</v>
      </c>
      <c r="D130" s="1">
        <f t="shared" si="11"/>
        <v>-3.1426059832766597</v>
      </c>
      <c r="E130">
        <v>-55</v>
      </c>
      <c r="F130" s="4">
        <f t="shared" si="15"/>
        <v>87577.833193333703</v>
      </c>
      <c r="G130" s="4">
        <f>[1]!YearAveragePopulation(F130,B130,C130,E130)</f>
        <v>87412.894706167484</v>
      </c>
      <c r="H130" s="4">
        <f t="shared" si="12"/>
        <v>3403.7127423360494</v>
      </c>
      <c r="I130" s="4">
        <f t="shared" si="13"/>
        <v>3678.4170282551836</v>
      </c>
      <c r="J130" s="4">
        <f t="shared" si="14"/>
        <v>-274.70428591913424</v>
      </c>
    </row>
    <row r="131" spans="1:10" x14ac:dyDescent="0.25">
      <c r="A131" s="49">
        <v>1923</v>
      </c>
      <c r="B131" s="1">
        <f t="shared" si="9"/>
        <v>48.524008528784648</v>
      </c>
      <c r="C131" s="1">
        <f t="shared" si="10"/>
        <v>31.406037735849061</v>
      </c>
      <c r="D131" s="1">
        <f t="shared" si="11"/>
        <v>17.117970792935587</v>
      </c>
      <c r="E131">
        <v>-20</v>
      </c>
      <c r="F131" s="4">
        <f t="shared" si="15"/>
        <v>87248.128907414575</v>
      </c>
      <c r="G131" s="4">
        <f>[1]!YearAveragePopulation(F131,B131,C131,E131)</f>
        <v>87989.106340502069</v>
      </c>
      <c r="H131" s="4">
        <f t="shared" si="12"/>
        <v>4269.5841465066615</v>
      </c>
      <c r="I131" s="4">
        <f t="shared" si="13"/>
        <v>2763.3891940734438</v>
      </c>
      <c r="J131" s="4">
        <f t="shared" si="14"/>
        <v>1506.1949524332176</v>
      </c>
    </row>
    <row r="132" spans="1:10" x14ac:dyDescent="0.25">
      <c r="A132" s="49">
        <v>1924</v>
      </c>
      <c r="B132" s="1">
        <f t="shared" si="9"/>
        <v>46.17211087420042</v>
      </c>
      <c r="C132" s="1">
        <f t="shared" si="10"/>
        <v>29.787169811320759</v>
      </c>
      <c r="D132" s="1">
        <f t="shared" si="11"/>
        <v>16.384941062879662</v>
      </c>
      <c r="E132">
        <v>-10</v>
      </c>
      <c r="F132" s="4">
        <f t="shared" si="15"/>
        <v>88734.323859847791</v>
      </c>
      <c r="G132" s="4">
        <f>[1]!YearAveragePopulation(F132,B132,C132,E132)</f>
        <v>89460.23645222139</v>
      </c>
      <c r="H132" s="4">
        <f t="shared" si="12"/>
        <v>4130.5679563041522</v>
      </c>
      <c r="I132" s="4">
        <f t="shared" si="13"/>
        <v>2664.7672545632258</v>
      </c>
      <c r="J132" s="4">
        <f t="shared" si="14"/>
        <v>1465.8007017409263</v>
      </c>
    </row>
    <row r="133" spans="1:10" x14ac:dyDescent="0.25">
      <c r="A133" s="49">
        <v>1925</v>
      </c>
      <c r="B133" s="1">
        <f t="shared" si="9"/>
        <v>48.7</v>
      </c>
      <c r="C133" s="1">
        <f t="shared" si="10"/>
        <v>30.974339622641512</v>
      </c>
      <c r="D133" s="1">
        <f t="shared" si="11"/>
        <v>17.725660377358491</v>
      </c>
      <c r="E133">
        <v>-5</v>
      </c>
      <c r="F133" s="4">
        <f t="shared" si="15"/>
        <v>90190.124561588716</v>
      </c>
      <c r="G133" s="4">
        <f>[1]!YearAveragePopulation(F133,B133,C133,E133)</f>
        <v>90991.693428627375</v>
      </c>
      <c r="H133" s="4">
        <f t="shared" si="12"/>
        <v>4431.295469974154</v>
      </c>
      <c r="I133" s="4">
        <f t="shared" si="13"/>
        <v>2818.4076150975825</v>
      </c>
      <c r="J133" s="4">
        <f t="shared" si="14"/>
        <v>1612.8878548765715</v>
      </c>
    </row>
    <row r="134" spans="1:10" x14ac:dyDescent="0.25">
      <c r="A134" s="49">
        <v>1926</v>
      </c>
      <c r="B134" s="1">
        <f t="shared" si="9"/>
        <v>47</v>
      </c>
      <c r="C134" s="1">
        <f t="shared" si="10"/>
        <v>27.520754716981134</v>
      </c>
      <c r="D134" s="1">
        <f t="shared" si="11"/>
        <v>19.479245283018866</v>
      </c>
      <c r="E134">
        <v>0</v>
      </c>
      <c r="F134" s="4">
        <f t="shared" si="15"/>
        <v>91798.012416465295</v>
      </c>
      <c r="G134" s="4">
        <f>[1]!YearAveragePopulation(F134,B134,C134,E134)</f>
        <v>92697.92411951581</v>
      </c>
      <c r="H134" s="4">
        <f t="shared" si="12"/>
        <v>4356.8024336172439</v>
      </c>
      <c r="I134" s="4">
        <f t="shared" si="13"/>
        <v>2551.1168324665241</v>
      </c>
      <c r="J134" s="4">
        <f t="shared" si="14"/>
        <v>1805.6856011507198</v>
      </c>
    </row>
    <row r="135" spans="1:10" x14ac:dyDescent="0.25">
      <c r="A135" s="49">
        <v>1927</v>
      </c>
      <c r="F135" s="4">
        <f t="shared" si="15"/>
        <v>93603.698017616014</v>
      </c>
    </row>
    <row r="137" spans="1:10" x14ac:dyDescent="0.25">
      <c r="A137" s="14" t="s">
        <v>31</v>
      </c>
      <c r="F137" s="3">
        <v>93604</v>
      </c>
    </row>
    <row r="138" spans="1:10" x14ac:dyDescent="0.25">
      <c r="A138" s="14"/>
      <c r="F138" s="3"/>
    </row>
    <row r="139" spans="1:10" x14ac:dyDescent="0.25">
      <c r="A139" s="14" t="s">
        <v>33</v>
      </c>
      <c r="B139" s="13"/>
      <c r="F139" s="3">
        <f>F135+F138-F137</f>
        <v>-0.30198238398588728</v>
      </c>
    </row>
    <row r="182" spans="1:36" ht="21" x14ac:dyDescent="0.35">
      <c r="A182" s="67" t="s">
        <v>166</v>
      </c>
      <c r="B182" s="68"/>
      <c r="C182" s="68"/>
      <c r="D182" s="68"/>
      <c r="E182" s="68"/>
      <c r="F182" s="68"/>
      <c r="G182" s="68"/>
      <c r="H182" s="68"/>
      <c r="I182" s="68"/>
      <c r="J182" s="68"/>
      <c r="K182" s="68"/>
      <c r="L182" s="68"/>
      <c r="M182" s="68"/>
      <c r="N182" s="68"/>
      <c r="O182" s="68"/>
      <c r="P182" s="68"/>
      <c r="Q182" s="68"/>
      <c r="R182" s="68"/>
      <c r="S182" s="68"/>
      <c r="T182" s="68"/>
      <c r="U182" s="68"/>
      <c r="V182" s="68"/>
      <c r="W182" s="68"/>
      <c r="X182" s="68"/>
      <c r="Y182" s="68"/>
      <c r="Z182" s="68"/>
      <c r="AA182" s="68"/>
      <c r="AB182" s="68"/>
      <c r="AC182" s="68"/>
      <c r="AD182" s="68"/>
      <c r="AE182" s="68"/>
      <c r="AF182" s="68"/>
      <c r="AG182" s="68"/>
      <c r="AH182" s="68"/>
      <c r="AI182" s="68"/>
      <c r="AJ182" s="68"/>
    </row>
    <row r="183" spans="1:36" x14ac:dyDescent="0.25">
      <c r="A183" s="21"/>
    </row>
    <row r="184" spans="1:36" x14ac:dyDescent="0.25">
      <c r="A184" s="69" t="s">
        <v>162</v>
      </c>
      <c r="D184" s="70">
        <v>0.90890000000000004</v>
      </c>
    </row>
    <row r="186" spans="1:36" ht="45" x14ac:dyDescent="0.25">
      <c r="A186" s="54" t="s">
        <v>3</v>
      </c>
      <c r="B186" s="56" t="s">
        <v>156</v>
      </c>
      <c r="C186" s="56" t="s">
        <v>155</v>
      </c>
      <c r="D186" s="56" t="s">
        <v>154</v>
      </c>
      <c r="E186" s="56" t="s">
        <v>157</v>
      </c>
      <c r="F186" s="55" t="s">
        <v>159</v>
      </c>
    </row>
    <row r="187" spans="1:36" x14ac:dyDescent="0.25">
      <c r="A187" s="41">
        <v>1913</v>
      </c>
      <c r="B187" s="51">
        <f>G53*RSFSR_MULT</f>
        <v>31.83243243243243</v>
      </c>
      <c r="C187" s="50"/>
      <c r="D187" s="50"/>
      <c r="E187" s="50"/>
      <c r="F187" s="2">
        <f>B187</f>
        <v>31.83243243243243</v>
      </c>
    </row>
    <row r="188" spans="1:36" x14ac:dyDescent="0.25">
      <c r="A188" s="41">
        <v>1914</v>
      </c>
      <c r="B188" s="51">
        <f>G54*RSFSR_MULT</f>
        <v>31.2</v>
      </c>
      <c r="F188" s="2">
        <f t="shared" ref="F188:F191" si="16">B188</f>
        <v>31.2</v>
      </c>
    </row>
    <row r="189" spans="1:36" x14ac:dyDescent="0.25">
      <c r="A189" s="42">
        <v>1915</v>
      </c>
      <c r="B189" s="51">
        <f>G55*RSFSR_MULT</f>
        <v>37.313513513513506</v>
      </c>
      <c r="F189" s="2">
        <f t="shared" si="16"/>
        <v>37.313513513513506</v>
      </c>
    </row>
    <row r="190" spans="1:36" x14ac:dyDescent="0.25">
      <c r="A190" s="42">
        <v>1916</v>
      </c>
      <c r="B190" s="51">
        <f>G56*RSFSR_MULT</f>
        <v>34.783783783783782</v>
      </c>
      <c r="F190" s="2">
        <f t="shared" si="16"/>
        <v>34.783783783783782</v>
      </c>
    </row>
    <row r="191" spans="1:36" x14ac:dyDescent="0.25">
      <c r="A191" s="42">
        <v>1917</v>
      </c>
      <c r="B191" s="51">
        <f>G57*RSFSR_MULT</f>
        <v>29.724324324324321</v>
      </c>
      <c r="C191" s="2"/>
      <c r="D191" s="2"/>
      <c r="E191" s="2"/>
      <c r="F191" s="2">
        <f t="shared" si="16"/>
        <v>29.724324324324321</v>
      </c>
    </row>
    <row r="192" spans="1:36" x14ac:dyDescent="0.25">
      <c r="A192" s="42">
        <v>1918</v>
      </c>
      <c r="C192" s="2">
        <f t="shared" ref="C192:C197" si="17">I58*RSFSR_MULT</f>
        <v>29.618918918918919</v>
      </c>
      <c r="D192" s="2"/>
      <c r="E192" s="2"/>
      <c r="F192" s="2">
        <f>C192</f>
        <v>29.618918918918919</v>
      </c>
    </row>
    <row r="193" spans="1:6" x14ac:dyDescent="0.25">
      <c r="A193" s="42">
        <v>1919</v>
      </c>
      <c r="C193" s="2">
        <f t="shared" si="17"/>
        <v>41.529729729729723</v>
      </c>
      <c r="D193" s="2"/>
      <c r="E193" s="2"/>
      <c r="F193" s="2">
        <f>C193*VAR2_CDR_TONE_DOWN</f>
        <v>37.74637135135135</v>
      </c>
    </row>
    <row r="194" spans="1:6" x14ac:dyDescent="0.25">
      <c r="A194" s="42">
        <v>1920</v>
      </c>
      <c r="C194" s="2">
        <f t="shared" si="17"/>
        <v>52.597297297297288</v>
      </c>
      <c r="D194" s="2">
        <f t="shared" ref="D194:D200" si="18">F60</f>
        <v>45.4</v>
      </c>
      <c r="E194" s="2">
        <f t="shared" ref="E194:E200" si="19">D194*28.6/26.5</f>
        <v>48.997735849056603</v>
      </c>
      <c r="F194" s="2">
        <f>C194*VAR2_CDR_TONE_DOWN</f>
        <v>47.805683513513507</v>
      </c>
    </row>
    <row r="195" spans="1:6" x14ac:dyDescent="0.25">
      <c r="A195" s="42">
        <v>1921</v>
      </c>
      <c r="C195" s="2">
        <f t="shared" si="17"/>
        <v>44.902702702702697</v>
      </c>
      <c r="D195" s="2">
        <f t="shared" si="18"/>
        <v>39.799999999999997</v>
      </c>
      <c r="E195" s="2">
        <f t="shared" si="19"/>
        <v>42.953962264150945</v>
      </c>
      <c r="F195" s="2">
        <f>C195*VAR2_CDR_TONE_DOWN</f>
        <v>40.812066486486486</v>
      </c>
    </row>
    <row r="196" spans="1:6" x14ac:dyDescent="0.25">
      <c r="A196" s="42">
        <v>1922</v>
      </c>
      <c r="C196" s="2">
        <f t="shared" si="17"/>
        <v>45.324324324324323</v>
      </c>
      <c r="D196" s="2">
        <f t="shared" si="18"/>
        <v>38.799999999999997</v>
      </c>
      <c r="E196" s="2">
        <f t="shared" si="19"/>
        <v>41.874716981132075</v>
      </c>
      <c r="F196" s="2">
        <f>C196*VAR2_CDR_TONE_DOWN</f>
        <v>41.195278378378376</v>
      </c>
    </row>
    <row r="197" spans="1:6" x14ac:dyDescent="0.25">
      <c r="A197" s="42">
        <v>1923</v>
      </c>
      <c r="C197" s="2">
        <f t="shared" si="17"/>
        <v>29.618918918918919</v>
      </c>
      <c r="D197" s="2">
        <f t="shared" si="18"/>
        <v>29.1</v>
      </c>
      <c r="E197" s="2">
        <f t="shared" si="19"/>
        <v>31.406037735849061</v>
      </c>
      <c r="F197" s="2">
        <f>E197</f>
        <v>31.406037735849061</v>
      </c>
    </row>
    <row r="198" spans="1:6" x14ac:dyDescent="0.25">
      <c r="A198" s="42">
        <v>1924</v>
      </c>
      <c r="C198" s="2"/>
      <c r="D198" s="2">
        <f t="shared" si="18"/>
        <v>27.6</v>
      </c>
      <c r="E198" s="2">
        <f t="shared" si="19"/>
        <v>29.787169811320759</v>
      </c>
      <c r="F198" s="2">
        <f>E198</f>
        <v>29.787169811320759</v>
      </c>
    </row>
    <row r="199" spans="1:6" x14ac:dyDescent="0.25">
      <c r="A199" s="42">
        <v>1925</v>
      </c>
      <c r="C199" s="2"/>
      <c r="D199" s="2">
        <f t="shared" si="18"/>
        <v>28.7</v>
      </c>
      <c r="E199" s="2">
        <f t="shared" si="19"/>
        <v>30.974339622641512</v>
      </c>
      <c r="F199" s="2">
        <f>E199</f>
        <v>30.974339622641512</v>
      </c>
    </row>
    <row r="200" spans="1:6" x14ac:dyDescent="0.25">
      <c r="A200" s="42">
        <v>1926</v>
      </c>
      <c r="C200" s="2"/>
      <c r="D200" s="2">
        <f t="shared" si="18"/>
        <v>25.5</v>
      </c>
      <c r="E200" s="2">
        <f t="shared" si="19"/>
        <v>27.520754716981134</v>
      </c>
      <c r="F200" s="2">
        <f>E200</f>
        <v>27.520754716981134</v>
      </c>
    </row>
    <row r="201" spans="1:6" x14ac:dyDescent="0.25">
      <c r="A201" s="43">
        <v>1927</v>
      </c>
      <c r="D201">
        <v>26.5</v>
      </c>
      <c r="E201" s="2">
        <f>D201*28.6/26.5</f>
        <v>28.600000000000005</v>
      </c>
      <c r="F201">
        <v>28.6</v>
      </c>
    </row>
    <row r="216" spans="1:36" ht="21" x14ac:dyDescent="0.35">
      <c r="A216" s="67" t="s">
        <v>167</v>
      </c>
      <c r="B216" s="68"/>
      <c r="C216" s="68"/>
      <c r="D216" s="68"/>
      <c r="E216" s="68"/>
      <c r="F216" s="68"/>
      <c r="G216" s="68"/>
      <c r="H216" s="68"/>
      <c r="I216" s="68"/>
      <c r="J216" s="68"/>
      <c r="K216" s="68"/>
      <c r="L216" s="68"/>
      <c r="M216" s="68"/>
      <c r="N216" s="68"/>
      <c r="O216" s="68"/>
      <c r="P216" s="68"/>
      <c r="Q216" s="68"/>
      <c r="R216" s="68"/>
      <c r="S216" s="68"/>
      <c r="T216" s="68"/>
      <c r="U216" s="68"/>
      <c r="V216" s="68"/>
      <c r="W216" s="68"/>
      <c r="X216" s="68"/>
      <c r="Y216" s="68"/>
      <c r="Z216" s="68"/>
      <c r="AA216" s="68"/>
      <c r="AB216" s="68"/>
      <c r="AC216" s="68"/>
      <c r="AD216" s="68"/>
      <c r="AE216" s="68"/>
      <c r="AF216" s="68"/>
      <c r="AG216" s="68"/>
      <c r="AH216" s="68"/>
      <c r="AI216" s="68"/>
      <c r="AJ216" s="68"/>
    </row>
    <row r="219" spans="1:36" ht="30" x14ac:dyDescent="0.25">
      <c r="A219" s="60" t="s">
        <v>3</v>
      </c>
      <c r="B219" s="60" t="s">
        <v>6</v>
      </c>
      <c r="C219" s="60" t="s">
        <v>7</v>
      </c>
      <c r="D219" s="12" t="s">
        <v>138</v>
      </c>
      <c r="E219" s="12" t="s">
        <v>26</v>
      </c>
      <c r="F219" s="60" t="s">
        <v>30</v>
      </c>
      <c r="G219" s="60" t="s">
        <v>27</v>
      </c>
      <c r="H219" s="60" t="s">
        <v>28</v>
      </c>
      <c r="I219" s="60" t="s">
        <v>29</v>
      </c>
      <c r="J219" s="60" t="s">
        <v>32</v>
      </c>
    </row>
    <row r="220" spans="1:36" x14ac:dyDescent="0.25">
      <c r="A220" s="61">
        <v>1913</v>
      </c>
      <c r="B220" s="64">
        <v>48.4</v>
      </c>
      <c r="C220" s="64">
        <v>31.6</v>
      </c>
      <c r="D220" s="1">
        <f>B220-C220</f>
        <v>16.799999999999997</v>
      </c>
      <c r="E220" s="28"/>
      <c r="F220" s="65">
        <v>87934.812999999995</v>
      </c>
      <c r="G220" s="65">
        <v>88709.567999999999</v>
      </c>
      <c r="H220" s="65">
        <f>G220*B220/1000</f>
        <v>4293.5430911999993</v>
      </c>
      <c r="I220" s="65">
        <f>G220*C220/1000</f>
        <v>2803.2223488000004</v>
      </c>
      <c r="J220" s="65">
        <f>H220-I220</f>
        <v>1490.3207423999988</v>
      </c>
      <c r="M220" s="3"/>
      <c r="O220" s="23"/>
      <c r="P220" s="23"/>
      <c r="Q220" s="3"/>
      <c r="R220" s="3"/>
      <c r="S220" s="3"/>
    </row>
    <row r="221" spans="1:36" x14ac:dyDescent="0.25">
      <c r="A221" s="61">
        <v>1914</v>
      </c>
      <c r="B221" s="64">
        <f t="shared" ref="B221:B233" si="20">E5</f>
        <v>48</v>
      </c>
      <c r="C221" s="64">
        <f t="shared" ref="C221:C234" si="21">F188</f>
        <v>31.2</v>
      </c>
      <c r="D221" s="1">
        <f>B221-C221</f>
        <v>16.8</v>
      </c>
      <c r="E221">
        <v>10</v>
      </c>
      <c r="F221" s="65">
        <v>89488.86</v>
      </c>
      <c r="G221" s="65">
        <v>90260.49</v>
      </c>
      <c r="H221" s="65">
        <f>G221*B221/1000</f>
        <v>4332.5035200000002</v>
      </c>
      <c r="I221" s="65">
        <f>G221*C221/1000</f>
        <v>2816.1272880000001</v>
      </c>
      <c r="J221" s="65">
        <f>H221-I221</f>
        <v>1516.3762320000001</v>
      </c>
      <c r="M221" s="3"/>
      <c r="O221" s="23"/>
      <c r="P221" s="23"/>
      <c r="Q221" s="3"/>
      <c r="R221" s="3"/>
      <c r="S221" s="3"/>
    </row>
    <row r="222" spans="1:36" x14ac:dyDescent="0.25">
      <c r="A222" s="62">
        <v>1915</v>
      </c>
      <c r="B222" s="64">
        <f t="shared" si="20"/>
        <v>40.631130063965891</v>
      </c>
      <c r="C222" s="64">
        <f t="shared" si="21"/>
        <v>37.313513513513506</v>
      </c>
      <c r="D222" s="1">
        <f>B222-C222</f>
        <v>3.3176165504523851</v>
      </c>
      <c r="E222">
        <v>85</v>
      </c>
      <c r="F222" s="3">
        <f>91037+E221</f>
        <v>91047</v>
      </c>
      <c r="G222" s="4">
        <f>[1]!YearAveragePopulation(F222,B222,C222,E222)</f>
        <v>91240.743713572738</v>
      </c>
      <c r="H222" s="4">
        <f>G222*B222/1000</f>
        <v>3707.2145249591522</v>
      </c>
      <c r="I222" s="4">
        <f>G222*C222/1000</f>
        <v>3404.5127235394189</v>
      </c>
      <c r="J222" s="4">
        <f>H222-I222</f>
        <v>302.70180141973333</v>
      </c>
      <c r="M222" s="3"/>
      <c r="O222" s="23"/>
      <c r="P222" s="23"/>
      <c r="Q222" s="3"/>
      <c r="R222" s="3"/>
      <c r="S222" s="3"/>
    </row>
    <row r="223" spans="1:36" x14ac:dyDescent="0.25">
      <c r="A223" s="62">
        <v>1916</v>
      </c>
      <c r="B223" s="64">
        <f t="shared" si="20"/>
        <v>30.601279317697227</v>
      </c>
      <c r="C223" s="64">
        <f t="shared" si="21"/>
        <v>34.783783783783782</v>
      </c>
      <c r="D223" s="1">
        <f t="shared" ref="D223:D234" si="22">B223-C223</f>
        <v>-4.1825044660865558</v>
      </c>
      <c r="E223">
        <v>25</v>
      </c>
      <c r="F223" s="4">
        <f>F222+J222+E222</f>
        <v>91434.701801419738</v>
      </c>
      <c r="G223" s="4">
        <f>[1]!YearAveragePopulation(F223,B223,C223,E223)</f>
        <v>91256.237672800969</v>
      </c>
      <c r="H223" s="4">
        <f t="shared" ref="H223:H233" si="23">G223*B223/1000</f>
        <v>2792.557618507547</v>
      </c>
      <c r="I223" s="4">
        <f t="shared" ref="I223:I233" si="24">G223*C223/1000</f>
        <v>3174.2372401322932</v>
      </c>
      <c r="J223" s="4">
        <f t="shared" ref="J223:J233" si="25">H223-I223</f>
        <v>-381.67962162474623</v>
      </c>
      <c r="M223" s="3"/>
      <c r="O223" s="23"/>
      <c r="P223" s="23"/>
      <c r="Q223" s="3"/>
      <c r="R223" s="3"/>
      <c r="S223" s="3"/>
    </row>
    <row r="224" spans="1:36" x14ac:dyDescent="0.25">
      <c r="A224" s="62">
        <v>1917</v>
      </c>
      <c r="B224" s="64">
        <f t="shared" si="20"/>
        <v>24.460554371002129</v>
      </c>
      <c r="C224" s="64">
        <f t="shared" si="21"/>
        <v>29.724324324324321</v>
      </c>
      <c r="D224" s="1">
        <f t="shared" si="22"/>
        <v>-5.2637699533221927</v>
      </c>
      <c r="E224">
        <v>-5</v>
      </c>
      <c r="F224" s="4">
        <f t="shared" ref="F224:F234" si="26">F223+J223+E223</f>
        <v>91078.022179794993</v>
      </c>
      <c r="G224" s="4">
        <f>[1]!YearAveragePopulation(F224,B224,C224,E224)</f>
        <v>90836.239716626776</v>
      </c>
      <c r="H224" s="4">
        <f t="shared" si="23"/>
        <v>2221.9047804459324</v>
      </c>
      <c r="I224" s="4">
        <f t="shared" si="24"/>
        <v>2700.0458497390846</v>
      </c>
      <c r="J224" s="4">
        <f t="shared" si="25"/>
        <v>-478.14106929315221</v>
      </c>
      <c r="M224" s="3"/>
      <c r="O224" s="23"/>
      <c r="P224" s="23"/>
      <c r="Q224" s="3"/>
      <c r="R224" s="3"/>
      <c r="S224" s="3"/>
    </row>
    <row r="225" spans="1:19" x14ac:dyDescent="0.25">
      <c r="A225" s="62">
        <v>1918</v>
      </c>
      <c r="B225" s="64">
        <f t="shared" si="20"/>
        <v>32.750533049040513</v>
      </c>
      <c r="C225" s="64">
        <f t="shared" si="21"/>
        <v>29.618918918918919</v>
      </c>
      <c r="D225" s="1">
        <f t="shared" si="22"/>
        <v>3.1316141301215943</v>
      </c>
      <c r="E225">
        <v>-220</v>
      </c>
      <c r="F225" s="4">
        <f t="shared" si="26"/>
        <v>90594.881110501839</v>
      </c>
      <c r="G225" s="4">
        <f>[1]!YearAveragePopulation(F225,B225,C225,E225)</f>
        <v>90626.768493040712</v>
      </c>
      <c r="H225" s="4">
        <f t="shared" si="23"/>
        <v>2968.0749766590734</v>
      </c>
      <c r="I225" s="4">
        <f t="shared" si="24"/>
        <v>2684.2669078790086</v>
      </c>
      <c r="J225" s="4">
        <f t="shared" si="25"/>
        <v>283.80806878006479</v>
      </c>
      <c r="M225" s="3"/>
      <c r="O225" s="23"/>
      <c r="P225" s="23"/>
      <c r="Q225" s="3"/>
      <c r="R225" s="3"/>
      <c r="S225" s="3"/>
    </row>
    <row r="226" spans="1:19" x14ac:dyDescent="0.25">
      <c r="A226" s="62">
        <v>1919</v>
      </c>
      <c r="B226" s="64">
        <f t="shared" si="20"/>
        <v>31.727078891257996</v>
      </c>
      <c r="C226" s="64">
        <f t="shared" si="21"/>
        <v>37.74637135135135</v>
      </c>
      <c r="D226" s="1">
        <f t="shared" si="22"/>
        <v>-6.0192924600933537</v>
      </c>
      <c r="E226">
        <v>-270</v>
      </c>
      <c r="F226" s="4">
        <f t="shared" si="26"/>
        <v>90658.689179281908</v>
      </c>
      <c r="G226" s="4">
        <f>[1]!YearAveragePopulation(F226,B226,C226,E226)</f>
        <v>90251.65569119883</v>
      </c>
      <c r="H226" s="4">
        <f t="shared" si="23"/>
        <v>2863.4214001813193</v>
      </c>
      <c r="I226" s="4">
        <f t="shared" si="24"/>
        <v>3406.6725107942934</v>
      </c>
      <c r="J226" s="4">
        <f t="shared" si="25"/>
        <v>-543.25111061297412</v>
      </c>
      <c r="M226" s="3"/>
      <c r="O226" s="23"/>
      <c r="P226" s="23"/>
      <c r="Q226" s="3"/>
      <c r="R226" s="3"/>
      <c r="S226" s="3"/>
    </row>
    <row r="227" spans="1:19" x14ac:dyDescent="0.25">
      <c r="A227" s="62">
        <v>1920</v>
      </c>
      <c r="B227" s="64">
        <f t="shared" si="20"/>
        <v>31.931769722814497</v>
      </c>
      <c r="C227" s="64">
        <f t="shared" si="21"/>
        <v>47.805683513513507</v>
      </c>
      <c r="D227" s="1">
        <f t="shared" si="22"/>
        <v>-15.87391379069901</v>
      </c>
      <c r="E227">
        <v>-390</v>
      </c>
      <c r="F227" s="4">
        <f t="shared" si="26"/>
        <v>89845.43806866894</v>
      </c>
      <c r="G227" s="4">
        <f>[1]!YearAveragePopulation(F227,B227,C227,E227)</f>
        <v>88942.124721560584</v>
      </c>
      <c r="H227" s="4">
        <f t="shared" si="23"/>
        <v>2840.0794452667192</v>
      </c>
      <c r="I227" s="4">
        <f t="shared" si="24"/>
        <v>4251.9390654583713</v>
      </c>
      <c r="J227" s="4">
        <f t="shared" si="25"/>
        <v>-1411.8596201916521</v>
      </c>
      <c r="M227" s="3"/>
      <c r="O227" s="23"/>
      <c r="P227" s="23"/>
      <c r="Q227" s="3"/>
      <c r="R227" s="3"/>
      <c r="S227" s="3"/>
    </row>
    <row r="228" spans="1:19" x14ac:dyDescent="0.25">
      <c r="A228" s="62">
        <v>1921</v>
      </c>
      <c r="B228" s="64">
        <f t="shared" si="20"/>
        <v>36.332622601279319</v>
      </c>
      <c r="C228" s="64">
        <f t="shared" si="21"/>
        <v>40.812066486486486</v>
      </c>
      <c r="D228" s="1">
        <f t="shared" si="22"/>
        <v>-4.4794438852071679</v>
      </c>
      <c r="E228">
        <v>-150</v>
      </c>
      <c r="F228" s="4">
        <f t="shared" si="26"/>
        <v>88043.578448477288</v>
      </c>
      <c r="G228" s="4">
        <f>[1]!YearAveragePopulation(F228,B228,C228,E228)</f>
        <v>87771.791283812621</v>
      </c>
      <c r="H228" s="4">
        <f t="shared" si="23"/>
        <v>3188.9793677530215</v>
      </c>
      <c r="I228" s="4">
        <f t="shared" si="24"/>
        <v>3582.1481815129755</v>
      </c>
      <c r="J228" s="4">
        <f t="shared" si="25"/>
        <v>-393.16881375995399</v>
      </c>
      <c r="M228" s="3"/>
      <c r="O228" s="23"/>
      <c r="P228" s="23"/>
      <c r="Q228" s="3"/>
      <c r="R228" s="3"/>
      <c r="S228" s="3"/>
    </row>
    <row r="229" spans="1:19" x14ac:dyDescent="0.25">
      <c r="A229" s="62">
        <v>1922</v>
      </c>
      <c r="B229" s="64">
        <f t="shared" si="20"/>
        <v>38.938336886993604</v>
      </c>
      <c r="C229" s="64">
        <f t="shared" si="21"/>
        <v>41.195278378378376</v>
      </c>
      <c r="D229" s="1">
        <f t="shared" si="22"/>
        <v>-2.2569414913847723</v>
      </c>
      <c r="E229">
        <v>-55</v>
      </c>
      <c r="F229" s="4">
        <f t="shared" si="26"/>
        <v>87500.409634717333</v>
      </c>
      <c r="G229" s="4">
        <f>[1]!YearAveragePopulation(F229,B229,C229,E229)</f>
        <v>87374.262901986076</v>
      </c>
      <c r="H229" s="4">
        <f t="shared" si="23"/>
        <v>3402.2084841302812</v>
      </c>
      <c r="I229" s="4">
        <f t="shared" si="24"/>
        <v>3599.4070833529349</v>
      </c>
      <c r="J229" s="4">
        <f t="shared" si="25"/>
        <v>-197.19859922265368</v>
      </c>
      <c r="M229" s="3"/>
      <c r="O229" s="23"/>
      <c r="P229" s="23"/>
      <c r="Q229" s="3"/>
      <c r="R229" s="3"/>
      <c r="S229" s="3"/>
    </row>
    <row r="230" spans="1:19" x14ac:dyDescent="0.25">
      <c r="A230" s="62">
        <v>1923</v>
      </c>
      <c r="B230" s="64">
        <f t="shared" si="20"/>
        <v>48.524008528784648</v>
      </c>
      <c r="C230" s="64">
        <f t="shared" si="21"/>
        <v>31.406037735849061</v>
      </c>
      <c r="D230" s="1">
        <f t="shared" si="22"/>
        <v>17.117970792935587</v>
      </c>
      <c r="E230">
        <v>-20</v>
      </c>
      <c r="F230" s="4">
        <f t="shared" si="26"/>
        <v>87248.211035494678</v>
      </c>
      <c r="G230" s="4">
        <f>[1]!YearAveragePopulation(F230,B230,C230,E230)</f>
        <v>87989.189175543361</v>
      </c>
      <c r="H230" s="4">
        <f t="shared" si="23"/>
        <v>4269.5881659949118</v>
      </c>
      <c r="I230" s="4">
        <f t="shared" si="24"/>
        <v>2763.3917955938764</v>
      </c>
      <c r="J230" s="4">
        <f t="shared" si="25"/>
        <v>1506.1963704010354</v>
      </c>
      <c r="M230" s="3"/>
      <c r="O230" s="23"/>
      <c r="P230" s="23"/>
      <c r="Q230" s="3"/>
      <c r="R230" s="3"/>
      <c r="S230" s="3"/>
    </row>
    <row r="231" spans="1:19" x14ac:dyDescent="0.25">
      <c r="A231" s="62">
        <v>1924</v>
      </c>
      <c r="B231" s="64">
        <f t="shared" si="20"/>
        <v>46.17211087420042</v>
      </c>
      <c r="C231" s="64">
        <f t="shared" si="21"/>
        <v>29.787169811320759</v>
      </c>
      <c r="D231" s="1">
        <f t="shared" si="22"/>
        <v>16.384941062879662</v>
      </c>
      <c r="E231">
        <v>-10</v>
      </c>
      <c r="F231" s="4">
        <f t="shared" si="26"/>
        <v>88734.407405895719</v>
      </c>
      <c r="G231" s="4">
        <f>[1]!YearAveragePopulation(F231,B231,C231,E231)</f>
        <v>89460.32068647143</v>
      </c>
      <c r="H231" s="4">
        <f t="shared" si="23"/>
        <v>4130.571845577284</v>
      </c>
      <c r="I231" s="4">
        <f t="shared" si="24"/>
        <v>2664.769763663136</v>
      </c>
      <c r="J231" s="4">
        <f t="shared" si="25"/>
        <v>1465.8020819141479</v>
      </c>
      <c r="M231" s="3"/>
      <c r="O231" s="23"/>
      <c r="P231" s="23"/>
      <c r="Q231" s="3"/>
      <c r="R231" s="3"/>
      <c r="S231" s="3"/>
    </row>
    <row r="232" spans="1:19" x14ac:dyDescent="0.25">
      <c r="A232" s="62">
        <v>1925</v>
      </c>
      <c r="B232" s="64">
        <f t="shared" si="20"/>
        <v>48.7</v>
      </c>
      <c r="C232" s="64">
        <f t="shared" si="21"/>
        <v>30.974339622641512</v>
      </c>
      <c r="D232" s="1">
        <f t="shared" si="22"/>
        <v>17.725660377358491</v>
      </c>
      <c r="E232">
        <v>-5</v>
      </c>
      <c r="F232" s="4">
        <f t="shared" si="26"/>
        <v>90190.209487809872</v>
      </c>
      <c r="G232" s="4">
        <f>[1]!YearAveragePopulation(F232,B232,C232,E232)</f>
        <v>90991.779112002274</v>
      </c>
      <c r="H232" s="4">
        <f t="shared" si="23"/>
        <v>4431.2996427545113</v>
      </c>
      <c r="I232" s="4">
        <f t="shared" si="24"/>
        <v>2818.4102690835361</v>
      </c>
      <c r="J232" s="4">
        <f t="shared" si="25"/>
        <v>1612.8893736709751</v>
      </c>
      <c r="M232" s="3"/>
      <c r="O232" s="23"/>
      <c r="P232" s="23"/>
      <c r="Q232" s="3"/>
      <c r="R232" s="3"/>
      <c r="S232" s="3"/>
    </row>
    <row r="233" spans="1:19" x14ac:dyDescent="0.25">
      <c r="A233" s="62">
        <v>1926</v>
      </c>
      <c r="B233" s="64">
        <f t="shared" si="20"/>
        <v>47</v>
      </c>
      <c r="C233" s="64">
        <f t="shared" si="21"/>
        <v>27.520754716981134</v>
      </c>
      <c r="D233" s="1">
        <f t="shared" si="22"/>
        <v>19.479245283018866</v>
      </c>
      <c r="E233">
        <v>0</v>
      </c>
      <c r="F233" s="4">
        <f t="shared" si="26"/>
        <v>91798.098861480845</v>
      </c>
      <c r="G233" s="4">
        <f>[1]!YearAveragePopulation(F233,B233,C233,E233)</f>
        <v>92698.011411966712</v>
      </c>
      <c r="H233" s="4">
        <f t="shared" si="23"/>
        <v>4356.8065363624355</v>
      </c>
      <c r="I233" s="4">
        <f t="shared" si="24"/>
        <v>2551.1192348206537</v>
      </c>
      <c r="J233" s="4">
        <f t="shared" si="25"/>
        <v>1805.6873015417818</v>
      </c>
      <c r="M233" s="3"/>
      <c r="O233" s="23"/>
      <c r="P233" s="23"/>
      <c r="Q233" s="3"/>
      <c r="R233" s="3"/>
      <c r="S233" s="3"/>
    </row>
    <row r="234" spans="1:19" x14ac:dyDescent="0.25">
      <c r="A234" s="62">
        <v>1927</v>
      </c>
      <c r="B234" s="2">
        <v>49.6</v>
      </c>
      <c r="C234" s="64">
        <f t="shared" si="21"/>
        <v>28.6</v>
      </c>
      <c r="D234" s="1">
        <f t="shared" si="22"/>
        <v>21</v>
      </c>
      <c r="F234" s="4">
        <f t="shared" si="26"/>
        <v>93603.786163022625</v>
      </c>
      <c r="G234" s="4">
        <f>[1]!YearAveragePopulation(F234,B234,C234,E234)</f>
        <v>94593.542067611736</v>
      </c>
      <c r="H234" s="4">
        <f t="shared" ref="H234" si="27">G234*B234/1000</f>
        <v>4691.8396865535424</v>
      </c>
      <c r="I234" s="4">
        <f t="shared" ref="I234" si="28">G234*C234/1000</f>
        <v>2705.375303133696</v>
      </c>
      <c r="J234" s="4">
        <f t="shared" ref="J234" si="29">H234-I234</f>
        <v>1986.4643834198464</v>
      </c>
      <c r="M234" s="3"/>
      <c r="O234" s="23"/>
      <c r="P234" s="23"/>
      <c r="Q234" s="3"/>
      <c r="R234" s="3"/>
      <c r="S234" s="3"/>
    </row>
    <row r="236" spans="1:19" x14ac:dyDescent="0.25">
      <c r="A236" s="14" t="s">
        <v>31</v>
      </c>
      <c r="F236" s="3">
        <v>93604</v>
      </c>
    </row>
    <row r="237" spans="1:19" x14ac:dyDescent="0.25">
      <c r="A237" s="14"/>
      <c r="F237" s="3"/>
    </row>
    <row r="238" spans="1:19" x14ac:dyDescent="0.25">
      <c r="A238" s="14" t="s">
        <v>33</v>
      </c>
      <c r="B238" s="13"/>
      <c r="F238" s="3">
        <f>F234+F237-F236</f>
        <v>-0.21383697737473994</v>
      </c>
    </row>
    <row r="280" spans="1:36" ht="21" x14ac:dyDescent="0.35">
      <c r="A280" s="67" t="s">
        <v>169</v>
      </c>
      <c r="B280" s="68"/>
      <c r="C280" s="68"/>
      <c r="D280" s="68"/>
      <c r="E280" s="68"/>
      <c r="F280" s="68"/>
      <c r="G280" s="68"/>
      <c r="H280" s="68"/>
      <c r="I280" s="68"/>
      <c r="J280" s="68"/>
      <c r="K280" s="68"/>
      <c r="L280" s="68"/>
      <c r="M280" s="68"/>
      <c r="N280" s="68"/>
      <c r="O280" s="68"/>
      <c r="P280" s="68"/>
      <c r="Q280" s="68"/>
      <c r="R280" s="68"/>
      <c r="S280" s="68"/>
      <c r="T280" s="68"/>
      <c r="U280" s="68"/>
      <c r="V280" s="68"/>
      <c r="W280" s="68"/>
      <c r="X280" s="68"/>
      <c r="Y280" s="68"/>
      <c r="Z280" s="68"/>
      <c r="AA280" s="68"/>
      <c r="AB280" s="68"/>
      <c r="AC280" s="68"/>
      <c r="AD280" s="68"/>
      <c r="AE280" s="68"/>
      <c r="AF280" s="68"/>
      <c r="AG280" s="68"/>
      <c r="AH280" s="68"/>
      <c r="AI280" s="68"/>
      <c r="AJ280" s="68"/>
    </row>
    <row r="282" spans="1:36" ht="15" customHeight="1" x14ac:dyDescent="0.25">
      <c r="B282" s="82" t="s">
        <v>6</v>
      </c>
      <c r="C282" s="82"/>
      <c r="D282" s="82"/>
      <c r="E282" s="82"/>
      <c r="F282" s="82"/>
      <c r="G282" s="82"/>
      <c r="H282" s="82"/>
      <c r="I282" s="82"/>
      <c r="J282" s="82"/>
    </row>
    <row r="283" spans="1:36" x14ac:dyDescent="0.25">
      <c r="A283" s="73" t="s">
        <v>3</v>
      </c>
      <c r="B283" s="71" t="s">
        <v>8</v>
      </c>
      <c r="C283" s="71" t="s">
        <v>9</v>
      </c>
      <c r="D283" s="71" t="s">
        <v>10</v>
      </c>
      <c r="E283" s="71" t="s">
        <v>11</v>
      </c>
      <c r="F283" s="71" t="s">
        <v>154</v>
      </c>
      <c r="G283" s="71" t="s">
        <v>13</v>
      </c>
      <c r="H283" s="71" t="s">
        <v>14</v>
      </c>
      <c r="I283" s="71" t="s">
        <v>5</v>
      </c>
      <c r="J283" s="71" t="s">
        <v>170</v>
      </c>
    </row>
    <row r="284" spans="1:36" x14ac:dyDescent="0.25">
      <c r="A284" s="41">
        <v>1913</v>
      </c>
      <c r="B284" s="39"/>
      <c r="C284" s="39"/>
      <c r="D284" s="40">
        <v>47</v>
      </c>
      <c r="E284" s="40">
        <v>44.1</v>
      </c>
      <c r="F284" s="39"/>
      <c r="G284" s="40">
        <v>47</v>
      </c>
      <c r="H284" s="39"/>
      <c r="I284" s="39"/>
      <c r="J284" s="2">
        <f>B220</f>
        <v>48.4</v>
      </c>
    </row>
    <row r="285" spans="1:36" x14ac:dyDescent="0.25">
      <c r="A285" s="41">
        <v>1914</v>
      </c>
      <c r="B285" s="39"/>
      <c r="C285" s="39">
        <v>43.7</v>
      </c>
      <c r="D285" s="40">
        <v>43.7</v>
      </c>
      <c r="E285" s="40">
        <v>45.4</v>
      </c>
      <c r="F285" s="39"/>
      <c r="G285" s="40">
        <v>46.9</v>
      </c>
      <c r="H285" s="39"/>
      <c r="I285" s="39"/>
      <c r="J285" s="2">
        <f t="shared" ref="J285:J298" si="30">B221</f>
        <v>48</v>
      </c>
    </row>
    <row r="286" spans="1:36" x14ac:dyDescent="0.25">
      <c r="A286" s="42">
        <v>1915</v>
      </c>
      <c r="B286" s="37"/>
      <c r="C286" s="37">
        <v>35.9</v>
      </c>
      <c r="D286" s="37">
        <v>35.9</v>
      </c>
      <c r="E286" s="37">
        <v>43.1</v>
      </c>
      <c r="F286" s="37"/>
      <c r="G286" s="37">
        <v>39.700000000000003</v>
      </c>
      <c r="H286" s="37"/>
      <c r="I286" s="37"/>
      <c r="J286" s="2">
        <f t="shared" si="30"/>
        <v>40.631130063965891</v>
      </c>
    </row>
    <row r="287" spans="1:36" x14ac:dyDescent="0.25">
      <c r="A287" s="42">
        <v>1916</v>
      </c>
      <c r="B287" s="37"/>
      <c r="C287" s="37">
        <v>27.1</v>
      </c>
      <c r="D287" s="37">
        <v>27.1</v>
      </c>
      <c r="E287" s="37">
        <v>37.4</v>
      </c>
      <c r="F287" s="37"/>
      <c r="G287" s="37">
        <v>29.9</v>
      </c>
      <c r="H287" s="37"/>
      <c r="I287" s="37"/>
      <c r="J287" s="2">
        <f t="shared" si="30"/>
        <v>30.601279317697227</v>
      </c>
    </row>
    <row r="288" spans="1:36" x14ac:dyDescent="0.25">
      <c r="A288" s="42">
        <v>1917</v>
      </c>
      <c r="B288" s="37"/>
      <c r="C288" s="37">
        <v>26.3</v>
      </c>
      <c r="D288" s="37">
        <v>26.3</v>
      </c>
      <c r="E288" s="37">
        <v>32.5</v>
      </c>
      <c r="F288" s="37"/>
      <c r="G288" s="37">
        <v>23.9</v>
      </c>
      <c r="H288" s="37"/>
      <c r="I288" s="38">
        <v>27.4</v>
      </c>
      <c r="J288" s="2">
        <f t="shared" si="30"/>
        <v>24.460554371002129</v>
      </c>
    </row>
    <row r="289" spans="1:10" x14ac:dyDescent="0.25">
      <c r="A289" s="42">
        <v>1918</v>
      </c>
      <c r="B289" s="37"/>
      <c r="C289" s="37">
        <v>34.700000000000003</v>
      </c>
      <c r="D289" s="37">
        <v>34.700000000000003</v>
      </c>
      <c r="E289" s="37">
        <v>28.8</v>
      </c>
      <c r="F289" s="37"/>
      <c r="G289" s="37">
        <v>32</v>
      </c>
      <c r="H289" s="37">
        <v>31.8</v>
      </c>
      <c r="I289" s="38">
        <v>33.1</v>
      </c>
      <c r="J289" s="2">
        <f t="shared" si="30"/>
        <v>32.750533049040513</v>
      </c>
    </row>
    <row r="290" spans="1:10" x14ac:dyDescent="0.25">
      <c r="A290" s="42">
        <v>1919</v>
      </c>
      <c r="B290" s="37"/>
      <c r="C290" s="37">
        <v>31.7</v>
      </c>
      <c r="D290" s="37">
        <v>31.7</v>
      </c>
      <c r="E290" s="37">
        <v>32.4</v>
      </c>
      <c r="F290" s="37"/>
      <c r="G290" s="37">
        <v>31</v>
      </c>
      <c r="H290" s="37">
        <v>30.8</v>
      </c>
      <c r="I290" s="38">
        <v>30</v>
      </c>
      <c r="J290" s="2">
        <f t="shared" si="30"/>
        <v>31.727078891257996</v>
      </c>
    </row>
    <row r="291" spans="1:10" x14ac:dyDescent="0.25">
      <c r="A291" s="42">
        <v>1920</v>
      </c>
      <c r="B291" s="37">
        <v>30.9</v>
      </c>
      <c r="C291" s="37">
        <v>32.200000000000003</v>
      </c>
      <c r="D291" s="37">
        <v>32.200000000000003</v>
      </c>
      <c r="E291" s="37">
        <v>30.6</v>
      </c>
      <c r="F291" s="37">
        <v>39.299999999999997</v>
      </c>
      <c r="G291" s="37">
        <v>31.2</v>
      </c>
      <c r="H291" s="37">
        <v>31</v>
      </c>
      <c r="I291" s="38">
        <v>31.3</v>
      </c>
      <c r="J291" s="2">
        <f t="shared" si="30"/>
        <v>31.931769722814497</v>
      </c>
    </row>
    <row r="292" spans="1:10" x14ac:dyDescent="0.25">
      <c r="A292" s="42">
        <v>1921</v>
      </c>
      <c r="B292" s="37">
        <v>32.6</v>
      </c>
      <c r="C292" s="37">
        <v>37.299999999999997</v>
      </c>
      <c r="D292" s="37">
        <v>37.299999999999997</v>
      </c>
      <c r="E292" s="37">
        <v>31.7</v>
      </c>
      <c r="F292" s="37">
        <v>40.6</v>
      </c>
      <c r="G292" s="37">
        <v>35.5</v>
      </c>
      <c r="H292" s="37">
        <v>35.299999999999997</v>
      </c>
      <c r="I292" s="38">
        <v>37.799999999999997</v>
      </c>
      <c r="J292" s="2">
        <f t="shared" si="30"/>
        <v>36.332622601279319</v>
      </c>
    </row>
    <row r="293" spans="1:10" x14ac:dyDescent="0.25">
      <c r="A293" s="42">
        <v>1922</v>
      </c>
      <c r="B293" s="37">
        <v>33.4</v>
      </c>
      <c r="C293" s="37">
        <v>38.200000000000003</v>
      </c>
      <c r="D293" s="37">
        <v>38.200000000000003</v>
      </c>
      <c r="E293" s="37">
        <v>35</v>
      </c>
      <c r="F293" s="37">
        <v>43.7</v>
      </c>
      <c r="G293" s="37">
        <v>37.299999999999997</v>
      </c>
      <c r="H293" s="37">
        <v>36.799999999999997</v>
      </c>
      <c r="I293" s="38">
        <v>41.4</v>
      </c>
      <c r="J293" s="2">
        <f t="shared" si="30"/>
        <v>38.938336886993604</v>
      </c>
    </row>
    <row r="294" spans="1:10" x14ac:dyDescent="0.25">
      <c r="A294" s="42">
        <v>1923</v>
      </c>
      <c r="B294" s="37">
        <v>42.8</v>
      </c>
      <c r="C294" s="37">
        <v>45.5</v>
      </c>
      <c r="D294" s="37">
        <v>45.5</v>
      </c>
      <c r="E294" s="37">
        <v>36.200000000000003</v>
      </c>
      <c r="F294" s="37">
        <v>47</v>
      </c>
      <c r="G294" s="37">
        <v>43.9</v>
      </c>
      <c r="H294" s="37">
        <v>42.8</v>
      </c>
      <c r="I294" s="38">
        <v>46.5</v>
      </c>
      <c r="J294" s="2">
        <f t="shared" si="30"/>
        <v>48.524008528784648</v>
      </c>
    </row>
    <row r="295" spans="1:10" x14ac:dyDescent="0.25">
      <c r="A295" s="42">
        <v>1924</v>
      </c>
      <c r="B295" s="37">
        <v>43.8</v>
      </c>
      <c r="C295" s="37">
        <v>42.2</v>
      </c>
      <c r="D295" s="37">
        <v>42.2</v>
      </c>
      <c r="E295" s="37">
        <v>44</v>
      </c>
      <c r="F295" s="37">
        <v>49</v>
      </c>
      <c r="G295" s="37">
        <v>42</v>
      </c>
      <c r="H295" s="37">
        <v>41</v>
      </c>
      <c r="I295" s="38">
        <v>43.6</v>
      </c>
      <c r="J295" s="2">
        <f t="shared" si="30"/>
        <v>46.17211087420042</v>
      </c>
    </row>
    <row r="296" spans="1:10" x14ac:dyDescent="0.25">
      <c r="A296" s="42">
        <v>1925</v>
      </c>
      <c r="B296" s="37">
        <v>45.9</v>
      </c>
      <c r="C296" s="37">
        <v>43.9</v>
      </c>
      <c r="D296" s="37">
        <v>43.9</v>
      </c>
      <c r="E296" s="37">
        <v>42.3</v>
      </c>
      <c r="F296" s="37">
        <v>47.3</v>
      </c>
      <c r="G296" s="37"/>
      <c r="H296" s="37"/>
      <c r="I296" s="38">
        <v>45.7</v>
      </c>
      <c r="J296" s="2">
        <f t="shared" si="30"/>
        <v>48.7</v>
      </c>
    </row>
    <row r="297" spans="1:10" x14ac:dyDescent="0.25">
      <c r="A297" s="42">
        <v>1926</v>
      </c>
      <c r="B297" s="37">
        <v>44.7</v>
      </c>
      <c r="C297" s="37">
        <v>42.5</v>
      </c>
      <c r="D297" s="37">
        <v>42.5</v>
      </c>
      <c r="E297" s="37">
        <v>43.8</v>
      </c>
      <c r="F297" s="37">
        <v>45.6</v>
      </c>
      <c r="G297" s="37"/>
      <c r="H297" s="37"/>
      <c r="I297" s="38">
        <v>42.6</v>
      </c>
      <c r="J297" s="2">
        <f t="shared" si="30"/>
        <v>47</v>
      </c>
    </row>
    <row r="298" spans="1:10" x14ac:dyDescent="0.25">
      <c r="A298" s="43">
        <v>1927</v>
      </c>
      <c r="F298" s="40">
        <v>46.3</v>
      </c>
      <c r="J298" s="2">
        <f t="shared" si="30"/>
        <v>49.6</v>
      </c>
    </row>
    <row r="323" spans="1:36" ht="21" x14ac:dyDescent="0.35">
      <c r="A323" s="67" t="s">
        <v>168</v>
      </c>
      <c r="B323" s="68"/>
      <c r="C323" s="68"/>
      <c r="D323" s="68"/>
      <c r="E323" s="68"/>
      <c r="F323" s="68"/>
      <c r="G323" s="68"/>
      <c r="H323" s="68"/>
      <c r="I323" s="68"/>
      <c r="J323" s="68"/>
      <c r="K323" s="68"/>
      <c r="L323" s="68"/>
      <c r="M323" s="68"/>
      <c r="N323" s="68"/>
      <c r="O323" s="68"/>
      <c r="P323" s="68"/>
      <c r="Q323" s="68"/>
      <c r="R323" s="68"/>
      <c r="S323" s="68"/>
      <c r="T323" s="68"/>
      <c r="U323" s="68"/>
      <c r="V323" s="68"/>
      <c r="W323" s="68"/>
      <c r="X323" s="68"/>
      <c r="Y323" s="68"/>
      <c r="Z323" s="68"/>
      <c r="AA323" s="68"/>
      <c r="AB323" s="68"/>
      <c r="AC323" s="68"/>
      <c r="AD323" s="68"/>
      <c r="AE323" s="68"/>
      <c r="AF323" s="68"/>
      <c r="AG323" s="68"/>
      <c r="AH323" s="68"/>
      <c r="AI323" s="68"/>
      <c r="AJ323" s="68"/>
    </row>
    <row r="325" spans="1:36" x14ac:dyDescent="0.25">
      <c r="B325" s="83" t="s">
        <v>7</v>
      </c>
      <c r="C325" s="83"/>
      <c r="D325" s="83"/>
      <c r="E325" s="83"/>
      <c r="F325" s="83"/>
      <c r="G325" s="83"/>
      <c r="H325" s="83"/>
      <c r="I325" s="83"/>
      <c r="J325" s="83"/>
      <c r="K325" s="83"/>
    </row>
    <row r="326" spans="1:36" x14ac:dyDescent="0.25">
      <c r="A326" s="73" t="s">
        <v>3</v>
      </c>
      <c r="B326" s="72" t="s">
        <v>8</v>
      </c>
      <c r="C326" s="72" t="s">
        <v>9</v>
      </c>
      <c r="D326" s="72" t="s">
        <v>10</v>
      </c>
      <c r="E326" s="72" t="s">
        <v>11</v>
      </c>
      <c r="F326" s="72" t="s">
        <v>154</v>
      </c>
      <c r="G326" s="72" t="s">
        <v>13</v>
      </c>
      <c r="H326" s="72" t="s">
        <v>5</v>
      </c>
      <c r="I326" s="72" t="s">
        <v>15</v>
      </c>
      <c r="J326" s="72" t="s">
        <v>16</v>
      </c>
      <c r="K326" s="72" t="s">
        <v>170</v>
      </c>
    </row>
    <row r="327" spans="1:36" x14ac:dyDescent="0.25">
      <c r="A327" s="77">
        <v>1913</v>
      </c>
      <c r="B327" s="78"/>
      <c r="C327" s="78"/>
      <c r="D327" s="1">
        <v>30.2</v>
      </c>
      <c r="E327" s="1">
        <v>24.7</v>
      </c>
      <c r="F327" s="78"/>
      <c r="G327" s="1">
        <v>30.2</v>
      </c>
      <c r="H327" s="78"/>
      <c r="I327" s="78"/>
      <c r="J327" s="78"/>
      <c r="K327" s="2">
        <f>C220</f>
        <v>31.6</v>
      </c>
    </row>
    <row r="328" spans="1:36" x14ac:dyDescent="0.25">
      <c r="A328" s="77">
        <v>1914</v>
      </c>
      <c r="B328" s="78"/>
      <c r="C328" s="78">
        <v>27.2</v>
      </c>
      <c r="D328" s="1">
        <v>27.2</v>
      </c>
      <c r="E328" s="1">
        <v>26.6</v>
      </c>
      <c r="F328" s="78"/>
      <c r="G328" s="1">
        <v>29.6</v>
      </c>
      <c r="H328" s="78"/>
      <c r="I328" s="78"/>
      <c r="J328" s="78"/>
      <c r="K328" s="2">
        <f t="shared" ref="K328:K341" si="31">C221</f>
        <v>31.2</v>
      </c>
    </row>
    <row r="329" spans="1:36" x14ac:dyDescent="0.25">
      <c r="A329" s="79">
        <v>1915</v>
      </c>
      <c r="B329" s="1"/>
      <c r="C329" s="1">
        <v>28.8</v>
      </c>
      <c r="D329" s="1">
        <v>28.8</v>
      </c>
      <c r="E329" s="1">
        <v>25.6</v>
      </c>
      <c r="F329" s="1"/>
      <c r="G329" s="1">
        <v>35.4</v>
      </c>
      <c r="H329" s="1"/>
      <c r="I329" s="1"/>
      <c r="J329" s="1"/>
      <c r="K329" s="2">
        <f t="shared" si="31"/>
        <v>37.313513513513506</v>
      </c>
    </row>
    <row r="330" spans="1:36" x14ac:dyDescent="0.25">
      <c r="A330" s="79">
        <v>1916</v>
      </c>
      <c r="B330" s="1"/>
      <c r="C330" s="1">
        <v>25.4</v>
      </c>
      <c r="D330" s="1">
        <v>25.4</v>
      </c>
      <c r="E330" s="1">
        <v>42.6</v>
      </c>
      <c r="F330" s="1"/>
      <c r="G330" s="1">
        <v>33</v>
      </c>
      <c r="H330" s="1"/>
      <c r="I330" s="1"/>
      <c r="J330" s="1"/>
      <c r="K330" s="2">
        <f t="shared" si="31"/>
        <v>34.783783783783782</v>
      </c>
    </row>
    <row r="331" spans="1:36" x14ac:dyDescent="0.25">
      <c r="A331" s="79">
        <v>1917</v>
      </c>
      <c r="B331" s="1"/>
      <c r="C331" s="1">
        <v>29.1</v>
      </c>
      <c r="D331" s="1">
        <v>29.1</v>
      </c>
      <c r="E331" s="1">
        <v>39.200000000000003</v>
      </c>
      <c r="F331" s="1"/>
      <c r="G331" s="1">
        <v>28.2</v>
      </c>
      <c r="H331" s="16">
        <v>27.4</v>
      </c>
      <c r="I331" s="16"/>
      <c r="J331" s="16"/>
      <c r="K331" s="2">
        <f t="shared" si="31"/>
        <v>29.724324324324321</v>
      </c>
    </row>
    <row r="332" spans="1:36" x14ac:dyDescent="0.25">
      <c r="A332" s="79">
        <v>1918</v>
      </c>
      <c r="B332" s="1"/>
      <c r="C332" s="1">
        <v>44.2</v>
      </c>
      <c r="D332" s="1">
        <v>44.2</v>
      </c>
      <c r="E332" s="1">
        <v>47.1</v>
      </c>
      <c r="F332" s="1"/>
      <c r="G332" s="1"/>
      <c r="H332" s="16">
        <v>39.9</v>
      </c>
      <c r="I332" s="1">
        <v>28.1</v>
      </c>
      <c r="J332" s="1">
        <v>30.2</v>
      </c>
      <c r="K332" s="2">
        <f t="shared" si="31"/>
        <v>29.618918918918919</v>
      </c>
    </row>
    <row r="333" spans="1:36" x14ac:dyDescent="0.25">
      <c r="A333" s="79">
        <v>1919</v>
      </c>
      <c r="B333" s="1"/>
      <c r="C333" s="1">
        <v>46.7</v>
      </c>
      <c r="D333" s="1">
        <v>46.7</v>
      </c>
      <c r="E333" s="1">
        <v>53.9</v>
      </c>
      <c r="F333" s="1"/>
      <c r="G333" s="1"/>
      <c r="H333" s="16">
        <v>65.5</v>
      </c>
      <c r="I333" s="1">
        <v>39.4</v>
      </c>
      <c r="J333" s="1">
        <v>64</v>
      </c>
      <c r="K333" s="2">
        <f t="shared" si="31"/>
        <v>37.74637135135135</v>
      </c>
    </row>
    <row r="334" spans="1:36" x14ac:dyDescent="0.25">
      <c r="A334" s="79">
        <v>1920</v>
      </c>
      <c r="B334" s="1">
        <v>35.299999999999997</v>
      </c>
      <c r="C334" s="1">
        <v>43.3</v>
      </c>
      <c r="D334" s="1">
        <v>43.3</v>
      </c>
      <c r="E334" s="1">
        <v>41</v>
      </c>
      <c r="F334" s="1">
        <v>45.4</v>
      </c>
      <c r="G334" s="1"/>
      <c r="H334" s="16">
        <v>79.5</v>
      </c>
      <c r="I334" s="1">
        <v>49.9</v>
      </c>
      <c r="J334" s="1">
        <v>56.1</v>
      </c>
      <c r="K334" s="2">
        <f t="shared" si="31"/>
        <v>47.805683513513507</v>
      </c>
    </row>
    <row r="335" spans="1:36" x14ac:dyDescent="0.25">
      <c r="A335" s="79">
        <v>1921</v>
      </c>
      <c r="B335" s="1">
        <v>29.2</v>
      </c>
      <c r="C335" s="1">
        <v>29.7</v>
      </c>
      <c r="D335" s="1">
        <v>40</v>
      </c>
      <c r="E335" s="1">
        <v>37.1</v>
      </c>
      <c r="F335" s="1">
        <v>39.799999999999997</v>
      </c>
      <c r="G335" s="1"/>
      <c r="H335" s="16">
        <v>40.4</v>
      </c>
      <c r="I335" s="1">
        <v>42.6</v>
      </c>
      <c r="J335" s="1">
        <v>41.4</v>
      </c>
      <c r="K335" s="2">
        <f t="shared" si="31"/>
        <v>40.812066486486486</v>
      </c>
    </row>
    <row r="336" spans="1:36" x14ac:dyDescent="0.25">
      <c r="A336" s="79">
        <v>1922</v>
      </c>
      <c r="B336" s="1">
        <v>32.1</v>
      </c>
      <c r="C336" s="1">
        <v>29.6</v>
      </c>
      <c r="D336" s="1">
        <v>29.6</v>
      </c>
      <c r="E336" s="1">
        <v>29.8</v>
      </c>
      <c r="F336" s="1">
        <v>38.799999999999997</v>
      </c>
      <c r="G336" s="1"/>
      <c r="H336" s="16">
        <v>55.3</v>
      </c>
      <c r="I336" s="1">
        <v>43</v>
      </c>
      <c r="J336" s="1">
        <v>47.1</v>
      </c>
      <c r="K336" s="2">
        <f t="shared" si="31"/>
        <v>41.195278378378376</v>
      </c>
    </row>
    <row r="337" spans="1:11" x14ac:dyDescent="0.25">
      <c r="A337" s="79">
        <v>1923</v>
      </c>
      <c r="B337" s="1">
        <v>23.1</v>
      </c>
      <c r="C337" s="1">
        <v>25.5</v>
      </c>
      <c r="D337" s="1">
        <v>25.5</v>
      </c>
      <c r="E337" s="1">
        <v>38</v>
      </c>
      <c r="F337" s="1">
        <v>29.1</v>
      </c>
      <c r="G337" s="1"/>
      <c r="H337" s="16">
        <v>22.3</v>
      </c>
      <c r="I337" s="1">
        <v>28.1</v>
      </c>
      <c r="J337" s="1">
        <v>28.7</v>
      </c>
      <c r="K337" s="2">
        <f t="shared" si="31"/>
        <v>31.406037735849061</v>
      </c>
    </row>
    <row r="338" spans="1:11" x14ac:dyDescent="0.25">
      <c r="A338" s="79">
        <v>1924</v>
      </c>
      <c r="B338" s="1">
        <v>24.1</v>
      </c>
      <c r="C338" s="1">
        <v>23.5</v>
      </c>
      <c r="D338" s="1">
        <v>23.5</v>
      </c>
      <c r="E338" s="1">
        <v>22.5</v>
      </c>
      <c r="F338" s="1">
        <v>27.6</v>
      </c>
      <c r="G338" s="1"/>
      <c r="H338" s="16">
        <v>23.1</v>
      </c>
      <c r="I338" s="1"/>
      <c r="J338" s="1">
        <v>22.4</v>
      </c>
      <c r="K338" s="2">
        <f t="shared" si="31"/>
        <v>29.787169811320759</v>
      </c>
    </row>
    <row r="339" spans="1:11" x14ac:dyDescent="0.25">
      <c r="A339" s="79">
        <v>1925</v>
      </c>
      <c r="B339" s="1">
        <v>25.2</v>
      </c>
      <c r="C339" s="1">
        <v>24.5</v>
      </c>
      <c r="D339" s="1">
        <v>24.5</v>
      </c>
      <c r="E339" s="1">
        <v>21.7</v>
      </c>
      <c r="F339" s="1">
        <v>28.7</v>
      </c>
      <c r="G339" s="1"/>
      <c r="H339" s="16">
        <v>23.3</v>
      </c>
      <c r="I339" s="16"/>
      <c r="J339" s="1">
        <v>23.8</v>
      </c>
      <c r="K339" s="2">
        <f t="shared" si="31"/>
        <v>30.974339622641512</v>
      </c>
    </row>
    <row r="340" spans="1:11" x14ac:dyDescent="0.25">
      <c r="A340" s="79">
        <v>1926</v>
      </c>
      <c r="B340" s="1">
        <v>21.3</v>
      </c>
      <c r="C340" s="1">
        <v>21.5</v>
      </c>
      <c r="D340" s="1">
        <v>21.5</v>
      </c>
      <c r="E340" s="1">
        <v>22.9</v>
      </c>
      <c r="F340" s="1">
        <v>25.5</v>
      </c>
      <c r="G340" s="1"/>
      <c r="H340" s="16">
        <v>19.899999999999999</v>
      </c>
      <c r="I340" s="16"/>
      <c r="J340" s="1">
        <v>22.7</v>
      </c>
      <c r="K340" s="2">
        <f t="shared" si="31"/>
        <v>27.520754716981134</v>
      </c>
    </row>
    <row r="341" spans="1:11" x14ac:dyDescent="0.25">
      <c r="A341" s="79">
        <v>1927</v>
      </c>
      <c r="F341" s="1">
        <v>26.5</v>
      </c>
      <c r="K341" s="2">
        <f t="shared" si="31"/>
        <v>28.6</v>
      </c>
    </row>
  </sheetData>
  <mergeCells count="4">
    <mergeCell ref="B51:J51"/>
    <mergeCell ref="L57:M57"/>
    <mergeCell ref="B325:K325"/>
    <mergeCell ref="B282:J282"/>
  </mergeCells>
  <pageMargins left="0.7" right="0.7" top="0.75" bottom="0.75" header="0.3" footer="0.3"/>
  <pageSetup orientation="portrait" r:id="rId1"/>
  <drawing r:id="rId2"/>
</worksheet>
</file>

<file path=docMetadata/LabelInfo.xml><?xml version="1.0" encoding="utf-8"?>
<clbl:labelList xmlns:clbl="http://schemas.microsoft.com/office/2020/mipLabelMetadata">
  <clbl:label id="{0cf7ac0a-4681-4823-ab0b-04ef02c5f873}" enabled="1" method="Standard" siteId="{42f7676c-f455-423c-82f6-dc2d99791af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</vt:i4>
      </vt:variant>
    </vt:vector>
  </HeadingPairs>
  <TitlesOfParts>
    <vt:vector size="20" baseType="lpstr">
      <vt:lpstr>Оценки</vt:lpstr>
      <vt:lpstr>Боярский</vt:lpstr>
      <vt:lpstr>Боярский-мод</vt:lpstr>
      <vt:lpstr>Максудов</vt:lpstr>
      <vt:lpstr>Бирабен</vt:lpstr>
      <vt:lpstr>смесь-1</vt:lpstr>
      <vt:lpstr>поля конверта</vt:lpstr>
      <vt:lpstr>Новосельский</vt:lpstr>
      <vt:lpstr>Новосельский-РСФСР</vt:lpstr>
      <vt:lpstr>Новосельский-РСФСР-рождения</vt:lpstr>
      <vt:lpstr>Новосельский-РСФСР-смерти</vt:lpstr>
      <vt:lpstr>Новосельский-РСФСР-графики</vt:lpstr>
      <vt:lpstr>итог</vt:lpstr>
      <vt:lpstr>AT_EXTRA</vt:lpstr>
      <vt:lpstr>AT_WEIGHT</vt:lpstr>
      <vt:lpstr>EXTRA_WEIGHT</vt:lpstr>
      <vt:lpstr>EXYRA_WEIGHT</vt:lpstr>
      <vt:lpstr>RSFSR_MULT</vt:lpstr>
      <vt:lpstr>VAR2_CDR_TONE_DOWN</vt:lpstr>
      <vt:lpstr>WEIGHT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sergey</dc:creator>
  <cp:lastModifiedBy>sergey</cp:lastModifiedBy>
  <dcterms:created xsi:type="dcterms:W3CDTF">2026-05-31T23:49:13Z</dcterms:created>
  <dcterms:modified xsi:type="dcterms:W3CDTF">2026-06-29T06:13:25Z</dcterms:modified>
</cp:coreProperties>
</file>