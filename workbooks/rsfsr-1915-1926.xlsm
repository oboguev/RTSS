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52C5ADBB-C772-4205-86B6-A679A4D7AA35}" xr6:coauthVersionLast="45" xr6:coauthVersionMax="47" xr10:uidLastSave="{00000000-0000-0000-0000-000000000000}"/>
  <bookViews>
    <workbookView xWindow="-60" yWindow="-60" windowWidth="38520" windowHeight="23700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work" sheetId="14" r:id="rId8"/>
    <sheet name="Новосельский" sheetId="8" r:id="rId9"/>
    <sheet name="Новосельский-РСФСР" sheetId="9" r:id="rId10"/>
    <sheet name="Новосельский-РСФСР-рождения" sheetId="10" r:id="rId11"/>
    <sheet name="Новосельский-РСФСР-смерти" sheetId="11" r:id="rId12"/>
    <sheet name="Новосельский-РСФСР-графики" sheetId="12" r:id="rId13"/>
  </sheets>
  <functionGroups builtInGroupCount="19"/>
  <externalReferences>
    <externalReference r:id="rId14"/>
  </externalReferences>
  <definedNames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4" l="1"/>
  <c r="C14" i="14"/>
  <c r="E14" i="14" s="1"/>
  <c r="C13" i="14"/>
  <c r="C12" i="14"/>
  <c r="C11" i="14"/>
  <c r="C10" i="14"/>
  <c r="C9" i="14"/>
  <c r="E9" i="14" s="1"/>
  <c r="C8" i="14"/>
  <c r="E8" i="14" s="1"/>
  <c r="C7" i="14"/>
  <c r="C6" i="14"/>
  <c r="E6" i="14" s="1"/>
  <c r="C4" i="14"/>
  <c r="C5" i="14"/>
  <c r="E5" i="14" s="1"/>
  <c r="E4" i="14"/>
  <c r="E15" i="14"/>
  <c r="E13" i="14"/>
  <c r="E12" i="14"/>
  <c r="E11" i="14"/>
  <c r="E10" i="14"/>
  <c r="E7" i="14"/>
  <c r="I131" i="10" l="1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R39" i="10" l="1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3"/>
  <c r="J5" i="13"/>
  <c r="G4" i="5"/>
  <c r="L5" i="13" l="1"/>
  <c r="K5" i="13"/>
  <c r="J20" i="4"/>
  <c r="F21" i="4" s="1"/>
  <c r="I4" i="3"/>
  <c r="H4" i="3"/>
  <c r="I4" i="5"/>
  <c r="H4" i="5"/>
  <c r="G4" i="2"/>
  <c r="G21" i="4"/>
  <c r="J4" i="3" l="1"/>
  <c r="F5" i="3" s="1"/>
  <c r="M5" i="13"/>
  <c r="I6" i="13" s="1"/>
  <c r="H21" i="4"/>
  <c r="I21" i="4"/>
  <c r="H4" i="2"/>
  <c r="I4" i="2"/>
  <c r="J4" i="5"/>
  <c r="F5" i="5" s="1"/>
  <c r="J6" i="13"/>
  <c r="G5" i="3"/>
  <c r="G5" i="5"/>
  <c r="I5" i="3" l="1"/>
  <c r="H5" i="3"/>
  <c r="J5" i="3" s="1"/>
  <c r="F6" i="3" s="1"/>
  <c r="K6" i="13"/>
  <c r="L6" i="13"/>
  <c r="J21" i="4"/>
  <c r="F22" i="4" s="1"/>
  <c r="I5" i="5"/>
  <c r="H5" i="5"/>
  <c r="J4" i="2"/>
  <c r="F5" i="2" s="1"/>
  <c r="G22" i="4"/>
  <c r="G5" i="2"/>
  <c r="G6" i="3"/>
  <c r="J5" i="5" l="1"/>
  <c r="F6" i="5" s="1"/>
  <c r="M6" i="13"/>
  <c r="I7" i="13" s="1"/>
  <c r="I22" i="4"/>
  <c r="H22" i="4"/>
  <c r="H5" i="2"/>
  <c r="I5" i="2"/>
  <c r="I6" i="3"/>
  <c r="H6" i="3"/>
  <c r="G6" i="5"/>
  <c r="J7" i="13"/>
  <c r="I6" i="5" l="1"/>
  <c r="H6" i="5"/>
  <c r="L7" i="13"/>
  <c r="K7" i="13"/>
  <c r="J6" i="3"/>
  <c r="F7" i="3" s="1"/>
  <c r="J22" i="4"/>
  <c r="F23" i="4" s="1"/>
  <c r="J5" i="2"/>
  <c r="F6" i="2" s="1"/>
  <c r="J6" i="5"/>
  <c r="F7" i="5" s="1"/>
  <c r="G6" i="2"/>
  <c r="G7" i="5"/>
  <c r="G23" i="4"/>
  <c r="G7" i="3"/>
  <c r="M7" i="13" l="1"/>
  <c r="I8" i="13" s="1"/>
  <c r="H23" i="4"/>
  <c r="I23" i="4"/>
  <c r="I7" i="3"/>
  <c r="H7" i="3"/>
  <c r="H6" i="2"/>
  <c r="I6" i="2"/>
  <c r="I7" i="5"/>
  <c r="H7" i="5"/>
  <c r="J8" i="13"/>
  <c r="J7" i="5" l="1"/>
  <c r="F8" i="5" s="1"/>
  <c r="J7" i="3"/>
  <c r="F8" i="3" s="1"/>
  <c r="K8" i="13"/>
  <c r="L8" i="13"/>
  <c r="J23" i="4"/>
  <c r="F24" i="4" s="1"/>
  <c r="J6" i="2"/>
  <c r="F7" i="2" s="1"/>
  <c r="G8" i="3"/>
  <c r="G7" i="2"/>
  <c r="G24" i="4"/>
  <c r="G8" i="5"/>
  <c r="I8" i="5" l="1"/>
  <c r="J8" i="5" s="1"/>
  <c r="F9" i="5" s="1"/>
  <c r="H8" i="5"/>
  <c r="H8" i="3"/>
  <c r="I8" i="3"/>
  <c r="M8" i="13"/>
  <c r="I9" i="13" s="1"/>
  <c r="H7" i="2"/>
  <c r="I7" i="2"/>
  <c r="H24" i="4"/>
  <c r="I24" i="4"/>
  <c r="J9" i="13"/>
  <c r="G9" i="5"/>
  <c r="J8" i="3" l="1"/>
  <c r="F9" i="3" s="1"/>
  <c r="J7" i="2"/>
  <c r="F8" i="2" s="1"/>
  <c r="J24" i="4"/>
  <c r="F25" i="4" s="1"/>
  <c r="K9" i="13"/>
  <c r="L9" i="13"/>
  <c r="H9" i="5"/>
  <c r="I9" i="5"/>
  <c r="G9" i="3"/>
  <c r="G25" i="4"/>
  <c r="G8" i="2"/>
  <c r="I9" i="3" l="1"/>
  <c r="H9" i="3"/>
  <c r="H25" i="4"/>
  <c r="I25" i="4"/>
  <c r="H8" i="2"/>
  <c r="I8" i="2"/>
  <c r="M9" i="13"/>
  <c r="I10" i="13" s="1"/>
  <c r="J25" i="4"/>
  <c r="F26" i="4" s="1"/>
  <c r="J9" i="5"/>
  <c r="F10" i="5" s="1"/>
  <c r="J9" i="3"/>
  <c r="F10" i="3" s="1"/>
  <c r="G10" i="3"/>
  <c r="G10" i="5"/>
  <c r="G26" i="4"/>
  <c r="J10" i="13"/>
  <c r="J8" i="2" l="1"/>
  <c r="F9" i="2" s="1"/>
  <c r="K10" i="13"/>
  <c r="L10" i="13"/>
  <c r="H26" i="4"/>
  <c r="I26" i="4"/>
  <c r="I10" i="5"/>
  <c r="H10" i="5"/>
  <c r="I10" i="3"/>
  <c r="H10" i="3"/>
  <c r="G9" i="2"/>
  <c r="H9" i="2" l="1"/>
  <c r="I9" i="2"/>
  <c r="J10" i="3"/>
  <c r="F11" i="3" s="1"/>
  <c r="M10" i="13"/>
  <c r="I11" i="13" s="1"/>
  <c r="J26" i="4"/>
  <c r="F27" i="4" s="1"/>
  <c r="J9" i="2"/>
  <c r="F10" i="2" s="1"/>
  <c r="J10" i="5"/>
  <c r="F11" i="5" s="1"/>
  <c r="G27" i="4"/>
  <c r="G11" i="5"/>
  <c r="G10" i="2"/>
  <c r="J11" i="13"/>
  <c r="G11" i="3"/>
  <c r="I11" i="3" l="1"/>
  <c r="H11" i="3"/>
  <c r="K11" i="13"/>
  <c r="L11" i="13"/>
  <c r="I11" i="5"/>
  <c r="H11" i="5"/>
  <c r="H10" i="2"/>
  <c r="I10" i="2"/>
  <c r="I27" i="4"/>
  <c r="H27" i="4"/>
  <c r="J11" i="3"/>
  <c r="F12" i="3" s="1"/>
  <c r="G12" i="3"/>
  <c r="J27" i="4" l="1"/>
  <c r="F28" i="4" s="1"/>
  <c r="J11" i="5"/>
  <c r="F12" i="5" s="1"/>
  <c r="M11" i="13"/>
  <c r="I12" i="13" s="1"/>
  <c r="J10" i="2"/>
  <c r="F11" i="2" s="1"/>
  <c r="H12" i="3"/>
  <c r="I12" i="3"/>
  <c r="J12" i="13"/>
  <c r="G11" i="2"/>
  <c r="G28" i="4"/>
  <c r="G12" i="5"/>
  <c r="H12" i="5" l="1"/>
  <c r="I12" i="5"/>
  <c r="I28" i="4"/>
  <c r="H28" i="4"/>
  <c r="J12" i="5"/>
  <c r="F13" i="5" s="1"/>
  <c r="K12" i="13"/>
  <c r="L12" i="13"/>
  <c r="I11" i="2"/>
  <c r="H11" i="2"/>
  <c r="J12" i="3"/>
  <c r="F13" i="3" s="1"/>
  <c r="G13" i="5"/>
  <c r="G13" i="3"/>
  <c r="J28" i="4" l="1"/>
  <c r="F29" i="4" s="1"/>
  <c r="I13" i="5"/>
  <c r="H13" i="5"/>
  <c r="M12" i="13"/>
  <c r="I13" i="13" s="1"/>
  <c r="J11" i="2"/>
  <c r="F12" i="2" s="1"/>
  <c r="H13" i="3"/>
  <c r="I13" i="3"/>
  <c r="G29" i="4"/>
  <c r="G12" i="2"/>
  <c r="J13" i="13"/>
  <c r="H29" i="4" l="1"/>
  <c r="I29" i="4"/>
  <c r="J13" i="5"/>
  <c r="F14" i="5" s="1"/>
  <c r="L13" i="13"/>
  <c r="K13" i="13"/>
  <c r="M13" i="13" s="1"/>
  <c r="I14" i="13" s="1"/>
  <c r="I12" i="2"/>
  <c r="H12" i="2"/>
  <c r="J13" i="3"/>
  <c r="F14" i="3" s="1"/>
  <c r="J29" i="4"/>
  <c r="F30" i="4" s="1"/>
  <c r="J14" i="13"/>
  <c r="G30" i="4"/>
  <c r="G14" i="5"/>
  <c r="G14" i="3"/>
  <c r="I14" i="5" l="1"/>
  <c r="H14" i="5"/>
  <c r="J14" i="5" s="1"/>
  <c r="F15" i="5" s="1"/>
  <c r="J12" i="2"/>
  <c r="F13" i="2" s="1"/>
  <c r="I14" i="3"/>
  <c r="H14" i="3"/>
  <c r="L14" i="13"/>
  <c r="K14" i="13"/>
  <c r="M14" i="13" s="1"/>
  <c r="I15" i="13" s="1"/>
  <c r="H30" i="4"/>
  <c r="I30" i="4"/>
  <c r="G13" i="2"/>
  <c r="J15" i="13"/>
  <c r="G15" i="5"/>
  <c r="J14" i="3" l="1"/>
  <c r="F15" i="3" s="1"/>
  <c r="I15" i="5"/>
  <c r="H15" i="5"/>
  <c r="H13" i="2"/>
  <c r="I13" i="2"/>
  <c r="J15" i="5"/>
  <c r="F16" i="5" s="1"/>
  <c r="F20" i="5" s="1"/>
  <c r="L15" i="13"/>
  <c r="K15" i="13"/>
  <c r="J30" i="4"/>
  <c r="F31" i="4" s="1"/>
  <c r="G15" i="3"/>
  <c r="G31" i="4"/>
  <c r="H15" i="3" l="1"/>
  <c r="I15" i="3"/>
  <c r="J13" i="2"/>
  <c r="F14" i="2" s="1"/>
  <c r="M15" i="13"/>
  <c r="I16" i="13" s="1"/>
  <c r="I31" i="4"/>
  <c r="H31" i="4"/>
  <c r="J15" i="3"/>
  <c r="F16" i="3" s="1"/>
  <c r="F20" i="3" s="1"/>
  <c r="J16" i="13"/>
  <c r="G14" i="2"/>
  <c r="J31" i="4" l="1"/>
  <c r="F32" i="4" s="1"/>
  <c r="F36" i="4" s="1"/>
  <c r="I14" i="2"/>
  <c r="H14" i="2"/>
  <c r="L16" i="13"/>
  <c r="K16" i="13"/>
  <c r="J14" i="2" l="1"/>
  <c r="F15" i="2" s="1"/>
  <c r="M16" i="13"/>
  <c r="I17" i="13" s="1"/>
  <c r="I21" i="13" s="1"/>
  <c r="G15" i="2"/>
  <c r="I15" i="2" l="1"/>
  <c r="H15" i="2"/>
  <c r="J15" i="2" s="1"/>
  <c r="F16" i="2" s="1"/>
  <c r="F20" i="2" s="1"/>
</calcChain>
</file>

<file path=xl/sharedStrings.xml><?xml version="1.0" encoding="utf-8"?>
<sst xmlns="http://schemas.openxmlformats.org/spreadsheetml/2006/main" count="441" uniqueCount="153">
  <si>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</si>
  <si>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</si>
  <si>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</si>
  <si>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</si>
  <si>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</si>
  <si>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</si>
  <si>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</si>
  <si>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</si>
  <si>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</si>
  <si>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</si>
  <si>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</si>
  <si>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</si>
  <si>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</si>
  <si>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</si>
  <si>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</si>
  <si>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</si>
  <si>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</si>
  <si>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</si>
  <si>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</si>
  <si>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</si>
  <si>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</si>
  <si>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</si>
  <si>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</si>
  <si>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</si>
  <si>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</si>
  <si>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</si>
  <si>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</si>
  <si>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</si>
  <si>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</si>
  <si>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</si>
  <si>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</si>
  <si>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</si>
  <si>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</si>
  <si>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</si>
  <si>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</si>
  <si>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</si>
  <si>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</si>
  <si>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</si>
  <si>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</si>
  <si>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</si>
  <si>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</si>
  <si>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</si>
  <si>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</si>
  <si>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</si>
  <si>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</si>
  <si>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</si>
  <si>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</si>
  <si>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</si>
  <si>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</si>
  <si>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</si>
  <si>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</si>
  <si>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</si>
  <si>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</si>
  <si>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</si>
  <si>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</si>
  <si>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</si>
  <si>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</si>
  <si>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</si>
  <si>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</si>
  <si>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</si>
  <si>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</si>
  <si>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</si>
  <si>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</si>
  <si>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</si>
  <si>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</si>
  <si>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</si>
  <si>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</si>
  <si>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</si>
  <si>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</si>
  <si>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</si>
  <si>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</si>
  <si>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</si>
  <si>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</si>
  <si>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</si>
  <si>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</si>
  <si>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</si>
  <si>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</si>
  <si>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</si>
  <si>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</si>
  <si>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</si>
  <si>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</si>
  <si>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</si>
  <si>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</si>
  <si>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</si>
  <si>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</si>
  <si>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</si>
  <si>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</si>
  <si>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</si>
  <si>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</si>
  <si>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</si>
  <si>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</si>
  <si>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</si>
  <si>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</si>
  <si>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</si>
  <si>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</si>
  <si>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</si>
  <si>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</si>
  <si>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</si>
  <si>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</si>
  <si>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</si>
  <si>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</si>
  <si>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</si>
  <si>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</si>
  <si>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</si>
  <si>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</si>
  <si>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</si>
  <si>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</si>
  <si>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</si>
  <si>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</si>
  <si>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</si>
  <si>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</si>
  <si>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</si>
  <si>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</si>
  <si>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</si>
  <si>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</si>
  <si>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</si>
  <si>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</si>
  <si>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</si>
  <si>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</si>
  <si>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</si>
  <si>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</si>
  <si>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</si>
  <si>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</si>
  <si>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</si>
  <si>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</si>
  <si>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</si>
  <si>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</si>
  <si>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</si>
  <si>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</si>
  <si>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</si>
  <si>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</si>
  <si>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</si>
  <si>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</si>
  <si>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</si>
  <si>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</si>
  <si>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</si>
  <si>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</si>
  <si>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</si>
  <si>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</si>
  <si>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</si>
  <si>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</si>
  <si>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</si>
  <si>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</si>
  <si>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</si>
  <si>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</si>
  <si>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</si>
  <si>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</si>
  <si>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</si>
  <si>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</si>
  <si>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</si>
  <si>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</si>
  <si>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</si>
  <si>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Рождаемость: привязка Урланиса У1 к РСФСР, соединение с УЧ и поднятие правой части к уровням АДХ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</si>
</sst>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work!$E$4:$E$18</c:f>
              <c:numCache>
                <c:formatCode>0.0</c:formatCode>
                <c:ptCount val="15"/>
                <c:pt idx="0">
                  <c:v>48.503198294243063</c:v>
                </c:pt>
                <c:pt idx="1">
                  <c:v>48.400000000000006</c:v>
                </c:pt>
                <c:pt idx="2">
                  <c:v>40.969722814498937</c:v>
                </c:pt>
                <c:pt idx="3">
                  <c:v>30.856289978678035</c:v>
                </c:pt>
                <c:pt idx="4">
                  <c:v>24.664392324093818</c:v>
                </c:pt>
                <c:pt idx="5">
                  <c:v>33.023454157782517</c:v>
                </c:pt>
                <c:pt idx="6">
                  <c:v>31.991471215351812</c:v>
                </c:pt>
                <c:pt idx="7">
                  <c:v>32.197867803837951</c:v>
                </c:pt>
                <c:pt idx="8">
                  <c:v>36.63539445628998</c:v>
                </c:pt>
                <c:pt idx="9">
                  <c:v>39.262823027718547</c:v>
                </c:pt>
                <c:pt idx="10">
                  <c:v>48.928375266524519</c:v>
                </c:pt>
                <c:pt idx="11">
                  <c:v>46.556878464818759</c:v>
                </c:pt>
                <c:pt idx="12" formatCode="General">
                  <c:v>48.7</c:v>
                </c:pt>
                <c:pt idx="13" formatCode="General">
                  <c:v>47</c:v>
                </c:pt>
                <c:pt idx="14" formatCode="General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2</xdr:row>
      <xdr:rowOff>23812</xdr:rowOff>
    </xdr:from>
    <xdr:to>
      <xdr:col>21</xdr:col>
      <xdr:colOff>76200</xdr:colOff>
      <xdr:row>43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G8" sqref="G8:G18"/>
    </sheetView>
  </sheetViews>
  <sheetFormatPr defaultRowHeight="15" x14ac:dyDescent="0.25"/>
  <sheetData>
    <row r="1" spans="1:21" ht="18.75" x14ac:dyDescent="0.3">
      <c r="A1" s="6" t="s">
        <v>17</v>
      </c>
    </row>
    <row r="5" spans="1:21" x14ac:dyDescent="0.25">
      <c r="B5" s="48" t="s">
        <v>6</v>
      </c>
      <c r="C5" s="48"/>
      <c r="D5" s="48"/>
      <c r="E5" s="48"/>
      <c r="F5" s="48"/>
      <c r="G5" s="48"/>
      <c r="H5" s="48"/>
      <c r="I5" s="48"/>
      <c r="J5" s="49" t="s">
        <v>7</v>
      </c>
      <c r="K5" s="49"/>
      <c r="L5" s="49"/>
      <c r="M5" s="49"/>
      <c r="N5" s="49"/>
      <c r="O5" s="49"/>
      <c r="P5" s="49"/>
      <c r="Q5" s="49"/>
      <c r="R5" s="49"/>
    </row>
    <row r="6" spans="1:21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50" t="s">
        <v>115</v>
      </c>
      <c r="U11" s="50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12</v>
      </c>
      <c r="B26" t="s">
        <v>21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51" t="s">
        <v>3</v>
      </c>
      <c r="B3" s="48"/>
      <c r="C3" s="48"/>
      <c r="D3" s="48"/>
      <c r="E3" s="48"/>
      <c r="F3" s="49"/>
      <c r="G3" s="49"/>
      <c r="H3" s="49"/>
      <c r="I3" s="49"/>
      <c r="K3" s="52" t="s">
        <v>35</v>
      </c>
      <c r="L3" s="52"/>
    </row>
    <row r="4" spans="1:12" x14ac:dyDescent="0.25">
      <c r="A4" s="51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F37"/>
  <sheetViews>
    <sheetView workbookViewId="0">
      <selection activeCell="A2" sqref="A2"/>
    </sheetView>
  </sheetViews>
  <sheetFormatPr defaultRowHeight="15" x14ac:dyDescent="0.25"/>
  <sheetData>
    <row r="1" spans="1:6" ht="21" x14ac:dyDescent="0.35">
      <c r="A1" s="47" t="s">
        <v>152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45">
        <v>47</v>
      </c>
      <c r="C4" s="2">
        <f>B4*48.4/46.9</f>
        <v>48.503198294243063</v>
      </c>
      <c r="D4">
        <v>1</v>
      </c>
      <c r="E4" s="2">
        <f>C4*D4</f>
        <v>48.503198294243063</v>
      </c>
    </row>
    <row r="5" spans="1:6" x14ac:dyDescent="0.25">
      <c r="A5" s="42">
        <v>1914</v>
      </c>
      <c r="B5" s="45">
        <v>46.9</v>
      </c>
      <c r="C5" s="2">
        <f>B5*48.4/46.9</f>
        <v>48.400000000000006</v>
      </c>
      <c r="D5">
        <v>1</v>
      </c>
      <c r="E5" s="2">
        <f t="shared" ref="E5:E15" si="0">C5*D5</f>
        <v>48.400000000000006</v>
      </c>
      <c r="F5" s="41"/>
    </row>
    <row r="6" spans="1:6" x14ac:dyDescent="0.25">
      <c r="A6" s="43">
        <v>1915</v>
      </c>
      <c r="B6" s="45">
        <v>39.700000000000003</v>
      </c>
      <c r="C6" s="2">
        <f t="shared" ref="C6:C15" si="1">B6*48.4/46.9</f>
        <v>40.969722814498937</v>
      </c>
      <c r="D6">
        <v>1</v>
      </c>
      <c r="E6" s="2">
        <f t="shared" si="0"/>
        <v>40.969722814498937</v>
      </c>
      <c r="F6" s="38"/>
    </row>
    <row r="7" spans="1:6" x14ac:dyDescent="0.25">
      <c r="A7" s="43">
        <v>1916</v>
      </c>
      <c r="B7" s="45">
        <v>29.9</v>
      </c>
      <c r="C7" s="2">
        <f t="shared" si="1"/>
        <v>30.856289978678035</v>
      </c>
      <c r="D7">
        <v>1</v>
      </c>
      <c r="E7" s="2">
        <f t="shared" si="0"/>
        <v>30.856289978678035</v>
      </c>
      <c r="F7" s="38"/>
    </row>
    <row r="8" spans="1:6" x14ac:dyDescent="0.25">
      <c r="A8" s="43">
        <v>1917</v>
      </c>
      <c r="B8" s="45">
        <v>23.9</v>
      </c>
      <c r="C8" s="2">
        <f t="shared" si="1"/>
        <v>24.664392324093818</v>
      </c>
      <c r="D8">
        <v>1</v>
      </c>
      <c r="E8" s="2">
        <f t="shared" si="0"/>
        <v>24.664392324093818</v>
      </c>
      <c r="F8" s="38"/>
    </row>
    <row r="9" spans="1:6" x14ac:dyDescent="0.25">
      <c r="A9" s="43">
        <v>1918</v>
      </c>
      <c r="B9" s="45">
        <v>32</v>
      </c>
      <c r="C9" s="2">
        <f t="shared" si="1"/>
        <v>33.023454157782517</v>
      </c>
      <c r="D9">
        <v>1</v>
      </c>
      <c r="E9" s="2">
        <f t="shared" si="0"/>
        <v>33.023454157782517</v>
      </c>
      <c r="F9" s="38"/>
    </row>
    <row r="10" spans="1:6" x14ac:dyDescent="0.25">
      <c r="A10" s="43">
        <v>1919</v>
      </c>
      <c r="B10" s="45">
        <v>31</v>
      </c>
      <c r="C10" s="2">
        <f t="shared" si="1"/>
        <v>31.991471215351812</v>
      </c>
      <c r="D10">
        <v>1</v>
      </c>
      <c r="E10" s="2">
        <f t="shared" si="0"/>
        <v>31.991471215351812</v>
      </c>
      <c r="F10" s="38"/>
    </row>
    <row r="11" spans="1:6" x14ac:dyDescent="0.25">
      <c r="A11" s="43">
        <v>1920</v>
      </c>
      <c r="B11" s="45">
        <v>31.2</v>
      </c>
      <c r="C11" s="2">
        <f t="shared" si="1"/>
        <v>32.197867803837951</v>
      </c>
      <c r="D11">
        <v>1</v>
      </c>
      <c r="E11" s="2">
        <f t="shared" si="0"/>
        <v>32.197867803837951</v>
      </c>
      <c r="F11" s="38"/>
    </row>
    <row r="12" spans="1:6" x14ac:dyDescent="0.25">
      <c r="A12" s="43">
        <v>1921</v>
      </c>
      <c r="B12" s="45">
        <v>35.5</v>
      </c>
      <c r="C12" s="2">
        <f t="shared" si="1"/>
        <v>36.63539445628998</v>
      </c>
      <c r="D12">
        <v>1</v>
      </c>
      <c r="E12" s="2">
        <f t="shared" si="0"/>
        <v>36.63539445628998</v>
      </c>
      <c r="F12" s="38"/>
    </row>
    <row r="13" spans="1:6" x14ac:dyDescent="0.25">
      <c r="A13" s="43">
        <v>1922</v>
      </c>
      <c r="B13" s="45">
        <v>37.299999999999997</v>
      </c>
      <c r="C13" s="2">
        <f t="shared" si="1"/>
        <v>38.49296375266524</v>
      </c>
      <c r="D13">
        <v>1.02</v>
      </c>
      <c r="E13" s="2">
        <f t="shared" si="0"/>
        <v>39.262823027718547</v>
      </c>
      <c r="F13" s="38"/>
    </row>
    <row r="14" spans="1:6" x14ac:dyDescent="0.25">
      <c r="A14" s="43">
        <v>1923</v>
      </c>
      <c r="B14" s="45">
        <v>43.9</v>
      </c>
      <c r="C14" s="2">
        <f t="shared" si="1"/>
        <v>45.304051172707887</v>
      </c>
      <c r="D14">
        <v>1.08</v>
      </c>
      <c r="E14" s="2">
        <f t="shared" si="0"/>
        <v>48.928375266524519</v>
      </c>
      <c r="F14" s="38"/>
    </row>
    <row r="15" spans="1:6" x14ac:dyDescent="0.25">
      <c r="A15" s="43">
        <v>1924</v>
      </c>
      <c r="B15" s="46">
        <v>43.8</v>
      </c>
      <c r="C15" s="2">
        <f t="shared" si="1"/>
        <v>45.200852878464815</v>
      </c>
      <c r="D15">
        <v>1.03</v>
      </c>
      <c r="E15" s="2">
        <f t="shared" si="0"/>
        <v>46.556878464818759</v>
      </c>
      <c r="F15" s="38"/>
    </row>
    <row r="16" spans="1:6" x14ac:dyDescent="0.25">
      <c r="A16" s="43">
        <v>1925</v>
      </c>
      <c r="B16" s="46">
        <v>45.9</v>
      </c>
      <c r="D16">
        <v>1</v>
      </c>
      <c r="E16">
        <v>48.7</v>
      </c>
    </row>
    <row r="17" spans="1:5" x14ac:dyDescent="0.25">
      <c r="A17" s="43">
        <v>1926</v>
      </c>
      <c r="B17" s="46">
        <v>44.7</v>
      </c>
      <c r="D17">
        <v>1</v>
      </c>
      <c r="E17">
        <v>47</v>
      </c>
    </row>
    <row r="18" spans="1:5" x14ac:dyDescent="0.25">
      <c r="A18" s="44">
        <v>1927</v>
      </c>
      <c r="E18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52" t="s">
        <v>141</v>
      </c>
      <c r="C118" s="52"/>
      <c r="D118" s="52"/>
      <c r="G118" s="52" t="s">
        <v>142</v>
      </c>
      <c r="H118" s="52"/>
      <c r="I118" s="52"/>
      <c r="J118" s="52"/>
      <c r="K118" s="52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abSelected="1" topLeftCell="A13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work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2026-06-25T19:25:26Z</dcterms:modified>
</cp:coreProperties>
</file>