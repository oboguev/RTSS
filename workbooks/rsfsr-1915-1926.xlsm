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WINAPPS\SLOVO\UKR\github\RTSS\workbooks\"/>
    </mc:Choice>
  </mc:AlternateContent>
  <xr:revisionPtr revIDLastSave="0" documentId="13_ncr:1_{37E6F6F5-2207-43ED-BF3E-C12019971247}" xr6:coauthVersionLast="45" xr6:coauthVersionMax="45" xr10:uidLastSave="{00000000-0000-0000-0000-000000000000}"/>
  <bookViews>
    <workbookView xWindow="600" yWindow="1455" windowWidth="19470" windowHeight="19710" activeTab="5" xr2:uid="{BAE639CB-DAB1-445C-9C5C-41417807C10A}"/>
  </bookViews>
  <sheets>
    <sheet name="Оценки" sheetId="6" r:id="rId1"/>
    <sheet name="Боярский" sheetId="2" r:id="rId2"/>
    <sheet name="Максудов" sheetId="5" r:id="rId3"/>
    <sheet name="Бирабен" sheetId="3" r:id="rId4"/>
    <sheet name="смесь-1" sheetId="4" r:id="rId5"/>
    <sheet name="поля конверта" sheetId="7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5" i="7" l="1"/>
  <c r="M14" i="7"/>
  <c r="M13" i="7"/>
  <c r="M12" i="7"/>
  <c r="M11" i="7"/>
  <c r="M10" i="7"/>
  <c r="M9" i="7"/>
  <c r="M8" i="7"/>
  <c r="M7" i="7"/>
  <c r="M6" i="7"/>
  <c r="M5" i="7"/>
  <c r="M4" i="7"/>
  <c r="N15" i="7"/>
  <c r="N14" i="7"/>
  <c r="N13" i="7"/>
  <c r="N12" i="7"/>
  <c r="N11" i="7"/>
  <c r="N10" i="7"/>
  <c r="N9" i="7"/>
  <c r="N8" i="7"/>
  <c r="N7" i="7"/>
  <c r="N6" i="7"/>
  <c r="N5" i="7"/>
  <c r="N4" i="7"/>
  <c r="L8" i="7"/>
  <c r="J15" i="7"/>
  <c r="L15" i="7" s="1"/>
  <c r="P15" i="7" s="1"/>
  <c r="Q15" i="7" s="1"/>
  <c r="J14" i="7"/>
  <c r="L14" i="7" s="1"/>
  <c r="P14" i="7" s="1"/>
  <c r="Q14" i="7" s="1"/>
  <c r="J13" i="7"/>
  <c r="L13" i="7" s="1"/>
  <c r="P13" i="7" s="1"/>
  <c r="Q13" i="7" s="1"/>
  <c r="J12" i="7"/>
  <c r="L12" i="7" s="1"/>
  <c r="P12" i="7" s="1"/>
  <c r="Q12" i="7" s="1"/>
  <c r="J11" i="7"/>
  <c r="L11" i="7" s="1"/>
  <c r="P11" i="7" s="1"/>
  <c r="Q11" i="7" s="1"/>
  <c r="J10" i="7"/>
  <c r="L10" i="7" s="1"/>
  <c r="P10" i="7" s="1"/>
  <c r="Q10" i="7" s="1"/>
  <c r="J9" i="7"/>
  <c r="L9" i="7" s="1"/>
  <c r="P9" i="7" s="1"/>
  <c r="Q9" i="7" s="1"/>
  <c r="J8" i="7"/>
  <c r="J7" i="7"/>
  <c r="L7" i="7" s="1"/>
  <c r="J6" i="7"/>
  <c r="L6" i="7" s="1"/>
  <c r="J5" i="7"/>
  <c r="L5" i="7" s="1"/>
  <c r="J4" i="7"/>
  <c r="L4" i="7" s="1"/>
  <c r="P4" i="7" s="1"/>
  <c r="Q4" i="7" s="1"/>
  <c r="F36" i="4"/>
  <c r="F20" i="3"/>
  <c r="F20" i="5"/>
  <c r="F20" i="2"/>
  <c r="D31" i="4"/>
  <c r="D30" i="4"/>
  <c r="D29" i="4"/>
  <c r="D28" i="4"/>
  <c r="D27" i="4"/>
  <c r="D26" i="4"/>
  <c r="D25" i="4"/>
  <c r="D24" i="4"/>
  <c r="D23" i="4"/>
  <c r="D22" i="4"/>
  <c r="D21" i="4"/>
  <c r="D20" i="4"/>
  <c r="L16" i="4"/>
  <c r="L15" i="4"/>
  <c r="L14" i="4"/>
  <c r="L13" i="4"/>
  <c r="L12" i="4"/>
  <c r="L11" i="4"/>
  <c r="L10" i="4"/>
  <c r="L9" i="4"/>
  <c r="L8" i="4"/>
  <c r="L7" i="4"/>
  <c r="L6" i="4"/>
  <c r="L5" i="4"/>
  <c r="K16" i="4"/>
  <c r="K15" i="4"/>
  <c r="K14" i="4"/>
  <c r="K13" i="4"/>
  <c r="K12" i="4"/>
  <c r="K11" i="4"/>
  <c r="K10" i="4"/>
  <c r="K9" i="4"/>
  <c r="K8" i="4"/>
  <c r="K7" i="4"/>
  <c r="K6" i="4"/>
  <c r="K5" i="4"/>
  <c r="G20" i="4"/>
  <c r="P7" i="7" l="1"/>
  <c r="Q7" i="7" s="1"/>
  <c r="P8" i="7"/>
  <c r="Q8" i="7" s="1"/>
  <c r="P5" i="7"/>
  <c r="Q5" i="7" s="1"/>
  <c r="P6" i="7"/>
  <c r="Q6" i="7" s="1"/>
  <c r="I20" i="4"/>
  <c r="H20" i="4"/>
  <c r="J20" i="4" s="1"/>
  <c r="F21" i="4" s="1"/>
  <c r="D15" i="3"/>
  <c r="D14" i="3"/>
  <c r="D13" i="3"/>
  <c r="D12" i="3"/>
  <c r="D11" i="3"/>
  <c r="D10" i="3"/>
  <c r="D9" i="3"/>
  <c r="D8" i="3"/>
  <c r="D7" i="3"/>
  <c r="D6" i="3"/>
  <c r="D5" i="3"/>
  <c r="D4" i="3"/>
  <c r="D15" i="5"/>
  <c r="D14" i="5"/>
  <c r="D13" i="5"/>
  <c r="D12" i="5"/>
  <c r="D11" i="5"/>
  <c r="D10" i="5"/>
  <c r="D9" i="5"/>
  <c r="D8" i="5"/>
  <c r="D7" i="5"/>
  <c r="D6" i="5"/>
  <c r="D5" i="5"/>
  <c r="D4" i="5"/>
  <c r="D15" i="2"/>
  <c r="D14" i="2"/>
  <c r="D13" i="2"/>
  <c r="D12" i="2"/>
  <c r="D11" i="2"/>
  <c r="D10" i="2"/>
  <c r="D9" i="2"/>
  <c r="D8" i="2"/>
  <c r="D7" i="2"/>
  <c r="D6" i="2"/>
  <c r="D5" i="2"/>
  <c r="D4" i="2"/>
  <c r="G21" i="4"/>
  <c r="G4" i="3"/>
  <c r="G4" i="5"/>
  <c r="I21" i="4" l="1"/>
  <c r="H21" i="4"/>
  <c r="J21" i="4" s="1"/>
  <c r="F22" i="4" s="1"/>
  <c r="I4" i="3"/>
  <c r="H4" i="3"/>
  <c r="J4" i="3" s="1"/>
  <c r="F5" i="3" s="1"/>
  <c r="I4" i="5"/>
  <c r="H4" i="5"/>
  <c r="G22" i="4"/>
  <c r="G5" i="3"/>
  <c r="G4" i="2"/>
  <c r="I22" i="4" l="1"/>
  <c r="H22" i="4"/>
  <c r="J22" i="4" s="1"/>
  <c r="F23" i="4"/>
  <c r="H4" i="2"/>
  <c r="I4" i="2"/>
  <c r="J4" i="5"/>
  <c r="F5" i="5" s="1"/>
  <c r="H5" i="3"/>
  <c r="I5" i="3"/>
  <c r="G23" i="4"/>
  <c r="G5" i="5"/>
  <c r="H23" i="4" l="1"/>
  <c r="I23" i="4"/>
  <c r="I5" i="5"/>
  <c r="H5" i="5"/>
  <c r="J4" i="2"/>
  <c r="F5" i="2" s="1"/>
  <c r="J5" i="3"/>
  <c r="F6" i="3" s="1"/>
  <c r="J5" i="5"/>
  <c r="F6" i="5" s="1"/>
  <c r="G5" i="2"/>
  <c r="G6" i="3"/>
  <c r="G6" i="5"/>
  <c r="J23" i="4" l="1"/>
  <c r="F24" i="4" s="1"/>
  <c r="H5" i="2"/>
  <c r="I5" i="2"/>
  <c r="I6" i="3"/>
  <c r="H6" i="3"/>
  <c r="J6" i="3" s="1"/>
  <c r="F7" i="3" s="1"/>
  <c r="H6" i="5"/>
  <c r="I6" i="5"/>
  <c r="G24" i="4"/>
  <c r="G7" i="3"/>
  <c r="I24" i="4" l="1"/>
  <c r="H24" i="4"/>
  <c r="J24" i="4" s="1"/>
  <c r="F25" i="4" s="1"/>
  <c r="J5" i="2"/>
  <c r="F6" i="2" s="1"/>
  <c r="H7" i="3"/>
  <c r="I7" i="3"/>
  <c r="J6" i="5"/>
  <c r="F7" i="5" s="1"/>
  <c r="G25" i="4"/>
  <c r="G6" i="2"/>
  <c r="G7" i="5"/>
  <c r="I25" i="4" l="1"/>
  <c r="H25" i="4"/>
  <c r="H6" i="2"/>
  <c r="J6" i="2" s="1"/>
  <c r="F7" i="2" s="1"/>
  <c r="I6" i="2"/>
  <c r="J7" i="3"/>
  <c r="F8" i="3" s="1"/>
  <c r="I7" i="5"/>
  <c r="H7" i="5"/>
  <c r="J7" i="5" s="1"/>
  <c r="F8" i="5" s="1"/>
  <c r="G7" i="2"/>
  <c r="G8" i="3"/>
  <c r="G8" i="5"/>
  <c r="J25" i="4" l="1"/>
  <c r="F26" i="4" s="1"/>
  <c r="I7" i="2"/>
  <c r="H7" i="2"/>
  <c r="J7" i="2" s="1"/>
  <c r="F8" i="2" s="1"/>
  <c r="I8" i="3"/>
  <c r="H8" i="3"/>
  <c r="I8" i="5"/>
  <c r="H8" i="5"/>
  <c r="G26" i="4"/>
  <c r="G8" i="2"/>
  <c r="H26" i="4" l="1"/>
  <c r="I26" i="4"/>
  <c r="I8" i="2"/>
  <c r="H8" i="2"/>
  <c r="J8" i="2" s="1"/>
  <c r="F9" i="2" s="1"/>
  <c r="J8" i="5"/>
  <c r="F9" i="5" s="1"/>
  <c r="J8" i="3"/>
  <c r="F9" i="3" s="1"/>
  <c r="G9" i="2"/>
  <c r="G9" i="5"/>
  <c r="G9" i="3"/>
  <c r="J26" i="4" l="1"/>
  <c r="F27" i="4" s="1"/>
  <c r="H9" i="5"/>
  <c r="I9" i="5"/>
  <c r="H9" i="2"/>
  <c r="I9" i="2"/>
  <c r="I9" i="3"/>
  <c r="H9" i="3"/>
  <c r="G27" i="4"/>
  <c r="H27" i="4" l="1"/>
  <c r="I27" i="4"/>
  <c r="J9" i="2"/>
  <c r="F10" i="2" s="1"/>
  <c r="J9" i="5"/>
  <c r="F10" i="5" s="1"/>
  <c r="J9" i="3"/>
  <c r="F10" i="3" s="1"/>
  <c r="G10" i="2"/>
  <c r="G10" i="5"/>
  <c r="G10" i="3"/>
  <c r="J27" i="4" l="1"/>
  <c r="F28" i="4" s="1"/>
  <c r="I10" i="5"/>
  <c r="H10" i="5"/>
  <c r="J10" i="5" s="1"/>
  <c r="F11" i="5" s="1"/>
  <c r="H10" i="2"/>
  <c r="J10" i="2" s="1"/>
  <c r="F11" i="2" s="1"/>
  <c r="I10" i="2"/>
  <c r="I10" i="3"/>
  <c r="H10" i="3"/>
  <c r="J10" i="3" s="1"/>
  <c r="F11" i="3" s="1"/>
  <c r="G28" i="4"/>
  <c r="G11" i="5"/>
  <c r="G11" i="2"/>
  <c r="G11" i="3"/>
  <c r="I28" i="4" l="1"/>
  <c r="H28" i="4"/>
  <c r="J28" i="4" s="1"/>
  <c r="F29" i="4" s="1"/>
  <c r="I11" i="2"/>
  <c r="H11" i="2"/>
  <c r="J11" i="2" s="1"/>
  <c r="I11" i="5"/>
  <c r="H11" i="5"/>
  <c r="J11" i="5" s="1"/>
  <c r="F12" i="5" s="1"/>
  <c r="F12" i="2"/>
  <c r="H11" i="3"/>
  <c r="I11" i="3"/>
  <c r="G29" i="4"/>
  <c r="G12" i="2"/>
  <c r="G12" i="5"/>
  <c r="H29" i="4" l="1"/>
  <c r="I29" i="4"/>
  <c r="H12" i="5"/>
  <c r="I12" i="5"/>
  <c r="I12" i="2"/>
  <c r="H12" i="2"/>
  <c r="J12" i="2" s="1"/>
  <c r="J11" i="3"/>
  <c r="F12" i="3" s="1"/>
  <c r="F13" i="2"/>
  <c r="G12" i="3"/>
  <c r="G13" i="2"/>
  <c r="J29" i="4" l="1"/>
  <c r="F30" i="4" s="1"/>
  <c r="I13" i="2"/>
  <c r="H13" i="2"/>
  <c r="J13" i="2" s="1"/>
  <c r="F14" i="2" s="1"/>
  <c r="H12" i="3"/>
  <c r="J12" i="3" s="1"/>
  <c r="F13" i="3" s="1"/>
  <c r="I12" i="3"/>
  <c r="J12" i="5"/>
  <c r="F13" i="5" s="1"/>
  <c r="G30" i="4"/>
  <c r="G13" i="3"/>
  <c r="G13" i="5"/>
  <c r="G14" i="2"/>
  <c r="H30" i="4" l="1"/>
  <c r="I30" i="4"/>
  <c r="I14" i="2"/>
  <c r="H14" i="2"/>
  <c r="J14" i="2" s="1"/>
  <c r="F15" i="2" s="1"/>
  <c r="I13" i="5"/>
  <c r="H13" i="5"/>
  <c r="J13" i="5" s="1"/>
  <c r="F14" i="5" s="1"/>
  <c r="I13" i="3"/>
  <c r="H13" i="3"/>
  <c r="J13" i="3"/>
  <c r="F14" i="3" s="1"/>
  <c r="G15" i="2"/>
  <c r="G14" i="5"/>
  <c r="G14" i="3"/>
  <c r="J30" i="4" l="1"/>
  <c r="F31" i="4" s="1"/>
  <c r="H14" i="5"/>
  <c r="I14" i="5"/>
  <c r="H15" i="2"/>
  <c r="J15" i="2" s="1"/>
  <c r="F16" i="2" s="1"/>
  <c r="I15" i="2"/>
  <c r="I14" i="3"/>
  <c r="H14" i="3"/>
  <c r="J14" i="3" s="1"/>
  <c r="F15" i="3" s="1"/>
  <c r="G31" i="4"/>
  <c r="G15" i="3"/>
  <c r="I31" i="4" l="1"/>
  <c r="H31" i="4"/>
  <c r="J31" i="4" s="1"/>
  <c r="F32" i="4" s="1"/>
  <c r="J14" i="5"/>
  <c r="F15" i="5" s="1"/>
  <c r="H15" i="3"/>
  <c r="I15" i="3"/>
  <c r="G15" i="5"/>
  <c r="I15" i="5" l="1"/>
  <c r="H15" i="5"/>
  <c r="J15" i="5" s="1"/>
  <c r="F16" i="5" s="1"/>
  <c r="J15" i="3"/>
  <c r="F16" i="3" s="1"/>
</calcChain>
</file>

<file path=xl/sharedStrings.xml><?xml version="1.0" encoding="utf-8"?>
<sst xmlns="http://schemas.openxmlformats.org/spreadsheetml/2006/main" count="126" uniqueCount="42">
  <si>
    <t>Бирабен</t>
  </si>
  <si>
    <t>р</t>
  </si>
  <si>
    <t>с</t>
  </si>
  <si>
    <t>год</t>
  </si>
  <si>
    <t>еп</t>
  </si>
  <si>
    <t>ПК</t>
  </si>
  <si>
    <t>рождаемость</t>
  </si>
  <si>
    <t>смертность</t>
  </si>
  <si>
    <t>УЧ</t>
  </si>
  <si>
    <t>БОЯ</t>
  </si>
  <si>
    <t>М</t>
  </si>
  <si>
    <t>БИР</t>
  </si>
  <si>
    <t>АДХ</t>
  </si>
  <si>
    <t>У1</t>
  </si>
  <si>
    <t>У2</t>
  </si>
  <si>
    <t>АО</t>
  </si>
  <si>
    <t>АТ</t>
  </si>
  <si>
    <t>Реконструкции рождаемости и смертности для 1915-1926</t>
  </si>
  <si>
    <t>учёт</t>
  </si>
  <si>
    <t>Боярский</t>
  </si>
  <si>
    <t>Боярский с поправкой Максудова</t>
  </si>
  <si>
    <t>Андреев, Дарский, Харькова</t>
  </si>
  <si>
    <t>Урланис</t>
  </si>
  <si>
    <t>Урлания</t>
  </si>
  <si>
    <t>Поляков, Киселёв</t>
  </si>
  <si>
    <t>Адамец</t>
  </si>
  <si>
    <t>мигр</t>
  </si>
  <si>
    <t>чн-сред</t>
  </si>
  <si>
    <t>чр</t>
  </si>
  <si>
    <t>чс</t>
  </si>
  <si>
    <t>чн-1 янв</t>
  </si>
  <si>
    <t>1927-АДХ</t>
  </si>
  <si>
    <t>еп-чел</t>
  </si>
  <si>
    <t>мигр. баланс</t>
  </si>
  <si>
    <t>разница (избыток)</t>
  </si>
  <si>
    <t>среднее</t>
  </si>
  <si>
    <t>Среднее четырёх оценок</t>
  </si>
  <si>
    <t>тыс</t>
  </si>
  <si>
    <t>чс-детск</t>
  </si>
  <si>
    <t>чс-взросл-мирн</t>
  </si>
  <si>
    <t>чс-воен</t>
  </si>
  <si>
    <t>чс-все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</si>
</sst>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EEC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164" fontId="0" fillId="0" borderId="0" xfId="0" applyNumberFormat="1" applyFont="1" applyBorder="1" applyAlignment="1">
      <alignment vertical="center" wrapText="1"/>
    </xf>
    <xf numFmtId="164" fontId="0" fillId="0" borderId="0" xfId="0" applyNumberFormat="1"/>
    <xf numFmtId="3" fontId="0" fillId="0" borderId="0" xfId="0" applyNumberFormat="1"/>
    <xf numFmtId="3" fontId="0" fillId="0" borderId="0" xfId="0" applyNumberFormat="1" applyFont="1" applyFill="1" applyBorder="1" applyAlignment="1">
      <alignment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Font="1" applyBorder="1" applyAlignment="1">
      <alignment vertical="center" wrapText="1"/>
    </xf>
    <xf numFmtId="0" fontId="4" fillId="4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center" vertical="center" wrapText="1"/>
    </xf>
    <xf numFmtId="0" fontId="4" fillId="4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Font="1" applyBorder="1" applyAlignment="1">
      <alignment horizontal="right" vertical="center" wrapText="1"/>
    </xf>
    <xf numFmtId="0" fontId="2" fillId="4" borderId="0" xfId="0" applyFont="1" applyFill="1" applyAlignment="1">
      <alignment horizontal="center"/>
    </xf>
    <xf numFmtId="0" fontId="2" fillId="4" borderId="0" xfId="0" applyFont="1" applyFill="1" applyBorder="1" applyAlignment="1">
      <alignment horizontal="center" vertical="center" wrapText="1"/>
    </xf>
    <xf numFmtId="3" fontId="0" fillId="0" borderId="0" xfId="0" applyNumberFormat="1" applyFont="1" applyBorder="1" applyAlignment="1">
      <alignment vertical="center" wrapText="1"/>
    </xf>
    <xf numFmtId="0" fontId="0" fillId="4" borderId="0" xfId="0" applyFill="1"/>
    <xf numFmtId="0" fontId="2" fillId="4" borderId="0" xfId="0" applyFont="1" applyFill="1"/>
    <xf numFmtId="0" fontId="2" fillId="2" borderId="0" xfId="0" applyFont="1" applyFill="1" applyBorder="1" applyAlignment="1">
      <alignment horizontal="center" wrapText="1"/>
    </xf>
    <xf numFmtId="164" fontId="1" fillId="0" borderId="0" xfId="0" applyNumberFormat="1" applyFont="1" applyBorder="1" applyAlignment="1">
      <alignment horizontal="right" vertical="center" wrapText="1"/>
    </xf>
    <xf numFmtId="0" fontId="4" fillId="3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Оценки!$B$7:$B$18</c:f>
              <c:numCache>
                <c:formatCode>0.0</c:formatCode>
                <c:ptCount val="12"/>
                <c:pt idx="5">
                  <c:v>30.9</c:v>
                </c:pt>
                <c:pt idx="6">
                  <c:v>32.6</c:v>
                </c:pt>
                <c:pt idx="7">
                  <c:v>33.4</c:v>
                </c:pt>
                <c:pt idx="8">
                  <c:v>42.8</c:v>
                </c:pt>
                <c:pt idx="9">
                  <c:v>43.8</c:v>
                </c:pt>
                <c:pt idx="10">
                  <c:v>45.9</c:v>
                </c:pt>
                <c:pt idx="11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51-4443-9DB7-371640DF07D3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Оценки!$C$7:$C$18</c:f>
              <c:numCache>
                <c:formatCode>0.0</c:formatCode>
                <c:ptCount val="12"/>
                <c:pt idx="0">
                  <c:v>35.9</c:v>
                </c:pt>
                <c:pt idx="1">
                  <c:v>27.1</c:v>
                </c:pt>
                <c:pt idx="2">
                  <c:v>26.3</c:v>
                </c:pt>
                <c:pt idx="3">
                  <c:v>34.700000000000003</c:v>
                </c:pt>
                <c:pt idx="4">
                  <c:v>31.7</c:v>
                </c:pt>
                <c:pt idx="5">
                  <c:v>32.200000000000003</c:v>
                </c:pt>
                <c:pt idx="6">
                  <c:v>37.299999999999997</c:v>
                </c:pt>
                <c:pt idx="7">
                  <c:v>38.200000000000003</c:v>
                </c:pt>
                <c:pt idx="8">
                  <c:v>45.5</c:v>
                </c:pt>
                <c:pt idx="9">
                  <c:v>42.2</c:v>
                </c:pt>
                <c:pt idx="10">
                  <c:v>43.9</c:v>
                </c:pt>
                <c:pt idx="11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51-4443-9DB7-371640DF07D3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Оценки!$D$7:$D$18</c:f>
              <c:numCache>
                <c:formatCode>0.0</c:formatCode>
                <c:ptCount val="12"/>
                <c:pt idx="0">
                  <c:v>35.9</c:v>
                </c:pt>
                <c:pt idx="1">
                  <c:v>27.1</c:v>
                </c:pt>
                <c:pt idx="2">
                  <c:v>26.3</c:v>
                </c:pt>
                <c:pt idx="3">
                  <c:v>34.700000000000003</c:v>
                </c:pt>
                <c:pt idx="4">
                  <c:v>31.7</c:v>
                </c:pt>
                <c:pt idx="5">
                  <c:v>32.200000000000003</c:v>
                </c:pt>
                <c:pt idx="6">
                  <c:v>37.299999999999997</c:v>
                </c:pt>
                <c:pt idx="7">
                  <c:v>38.200000000000003</c:v>
                </c:pt>
                <c:pt idx="8">
                  <c:v>45.5</c:v>
                </c:pt>
                <c:pt idx="9">
                  <c:v>42.2</c:v>
                </c:pt>
                <c:pt idx="10">
                  <c:v>43.9</c:v>
                </c:pt>
                <c:pt idx="11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51-4443-9DB7-371640DF07D3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Оценки!$E$7:$E$18</c:f>
              <c:numCache>
                <c:formatCode>0.0</c:formatCode>
                <c:ptCount val="12"/>
                <c:pt idx="0">
                  <c:v>37.4</c:v>
                </c:pt>
                <c:pt idx="1">
                  <c:v>32.5</c:v>
                </c:pt>
                <c:pt idx="2">
                  <c:v>28.8</c:v>
                </c:pt>
                <c:pt idx="3">
                  <c:v>32.4</c:v>
                </c:pt>
                <c:pt idx="4">
                  <c:v>30.6</c:v>
                </c:pt>
                <c:pt idx="5">
                  <c:v>31.7</c:v>
                </c:pt>
                <c:pt idx="6">
                  <c:v>35</c:v>
                </c:pt>
                <c:pt idx="7">
                  <c:v>36.200000000000003</c:v>
                </c:pt>
                <c:pt idx="8">
                  <c:v>44</c:v>
                </c:pt>
                <c:pt idx="9">
                  <c:v>42.3</c:v>
                </c:pt>
                <c:pt idx="10">
                  <c:v>43.8</c:v>
                </c:pt>
                <c:pt idx="11">
                  <c:v>42.3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351-4443-9DB7-371640DF07D3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Оценки!$F$7:$F$18</c:f>
              <c:numCache>
                <c:formatCode>0.0</c:formatCode>
                <c:ptCount val="12"/>
                <c:pt idx="5">
                  <c:v>39.299999999999997</c:v>
                </c:pt>
                <c:pt idx="6">
                  <c:v>40.6</c:v>
                </c:pt>
                <c:pt idx="7">
                  <c:v>43.7</c:v>
                </c:pt>
                <c:pt idx="8">
                  <c:v>47</c:v>
                </c:pt>
                <c:pt idx="9">
                  <c:v>49</c:v>
                </c:pt>
                <c:pt idx="10">
                  <c:v>47.3</c:v>
                </c:pt>
                <c:pt idx="11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351-4443-9DB7-371640DF07D3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Оценки!$G$7:$G$18</c:f>
              <c:numCache>
                <c:formatCode>0.0</c:formatCode>
                <c:ptCount val="12"/>
                <c:pt idx="0">
                  <c:v>39.700000000000003</c:v>
                </c:pt>
                <c:pt idx="1">
                  <c:v>29.9</c:v>
                </c:pt>
                <c:pt idx="2">
                  <c:v>23.9</c:v>
                </c:pt>
                <c:pt idx="3">
                  <c:v>32</c:v>
                </c:pt>
                <c:pt idx="4">
                  <c:v>31</c:v>
                </c:pt>
                <c:pt idx="5">
                  <c:v>31.2</c:v>
                </c:pt>
                <c:pt idx="6">
                  <c:v>35.5</c:v>
                </c:pt>
                <c:pt idx="7">
                  <c:v>37.299999999999997</c:v>
                </c:pt>
                <c:pt idx="8">
                  <c:v>43.9</c:v>
                </c:pt>
                <c:pt idx="9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351-4443-9DB7-371640DF07D3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Оценки!$H$7:$H$18</c:f>
              <c:numCache>
                <c:formatCode>0.0</c:formatCode>
                <c:ptCount val="12"/>
                <c:pt idx="3">
                  <c:v>31.8</c:v>
                </c:pt>
                <c:pt idx="4">
                  <c:v>30.8</c:v>
                </c:pt>
                <c:pt idx="5">
                  <c:v>31</c:v>
                </c:pt>
                <c:pt idx="6">
                  <c:v>35.299999999999997</c:v>
                </c:pt>
                <c:pt idx="7">
                  <c:v>36.799999999999997</c:v>
                </c:pt>
                <c:pt idx="8">
                  <c:v>42.8</c:v>
                </c:pt>
                <c:pt idx="9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351-4443-9DB7-371640DF07D3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Оценки!$I$7:$I$18</c:f>
              <c:numCache>
                <c:formatCode>0.0</c:formatCode>
                <c:ptCount val="12"/>
                <c:pt idx="2">
                  <c:v>27.4</c:v>
                </c:pt>
                <c:pt idx="3">
                  <c:v>33.1</c:v>
                </c:pt>
                <c:pt idx="4">
                  <c:v>30</c:v>
                </c:pt>
                <c:pt idx="5">
                  <c:v>31.3</c:v>
                </c:pt>
                <c:pt idx="6">
                  <c:v>37.799999999999997</c:v>
                </c:pt>
                <c:pt idx="7">
                  <c:v>41.4</c:v>
                </c:pt>
                <c:pt idx="8">
                  <c:v>46.5</c:v>
                </c:pt>
                <c:pt idx="9">
                  <c:v>43.6</c:v>
                </c:pt>
                <c:pt idx="10">
                  <c:v>45.7</c:v>
                </c:pt>
                <c:pt idx="11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351-4443-9DB7-371640DF0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1102632"/>
        <c:axId val="1131104600"/>
      </c:scatterChart>
      <c:valAx>
        <c:axId val="1131102632"/>
        <c:scaling>
          <c:orientation val="minMax"/>
          <c:max val="1926"/>
          <c:min val="19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1104600"/>
        <c:crosses val="autoZero"/>
        <c:crossBetween val="midCat"/>
        <c:majorUnit val="1"/>
      </c:valAx>
      <c:valAx>
        <c:axId val="1131104600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1102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Оценки!$J$7:$J$18</c:f>
              <c:numCache>
                <c:formatCode>0.0</c:formatCode>
                <c:ptCount val="12"/>
                <c:pt idx="5">
                  <c:v>35.299999999999997</c:v>
                </c:pt>
                <c:pt idx="6">
                  <c:v>29.2</c:v>
                </c:pt>
                <c:pt idx="7">
                  <c:v>32.1</c:v>
                </c:pt>
                <c:pt idx="8">
                  <c:v>23.1</c:v>
                </c:pt>
                <c:pt idx="9">
                  <c:v>24.1</c:v>
                </c:pt>
                <c:pt idx="10">
                  <c:v>25.2</c:v>
                </c:pt>
                <c:pt idx="11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3C-4C18-84F3-A9E661E20BFC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Оценки!$K$7:$K$18</c:f>
              <c:numCache>
                <c:formatCode>0.0</c:formatCode>
                <c:ptCount val="12"/>
                <c:pt idx="0">
                  <c:v>28.8</c:v>
                </c:pt>
                <c:pt idx="1">
                  <c:v>25.4</c:v>
                </c:pt>
                <c:pt idx="2">
                  <c:v>29.1</c:v>
                </c:pt>
                <c:pt idx="3">
                  <c:v>44.2</c:v>
                </c:pt>
                <c:pt idx="4">
                  <c:v>46.7</c:v>
                </c:pt>
                <c:pt idx="5">
                  <c:v>43.3</c:v>
                </c:pt>
                <c:pt idx="6">
                  <c:v>29.7</c:v>
                </c:pt>
                <c:pt idx="7">
                  <c:v>29.6</c:v>
                </c:pt>
                <c:pt idx="8">
                  <c:v>25.5</c:v>
                </c:pt>
                <c:pt idx="9">
                  <c:v>23.5</c:v>
                </c:pt>
                <c:pt idx="10">
                  <c:v>24.5</c:v>
                </c:pt>
                <c:pt idx="11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3C-4C18-84F3-A9E661E20BFC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Оценки!$L$7:$L$18</c:f>
              <c:numCache>
                <c:formatCode>0.0</c:formatCode>
                <c:ptCount val="12"/>
                <c:pt idx="0">
                  <c:v>28.8</c:v>
                </c:pt>
                <c:pt idx="1">
                  <c:v>25.4</c:v>
                </c:pt>
                <c:pt idx="2">
                  <c:v>29.1</c:v>
                </c:pt>
                <c:pt idx="3">
                  <c:v>44.2</c:v>
                </c:pt>
                <c:pt idx="4">
                  <c:v>46.7</c:v>
                </c:pt>
                <c:pt idx="5">
                  <c:v>43.3</c:v>
                </c:pt>
                <c:pt idx="6">
                  <c:v>40</c:v>
                </c:pt>
                <c:pt idx="7">
                  <c:v>29.6</c:v>
                </c:pt>
                <c:pt idx="8">
                  <c:v>25.5</c:v>
                </c:pt>
                <c:pt idx="9">
                  <c:v>23.5</c:v>
                </c:pt>
                <c:pt idx="10">
                  <c:v>24.5</c:v>
                </c:pt>
                <c:pt idx="11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3C-4C18-84F3-A9E661E20BFC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Оценки!$M$7:$M$18</c:f>
              <c:numCache>
                <c:formatCode>0.0</c:formatCode>
                <c:ptCount val="12"/>
                <c:pt idx="0">
                  <c:v>42.6</c:v>
                </c:pt>
                <c:pt idx="1">
                  <c:v>39.200000000000003</c:v>
                </c:pt>
                <c:pt idx="2">
                  <c:v>47.1</c:v>
                </c:pt>
                <c:pt idx="3">
                  <c:v>53.9</c:v>
                </c:pt>
                <c:pt idx="4">
                  <c:v>41</c:v>
                </c:pt>
                <c:pt idx="5">
                  <c:v>37.1</c:v>
                </c:pt>
                <c:pt idx="6">
                  <c:v>29.8</c:v>
                </c:pt>
                <c:pt idx="7">
                  <c:v>38</c:v>
                </c:pt>
                <c:pt idx="8">
                  <c:v>22.5</c:v>
                </c:pt>
                <c:pt idx="9">
                  <c:v>21.7</c:v>
                </c:pt>
                <c:pt idx="10">
                  <c:v>22.9</c:v>
                </c:pt>
                <c:pt idx="1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D3C-4C18-84F3-A9E661E20BFC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Оценки!$N$7:$N$18</c:f>
              <c:numCache>
                <c:formatCode>0.0</c:formatCode>
                <c:ptCount val="12"/>
                <c:pt idx="5">
                  <c:v>45.4</c:v>
                </c:pt>
                <c:pt idx="6">
                  <c:v>39.799999999999997</c:v>
                </c:pt>
                <c:pt idx="7">
                  <c:v>38.799999999999997</c:v>
                </c:pt>
                <c:pt idx="8">
                  <c:v>29.1</c:v>
                </c:pt>
                <c:pt idx="9">
                  <c:v>27.6</c:v>
                </c:pt>
                <c:pt idx="10">
                  <c:v>28.7</c:v>
                </c:pt>
                <c:pt idx="11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D3C-4C18-84F3-A9E661E20BFC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Оценки!$O$7:$O$18</c:f>
              <c:numCache>
                <c:formatCode>0.0</c:formatCode>
                <c:ptCount val="12"/>
                <c:pt idx="0">
                  <c:v>35.4</c:v>
                </c:pt>
                <c:pt idx="1">
                  <c:v>33</c:v>
                </c:pt>
                <c:pt idx="2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D3C-4C18-84F3-A9E661E20BFC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Оценки!$P$7:$P$18</c:f>
              <c:numCache>
                <c:formatCode>0.0</c:formatCode>
                <c:ptCount val="12"/>
                <c:pt idx="2">
                  <c:v>27.4</c:v>
                </c:pt>
                <c:pt idx="3">
                  <c:v>39.9</c:v>
                </c:pt>
                <c:pt idx="4">
                  <c:v>65.5</c:v>
                </c:pt>
                <c:pt idx="5">
                  <c:v>79.5</c:v>
                </c:pt>
                <c:pt idx="6">
                  <c:v>40.4</c:v>
                </c:pt>
                <c:pt idx="7">
                  <c:v>55.3</c:v>
                </c:pt>
                <c:pt idx="8">
                  <c:v>22.3</c:v>
                </c:pt>
                <c:pt idx="9">
                  <c:v>23.1</c:v>
                </c:pt>
                <c:pt idx="10">
                  <c:v>23.3</c:v>
                </c:pt>
                <c:pt idx="11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D3C-4C18-84F3-A9E661E20BFC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Оценки!$Q$7:$Q$18</c:f>
              <c:numCache>
                <c:formatCode>0.0</c:formatCode>
                <c:ptCount val="12"/>
                <c:pt idx="3">
                  <c:v>28.1</c:v>
                </c:pt>
                <c:pt idx="4">
                  <c:v>39.4</c:v>
                </c:pt>
                <c:pt idx="5">
                  <c:v>49.9</c:v>
                </c:pt>
                <c:pt idx="6">
                  <c:v>42.6</c:v>
                </c:pt>
                <c:pt idx="7">
                  <c:v>43</c:v>
                </c:pt>
                <c:pt idx="8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D3C-4C18-84F3-A9E661E20BFC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Оценки!$R$7:$R$18</c:f>
              <c:numCache>
                <c:formatCode>0.0</c:formatCode>
                <c:ptCount val="12"/>
                <c:pt idx="3">
                  <c:v>30.2</c:v>
                </c:pt>
                <c:pt idx="4">
                  <c:v>64</c:v>
                </c:pt>
                <c:pt idx="5">
                  <c:v>56.1</c:v>
                </c:pt>
                <c:pt idx="6">
                  <c:v>41.4</c:v>
                </c:pt>
                <c:pt idx="7">
                  <c:v>47.1</c:v>
                </c:pt>
                <c:pt idx="8">
                  <c:v>28.7</c:v>
                </c:pt>
                <c:pt idx="9">
                  <c:v>22.4</c:v>
                </c:pt>
                <c:pt idx="10">
                  <c:v>23.8</c:v>
                </c:pt>
                <c:pt idx="11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D3C-4C18-84F3-A9E661E20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6322952"/>
        <c:axId val="1146323608"/>
      </c:scatterChart>
      <c:valAx>
        <c:axId val="1146322952"/>
        <c:scaling>
          <c:orientation val="minMax"/>
          <c:max val="1926"/>
          <c:min val="19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46323608"/>
        <c:crosses val="autoZero"/>
        <c:crossBetween val="midCat"/>
        <c:majorUnit val="1"/>
      </c:valAx>
      <c:valAx>
        <c:axId val="114632360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4632295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604836</xdr:colOff>
      <xdr:row>30</xdr:row>
      <xdr:rowOff>4761</xdr:rowOff>
    </xdr:from>
    <xdr:to>
      <xdr:col>16</xdr:col>
      <xdr:colOff>0</xdr:colOff>
      <xdr:row>67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403B76-D3DC-47B2-99D9-AA603F1910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600075</xdr:colOff>
      <xdr:row>69</xdr:row>
      <xdr:rowOff>4761</xdr:rowOff>
    </xdr:from>
    <xdr:to>
      <xdr:col>16</xdr:col>
      <xdr:colOff>9525</xdr:colOff>
      <xdr:row>105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722B589-25EB-4E1B-84A1-2EE05BE12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28229-44D1-4DD2-9CCC-1A2F3690299E}">
  <sheetPr codeName="Sheet1"/>
  <dimension ref="A1:R29"/>
  <sheetViews>
    <sheetView topLeftCell="A55" workbookViewId="0">
      <selection activeCell="R93" sqref="R93"/>
    </sheetView>
  </sheetViews>
  <sheetFormatPr defaultRowHeight="15" x14ac:dyDescent="0.25"/>
  <sheetData>
    <row r="1" spans="1:18" ht="18.75" x14ac:dyDescent="0.3">
      <c r="A1" s="6" t="s">
        <v>17</v>
      </c>
    </row>
    <row r="5" spans="1:18" x14ac:dyDescent="0.25">
      <c r="B5" s="8" t="s">
        <v>6</v>
      </c>
      <c r="C5" s="8"/>
      <c r="D5" s="8"/>
      <c r="E5" s="8"/>
      <c r="F5" s="8"/>
      <c r="G5" s="8"/>
      <c r="H5" s="8"/>
      <c r="I5" s="8"/>
      <c r="J5" s="9" t="s">
        <v>7</v>
      </c>
      <c r="K5" s="9"/>
      <c r="L5" s="9"/>
      <c r="M5" s="9"/>
      <c r="N5" s="9"/>
      <c r="O5" s="9"/>
      <c r="P5" s="9"/>
      <c r="Q5" s="9"/>
      <c r="R5" s="9"/>
    </row>
    <row r="6" spans="1:18" x14ac:dyDescent="0.25">
      <c r="A6" s="22" t="s">
        <v>3</v>
      </c>
      <c r="B6" s="10" t="s">
        <v>8</v>
      </c>
      <c r="C6" s="10" t="s">
        <v>9</v>
      </c>
      <c r="D6" s="10" t="s">
        <v>10</v>
      </c>
      <c r="E6" s="10" t="s">
        <v>11</v>
      </c>
      <c r="F6" s="10" t="s">
        <v>12</v>
      </c>
      <c r="G6" s="10" t="s">
        <v>13</v>
      </c>
      <c r="H6" s="10" t="s">
        <v>14</v>
      </c>
      <c r="I6" s="10" t="s">
        <v>5</v>
      </c>
      <c r="J6" s="11" t="s">
        <v>8</v>
      </c>
      <c r="K6" s="11" t="s">
        <v>9</v>
      </c>
      <c r="L6" s="11" t="s">
        <v>10</v>
      </c>
      <c r="M6" s="11" t="s">
        <v>11</v>
      </c>
      <c r="N6" s="11" t="s">
        <v>12</v>
      </c>
      <c r="O6" s="11" t="s">
        <v>13</v>
      </c>
      <c r="P6" s="11" t="s">
        <v>5</v>
      </c>
      <c r="Q6" s="11" t="s">
        <v>15</v>
      </c>
      <c r="R6" s="11" t="s">
        <v>16</v>
      </c>
    </row>
    <row r="7" spans="1:18" x14ac:dyDescent="0.25">
      <c r="A7" s="7">
        <v>1915</v>
      </c>
      <c r="B7" s="1"/>
      <c r="C7" s="1">
        <v>35.9</v>
      </c>
      <c r="D7" s="1">
        <v>35.9</v>
      </c>
      <c r="E7" s="1">
        <v>37.4</v>
      </c>
      <c r="F7" s="1"/>
      <c r="G7" s="1">
        <v>39.700000000000003</v>
      </c>
      <c r="H7" s="1"/>
      <c r="I7" s="1"/>
      <c r="J7" s="1"/>
      <c r="K7" s="1">
        <v>28.8</v>
      </c>
      <c r="L7" s="1">
        <v>28.8</v>
      </c>
      <c r="M7" s="1">
        <v>42.6</v>
      </c>
      <c r="N7" s="1"/>
      <c r="O7" s="1">
        <v>35.4</v>
      </c>
      <c r="P7" s="1"/>
      <c r="Q7" s="1"/>
      <c r="R7" s="1"/>
    </row>
    <row r="8" spans="1:18" x14ac:dyDescent="0.25">
      <c r="A8" s="7">
        <v>1916</v>
      </c>
      <c r="B8" s="1"/>
      <c r="C8" s="1">
        <v>27.1</v>
      </c>
      <c r="D8" s="1">
        <v>27.1</v>
      </c>
      <c r="E8" s="1">
        <v>32.5</v>
      </c>
      <c r="F8" s="1"/>
      <c r="G8" s="1">
        <v>29.9</v>
      </c>
      <c r="H8" s="1"/>
      <c r="I8" s="1"/>
      <c r="J8" s="1"/>
      <c r="K8" s="1">
        <v>25.4</v>
      </c>
      <c r="L8" s="1">
        <v>25.4</v>
      </c>
      <c r="M8" s="1">
        <v>39.200000000000003</v>
      </c>
      <c r="N8" s="1"/>
      <c r="O8" s="1">
        <v>33</v>
      </c>
      <c r="P8" s="1"/>
      <c r="Q8" s="1"/>
      <c r="R8" s="1"/>
    </row>
    <row r="9" spans="1:18" x14ac:dyDescent="0.25">
      <c r="A9" s="7">
        <v>1917</v>
      </c>
      <c r="B9" s="1"/>
      <c r="C9" s="1">
        <v>26.3</v>
      </c>
      <c r="D9" s="1">
        <v>26.3</v>
      </c>
      <c r="E9" s="1">
        <v>28.8</v>
      </c>
      <c r="F9" s="1"/>
      <c r="G9" s="1">
        <v>23.9</v>
      </c>
      <c r="H9" s="1"/>
      <c r="I9" s="20">
        <v>27.4</v>
      </c>
      <c r="J9" s="1"/>
      <c r="K9" s="1">
        <v>29.1</v>
      </c>
      <c r="L9" s="1">
        <v>29.1</v>
      </c>
      <c r="M9" s="1">
        <v>47.1</v>
      </c>
      <c r="N9" s="1"/>
      <c r="O9" s="1">
        <v>28.2</v>
      </c>
      <c r="P9" s="20">
        <v>27.4</v>
      </c>
      <c r="Q9" s="20"/>
      <c r="R9" s="20"/>
    </row>
    <row r="10" spans="1:18" x14ac:dyDescent="0.25">
      <c r="A10" s="7">
        <v>1918</v>
      </c>
      <c r="B10" s="1"/>
      <c r="C10" s="1">
        <v>34.700000000000003</v>
      </c>
      <c r="D10" s="1">
        <v>34.700000000000003</v>
      </c>
      <c r="E10" s="1">
        <v>32.4</v>
      </c>
      <c r="F10" s="1"/>
      <c r="G10" s="1">
        <v>32</v>
      </c>
      <c r="H10" s="1">
        <v>31.8</v>
      </c>
      <c r="I10" s="20">
        <v>33.1</v>
      </c>
      <c r="J10" s="1"/>
      <c r="K10" s="1">
        <v>44.2</v>
      </c>
      <c r="L10" s="1">
        <v>44.2</v>
      </c>
      <c r="M10" s="1">
        <v>53.9</v>
      </c>
      <c r="N10" s="1"/>
      <c r="O10" s="1"/>
      <c r="P10" s="20">
        <v>39.9</v>
      </c>
      <c r="Q10" s="1">
        <v>28.1</v>
      </c>
      <c r="R10" s="1">
        <v>30.2</v>
      </c>
    </row>
    <row r="11" spans="1:18" x14ac:dyDescent="0.25">
      <c r="A11" s="7">
        <v>1919</v>
      </c>
      <c r="B11" s="1"/>
      <c r="C11" s="1">
        <v>31.7</v>
      </c>
      <c r="D11" s="1">
        <v>31.7</v>
      </c>
      <c r="E11" s="1">
        <v>30.6</v>
      </c>
      <c r="F11" s="1"/>
      <c r="G11" s="1">
        <v>31</v>
      </c>
      <c r="H11" s="1">
        <v>30.8</v>
      </c>
      <c r="I11" s="20">
        <v>30</v>
      </c>
      <c r="J11" s="1"/>
      <c r="K11" s="1">
        <v>46.7</v>
      </c>
      <c r="L11" s="1">
        <v>46.7</v>
      </c>
      <c r="M11" s="1">
        <v>41</v>
      </c>
      <c r="N11" s="1"/>
      <c r="O11" s="1"/>
      <c r="P11" s="20">
        <v>65.5</v>
      </c>
      <c r="Q11" s="1">
        <v>39.4</v>
      </c>
      <c r="R11" s="1">
        <v>64</v>
      </c>
    </row>
    <row r="12" spans="1:18" x14ac:dyDescent="0.25">
      <c r="A12" s="7">
        <v>1920</v>
      </c>
      <c r="B12" s="1">
        <v>30.9</v>
      </c>
      <c r="C12" s="1">
        <v>32.200000000000003</v>
      </c>
      <c r="D12" s="1">
        <v>32.200000000000003</v>
      </c>
      <c r="E12" s="1">
        <v>31.7</v>
      </c>
      <c r="F12" s="1">
        <v>39.299999999999997</v>
      </c>
      <c r="G12" s="1">
        <v>31.2</v>
      </c>
      <c r="H12" s="1">
        <v>31</v>
      </c>
      <c r="I12" s="20">
        <v>31.3</v>
      </c>
      <c r="J12" s="1">
        <v>35.299999999999997</v>
      </c>
      <c r="K12" s="1">
        <v>43.3</v>
      </c>
      <c r="L12" s="1">
        <v>43.3</v>
      </c>
      <c r="M12" s="1">
        <v>37.1</v>
      </c>
      <c r="N12" s="1">
        <v>45.4</v>
      </c>
      <c r="O12" s="1"/>
      <c r="P12" s="20">
        <v>79.5</v>
      </c>
      <c r="Q12" s="1">
        <v>49.9</v>
      </c>
      <c r="R12" s="1">
        <v>56.1</v>
      </c>
    </row>
    <row r="13" spans="1:18" x14ac:dyDescent="0.25">
      <c r="A13" s="7">
        <v>1921</v>
      </c>
      <c r="B13" s="1">
        <v>32.6</v>
      </c>
      <c r="C13" s="1">
        <v>37.299999999999997</v>
      </c>
      <c r="D13" s="1">
        <v>37.299999999999997</v>
      </c>
      <c r="E13" s="1">
        <v>35</v>
      </c>
      <c r="F13" s="1">
        <v>40.6</v>
      </c>
      <c r="G13" s="1">
        <v>35.5</v>
      </c>
      <c r="H13" s="1">
        <v>35.299999999999997</v>
      </c>
      <c r="I13" s="20">
        <v>37.799999999999997</v>
      </c>
      <c r="J13" s="1">
        <v>29.2</v>
      </c>
      <c r="K13" s="1">
        <v>29.7</v>
      </c>
      <c r="L13" s="1">
        <v>40</v>
      </c>
      <c r="M13" s="1">
        <v>29.8</v>
      </c>
      <c r="N13" s="1">
        <v>39.799999999999997</v>
      </c>
      <c r="O13" s="1"/>
      <c r="P13" s="20">
        <v>40.4</v>
      </c>
      <c r="Q13" s="1">
        <v>42.6</v>
      </c>
      <c r="R13" s="1">
        <v>41.4</v>
      </c>
    </row>
    <row r="14" spans="1:18" x14ac:dyDescent="0.25">
      <c r="A14" s="7">
        <v>1922</v>
      </c>
      <c r="B14" s="1">
        <v>33.4</v>
      </c>
      <c r="C14" s="1">
        <v>38.200000000000003</v>
      </c>
      <c r="D14" s="1">
        <v>38.200000000000003</v>
      </c>
      <c r="E14" s="1">
        <v>36.200000000000003</v>
      </c>
      <c r="F14" s="1">
        <v>43.7</v>
      </c>
      <c r="G14" s="1">
        <v>37.299999999999997</v>
      </c>
      <c r="H14" s="1">
        <v>36.799999999999997</v>
      </c>
      <c r="I14" s="20">
        <v>41.4</v>
      </c>
      <c r="J14" s="1">
        <v>32.1</v>
      </c>
      <c r="K14" s="1">
        <v>29.6</v>
      </c>
      <c r="L14" s="1">
        <v>29.6</v>
      </c>
      <c r="M14" s="1">
        <v>38</v>
      </c>
      <c r="N14" s="1">
        <v>38.799999999999997</v>
      </c>
      <c r="O14" s="1"/>
      <c r="P14" s="20">
        <v>55.3</v>
      </c>
      <c r="Q14" s="1">
        <v>43</v>
      </c>
      <c r="R14" s="1">
        <v>47.1</v>
      </c>
    </row>
    <row r="15" spans="1:18" x14ac:dyDescent="0.25">
      <c r="A15" s="7">
        <v>1923</v>
      </c>
      <c r="B15" s="1">
        <v>42.8</v>
      </c>
      <c r="C15" s="1">
        <v>45.5</v>
      </c>
      <c r="D15" s="1">
        <v>45.5</v>
      </c>
      <c r="E15" s="1">
        <v>44</v>
      </c>
      <c r="F15" s="1">
        <v>47</v>
      </c>
      <c r="G15" s="1">
        <v>43.9</v>
      </c>
      <c r="H15" s="1">
        <v>42.8</v>
      </c>
      <c r="I15" s="20">
        <v>46.5</v>
      </c>
      <c r="J15" s="1">
        <v>23.1</v>
      </c>
      <c r="K15" s="1">
        <v>25.5</v>
      </c>
      <c r="L15" s="1">
        <v>25.5</v>
      </c>
      <c r="M15" s="1">
        <v>22.5</v>
      </c>
      <c r="N15" s="1">
        <v>29.1</v>
      </c>
      <c r="O15" s="1"/>
      <c r="P15" s="20">
        <v>22.3</v>
      </c>
      <c r="Q15" s="1">
        <v>28.1</v>
      </c>
      <c r="R15" s="1">
        <v>28.7</v>
      </c>
    </row>
    <row r="16" spans="1:18" x14ac:dyDescent="0.25">
      <c r="A16" s="7">
        <v>1924</v>
      </c>
      <c r="B16" s="1">
        <v>43.8</v>
      </c>
      <c r="C16" s="1">
        <v>42.2</v>
      </c>
      <c r="D16" s="1">
        <v>42.2</v>
      </c>
      <c r="E16" s="1">
        <v>42.3</v>
      </c>
      <c r="F16" s="1">
        <v>49</v>
      </c>
      <c r="G16" s="1">
        <v>42</v>
      </c>
      <c r="H16" s="1">
        <v>41</v>
      </c>
      <c r="I16" s="20">
        <v>43.6</v>
      </c>
      <c r="J16" s="1">
        <v>24.1</v>
      </c>
      <c r="K16" s="1">
        <v>23.5</v>
      </c>
      <c r="L16" s="1">
        <v>23.5</v>
      </c>
      <c r="M16" s="1">
        <v>21.7</v>
      </c>
      <c r="N16" s="1">
        <v>27.6</v>
      </c>
      <c r="O16" s="1"/>
      <c r="P16" s="20">
        <v>23.1</v>
      </c>
      <c r="Q16" s="1"/>
      <c r="R16" s="1">
        <v>22.4</v>
      </c>
    </row>
    <row r="17" spans="1:18" x14ac:dyDescent="0.25">
      <c r="A17" s="7">
        <v>1925</v>
      </c>
      <c r="B17" s="1">
        <v>45.9</v>
      </c>
      <c r="C17" s="1">
        <v>43.9</v>
      </c>
      <c r="D17" s="1">
        <v>43.9</v>
      </c>
      <c r="E17" s="1">
        <v>43.8</v>
      </c>
      <c r="F17" s="1">
        <v>47.3</v>
      </c>
      <c r="G17" s="1"/>
      <c r="H17" s="1"/>
      <c r="I17" s="20">
        <v>45.7</v>
      </c>
      <c r="J17" s="1">
        <v>25.2</v>
      </c>
      <c r="K17" s="1">
        <v>24.5</v>
      </c>
      <c r="L17" s="1">
        <v>24.5</v>
      </c>
      <c r="M17" s="1">
        <v>22.9</v>
      </c>
      <c r="N17" s="1">
        <v>28.7</v>
      </c>
      <c r="O17" s="1"/>
      <c r="P17" s="20">
        <v>23.3</v>
      </c>
      <c r="Q17" s="20"/>
      <c r="R17" s="1">
        <v>23.8</v>
      </c>
    </row>
    <row r="18" spans="1:18" x14ac:dyDescent="0.25">
      <c r="A18" s="7">
        <v>1926</v>
      </c>
      <c r="B18" s="1">
        <v>44.7</v>
      </c>
      <c r="C18" s="1">
        <v>42.5</v>
      </c>
      <c r="D18" s="1">
        <v>42.5</v>
      </c>
      <c r="E18" s="1">
        <v>42.3</v>
      </c>
      <c r="F18" s="1">
        <v>45.6</v>
      </c>
      <c r="G18" s="1"/>
      <c r="H18" s="1"/>
      <c r="I18" s="20">
        <v>42.6</v>
      </c>
      <c r="J18" s="1">
        <v>21.3</v>
      </c>
      <c r="K18" s="1">
        <v>21.5</v>
      </c>
      <c r="L18" s="1">
        <v>21.5</v>
      </c>
      <c r="M18" s="1">
        <v>20</v>
      </c>
      <c r="N18" s="1">
        <v>25.5</v>
      </c>
      <c r="O18" s="1"/>
      <c r="P18" s="20">
        <v>19.899999999999999</v>
      </c>
      <c r="Q18" s="20"/>
      <c r="R18" s="1">
        <v>22.7</v>
      </c>
    </row>
    <row r="20" spans="1:18" x14ac:dyDescent="0.25">
      <c r="A20" t="s">
        <v>8</v>
      </c>
      <c r="B20" t="s">
        <v>18</v>
      </c>
    </row>
    <row r="21" spans="1:18" x14ac:dyDescent="0.25">
      <c r="A21" t="s">
        <v>9</v>
      </c>
      <c r="B21" t="s">
        <v>19</v>
      </c>
    </row>
    <row r="22" spans="1:18" x14ac:dyDescent="0.25">
      <c r="A22" t="s">
        <v>10</v>
      </c>
      <c r="B22" t="s">
        <v>20</v>
      </c>
    </row>
    <row r="23" spans="1:18" x14ac:dyDescent="0.25">
      <c r="A23" t="s">
        <v>11</v>
      </c>
      <c r="B23" t="s">
        <v>0</v>
      </c>
    </row>
    <row r="24" spans="1:18" x14ac:dyDescent="0.25">
      <c r="A24" t="s">
        <v>12</v>
      </c>
      <c r="B24" t="s">
        <v>21</v>
      </c>
    </row>
    <row r="25" spans="1:18" x14ac:dyDescent="0.25">
      <c r="A25" t="s">
        <v>13</v>
      </c>
      <c r="B25" t="s">
        <v>22</v>
      </c>
    </row>
    <row r="26" spans="1:18" x14ac:dyDescent="0.25">
      <c r="A26" t="s">
        <v>14</v>
      </c>
      <c r="B26" t="s">
        <v>23</v>
      </c>
    </row>
    <row r="27" spans="1:18" x14ac:dyDescent="0.25">
      <c r="A27" t="s">
        <v>5</v>
      </c>
      <c r="B27" t="s">
        <v>24</v>
      </c>
    </row>
    <row r="28" spans="1:18" x14ac:dyDescent="0.25">
      <c r="A28" t="s">
        <v>15</v>
      </c>
      <c r="B28" t="s">
        <v>25</v>
      </c>
    </row>
    <row r="29" spans="1:18" x14ac:dyDescent="0.25">
      <c r="A29" t="s">
        <v>16</v>
      </c>
      <c r="B29" t="s">
        <v>25</v>
      </c>
    </row>
  </sheetData>
  <mergeCells count="2">
    <mergeCell ref="B5:I5"/>
    <mergeCell ref="J5:R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878B-4C6A-4A41-8450-F0C8CBD0F660}">
  <sheetPr codeName="Sheet2"/>
  <dimension ref="A3:Q20"/>
  <sheetViews>
    <sheetView workbookViewId="0">
      <selection activeCell="F20" sqref="F20"/>
    </sheetView>
  </sheetViews>
  <sheetFormatPr defaultRowHeight="15" x14ac:dyDescent="0.25"/>
  <cols>
    <col min="7" max="7" width="16" customWidth="1"/>
    <col min="8" max="9" width="11.5703125" bestFit="1" customWidth="1"/>
  </cols>
  <sheetData>
    <row r="3" spans="1:17" x14ac:dyDescent="0.25">
      <c r="A3" s="14" t="s">
        <v>3</v>
      </c>
      <c r="B3" s="14" t="s">
        <v>1</v>
      </c>
      <c r="C3" s="14" t="s">
        <v>2</v>
      </c>
      <c r="D3" s="14" t="s">
        <v>4</v>
      </c>
      <c r="E3" s="15" t="s">
        <v>26</v>
      </c>
      <c r="F3" s="14" t="s">
        <v>30</v>
      </c>
      <c r="G3" s="14" t="s">
        <v>27</v>
      </c>
      <c r="H3" s="14" t="s">
        <v>28</v>
      </c>
      <c r="I3" s="14" t="s">
        <v>29</v>
      </c>
      <c r="J3" s="14" t="s">
        <v>32</v>
      </c>
    </row>
    <row r="4" spans="1:17" x14ac:dyDescent="0.25">
      <c r="A4">
        <v>1915</v>
      </c>
      <c r="B4" s="7">
        <v>35.9</v>
      </c>
      <c r="C4" s="7">
        <v>28.8</v>
      </c>
      <c r="D4" s="7">
        <f>B4-C4</f>
        <v>7.0999999999999979</v>
      </c>
      <c r="E4" s="13">
        <v>-5</v>
      </c>
      <c r="F4" s="3">
        <v>90834</v>
      </c>
      <c r="G4" s="16">
        <f>YearAveragePopulation(F4,B4,C4,E4)</f>
        <v>91154.719286336243</v>
      </c>
      <c r="H4" s="16">
        <f>G4*B4/1000</f>
        <v>3272.454422379471</v>
      </c>
      <c r="I4" s="16">
        <f>G4*C4/1000</f>
        <v>2625.2559154464839</v>
      </c>
      <c r="J4" s="16">
        <f>H4-I4</f>
        <v>647.19850693298713</v>
      </c>
      <c r="L4" s="2"/>
      <c r="O4" s="3"/>
      <c r="P4" s="3"/>
      <c r="Q4" s="3"/>
    </row>
    <row r="5" spans="1:17" x14ac:dyDescent="0.25">
      <c r="A5">
        <v>1916</v>
      </c>
      <c r="B5" s="7">
        <v>27.1</v>
      </c>
      <c r="C5" s="7">
        <v>25.4</v>
      </c>
      <c r="D5" s="7">
        <f t="shared" ref="D5:D15" si="0">B5-C5</f>
        <v>1.7000000000000028</v>
      </c>
      <c r="E5" s="13">
        <v>-5</v>
      </c>
      <c r="F5" s="16">
        <f>F4+J4+E4</f>
        <v>91476.198506932982</v>
      </c>
      <c r="G5" s="16">
        <f t="shared" ref="G5:G15" si="1">YearAveragePopulation(F5,B5,C5,E5)</f>
        <v>91551.495938166234</v>
      </c>
      <c r="H5" s="16">
        <f t="shared" ref="H5:H15" si="2">G5*B5/1000</f>
        <v>2481.0455399243051</v>
      </c>
      <c r="I5" s="16">
        <f t="shared" ref="I5:I15" si="3">G5*C5/1000</f>
        <v>2325.4079968294222</v>
      </c>
      <c r="J5" s="16">
        <f t="shared" ref="J5:J15" si="4">H5-I5</f>
        <v>155.63754309488286</v>
      </c>
      <c r="L5" s="2"/>
      <c r="O5" s="3"/>
      <c r="P5" s="3"/>
    </row>
    <row r="6" spans="1:17" x14ac:dyDescent="0.25">
      <c r="A6">
        <v>1917</v>
      </c>
      <c r="B6" s="7">
        <v>26.3</v>
      </c>
      <c r="C6" s="7">
        <v>29.1</v>
      </c>
      <c r="D6" s="7">
        <f t="shared" si="0"/>
        <v>-2.8000000000000007</v>
      </c>
      <c r="E6" s="13">
        <v>-25</v>
      </c>
      <c r="F6" s="16">
        <f t="shared" ref="F6:F16" si="5">F5+J5+E5</f>
        <v>91626.836050027865</v>
      </c>
      <c r="G6" s="16">
        <f t="shared" si="1"/>
        <v>91486.189780034736</v>
      </c>
      <c r="H6" s="16">
        <f t="shared" si="2"/>
        <v>2406.0867912149138</v>
      </c>
      <c r="I6" s="16">
        <f t="shared" si="3"/>
        <v>2662.2481225990109</v>
      </c>
      <c r="J6" s="16">
        <f t="shared" si="4"/>
        <v>-256.16133138409714</v>
      </c>
      <c r="L6" s="2"/>
      <c r="O6" s="3"/>
      <c r="P6" s="4"/>
      <c r="Q6" s="3"/>
    </row>
    <row r="7" spans="1:17" x14ac:dyDescent="0.25">
      <c r="A7">
        <v>1918</v>
      </c>
      <c r="B7" s="7">
        <v>34.700000000000003</v>
      </c>
      <c r="C7" s="7">
        <v>44.2</v>
      </c>
      <c r="D7" s="7">
        <f t="shared" si="0"/>
        <v>-9.5</v>
      </c>
      <c r="E7" s="13">
        <v>-220</v>
      </c>
      <c r="F7" s="16">
        <f t="shared" si="5"/>
        <v>91345.674718643771</v>
      </c>
      <c r="G7" s="16">
        <f t="shared" si="1"/>
        <v>90803.501005493265</v>
      </c>
      <c r="H7" s="16">
        <f t="shared" si="2"/>
        <v>3150.8814848906163</v>
      </c>
      <c r="I7" s="16">
        <f t="shared" si="3"/>
        <v>4013.5147444428026</v>
      </c>
      <c r="J7" s="16">
        <f t="shared" si="4"/>
        <v>-862.63325955218625</v>
      </c>
      <c r="L7" s="2"/>
      <c r="O7" s="3"/>
      <c r="P7" s="3"/>
    </row>
    <row r="8" spans="1:17" x14ac:dyDescent="0.25">
      <c r="A8">
        <v>1919</v>
      </c>
      <c r="B8" s="7">
        <v>31.7</v>
      </c>
      <c r="C8" s="7">
        <v>46.7</v>
      </c>
      <c r="D8" s="7">
        <f t="shared" si="0"/>
        <v>-15.000000000000004</v>
      </c>
      <c r="E8" s="13">
        <v>-270</v>
      </c>
      <c r="F8" s="16">
        <f t="shared" si="5"/>
        <v>90263.04145909159</v>
      </c>
      <c r="G8" s="16">
        <f t="shared" si="1"/>
        <v>89455.113333272529</v>
      </c>
      <c r="H8" s="16">
        <f t="shared" si="2"/>
        <v>2835.7270926647393</v>
      </c>
      <c r="I8" s="16">
        <f t="shared" si="3"/>
        <v>4177.5537926638272</v>
      </c>
      <c r="J8" s="16">
        <f t="shared" si="4"/>
        <v>-1341.8266999990879</v>
      </c>
      <c r="L8" s="2"/>
      <c r="O8" s="3"/>
      <c r="P8" s="3"/>
    </row>
    <row r="9" spans="1:17" x14ac:dyDescent="0.25">
      <c r="A9">
        <v>1920</v>
      </c>
      <c r="B9" s="7">
        <v>32.200000000000003</v>
      </c>
      <c r="C9" s="7">
        <v>43.3</v>
      </c>
      <c r="D9" s="7">
        <f t="shared" si="0"/>
        <v>-11.099999999999994</v>
      </c>
      <c r="E9" s="13">
        <v>-390</v>
      </c>
      <c r="F9" s="16">
        <f t="shared" si="5"/>
        <v>88651.214759092501</v>
      </c>
      <c r="G9" s="16">
        <f t="shared" si="1"/>
        <v>87966.735431586829</v>
      </c>
      <c r="H9" s="16">
        <f t="shared" si="2"/>
        <v>2832.5288808970963</v>
      </c>
      <c r="I9" s="16">
        <f t="shared" si="3"/>
        <v>3808.9596441877093</v>
      </c>
      <c r="J9" s="16">
        <f t="shared" si="4"/>
        <v>-976.43076329061296</v>
      </c>
      <c r="L9" s="2"/>
      <c r="O9" s="3"/>
      <c r="P9" s="3"/>
      <c r="Q9" s="3"/>
    </row>
    <row r="10" spans="1:17" x14ac:dyDescent="0.25">
      <c r="A10">
        <v>1921</v>
      </c>
      <c r="B10" s="7">
        <v>37.299999999999997</v>
      </c>
      <c r="C10" s="7">
        <v>29.7</v>
      </c>
      <c r="D10" s="7">
        <f t="shared" si="0"/>
        <v>7.5999999999999979</v>
      </c>
      <c r="E10" s="13">
        <v>-150</v>
      </c>
      <c r="F10" s="16">
        <f t="shared" si="5"/>
        <v>87284.783995801889</v>
      </c>
      <c r="G10" s="16">
        <f t="shared" si="1"/>
        <v>87542.117673884684</v>
      </c>
      <c r="H10" s="16">
        <f t="shared" si="2"/>
        <v>3265.3209892358987</v>
      </c>
      <c r="I10" s="16">
        <f t="shared" si="3"/>
        <v>2600.0008949143753</v>
      </c>
      <c r="J10" s="16">
        <f t="shared" si="4"/>
        <v>665.32009432152336</v>
      </c>
      <c r="L10" s="2"/>
      <c r="O10" s="3"/>
      <c r="P10" s="3"/>
    </row>
    <row r="11" spans="1:17" x14ac:dyDescent="0.25">
      <c r="A11">
        <v>1922</v>
      </c>
      <c r="B11" s="7">
        <v>38.200000000000003</v>
      </c>
      <c r="C11" s="7">
        <v>29.6</v>
      </c>
      <c r="D11" s="7">
        <f t="shared" si="0"/>
        <v>8.6000000000000014</v>
      </c>
      <c r="E11" s="13">
        <v>-55</v>
      </c>
      <c r="F11" s="16">
        <f t="shared" si="5"/>
        <v>87800.104090123408</v>
      </c>
      <c r="G11" s="16">
        <f t="shared" si="1"/>
        <v>88151.150148125424</v>
      </c>
      <c r="H11" s="16">
        <f t="shared" si="2"/>
        <v>3367.3739356583915</v>
      </c>
      <c r="I11" s="16">
        <f t="shared" si="3"/>
        <v>2609.2740443845128</v>
      </c>
      <c r="J11" s="16">
        <f t="shared" si="4"/>
        <v>758.09989127387871</v>
      </c>
      <c r="L11" s="2"/>
      <c r="O11" s="3"/>
      <c r="P11" s="3"/>
    </row>
    <row r="12" spans="1:17" x14ac:dyDescent="0.25">
      <c r="A12">
        <v>1923</v>
      </c>
      <c r="B12" s="7">
        <v>45.5</v>
      </c>
      <c r="C12" s="7">
        <v>25.5</v>
      </c>
      <c r="D12" s="7">
        <f t="shared" si="0"/>
        <v>20</v>
      </c>
      <c r="E12" s="13">
        <v>-20</v>
      </c>
      <c r="F12" s="16">
        <f t="shared" si="5"/>
        <v>88503.203981397281</v>
      </c>
      <c r="G12" s="16">
        <f t="shared" si="1"/>
        <v>89384.098852938812</v>
      </c>
      <c r="H12" s="16">
        <f t="shared" si="2"/>
        <v>4066.976497808716</v>
      </c>
      <c r="I12" s="16">
        <f t="shared" si="3"/>
        <v>2279.2945207499397</v>
      </c>
      <c r="J12" s="16">
        <f t="shared" si="4"/>
        <v>1787.6819770587763</v>
      </c>
      <c r="L12" s="2"/>
      <c r="O12" s="3"/>
      <c r="P12" s="3"/>
      <c r="Q12" s="3"/>
    </row>
    <row r="13" spans="1:17" x14ac:dyDescent="0.25">
      <c r="A13">
        <v>1924</v>
      </c>
      <c r="B13" s="7">
        <v>42.2</v>
      </c>
      <c r="C13" s="7">
        <v>23.5</v>
      </c>
      <c r="D13" s="7">
        <f t="shared" si="0"/>
        <v>18.700000000000003</v>
      </c>
      <c r="E13" s="13">
        <v>-10</v>
      </c>
      <c r="F13" s="16">
        <f t="shared" si="5"/>
        <v>90270.885958456056</v>
      </c>
      <c r="G13" s="16">
        <f t="shared" si="1"/>
        <v>91115.173255029309</v>
      </c>
      <c r="H13" s="16">
        <f t="shared" si="2"/>
        <v>3845.0603113622374</v>
      </c>
      <c r="I13" s="16">
        <f t="shared" si="3"/>
        <v>2141.2065714931887</v>
      </c>
      <c r="J13" s="16">
        <f t="shared" si="4"/>
        <v>1703.8537398690487</v>
      </c>
      <c r="L13" s="2"/>
      <c r="O13" s="3"/>
      <c r="P13" s="3"/>
    </row>
    <row r="14" spans="1:17" x14ac:dyDescent="0.25">
      <c r="A14">
        <v>1925</v>
      </c>
      <c r="B14" s="7">
        <v>43.9</v>
      </c>
      <c r="C14" s="7">
        <v>24.5</v>
      </c>
      <c r="D14" s="7">
        <f t="shared" si="0"/>
        <v>19.399999999999999</v>
      </c>
      <c r="E14" s="13">
        <v>-5</v>
      </c>
      <c r="F14" s="16">
        <f t="shared" si="5"/>
        <v>91964.739698325109</v>
      </c>
      <c r="G14" s="16">
        <f t="shared" si="1"/>
        <v>92860.078156408519</v>
      </c>
      <c r="H14" s="16">
        <f t="shared" si="2"/>
        <v>4076.5574310663337</v>
      </c>
      <c r="I14" s="16">
        <f t="shared" si="3"/>
        <v>2275.0719148320086</v>
      </c>
      <c r="J14" s="16">
        <f t="shared" si="4"/>
        <v>1801.4855162343251</v>
      </c>
      <c r="L14" s="2"/>
      <c r="O14" s="3"/>
      <c r="P14" s="3"/>
    </row>
    <row r="15" spans="1:17" x14ac:dyDescent="0.25">
      <c r="A15">
        <v>1926</v>
      </c>
      <c r="B15" s="7">
        <v>42.5</v>
      </c>
      <c r="C15" s="7">
        <v>21.5</v>
      </c>
      <c r="D15" s="7">
        <f t="shared" si="0"/>
        <v>21</v>
      </c>
      <c r="E15" s="7">
        <v>0</v>
      </c>
      <c r="F15" s="16">
        <f t="shared" si="5"/>
        <v>93761.225214559439</v>
      </c>
      <c r="G15" s="16">
        <f t="shared" si="1"/>
        <v>94752.645861967816</v>
      </c>
      <c r="H15" s="16">
        <f t="shared" si="2"/>
        <v>4026.9874491336323</v>
      </c>
      <c r="I15" s="16">
        <f t="shared" si="3"/>
        <v>2037.1818860323081</v>
      </c>
      <c r="J15" s="16">
        <f t="shared" si="4"/>
        <v>1989.8055631013242</v>
      </c>
      <c r="L15" s="2"/>
      <c r="O15" s="3"/>
      <c r="P15" s="3"/>
      <c r="Q15" s="3"/>
    </row>
    <row r="16" spans="1:17" x14ac:dyDescent="0.25">
      <c r="A16">
        <v>1927</v>
      </c>
      <c r="F16" s="16">
        <f t="shared" si="5"/>
        <v>95751.030777660766</v>
      </c>
      <c r="O16" s="3"/>
      <c r="P16" s="3"/>
      <c r="Q16" s="3"/>
    </row>
    <row r="18" spans="1:6" x14ac:dyDescent="0.25">
      <c r="A18" s="18" t="s">
        <v>31</v>
      </c>
      <c r="F18">
        <v>93604</v>
      </c>
    </row>
    <row r="19" spans="1:6" x14ac:dyDescent="0.25">
      <c r="A19" s="18" t="s">
        <v>33</v>
      </c>
      <c r="F19">
        <v>200</v>
      </c>
    </row>
    <row r="20" spans="1:6" x14ac:dyDescent="0.25">
      <c r="A20" s="18" t="s">
        <v>34</v>
      </c>
      <c r="B20" s="17"/>
      <c r="F20" s="3">
        <f>F16+F19-F18</f>
        <v>2347.030777660766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3937D-04B0-4CBE-BD7E-BB3F4204ACA6}">
  <sheetPr codeName="Sheet3"/>
  <dimension ref="A3:J20"/>
  <sheetViews>
    <sheetView workbookViewId="0">
      <selection activeCell="M4" sqref="M4"/>
    </sheetView>
  </sheetViews>
  <sheetFormatPr defaultRowHeight="15" x14ac:dyDescent="0.25"/>
  <sheetData>
    <row r="3" spans="1:10" x14ac:dyDescent="0.25">
      <c r="A3" s="14" t="s">
        <v>3</v>
      </c>
      <c r="B3" s="14" t="s">
        <v>1</v>
      </c>
      <c r="C3" s="14" t="s">
        <v>2</v>
      </c>
      <c r="D3" s="14" t="s">
        <v>4</v>
      </c>
      <c r="E3" s="15" t="s">
        <v>26</v>
      </c>
      <c r="F3" s="14" t="s">
        <v>30</v>
      </c>
      <c r="G3" s="14" t="s">
        <v>27</v>
      </c>
      <c r="H3" s="14" t="s">
        <v>28</v>
      </c>
      <c r="I3" s="14" t="s">
        <v>29</v>
      </c>
      <c r="J3" s="14" t="s">
        <v>32</v>
      </c>
    </row>
    <row r="4" spans="1:10" x14ac:dyDescent="0.25">
      <c r="A4">
        <v>1915</v>
      </c>
      <c r="B4" s="1">
        <v>35.9</v>
      </c>
      <c r="C4" s="1">
        <v>28.8</v>
      </c>
      <c r="D4" s="7">
        <f>B4-C4</f>
        <v>7.0999999999999979</v>
      </c>
      <c r="E4" s="13">
        <v>-5</v>
      </c>
      <c r="F4" s="3">
        <v>90834</v>
      </c>
      <c r="G4" s="16">
        <f>YearAveragePopulation(F4,B4,C4,E4)</f>
        <v>91154.719286336243</v>
      </c>
      <c r="H4" s="16">
        <f>G4*B4/1000</f>
        <v>3272.454422379471</v>
      </c>
      <c r="I4" s="16">
        <f>G4*C4/1000</f>
        <v>2625.2559154464839</v>
      </c>
      <c r="J4" s="16">
        <f>H4-I4</f>
        <v>647.19850693298713</v>
      </c>
    </row>
    <row r="5" spans="1:10" x14ac:dyDescent="0.25">
      <c r="A5">
        <v>1916</v>
      </c>
      <c r="B5" s="1">
        <v>27.1</v>
      </c>
      <c r="C5" s="1">
        <v>25.4</v>
      </c>
      <c r="D5" s="7">
        <f t="shared" ref="D5:D15" si="0">B5-C5</f>
        <v>1.7000000000000028</v>
      </c>
      <c r="E5" s="13">
        <v>-5</v>
      </c>
      <c r="F5" s="16">
        <f>F4+J4+E4</f>
        <v>91476.198506932982</v>
      </c>
      <c r="G5" s="16">
        <f t="shared" ref="G5:G15" si="1">YearAveragePopulation(F5,B5,C5,E5)</f>
        <v>91551.495938166234</v>
      </c>
      <c r="H5" s="16">
        <f t="shared" ref="H5:H15" si="2">G5*B5/1000</f>
        <v>2481.0455399243051</v>
      </c>
      <c r="I5" s="16">
        <f t="shared" ref="I5:I15" si="3">G5*C5/1000</f>
        <v>2325.4079968294222</v>
      </c>
      <c r="J5" s="16">
        <f t="shared" ref="J5:J15" si="4">H5-I5</f>
        <v>155.63754309488286</v>
      </c>
    </row>
    <row r="6" spans="1:10" x14ac:dyDescent="0.25">
      <c r="A6">
        <v>1917</v>
      </c>
      <c r="B6" s="1">
        <v>26.3</v>
      </c>
      <c r="C6" s="1">
        <v>29.1</v>
      </c>
      <c r="D6" s="7">
        <f t="shared" si="0"/>
        <v>-2.8000000000000007</v>
      </c>
      <c r="E6" s="13">
        <v>-25</v>
      </c>
      <c r="F6" s="16">
        <f t="shared" ref="F6:F16" si="5">F5+J5+E5</f>
        <v>91626.836050027865</v>
      </c>
      <c r="G6" s="16">
        <f t="shared" si="1"/>
        <v>91486.189780034736</v>
      </c>
      <c r="H6" s="16">
        <f t="shared" si="2"/>
        <v>2406.0867912149138</v>
      </c>
      <c r="I6" s="16">
        <f t="shared" si="3"/>
        <v>2662.2481225990109</v>
      </c>
      <c r="J6" s="16">
        <f t="shared" si="4"/>
        <v>-256.16133138409714</v>
      </c>
    </row>
    <row r="7" spans="1:10" x14ac:dyDescent="0.25">
      <c r="A7">
        <v>1918</v>
      </c>
      <c r="B7" s="1">
        <v>34.700000000000003</v>
      </c>
      <c r="C7" s="1">
        <v>44.2</v>
      </c>
      <c r="D7" s="7">
        <f t="shared" si="0"/>
        <v>-9.5</v>
      </c>
      <c r="E7" s="13">
        <v>-220</v>
      </c>
      <c r="F7" s="16">
        <f t="shared" si="5"/>
        <v>91345.674718643771</v>
      </c>
      <c r="G7" s="16">
        <f t="shared" si="1"/>
        <v>90803.501005493265</v>
      </c>
      <c r="H7" s="16">
        <f t="shared" si="2"/>
        <v>3150.8814848906163</v>
      </c>
      <c r="I7" s="16">
        <f t="shared" si="3"/>
        <v>4013.5147444428026</v>
      </c>
      <c r="J7" s="16">
        <f t="shared" si="4"/>
        <v>-862.63325955218625</v>
      </c>
    </row>
    <row r="8" spans="1:10" x14ac:dyDescent="0.25">
      <c r="A8">
        <v>1919</v>
      </c>
      <c r="B8" s="1">
        <v>31.7</v>
      </c>
      <c r="C8" s="1">
        <v>46.7</v>
      </c>
      <c r="D8" s="7">
        <f t="shared" si="0"/>
        <v>-15.000000000000004</v>
      </c>
      <c r="E8" s="13">
        <v>-270</v>
      </c>
      <c r="F8" s="16">
        <f t="shared" si="5"/>
        <v>90263.04145909159</v>
      </c>
      <c r="G8" s="16">
        <f t="shared" si="1"/>
        <v>89455.113333272529</v>
      </c>
      <c r="H8" s="16">
        <f t="shared" si="2"/>
        <v>2835.7270926647393</v>
      </c>
      <c r="I8" s="16">
        <f t="shared" si="3"/>
        <v>4177.5537926638272</v>
      </c>
      <c r="J8" s="16">
        <f t="shared" si="4"/>
        <v>-1341.8266999990879</v>
      </c>
    </row>
    <row r="9" spans="1:10" x14ac:dyDescent="0.25">
      <c r="A9">
        <v>1920</v>
      </c>
      <c r="B9" s="1">
        <v>32.200000000000003</v>
      </c>
      <c r="C9" s="1">
        <v>43.3</v>
      </c>
      <c r="D9" s="7">
        <f t="shared" si="0"/>
        <v>-11.099999999999994</v>
      </c>
      <c r="E9" s="13">
        <v>-390</v>
      </c>
      <c r="F9" s="16">
        <f t="shared" si="5"/>
        <v>88651.214759092501</v>
      </c>
      <c r="G9" s="16">
        <f t="shared" si="1"/>
        <v>87966.735431586829</v>
      </c>
      <c r="H9" s="16">
        <f t="shared" si="2"/>
        <v>2832.5288808970963</v>
      </c>
      <c r="I9" s="16">
        <f t="shared" si="3"/>
        <v>3808.9596441877093</v>
      </c>
      <c r="J9" s="16">
        <f t="shared" si="4"/>
        <v>-976.43076329061296</v>
      </c>
    </row>
    <row r="10" spans="1:10" x14ac:dyDescent="0.25">
      <c r="A10">
        <v>1921</v>
      </c>
      <c r="B10" s="1">
        <v>37.299999999999997</v>
      </c>
      <c r="C10" s="1">
        <v>40</v>
      </c>
      <c r="D10" s="7">
        <f t="shared" si="0"/>
        <v>-2.7000000000000028</v>
      </c>
      <c r="E10" s="13">
        <v>-150</v>
      </c>
      <c r="F10" s="16">
        <f t="shared" si="5"/>
        <v>87284.783995801889</v>
      </c>
      <c r="G10" s="16">
        <f t="shared" si="1"/>
        <v>87092.122971335746</v>
      </c>
      <c r="H10" s="16">
        <f t="shared" si="2"/>
        <v>3248.5361868308232</v>
      </c>
      <c r="I10" s="16">
        <f t="shared" si="3"/>
        <v>3483.6849188534302</v>
      </c>
      <c r="J10" s="16">
        <f t="shared" si="4"/>
        <v>-235.14873202260696</v>
      </c>
    </row>
    <row r="11" spans="1:10" x14ac:dyDescent="0.25">
      <c r="A11">
        <v>1922</v>
      </c>
      <c r="B11" s="1">
        <v>38.200000000000003</v>
      </c>
      <c r="C11" s="1">
        <v>29.6</v>
      </c>
      <c r="D11" s="7">
        <f t="shared" si="0"/>
        <v>8.6000000000000014</v>
      </c>
      <c r="E11" s="13">
        <v>-55</v>
      </c>
      <c r="F11" s="16">
        <f t="shared" si="5"/>
        <v>86899.635263779288</v>
      </c>
      <c r="G11" s="16">
        <f t="shared" si="1"/>
        <v>87246.798182143335</v>
      </c>
      <c r="H11" s="16">
        <f t="shared" si="2"/>
        <v>3332.8276905578755</v>
      </c>
      <c r="I11" s="16">
        <f t="shared" si="3"/>
        <v>2582.5052261914429</v>
      </c>
      <c r="J11" s="16">
        <f t="shared" si="4"/>
        <v>750.32246436643254</v>
      </c>
    </row>
    <row r="12" spans="1:10" x14ac:dyDescent="0.25">
      <c r="A12">
        <v>1923</v>
      </c>
      <c r="B12" s="1">
        <v>45.5</v>
      </c>
      <c r="C12" s="1">
        <v>25.5</v>
      </c>
      <c r="D12" s="7">
        <f t="shared" si="0"/>
        <v>20</v>
      </c>
      <c r="E12" s="13">
        <v>-20</v>
      </c>
      <c r="F12" s="16">
        <f t="shared" si="5"/>
        <v>87594.957728145717</v>
      </c>
      <c r="G12" s="16">
        <f t="shared" si="1"/>
        <v>88466.709283440723</v>
      </c>
      <c r="H12" s="16">
        <f t="shared" si="2"/>
        <v>4025.2352723965528</v>
      </c>
      <c r="I12" s="16">
        <f t="shared" si="3"/>
        <v>2255.9010867277384</v>
      </c>
      <c r="J12" s="16">
        <f t="shared" si="4"/>
        <v>1769.3341856688144</v>
      </c>
    </row>
    <row r="13" spans="1:10" x14ac:dyDescent="0.25">
      <c r="A13">
        <v>1924</v>
      </c>
      <c r="B13" s="1">
        <v>42.2</v>
      </c>
      <c r="C13" s="1">
        <v>23.5</v>
      </c>
      <c r="D13" s="7">
        <f t="shared" si="0"/>
        <v>18.700000000000003</v>
      </c>
      <c r="E13" s="13">
        <v>-10</v>
      </c>
      <c r="F13" s="16">
        <f t="shared" si="5"/>
        <v>89344.291913814537</v>
      </c>
      <c r="G13" s="16">
        <f t="shared" si="1"/>
        <v>90179.861299211872</v>
      </c>
      <c r="H13" s="16">
        <f t="shared" si="2"/>
        <v>3805.5901468267411</v>
      </c>
      <c r="I13" s="16">
        <f t="shared" si="3"/>
        <v>2119.2267405314792</v>
      </c>
      <c r="J13" s="16">
        <f t="shared" si="4"/>
        <v>1686.3634062952619</v>
      </c>
    </row>
    <row r="14" spans="1:10" x14ac:dyDescent="0.25">
      <c r="A14">
        <v>1925</v>
      </c>
      <c r="B14" s="1">
        <v>43.9</v>
      </c>
      <c r="C14" s="1">
        <v>24.5</v>
      </c>
      <c r="D14" s="7">
        <f t="shared" si="0"/>
        <v>19.399999999999999</v>
      </c>
      <c r="E14" s="13">
        <v>-5</v>
      </c>
      <c r="F14" s="16">
        <f t="shared" si="5"/>
        <v>91020.6553201098</v>
      </c>
      <c r="G14" s="16">
        <f t="shared" si="1"/>
        <v>91906.77665212698</v>
      </c>
      <c r="H14" s="16">
        <f t="shared" si="2"/>
        <v>4034.7074950283741</v>
      </c>
      <c r="I14" s="16">
        <f t="shared" si="3"/>
        <v>2251.716027977111</v>
      </c>
      <c r="J14" s="16">
        <f t="shared" si="4"/>
        <v>1782.991467051263</v>
      </c>
    </row>
    <row r="15" spans="1:10" x14ac:dyDescent="0.25">
      <c r="A15">
        <v>1926</v>
      </c>
      <c r="B15" s="1">
        <v>42.5</v>
      </c>
      <c r="C15" s="1">
        <v>21.5</v>
      </c>
      <c r="D15" s="7">
        <f t="shared" si="0"/>
        <v>21</v>
      </c>
      <c r="E15" s="7">
        <v>0</v>
      </c>
      <c r="F15" s="16">
        <f t="shared" si="5"/>
        <v>92798.646787161066</v>
      </c>
      <c r="G15" s="16">
        <f t="shared" si="1"/>
        <v>93779.889238566902</v>
      </c>
      <c r="H15" s="16">
        <f t="shared" si="2"/>
        <v>3985.6452926390934</v>
      </c>
      <c r="I15" s="16">
        <f t="shared" si="3"/>
        <v>2016.2676186291885</v>
      </c>
      <c r="J15" s="16">
        <f t="shared" si="4"/>
        <v>1969.3776740099049</v>
      </c>
    </row>
    <row r="16" spans="1:10" x14ac:dyDescent="0.25">
      <c r="A16">
        <v>1927</v>
      </c>
      <c r="F16" s="16">
        <f t="shared" si="5"/>
        <v>94768.024461170964</v>
      </c>
    </row>
    <row r="18" spans="1:6" x14ac:dyDescent="0.25">
      <c r="A18" s="18" t="s">
        <v>31</v>
      </c>
      <c r="F18">
        <v>93604</v>
      </c>
    </row>
    <row r="19" spans="1:6" x14ac:dyDescent="0.25">
      <c r="A19" s="18" t="s">
        <v>33</v>
      </c>
      <c r="F19">
        <v>200</v>
      </c>
    </row>
    <row r="20" spans="1:6" x14ac:dyDescent="0.25">
      <c r="A20" s="18" t="s">
        <v>34</v>
      </c>
      <c r="B20" s="17"/>
      <c r="F20" s="3">
        <f>F16+F19-F18</f>
        <v>1364.0244611709641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B2B9-3EBA-4FC7-BED4-56062D0A5218}">
  <sheetPr codeName="Sheet4"/>
  <dimension ref="A3:J20"/>
  <sheetViews>
    <sheetView workbookViewId="0">
      <selection activeCell="J21" sqref="J21"/>
    </sheetView>
  </sheetViews>
  <sheetFormatPr defaultRowHeight="15" x14ac:dyDescent="0.25"/>
  <sheetData>
    <row r="3" spans="1:10" x14ac:dyDescent="0.25">
      <c r="A3" s="14" t="s">
        <v>3</v>
      </c>
      <c r="B3" s="14" t="s">
        <v>1</v>
      </c>
      <c r="C3" s="14" t="s">
        <v>2</v>
      </c>
      <c r="D3" s="14" t="s">
        <v>4</v>
      </c>
      <c r="E3" s="15" t="s">
        <v>26</v>
      </c>
      <c r="F3" s="14" t="s">
        <v>30</v>
      </c>
      <c r="G3" s="14" t="s">
        <v>27</v>
      </c>
      <c r="H3" s="14" t="s">
        <v>28</v>
      </c>
      <c r="I3" s="14" t="s">
        <v>29</v>
      </c>
      <c r="J3" s="14" t="s">
        <v>32</v>
      </c>
    </row>
    <row r="4" spans="1:10" x14ac:dyDescent="0.25">
      <c r="A4">
        <v>1915</v>
      </c>
      <c r="B4" s="1">
        <v>37.4</v>
      </c>
      <c r="C4" s="1">
        <v>42.6</v>
      </c>
      <c r="D4" s="7">
        <f>B4-C4</f>
        <v>-5.2000000000000028</v>
      </c>
      <c r="E4" s="13">
        <v>-5</v>
      </c>
      <c r="F4" s="3">
        <v>90834</v>
      </c>
      <c r="G4" s="16">
        <f>YearAveragePopulation(F4,B4,C4,E4)</f>
        <v>90595.744754651852</v>
      </c>
      <c r="H4" s="16">
        <f>G4*B4/1000</f>
        <v>3388.2808538239788</v>
      </c>
      <c r="I4" s="16">
        <f>G4*C4/1000</f>
        <v>3859.3787265481692</v>
      </c>
      <c r="J4" s="16">
        <f>H4-I4</f>
        <v>-471.09787272419044</v>
      </c>
    </row>
    <row r="5" spans="1:10" x14ac:dyDescent="0.25">
      <c r="A5">
        <v>1916</v>
      </c>
      <c r="B5" s="1">
        <v>32.5</v>
      </c>
      <c r="C5" s="1">
        <v>39.200000000000003</v>
      </c>
      <c r="D5" s="7">
        <f t="shared" ref="D5:D15" si="0">B5-C5</f>
        <v>-6.7000000000000028</v>
      </c>
      <c r="E5" s="13">
        <v>-5</v>
      </c>
      <c r="F5" s="16">
        <f>F4+J4+E4</f>
        <v>90357.902127275811</v>
      </c>
      <c r="G5" s="16">
        <f t="shared" ref="G5:G15" si="1">YearAveragePopulation(F5,B5,C5,E5)</f>
        <v>90053.383626016832</v>
      </c>
      <c r="H5" s="16">
        <f t="shared" ref="H5:H15" si="2">G5*B5/1000</f>
        <v>2926.7349678455471</v>
      </c>
      <c r="I5" s="16">
        <f t="shared" ref="I5:I15" si="3">G5*C5/1000</f>
        <v>3530.0926381398604</v>
      </c>
      <c r="J5" s="16">
        <f t="shared" ref="J5:J15" si="4">H5-I5</f>
        <v>-603.35767029431327</v>
      </c>
    </row>
    <row r="6" spans="1:10" x14ac:dyDescent="0.25">
      <c r="A6">
        <v>1917</v>
      </c>
      <c r="B6" s="1">
        <v>28.8</v>
      </c>
      <c r="C6" s="1">
        <v>47.1</v>
      </c>
      <c r="D6" s="7">
        <f t="shared" si="0"/>
        <v>-18.3</v>
      </c>
      <c r="E6" s="13">
        <v>-25</v>
      </c>
      <c r="F6" s="16">
        <f t="shared" ref="F6:F16" si="5">F5+J5+E5</f>
        <v>89749.544456981501</v>
      </c>
      <c r="G6" s="16">
        <f t="shared" si="1"/>
        <v>88920.898564205592</v>
      </c>
      <c r="H6" s="16">
        <f t="shared" si="2"/>
        <v>2560.921878649121</v>
      </c>
      <c r="I6" s="16">
        <f t="shared" si="3"/>
        <v>4188.1743223740832</v>
      </c>
      <c r="J6" s="16">
        <f t="shared" si="4"/>
        <v>-1627.2524437249622</v>
      </c>
    </row>
    <row r="7" spans="1:10" x14ac:dyDescent="0.25">
      <c r="A7">
        <v>1918</v>
      </c>
      <c r="B7" s="1">
        <v>32.4</v>
      </c>
      <c r="C7" s="1">
        <v>53.9</v>
      </c>
      <c r="D7" s="7">
        <f t="shared" si="0"/>
        <v>-21.5</v>
      </c>
      <c r="E7" s="13">
        <v>-220</v>
      </c>
      <c r="F7" s="16">
        <f t="shared" si="5"/>
        <v>88097.292013256534</v>
      </c>
      <c r="G7" s="16">
        <f t="shared" si="1"/>
        <v>87047.781075827341</v>
      </c>
      <c r="H7" s="16">
        <f t="shared" si="2"/>
        <v>2820.3481068568058</v>
      </c>
      <c r="I7" s="16">
        <f t="shared" si="3"/>
        <v>4691.8753999870933</v>
      </c>
      <c r="J7" s="16">
        <f t="shared" si="4"/>
        <v>-1871.5272931302875</v>
      </c>
    </row>
    <row r="8" spans="1:10" x14ac:dyDescent="0.25">
      <c r="A8">
        <v>1919</v>
      </c>
      <c r="B8" s="1">
        <v>30.6</v>
      </c>
      <c r="C8" s="1">
        <v>41</v>
      </c>
      <c r="D8" s="7">
        <f t="shared" si="0"/>
        <v>-10.399999999999999</v>
      </c>
      <c r="E8" s="13">
        <v>-270</v>
      </c>
      <c r="F8" s="16">
        <f t="shared" si="5"/>
        <v>86005.764720126244</v>
      </c>
      <c r="G8" s="16">
        <f t="shared" si="1"/>
        <v>85425.547903897881</v>
      </c>
      <c r="H8" s="16">
        <f t="shared" si="2"/>
        <v>2614.0217658592751</v>
      </c>
      <c r="I8" s="16">
        <f t="shared" si="3"/>
        <v>3502.4474640598128</v>
      </c>
      <c r="J8" s="16">
        <f t="shared" si="4"/>
        <v>-888.42569820053768</v>
      </c>
    </row>
    <row r="9" spans="1:10" x14ac:dyDescent="0.25">
      <c r="A9">
        <v>1920</v>
      </c>
      <c r="B9" s="1">
        <v>31.7</v>
      </c>
      <c r="C9" s="1">
        <v>37.1</v>
      </c>
      <c r="D9" s="7">
        <f t="shared" si="0"/>
        <v>-5.4000000000000021</v>
      </c>
      <c r="E9" s="13">
        <v>-390</v>
      </c>
      <c r="F9" s="16">
        <f t="shared" si="5"/>
        <v>84847.339021925713</v>
      </c>
      <c r="G9" s="16">
        <f t="shared" si="1"/>
        <v>84424.013535212216</v>
      </c>
      <c r="H9" s="16">
        <f t="shared" si="2"/>
        <v>2676.2412290662269</v>
      </c>
      <c r="I9" s="16">
        <f t="shared" si="3"/>
        <v>3132.1309021563734</v>
      </c>
      <c r="J9" s="16">
        <f t="shared" si="4"/>
        <v>-455.88967309014652</v>
      </c>
    </row>
    <row r="10" spans="1:10" x14ac:dyDescent="0.25">
      <c r="A10">
        <v>1921</v>
      </c>
      <c r="B10" s="1">
        <v>35</v>
      </c>
      <c r="C10" s="1">
        <v>29.8</v>
      </c>
      <c r="D10" s="7">
        <f t="shared" si="0"/>
        <v>5.1999999999999993</v>
      </c>
      <c r="E10" s="13">
        <v>-150</v>
      </c>
      <c r="F10" s="16">
        <f t="shared" si="5"/>
        <v>84001.449348835566</v>
      </c>
      <c r="G10" s="16">
        <f t="shared" si="1"/>
        <v>84145.102007147187</v>
      </c>
      <c r="H10" s="16">
        <f t="shared" si="2"/>
        <v>2945.0785702501516</v>
      </c>
      <c r="I10" s="16">
        <f t="shared" si="3"/>
        <v>2507.5240398129863</v>
      </c>
      <c r="J10" s="16">
        <f t="shared" si="4"/>
        <v>437.55453043716534</v>
      </c>
    </row>
    <row r="11" spans="1:10" x14ac:dyDescent="0.25">
      <c r="A11">
        <v>1922</v>
      </c>
      <c r="B11" s="1">
        <v>36.200000000000003</v>
      </c>
      <c r="C11" s="1">
        <v>38</v>
      </c>
      <c r="D11" s="7">
        <f t="shared" si="0"/>
        <v>-1.7999999999999972</v>
      </c>
      <c r="E11" s="13">
        <v>-55</v>
      </c>
      <c r="F11" s="16">
        <f t="shared" si="5"/>
        <v>84289.003879272728</v>
      </c>
      <c r="G11" s="16">
        <f t="shared" si="1"/>
        <v>84185.70576394329</v>
      </c>
      <c r="H11" s="16">
        <f t="shared" si="2"/>
        <v>3047.522548654747</v>
      </c>
      <c r="I11" s="16">
        <f t="shared" si="3"/>
        <v>3199.056819029845</v>
      </c>
      <c r="J11" s="16">
        <f t="shared" si="4"/>
        <v>-151.534270375098</v>
      </c>
    </row>
    <row r="12" spans="1:10" x14ac:dyDescent="0.25">
      <c r="A12">
        <v>1923</v>
      </c>
      <c r="B12" s="1">
        <v>44</v>
      </c>
      <c r="C12" s="1">
        <v>22.5</v>
      </c>
      <c r="D12" s="7">
        <f t="shared" si="0"/>
        <v>21.5</v>
      </c>
      <c r="E12" s="13">
        <v>-20</v>
      </c>
      <c r="F12" s="16">
        <f t="shared" si="5"/>
        <v>84082.469608897634</v>
      </c>
      <c r="G12" s="16">
        <f t="shared" si="1"/>
        <v>84982.796925972973</v>
      </c>
      <c r="H12" s="16">
        <f t="shared" si="2"/>
        <v>3739.2430647428109</v>
      </c>
      <c r="I12" s="16">
        <f t="shared" si="3"/>
        <v>1912.1129308343918</v>
      </c>
      <c r="J12" s="16">
        <f t="shared" si="4"/>
        <v>1827.1301339084191</v>
      </c>
    </row>
    <row r="13" spans="1:10" x14ac:dyDescent="0.25">
      <c r="A13">
        <v>1924</v>
      </c>
      <c r="B13" s="1">
        <v>42.3</v>
      </c>
      <c r="C13" s="1">
        <v>21.7</v>
      </c>
      <c r="D13" s="7">
        <f t="shared" si="0"/>
        <v>20.599999999999998</v>
      </c>
      <c r="E13" s="13">
        <v>-10</v>
      </c>
      <c r="F13" s="16">
        <f t="shared" si="5"/>
        <v>85889.599742806051</v>
      </c>
      <c r="G13" s="16">
        <f t="shared" si="1"/>
        <v>86775.334208332148</v>
      </c>
      <c r="H13" s="16">
        <f t="shared" si="2"/>
        <v>3670.5966370124497</v>
      </c>
      <c r="I13" s="16">
        <f t="shared" si="3"/>
        <v>1883.0247523208075</v>
      </c>
      <c r="J13" s="16">
        <f t="shared" si="4"/>
        <v>1787.5718846916423</v>
      </c>
    </row>
    <row r="14" spans="1:10" x14ac:dyDescent="0.25">
      <c r="A14">
        <v>1925</v>
      </c>
      <c r="B14" s="1">
        <v>43.8</v>
      </c>
      <c r="C14" s="1">
        <v>22.9</v>
      </c>
      <c r="D14" s="7">
        <f t="shared" si="0"/>
        <v>20.9</v>
      </c>
      <c r="E14" s="13">
        <v>-5</v>
      </c>
      <c r="F14" s="16">
        <f t="shared" si="5"/>
        <v>87667.171627497693</v>
      </c>
      <c r="G14" s="16">
        <f t="shared" si="1"/>
        <v>88587.191866642723</v>
      </c>
      <c r="H14" s="16">
        <f t="shared" si="2"/>
        <v>3880.1190037589513</v>
      </c>
      <c r="I14" s="16">
        <f t="shared" si="3"/>
        <v>2028.6466937461184</v>
      </c>
      <c r="J14" s="16">
        <f t="shared" si="4"/>
        <v>1851.4723100128328</v>
      </c>
    </row>
    <row r="15" spans="1:10" x14ac:dyDescent="0.25">
      <c r="A15">
        <v>1926</v>
      </c>
      <c r="B15" s="1">
        <v>42.3</v>
      </c>
      <c r="C15" s="1">
        <v>20</v>
      </c>
      <c r="D15" s="7">
        <f t="shared" si="0"/>
        <v>22.299999999999997</v>
      </c>
      <c r="E15" s="7">
        <v>0</v>
      </c>
      <c r="F15" s="16">
        <f t="shared" si="5"/>
        <v>89513.643937510526</v>
      </c>
      <c r="G15" s="16">
        <f t="shared" si="1"/>
        <v>90519.181653718901</v>
      </c>
      <c r="H15" s="16">
        <f t="shared" si="2"/>
        <v>3828.9613839523095</v>
      </c>
      <c r="I15" s="16">
        <f t="shared" si="3"/>
        <v>1810.3836330743782</v>
      </c>
      <c r="J15" s="16">
        <f t="shared" si="4"/>
        <v>2018.5777508779313</v>
      </c>
    </row>
    <row r="16" spans="1:10" x14ac:dyDescent="0.25">
      <c r="A16">
        <v>1927</v>
      </c>
      <c r="F16" s="16">
        <f t="shared" si="5"/>
        <v>91532.221688388454</v>
      </c>
    </row>
    <row r="18" spans="1:6" x14ac:dyDescent="0.25">
      <c r="A18" s="18" t="s">
        <v>31</v>
      </c>
      <c r="F18">
        <v>93604</v>
      </c>
    </row>
    <row r="19" spans="1:6" x14ac:dyDescent="0.25">
      <c r="A19" s="18" t="s">
        <v>33</v>
      </c>
      <c r="F19">
        <v>200</v>
      </c>
    </row>
    <row r="20" spans="1:6" x14ac:dyDescent="0.25">
      <c r="A20" s="18" t="s">
        <v>34</v>
      </c>
      <c r="B20" s="17"/>
      <c r="F20" s="3">
        <f>F16+F19-F18</f>
        <v>-1871.7783116115461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7E7C-5A5A-4CF2-A7FD-BE3D99500761}">
  <sheetPr codeName="Sheet5"/>
  <dimension ref="A1:L36"/>
  <sheetViews>
    <sheetView workbookViewId="0">
      <selection activeCell="Q14" sqref="Q14"/>
    </sheetView>
  </sheetViews>
  <sheetFormatPr defaultRowHeight="15" x14ac:dyDescent="0.25"/>
  <sheetData>
    <row r="1" spans="1:12" ht="18.75" x14ac:dyDescent="0.3">
      <c r="A1" s="6" t="s">
        <v>36</v>
      </c>
    </row>
    <row r="3" spans="1:12" x14ac:dyDescent="0.25">
      <c r="A3" s="19" t="s">
        <v>3</v>
      </c>
      <c r="B3" s="8"/>
      <c r="C3" s="8"/>
      <c r="D3" s="8"/>
      <c r="E3" s="8"/>
      <c r="F3" s="9"/>
      <c r="G3" s="9"/>
      <c r="H3" s="9"/>
      <c r="I3" s="9"/>
      <c r="K3" s="23" t="s">
        <v>35</v>
      </c>
      <c r="L3" s="23"/>
    </row>
    <row r="4" spans="1:12" x14ac:dyDescent="0.25">
      <c r="A4" s="19"/>
      <c r="B4" s="10" t="s">
        <v>9</v>
      </c>
      <c r="C4" s="10" t="s">
        <v>11</v>
      </c>
      <c r="D4" s="10" t="s">
        <v>13</v>
      </c>
      <c r="E4" s="10" t="s">
        <v>5</v>
      </c>
      <c r="F4" s="11" t="s">
        <v>9</v>
      </c>
      <c r="G4" s="11" t="s">
        <v>11</v>
      </c>
      <c r="H4" s="11" t="s">
        <v>5</v>
      </c>
      <c r="I4" s="11" t="s">
        <v>16</v>
      </c>
      <c r="K4" s="21" t="s">
        <v>1</v>
      </c>
      <c r="L4" s="21" t="s">
        <v>2</v>
      </c>
    </row>
    <row r="5" spans="1:12" x14ac:dyDescent="0.25">
      <c r="A5" s="7">
        <v>1915</v>
      </c>
      <c r="B5" s="1">
        <v>35.9</v>
      </c>
      <c r="C5" s="1">
        <v>37.4</v>
      </c>
      <c r="D5" s="1">
        <v>39.700000000000003</v>
      </c>
      <c r="E5" s="1"/>
      <c r="F5" s="1">
        <v>28.8</v>
      </c>
      <c r="G5" s="1">
        <v>42.6</v>
      </c>
      <c r="H5" s="1"/>
      <c r="I5" s="1"/>
      <c r="K5" s="2">
        <f>AVERAGE(B5:E5)</f>
        <v>37.666666666666664</v>
      </c>
      <c r="L5" s="2">
        <f>AVERAGE(F5:I5)</f>
        <v>35.700000000000003</v>
      </c>
    </row>
    <row r="6" spans="1:12" x14ac:dyDescent="0.25">
      <c r="A6" s="7">
        <v>1916</v>
      </c>
      <c r="B6" s="1">
        <v>27.1</v>
      </c>
      <c r="C6" s="1">
        <v>32.5</v>
      </c>
      <c r="D6" s="1">
        <v>29.9</v>
      </c>
      <c r="E6" s="1"/>
      <c r="F6" s="1">
        <v>25.4</v>
      </c>
      <c r="G6" s="1">
        <v>39.200000000000003</v>
      </c>
      <c r="H6" s="1"/>
      <c r="I6" s="1"/>
      <c r="K6" s="2">
        <f t="shared" ref="K6:K16" si="0">AVERAGE(B6:E6)</f>
        <v>29.833333333333332</v>
      </c>
      <c r="L6" s="2">
        <f t="shared" ref="L6:L16" si="1">AVERAGE(F6:I6)</f>
        <v>32.299999999999997</v>
      </c>
    </row>
    <row r="7" spans="1:12" x14ac:dyDescent="0.25">
      <c r="A7" s="7">
        <v>1917</v>
      </c>
      <c r="B7" s="1">
        <v>26.3</v>
      </c>
      <c r="C7" s="1">
        <v>28.8</v>
      </c>
      <c r="D7" s="1">
        <v>23.9</v>
      </c>
      <c r="E7" s="20">
        <v>27.4</v>
      </c>
      <c r="F7" s="1">
        <v>29.1</v>
      </c>
      <c r="G7" s="1">
        <v>47.1</v>
      </c>
      <c r="H7" s="20">
        <v>27.4</v>
      </c>
      <c r="I7" s="20"/>
      <c r="K7" s="2">
        <f t="shared" si="0"/>
        <v>26.6</v>
      </c>
      <c r="L7" s="2">
        <f t="shared" si="1"/>
        <v>34.533333333333331</v>
      </c>
    </row>
    <row r="8" spans="1:12" x14ac:dyDescent="0.25">
      <c r="A8" s="7">
        <v>1918</v>
      </c>
      <c r="B8" s="1">
        <v>34.700000000000003</v>
      </c>
      <c r="C8" s="1">
        <v>32.4</v>
      </c>
      <c r="D8" s="1">
        <v>32</v>
      </c>
      <c r="E8" s="20">
        <v>33.1</v>
      </c>
      <c r="F8" s="1">
        <v>44.2</v>
      </c>
      <c r="G8" s="1">
        <v>53.9</v>
      </c>
      <c r="H8" s="20">
        <v>39.9</v>
      </c>
      <c r="I8" s="1">
        <v>30.2</v>
      </c>
      <c r="K8" s="2">
        <f t="shared" si="0"/>
        <v>33.049999999999997</v>
      </c>
      <c r="L8" s="2">
        <f t="shared" si="1"/>
        <v>42.05</v>
      </c>
    </row>
    <row r="9" spans="1:12" x14ac:dyDescent="0.25">
      <c r="A9" s="7">
        <v>1919</v>
      </c>
      <c r="B9" s="1">
        <v>31.7</v>
      </c>
      <c r="C9" s="1">
        <v>30.6</v>
      </c>
      <c r="D9" s="1">
        <v>31</v>
      </c>
      <c r="E9" s="20">
        <v>30</v>
      </c>
      <c r="F9" s="1">
        <v>46.7</v>
      </c>
      <c r="G9" s="1">
        <v>41</v>
      </c>
      <c r="H9" s="20">
        <v>65.5</v>
      </c>
      <c r="I9" s="1">
        <v>64</v>
      </c>
      <c r="K9" s="2">
        <f t="shared" si="0"/>
        <v>30.824999999999999</v>
      </c>
      <c r="L9" s="2">
        <f t="shared" si="1"/>
        <v>54.3</v>
      </c>
    </row>
    <row r="10" spans="1:12" x14ac:dyDescent="0.25">
      <c r="A10" s="7">
        <v>1920</v>
      </c>
      <c r="B10" s="1">
        <v>32.200000000000003</v>
      </c>
      <c r="C10" s="1">
        <v>31.7</v>
      </c>
      <c r="D10" s="1">
        <v>31.2</v>
      </c>
      <c r="E10" s="20">
        <v>31.3</v>
      </c>
      <c r="F10" s="1">
        <v>43.3</v>
      </c>
      <c r="G10" s="1">
        <v>37.1</v>
      </c>
      <c r="H10" s="20">
        <v>79.5</v>
      </c>
      <c r="I10" s="1">
        <v>56.1</v>
      </c>
      <c r="K10" s="2">
        <f t="shared" si="0"/>
        <v>31.6</v>
      </c>
      <c r="L10" s="2">
        <f t="shared" si="1"/>
        <v>54</v>
      </c>
    </row>
    <row r="11" spans="1:12" x14ac:dyDescent="0.25">
      <c r="A11" s="7">
        <v>1921</v>
      </c>
      <c r="B11" s="1">
        <v>37.299999999999997</v>
      </c>
      <c r="C11" s="1">
        <v>35</v>
      </c>
      <c r="D11" s="1">
        <v>35.5</v>
      </c>
      <c r="E11" s="20">
        <v>37.799999999999997</v>
      </c>
      <c r="F11" s="1">
        <v>29.7</v>
      </c>
      <c r="G11" s="1">
        <v>29.8</v>
      </c>
      <c r="H11" s="20">
        <v>40.4</v>
      </c>
      <c r="I11" s="1">
        <v>41.4</v>
      </c>
      <c r="K11" s="2">
        <f t="shared" si="0"/>
        <v>36.4</v>
      </c>
      <c r="L11" s="2">
        <f t="shared" si="1"/>
        <v>35.325000000000003</v>
      </c>
    </row>
    <row r="12" spans="1:12" x14ac:dyDescent="0.25">
      <c r="A12" s="7">
        <v>1922</v>
      </c>
      <c r="B12" s="1">
        <v>38.200000000000003</v>
      </c>
      <c r="C12" s="1">
        <v>36.200000000000003</v>
      </c>
      <c r="D12" s="1">
        <v>37.299999999999997</v>
      </c>
      <c r="E12" s="20">
        <v>41.4</v>
      </c>
      <c r="F12" s="1">
        <v>29.6</v>
      </c>
      <c r="G12" s="1">
        <v>38</v>
      </c>
      <c r="H12" s="20">
        <v>55.3</v>
      </c>
      <c r="I12" s="1">
        <v>47.1</v>
      </c>
      <c r="K12" s="2">
        <f t="shared" si="0"/>
        <v>38.274999999999999</v>
      </c>
      <c r="L12" s="2">
        <f t="shared" si="1"/>
        <v>42.5</v>
      </c>
    </row>
    <row r="13" spans="1:12" x14ac:dyDescent="0.25">
      <c r="A13" s="7">
        <v>1923</v>
      </c>
      <c r="B13" s="1">
        <v>45.5</v>
      </c>
      <c r="C13" s="1">
        <v>44</v>
      </c>
      <c r="D13" s="1">
        <v>43.9</v>
      </c>
      <c r="E13" s="20">
        <v>46.5</v>
      </c>
      <c r="F13" s="1">
        <v>25.5</v>
      </c>
      <c r="G13" s="1">
        <v>22.5</v>
      </c>
      <c r="H13" s="20">
        <v>22.3</v>
      </c>
      <c r="I13" s="1">
        <v>28.7</v>
      </c>
      <c r="K13" s="2">
        <f t="shared" si="0"/>
        <v>44.975000000000001</v>
      </c>
      <c r="L13" s="2">
        <f t="shared" si="1"/>
        <v>24.75</v>
      </c>
    </row>
    <row r="14" spans="1:12" x14ac:dyDescent="0.25">
      <c r="A14" s="7">
        <v>1924</v>
      </c>
      <c r="B14" s="1">
        <v>42.2</v>
      </c>
      <c r="C14" s="1">
        <v>42.3</v>
      </c>
      <c r="D14" s="1">
        <v>42</v>
      </c>
      <c r="E14" s="20">
        <v>43.6</v>
      </c>
      <c r="F14" s="1">
        <v>23.5</v>
      </c>
      <c r="G14" s="1">
        <v>21.7</v>
      </c>
      <c r="H14" s="20">
        <v>23.1</v>
      </c>
      <c r="I14" s="1">
        <v>22.4</v>
      </c>
      <c r="K14" s="2">
        <f t="shared" si="0"/>
        <v>42.524999999999999</v>
      </c>
      <c r="L14" s="2">
        <f t="shared" si="1"/>
        <v>22.675000000000004</v>
      </c>
    </row>
    <row r="15" spans="1:12" x14ac:dyDescent="0.25">
      <c r="A15" s="7">
        <v>1925</v>
      </c>
      <c r="B15" s="1">
        <v>43.9</v>
      </c>
      <c r="C15" s="1">
        <v>43.8</v>
      </c>
      <c r="D15" s="1"/>
      <c r="E15" s="20">
        <v>45.7</v>
      </c>
      <c r="F15" s="1">
        <v>24.5</v>
      </c>
      <c r="G15" s="1">
        <v>22.9</v>
      </c>
      <c r="H15" s="20">
        <v>23.3</v>
      </c>
      <c r="I15" s="1">
        <v>23.8</v>
      </c>
      <c r="K15" s="2">
        <f t="shared" si="0"/>
        <v>44.466666666666661</v>
      </c>
      <c r="L15" s="2">
        <f t="shared" si="1"/>
        <v>23.625</v>
      </c>
    </row>
    <row r="16" spans="1:12" x14ac:dyDescent="0.25">
      <c r="A16" s="7">
        <v>1926</v>
      </c>
      <c r="B16" s="1">
        <v>42.5</v>
      </c>
      <c r="C16" s="1">
        <v>42.3</v>
      </c>
      <c r="D16" s="1"/>
      <c r="E16" s="20">
        <v>42.6</v>
      </c>
      <c r="F16" s="1">
        <v>21.5</v>
      </c>
      <c r="G16" s="1">
        <v>20</v>
      </c>
      <c r="H16" s="20">
        <v>19.899999999999999</v>
      </c>
      <c r="I16" s="1">
        <v>22.7</v>
      </c>
      <c r="K16" s="2">
        <f t="shared" si="0"/>
        <v>42.466666666666669</v>
      </c>
      <c r="L16" s="2">
        <f t="shared" si="1"/>
        <v>21.024999999999999</v>
      </c>
    </row>
    <row r="19" spans="1:10" x14ac:dyDescent="0.25">
      <c r="A19" s="14" t="s">
        <v>3</v>
      </c>
      <c r="B19" s="14" t="s">
        <v>1</v>
      </c>
      <c r="C19" s="14" t="s">
        <v>2</v>
      </c>
      <c r="D19" s="14" t="s">
        <v>4</v>
      </c>
      <c r="E19" s="15" t="s">
        <v>26</v>
      </c>
      <c r="F19" s="14" t="s">
        <v>30</v>
      </c>
      <c r="G19" s="14" t="s">
        <v>27</v>
      </c>
      <c r="H19" s="14" t="s">
        <v>28</v>
      </c>
      <c r="I19" s="14" t="s">
        <v>29</v>
      </c>
      <c r="J19" s="14" t="s">
        <v>32</v>
      </c>
    </row>
    <row r="20" spans="1:10" x14ac:dyDescent="0.25">
      <c r="A20">
        <v>1915</v>
      </c>
      <c r="B20" s="1">
        <v>37.666666666666664</v>
      </c>
      <c r="C20" s="1">
        <v>35.700000000000003</v>
      </c>
      <c r="D20" s="1">
        <f>B20-C20</f>
        <v>1.9666666666666615</v>
      </c>
      <c r="E20" s="13">
        <v>-5</v>
      </c>
      <c r="F20" s="3">
        <v>90834</v>
      </c>
      <c r="G20" s="16">
        <f>YearAveragePopulation(F20,B20,C20,E20)</f>
        <v>90920.877043389846</v>
      </c>
      <c r="H20" s="16">
        <f>G20*B20/1000</f>
        <v>3424.6863686343504</v>
      </c>
      <c r="I20" s="16">
        <f>G20*C20/1000</f>
        <v>3245.8753104490179</v>
      </c>
      <c r="J20" s="16">
        <f>H20-I20</f>
        <v>178.81105818533251</v>
      </c>
    </row>
    <row r="21" spans="1:10" x14ac:dyDescent="0.25">
      <c r="A21">
        <v>1916</v>
      </c>
      <c r="B21" s="1">
        <v>29.833333333333332</v>
      </c>
      <c r="C21" s="1">
        <v>32.299999999999997</v>
      </c>
      <c r="D21" s="1">
        <f t="shared" ref="D21:D31" si="2">B21-C21</f>
        <v>-2.466666666666665</v>
      </c>
      <c r="E21" s="13">
        <v>-5</v>
      </c>
      <c r="F21" s="16">
        <f>F20+J20+E20</f>
        <v>91007.811058185325</v>
      </c>
      <c r="G21" s="16">
        <f t="shared" ref="G21:G31" si="3">YearAveragePopulation(F21,B21,C21,E21)</f>
        <v>90893.162377279412</v>
      </c>
      <c r="H21" s="16">
        <f t="shared" ref="H21:H31" si="4">G21*B21/1000</f>
        <v>2711.6460109221689</v>
      </c>
      <c r="I21" s="16">
        <f t="shared" ref="I21:I31" si="5">G21*C21/1000</f>
        <v>2935.8491447861247</v>
      </c>
      <c r="J21" s="16">
        <f t="shared" ref="J21:J31" si="6">H21-I21</f>
        <v>-224.20313386395583</v>
      </c>
    </row>
    <row r="22" spans="1:10" x14ac:dyDescent="0.25">
      <c r="A22">
        <v>1917</v>
      </c>
      <c r="B22" s="1">
        <v>26.6</v>
      </c>
      <c r="C22" s="1">
        <v>34.533333333333331</v>
      </c>
      <c r="D22" s="1">
        <f t="shared" si="2"/>
        <v>-7.93333333333333</v>
      </c>
      <c r="E22" s="13">
        <v>-25</v>
      </c>
      <c r="F22" s="16">
        <f t="shared" ref="F22:F32" si="7">F21+J21+E21</f>
        <v>90778.607924321375</v>
      </c>
      <c r="G22" s="16">
        <f t="shared" si="3"/>
        <v>90407.002784690849</v>
      </c>
      <c r="H22" s="16">
        <f t="shared" si="4"/>
        <v>2404.8262740727764</v>
      </c>
      <c r="I22" s="16">
        <f t="shared" si="5"/>
        <v>3122.0551628313237</v>
      </c>
      <c r="J22" s="16">
        <f t="shared" si="6"/>
        <v>-717.22888875854733</v>
      </c>
    </row>
    <row r="23" spans="1:10" x14ac:dyDescent="0.25">
      <c r="A23">
        <v>1918</v>
      </c>
      <c r="B23" s="1">
        <v>33.049999999999997</v>
      </c>
      <c r="C23" s="1">
        <v>42.05</v>
      </c>
      <c r="D23" s="1">
        <f t="shared" si="2"/>
        <v>-9</v>
      </c>
      <c r="E23" s="13">
        <v>-220</v>
      </c>
      <c r="F23" s="16">
        <f t="shared" si="7"/>
        <v>90036.37903556283</v>
      </c>
      <c r="G23" s="16">
        <f t="shared" si="3"/>
        <v>89522.757349914842</v>
      </c>
      <c r="H23" s="16">
        <f t="shared" si="4"/>
        <v>2958.7271304146852</v>
      </c>
      <c r="I23" s="16">
        <f t="shared" si="5"/>
        <v>3764.4319465639192</v>
      </c>
      <c r="J23" s="16">
        <f t="shared" si="6"/>
        <v>-805.70481614923392</v>
      </c>
    </row>
    <row r="24" spans="1:10" x14ac:dyDescent="0.25">
      <c r="A24">
        <v>1919</v>
      </c>
      <c r="B24" s="1">
        <v>30.824999999999999</v>
      </c>
      <c r="C24" s="1">
        <v>54.3</v>
      </c>
      <c r="D24" s="1">
        <f t="shared" si="2"/>
        <v>-23.474999999999998</v>
      </c>
      <c r="E24" s="13">
        <v>-270</v>
      </c>
      <c r="F24" s="16">
        <f t="shared" si="7"/>
        <v>89010.674219413602</v>
      </c>
      <c r="G24" s="16">
        <f t="shared" si="3"/>
        <v>87840.089149749576</v>
      </c>
      <c r="H24" s="16">
        <f t="shared" si="4"/>
        <v>2707.6707480410305</v>
      </c>
      <c r="I24" s="16">
        <f t="shared" si="5"/>
        <v>4769.7168408314019</v>
      </c>
      <c r="J24" s="16">
        <f t="shared" si="6"/>
        <v>-2062.0460927903714</v>
      </c>
    </row>
    <row r="25" spans="1:10" x14ac:dyDescent="0.25">
      <c r="A25">
        <v>1920</v>
      </c>
      <c r="B25" s="1">
        <v>31.6</v>
      </c>
      <c r="C25" s="1">
        <v>54</v>
      </c>
      <c r="D25" s="1">
        <f t="shared" si="2"/>
        <v>-22.4</v>
      </c>
      <c r="E25" s="13">
        <v>-390</v>
      </c>
      <c r="F25" s="16">
        <f t="shared" si="7"/>
        <v>86678.628126623225</v>
      </c>
      <c r="G25" s="16">
        <f t="shared" si="3"/>
        <v>85521.483607905451</v>
      </c>
      <c r="H25" s="16">
        <f t="shared" si="4"/>
        <v>2702.478882009812</v>
      </c>
      <c r="I25" s="16">
        <f t="shared" si="5"/>
        <v>4618.1601148268946</v>
      </c>
      <c r="J25" s="16">
        <f t="shared" si="6"/>
        <v>-1915.6812328170827</v>
      </c>
    </row>
    <row r="26" spans="1:10" x14ac:dyDescent="0.25">
      <c r="A26">
        <v>1921</v>
      </c>
      <c r="B26" s="1">
        <v>36.4</v>
      </c>
      <c r="C26" s="1">
        <v>35.325000000000003</v>
      </c>
      <c r="D26" s="1">
        <f t="shared" si="2"/>
        <v>1.0749999999999957</v>
      </c>
      <c r="E26" s="13">
        <v>-150</v>
      </c>
      <c r="F26" s="16">
        <f t="shared" si="7"/>
        <v>84372.946893806147</v>
      </c>
      <c r="G26" s="16">
        <f t="shared" si="3"/>
        <v>84343.286725481812</v>
      </c>
      <c r="H26" s="16">
        <f t="shared" si="4"/>
        <v>3070.0956368075376</v>
      </c>
      <c r="I26" s="16">
        <f t="shared" si="5"/>
        <v>2979.426603577645</v>
      </c>
      <c r="J26" s="16">
        <f t="shared" si="6"/>
        <v>90.669033229892648</v>
      </c>
    </row>
    <row r="27" spans="1:10" x14ac:dyDescent="0.25">
      <c r="A27">
        <v>1922</v>
      </c>
      <c r="B27" s="1">
        <v>38.274999999999999</v>
      </c>
      <c r="C27" s="1">
        <v>42.5</v>
      </c>
      <c r="D27" s="1">
        <f t="shared" si="2"/>
        <v>-4.2250000000000014</v>
      </c>
      <c r="E27" s="13">
        <v>-55</v>
      </c>
      <c r="F27" s="16">
        <f t="shared" si="7"/>
        <v>84313.615927036037</v>
      </c>
      <c r="G27" s="16">
        <f t="shared" si="3"/>
        <v>84108.292678745318</v>
      </c>
      <c r="H27" s="16">
        <f t="shared" si="4"/>
        <v>3219.244902278977</v>
      </c>
      <c r="I27" s="16">
        <f t="shared" si="5"/>
        <v>3574.6024388466763</v>
      </c>
      <c r="J27" s="16">
        <f t="shared" si="6"/>
        <v>-355.3575365676993</v>
      </c>
    </row>
    <row r="28" spans="1:10" x14ac:dyDescent="0.25">
      <c r="A28">
        <v>1923</v>
      </c>
      <c r="B28" s="1">
        <v>44.975000000000001</v>
      </c>
      <c r="C28" s="1">
        <v>24.75</v>
      </c>
      <c r="D28" s="1">
        <f t="shared" si="2"/>
        <v>20.225000000000001</v>
      </c>
      <c r="E28" s="13">
        <v>-20</v>
      </c>
      <c r="F28" s="16">
        <f t="shared" si="7"/>
        <v>83903.258390468342</v>
      </c>
      <c r="G28" s="16">
        <f t="shared" si="3"/>
        <v>84747.411485106131</v>
      </c>
      <c r="H28" s="16">
        <f t="shared" si="4"/>
        <v>3811.5148315426482</v>
      </c>
      <c r="I28" s="16">
        <f t="shared" si="5"/>
        <v>2097.4984342563766</v>
      </c>
      <c r="J28" s="16">
        <f t="shared" si="6"/>
        <v>1714.0163972862715</v>
      </c>
    </row>
    <row r="29" spans="1:10" x14ac:dyDescent="0.25">
      <c r="A29">
        <v>1924</v>
      </c>
      <c r="B29" s="1">
        <v>42.524999999999999</v>
      </c>
      <c r="C29" s="1">
        <v>22.675000000000004</v>
      </c>
      <c r="D29" s="1">
        <f t="shared" si="2"/>
        <v>19.849999999999994</v>
      </c>
      <c r="E29" s="13">
        <v>-10</v>
      </c>
      <c r="F29" s="16">
        <f t="shared" si="7"/>
        <v>85597.274787754606</v>
      </c>
      <c r="G29" s="16">
        <f t="shared" si="3"/>
        <v>86447.443706919978</v>
      </c>
      <c r="H29" s="16">
        <f t="shared" si="4"/>
        <v>3676.177543636772</v>
      </c>
      <c r="I29" s="16">
        <f t="shared" si="5"/>
        <v>1960.195786054411</v>
      </c>
      <c r="J29" s="16">
        <f t="shared" si="6"/>
        <v>1715.9817575823611</v>
      </c>
    </row>
    <row r="30" spans="1:10" x14ac:dyDescent="0.25">
      <c r="A30">
        <v>1925</v>
      </c>
      <c r="B30" s="1">
        <v>44.466666666666661</v>
      </c>
      <c r="C30" s="1">
        <v>23.625</v>
      </c>
      <c r="D30" s="1">
        <f t="shared" si="2"/>
        <v>20.841666666666661</v>
      </c>
      <c r="E30" s="13">
        <v>-5</v>
      </c>
      <c r="F30" s="16">
        <f t="shared" si="7"/>
        <v>87303.256545336961</v>
      </c>
      <c r="G30" s="16">
        <f t="shared" si="3"/>
        <v>88216.865234975689</v>
      </c>
      <c r="H30" s="16">
        <f t="shared" si="4"/>
        <v>3922.7099407819182</v>
      </c>
      <c r="I30" s="16">
        <f t="shared" si="5"/>
        <v>2084.1234411763007</v>
      </c>
      <c r="J30" s="16">
        <f t="shared" si="6"/>
        <v>1838.5864996056175</v>
      </c>
    </row>
    <row r="31" spans="1:10" x14ac:dyDescent="0.25">
      <c r="A31">
        <v>1926</v>
      </c>
      <c r="B31" s="1">
        <v>42.466666666666669</v>
      </c>
      <c r="C31" s="1">
        <v>21.024999999999999</v>
      </c>
      <c r="D31" s="1">
        <f t="shared" si="2"/>
        <v>21.44166666666667</v>
      </c>
      <c r="E31" s="7">
        <v>0</v>
      </c>
      <c r="F31" s="16">
        <f t="shared" si="7"/>
        <v>89136.84304494258</v>
      </c>
      <c r="G31" s="16">
        <f t="shared" si="3"/>
        <v>90099.331089848667</v>
      </c>
      <c r="H31" s="16">
        <f t="shared" si="4"/>
        <v>3826.2182602822404</v>
      </c>
      <c r="I31" s="16">
        <f t="shared" si="5"/>
        <v>1894.3384361640681</v>
      </c>
      <c r="J31" s="16">
        <f t="shared" si="6"/>
        <v>1931.8798241181723</v>
      </c>
    </row>
    <row r="32" spans="1:10" x14ac:dyDescent="0.25">
      <c r="A32">
        <v>1927</v>
      </c>
      <c r="F32" s="16">
        <f t="shared" si="7"/>
        <v>91068.722869060759</v>
      </c>
    </row>
    <row r="34" spans="1:6" x14ac:dyDescent="0.25">
      <c r="A34" s="18" t="s">
        <v>31</v>
      </c>
      <c r="F34">
        <v>93604</v>
      </c>
    </row>
    <row r="35" spans="1:6" x14ac:dyDescent="0.25">
      <c r="A35" s="18" t="s">
        <v>33</v>
      </c>
      <c r="F35">
        <v>200</v>
      </c>
    </row>
    <row r="36" spans="1:6" x14ac:dyDescent="0.25">
      <c r="A36" s="18" t="s">
        <v>34</v>
      </c>
      <c r="B36" s="17"/>
      <c r="F36" s="3">
        <f>F32+F35-F34</f>
        <v>-2335.277130939241</v>
      </c>
    </row>
  </sheetData>
  <mergeCells count="4">
    <mergeCell ref="A3:A4"/>
    <mergeCell ref="B3:E3"/>
    <mergeCell ref="F3:I3"/>
    <mergeCell ref="K3:L3"/>
  </mergeCells>
  <pageMargins left="0.7" right="0.7" top="0.75" bottom="0.75" header="0.3" footer="0.3"/>
  <ignoredErrors>
    <ignoredError sqref="K5:L16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5099-DB09-478A-9647-39027422EDA5}">
  <dimension ref="A2:Q15"/>
  <sheetViews>
    <sheetView tabSelected="1" workbookViewId="0">
      <selection activeCell="P18" sqref="P18"/>
    </sheetView>
  </sheetViews>
  <sheetFormatPr defaultRowHeight="15" x14ac:dyDescent="0.25"/>
  <cols>
    <col min="14" max="14" width="14.85546875" customWidth="1"/>
  </cols>
  <sheetData>
    <row r="2" spans="1:17" x14ac:dyDescent="0.25">
      <c r="L2" s="5" t="s">
        <v>37</v>
      </c>
      <c r="M2" s="5" t="s">
        <v>37</v>
      </c>
      <c r="N2" s="5" t="s">
        <v>37</v>
      </c>
      <c r="O2" s="5" t="s">
        <v>37</v>
      </c>
      <c r="P2" s="5" t="s">
        <v>37</v>
      </c>
      <c r="Q2" s="5"/>
    </row>
    <row r="3" spans="1:17" x14ac:dyDescent="0.25">
      <c r="A3" s="22" t="s">
        <v>3</v>
      </c>
      <c r="B3" s="10" t="s">
        <v>8</v>
      </c>
      <c r="C3" s="10" t="s">
        <v>9</v>
      </c>
      <c r="D3" s="10" t="s">
        <v>10</v>
      </c>
      <c r="E3" s="10" t="s">
        <v>11</v>
      </c>
      <c r="F3" s="10" t="s">
        <v>13</v>
      </c>
      <c r="G3" s="10" t="s">
        <v>14</v>
      </c>
      <c r="H3" s="10" t="s">
        <v>5</v>
      </c>
      <c r="J3" s="10" t="s">
        <v>1</v>
      </c>
      <c r="L3" s="10" t="s">
        <v>28</v>
      </c>
      <c r="M3" s="12" t="s">
        <v>38</v>
      </c>
      <c r="N3" s="12" t="s">
        <v>39</v>
      </c>
      <c r="O3" s="12" t="s">
        <v>40</v>
      </c>
      <c r="P3" s="12" t="s">
        <v>41</v>
      </c>
      <c r="Q3" s="12" t="s">
        <v>2</v>
      </c>
    </row>
    <row r="4" spans="1:17" x14ac:dyDescent="0.25">
      <c r="A4" s="7">
        <v>1915</v>
      </c>
      <c r="B4" s="1"/>
      <c r="C4" s="1">
        <v>35.9</v>
      </c>
      <c r="D4" s="1"/>
      <c r="E4" s="1"/>
      <c r="F4" s="1">
        <v>39.700000000000003</v>
      </c>
      <c r="G4" s="1"/>
      <c r="H4" s="1"/>
      <c r="J4" s="2">
        <f>AVERAGE(B4:H4)</f>
        <v>37.799999999999997</v>
      </c>
      <c r="L4" s="3">
        <f>91000*J4/1000</f>
        <v>3439.7999999999997</v>
      </c>
      <c r="M4" s="3">
        <f>L4*28.3/100</f>
        <v>973.46339999999998</v>
      </c>
      <c r="N4" s="3">
        <f>91000*15.3/1000</f>
        <v>1392.3</v>
      </c>
      <c r="O4">
        <v>450</v>
      </c>
      <c r="P4" s="3">
        <f>SUM(M4:O4)</f>
        <v>2815.7633999999998</v>
      </c>
      <c r="Q4">
        <f>P4/91000*1000</f>
        <v>30.942454945054941</v>
      </c>
    </row>
    <row r="5" spans="1:17" x14ac:dyDescent="0.25">
      <c r="A5" s="7">
        <v>1916</v>
      </c>
      <c r="B5" s="1"/>
      <c r="C5" s="1">
        <v>27.1</v>
      </c>
      <c r="D5" s="1"/>
      <c r="E5" s="1"/>
      <c r="F5" s="1">
        <v>29.9</v>
      </c>
      <c r="G5" s="1"/>
      <c r="H5" s="1"/>
      <c r="J5" s="2">
        <f t="shared" ref="J5:J15" si="0">AVERAGE(B5:H5)</f>
        <v>28.5</v>
      </c>
      <c r="L5" s="3">
        <f t="shared" ref="L5:L15" si="1">91000*J5/1000</f>
        <v>2593.5</v>
      </c>
      <c r="M5" s="3">
        <f t="shared" ref="M5:M15" si="2">L5*28.3/100</f>
        <v>733.96050000000002</v>
      </c>
      <c r="N5" s="3">
        <f t="shared" ref="N5:N15" si="3">91000*15.3/1000</f>
        <v>1392.3</v>
      </c>
      <c r="O5">
        <v>450</v>
      </c>
      <c r="P5" s="3">
        <f>SUM(M5:O5)</f>
        <v>2576.2604999999999</v>
      </c>
      <c r="Q5">
        <f>P5/91000*1000</f>
        <v>28.310554945054943</v>
      </c>
    </row>
    <row r="6" spans="1:17" x14ac:dyDescent="0.25">
      <c r="A6" s="7">
        <v>1917</v>
      </c>
      <c r="B6" s="1"/>
      <c r="C6" s="1">
        <v>26.3</v>
      </c>
      <c r="D6" s="1"/>
      <c r="E6" s="1"/>
      <c r="F6" s="1">
        <v>23.9</v>
      </c>
      <c r="G6" s="1"/>
      <c r="H6" s="20">
        <v>27.4</v>
      </c>
      <c r="J6" s="2">
        <f t="shared" si="0"/>
        <v>25.866666666666664</v>
      </c>
      <c r="L6" s="3">
        <f t="shared" si="1"/>
        <v>2353.8666666666663</v>
      </c>
      <c r="M6" s="3">
        <f t="shared" si="2"/>
        <v>666.14426666666657</v>
      </c>
      <c r="N6" s="3">
        <f t="shared" si="3"/>
        <v>1392.3</v>
      </c>
      <c r="P6" s="3">
        <f t="shared" ref="P6:P15" si="4">SUM(M6:O6)</f>
        <v>2058.4442666666664</v>
      </c>
      <c r="Q6">
        <f t="shared" ref="Q6:Q15" si="5">P6/91000*1000</f>
        <v>22.620266666666662</v>
      </c>
    </row>
    <row r="7" spans="1:17" x14ac:dyDescent="0.25">
      <c r="A7" s="7">
        <v>1918</v>
      </c>
      <c r="B7" s="1"/>
      <c r="C7" s="1">
        <v>34.700000000000003</v>
      </c>
      <c r="D7" s="1"/>
      <c r="E7" s="1"/>
      <c r="F7" s="1">
        <v>32</v>
      </c>
      <c r="G7" s="1">
        <v>31.8</v>
      </c>
      <c r="H7" s="20">
        <v>33.1</v>
      </c>
      <c r="J7" s="2">
        <f t="shared" si="0"/>
        <v>32.9</v>
      </c>
      <c r="L7" s="3">
        <f t="shared" si="1"/>
        <v>2993.9</v>
      </c>
      <c r="M7" s="3">
        <f t="shared" si="2"/>
        <v>847.27370000000008</v>
      </c>
      <c r="N7" s="3">
        <f t="shared" si="3"/>
        <v>1392.3</v>
      </c>
      <c r="P7" s="3">
        <f t="shared" si="4"/>
        <v>2239.5736999999999</v>
      </c>
      <c r="Q7">
        <f t="shared" si="5"/>
        <v>24.610699999999998</v>
      </c>
    </row>
    <row r="8" spans="1:17" x14ac:dyDescent="0.25">
      <c r="A8" s="7">
        <v>1919</v>
      </c>
      <c r="B8" s="1"/>
      <c r="C8" s="1">
        <v>31.7</v>
      </c>
      <c r="D8" s="1"/>
      <c r="E8" s="1"/>
      <c r="F8" s="1">
        <v>31</v>
      </c>
      <c r="G8" s="1">
        <v>30.8</v>
      </c>
      <c r="H8" s="20">
        <v>30</v>
      </c>
      <c r="J8" s="2">
        <f t="shared" si="0"/>
        <v>30.875</v>
      </c>
      <c r="L8" s="3">
        <f t="shared" si="1"/>
        <v>2809.625</v>
      </c>
      <c r="M8" s="3">
        <f t="shared" si="2"/>
        <v>795.123875</v>
      </c>
      <c r="N8" s="3">
        <f t="shared" si="3"/>
        <v>1392.3</v>
      </c>
      <c r="P8" s="3">
        <f t="shared" si="4"/>
        <v>2187.423875</v>
      </c>
      <c r="Q8">
        <f t="shared" si="5"/>
        <v>24.037624999999998</v>
      </c>
    </row>
    <row r="9" spans="1:17" x14ac:dyDescent="0.25">
      <c r="A9" s="7">
        <v>1920</v>
      </c>
      <c r="B9" s="1">
        <v>30.9</v>
      </c>
      <c r="C9" s="1">
        <v>32.200000000000003</v>
      </c>
      <c r="D9" s="1"/>
      <c r="E9" s="1"/>
      <c r="F9" s="1">
        <v>31.2</v>
      </c>
      <c r="G9" s="1">
        <v>31</v>
      </c>
      <c r="H9" s="20">
        <v>31.3</v>
      </c>
      <c r="J9" s="2">
        <f t="shared" si="0"/>
        <v>31.32</v>
      </c>
      <c r="L9" s="3">
        <f t="shared" si="1"/>
        <v>2850.12</v>
      </c>
      <c r="M9" s="3">
        <f t="shared" si="2"/>
        <v>806.58395999999993</v>
      </c>
      <c r="N9" s="3">
        <f t="shared" si="3"/>
        <v>1392.3</v>
      </c>
      <c r="P9" s="3">
        <f t="shared" si="4"/>
        <v>2198.8839600000001</v>
      </c>
      <c r="Q9">
        <f t="shared" si="5"/>
        <v>24.16356</v>
      </c>
    </row>
    <row r="10" spans="1:17" x14ac:dyDescent="0.25">
      <c r="A10" s="7">
        <v>1921</v>
      </c>
      <c r="B10" s="1">
        <v>32.6</v>
      </c>
      <c r="C10" s="1">
        <v>37.299999999999997</v>
      </c>
      <c r="D10" s="1"/>
      <c r="E10" s="1"/>
      <c r="F10" s="1">
        <v>35.5</v>
      </c>
      <c r="G10" s="1">
        <v>35.299999999999997</v>
      </c>
      <c r="H10" s="20">
        <v>37.799999999999997</v>
      </c>
      <c r="J10" s="2">
        <f t="shared" si="0"/>
        <v>35.700000000000003</v>
      </c>
      <c r="L10" s="3">
        <f t="shared" si="1"/>
        <v>3248.7000000000003</v>
      </c>
      <c r="M10" s="3">
        <f t="shared" si="2"/>
        <v>919.38210000000004</v>
      </c>
      <c r="N10" s="3">
        <f t="shared" si="3"/>
        <v>1392.3</v>
      </c>
      <c r="P10" s="3">
        <f t="shared" si="4"/>
        <v>2311.6821</v>
      </c>
      <c r="Q10">
        <f t="shared" si="5"/>
        <v>25.403100000000002</v>
      </c>
    </row>
    <row r="11" spans="1:17" x14ac:dyDescent="0.25">
      <c r="A11" s="7">
        <v>1922</v>
      </c>
      <c r="B11" s="1">
        <v>33.4</v>
      </c>
      <c r="C11" s="1">
        <v>38.200000000000003</v>
      </c>
      <c r="D11" s="1"/>
      <c r="E11" s="1"/>
      <c r="F11" s="1">
        <v>37.299999999999997</v>
      </c>
      <c r="G11" s="1">
        <v>36.799999999999997</v>
      </c>
      <c r="H11" s="20">
        <v>41.4</v>
      </c>
      <c r="J11" s="2">
        <f t="shared" si="0"/>
        <v>37.42</v>
      </c>
      <c r="L11" s="3">
        <f t="shared" si="1"/>
        <v>3405.22</v>
      </c>
      <c r="M11" s="3">
        <f t="shared" si="2"/>
        <v>963.67725999999993</v>
      </c>
      <c r="N11" s="3">
        <f t="shared" si="3"/>
        <v>1392.3</v>
      </c>
      <c r="P11" s="3">
        <f t="shared" si="4"/>
        <v>2355.9772599999997</v>
      </c>
      <c r="Q11">
        <f t="shared" si="5"/>
        <v>25.889859999999999</v>
      </c>
    </row>
    <row r="12" spans="1:17" x14ac:dyDescent="0.25">
      <c r="A12" s="7">
        <v>1923</v>
      </c>
      <c r="B12" s="1">
        <v>42.8</v>
      </c>
      <c r="C12" s="1">
        <v>45.5</v>
      </c>
      <c r="D12" s="1"/>
      <c r="E12" s="1"/>
      <c r="F12" s="1">
        <v>43.9</v>
      </c>
      <c r="G12" s="1">
        <v>42.8</v>
      </c>
      <c r="H12" s="20">
        <v>46.5</v>
      </c>
      <c r="J12" s="2">
        <f t="shared" si="0"/>
        <v>44.3</v>
      </c>
      <c r="L12" s="3">
        <f t="shared" si="1"/>
        <v>4031.2999999999997</v>
      </c>
      <c r="M12" s="3">
        <f t="shared" si="2"/>
        <v>1140.8579</v>
      </c>
      <c r="N12" s="3">
        <f t="shared" si="3"/>
        <v>1392.3</v>
      </c>
      <c r="P12" s="3">
        <f t="shared" si="4"/>
        <v>2533.1579000000002</v>
      </c>
      <c r="Q12">
        <f t="shared" si="5"/>
        <v>27.8369</v>
      </c>
    </row>
    <row r="13" spans="1:17" x14ac:dyDescent="0.25">
      <c r="A13" s="7">
        <v>1924</v>
      </c>
      <c r="B13" s="1">
        <v>43.8</v>
      </c>
      <c r="C13" s="1">
        <v>42.2</v>
      </c>
      <c r="D13" s="1"/>
      <c r="E13" s="1"/>
      <c r="F13" s="1">
        <v>42</v>
      </c>
      <c r="G13" s="1">
        <v>41</v>
      </c>
      <c r="H13" s="20">
        <v>43.6</v>
      </c>
      <c r="J13" s="2">
        <f t="shared" si="0"/>
        <v>42.519999999999996</v>
      </c>
      <c r="L13" s="3">
        <f t="shared" si="1"/>
        <v>3869.3199999999997</v>
      </c>
      <c r="M13" s="3">
        <f t="shared" si="2"/>
        <v>1095.01756</v>
      </c>
      <c r="N13" s="3">
        <f t="shared" si="3"/>
        <v>1392.3</v>
      </c>
      <c r="P13" s="3">
        <f t="shared" si="4"/>
        <v>2487.31756</v>
      </c>
      <c r="Q13">
        <f t="shared" si="5"/>
        <v>27.333159999999999</v>
      </c>
    </row>
    <row r="14" spans="1:17" x14ac:dyDescent="0.25">
      <c r="A14" s="7">
        <v>1925</v>
      </c>
      <c r="B14" s="1">
        <v>45.9</v>
      </c>
      <c r="C14" s="1">
        <v>43.9</v>
      </c>
      <c r="D14" s="1"/>
      <c r="E14" s="1"/>
      <c r="F14" s="1"/>
      <c r="G14" s="1"/>
      <c r="H14" s="20">
        <v>45.7</v>
      </c>
      <c r="J14" s="2">
        <f t="shared" si="0"/>
        <v>45.166666666666664</v>
      </c>
      <c r="L14" s="3">
        <f t="shared" si="1"/>
        <v>4110.1666666666661</v>
      </c>
      <c r="M14" s="3">
        <f t="shared" si="2"/>
        <v>1163.1771666666664</v>
      </c>
      <c r="N14" s="3">
        <f t="shared" si="3"/>
        <v>1392.3</v>
      </c>
      <c r="P14" s="3">
        <f t="shared" si="4"/>
        <v>2555.4771666666666</v>
      </c>
      <c r="Q14">
        <f t="shared" si="5"/>
        <v>28.082166666666666</v>
      </c>
    </row>
    <row r="15" spans="1:17" x14ac:dyDescent="0.25">
      <c r="A15" s="7">
        <v>1926</v>
      </c>
      <c r="B15" s="1">
        <v>44.7</v>
      </c>
      <c r="C15" s="1">
        <v>42.5</v>
      </c>
      <c r="D15" s="1"/>
      <c r="E15" s="1"/>
      <c r="F15" s="1"/>
      <c r="G15" s="1"/>
      <c r="H15" s="20">
        <v>42.6</v>
      </c>
      <c r="J15" s="2">
        <f t="shared" si="0"/>
        <v>43.266666666666673</v>
      </c>
      <c r="L15" s="3">
        <f t="shared" si="1"/>
        <v>3937.2666666666673</v>
      </c>
      <c r="M15" s="3">
        <f t="shared" si="2"/>
        <v>1114.2464666666667</v>
      </c>
      <c r="N15" s="3">
        <f t="shared" si="3"/>
        <v>1392.3</v>
      </c>
      <c r="P15" s="3">
        <f t="shared" si="4"/>
        <v>2506.5464666666667</v>
      </c>
      <c r="Q15">
        <f t="shared" si="5"/>
        <v>27.544466666666665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Оценки</vt:lpstr>
      <vt:lpstr>Боярский</vt:lpstr>
      <vt:lpstr>Максудов</vt:lpstr>
      <vt:lpstr>Бирабен</vt:lpstr>
      <vt:lpstr>смесь-1</vt:lpstr>
      <vt:lpstr>поля конверта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2026-05-31T23:49:13Z</dcterms:created>
  <dcterms:modified xsi:type="dcterms:W3CDTF">2026-06-18T19:16:21Z</dcterms:modified>
</cp:coreProperties>
</file>